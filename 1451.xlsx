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265096\OneDrive - CAMG\@splor\@dcmefo\2025\OBZ\bases\unidades\"/>
    </mc:Choice>
  </mc:AlternateContent>
  <bookViews>
    <workbookView xWindow="0" yWindow="0" windowWidth="20490" windowHeight="7530" tabRatio="914" activeTab="9"/>
  </bookViews>
  <sheets>
    <sheet name="INDICE" sheetId="18" r:id="rId1"/>
    <sheet name="BASE OBZ - EXEMPLO" sheetId="26" r:id="rId2"/>
    <sheet name="EXEMPLO PREENCHIMENTO OBZ" sheetId="13" state="hidden" r:id="rId3"/>
    <sheet name="PONTOS IMPORTANTES" sheetId="20" r:id="rId4"/>
    <sheet name="ELEMENTO" sheetId="7" state="hidden" r:id="rId5"/>
    <sheet name="DECRETO DIÁRIAS" sheetId="23" r:id="rId6"/>
    <sheet name="ORGANOGRAMA" sheetId="1" state="hidden" r:id="rId7"/>
    <sheet name="CENÁRIO" sheetId="3" state="hidden" r:id="rId8"/>
    <sheet name="Planilha1" sheetId="32" r:id="rId9"/>
    <sheet name="BASE OBZ" sheetId="28" r:id="rId10"/>
    <sheet name="AÇÕES E PROGRAMAS" sheetId="31" state="hidden" r:id="rId11"/>
    <sheet name="AGRUPAMENTO" sheetId="30" state="hidden" r:id="rId12"/>
    <sheet name="FONTE 2.0" sheetId="21" state="hidden" r:id="rId13"/>
    <sheet name="FONTE 1.0" sheetId="9" state="hidden" r:id="rId14"/>
  </sheets>
  <definedNames>
    <definedName name="_xlnm._FilterDatabase" localSheetId="11" hidden="1">AGRUPAMENTO!$A$1:$E$6798</definedName>
    <definedName name="_xlnm._FilterDatabase" localSheetId="9" hidden="1">'BASE OBZ'!$A$2:$AF$1658</definedName>
    <definedName name="_xlnm._FilterDatabase" localSheetId="1" hidden="1">'BASE OBZ - EXEMPLO'!$A$2:$AE$2</definedName>
    <definedName name="AGEPROG">'AÇÕES E PROGRAMAS'!$A$2:$A$4</definedName>
    <definedName name="ARMBHPROG">'AÇÕES E PROGRAMAS'!$B$2:$B$3</definedName>
    <definedName name="ARMVAPROG">'AÇÕES E PROGRAMAS'!$C$2:$C$4</definedName>
    <definedName name="ARSAEPROG">'AÇÕES E PROGRAMAS'!$E$2:$E$3</definedName>
    <definedName name="ARTEMIGPROG">'AÇÕES E PROGRAMAS'!$DJ$2</definedName>
    <definedName name="CBMMGPROG">'AÇÕES E PROGRAMAS'!$S$2:$S$5</definedName>
    <definedName name="CGEPROG">'AÇÕES E PROGRAMAS'!$Q$2:$Q$6</definedName>
    <definedName name="DERPROG">'AÇÕES E PROGRAMAS'!$U$2:$U$4</definedName>
    <definedName name="EAGE">AGRUPAMENTO!$C$115:$C$210</definedName>
    <definedName name="EGMG">AGRUPAMENTO!$C$2:$C$114</definedName>
    <definedName name="ELEMENTO">AGRUPAMENTO!$K$2:$K$262</definedName>
    <definedName name="EMATERPROG">'AÇÕES E PROGRAMAS'!$X$2:$X$6</definedName>
    <definedName name="EMCPROG">'AÇÕES E PROGRAMAS'!$Z$2:$Z$4</definedName>
    <definedName name="EOGE">AGRUPAMENTO!$C$211:$C$256</definedName>
    <definedName name="EPAMIGPROG">'AÇÕES E PROGRAMAS'!$Y$2:$Y$4</definedName>
    <definedName name="EPMMG">AGRUPAMENTO!$C$573:$C$749</definedName>
    <definedName name="ESEAPA">AGRUPAMENTO!$C$473:$C$572</definedName>
    <definedName name="ESEDE">AGRUPAMENTO!$C$381:$C$472</definedName>
    <definedName name="ESEE">AGRUPAMENTO!$C$750:$C$946</definedName>
    <definedName name="ESEF">AGRUPAMENTO!$C$257:$C$380</definedName>
    <definedName name="ESPMGPROG">'AÇÕES E PROGRAMAS'!$AB$2:$AB$3</definedName>
    <definedName name="FAOPPROG">'AÇÕES E PROGRAMAS'!$AF$2:$AF$6</definedName>
    <definedName name="FAPEMIGPROG">'AÇÕES E PROGRAMAS'!$AE$2:$AE$4</definedName>
    <definedName name="FCSPROG">'AÇÕES E PROGRAMAS'!$AD$2:$AD$6</definedName>
    <definedName name="FDMPROG">'AÇÕES E PROGRAMAS'!$AT$2</definedName>
    <definedName name="FEAMPROG">'AÇÕES E PROGRAMAS'!$AI$2:$AI$4</definedName>
    <definedName name="FEASPROG">'AÇÕES E PROGRAMAS'!$BE$2:$BE$3</definedName>
    <definedName name="FESPROG">'AÇÕES E PROGRAMAS'!$BN$2:$BN$11</definedName>
    <definedName name="FHAPROG">'AÇÕES E PROGRAMAS'!$AK$2:$AK$8</definedName>
    <definedName name="FHEMIGPROG">'AÇÕES E PROGRAMAS'!$AL$2:$AL$3</definedName>
    <definedName name="FHIDROPROG">'AÇÕES E PROGRAMAS'!$AZ$2:$AZ$6</definedName>
    <definedName name="FJPPROG">'AÇÕES E PROGRAMAS'!$AM$2:$AM$6</definedName>
    <definedName name="FONTEARMBH">'FONTE 1.0'!$A$2:$A$3</definedName>
    <definedName name="FONTEARMVA">'FONTE 1.0'!$B$2:$B$3</definedName>
    <definedName name="FONTEARSAE">'FONTE 1.0'!$C$2:$C$3</definedName>
    <definedName name="FONTEDER">'FONTE 1.0'!$D$2:$D$10</definedName>
    <definedName name="FONTEFAOP">'FONTE 1.0'!$F$2:$F$4</definedName>
    <definedName name="FONTEFCS">'FONTE 1.0'!$G$2:$G$3</definedName>
    <definedName name="FONTEFDM">'FONTE 1.0'!$R$2:$R$3</definedName>
    <definedName name="FONTEFEAM">'FONTE 1.0'!$H$2:$H$5</definedName>
    <definedName name="FONTEFEAS">'FONTE 1.0'!$S$2:$S$4</definedName>
    <definedName name="FONTEFJP">'FONTE 1.0'!$I$2:$I$4</definedName>
    <definedName name="FONTEFUNTRANS">'FONTE 1.0'!$E$2</definedName>
    <definedName name="FONTEIDENE">'FONTE 1.0'!$J$2:$J$3</definedName>
    <definedName name="FONTEIEF">'FONTE 1.0'!$K$2:$K$8</definedName>
    <definedName name="FONTEIEPHA">'FONTE 1.0'!$L$2:$L$4</definedName>
    <definedName name="FONTEIGAM">'FONTE 1.0'!$M$2:$M$6</definedName>
    <definedName name="FONTEIMA">'FONTE 1.0'!$N$2:$N$4</definedName>
    <definedName name="FONTEJUCEMG">'FONTE 1.0'!$O$2</definedName>
    <definedName name="FONTELEMG">'FONTE 1.0'!$P$2</definedName>
    <definedName name="FONTESEDESE">'FONTE 1.0'!$Q$2:$Q$7</definedName>
    <definedName name="FUCAMPROG">'AÇÕES E PROGRAMAS'!$AH$2:$AH$4</definedName>
    <definedName name="FUNAPECPROG">'AÇÕES E PROGRAMAS'!$AQ$2:$AQ$3</definedName>
    <definedName name="FUNEDPROG">'AÇÕES E PROGRAMAS'!$AJ$2:$AJ$6</definedName>
    <definedName name="FUNTRANSPROG">'AÇÕES E PROGRAMAS'!$BH$2:$BH$3</definedName>
    <definedName name="GMGPROG">'AÇÕES E PROGRAMAS'!$BU$2:$BU$8</definedName>
    <definedName name="HEMOMINASPROG">'AÇÕES E PROGRAMAS'!$AC$2:$AC$3</definedName>
    <definedName name="IDENEPROG">'AÇÕES E PROGRAMAS'!$BW$2:$BW$4</definedName>
    <definedName name="IEFPROG">'AÇÕES E PROGRAMAS'!$CB$2:$CB$4</definedName>
    <definedName name="IEPHAPROG">'AÇÕES E PROGRAMAS'!$CC$2:$CC$6</definedName>
    <definedName name="IGAMPROG">'AÇÕES E PROGRAMAS'!$CE$2:$CE$4</definedName>
    <definedName name="IMAPROG">'AÇÕES E PROGRAMAS'!$CD$2:$CD$7</definedName>
    <definedName name="IPSEMGPROG">'AÇÕES E PROGRAMAS'!$BZ$2:$BZ$5</definedName>
    <definedName name="IPSMPROG">'AÇÕES E PROGRAMAS'!$CA$2:$CA$4</definedName>
    <definedName name="JUCEMGPROG">'AÇÕES E PROGRAMAS'!$CF$2:$CF$3</definedName>
    <definedName name="LEMGPROG">'AÇÕES E PROGRAMAS'!$CG$2:$CG$3</definedName>
    <definedName name="OGEPROG">'AÇÕES E PROGRAMAS'!$CJ$2:$CJ$4</definedName>
    <definedName name="P001CGE">'AÇÕES E PROGRAMAS'!$Q$8:$Q$10</definedName>
    <definedName name="P002CGE">'AÇÕES E PROGRAMAS'!$Q$12:$Q$14</definedName>
    <definedName name="P003CGE">'AÇÕES E PROGRAMAS'!$Q$16:$Q$18</definedName>
    <definedName name="P004CGE">'AÇÕES E PROGRAMAS'!$Q$20:$Q$22</definedName>
    <definedName name="P005FCS">'AÇÕES E PROGRAMAS'!$AD$8</definedName>
    <definedName name="P005FUCAM">'AÇÕES E PROGRAMAS'!$AH$6:$AH$8</definedName>
    <definedName name="P005SCC">'AÇÕES E PROGRAMAS'!$CP$6</definedName>
    <definedName name="P005SEDESE">'AÇÕES E PROGRAMAS'!$CU$18:$CU$19</definedName>
    <definedName name="P005SEE">'AÇÕES E PROGRAMAS'!$CV$14</definedName>
    <definedName name="P006IPSM">'AÇÕES E PROGRAMAS'!$CA$6:$CA$7</definedName>
    <definedName name="P007UNIMONTES">'AÇÕES E PROGRAMAS'!$DI$5:$DI$11</definedName>
    <definedName name="P008IPSM">'AÇÕES E PROGRAMAS'!$CA$9:$CA$10</definedName>
    <definedName name="P010ARSAE">'AÇÕES E PROGRAMAS'!$E$5:$E$9</definedName>
    <definedName name="P011SEC.GERAL">'AÇÕES E PROGRAMAS'!$DC$5</definedName>
    <definedName name="P015EPAMIG">'AÇÕES E PROGRAMAS'!$Y$6:$Y$8</definedName>
    <definedName name="P016EPAMIG">'AÇÕES E PROGRAMAS'!$Y$10:$Y$15</definedName>
    <definedName name="P018SECOM">'AÇÕES E PROGRAMAS'!$CR$5:$CR$7</definedName>
    <definedName name="P019FHEMIG">'AÇÕES E PROGRAMAS'!$AL$5:$AL$11</definedName>
    <definedName name="P021FHIDRO">'AÇÕES E PROGRAMAS'!$AZ$8</definedName>
    <definedName name="P021SEMAD">'AÇÕES E PROGRAMAS'!$DA$7:$DA$9</definedName>
    <definedName name="P022FAPEMIG">'AÇÕES E PROGRAMAS'!$AE$6:$AE$10</definedName>
    <definedName name="P023SEDESE">'AÇÕES E PROGRAMAS'!$CU$21:$CU$25</definedName>
    <definedName name="P025SEMAD">'AÇÕES E PROGRAMAS'!$DA$11:$DA$14</definedName>
    <definedName name="P026UEMG">'AÇÕES E PROGRAMAS'!$DH$5:$DH$10</definedName>
    <definedName name="P027FHIDRO">'AÇÕES E PROGRAMAS'!$AZ$10:$AZ$12</definedName>
    <definedName name="P027SEMAD">'AÇÕES E PROGRAMAS'!$DA$16:$DA$18</definedName>
    <definedName name="P028ESPMG">'AÇÕES E PROGRAMAS'!$AB$5:$AB$6</definedName>
    <definedName name="P029JUCEMG">'AÇÕES E PROGRAMAS'!$CF$5:$CF$6</definedName>
    <definedName name="P031FHIDRO">'AÇÕES E PROGRAMAS'!$AZ$14</definedName>
    <definedName name="P031IEF">'AÇÕES E PROGRAMAS'!$CB$6:$CB$12</definedName>
    <definedName name="P032PCMG">'AÇÕES E PROGRAMAS'!$CL$7:$CL$17</definedName>
    <definedName name="P033SEF">'AÇÕES E PROGRAMAS'!$CW$7:$CW$11</definedName>
    <definedName name="P034GMG">'AÇÕES E PROGRAMAS'!$BU$10</definedName>
    <definedName name="P036PCMG">'AÇÕES E PROGRAMAS'!$CL$19:$CL$20</definedName>
    <definedName name="P037PCMG">'AÇÕES E PROGRAMAS'!$CL$22:$CL$24</definedName>
    <definedName name="P038SEF">'AÇÕES E PROGRAMAS'!$CW$13:$CW$23</definedName>
    <definedName name="P039IPSEMG">'AÇÕES E PROGRAMAS'!$BZ$7:$BZ$11</definedName>
    <definedName name="P040FEAM">'AÇÕES E PROGRAMAS'!$AI$6:$AI$7</definedName>
    <definedName name="P041FEAM">'AÇÕES E PROGRAMAS'!$AI$9:$AI$10</definedName>
    <definedName name="P042FHA">'AÇÕES E PROGRAMAS'!$AK$10:$AK$16</definedName>
    <definedName name="P043AGE">'AÇÕES E PROGRAMAS'!$A$6:$A$8</definedName>
    <definedName name="P043SEE">'AÇÕES E PROGRAMAS'!$CV$16</definedName>
    <definedName name="P044AGE">'AÇÕES E PROGRAMAS'!$A$10:$A$12</definedName>
    <definedName name="P045SEF">'AÇÕES E PROGRAMAS'!$CW$25:$CW$30</definedName>
    <definedName name="P046GMG">'AÇÕES E PROGRAMAS'!$BU$12</definedName>
    <definedName name="P046IEF">'AÇÕES E PROGRAMAS'!$CB$14</definedName>
    <definedName name="P046PMMG">'AÇÕES E PROGRAMAS'!$CM$9</definedName>
    <definedName name="P047CBMMG">'AÇÕES E PROGRAMAS'!$S$7</definedName>
    <definedName name="P047DER">'AÇÕES E PROGRAMAS'!$U$6</definedName>
    <definedName name="P047GMG">'AÇÕES E PROGRAMAS'!$BU$14</definedName>
    <definedName name="P047IGAM">'AÇÕES E PROGRAMAS'!$CE$6</definedName>
    <definedName name="P047SEINFRA">'AÇÕES E PROGRAMAS'!$CY$9</definedName>
    <definedName name="P048GMG">'AÇÕES E PROGRAMAS'!$BU$16:$BU$19</definedName>
    <definedName name="P048PMMG">'AÇÕES E PROGRAMAS'!$CM$11</definedName>
    <definedName name="P049GMG">'AÇÕES E PROGRAMAS'!$BU$21</definedName>
    <definedName name="P050GMG">'AÇÕES E PROGRAMAS'!$BU$23</definedName>
    <definedName name="P051FHA">'AÇÕES E PROGRAMAS'!$AK$18:$AK$20</definedName>
    <definedName name="P052CBMMG">'AÇÕES E PROGRAMAS'!$S$9:$S$21</definedName>
    <definedName name="P053CBMMG">'AÇÕES E PROGRAMAS'!$S$23</definedName>
    <definedName name="P054OGE">'AÇÕES E PROGRAMAS'!$CJ$6:$CJ$12</definedName>
    <definedName name="P055OGE">'AÇÕES E PROGRAMAS'!$CJ$14:$CJ$20</definedName>
    <definedName name="P056IDENE">'AÇÕES E PROGRAMAS'!$BW$6:$BW$10</definedName>
    <definedName name="P056SEDE">'AÇÕES E PROGRAMAS'!$CT$9</definedName>
    <definedName name="P058FES">'AÇÕES E PROGRAMAS'!$BN$13:$BN$16</definedName>
    <definedName name="P059FES">'AÇÕES E PROGRAMAS'!$BN$18:$BN$22</definedName>
    <definedName name="P060FES">'AÇÕES E PROGRAMAS'!$BN$24:$BN$27</definedName>
    <definedName name="P061FES">'AÇÕES E PROGRAMAS'!$BN$29:$BN$32</definedName>
    <definedName name="P062FES">'AÇÕES E PROGRAMAS'!$BN$34:$BN$38</definedName>
    <definedName name="P063FES">'AÇÕES E PROGRAMAS'!$BN$40:$BN$45</definedName>
    <definedName name="P064FES">'AÇÕES E PROGRAMAS'!$BN$47:$BN$48</definedName>
    <definedName name="P065FHIDRO">'AÇÕES E PROGRAMAS'!$AZ$16:$AZ$19</definedName>
    <definedName name="P065IGAM">'AÇÕES E PROGRAMAS'!$CE$8:$CE$15</definedName>
    <definedName name="P066SEDESE">'AÇÕES E PROGRAMAS'!$CU$27:$CU$29</definedName>
    <definedName name="P067SEDESE">'AÇÕES E PROGRAMAS'!$CU$31</definedName>
    <definedName name="P067UTRAMIG">'AÇÕES E PROGRAMAS'!$AG$5</definedName>
    <definedName name="P068FES">'AÇÕES E PROGRAMAS'!$BN$50</definedName>
    <definedName name="P068SEDESE">'AÇÕES E PROGRAMAS'!$CU$33:$CU$35</definedName>
    <definedName name="P069SEDESE">'AÇÕES E PROGRAMAS'!$CU$37:$CU$45</definedName>
    <definedName name="P070SEDESE">'AÇÕES E PROGRAMAS'!$CU$47:$CU$55</definedName>
    <definedName name="P071FEAS">'AÇÕES E PROGRAMAS'!$BE$5:$BE$13</definedName>
    <definedName name="P071SEDESE">'AÇÕES E PROGRAMAS'!$CU$57</definedName>
    <definedName name="P073SEDESE">'AÇÕES E PROGRAMAS'!$CU$59:$CU$61</definedName>
    <definedName name="P074SEDESE">'AÇÕES E PROGRAMAS'!$CU$63:$CU$65</definedName>
    <definedName name="P075FHA">'AÇÕES E PROGRAMAS'!$AK$22:$AK$23</definedName>
    <definedName name="P076FHA">'AÇÕES E PROGRAMAS'!$AK$25:$AK$26</definedName>
    <definedName name="P077ARMBH">'AÇÕES E PROGRAMAS'!$B$5:$B$6</definedName>
    <definedName name="P077ARMVA">'AÇÕES E PROGRAMAS'!$C$6:$C$7</definedName>
    <definedName name="P077FDM">'AÇÕES E PROGRAMAS'!$AT$4:$AT$6</definedName>
    <definedName name="P078IMA">'AÇÕES E PROGRAMAS'!$CD$9:$CD$14</definedName>
    <definedName name="P080IMA">'AÇÕES E PROGRAMAS'!$CD$16:$CD$18</definedName>
    <definedName name="P081DER">'AÇÕES E PROGRAMAS'!$U$8:$U$18</definedName>
    <definedName name="P081SEINFRA">'AÇÕES E PROGRAMAS'!$CY$11</definedName>
    <definedName name="P082FUNTRANS">'AÇÕES E PROGRAMAS'!$BH$5:$BH$10</definedName>
    <definedName name="P083FEAS">'AÇÕES E PROGRAMAS'!$BE$15</definedName>
    <definedName name="P083SEDESE">'AÇÕES E PROGRAMAS'!$CU$67:$CU$70</definedName>
    <definedName name="P084SEDESE">'AÇÕES E PROGRAMAS'!$CU$72:$CU$74</definedName>
    <definedName name="P085ARTEMIG">'AÇÕES E PROGRAMAS'!$DJ$4:$DJ$14</definedName>
    <definedName name="P085SEINFRA">'AÇÕES E PROGRAMAS'!$DJ$4:$DJ$14</definedName>
    <definedName name="P086SEDESE">'AÇÕES E PROGRAMAS'!$CU$76:$CU$78</definedName>
    <definedName name="P087HEMOMINAS">'AÇÕES E PROGRAMAS'!$AC$5:$AC$7</definedName>
    <definedName name="P088IPSEMG">'AÇÕES E PROGRAMAS'!$BZ$13:$BZ$15</definedName>
    <definedName name="P089FHA">'AÇÕES E PROGRAMAS'!$AK$28:$AK$29</definedName>
    <definedName name="P090EMATER">'AÇÕES E PROGRAMAS'!$X$8</definedName>
    <definedName name="P091FJP">'AÇÕES E PROGRAMAS'!$AM$8:$AM$15</definedName>
    <definedName name="P093FJP">'AÇÕES E PROGRAMAS'!$AM$17</definedName>
    <definedName name="P095FJP">'AÇÕES E PROGRAMAS'!$AM$19:$AM$21</definedName>
    <definedName name="P096FJP">'AÇÕES E PROGRAMAS'!$AM$23:$AM$25</definedName>
    <definedName name="P097EMATER">'AÇÕES E PROGRAMAS'!$X$10:$X$11</definedName>
    <definedName name="P099SEINFRA">'AÇÕES E PROGRAMAS'!$CY$13:$CY$22</definedName>
    <definedName name="P100SECULT">'AÇÕES E PROGRAMAS'!$CS$9:$CS$13</definedName>
    <definedName name="P102EMC">'AÇÕES E PROGRAMAS'!$Z$6</definedName>
    <definedName name="P102FAOP">'AÇÕES E PROGRAMAS'!$AF$8:$AF$9</definedName>
    <definedName name="P102FCS">'AÇÕES E PROGRAMAS'!$AD$10</definedName>
    <definedName name="P102IEPHA">'AÇÕES E PROGRAMAS'!$CC$8:$CC$11</definedName>
    <definedName name="P102SECULT">'AÇÕES E PROGRAMAS'!$CS$15:$CS$18</definedName>
    <definedName name="P103FAOP">'AÇÕES E PROGRAMAS'!$AF$11</definedName>
    <definedName name="P103FCS">'AÇÕES E PROGRAMAS'!$AD$12:$AD$15</definedName>
    <definedName name="P103IEPHA">'AÇÕES E PROGRAMAS'!$CC$13</definedName>
    <definedName name="P103SECULT">'AÇÕES E PROGRAMAS'!$CS$20:$CS$22</definedName>
    <definedName name="P104FUCAM">'AÇÕES E PROGRAMAS'!$AH$10:$AH$14</definedName>
    <definedName name="P105FAOP">'AÇÕES E PROGRAMAS'!$AF$13</definedName>
    <definedName name="P105FCS">'AÇÕES E PROGRAMAS'!$AD$17</definedName>
    <definedName name="P105IEPHA">'AÇÕES E PROGRAMAS'!$CC$15</definedName>
    <definedName name="P105SECULT">'AÇÕES E PROGRAMAS'!$CS$24:$CS$25</definedName>
    <definedName name="P106FAOP">'AÇÕES E PROGRAMAS'!$AF$15:$AF$16</definedName>
    <definedName name="P106IEPHA">'AÇÕES E PROGRAMAS'!$CC$17:$CC$20</definedName>
    <definedName name="P106SECULT">'AÇÕES E PROGRAMAS'!$CS$27:$CS$29</definedName>
    <definedName name="P108EMATER">'AÇÕES E PROGRAMAS'!$X$13</definedName>
    <definedName name="P108IMA">'AÇÕES E PROGRAMAS'!$CD$20</definedName>
    <definedName name="P108SEAPA">'AÇÕES E PROGRAMAS'!$CQ$12:$CQ$15</definedName>
    <definedName name="P109SEGOV">'AÇÕES E PROGRAMAS'!$CX$9</definedName>
    <definedName name="P110EMATER">'AÇÕES E PROGRAMAS'!$X$15</definedName>
    <definedName name="P110SEAPA">'AÇÕES E PROGRAMAS'!$CQ$17</definedName>
    <definedName name="P111SEAPA">'AÇÕES E PROGRAMAS'!$CQ$19:$CQ$22</definedName>
    <definedName name="P112IMA">'AÇÕES E PROGRAMAS'!$CD$22</definedName>
    <definedName name="P112SEAPA">'AÇÕES E PROGRAMAS'!$CQ$24:$CQ$28</definedName>
    <definedName name="P113SEAPA">'AÇÕES E PROGRAMAS'!$CQ$30:$CQ$31</definedName>
    <definedName name="P114SEAPA">'AÇÕES E PROGRAMAS'!$CQ$33:$CQ$37</definedName>
    <definedName name="P115SEGOV">'AÇÕES E PROGRAMAS'!$CX$11</definedName>
    <definedName name="P116SEAPA">'AÇÕES E PROGRAMAS'!$CQ$39:$CQ$40</definedName>
    <definedName name="P117SEINFRA">'AÇÕES E PROGRAMAS'!$CY$24:$CY$27</definedName>
    <definedName name="P118IMA">'AÇÕES E PROGRAMAS'!$CD$24</definedName>
    <definedName name="P118SEAPA">'AÇÕES E PROGRAMAS'!$CQ$42</definedName>
    <definedName name="P119SEGOV">'AÇÕES E PROGRAMAS'!$CX$13:$CX$16</definedName>
    <definedName name="P120SEGOV">'AÇÕES E PROGRAMAS'!$CX$18</definedName>
    <definedName name="P121EMC">'AÇÕES E PROGRAMAS'!$Z$8:$Z$16</definedName>
    <definedName name="P121TVMINAS">'AÇÕES E PROGRAMAS'!$AN$5:$AN$7</definedName>
    <definedName name="P122SEGOV">'AÇÕES E PROGRAMAS'!$CX$20:$CX$22</definedName>
    <definedName name="P124IDENE">'AÇÕES E PROGRAMAS'!$BW$12:$BW$15</definedName>
    <definedName name="P125ARMVA">'AÇÕES E PROGRAMAS'!$C$9</definedName>
    <definedName name="P125SEDE">'AÇÕES E PROGRAMAS'!$CT$11:$CT$16</definedName>
    <definedName name="P126LEMG">'AÇÕES E PROGRAMAS'!$CG$5</definedName>
    <definedName name="P128SEINFRA">'AÇÕES E PROGRAMAS'!$CY$29</definedName>
    <definedName name="P129SEJUSP">'AÇÕES E PROGRAMAS'!$CZ$9:$CZ$10</definedName>
    <definedName name="P130SEJUSP">'AÇÕES E PROGRAMAS'!$CZ$12:$CZ$17</definedName>
    <definedName name="P131SCC">'AÇÕES E PROGRAMAS'!$CP$8:$CP$12</definedName>
    <definedName name="P132SEDE">'AÇÕES E PROGRAMAS'!$CT$18:$CT$21</definedName>
    <definedName name="P133SEDE">'AÇÕES E PROGRAMAS'!$CT$23:$CT$31</definedName>
    <definedName name="P134SEJUSP">'AÇÕES E PROGRAMAS'!$CZ$19:$CZ$24</definedName>
    <definedName name="P135PMMG">'AÇÕES E PROGRAMAS'!$CM$13:$CM$14</definedName>
    <definedName name="P136PMMG">'AÇÕES E PROGRAMAS'!$CM$16:$CM$17</definedName>
    <definedName name="P137PMMG">'AÇÕES E PROGRAMAS'!$CM$19:$CM$24</definedName>
    <definedName name="P138FUNAPEC">'AÇÕES E PROGRAMAS'!$AQ$5</definedName>
    <definedName name="P138IPSEMG">'AÇÕES E PROGRAMAS'!$BZ$17</definedName>
    <definedName name="P141SEJUSP">'AÇÕES E PROGRAMAS'!$CZ$26:$CZ$27</definedName>
    <definedName name="P143FAPEMIG">'AÇÕES E PROGRAMAS'!$AE$12:$AE$16</definedName>
    <definedName name="P143SEDE">'AÇÕES E PROGRAMAS'!$CT$33:$CT$34</definedName>
    <definedName name="P146SEJUSP">'AÇÕES E PROGRAMAS'!$CZ$29:$CZ$31</definedName>
    <definedName name="P147SEPLAG">'AÇÕES E PROGRAMAS'!$DB$13:$DB$17</definedName>
    <definedName name="P148SEDESE">'AÇÕES E PROGRAMAS'!$CU$80:$CU$82</definedName>
    <definedName name="P149SEPLAG">'AÇÕES E PROGRAMAS'!$DB$19:$DB$24</definedName>
    <definedName name="P150FUNED">'AÇÕES E PROGRAMAS'!$AJ$8</definedName>
    <definedName name="P151SEPLAG">'AÇÕES E PROGRAMAS'!$DB$26:$DB$28</definedName>
    <definedName name="P152FUNED">'AÇÕES E PROGRAMAS'!$AJ$10</definedName>
    <definedName name="P153FUNED">'AÇÕES E PROGRAMAS'!$AJ$12</definedName>
    <definedName name="P154FUNED">'AÇÕES E PROGRAMAS'!$AJ$14:$AJ$15</definedName>
    <definedName name="P155SEPLAG">'AÇÕES E PROGRAMAS'!$DB$30:$DB$31</definedName>
    <definedName name="P156SEPLAG">'AÇÕES E PROGRAMAS'!$DB$33:$DB$36</definedName>
    <definedName name="P157SEPLAG">'AÇÕES E PROGRAMAS'!$DB$38:$DB$39</definedName>
    <definedName name="P159SEPLAG">'AÇÕES E PROGRAMAS'!$DB$41:$DB$42</definedName>
    <definedName name="P160SEPLAG">'AÇÕES E PROGRAMAS'!$DB$44:$DB$47</definedName>
    <definedName name="P161SEPLAG">'AÇÕES E PROGRAMAS'!$DB$49:$DB$53</definedName>
    <definedName name="P162SEE">'AÇÕES E PROGRAMAS'!$CV$18:$CV$37</definedName>
    <definedName name="P163FHA">'AÇÕES E PROGRAMAS'!$AK$31</definedName>
    <definedName name="P163SEE">'AÇÕES E PROGRAMAS'!$CV$39:$CV$41</definedName>
    <definedName name="P164SEE">'AÇÕES E PROGRAMAS'!$CV$43</definedName>
    <definedName name="P165SEE">'AÇÕES E PROGRAMAS'!$CV$45:$CV$48</definedName>
    <definedName name="P166FES">'AÇÕES E PROGRAMAS'!$BN$52:$BN$58</definedName>
    <definedName name="P167SEE">'AÇÕES E PROGRAMAS'!$CV$50:$CV$67</definedName>
    <definedName name="P168SEE">'AÇÕES E PROGRAMAS'!$CV$69:$CV$81</definedName>
    <definedName name="P169SEE">'AÇÕES E PROGRAMAS'!$CV$83:$CV$85</definedName>
    <definedName name="P170SEE">'AÇÕES E PROGRAMAS'!$CV$87:$CV$95</definedName>
    <definedName name="P172SEE">'AÇÕES E PROGRAMAS'!$CV$97:$CV$101</definedName>
    <definedName name="P705AGE">'AÇÕES E PROGRAMAS'!$A$14:$A$16</definedName>
    <definedName name="P705ARMBH">'AÇÕES E PROGRAMAS'!$B$8:$B$10</definedName>
    <definedName name="P705ARMVA">'AÇÕES E PROGRAMAS'!$C$11:$C$13</definedName>
    <definedName name="P705ARSAE">'AÇÕES E PROGRAMAS'!$E$11:$E$13</definedName>
    <definedName name="P705CBMMG">'AÇÕES E PROGRAMAS'!$S$25:$S$28</definedName>
    <definedName name="P705CGE">'AÇÕES E PROGRAMAS'!$Q$24:$Q$25</definedName>
    <definedName name="P705DER">'AÇÕES E PROGRAMAS'!$U$20:$U$22</definedName>
    <definedName name="P705EMATER">'AÇÕES E PROGRAMAS'!$X$17:$X$19</definedName>
    <definedName name="P705EMC">'AÇÕES E PROGRAMAS'!$Z$18:$Z$19</definedName>
    <definedName name="P705EPAMIG">'AÇÕES E PROGRAMAS'!$Y$17:$Y$19</definedName>
    <definedName name="P705ESPMG">'AÇÕES E PROGRAMAS'!$AB$8:$AB$9</definedName>
    <definedName name="P705FAOP">'AÇÕES E PROGRAMAS'!$AF$18:$AF$20</definedName>
    <definedName name="P705FAPEMIG">'AÇÕES E PROGRAMAS'!$AE$18:$AE$21</definedName>
    <definedName name="P705FCS">'AÇÕES E PROGRAMAS'!$AD$19:$AD$21</definedName>
    <definedName name="P705FEAM">'AÇÕES E PROGRAMAS'!$AI$12:$AI$14</definedName>
    <definedName name="P705FES">'AÇÕES E PROGRAMAS'!$BN$60:$BN$63</definedName>
    <definedName name="P705FHA">'AÇÕES E PROGRAMAS'!$AK$33:$AK$34</definedName>
    <definedName name="P705FHEMIG">'AÇÕES E PROGRAMAS'!$AL$13:$AL$15</definedName>
    <definedName name="P705FHIDRO">'AÇÕES E PROGRAMAS'!$AZ$21</definedName>
    <definedName name="P705FJP">'AÇÕES E PROGRAMAS'!$AM$27:$AM$29</definedName>
    <definedName name="P705FUCAM">'AÇÕES E PROGRAMAS'!$AH$16:$AH$18</definedName>
    <definedName name="P705FUNAPEC">'AÇÕES E PROGRAMAS'!$AQ$7</definedName>
    <definedName name="P705FUNED">'AÇÕES E PROGRAMAS'!$AJ$17:$AJ$19</definedName>
    <definedName name="P705FUNTRANS">'AÇÕES E PROGRAMAS'!$BH$12</definedName>
    <definedName name="P705GMG">'AÇÕES E PROGRAMAS'!$BU$25:$BU$26</definedName>
    <definedName name="P705HEMOMINAS">'AÇÕES E PROGRAMAS'!$AC$9:$AC$10</definedName>
    <definedName name="P705IDENE">'AÇÕES E PROGRAMAS'!$BW$17:$BW$18</definedName>
    <definedName name="P705IEF">'AÇÕES E PROGRAMAS'!$CB$16:$CB$18</definedName>
    <definedName name="P705IEPHA">'AÇÕES E PROGRAMAS'!$CC$22:$CC$24</definedName>
    <definedName name="P705IGAM">'AÇÕES E PROGRAMAS'!$CE$17:$CE$19</definedName>
    <definedName name="P705IMA">'AÇÕES E PROGRAMAS'!$CD$26:$CD$28</definedName>
    <definedName name="P705IPSEMG">'AÇÕES E PROGRAMAS'!$BZ$19:$BZ$23</definedName>
    <definedName name="P705IPSM">'AÇÕES E PROGRAMAS'!$CA$12:$CA$16</definedName>
    <definedName name="P705JUCEMG">'AÇÕES E PROGRAMAS'!$CF$8:$CF$10</definedName>
    <definedName name="P705LEMG">'AÇÕES E PROGRAMAS'!$CG$7:$CG$9</definedName>
    <definedName name="P705OGE">'AÇÕES E PROGRAMAS'!$CJ$22:$CJ$23</definedName>
    <definedName name="P705PCMG">'AÇÕES E PROGRAMAS'!$CL$26:$CL$28</definedName>
    <definedName name="P705PMMG">'AÇÕES E PROGRAMAS'!$CM$26:$CM$28</definedName>
    <definedName name="P705SCC">'AÇÕES E PROGRAMAS'!$CP$14:$CP$15</definedName>
    <definedName name="P705SEAPA">'AÇÕES E PROGRAMAS'!$CQ$44:$CQ$45</definedName>
    <definedName name="P705SEC.GERAL">'AÇÕES E PROGRAMAS'!$DC$7:$DC$8</definedName>
    <definedName name="P705SECOM">'AÇÕES E PROGRAMAS'!$CR$9:$CR$10</definedName>
    <definedName name="P705SECULT">'AÇÕES E PROGRAMAS'!$CS$31:$CS$32</definedName>
    <definedName name="P705SEDE">'AÇÕES E PROGRAMAS'!$CT$36:$CT$37</definedName>
    <definedName name="P705SEDESE">'AÇÕES E PROGRAMAS'!$CU$84:$CU$85</definedName>
    <definedName name="P705SEF">'AÇÕES E PROGRAMAS'!$CW$32:$CW$33</definedName>
    <definedName name="P705SEGOV">'AÇÕES E PROGRAMAS'!$CX$24:$CX$25</definedName>
    <definedName name="P705SEINFRA">'AÇÕES E PROGRAMAS'!$CY$31:$CY$32</definedName>
    <definedName name="P705SEJUSP">'AÇÕES E PROGRAMAS'!$CZ$33:$CZ$34</definedName>
    <definedName name="P705SEMAD">'AÇÕES E PROGRAMAS'!$DA$20:$DA$22</definedName>
    <definedName name="P705SEPLAG">'AÇÕES E PROGRAMAS'!$DB$55:$DB$56</definedName>
    <definedName name="P705TVMINAS">'AÇÕES E PROGRAMAS'!$AN$9:$AN$11</definedName>
    <definedName name="P705UEMG">'AÇÕES E PROGRAMAS'!$DH$12:$DH$14</definedName>
    <definedName name="P705UNIMONTES">'AÇÕES E PROGRAMAS'!$DI$13:$DI$16</definedName>
    <definedName name="P705UTRAMIG">'AÇÕES E PROGRAMAS'!$AG$7:$AG$9</definedName>
    <definedName name="PCMGPROG">'AÇÕES E PROGRAMAS'!$CL$2:$CL$5</definedName>
    <definedName name="PMMGPROG">'AÇÕES E PROGRAMAS'!$CM$2:$CM$7</definedName>
    <definedName name="SCCPROG">'AÇÕES E PROGRAMAS'!$CP$2:$CP$4</definedName>
    <definedName name="SEAPAPROG">'AÇÕES E PROGRAMAS'!$CQ$2:$CQ$10</definedName>
    <definedName name="SEC.GERALPROG">'AÇÕES E PROGRAMAS'!$DC$2:$DC$3</definedName>
    <definedName name="SECOMPROG">'AÇÕES E PROGRAMAS'!$CR$2:$CR$3</definedName>
    <definedName name="SECULTPROG">'AÇÕES E PROGRAMAS'!$CS$2:$CS$7</definedName>
    <definedName name="SEDEPROG">'AÇÕES E PROGRAMAS'!$CT$2:$CT$7</definedName>
    <definedName name="SEDESEPROG">'AÇÕES E PROGRAMAS'!$CU$2:$CU$16</definedName>
    <definedName name="SEEPROG">'AÇÕES E PROGRAMAS'!$CV$2:$CV$12</definedName>
    <definedName name="SEFPROG">'AÇÕES E PROGRAMAS'!$CW$2:$CW$5</definedName>
    <definedName name="SEGOVPROG">'AÇÕES E PROGRAMAS'!$CX$2:$CX$7</definedName>
    <definedName name="SEINFRAPROG">'AÇÕES E PROGRAMAS'!$CY$2:$CY$7</definedName>
    <definedName name="SEJUSPPROG">'AÇÕES E PROGRAMAS'!$CZ$2:$CZ$7</definedName>
    <definedName name="SEJUSPROG">'AÇÕES E PROGRAMAS'!$CZ$2:$CZ$7</definedName>
    <definedName name="SEMADPROG">'AÇÕES E PROGRAMAS'!$DA$2:$DA$5</definedName>
    <definedName name="SEPLAGPROG">'AÇÕES E PROGRAMAS'!$DB$2:$DB$11</definedName>
    <definedName name="TVMINASPROG">'AÇÕES E PROGRAMAS'!$AN$2:$AN$3</definedName>
    <definedName name="UEMGPROG">'AÇÕES E PROGRAMAS'!$DH$2:$DH$3</definedName>
    <definedName name="UNIMONTESPROG">'AÇÕES E PROGRAMAS'!$DI$2:$DI$3</definedName>
    <definedName name="UTRAMIGPROG">'AÇÕES E PROGRAMAS'!$AG$2:$AG$3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4" i="28" l="1"/>
  <c r="G304" i="28"/>
  <c r="K304" i="28"/>
  <c r="M304" i="28"/>
  <c r="V304" i="28"/>
  <c r="AF304" i="28"/>
  <c r="E305" i="28"/>
  <c r="G305" i="28"/>
  <c r="K305" i="28"/>
  <c r="M305" i="28"/>
  <c r="V305" i="28"/>
  <c r="AF305" i="28"/>
  <c r="E306" i="28"/>
  <c r="G306" i="28"/>
  <c r="K306" i="28"/>
  <c r="M306" i="28"/>
  <c r="V306" i="28"/>
  <c r="AF306" i="28"/>
  <c r="E307" i="28"/>
  <c r="G307" i="28"/>
  <c r="K307" i="28"/>
  <c r="M307" i="28"/>
  <c r="V307" i="28"/>
  <c r="AF307" i="28"/>
  <c r="E308" i="28"/>
  <c r="G308" i="28"/>
  <c r="K308" i="28"/>
  <c r="M308" i="28"/>
  <c r="V308" i="28"/>
  <c r="AF308" i="28"/>
  <c r="E309" i="28"/>
  <c r="G309" i="28"/>
  <c r="K309" i="28"/>
  <c r="M309" i="28"/>
  <c r="V309" i="28"/>
  <c r="AF309" i="28"/>
  <c r="E310" i="28"/>
  <c r="G310" i="28"/>
  <c r="K310" i="28"/>
  <c r="M310" i="28"/>
  <c r="V310" i="28"/>
  <c r="AF310" i="28"/>
  <c r="E311" i="28"/>
  <c r="G311" i="28"/>
  <c r="K311" i="28"/>
  <c r="M311" i="28"/>
  <c r="V311" i="28"/>
  <c r="AF311" i="28"/>
  <c r="E312" i="28"/>
  <c r="G312" i="28"/>
  <c r="K312" i="28"/>
  <c r="M312" i="28"/>
  <c r="V312" i="28"/>
  <c r="AF312" i="28"/>
  <c r="E313" i="28"/>
  <c r="G313" i="28"/>
  <c r="K313" i="28"/>
  <c r="M313" i="28"/>
  <c r="V313" i="28"/>
  <c r="AF313" i="28"/>
  <c r="E314" i="28"/>
  <c r="G314" i="28"/>
  <c r="K314" i="28"/>
  <c r="M314" i="28"/>
  <c r="V314" i="28"/>
  <c r="AF314" i="28"/>
  <c r="E315" i="28"/>
  <c r="G315" i="28"/>
  <c r="K315" i="28"/>
  <c r="M315" i="28"/>
  <c r="V315" i="28"/>
  <c r="AF315" i="28"/>
  <c r="E316" i="28"/>
  <c r="G316" i="28"/>
  <c r="K316" i="28"/>
  <c r="M316" i="28"/>
  <c r="V316" i="28"/>
  <c r="AF316" i="28"/>
  <c r="E317" i="28"/>
  <c r="G317" i="28"/>
  <c r="K317" i="28"/>
  <c r="M317" i="28"/>
  <c r="V317" i="28"/>
  <c r="AF317" i="28"/>
  <c r="E318" i="28"/>
  <c r="G318" i="28"/>
  <c r="K318" i="28"/>
  <c r="M318" i="28"/>
  <c r="V318" i="28"/>
  <c r="AF318" i="28"/>
  <c r="E319" i="28"/>
  <c r="G319" i="28"/>
  <c r="K319" i="28"/>
  <c r="M319" i="28"/>
  <c r="V319" i="28"/>
  <c r="AF319" i="28"/>
  <c r="E320" i="28"/>
  <c r="G320" i="28"/>
  <c r="K320" i="28"/>
  <c r="M320" i="28"/>
  <c r="V320" i="28"/>
  <c r="AF320" i="28"/>
  <c r="E321" i="28"/>
  <c r="G321" i="28"/>
  <c r="K321" i="28"/>
  <c r="M321" i="28"/>
  <c r="V321" i="28"/>
  <c r="AF321" i="28"/>
  <c r="E322" i="28"/>
  <c r="G322" i="28"/>
  <c r="K322" i="28"/>
  <c r="M322" i="28"/>
  <c r="V322" i="28"/>
  <c r="AF322" i="28"/>
  <c r="E323" i="28"/>
  <c r="G323" i="28"/>
  <c r="K323" i="28"/>
  <c r="M323" i="28"/>
  <c r="V323" i="28"/>
  <c r="AF323" i="28"/>
  <c r="E324" i="28"/>
  <c r="G324" i="28"/>
  <c r="K324" i="28"/>
  <c r="M324" i="28"/>
  <c r="V324" i="28"/>
  <c r="AF324" i="28"/>
  <c r="E325" i="28"/>
  <c r="G325" i="28"/>
  <c r="K325" i="28"/>
  <c r="M325" i="28"/>
  <c r="V325" i="28"/>
  <c r="AF325" i="28"/>
  <c r="E326" i="28"/>
  <c r="G326" i="28"/>
  <c r="K326" i="28"/>
  <c r="M326" i="28"/>
  <c r="V326" i="28"/>
  <c r="AF326" i="28"/>
  <c r="E327" i="28"/>
  <c r="G327" i="28"/>
  <c r="K327" i="28"/>
  <c r="M327" i="28"/>
  <c r="V327" i="28"/>
  <c r="AF327" i="28"/>
  <c r="E328" i="28"/>
  <c r="G328" i="28"/>
  <c r="K328" i="28"/>
  <c r="M328" i="28"/>
  <c r="V328" i="28"/>
  <c r="AF328" i="28"/>
  <c r="E329" i="28"/>
  <c r="G329" i="28"/>
  <c r="K329" i="28"/>
  <c r="M329" i="28"/>
  <c r="V329" i="28"/>
  <c r="AF329" i="28"/>
  <c r="E330" i="28"/>
  <c r="G330" i="28"/>
  <c r="K330" i="28"/>
  <c r="M330" i="28"/>
  <c r="V330" i="28"/>
  <c r="AF330" i="28"/>
  <c r="E331" i="28"/>
  <c r="G331" i="28"/>
  <c r="K331" i="28"/>
  <c r="M331" i="28"/>
  <c r="V331" i="28"/>
  <c r="AF331" i="28"/>
  <c r="E332" i="28"/>
  <c r="G332" i="28"/>
  <c r="K332" i="28"/>
  <c r="M332" i="28"/>
  <c r="V332" i="28"/>
  <c r="AF332" i="28"/>
  <c r="E333" i="28"/>
  <c r="G333" i="28"/>
  <c r="K333" i="28"/>
  <c r="M333" i="28"/>
  <c r="V333" i="28"/>
  <c r="AF333" i="28"/>
  <c r="E334" i="28"/>
  <c r="G334" i="28"/>
  <c r="K334" i="28"/>
  <c r="M334" i="28"/>
  <c r="V334" i="28"/>
  <c r="AF334" i="28"/>
  <c r="E335" i="28"/>
  <c r="G335" i="28"/>
  <c r="K335" i="28"/>
  <c r="M335" i="28"/>
  <c r="V335" i="28"/>
  <c r="AF335" i="28"/>
  <c r="E336" i="28"/>
  <c r="G336" i="28"/>
  <c r="K336" i="28"/>
  <c r="M336" i="28"/>
  <c r="V336" i="28"/>
  <c r="AF336" i="28"/>
  <c r="E337" i="28"/>
  <c r="G337" i="28"/>
  <c r="K337" i="28"/>
  <c r="M337" i="28"/>
  <c r="V337" i="28"/>
  <c r="AF337" i="28"/>
  <c r="E338" i="28"/>
  <c r="G338" i="28"/>
  <c r="K338" i="28"/>
  <c r="M338" i="28"/>
  <c r="V338" i="28"/>
  <c r="AF338" i="28"/>
  <c r="E339" i="28"/>
  <c r="G339" i="28"/>
  <c r="K339" i="28"/>
  <c r="M339" i="28"/>
  <c r="V339" i="28"/>
  <c r="AF339" i="28"/>
  <c r="E340" i="28"/>
  <c r="G340" i="28"/>
  <c r="K340" i="28"/>
  <c r="M340" i="28"/>
  <c r="V340" i="28"/>
  <c r="AF340" i="28"/>
  <c r="E341" i="28"/>
  <c r="G341" i="28"/>
  <c r="K341" i="28"/>
  <c r="M341" i="28"/>
  <c r="V341" i="28"/>
  <c r="AF341" i="28"/>
  <c r="E342" i="28"/>
  <c r="G342" i="28"/>
  <c r="K342" i="28"/>
  <c r="M342" i="28"/>
  <c r="V342" i="28"/>
  <c r="AF342" i="28"/>
  <c r="E343" i="28"/>
  <c r="G343" i="28"/>
  <c r="K343" i="28"/>
  <c r="M343" i="28"/>
  <c r="V343" i="28"/>
  <c r="AF343" i="28"/>
  <c r="E344" i="28"/>
  <c r="G344" i="28"/>
  <c r="K344" i="28"/>
  <c r="M344" i="28"/>
  <c r="V344" i="28"/>
  <c r="AF344" i="28"/>
  <c r="E345" i="28"/>
  <c r="G345" i="28"/>
  <c r="K345" i="28"/>
  <c r="M345" i="28"/>
  <c r="V345" i="28"/>
  <c r="AF345" i="28"/>
  <c r="E346" i="28"/>
  <c r="G346" i="28"/>
  <c r="K346" i="28"/>
  <c r="M346" i="28"/>
  <c r="V346" i="28"/>
  <c r="AF346" i="28"/>
  <c r="E347" i="28"/>
  <c r="G347" i="28"/>
  <c r="K347" i="28"/>
  <c r="M347" i="28"/>
  <c r="V347" i="28"/>
  <c r="AF347" i="28"/>
  <c r="E348" i="28"/>
  <c r="G348" i="28"/>
  <c r="K348" i="28"/>
  <c r="M348" i="28"/>
  <c r="V348" i="28"/>
  <c r="AF348" i="28"/>
  <c r="E349" i="28"/>
  <c r="G349" i="28"/>
  <c r="K349" i="28"/>
  <c r="M349" i="28"/>
  <c r="V349" i="28"/>
  <c r="AF349" i="28"/>
  <c r="E350" i="28"/>
  <c r="G350" i="28"/>
  <c r="K350" i="28"/>
  <c r="M350" i="28"/>
  <c r="V350" i="28"/>
  <c r="AF350" i="28"/>
  <c r="E351" i="28"/>
  <c r="G351" i="28"/>
  <c r="K351" i="28"/>
  <c r="M351" i="28"/>
  <c r="V351" i="28"/>
  <c r="AF351" i="28"/>
  <c r="E352" i="28"/>
  <c r="G352" i="28"/>
  <c r="K352" i="28"/>
  <c r="M352" i="28"/>
  <c r="V352" i="28"/>
  <c r="AF352" i="28"/>
  <c r="E353" i="28"/>
  <c r="G353" i="28"/>
  <c r="K353" i="28"/>
  <c r="M353" i="28"/>
  <c r="V353" i="28"/>
  <c r="AF353" i="28"/>
  <c r="E354" i="28"/>
  <c r="G354" i="28"/>
  <c r="K354" i="28"/>
  <c r="M354" i="28"/>
  <c r="V354" i="28"/>
  <c r="AF354" i="28"/>
  <c r="E355" i="28"/>
  <c r="G355" i="28"/>
  <c r="K355" i="28"/>
  <c r="M355" i="28"/>
  <c r="V355" i="28"/>
  <c r="AF355" i="28"/>
  <c r="E356" i="28"/>
  <c r="G356" i="28"/>
  <c r="K356" i="28"/>
  <c r="M356" i="28"/>
  <c r="V356" i="28"/>
  <c r="AF356" i="28"/>
  <c r="E357" i="28"/>
  <c r="G357" i="28"/>
  <c r="K357" i="28"/>
  <c r="M357" i="28"/>
  <c r="V357" i="28"/>
  <c r="AF357" i="28"/>
  <c r="E358" i="28"/>
  <c r="G358" i="28"/>
  <c r="K358" i="28"/>
  <c r="M358" i="28"/>
  <c r="V358" i="28"/>
  <c r="AF358" i="28"/>
  <c r="E359" i="28"/>
  <c r="G359" i="28"/>
  <c r="K359" i="28"/>
  <c r="M359" i="28"/>
  <c r="V359" i="28"/>
  <c r="AF359" i="28"/>
  <c r="E360" i="28"/>
  <c r="G360" i="28"/>
  <c r="K360" i="28"/>
  <c r="M360" i="28"/>
  <c r="V360" i="28"/>
  <c r="AF360" i="28"/>
  <c r="E361" i="28"/>
  <c r="G361" i="28"/>
  <c r="K361" i="28"/>
  <c r="M361" i="28"/>
  <c r="V361" i="28"/>
  <c r="AF361" i="28"/>
  <c r="E362" i="28"/>
  <c r="G362" i="28"/>
  <c r="K362" i="28"/>
  <c r="M362" i="28"/>
  <c r="V362" i="28"/>
  <c r="AF362" i="28"/>
  <c r="E363" i="28"/>
  <c r="G363" i="28"/>
  <c r="K363" i="28"/>
  <c r="M363" i="28"/>
  <c r="V363" i="28"/>
  <c r="AF363" i="28"/>
  <c r="E364" i="28"/>
  <c r="G364" i="28"/>
  <c r="K364" i="28"/>
  <c r="M364" i="28"/>
  <c r="V364" i="28"/>
  <c r="AF364" i="28"/>
  <c r="E365" i="28"/>
  <c r="G365" i="28"/>
  <c r="K365" i="28"/>
  <c r="M365" i="28"/>
  <c r="V365" i="28"/>
  <c r="AF365" i="28"/>
  <c r="E366" i="28"/>
  <c r="G366" i="28"/>
  <c r="K366" i="28"/>
  <c r="M366" i="28"/>
  <c r="V366" i="28"/>
  <c r="AF366" i="28"/>
  <c r="E367" i="28"/>
  <c r="G367" i="28"/>
  <c r="K367" i="28"/>
  <c r="M367" i="28"/>
  <c r="V367" i="28"/>
  <c r="AF367" i="28"/>
  <c r="E368" i="28"/>
  <c r="G368" i="28"/>
  <c r="K368" i="28"/>
  <c r="M368" i="28"/>
  <c r="V368" i="28"/>
  <c r="AF368" i="28"/>
  <c r="E369" i="28"/>
  <c r="G369" i="28"/>
  <c r="K369" i="28"/>
  <c r="M369" i="28"/>
  <c r="V369" i="28"/>
  <c r="AF369" i="28"/>
  <c r="E370" i="28"/>
  <c r="G370" i="28"/>
  <c r="K370" i="28"/>
  <c r="M370" i="28"/>
  <c r="V370" i="28"/>
  <c r="AF370" i="28"/>
  <c r="E371" i="28"/>
  <c r="G371" i="28"/>
  <c r="K371" i="28"/>
  <c r="M371" i="28"/>
  <c r="V371" i="28"/>
  <c r="AF371" i="28"/>
  <c r="E372" i="28"/>
  <c r="G372" i="28"/>
  <c r="K372" i="28"/>
  <c r="M372" i="28"/>
  <c r="V372" i="28"/>
  <c r="AF372" i="28"/>
  <c r="E373" i="28"/>
  <c r="G373" i="28"/>
  <c r="K373" i="28"/>
  <c r="M373" i="28"/>
  <c r="V373" i="28"/>
  <c r="AF373" i="28"/>
  <c r="E374" i="28"/>
  <c r="G374" i="28"/>
  <c r="K374" i="28"/>
  <c r="M374" i="28"/>
  <c r="V374" i="28"/>
  <c r="AF374" i="28"/>
  <c r="E375" i="28"/>
  <c r="G375" i="28"/>
  <c r="K375" i="28"/>
  <c r="M375" i="28"/>
  <c r="V375" i="28"/>
  <c r="AF375" i="28"/>
  <c r="E376" i="28"/>
  <c r="G376" i="28"/>
  <c r="K376" i="28"/>
  <c r="M376" i="28"/>
  <c r="V376" i="28"/>
  <c r="AF376" i="28"/>
  <c r="E377" i="28"/>
  <c r="G377" i="28"/>
  <c r="K377" i="28"/>
  <c r="M377" i="28"/>
  <c r="V377" i="28"/>
  <c r="AF377" i="28"/>
  <c r="E378" i="28"/>
  <c r="G378" i="28"/>
  <c r="K378" i="28"/>
  <c r="M378" i="28"/>
  <c r="V378" i="28"/>
  <c r="AF378" i="28"/>
  <c r="E379" i="28"/>
  <c r="G379" i="28"/>
  <c r="K379" i="28"/>
  <c r="M379" i="28"/>
  <c r="V379" i="28"/>
  <c r="AF379" i="28"/>
  <c r="E380" i="28"/>
  <c r="G380" i="28"/>
  <c r="K380" i="28"/>
  <c r="M380" i="28"/>
  <c r="V380" i="28"/>
  <c r="AF380" i="28"/>
  <c r="E381" i="28"/>
  <c r="G381" i="28"/>
  <c r="K381" i="28"/>
  <c r="M381" i="28"/>
  <c r="V381" i="28"/>
  <c r="AF381" i="28"/>
  <c r="E382" i="28"/>
  <c r="G382" i="28"/>
  <c r="K382" i="28"/>
  <c r="M382" i="28"/>
  <c r="V382" i="28"/>
  <c r="AF382" i="28"/>
  <c r="E383" i="28"/>
  <c r="G383" i="28"/>
  <c r="K383" i="28"/>
  <c r="M383" i="28"/>
  <c r="V383" i="28"/>
  <c r="AF383" i="28"/>
  <c r="E384" i="28"/>
  <c r="G384" i="28"/>
  <c r="K384" i="28"/>
  <c r="M384" i="28"/>
  <c r="V384" i="28"/>
  <c r="AF384" i="28"/>
  <c r="E385" i="28"/>
  <c r="G385" i="28"/>
  <c r="K385" i="28"/>
  <c r="M385" i="28"/>
  <c r="V385" i="28"/>
  <c r="AF385" i="28"/>
  <c r="E386" i="28"/>
  <c r="G386" i="28"/>
  <c r="K386" i="28"/>
  <c r="M386" i="28"/>
  <c r="V386" i="28"/>
  <c r="AF386" i="28"/>
  <c r="E387" i="28"/>
  <c r="G387" i="28"/>
  <c r="K387" i="28"/>
  <c r="M387" i="28"/>
  <c r="V387" i="28"/>
  <c r="AF387" i="28"/>
  <c r="E388" i="28"/>
  <c r="G388" i="28"/>
  <c r="K388" i="28"/>
  <c r="M388" i="28"/>
  <c r="V388" i="28"/>
  <c r="AF388" i="28"/>
  <c r="E389" i="28"/>
  <c r="G389" i="28"/>
  <c r="K389" i="28"/>
  <c r="M389" i="28"/>
  <c r="V389" i="28"/>
  <c r="AF389" i="28"/>
  <c r="E390" i="28"/>
  <c r="G390" i="28"/>
  <c r="K390" i="28"/>
  <c r="M390" i="28"/>
  <c r="V390" i="28"/>
  <c r="AF390" i="28"/>
  <c r="E391" i="28"/>
  <c r="G391" i="28"/>
  <c r="K391" i="28"/>
  <c r="M391" i="28"/>
  <c r="V391" i="28"/>
  <c r="AF391" i="28"/>
  <c r="E392" i="28"/>
  <c r="G392" i="28"/>
  <c r="K392" i="28"/>
  <c r="M392" i="28"/>
  <c r="V392" i="28"/>
  <c r="AF392" i="28"/>
  <c r="E393" i="28"/>
  <c r="G393" i="28"/>
  <c r="K393" i="28"/>
  <c r="M393" i="28"/>
  <c r="V393" i="28"/>
  <c r="AF393" i="28"/>
  <c r="E394" i="28"/>
  <c r="G394" i="28"/>
  <c r="K394" i="28"/>
  <c r="M394" i="28"/>
  <c r="V394" i="28"/>
  <c r="AF394" i="28"/>
  <c r="E395" i="28"/>
  <c r="G395" i="28"/>
  <c r="K395" i="28"/>
  <c r="M395" i="28"/>
  <c r="V395" i="28"/>
  <c r="AF395" i="28"/>
  <c r="E396" i="28"/>
  <c r="G396" i="28"/>
  <c r="K396" i="28"/>
  <c r="M396" i="28"/>
  <c r="V396" i="28"/>
  <c r="AF396" i="28"/>
  <c r="E397" i="28"/>
  <c r="G397" i="28"/>
  <c r="K397" i="28"/>
  <c r="M397" i="28"/>
  <c r="V397" i="28"/>
  <c r="AF397" i="28"/>
  <c r="E398" i="28"/>
  <c r="G398" i="28"/>
  <c r="K398" i="28"/>
  <c r="M398" i="28"/>
  <c r="V398" i="28"/>
  <c r="AF398" i="28"/>
  <c r="E399" i="28"/>
  <c r="G399" i="28"/>
  <c r="K399" i="28"/>
  <c r="M399" i="28"/>
  <c r="V399" i="28"/>
  <c r="AF399" i="28"/>
  <c r="E400" i="28"/>
  <c r="G400" i="28"/>
  <c r="K400" i="28"/>
  <c r="M400" i="28"/>
  <c r="V400" i="28"/>
  <c r="AF400" i="28"/>
  <c r="E401" i="28"/>
  <c r="G401" i="28"/>
  <c r="K401" i="28"/>
  <c r="M401" i="28"/>
  <c r="V401" i="28"/>
  <c r="AF401" i="28"/>
  <c r="E402" i="28"/>
  <c r="G402" i="28"/>
  <c r="K402" i="28"/>
  <c r="M402" i="28"/>
  <c r="V402" i="28"/>
  <c r="AF402" i="28"/>
  <c r="E403" i="28"/>
  <c r="G403" i="28"/>
  <c r="K403" i="28"/>
  <c r="M403" i="28"/>
  <c r="V403" i="28"/>
  <c r="AF403" i="28"/>
  <c r="E404" i="28"/>
  <c r="G404" i="28"/>
  <c r="K404" i="28"/>
  <c r="M404" i="28"/>
  <c r="V404" i="28"/>
  <c r="AF404" i="28"/>
  <c r="E405" i="28"/>
  <c r="G405" i="28"/>
  <c r="K405" i="28"/>
  <c r="M405" i="28"/>
  <c r="V405" i="28"/>
  <c r="AF405" i="28"/>
  <c r="E406" i="28"/>
  <c r="G406" i="28"/>
  <c r="K406" i="28"/>
  <c r="M406" i="28"/>
  <c r="V406" i="28"/>
  <c r="AF406" i="28"/>
  <c r="E407" i="28"/>
  <c r="G407" i="28"/>
  <c r="K407" i="28"/>
  <c r="M407" i="28"/>
  <c r="V407" i="28"/>
  <c r="AF407" i="28"/>
  <c r="E408" i="28"/>
  <c r="G408" i="28"/>
  <c r="K408" i="28"/>
  <c r="M408" i="28"/>
  <c r="V408" i="28"/>
  <c r="AF408" i="28"/>
  <c r="E409" i="28"/>
  <c r="G409" i="28"/>
  <c r="K409" i="28"/>
  <c r="M409" i="28"/>
  <c r="V409" i="28"/>
  <c r="AF409" i="28"/>
  <c r="E410" i="28"/>
  <c r="G410" i="28"/>
  <c r="K410" i="28"/>
  <c r="M410" i="28"/>
  <c r="V410" i="28"/>
  <c r="AF410" i="28"/>
  <c r="E411" i="28"/>
  <c r="G411" i="28"/>
  <c r="K411" i="28"/>
  <c r="M411" i="28"/>
  <c r="V411" i="28"/>
  <c r="AF411" i="28"/>
  <c r="E412" i="28"/>
  <c r="G412" i="28"/>
  <c r="K412" i="28"/>
  <c r="M412" i="28"/>
  <c r="V412" i="28"/>
  <c r="AF412" i="28"/>
  <c r="E413" i="28"/>
  <c r="G413" i="28"/>
  <c r="K413" i="28"/>
  <c r="M413" i="28"/>
  <c r="V413" i="28"/>
  <c r="AF413" i="28"/>
  <c r="E414" i="28"/>
  <c r="G414" i="28"/>
  <c r="K414" i="28"/>
  <c r="M414" i="28"/>
  <c r="V414" i="28"/>
  <c r="AF414" i="28"/>
  <c r="E415" i="28"/>
  <c r="G415" i="28"/>
  <c r="K415" i="28"/>
  <c r="M415" i="28"/>
  <c r="V415" i="28"/>
  <c r="AF415" i="28"/>
  <c r="E416" i="28"/>
  <c r="G416" i="28"/>
  <c r="K416" i="28"/>
  <c r="M416" i="28"/>
  <c r="V416" i="28"/>
  <c r="AF416" i="28"/>
  <c r="E417" i="28"/>
  <c r="G417" i="28"/>
  <c r="K417" i="28"/>
  <c r="M417" i="28"/>
  <c r="V417" i="28"/>
  <c r="AF417" i="28"/>
  <c r="E418" i="28"/>
  <c r="G418" i="28"/>
  <c r="K418" i="28"/>
  <c r="M418" i="28"/>
  <c r="V418" i="28"/>
  <c r="AF418" i="28"/>
  <c r="E419" i="28"/>
  <c r="G419" i="28"/>
  <c r="K419" i="28"/>
  <c r="M419" i="28"/>
  <c r="V419" i="28"/>
  <c r="AF419" i="28"/>
  <c r="E420" i="28"/>
  <c r="G420" i="28"/>
  <c r="K420" i="28"/>
  <c r="M420" i="28"/>
  <c r="V420" i="28"/>
  <c r="AF420" i="28"/>
  <c r="E421" i="28"/>
  <c r="G421" i="28"/>
  <c r="K421" i="28"/>
  <c r="M421" i="28"/>
  <c r="V421" i="28"/>
  <c r="AF421" i="28"/>
  <c r="E422" i="28"/>
  <c r="G422" i="28"/>
  <c r="K422" i="28"/>
  <c r="M422" i="28"/>
  <c r="V422" i="28"/>
  <c r="AF422" i="28"/>
  <c r="E423" i="28"/>
  <c r="G423" i="28"/>
  <c r="K423" i="28"/>
  <c r="M423" i="28"/>
  <c r="V423" i="28"/>
  <c r="AF423" i="28"/>
  <c r="E424" i="28"/>
  <c r="G424" i="28"/>
  <c r="K424" i="28"/>
  <c r="M424" i="28"/>
  <c r="V424" i="28"/>
  <c r="AF424" i="28"/>
  <c r="E425" i="28"/>
  <c r="G425" i="28"/>
  <c r="K425" i="28"/>
  <c r="M425" i="28"/>
  <c r="V425" i="28"/>
  <c r="AF425" i="28"/>
  <c r="E426" i="28"/>
  <c r="G426" i="28"/>
  <c r="K426" i="28"/>
  <c r="M426" i="28"/>
  <c r="V426" i="28"/>
  <c r="AF426" i="28"/>
  <c r="E427" i="28"/>
  <c r="G427" i="28"/>
  <c r="K427" i="28"/>
  <c r="M427" i="28"/>
  <c r="V427" i="28"/>
  <c r="AF427" i="28"/>
  <c r="E428" i="28"/>
  <c r="G428" i="28"/>
  <c r="K428" i="28"/>
  <c r="M428" i="28"/>
  <c r="V428" i="28"/>
  <c r="AF428" i="28"/>
  <c r="E429" i="28"/>
  <c r="G429" i="28"/>
  <c r="K429" i="28"/>
  <c r="M429" i="28"/>
  <c r="V429" i="28"/>
  <c r="AF429" i="28"/>
  <c r="E430" i="28"/>
  <c r="G430" i="28"/>
  <c r="K430" i="28"/>
  <c r="M430" i="28"/>
  <c r="V430" i="28"/>
  <c r="AF430" i="28"/>
  <c r="E431" i="28"/>
  <c r="G431" i="28"/>
  <c r="K431" i="28"/>
  <c r="M431" i="28"/>
  <c r="V431" i="28"/>
  <c r="AF431" i="28"/>
  <c r="E432" i="28"/>
  <c r="G432" i="28"/>
  <c r="K432" i="28"/>
  <c r="M432" i="28"/>
  <c r="V432" i="28"/>
  <c r="AF432" i="28"/>
  <c r="E433" i="28"/>
  <c r="G433" i="28"/>
  <c r="K433" i="28"/>
  <c r="M433" i="28"/>
  <c r="V433" i="28"/>
  <c r="AF433" i="28"/>
  <c r="E434" i="28"/>
  <c r="G434" i="28"/>
  <c r="K434" i="28"/>
  <c r="M434" i="28"/>
  <c r="V434" i="28"/>
  <c r="AF434" i="28"/>
  <c r="E435" i="28"/>
  <c r="G435" i="28"/>
  <c r="K435" i="28"/>
  <c r="M435" i="28"/>
  <c r="V435" i="28"/>
  <c r="AF435" i="28"/>
  <c r="E436" i="28"/>
  <c r="G436" i="28"/>
  <c r="K436" i="28"/>
  <c r="M436" i="28"/>
  <c r="V436" i="28"/>
  <c r="AF436" i="28"/>
  <c r="E437" i="28"/>
  <c r="G437" i="28"/>
  <c r="K437" i="28"/>
  <c r="M437" i="28"/>
  <c r="V437" i="28"/>
  <c r="AF437" i="28"/>
  <c r="E438" i="28"/>
  <c r="G438" i="28"/>
  <c r="K438" i="28"/>
  <c r="M438" i="28"/>
  <c r="V438" i="28"/>
  <c r="AF438" i="28"/>
  <c r="E439" i="28"/>
  <c r="G439" i="28"/>
  <c r="K439" i="28"/>
  <c r="M439" i="28"/>
  <c r="V439" i="28"/>
  <c r="AF439" i="28"/>
  <c r="E440" i="28"/>
  <c r="G440" i="28"/>
  <c r="K440" i="28"/>
  <c r="M440" i="28"/>
  <c r="V440" i="28"/>
  <c r="AF440" i="28"/>
  <c r="E441" i="28"/>
  <c r="G441" i="28"/>
  <c r="K441" i="28"/>
  <c r="M441" i="28"/>
  <c r="V441" i="28"/>
  <c r="AF441" i="28"/>
  <c r="E442" i="28"/>
  <c r="G442" i="28"/>
  <c r="K442" i="28"/>
  <c r="M442" i="28"/>
  <c r="V442" i="28"/>
  <c r="AF442" i="28"/>
  <c r="E443" i="28"/>
  <c r="G443" i="28"/>
  <c r="K443" i="28"/>
  <c r="M443" i="28"/>
  <c r="V443" i="28"/>
  <c r="AF443" i="28"/>
  <c r="E444" i="28"/>
  <c r="G444" i="28"/>
  <c r="K444" i="28"/>
  <c r="M444" i="28"/>
  <c r="V444" i="28"/>
  <c r="AF444" i="28"/>
  <c r="E445" i="28"/>
  <c r="G445" i="28"/>
  <c r="K445" i="28"/>
  <c r="M445" i="28"/>
  <c r="V445" i="28"/>
  <c r="AF445" i="28"/>
  <c r="E446" i="28"/>
  <c r="G446" i="28"/>
  <c r="K446" i="28"/>
  <c r="M446" i="28"/>
  <c r="V446" i="28"/>
  <c r="AF446" i="28"/>
  <c r="E447" i="28"/>
  <c r="G447" i="28"/>
  <c r="K447" i="28"/>
  <c r="M447" i="28"/>
  <c r="V447" i="28"/>
  <c r="AF447" i="28"/>
  <c r="E448" i="28"/>
  <c r="G448" i="28"/>
  <c r="K448" i="28"/>
  <c r="M448" i="28"/>
  <c r="V448" i="28"/>
  <c r="AF448" i="28"/>
  <c r="E449" i="28"/>
  <c r="G449" i="28"/>
  <c r="K449" i="28"/>
  <c r="M449" i="28"/>
  <c r="V449" i="28"/>
  <c r="AF449" i="28"/>
  <c r="E450" i="28"/>
  <c r="G450" i="28"/>
  <c r="K450" i="28"/>
  <c r="M450" i="28"/>
  <c r="V450" i="28"/>
  <c r="AF450" i="28"/>
  <c r="E451" i="28"/>
  <c r="G451" i="28"/>
  <c r="K451" i="28"/>
  <c r="M451" i="28"/>
  <c r="V451" i="28"/>
  <c r="AF451" i="28"/>
  <c r="E452" i="28"/>
  <c r="G452" i="28"/>
  <c r="K452" i="28"/>
  <c r="M452" i="28"/>
  <c r="V452" i="28"/>
  <c r="AF452" i="28"/>
  <c r="E453" i="28"/>
  <c r="G453" i="28"/>
  <c r="K453" i="28"/>
  <c r="M453" i="28"/>
  <c r="V453" i="28"/>
  <c r="AF453" i="28"/>
  <c r="E454" i="28"/>
  <c r="G454" i="28"/>
  <c r="K454" i="28"/>
  <c r="M454" i="28"/>
  <c r="V454" i="28"/>
  <c r="AF454" i="28"/>
  <c r="E455" i="28"/>
  <c r="G455" i="28"/>
  <c r="K455" i="28"/>
  <c r="M455" i="28"/>
  <c r="V455" i="28"/>
  <c r="AF455" i="28"/>
  <c r="E456" i="28"/>
  <c r="G456" i="28"/>
  <c r="K456" i="28"/>
  <c r="M456" i="28"/>
  <c r="V456" i="28"/>
  <c r="AF456" i="28"/>
  <c r="E457" i="28"/>
  <c r="G457" i="28"/>
  <c r="K457" i="28"/>
  <c r="M457" i="28"/>
  <c r="V457" i="28"/>
  <c r="AF457" i="28"/>
  <c r="E458" i="28"/>
  <c r="G458" i="28"/>
  <c r="K458" i="28"/>
  <c r="M458" i="28"/>
  <c r="V458" i="28"/>
  <c r="AF458" i="28"/>
  <c r="E459" i="28"/>
  <c r="G459" i="28"/>
  <c r="K459" i="28"/>
  <c r="M459" i="28"/>
  <c r="V459" i="28"/>
  <c r="AF459" i="28"/>
  <c r="E460" i="28"/>
  <c r="G460" i="28"/>
  <c r="K460" i="28"/>
  <c r="M460" i="28"/>
  <c r="V460" i="28"/>
  <c r="AF460" i="28"/>
  <c r="E461" i="28"/>
  <c r="G461" i="28"/>
  <c r="K461" i="28"/>
  <c r="M461" i="28"/>
  <c r="V461" i="28"/>
  <c r="AF461" i="28"/>
  <c r="E462" i="28"/>
  <c r="G462" i="28"/>
  <c r="K462" i="28"/>
  <c r="M462" i="28"/>
  <c r="V462" i="28"/>
  <c r="AF462" i="28"/>
  <c r="E463" i="28"/>
  <c r="G463" i="28"/>
  <c r="K463" i="28"/>
  <c r="M463" i="28"/>
  <c r="V463" i="28"/>
  <c r="AF463" i="28"/>
  <c r="E464" i="28"/>
  <c r="G464" i="28"/>
  <c r="K464" i="28"/>
  <c r="M464" i="28"/>
  <c r="V464" i="28"/>
  <c r="AF464" i="28"/>
  <c r="E465" i="28"/>
  <c r="G465" i="28"/>
  <c r="K465" i="28"/>
  <c r="M465" i="28"/>
  <c r="V465" i="28"/>
  <c r="AF465" i="28"/>
  <c r="E466" i="28"/>
  <c r="G466" i="28"/>
  <c r="K466" i="28"/>
  <c r="M466" i="28"/>
  <c r="V466" i="28"/>
  <c r="AF466" i="28"/>
  <c r="E467" i="28"/>
  <c r="G467" i="28"/>
  <c r="K467" i="28"/>
  <c r="M467" i="28"/>
  <c r="V467" i="28"/>
  <c r="AF467" i="28"/>
  <c r="E468" i="28"/>
  <c r="G468" i="28"/>
  <c r="K468" i="28"/>
  <c r="M468" i="28"/>
  <c r="V468" i="28"/>
  <c r="AF468" i="28"/>
  <c r="E469" i="28"/>
  <c r="G469" i="28"/>
  <c r="K469" i="28"/>
  <c r="M469" i="28"/>
  <c r="V469" i="28"/>
  <c r="AF469" i="28"/>
  <c r="E470" i="28"/>
  <c r="G470" i="28"/>
  <c r="K470" i="28"/>
  <c r="M470" i="28"/>
  <c r="V470" i="28"/>
  <c r="AF470" i="28"/>
  <c r="E471" i="28"/>
  <c r="G471" i="28"/>
  <c r="K471" i="28"/>
  <c r="M471" i="28"/>
  <c r="V471" i="28"/>
  <c r="AF471" i="28"/>
  <c r="E472" i="28"/>
  <c r="G472" i="28"/>
  <c r="K472" i="28"/>
  <c r="M472" i="28"/>
  <c r="V472" i="28"/>
  <c r="AF472" i="28"/>
  <c r="E473" i="28"/>
  <c r="G473" i="28"/>
  <c r="K473" i="28"/>
  <c r="M473" i="28"/>
  <c r="V473" i="28"/>
  <c r="AF473" i="28"/>
  <c r="E474" i="28"/>
  <c r="G474" i="28"/>
  <c r="K474" i="28"/>
  <c r="M474" i="28"/>
  <c r="V474" i="28"/>
  <c r="AF474" i="28"/>
  <c r="E475" i="28"/>
  <c r="G475" i="28"/>
  <c r="K475" i="28"/>
  <c r="M475" i="28"/>
  <c r="V475" i="28"/>
  <c r="AF475" i="28"/>
  <c r="E476" i="28"/>
  <c r="G476" i="28"/>
  <c r="K476" i="28"/>
  <c r="M476" i="28"/>
  <c r="V476" i="28"/>
  <c r="AF476" i="28"/>
  <c r="E477" i="28"/>
  <c r="G477" i="28"/>
  <c r="K477" i="28"/>
  <c r="M477" i="28"/>
  <c r="V477" i="28"/>
  <c r="AF477" i="28"/>
  <c r="E478" i="28"/>
  <c r="G478" i="28"/>
  <c r="K478" i="28"/>
  <c r="M478" i="28"/>
  <c r="V478" i="28"/>
  <c r="AF478" i="28"/>
  <c r="E479" i="28"/>
  <c r="G479" i="28"/>
  <c r="K479" i="28"/>
  <c r="M479" i="28"/>
  <c r="V479" i="28"/>
  <c r="AF479" i="28"/>
  <c r="E480" i="28"/>
  <c r="G480" i="28"/>
  <c r="K480" i="28"/>
  <c r="M480" i="28"/>
  <c r="V480" i="28"/>
  <c r="AF480" i="28"/>
  <c r="E481" i="28"/>
  <c r="G481" i="28"/>
  <c r="K481" i="28"/>
  <c r="M481" i="28"/>
  <c r="V481" i="28"/>
  <c r="AF481" i="28"/>
  <c r="E482" i="28"/>
  <c r="G482" i="28"/>
  <c r="K482" i="28"/>
  <c r="M482" i="28"/>
  <c r="V482" i="28"/>
  <c r="AF482" i="28"/>
  <c r="E483" i="28"/>
  <c r="G483" i="28"/>
  <c r="K483" i="28"/>
  <c r="M483" i="28"/>
  <c r="V483" i="28"/>
  <c r="AF483" i="28"/>
  <c r="E484" i="28"/>
  <c r="G484" i="28"/>
  <c r="K484" i="28"/>
  <c r="M484" i="28"/>
  <c r="V484" i="28"/>
  <c r="AF484" i="28"/>
  <c r="E485" i="28"/>
  <c r="G485" i="28"/>
  <c r="K485" i="28"/>
  <c r="M485" i="28"/>
  <c r="V485" i="28"/>
  <c r="AF485" i="28"/>
  <c r="E486" i="28"/>
  <c r="G486" i="28"/>
  <c r="K486" i="28"/>
  <c r="M486" i="28"/>
  <c r="V486" i="28"/>
  <c r="AF486" i="28"/>
  <c r="E487" i="28"/>
  <c r="G487" i="28"/>
  <c r="K487" i="28"/>
  <c r="M487" i="28"/>
  <c r="V487" i="28"/>
  <c r="AF487" i="28"/>
  <c r="E488" i="28"/>
  <c r="G488" i="28"/>
  <c r="K488" i="28"/>
  <c r="M488" i="28"/>
  <c r="V488" i="28"/>
  <c r="AF488" i="28"/>
  <c r="E489" i="28"/>
  <c r="G489" i="28"/>
  <c r="K489" i="28"/>
  <c r="M489" i="28"/>
  <c r="V489" i="28"/>
  <c r="AF489" i="28"/>
  <c r="E490" i="28"/>
  <c r="G490" i="28"/>
  <c r="K490" i="28"/>
  <c r="M490" i="28"/>
  <c r="V490" i="28"/>
  <c r="AF490" i="28"/>
  <c r="E491" i="28"/>
  <c r="G491" i="28"/>
  <c r="K491" i="28"/>
  <c r="M491" i="28"/>
  <c r="V491" i="28"/>
  <c r="AF491" i="28"/>
  <c r="E492" i="28"/>
  <c r="G492" i="28"/>
  <c r="K492" i="28"/>
  <c r="M492" i="28"/>
  <c r="V492" i="28"/>
  <c r="AF492" i="28"/>
  <c r="E493" i="28"/>
  <c r="G493" i="28"/>
  <c r="K493" i="28"/>
  <c r="M493" i="28"/>
  <c r="V493" i="28"/>
  <c r="AF493" i="28"/>
  <c r="E494" i="28"/>
  <c r="G494" i="28"/>
  <c r="K494" i="28"/>
  <c r="M494" i="28"/>
  <c r="V494" i="28"/>
  <c r="AF494" i="28"/>
  <c r="E495" i="28"/>
  <c r="G495" i="28"/>
  <c r="K495" i="28"/>
  <c r="M495" i="28"/>
  <c r="V495" i="28"/>
  <c r="AF495" i="28"/>
  <c r="E496" i="28"/>
  <c r="G496" i="28"/>
  <c r="K496" i="28"/>
  <c r="M496" i="28"/>
  <c r="V496" i="28"/>
  <c r="AF496" i="28"/>
  <c r="E497" i="28"/>
  <c r="G497" i="28"/>
  <c r="K497" i="28"/>
  <c r="M497" i="28"/>
  <c r="V497" i="28"/>
  <c r="AF497" i="28"/>
  <c r="E498" i="28"/>
  <c r="G498" i="28"/>
  <c r="K498" i="28"/>
  <c r="M498" i="28"/>
  <c r="V498" i="28"/>
  <c r="AF498" i="28"/>
  <c r="E499" i="28"/>
  <c r="G499" i="28"/>
  <c r="K499" i="28"/>
  <c r="M499" i="28"/>
  <c r="V499" i="28"/>
  <c r="AF499" i="28"/>
  <c r="E500" i="28"/>
  <c r="G500" i="28"/>
  <c r="K500" i="28"/>
  <c r="V500" i="28"/>
  <c r="AF500" i="28"/>
  <c r="E501" i="28"/>
  <c r="G501" i="28"/>
  <c r="K501" i="28"/>
  <c r="V501" i="28"/>
  <c r="AF501" i="28"/>
  <c r="E502" i="28"/>
  <c r="G502" i="28"/>
  <c r="K502" i="28"/>
  <c r="V502" i="28"/>
  <c r="AF502" i="28"/>
  <c r="E503" i="28"/>
  <c r="G503" i="28"/>
  <c r="K503" i="28"/>
  <c r="V503" i="28"/>
  <c r="AF503" i="28"/>
  <c r="E504" i="28"/>
  <c r="G504" i="28"/>
  <c r="K504" i="28"/>
  <c r="V504" i="28"/>
  <c r="AF504" i="28"/>
  <c r="E505" i="28"/>
  <c r="G505" i="28"/>
  <c r="K505" i="28"/>
  <c r="V505" i="28"/>
  <c r="AF505" i="28"/>
  <c r="E506" i="28"/>
  <c r="G506" i="28"/>
  <c r="K506" i="28"/>
  <c r="V506" i="28"/>
  <c r="AF506" i="28"/>
  <c r="E507" i="28"/>
  <c r="G507" i="28"/>
  <c r="K507" i="28"/>
  <c r="V507" i="28"/>
  <c r="AF507" i="28"/>
  <c r="E508" i="28"/>
  <c r="G508" i="28"/>
  <c r="K508" i="28"/>
  <c r="V508" i="28"/>
  <c r="AF508" i="28"/>
  <c r="E509" i="28"/>
  <c r="G509" i="28"/>
  <c r="K509" i="28"/>
  <c r="V509" i="28"/>
  <c r="AF509" i="28"/>
  <c r="E510" i="28"/>
  <c r="G510" i="28"/>
  <c r="K510" i="28"/>
  <c r="V510" i="28"/>
  <c r="AF510" i="28"/>
  <c r="E511" i="28"/>
  <c r="G511" i="28"/>
  <c r="K511" i="28"/>
  <c r="V511" i="28"/>
  <c r="AF511" i="28"/>
  <c r="E512" i="28"/>
  <c r="G512" i="28"/>
  <c r="K512" i="28"/>
  <c r="V512" i="28"/>
  <c r="AF512" i="28"/>
  <c r="E513" i="28"/>
  <c r="G513" i="28"/>
  <c r="K513" i="28"/>
  <c r="V513" i="28"/>
  <c r="AF513" i="28"/>
  <c r="E514" i="28"/>
  <c r="G514" i="28"/>
  <c r="K514" i="28"/>
  <c r="V514" i="28"/>
  <c r="AF514" i="28"/>
  <c r="E515" i="28"/>
  <c r="G515" i="28"/>
  <c r="K515" i="28"/>
  <c r="V515" i="28"/>
  <c r="AF515" i="28"/>
  <c r="E516" i="28"/>
  <c r="G516" i="28"/>
  <c r="K516" i="28"/>
  <c r="V516" i="28"/>
  <c r="AF516" i="28"/>
  <c r="E517" i="28"/>
  <c r="G517" i="28"/>
  <c r="K517" i="28"/>
  <c r="V517" i="28"/>
  <c r="AF517" i="28"/>
  <c r="E518" i="28"/>
  <c r="G518" i="28"/>
  <c r="K518" i="28"/>
  <c r="V518" i="28"/>
  <c r="AF518" i="28"/>
  <c r="E519" i="28"/>
  <c r="G519" i="28"/>
  <c r="K519" i="28"/>
  <c r="V519" i="28"/>
  <c r="AF519" i="28"/>
  <c r="E520" i="28"/>
  <c r="G520" i="28"/>
  <c r="K520" i="28"/>
  <c r="V520" i="28"/>
  <c r="AF520" i="28"/>
  <c r="E521" i="28"/>
  <c r="G521" i="28"/>
  <c r="K521" i="28"/>
  <c r="V521" i="28"/>
  <c r="AF521" i="28"/>
  <c r="E522" i="28"/>
  <c r="G522" i="28"/>
  <c r="K522" i="28"/>
  <c r="V522" i="28"/>
  <c r="AF522" i="28"/>
  <c r="E523" i="28"/>
  <c r="G523" i="28"/>
  <c r="K523" i="28"/>
  <c r="V523" i="28"/>
  <c r="AF523" i="28"/>
  <c r="E524" i="28"/>
  <c r="G524" i="28"/>
  <c r="K524" i="28"/>
  <c r="V524" i="28"/>
  <c r="AF524" i="28"/>
  <c r="E525" i="28"/>
  <c r="G525" i="28"/>
  <c r="K525" i="28"/>
  <c r="V525" i="28"/>
  <c r="AF525" i="28"/>
  <c r="E526" i="28"/>
  <c r="G526" i="28"/>
  <c r="K526" i="28"/>
  <c r="V526" i="28"/>
  <c r="AF526" i="28"/>
  <c r="E527" i="28"/>
  <c r="G527" i="28"/>
  <c r="K527" i="28"/>
  <c r="V527" i="28"/>
  <c r="AF527" i="28"/>
  <c r="E528" i="28"/>
  <c r="G528" i="28"/>
  <c r="K528" i="28"/>
  <c r="V528" i="28"/>
  <c r="AF528" i="28"/>
  <c r="E529" i="28"/>
  <c r="G529" i="28"/>
  <c r="K529" i="28"/>
  <c r="V529" i="28"/>
  <c r="AF529" i="28"/>
  <c r="E530" i="28"/>
  <c r="G530" i="28"/>
  <c r="K530" i="28"/>
  <c r="V530" i="28"/>
  <c r="AF530" i="28"/>
  <c r="E531" i="28"/>
  <c r="G531" i="28"/>
  <c r="K531" i="28"/>
  <c r="V531" i="28"/>
  <c r="AF531" i="28"/>
  <c r="E532" i="28"/>
  <c r="G532" i="28"/>
  <c r="K532" i="28"/>
  <c r="V532" i="28"/>
  <c r="AF532" i="28"/>
  <c r="E533" i="28"/>
  <c r="G533" i="28"/>
  <c r="K533" i="28"/>
  <c r="V533" i="28"/>
  <c r="AF533" i="28"/>
  <c r="E534" i="28"/>
  <c r="G534" i="28"/>
  <c r="K534" i="28"/>
  <c r="V534" i="28"/>
  <c r="AF534" i="28"/>
  <c r="E535" i="28"/>
  <c r="G535" i="28"/>
  <c r="K535" i="28"/>
  <c r="V535" i="28"/>
  <c r="AF535" i="28"/>
  <c r="E536" i="28"/>
  <c r="G536" i="28"/>
  <c r="K536" i="28"/>
  <c r="V536" i="28"/>
  <c r="AF536" i="28"/>
  <c r="E537" i="28"/>
  <c r="G537" i="28"/>
  <c r="K537" i="28"/>
  <c r="V537" i="28"/>
  <c r="AF537" i="28"/>
  <c r="E538" i="28"/>
  <c r="G538" i="28"/>
  <c r="K538" i="28"/>
  <c r="V538" i="28"/>
  <c r="AF538" i="28"/>
  <c r="E539" i="28"/>
  <c r="G539" i="28"/>
  <c r="K539" i="28"/>
  <c r="V539" i="28"/>
  <c r="AF539" i="28"/>
  <c r="E540" i="28"/>
  <c r="G540" i="28"/>
  <c r="K540" i="28"/>
  <c r="V540" i="28"/>
  <c r="AF540" i="28"/>
  <c r="E541" i="28"/>
  <c r="G541" i="28"/>
  <c r="K541" i="28"/>
  <c r="V541" i="28"/>
  <c r="AF541" i="28"/>
  <c r="E542" i="28"/>
  <c r="G542" i="28"/>
  <c r="K542" i="28"/>
  <c r="V542" i="28"/>
  <c r="AF542" i="28"/>
  <c r="E543" i="28"/>
  <c r="G543" i="28"/>
  <c r="K543" i="28"/>
  <c r="V543" i="28"/>
  <c r="AF543" i="28"/>
  <c r="E544" i="28"/>
  <c r="G544" i="28"/>
  <c r="K544" i="28"/>
  <c r="V544" i="28"/>
  <c r="AF544" i="28"/>
  <c r="E545" i="28"/>
  <c r="G545" i="28"/>
  <c r="K545" i="28"/>
  <c r="V545" i="28"/>
  <c r="AF545" i="28"/>
  <c r="E546" i="28"/>
  <c r="G546" i="28"/>
  <c r="K546" i="28"/>
  <c r="V546" i="28"/>
  <c r="AF546" i="28"/>
  <c r="E547" i="28"/>
  <c r="G547" i="28"/>
  <c r="K547" i="28"/>
  <c r="V547" i="28"/>
  <c r="AF547" i="28"/>
  <c r="E548" i="28"/>
  <c r="G548" i="28"/>
  <c r="K548" i="28"/>
  <c r="V548" i="28"/>
  <c r="AF548" i="28"/>
  <c r="E549" i="28"/>
  <c r="G549" i="28"/>
  <c r="K549" i="28"/>
  <c r="V549" i="28"/>
  <c r="AF549" i="28"/>
  <c r="E550" i="28"/>
  <c r="G550" i="28"/>
  <c r="K550" i="28"/>
  <c r="V550" i="28"/>
  <c r="AF550" i="28"/>
  <c r="E551" i="28"/>
  <c r="G551" i="28"/>
  <c r="K551" i="28"/>
  <c r="V551" i="28"/>
  <c r="AF551" i="28"/>
  <c r="E552" i="28"/>
  <c r="G552" i="28"/>
  <c r="K552" i="28"/>
  <c r="V552" i="28"/>
  <c r="AF552" i="28"/>
  <c r="E553" i="28"/>
  <c r="G553" i="28"/>
  <c r="K553" i="28"/>
  <c r="V553" i="28"/>
  <c r="AF553" i="28"/>
  <c r="E554" i="28"/>
  <c r="G554" i="28"/>
  <c r="K554" i="28"/>
  <c r="V554" i="28"/>
  <c r="AF554" i="28"/>
  <c r="E555" i="28"/>
  <c r="G555" i="28"/>
  <c r="K555" i="28"/>
  <c r="V555" i="28"/>
  <c r="AF555" i="28"/>
  <c r="E556" i="28"/>
  <c r="G556" i="28"/>
  <c r="K556" i="28"/>
  <c r="V556" i="28"/>
  <c r="AF556" i="28"/>
  <c r="E557" i="28"/>
  <c r="G557" i="28"/>
  <c r="K557" i="28"/>
  <c r="V557" i="28"/>
  <c r="AF557" i="28"/>
  <c r="E558" i="28"/>
  <c r="G558" i="28"/>
  <c r="K558" i="28"/>
  <c r="V558" i="28"/>
  <c r="AF558" i="28"/>
  <c r="E559" i="28"/>
  <c r="G559" i="28"/>
  <c r="K559" i="28"/>
  <c r="V559" i="28"/>
  <c r="AF559" i="28"/>
  <c r="E560" i="28"/>
  <c r="G560" i="28"/>
  <c r="K560" i="28"/>
  <c r="V560" i="28"/>
  <c r="AF560" i="28"/>
  <c r="E561" i="28"/>
  <c r="G561" i="28"/>
  <c r="K561" i="28"/>
  <c r="V561" i="28"/>
  <c r="AF561" i="28"/>
  <c r="E562" i="28"/>
  <c r="G562" i="28"/>
  <c r="K562" i="28"/>
  <c r="V562" i="28"/>
  <c r="AF562" i="28"/>
  <c r="E563" i="28"/>
  <c r="G563" i="28"/>
  <c r="K563" i="28"/>
  <c r="V563" i="28"/>
  <c r="AF563" i="28"/>
  <c r="E564" i="28"/>
  <c r="G564" i="28"/>
  <c r="K564" i="28"/>
  <c r="V564" i="28"/>
  <c r="AF564" i="28"/>
  <c r="E565" i="28"/>
  <c r="G565" i="28"/>
  <c r="K565" i="28"/>
  <c r="V565" i="28"/>
  <c r="AF565" i="28"/>
  <c r="E566" i="28"/>
  <c r="G566" i="28"/>
  <c r="K566" i="28"/>
  <c r="V566" i="28"/>
  <c r="AF566" i="28"/>
  <c r="E567" i="28"/>
  <c r="G567" i="28"/>
  <c r="K567" i="28"/>
  <c r="V567" i="28"/>
  <c r="AF567" i="28"/>
  <c r="E568" i="28"/>
  <c r="G568" i="28"/>
  <c r="K568" i="28"/>
  <c r="V568" i="28"/>
  <c r="AF568" i="28"/>
  <c r="E569" i="28"/>
  <c r="G569" i="28"/>
  <c r="K569" i="28"/>
  <c r="V569" i="28"/>
  <c r="AF569" i="28"/>
  <c r="E570" i="28"/>
  <c r="G570" i="28"/>
  <c r="K570" i="28"/>
  <c r="V570" i="28"/>
  <c r="AF570" i="28"/>
  <c r="E571" i="28"/>
  <c r="G571" i="28"/>
  <c r="K571" i="28"/>
  <c r="V571" i="28"/>
  <c r="AF571" i="28"/>
  <c r="E572" i="28"/>
  <c r="G572" i="28"/>
  <c r="K572" i="28"/>
  <c r="V572" i="28"/>
  <c r="AF572" i="28"/>
  <c r="E573" i="28"/>
  <c r="G573" i="28"/>
  <c r="K573" i="28"/>
  <c r="V573" i="28"/>
  <c r="AF573" i="28"/>
  <c r="E574" i="28"/>
  <c r="G574" i="28"/>
  <c r="K574" i="28"/>
  <c r="V574" i="28"/>
  <c r="AF574" i="28"/>
  <c r="E575" i="28"/>
  <c r="G575" i="28"/>
  <c r="K575" i="28"/>
  <c r="V575" i="28"/>
  <c r="AF575" i="28"/>
  <c r="E576" i="28"/>
  <c r="G576" i="28"/>
  <c r="K576" i="28"/>
  <c r="V576" i="28"/>
  <c r="AF576" i="28"/>
  <c r="E577" i="28"/>
  <c r="G577" i="28"/>
  <c r="K577" i="28"/>
  <c r="V577" i="28"/>
  <c r="AF577" i="28"/>
  <c r="E578" i="28"/>
  <c r="G578" i="28"/>
  <c r="K578" i="28"/>
  <c r="V578" i="28"/>
  <c r="AF578" i="28"/>
  <c r="E579" i="28"/>
  <c r="G579" i="28"/>
  <c r="K579" i="28"/>
  <c r="V579" i="28"/>
  <c r="AF579" i="28"/>
  <c r="E580" i="28"/>
  <c r="G580" i="28"/>
  <c r="K580" i="28"/>
  <c r="V580" i="28"/>
  <c r="AF580" i="28"/>
  <c r="E581" i="28"/>
  <c r="G581" i="28"/>
  <c r="K581" i="28"/>
  <c r="V581" i="28"/>
  <c r="AF581" i="28"/>
  <c r="E582" i="28"/>
  <c r="G582" i="28"/>
  <c r="K582" i="28"/>
  <c r="V582" i="28"/>
  <c r="AF582" i="28"/>
  <c r="E583" i="28"/>
  <c r="G583" i="28"/>
  <c r="K583" i="28"/>
  <c r="V583" i="28"/>
  <c r="AF583" i="28"/>
  <c r="E584" i="28"/>
  <c r="G584" i="28"/>
  <c r="K584" i="28"/>
  <c r="V584" i="28"/>
  <c r="AF584" i="28"/>
  <c r="E585" i="28"/>
  <c r="G585" i="28"/>
  <c r="K585" i="28"/>
  <c r="V585" i="28"/>
  <c r="AF585" i="28"/>
  <c r="E586" i="28"/>
  <c r="G586" i="28"/>
  <c r="K586" i="28"/>
  <c r="V586" i="28"/>
  <c r="AF586" i="28"/>
  <c r="E587" i="28"/>
  <c r="G587" i="28"/>
  <c r="K587" i="28"/>
  <c r="V587" i="28"/>
  <c r="AF587" i="28"/>
  <c r="E588" i="28"/>
  <c r="G588" i="28"/>
  <c r="K588" i="28"/>
  <c r="V588" i="28"/>
  <c r="AF588" i="28"/>
  <c r="E589" i="28"/>
  <c r="G589" i="28"/>
  <c r="K589" i="28"/>
  <c r="V589" i="28"/>
  <c r="AF589" i="28"/>
  <c r="E590" i="28"/>
  <c r="G590" i="28"/>
  <c r="K590" i="28"/>
  <c r="V590" i="28"/>
  <c r="AF590" i="28"/>
  <c r="E591" i="28"/>
  <c r="G591" i="28"/>
  <c r="K591" i="28"/>
  <c r="V591" i="28"/>
  <c r="AF591" i="28"/>
  <c r="E592" i="28"/>
  <c r="G592" i="28"/>
  <c r="K592" i="28"/>
  <c r="V592" i="28"/>
  <c r="AF592" i="28"/>
  <c r="E593" i="28"/>
  <c r="G593" i="28"/>
  <c r="K593" i="28"/>
  <c r="V593" i="28"/>
  <c r="AF593" i="28"/>
  <c r="E594" i="28"/>
  <c r="G594" i="28"/>
  <c r="K594" i="28"/>
  <c r="V594" i="28"/>
  <c r="AF594" i="28"/>
  <c r="E595" i="28"/>
  <c r="G595" i="28"/>
  <c r="K595" i="28"/>
  <c r="V595" i="28"/>
  <c r="AF595" i="28"/>
  <c r="E596" i="28"/>
  <c r="G596" i="28"/>
  <c r="K596" i="28"/>
  <c r="V596" i="28"/>
  <c r="AF596" i="28"/>
  <c r="E597" i="28"/>
  <c r="G597" i="28"/>
  <c r="K597" i="28"/>
  <c r="V597" i="28"/>
  <c r="AF597" i="28"/>
  <c r="E598" i="28"/>
  <c r="G598" i="28"/>
  <c r="K598" i="28"/>
  <c r="V598" i="28"/>
  <c r="AF598" i="28"/>
  <c r="E599" i="28"/>
  <c r="G599" i="28"/>
  <c r="K599" i="28"/>
  <c r="V599" i="28"/>
  <c r="AF599" i="28"/>
  <c r="E600" i="28"/>
  <c r="G600" i="28"/>
  <c r="K600" i="28"/>
  <c r="V600" i="28"/>
  <c r="AF600" i="28"/>
  <c r="E601" i="28"/>
  <c r="G601" i="28"/>
  <c r="K601" i="28"/>
  <c r="V601" i="28"/>
  <c r="AF601" i="28"/>
  <c r="E602" i="28"/>
  <c r="G602" i="28"/>
  <c r="K602" i="28"/>
  <c r="V602" i="28"/>
  <c r="AF602" i="28"/>
  <c r="E603" i="28"/>
  <c r="G603" i="28"/>
  <c r="K603" i="28"/>
  <c r="V603" i="28"/>
  <c r="AF603" i="28"/>
  <c r="E604" i="28"/>
  <c r="G604" i="28"/>
  <c r="K604" i="28"/>
  <c r="V604" i="28"/>
  <c r="AF604" i="28"/>
  <c r="E605" i="28"/>
  <c r="G605" i="28"/>
  <c r="K605" i="28"/>
  <c r="V605" i="28"/>
  <c r="AF605" i="28"/>
  <c r="E606" i="28"/>
  <c r="G606" i="28"/>
  <c r="K606" i="28"/>
  <c r="V606" i="28"/>
  <c r="AF606" i="28"/>
  <c r="E607" i="28"/>
  <c r="G607" i="28"/>
  <c r="K607" i="28"/>
  <c r="V607" i="28"/>
  <c r="AF607" i="28"/>
  <c r="E608" i="28"/>
  <c r="G608" i="28"/>
  <c r="K608" i="28"/>
  <c r="V608" i="28"/>
  <c r="AF608" i="28"/>
  <c r="E609" i="28"/>
  <c r="G609" i="28"/>
  <c r="K609" i="28"/>
  <c r="V609" i="28"/>
  <c r="AF609" i="28"/>
  <c r="E610" i="28"/>
  <c r="G610" i="28"/>
  <c r="K610" i="28"/>
  <c r="V610" i="28"/>
  <c r="AF610" i="28"/>
  <c r="E611" i="28"/>
  <c r="G611" i="28"/>
  <c r="K611" i="28"/>
  <c r="V611" i="28"/>
  <c r="AF611" i="28"/>
  <c r="E612" i="28"/>
  <c r="G612" i="28"/>
  <c r="K612" i="28"/>
  <c r="V612" i="28"/>
  <c r="AF612" i="28"/>
  <c r="E613" i="28"/>
  <c r="G613" i="28"/>
  <c r="K613" i="28"/>
  <c r="V613" i="28"/>
  <c r="AF613" i="28"/>
  <c r="E614" i="28"/>
  <c r="G614" i="28"/>
  <c r="K614" i="28"/>
  <c r="V614" i="28"/>
  <c r="AF614" i="28"/>
  <c r="E615" i="28"/>
  <c r="G615" i="28"/>
  <c r="K615" i="28"/>
  <c r="V615" i="28"/>
  <c r="AF615" i="28"/>
  <c r="E616" i="28"/>
  <c r="G616" i="28"/>
  <c r="K616" i="28"/>
  <c r="V616" i="28"/>
  <c r="AF616" i="28"/>
  <c r="E617" i="28"/>
  <c r="G617" i="28"/>
  <c r="K617" i="28"/>
  <c r="V617" i="28"/>
  <c r="AF617" i="28"/>
  <c r="E618" i="28"/>
  <c r="G618" i="28"/>
  <c r="K618" i="28"/>
  <c r="V618" i="28"/>
  <c r="AF618" i="28"/>
  <c r="E619" i="28"/>
  <c r="G619" i="28"/>
  <c r="K619" i="28"/>
  <c r="V619" i="28"/>
  <c r="AF619" i="28"/>
  <c r="E620" i="28"/>
  <c r="G620" i="28"/>
  <c r="K620" i="28"/>
  <c r="V620" i="28"/>
  <c r="AF620" i="28"/>
  <c r="E621" i="28"/>
  <c r="G621" i="28"/>
  <c r="K621" i="28"/>
  <c r="V621" i="28"/>
  <c r="AF621" i="28"/>
  <c r="E622" i="28"/>
  <c r="G622" i="28"/>
  <c r="K622" i="28"/>
  <c r="V622" i="28"/>
  <c r="AF622" i="28"/>
  <c r="E623" i="28"/>
  <c r="G623" i="28"/>
  <c r="K623" i="28"/>
  <c r="V623" i="28"/>
  <c r="AF623" i="28"/>
  <c r="E624" i="28"/>
  <c r="G624" i="28"/>
  <c r="K624" i="28"/>
  <c r="V624" i="28"/>
  <c r="AF624" i="28"/>
  <c r="E625" i="28"/>
  <c r="G625" i="28"/>
  <c r="K625" i="28"/>
  <c r="V625" i="28"/>
  <c r="AF625" i="28"/>
  <c r="E626" i="28"/>
  <c r="G626" i="28"/>
  <c r="K626" i="28"/>
  <c r="V626" i="28"/>
  <c r="AF626" i="28"/>
  <c r="E627" i="28"/>
  <c r="G627" i="28"/>
  <c r="K627" i="28"/>
  <c r="V627" i="28"/>
  <c r="AF627" i="28"/>
  <c r="E628" i="28"/>
  <c r="G628" i="28"/>
  <c r="K628" i="28"/>
  <c r="V628" i="28"/>
  <c r="AF628" i="28"/>
  <c r="E629" i="28"/>
  <c r="G629" i="28"/>
  <c r="K629" i="28"/>
  <c r="V629" i="28"/>
  <c r="AF629" i="28"/>
  <c r="E630" i="28"/>
  <c r="G630" i="28"/>
  <c r="K630" i="28"/>
  <c r="V630" i="28"/>
  <c r="AF630" i="28"/>
  <c r="E631" i="28"/>
  <c r="G631" i="28"/>
  <c r="K631" i="28"/>
  <c r="V631" i="28"/>
  <c r="AF631" i="28"/>
  <c r="E632" i="28"/>
  <c r="G632" i="28"/>
  <c r="K632" i="28"/>
  <c r="V632" i="28"/>
  <c r="AF632" i="28"/>
  <c r="E633" i="28"/>
  <c r="G633" i="28"/>
  <c r="K633" i="28"/>
  <c r="V633" i="28"/>
  <c r="AF633" i="28"/>
  <c r="E634" i="28"/>
  <c r="G634" i="28"/>
  <c r="K634" i="28"/>
  <c r="V634" i="28"/>
  <c r="AF634" i="28"/>
  <c r="E635" i="28"/>
  <c r="G635" i="28"/>
  <c r="K635" i="28"/>
  <c r="V635" i="28"/>
  <c r="AF635" i="28"/>
  <c r="E636" i="28"/>
  <c r="G636" i="28"/>
  <c r="K636" i="28"/>
  <c r="V636" i="28"/>
  <c r="AF636" i="28"/>
  <c r="E637" i="28"/>
  <c r="G637" i="28"/>
  <c r="K637" i="28"/>
  <c r="V637" i="28"/>
  <c r="AF637" i="28"/>
  <c r="E638" i="28"/>
  <c r="G638" i="28"/>
  <c r="K638" i="28"/>
  <c r="V638" i="28"/>
  <c r="AF638" i="28"/>
  <c r="E639" i="28"/>
  <c r="G639" i="28"/>
  <c r="K639" i="28"/>
  <c r="V639" i="28"/>
  <c r="AF639" i="28"/>
  <c r="E640" i="28"/>
  <c r="G640" i="28"/>
  <c r="K640" i="28"/>
  <c r="V640" i="28"/>
  <c r="AF640" i="28"/>
  <c r="E641" i="28"/>
  <c r="G641" i="28"/>
  <c r="K641" i="28"/>
  <c r="V641" i="28"/>
  <c r="AF641" i="28"/>
  <c r="E642" i="28"/>
  <c r="G642" i="28"/>
  <c r="K642" i="28"/>
  <c r="V642" i="28"/>
  <c r="AF642" i="28"/>
  <c r="E643" i="28"/>
  <c r="G643" i="28"/>
  <c r="K643" i="28"/>
  <c r="V643" i="28"/>
  <c r="AF643" i="28"/>
  <c r="E644" i="28"/>
  <c r="G644" i="28"/>
  <c r="K644" i="28"/>
  <c r="V644" i="28"/>
  <c r="AF644" i="28"/>
  <c r="E645" i="28"/>
  <c r="G645" i="28"/>
  <c r="K645" i="28"/>
  <c r="V645" i="28"/>
  <c r="AF645" i="28"/>
  <c r="E646" i="28"/>
  <c r="G646" i="28"/>
  <c r="K646" i="28"/>
  <c r="V646" i="28"/>
  <c r="AF646" i="28"/>
  <c r="E647" i="28"/>
  <c r="G647" i="28"/>
  <c r="K647" i="28"/>
  <c r="V647" i="28"/>
  <c r="AF647" i="28"/>
  <c r="E648" i="28"/>
  <c r="G648" i="28"/>
  <c r="K648" i="28"/>
  <c r="V648" i="28"/>
  <c r="AF648" i="28"/>
  <c r="E649" i="28"/>
  <c r="G649" i="28"/>
  <c r="K649" i="28"/>
  <c r="V649" i="28"/>
  <c r="AF649" i="28"/>
  <c r="E650" i="28"/>
  <c r="G650" i="28"/>
  <c r="K650" i="28"/>
  <c r="V650" i="28"/>
  <c r="AF650" i="28"/>
  <c r="E651" i="28"/>
  <c r="G651" i="28"/>
  <c r="K651" i="28"/>
  <c r="V651" i="28"/>
  <c r="AF651" i="28"/>
  <c r="E652" i="28"/>
  <c r="G652" i="28"/>
  <c r="K652" i="28"/>
  <c r="V652" i="28"/>
  <c r="AF652" i="28"/>
  <c r="E653" i="28"/>
  <c r="G653" i="28"/>
  <c r="K653" i="28"/>
  <c r="V653" i="28"/>
  <c r="AF653" i="28"/>
  <c r="E654" i="28"/>
  <c r="G654" i="28"/>
  <c r="K654" i="28"/>
  <c r="V654" i="28"/>
  <c r="AF654" i="28"/>
  <c r="E655" i="28"/>
  <c r="G655" i="28"/>
  <c r="K655" i="28"/>
  <c r="V655" i="28"/>
  <c r="AF655" i="28"/>
  <c r="E656" i="28"/>
  <c r="G656" i="28"/>
  <c r="K656" i="28"/>
  <c r="V656" i="28"/>
  <c r="AF656" i="28"/>
  <c r="E657" i="28"/>
  <c r="G657" i="28"/>
  <c r="K657" i="28"/>
  <c r="V657" i="28"/>
  <c r="AF657" i="28"/>
  <c r="E658" i="28"/>
  <c r="G658" i="28"/>
  <c r="K658" i="28"/>
  <c r="V658" i="28"/>
  <c r="AF658" i="28"/>
  <c r="E659" i="28"/>
  <c r="G659" i="28"/>
  <c r="K659" i="28"/>
  <c r="V659" i="28"/>
  <c r="AF659" i="28"/>
  <c r="E660" i="28"/>
  <c r="G660" i="28"/>
  <c r="K660" i="28"/>
  <c r="V660" i="28"/>
  <c r="AF660" i="28"/>
  <c r="E661" i="28"/>
  <c r="G661" i="28"/>
  <c r="K661" i="28"/>
  <c r="V661" i="28"/>
  <c r="AF661" i="28"/>
  <c r="E662" i="28"/>
  <c r="G662" i="28"/>
  <c r="K662" i="28"/>
  <c r="V662" i="28"/>
  <c r="AF662" i="28"/>
  <c r="E663" i="28"/>
  <c r="G663" i="28"/>
  <c r="K663" i="28"/>
  <c r="V663" i="28"/>
  <c r="AF663" i="28"/>
  <c r="E664" i="28"/>
  <c r="G664" i="28"/>
  <c r="K664" i="28"/>
  <c r="V664" i="28"/>
  <c r="AF664" i="28"/>
  <c r="E665" i="28"/>
  <c r="G665" i="28"/>
  <c r="K665" i="28"/>
  <c r="V665" i="28"/>
  <c r="AF665" i="28"/>
  <c r="E666" i="28"/>
  <c r="G666" i="28"/>
  <c r="K666" i="28"/>
  <c r="V666" i="28"/>
  <c r="AF666" i="28"/>
  <c r="E667" i="28"/>
  <c r="G667" i="28"/>
  <c r="K667" i="28"/>
  <c r="V667" i="28"/>
  <c r="AF667" i="28"/>
  <c r="E668" i="28"/>
  <c r="G668" i="28"/>
  <c r="K668" i="28"/>
  <c r="V668" i="28"/>
  <c r="AF668" i="28"/>
  <c r="E669" i="28"/>
  <c r="G669" i="28"/>
  <c r="K669" i="28"/>
  <c r="V669" i="28"/>
  <c r="AF669" i="28"/>
  <c r="E670" i="28"/>
  <c r="G670" i="28"/>
  <c r="K670" i="28"/>
  <c r="V670" i="28"/>
  <c r="AF670" i="28"/>
  <c r="E671" i="28"/>
  <c r="G671" i="28"/>
  <c r="K671" i="28"/>
  <c r="V671" i="28"/>
  <c r="AF671" i="28"/>
  <c r="E672" i="28"/>
  <c r="G672" i="28"/>
  <c r="K672" i="28"/>
  <c r="V672" i="28"/>
  <c r="AF672" i="28"/>
  <c r="E673" i="28"/>
  <c r="G673" i="28"/>
  <c r="K673" i="28"/>
  <c r="V673" i="28"/>
  <c r="AF673" i="28"/>
  <c r="E674" i="28"/>
  <c r="G674" i="28"/>
  <c r="K674" i="28"/>
  <c r="V674" i="28"/>
  <c r="AF674" i="28"/>
  <c r="E675" i="28"/>
  <c r="G675" i="28"/>
  <c r="K675" i="28"/>
  <c r="V675" i="28"/>
  <c r="AF675" i="28"/>
  <c r="E676" i="28"/>
  <c r="G676" i="28"/>
  <c r="K676" i="28"/>
  <c r="V676" i="28"/>
  <c r="AF676" i="28"/>
  <c r="E677" i="28"/>
  <c r="G677" i="28"/>
  <c r="K677" i="28"/>
  <c r="V677" i="28"/>
  <c r="AF677" i="28"/>
  <c r="E678" i="28"/>
  <c r="G678" i="28"/>
  <c r="K678" i="28"/>
  <c r="V678" i="28"/>
  <c r="AF678" i="28"/>
  <c r="E679" i="28"/>
  <c r="G679" i="28"/>
  <c r="K679" i="28"/>
  <c r="V679" i="28"/>
  <c r="AF679" i="28"/>
  <c r="E680" i="28"/>
  <c r="G680" i="28"/>
  <c r="K680" i="28"/>
  <c r="V680" i="28"/>
  <c r="AF680" i="28"/>
  <c r="E681" i="28"/>
  <c r="G681" i="28"/>
  <c r="K681" i="28"/>
  <c r="V681" i="28"/>
  <c r="AF681" i="28"/>
  <c r="E682" i="28"/>
  <c r="G682" i="28"/>
  <c r="K682" i="28"/>
  <c r="V682" i="28"/>
  <c r="AF682" i="28"/>
  <c r="E683" i="28"/>
  <c r="G683" i="28"/>
  <c r="K683" i="28"/>
  <c r="V683" i="28"/>
  <c r="AF683" i="28"/>
  <c r="E684" i="28"/>
  <c r="G684" i="28"/>
  <c r="K684" i="28"/>
  <c r="V684" i="28"/>
  <c r="AF684" i="28"/>
  <c r="E685" i="28"/>
  <c r="G685" i="28"/>
  <c r="K685" i="28"/>
  <c r="V685" i="28"/>
  <c r="AF685" i="28"/>
  <c r="E686" i="28"/>
  <c r="G686" i="28"/>
  <c r="K686" i="28"/>
  <c r="V686" i="28"/>
  <c r="AF686" i="28"/>
  <c r="E687" i="28"/>
  <c r="G687" i="28"/>
  <c r="K687" i="28"/>
  <c r="V687" i="28"/>
  <c r="AF687" i="28"/>
  <c r="E688" i="28"/>
  <c r="G688" i="28"/>
  <c r="K688" i="28"/>
  <c r="V688" i="28"/>
  <c r="AF688" i="28"/>
  <c r="E689" i="28"/>
  <c r="G689" i="28"/>
  <c r="K689" i="28"/>
  <c r="V689" i="28"/>
  <c r="AF689" i="28"/>
  <c r="E690" i="28"/>
  <c r="G690" i="28"/>
  <c r="K690" i="28"/>
  <c r="V690" i="28"/>
  <c r="AF690" i="28"/>
  <c r="E691" i="28"/>
  <c r="G691" i="28"/>
  <c r="K691" i="28"/>
  <c r="V691" i="28"/>
  <c r="AF691" i="28"/>
  <c r="E692" i="28"/>
  <c r="G692" i="28"/>
  <c r="K692" i="28"/>
  <c r="V692" i="28"/>
  <c r="AF692" i="28"/>
  <c r="E693" i="28"/>
  <c r="G693" i="28"/>
  <c r="K693" i="28"/>
  <c r="V693" i="28"/>
  <c r="AF693" i="28"/>
  <c r="E694" i="28"/>
  <c r="G694" i="28"/>
  <c r="K694" i="28"/>
  <c r="V694" i="28"/>
  <c r="AF694" i="28"/>
  <c r="E695" i="28"/>
  <c r="G695" i="28"/>
  <c r="K695" i="28"/>
  <c r="V695" i="28"/>
  <c r="AF695" i="28"/>
  <c r="E696" i="28"/>
  <c r="G696" i="28"/>
  <c r="K696" i="28"/>
  <c r="V696" i="28"/>
  <c r="AF696" i="28"/>
  <c r="E697" i="28"/>
  <c r="G697" i="28"/>
  <c r="K697" i="28"/>
  <c r="V697" i="28"/>
  <c r="AF697" i="28"/>
  <c r="E698" i="28"/>
  <c r="G698" i="28"/>
  <c r="K698" i="28"/>
  <c r="V698" i="28"/>
  <c r="AF698" i="28"/>
  <c r="E699" i="28"/>
  <c r="G699" i="28"/>
  <c r="K699" i="28"/>
  <c r="V699" i="28"/>
  <c r="AF699" i="28"/>
  <c r="E700" i="28"/>
  <c r="G700" i="28"/>
  <c r="K700" i="28"/>
  <c r="V700" i="28"/>
  <c r="AF700" i="28"/>
  <c r="E701" i="28"/>
  <c r="G701" i="28"/>
  <c r="K701" i="28"/>
  <c r="V701" i="28"/>
  <c r="AF701" i="28"/>
  <c r="E702" i="28"/>
  <c r="G702" i="28"/>
  <c r="K702" i="28"/>
  <c r="V702" i="28"/>
  <c r="AF702" i="28"/>
  <c r="E703" i="28"/>
  <c r="G703" i="28"/>
  <c r="K703" i="28"/>
  <c r="V703" i="28"/>
  <c r="AF703" i="28"/>
  <c r="E704" i="28"/>
  <c r="G704" i="28"/>
  <c r="K704" i="28"/>
  <c r="V704" i="28"/>
  <c r="AF704" i="28"/>
  <c r="E705" i="28"/>
  <c r="G705" i="28"/>
  <c r="K705" i="28"/>
  <c r="V705" i="28"/>
  <c r="AF705" i="28"/>
  <c r="E706" i="28"/>
  <c r="G706" i="28"/>
  <c r="K706" i="28"/>
  <c r="V706" i="28"/>
  <c r="AF706" i="28"/>
  <c r="E707" i="28"/>
  <c r="G707" i="28"/>
  <c r="K707" i="28"/>
  <c r="V707" i="28"/>
  <c r="AF707" i="28"/>
  <c r="E708" i="28"/>
  <c r="G708" i="28"/>
  <c r="K708" i="28"/>
  <c r="V708" i="28"/>
  <c r="AF708" i="28"/>
  <c r="E709" i="28"/>
  <c r="G709" i="28"/>
  <c r="K709" i="28"/>
  <c r="V709" i="28"/>
  <c r="AF709" i="28"/>
  <c r="E710" i="28"/>
  <c r="G710" i="28"/>
  <c r="K710" i="28"/>
  <c r="V710" i="28"/>
  <c r="AF710" i="28"/>
  <c r="E711" i="28"/>
  <c r="G711" i="28"/>
  <c r="K711" i="28"/>
  <c r="V711" i="28"/>
  <c r="AF711" i="28"/>
  <c r="E712" i="28"/>
  <c r="G712" i="28"/>
  <c r="K712" i="28"/>
  <c r="V712" i="28"/>
  <c r="AF712" i="28"/>
  <c r="E713" i="28"/>
  <c r="G713" i="28"/>
  <c r="K713" i="28"/>
  <c r="V713" i="28"/>
  <c r="AF713" i="28"/>
  <c r="E714" i="28"/>
  <c r="G714" i="28"/>
  <c r="K714" i="28"/>
  <c r="V714" i="28"/>
  <c r="AF714" i="28"/>
  <c r="E715" i="28"/>
  <c r="G715" i="28"/>
  <c r="K715" i="28"/>
  <c r="V715" i="28"/>
  <c r="AF715" i="28"/>
  <c r="E716" i="28"/>
  <c r="G716" i="28"/>
  <c r="K716" i="28"/>
  <c r="V716" i="28"/>
  <c r="AF716" i="28"/>
  <c r="E717" i="28"/>
  <c r="G717" i="28"/>
  <c r="K717" i="28"/>
  <c r="V717" i="28"/>
  <c r="AF717" i="28"/>
  <c r="E718" i="28"/>
  <c r="G718" i="28"/>
  <c r="K718" i="28"/>
  <c r="V718" i="28"/>
  <c r="AF718" i="28"/>
  <c r="E719" i="28"/>
  <c r="G719" i="28"/>
  <c r="K719" i="28"/>
  <c r="V719" i="28"/>
  <c r="AF719" i="28"/>
  <c r="E720" i="28"/>
  <c r="G720" i="28"/>
  <c r="K720" i="28"/>
  <c r="V720" i="28"/>
  <c r="AF720" i="28"/>
  <c r="E721" i="28"/>
  <c r="G721" i="28"/>
  <c r="K721" i="28"/>
  <c r="V721" i="28"/>
  <c r="AF721" i="28"/>
  <c r="E722" i="28"/>
  <c r="G722" i="28"/>
  <c r="K722" i="28"/>
  <c r="V722" i="28"/>
  <c r="AF722" i="28"/>
  <c r="E723" i="28"/>
  <c r="G723" i="28"/>
  <c r="K723" i="28"/>
  <c r="V723" i="28"/>
  <c r="AF723" i="28"/>
  <c r="E724" i="28"/>
  <c r="G724" i="28"/>
  <c r="K724" i="28"/>
  <c r="V724" i="28"/>
  <c r="AF724" i="28"/>
  <c r="E725" i="28"/>
  <c r="G725" i="28"/>
  <c r="K725" i="28"/>
  <c r="V725" i="28"/>
  <c r="AF725" i="28"/>
  <c r="E726" i="28"/>
  <c r="G726" i="28"/>
  <c r="K726" i="28"/>
  <c r="V726" i="28"/>
  <c r="AF726" i="28"/>
  <c r="E727" i="28"/>
  <c r="G727" i="28"/>
  <c r="K727" i="28"/>
  <c r="V727" i="28"/>
  <c r="AF727" i="28"/>
  <c r="E728" i="28"/>
  <c r="G728" i="28"/>
  <c r="K728" i="28"/>
  <c r="V728" i="28"/>
  <c r="AF728" i="28"/>
  <c r="E729" i="28"/>
  <c r="G729" i="28"/>
  <c r="K729" i="28"/>
  <c r="V729" i="28"/>
  <c r="AF729" i="28"/>
  <c r="E730" i="28"/>
  <c r="G730" i="28"/>
  <c r="K730" i="28"/>
  <c r="V730" i="28"/>
  <c r="AF730" i="28"/>
  <c r="E731" i="28"/>
  <c r="G731" i="28"/>
  <c r="K731" i="28"/>
  <c r="V731" i="28"/>
  <c r="AF731" i="28"/>
  <c r="E732" i="28"/>
  <c r="G732" i="28"/>
  <c r="K732" i="28"/>
  <c r="V732" i="28"/>
  <c r="AF732" i="28"/>
  <c r="E733" i="28"/>
  <c r="G733" i="28"/>
  <c r="K733" i="28"/>
  <c r="V733" i="28"/>
  <c r="AF733" i="28"/>
  <c r="E734" i="28"/>
  <c r="G734" i="28"/>
  <c r="K734" i="28"/>
  <c r="V734" i="28"/>
  <c r="AF734" i="28"/>
  <c r="E735" i="28"/>
  <c r="G735" i="28"/>
  <c r="K735" i="28"/>
  <c r="V735" i="28"/>
  <c r="AF735" i="28"/>
  <c r="E736" i="28"/>
  <c r="G736" i="28"/>
  <c r="K736" i="28"/>
  <c r="V736" i="28"/>
  <c r="AF736" i="28"/>
  <c r="E737" i="28"/>
  <c r="G737" i="28"/>
  <c r="K737" i="28"/>
  <c r="V737" i="28"/>
  <c r="AF737" i="28"/>
  <c r="E738" i="28"/>
  <c r="G738" i="28"/>
  <c r="K738" i="28"/>
  <c r="V738" i="28"/>
  <c r="AF738" i="28"/>
  <c r="E739" i="28"/>
  <c r="G739" i="28"/>
  <c r="K739" i="28"/>
  <c r="V739" i="28"/>
  <c r="AF739" i="28"/>
  <c r="E740" i="28"/>
  <c r="G740" i="28"/>
  <c r="K740" i="28"/>
  <c r="V740" i="28"/>
  <c r="AF740" i="28"/>
  <c r="E741" i="28"/>
  <c r="G741" i="28"/>
  <c r="K741" i="28"/>
  <c r="V741" i="28"/>
  <c r="AF741" i="28"/>
  <c r="E742" i="28"/>
  <c r="G742" i="28"/>
  <c r="K742" i="28"/>
  <c r="V742" i="28"/>
  <c r="AF742" i="28"/>
  <c r="E743" i="28"/>
  <c r="G743" i="28"/>
  <c r="K743" i="28"/>
  <c r="V743" i="28"/>
  <c r="AF743" i="28"/>
  <c r="E744" i="28"/>
  <c r="G744" i="28"/>
  <c r="K744" i="28"/>
  <c r="V744" i="28"/>
  <c r="AF744" i="28"/>
  <c r="E745" i="28"/>
  <c r="G745" i="28"/>
  <c r="K745" i="28"/>
  <c r="V745" i="28"/>
  <c r="AF745" i="28"/>
  <c r="E746" i="28"/>
  <c r="G746" i="28"/>
  <c r="K746" i="28"/>
  <c r="V746" i="28"/>
  <c r="AF746" i="28"/>
  <c r="E747" i="28"/>
  <c r="G747" i="28"/>
  <c r="K747" i="28"/>
  <c r="V747" i="28"/>
  <c r="AF747" i="28"/>
  <c r="E748" i="28"/>
  <c r="G748" i="28"/>
  <c r="K748" i="28"/>
  <c r="V748" i="28"/>
  <c r="AF748" i="28"/>
  <c r="E749" i="28"/>
  <c r="G749" i="28"/>
  <c r="K749" i="28"/>
  <c r="V749" i="28"/>
  <c r="AF749" i="28"/>
  <c r="E750" i="28"/>
  <c r="G750" i="28"/>
  <c r="K750" i="28"/>
  <c r="V750" i="28"/>
  <c r="AF750" i="28"/>
  <c r="E751" i="28"/>
  <c r="G751" i="28"/>
  <c r="K751" i="28"/>
  <c r="V751" i="28"/>
  <c r="AF751" i="28"/>
  <c r="E752" i="28"/>
  <c r="G752" i="28"/>
  <c r="K752" i="28"/>
  <c r="V752" i="28"/>
  <c r="AF752" i="28"/>
  <c r="E753" i="28"/>
  <c r="G753" i="28"/>
  <c r="K753" i="28"/>
  <c r="V753" i="28"/>
  <c r="AF753" i="28"/>
  <c r="E754" i="28"/>
  <c r="G754" i="28"/>
  <c r="K754" i="28"/>
  <c r="V754" i="28"/>
  <c r="AF754" i="28"/>
  <c r="E755" i="28"/>
  <c r="G755" i="28"/>
  <c r="K755" i="28"/>
  <c r="V755" i="28"/>
  <c r="AF755" i="28"/>
  <c r="E756" i="28"/>
  <c r="G756" i="28"/>
  <c r="K756" i="28"/>
  <c r="V756" i="28"/>
  <c r="AF756" i="28"/>
  <c r="E757" i="28"/>
  <c r="G757" i="28"/>
  <c r="K757" i="28"/>
  <c r="V757" i="28"/>
  <c r="AF757" i="28"/>
  <c r="E758" i="28"/>
  <c r="G758" i="28"/>
  <c r="K758" i="28"/>
  <c r="V758" i="28"/>
  <c r="AF758" i="28"/>
  <c r="E759" i="28"/>
  <c r="G759" i="28"/>
  <c r="K759" i="28"/>
  <c r="V759" i="28"/>
  <c r="AF759" i="28"/>
  <c r="E760" i="28"/>
  <c r="G760" i="28"/>
  <c r="K760" i="28"/>
  <c r="V760" i="28"/>
  <c r="AF760" i="28"/>
  <c r="E761" i="28"/>
  <c r="G761" i="28"/>
  <c r="K761" i="28"/>
  <c r="V761" i="28"/>
  <c r="AF761" i="28"/>
  <c r="E762" i="28"/>
  <c r="G762" i="28"/>
  <c r="K762" i="28"/>
  <c r="V762" i="28"/>
  <c r="AF762" i="28"/>
  <c r="E763" i="28"/>
  <c r="G763" i="28"/>
  <c r="K763" i="28"/>
  <c r="V763" i="28"/>
  <c r="AF763" i="28"/>
  <c r="E764" i="28"/>
  <c r="G764" i="28"/>
  <c r="K764" i="28"/>
  <c r="V764" i="28"/>
  <c r="AF764" i="28"/>
  <c r="E765" i="28"/>
  <c r="G765" i="28"/>
  <c r="K765" i="28"/>
  <c r="V765" i="28"/>
  <c r="AF765" i="28"/>
  <c r="E766" i="28"/>
  <c r="G766" i="28"/>
  <c r="K766" i="28"/>
  <c r="V766" i="28"/>
  <c r="AF766" i="28"/>
  <c r="E767" i="28"/>
  <c r="G767" i="28"/>
  <c r="K767" i="28"/>
  <c r="V767" i="28"/>
  <c r="AF767" i="28"/>
  <c r="E768" i="28"/>
  <c r="G768" i="28"/>
  <c r="K768" i="28"/>
  <c r="V768" i="28"/>
  <c r="AF768" i="28"/>
  <c r="E769" i="28"/>
  <c r="G769" i="28"/>
  <c r="K769" i="28"/>
  <c r="V769" i="28"/>
  <c r="AF769" i="28"/>
  <c r="E770" i="28"/>
  <c r="G770" i="28"/>
  <c r="K770" i="28"/>
  <c r="V770" i="28"/>
  <c r="AF770" i="28"/>
  <c r="E771" i="28"/>
  <c r="G771" i="28"/>
  <c r="K771" i="28"/>
  <c r="V771" i="28"/>
  <c r="AF771" i="28"/>
  <c r="E772" i="28"/>
  <c r="G772" i="28"/>
  <c r="K772" i="28"/>
  <c r="V772" i="28"/>
  <c r="AF772" i="28"/>
  <c r="E773" i="28"/>
  <c r="G773" i="28"/>
  <c r="K773" i="28"/>
  <c r="V773" i="28"/>
  <c r="AF773" i="28"/>
  <c r="E774" i="28"/>
  <c r="G774" i="28"/>
  <c r="K774" i="28"/>
  <c r="V774" i="28"/>
  <c r="AF774" i="28"/>
  <c r="E775" i="28"/>
  <c r="G775" i="28"/>
  <c r="K775" i="28"/>
  <c r="V775" i="28"/>
  <c r="AF775" i="28"/>
  <c r="E776" i="28"/>
  <c r="G776" i="28"/>
  <c r="K776" i="28"/>
  <c r="V776" i="28"/>
  <c r="AF776" i="28"/>
  <c r="E777" i="28"/>
  <c r="G777" i="28"/>
  <c r="K777" i="28"/>
  <c r="V777" i="28"/>
  <c r="AF777" i="28"/>
  <c r="E778" i="28"/>
  <c r="G778" i="28"/>
  <c r="K778" i="28"/>
  <c r="V778" i="28"/>
  <c r="AF778" i="28"/>
  <c r="E779" i="28"/>
  <c r="G779" i="28"/>
  <c r="K779" i="28"/>
  <c r="V779" i="28"/>
  <c r="AF779" i="28"/>
  <c r="E780" i="28"/>
  <c r="G780" i="28"/>
  <c r="K780" i="28"/>
  <c r="V780" i="28"/>
  <c r="AF780" i="28"/>
  <c r="E781" i="28"/>
  <c r="G781" i="28"/>
  <c r="K781" i="28"/>
  <c r="V781" i="28"/>
  <c r="AF781" i="28"/>
  <c r="E782" i="28"/>
  <c r="G782" i="28"/>
  <c r="K782" i="28"/>
  <c r="V782" i="28"/>
  <c r="AF782" i="28"/>
  <c r="E783" i="28"/>
  <c r="G783" i="28"/>
  <c r="K783" i="28"/>
  <c r="V783" i="28"/>
  <c r="AF783" i="28"/>
  <c r="E784" i="28"/>
  <c r="G784" i="28"/>
  <c r="K784" i="28"/>
  <c r="V784" i="28"/>
  <c r="AF784" i="28"/>
  <c r="E785" i="28"/>
  <c r="G785" i="28"/>
  <c r="K785" i="28"/>
  <c r="V785" i="28"/>
  <c r="AF785" i="28"/>
  <c r="E786" i="28"/>
  <c r="G786" i="28"/>
  <c r="K786" i="28"/>
  <c r="V786" i="28"/>
  <c r="AF786" i="28"/>
  <c r="E787" i="28"/>
  <c r="G787" i="28"/>
  <c r="K787" i="28"/>
  <c r="V787" i="28"/>
  <c r="AF787" i="28"/>
  <c r="E788" i="28"/>
  <c r="G788" i="28"/>
  <c r="K788" i="28"/>
  <c r="V788" i="28"/>
  <c r="AF788" i="28"/>
  <c r="E789" i="28"/>
  <c r="G789" i="28"/>
  <c r="K789" i="28"/>
  <c r="V789" i="28"/>
  <c r="AF789" i="28"/>
  <c r="E790" i="28"/>
  <c r="G790" i="28"/>
  <c r="K790" i="28"/>
  <c r="V790" i="28"/>
  <c r="AF790" i="28"/>
  <c r="E791" i="28"/>
  <c r="G791" i="28"/>
  <c r="K791" i="28"/>
  <c r="V791" i="28"/>
  <c r="AF791" i="28"/>
  <c r="E792" i="28"/>
  <c r="G792" i="28"/>
  <c r="K792" i="28"/>
  <c r="V792" i="28"/>
  <c r="AF792" i="28"/>
  <c r="E793" i="28"/>
  <c r="G793" i="28"/>
  <c r="K793" i="28"/>
  <c r="V793" i="28"/>
  <c r="AF793" i="28"/>
  <c r="E794" i="28"/>
  <c r="G794" i="28"/>
  <c r="K794" i="28"/>
  <c r="V794" i="28"/>
  <c r="AF794" i="28"/>
  <c r="E795" i="28"/>
  <c r="G795" i="28"/>
  <c r="K795" i="28"/>
  <c r="V795" i="28"/>
  <c r="AF795" i="28"/>
  <c r="E796" i="28"/>
  <c r="G796" i="28"/>
  <c r="K796" i="28"/>
  <c r="V796" i="28"/>
  <c r="AF796" i="28"/>
  <c r="E797" i="28"/>
  <c r="G797" i="28"/>
  <c r="K797" i="28"/>
  <c r="V797" i="28"/>
  <c r="AF797" i="28"/>
  <c r="E798" i="28"/>
  <c r="G798" i="28"/>
  <c r="K798" i="28"/>
  <c r="V798" i="28"/>
  <c r="AF798" i="28"/>
  <c r="E799" i="28"/>
  <c r="G799" i="28"/>
  <c r="K799" i="28"/>
  <c r="V799" i="28"/>
  <c r="AF799" i="28"/>
  <c r="E800" i="28"/>
  <c r="G800" i="28"/>
  <c r="K800" i="28"/>
  <c r="V800" i="28"/>
  <c r="AF800" i="28"/>
  <c r="E801" i="28"/>
  <c r="G801" i="28"/>
  <c r="K801" i="28"/>
  <c r="V801" i="28"/>
  <c r="AF801" i="28"/>
  <c r="E802" i="28"/>
  <c r="G802" i="28"/>
  <c r="K802" i="28"/>
  <c r="V802" i="28"/>
  <c r="AF802" i="28"/>
  <c r="E803" i="28"/>
  <c r="G803" i="28"/>
  <c r="K803" i="28"/>
  <c r="V803" i="28"/>
  <c r="AF803" i="28"/>
  <c r="E804" i="28"/>
  <c r="G804" i="28"/>
  <c r="K804" i="28"/>
  <c r="V804" i="28"/>
  <c r="AF804" i="28"/>
  <c r="E805" i="28"/>
  <c r="G805" i="28"/>
  <c r="K805" i="28"/>
  <c r="V805" i="28"/>
  <c r="AF805" i="28"/>
  <c r="E806" i="28"/>
  <c r="G806" i="28"/>
  <c r="K806" i="28"/>
  <c r="V806" i="28"/>
  <c r="AF806" i="28"/>
  <c r="E807" i="28"/>
  <c r="G807" i="28"/>
  <c r="K807" i="28"/>
  <c r="V807" i="28"/>
  <c r="AF807" i="28"/>
  <c r="E808" i="28"/>
  <c r="G808" i="28"/>
  <c r="K808" i="28"/>
  <c r="V808" i="28"/>
  <c r="AF808" i="28"/>
  <c r="E809" i="28"/>
  <c r="G809" i="28"/>
  <c r="K809" i="28"/>
  <c r="V809" i="28"/>
  <c r="AF809" i="28"/>
  <c r="E810" i="28"/>
  <c r="G810" i="28"/>
  <c r="K810" i="28"/>
  <c r="V810" i="28"/>
  <c r="AF810" i="28"/>
  <c r="E811" i="28"/>
  <c r="G811" i="28"/>
  <c r="K811" i="28"/>
  <c r="V811" i="28"/>
  <c r="AF811" i="28"/>
  <c r="E812" i="28"/>
  <c r="G812" i="28"/>
  <c r="K812" i="28"/>
  <c r="V812" i="28"/>
  <c r="AF812" i="28"/>
  <c r="E813" i="28"/>
  <c r="G813" i="28"/>
  <c r="K813" i="28"/>
  <c r="V813" i="28"/>
  <c r="AF813" i="28"/>
  <c r="E814" i="28"/>
  <c r="G814" i="28"/>
  <c r="K814" i="28"/>
  <c r="V814" i="28"/>
  <c r="AF814" i="28"/>
  <c r="E815" i="28"/>
  <c r="G815" i="28"/>
  <c r="K815" i="28"/>
  <c r="V815" i="28"/>
  <c r="AF815" i="28"/>
  <c r="E816" i="28"/>
  <c r="G816" i="28"/>
  <c r="K816" i="28"/>
  <c r="V816" i="28"/>
  <c r="AF816" i="28"/>
  <c r="E817" i="28"/>
  <c r="G817" i="28"/>
  <c r="K817" i="28"/>
  <c r="V817" i="28"/>
  <c r="AF817" i="28"/>
  <c r="E818" i="28"/>
  <c r="G818" i="28"/>
  <c r="K818" i="28"/>
  <c r="V818" i="28"/>
  <c r="AF818" i="28"/>
  <c r="E819" i="28"/>
  <c r="G819" i="28"/>
  <c r="K819" i="28"/>
  <c r="V819" i="28"/>
  <c r="AF819" i="28"/>
  <c r="E820" i="28"/>
  <c r="G820" i="28"/>
  <c r="K820" i="28"/>
  <c r="V820" i="28"/>
  <c r="AF820" i="28"/>
  <c r="E821" i="28"/>
  <c r="G821" i="28"/>
  <c r="K821" i="28"/>
  <c r="V821" i="28"/>
  <c r="AF821" i="28"/>
  <c r="E822" i="28"/>
  <c r="G822" i="28"/>
  <c r="K822" i="28"/>
  <c r="V822" i="28"/>
  <c r="AF822" i="28"/>
  <c r="E823" i="28"/>
  <c r="G823" i="28"/>
  <c r="K823" i="28"/>
  <c r="V823" i="28"/>
  <c r="AF823" i="28"/>
  <c r="E824" i="28"/>
  <c r="G824" i="28"/>
  <c r="K824" i="28"/>
  <c r="V824" i="28"/>
  <c r="AF824" i="28"/>
  <c r="E825" i="28"/>
  <c r="G825" i="28"/>
  <c r="K825" i="28"/>
  <c r="V825" i="28"/>
  <c r="AF825" i="28"/>
  <c r="E826" i="28"/>
  <c r="G826" i="28"/>
  <c r="K826" i="28"/>
  <c r="V826" i="28"/>
  <c r="AF826" i="28"/>
  <c r="E827" i="28"/>
  <c r="G827" i="28"/>
  <c r="K827" i="28"/>
  <c r="V827" i="28"/>
  <c r="AF827" i="28"/>
  <c r="E828" i="28"/>
  <c r="G828" i="28"/>
  <c r="K828" i="28"/>
  <c r="V828" i="28"/>
  <c r="AF828" i="28"/>
  <c r="E829" i="28"/>
  <c r="G829" i="28"/>
  <c r="K829" i="28"/>
  <c r="V829" i="28"/>
  <c r="AF829" i="28"/>
  <c r="E830" i="28"/>
  <c r="G830" i="28"/>
  <c r="K830" i="28"/>
  <c r="V830" i="28"/>
  <c r="AF830" i="28"/>
  <c r="E831" i="28"/>
  <c r="G831" i="28"/>
  <c r="K831" i="28"/>
  <c r="V831" i="28"/>
  <c r="AF831" i="28"/>
  <c r="E832" i="28"/>
  <c r="G832" i="28"/>
  <c r="K832" i="28"/>
  <c r="V832" i="28"/>
  <c r="AF832" i="28"/>
  <c r="E833" i="28"/>
  <c r="G833" i="28"/>
  <c r="K833" i="28"/>
  <c r="V833" i="28"/>
  <c r="AF833" i="28"/>
  <c r="E834" i="28"/>
  <c r="G834" i="28"/>
  <c r="K834" i="28"/>
  <c r="V834" i="28"/>
  <c r="AF834" i="28"/>
  <c r="E835" i="28"/>
  <c r="G835" i="28"/>
  <c r="K835" i="28"/>
  <c r="V835" i="28"/>
  <c r="AF835" i="28"/>
  <c r="E836" i="28"/>
  <c r="G836" i="28"/>
  <c r="K836" i="28"/>
  <c r="V836" i="28"/>
  <c r="AF836" i="28"/>
  <c r="E837" i="28"/>
  <c r="G837" i="28"/>
  <c r="K837" i="28"/>
  <c r="V837" i="28"/>
  <c r="AF837" i="28"/>
  <c r="E838" i="28"/>
  <c r="G838" i="28"/>
  <c r="K838" i="28"/>
  <c r="V838" i="28"/>
  <c r="AF838" i="28"/>
  <c r="E839" i="28"/>
  <c r="G839" i="28"/>
  <c r="K839" i="28"/>
  <c r="V839" i="28"/>
  <c r="AF839" i="28"/>
  <c r="E840" i="28"/>
  <c r="G840" i="28"/>
  <c r="K840" i="28"/>
  <c r="V840" i="28"/>
  <c r="AF840" i="28"/>
  <c r="E841" i="28"/>
  <c r="G841" i="28"/>
  <c r="K841" i="28"/>
  <c r="V841" i="28"/>
  <c r="AF841" i="28"/>
  <c r="E842" i="28"/>
  <c r="G842" i="28"/>
  <c r="K842" i="28"/>
  <c r="V842" i="28"/>
  <c r="AF842" i="28"/>
  <c r="E843" i="28"/>
  <c r="G843" i="28"/>
  <c r="K843" i="28"/>
  <c r="V843" i="28"/>
  <c r="AF843" i="28"/>
  <c r="E844" i="28"/>
  <c r="G844" i="28"/>
  <c r="K844" i="28"/>
  <c r="V844" i="28"/>
  <c r="AF844" i="28"/>
  <c r="E845" i="28"/>
  <c r="G845" i="28"/>
  <c r="K845" i="28"/>
  <c r="V845" i="28"/>
  <c r="AF845" i="28"/>
  <c r="E846" i="28"/>
  <c r="G846" i="28"/>
  <c r="K846" i="28"/>
  <c r="V846" i="28"/>
  <c r="AF846" i="28"/>
  <c r="E847" i="28"/>
  <c r="G847" i="28"/>
  <c r="K847" i="28"/>
  <c r="V847" i="28"/>
  <c r="AF847" i="28"/>
  <c r="E848" i="28"/>
  <c r="G848" i="28"/>
  <c r="K848" i="28"/>
  <c r="V848" i="28"/>
  <c r="AF848" i="28"/>
  <c r="E849" i="28"/>
  <c r="G849" i="28"/>
  <c r="K849" i="28"/>
  <c r="V849" i="28"/>
  <c r="AF849" i="28"/>
  <c r="E850" i="28"/>
  <c r="G850" i="28"/>
  <c r="K850" i="28"/>
  <c r="V850" i="28"/>
  <c r="AF850" i="28"/>
  <c r="E851" i="28"/>
  <c r="G851" i="28"/>
  <c r="K851" i="28"/>
  <c r="V851" i="28"/>
  <c r="AF851" i="28"/>
  <c r="E852" i="28"/>
  <c r="G852" i="28"/>
  <c r="K852" i="28"/>
  <c r="V852" i="28"/>
  <c r="AF852" i="28"/>
  <c r="E853" i="28"/>
  <c r="G853" i="28"/>
  <c r="K853" i="28"/>
  <c r="V853" i="28"/>
  <c r="AF853" i="28"/>
  <c r="E854" i="28"/>
  <c r="G854" i="28"/>
  <c r="K854" i="28"/>
  <c r="V854" i="28"/>
  <c r="AF854" i="28"/>
  <c r="E855" i="28"/>
  <c r="G855" i="28"/>
  <c r="K855" i="28"/>
  <c r="V855" i="28"/>
  <c r="AF855" i="28"/>
  <c r="E856" i="28"/>
  <c r="G856" i="28"/>
  <c r="K856" i="28"/>
  <c r="V856" i="28"/>
  <c r="AF856" i="28"/>
  <c r="E857" i="28"/>
  <c r="G857" i="28"/>
  <c r="K857" i="28"/>
  <c r="V857" i="28"/>
  <c r="AF857" i="28"/>
  <c r="E858" i="28"/>
  <c r="G858" i="28"/>
  <c r="K858" i="28"/>
  <c r="V858" i="28"/>
  <c r="AF858" i="28"/>
  <c r="E859" i="28"/>
  <c r="G859" i="28"/>
  <c r="K859" i="28"/>
  <c r="V859" i="28"/>
  <c r="AF859" i="28"/>
  <c r="E860" i="28"/>
  <c r="G860" i="28"/>
  <c r="K860" i="28"/>
  <c r="V860" i="28"/>
  <c r="AF860" i="28"/>
  <c r="E861" i="28"/>
  <c r="G861" i="28"/>
  <c r="K861" i="28"/>
  <c r="V861" i="28"/>
  <c r="AF861" i="28"/>
  <c r="E862" i="28"/>
  <c r="G862" i="28"/>
  <c r="K862" i="28"/>
  <c r="V862" i="28"/>
  <c r="AF862" i="28"/>
  <c r="E863" i="28"/>
  <c r="G863" i="28"/>
  <c r="K863" i="28"/>
  <c r="V863" i="28"/>
  <c r="AF863" i="28"/>
  <c r="E864" i="28"/>
  <c r="G864" i="28"/>
  <c r="K864" i="28"/>
  <c r="V864" i="28"/>
  <c r="AF864" i="28"/>
  <c r="E865" i="28"/>
  <c r="G865" i="28"/>
  <c r="K865" i="28"/>
  <c r="V865" i="28"/>
  <c r="AF865" i="28"/>
  <c r="E866" i="28"/>
  <c r="G866" i="28"/>
  <c r="K866" i="28"/>
  <c r="V866" i="28"/>
  <c r="AF866" i="28"/>
  <c r="E867" i="28"/>
  <c r="G867" i="28"/>
  <c r="K867" i="28"/>
  <c r="V867" i="28"/>
  <c r="AF867" i="28"/>
  <c r="E868" i="28"/>
  <c r="G868" i="28"/>
  <c r="K868" i="28"/>
  <c r="V868" i="28"/>
  <c r="AF868" i="28"/>
  <c r="E869" i="28"/>
  <c r="G869" i="28"/>
  <c r="K869" i="28"/>
  <c r="V869" i="28"/>
  <c r="AF869" i="28"/>
  <c r="E870" i="28"/>
  <c r="G870" i="28"/>
  <c r="K870" i="28"/>
  <c r="V870" i="28"/>
  <c r="AF870" i="28"/>
  <c r="E871" i="28"/>
  <c r="G871" i="28"/>
  <c r="K871" i="28"/>
  <c r="V871" i="28"/>
  <c r="AF871" i="28"/>
  <c r="E872" i="28"/>
  <c r="G872" i="28"/>
  <c r="K872" i="28"/>
  <c r="V872" i="28"/>
  <c r="AF872" i="28"/>
  <c r="E873" i="28"/>
  <c r="G873" i="28"/>
  <c r="K873" i="28"/>
  <c r="V873" i="28"/>
  <c r="AF873" i="28"/>
  <c r="E874" i="28"/>
  <c r="G874" i="28"/>
  <c r="K874" i="28"/>
  <c r="V874" i="28"/>
  <c r="AF874" i="28"/>
  <c r="E875" i="28"/>
  <c r="G875" i="28"/>
  <c r="K875" i="28"/>
  <c r="V875" i="28"/>
  <c r="AF875" i="28"/>
  <c r="E876" i="28"/>
  <c r="G876" i="28"/>
  <c r="K876" i="28"/>
  <c r="V876" i="28"/>
  <c r="AF876" i="28"/>
  <c r="E877" i="28"/>
  <c r="G877" i="28"/>
  <c r="K877" i="28"/>
  <c r="V877" i="28"/>
  <c r="AF877" i="28"/>
  <c r="E878" i="28"/>
  <c r="G878" i="28"/>
  <c r="K878" i="28"/>
  <c r="V878" i="28"/>
  <c r="AF878" i="28"/>
  <c r="E879" i="28"/>
  <c r="G879" i="28"/>
  <c r="K879" i="28"/>
  <c r="V879" i="28"/>
  <c r="AF879" i="28"/>
  <c r="E880" i="28"/>
  <c r="G880" i="28"/>
  <c r="K880" i="28"/>
  <c r="V880" i="28"/>
  <c r="AF880" i="28"/>
  <c r="E881" i="28"/>
  <c r="G881" i="28"/>
  <c r="K881" i="28"/>
  <c r="V881" i="28"/>
  <c r="AF881" i="28"/>
  <c r="E882" i="28"/>
  <c r="G882" i="28"/>
  <c r="K882" i="28"/>
  <c r="V882" i="28"/>
  <c r="AF882" i="28"/>
  <c r="E883" i="28"/>
  <c r="G883" i="28"/>
  <c r="K883" i="28"/>
  <c r="V883" i="28"/>
  <c r="AF883" i="28"/>
  <c r="E884" i="28"/>
  <c r="G884" i="28"/>
  <c r="K884" i="28"/>
  <c r="V884" i="28"/>
  <c r="AF884" i="28"/>
  <c r="E885" i="28"/>
  <c r="G885" i="28"/>
  <c r="K885" i="28"/>
  <c r="V885" i="28"/>
  <c r="AF885" i="28"/>
  <c r="E886" i="28"/>
  <c r="G886" i="28"/>
  <c r="K886" i="28"/>
  <c r="V886" i="28"/>
  <c r="AF886" i="28"/>
  <c r="E887" i="28"/>
  <c r="G887" i="28"/>
  <c r="K887" i="28"/>
  <c r="V887" i="28"/>
  <c r="AF887" i="28"/>
  <c r="E888" i="28"/>
  <c r="G888" i="28"/>
  <c r="K888" i="28"/>
  <c r="V888" i="28"/>
  <c r="AF888" i="28"/>
  <c r="E889" i="28"/>
  <c r="G889" i="28"/>
  <c r="K889" i="28"/>
  <c r="V889" i="28"/>
  <c r="AF889" i="28"/>
  <c r="E890" i="28"/>
  <c r="G890" i="28"/>
  <c r="K890" i="28"/>
  <c r="V890" i="28"/>
  <c r="AF890" i="28"/>
  <c r="E891" i="28"/>
  <c r="G891" i="28"/>
  <c r="K891" i="28"/>
  <c r="V891" i="28"/>
  <c r="AF891" i="28"/>
  <c r="E892" i="28"/>
  <c r="G892" i="28"/>
  <c r="K892" i="28"/>
  <c r="V892" i="28"/>
  <c r="AF892" i="28"/>
  <c r="E893" i="28"/>
  <c r="G893" i="28"/>
  <c r="K893" i="28"/>
  <c r="V893" i="28"/>
  <c r="AF893" i="28"/>
  <c r="E894" i="28"/>
  <c r="G894" i="28"/>
  <c r="K894" i="28"/>
  <c r="V894" i="28"/>
  <c r="AF894" i="28"/>
  <c r="E895" i="28"/>
  <c r="G895" i="28"/>
  <c r="K895" i="28"/>
  <c r="V895" i="28"/>
  <c r="AF895" i="28"/>
  <c r="E896" i="28"/>
  <c r="G896" i="28"/>
  <c r="K896" i="28"/>
  <c r="V896" i="28"/>
  <c r="AF896" i="28"/>
  <c r="E897" i="28"/>
  <c r="G897" i="28"/>
  <c r="K897" i="28"/>
  <c r="V897" i="28"/>
  <c r="AF897" i="28"/>
  <c r="E898" i="28"/>
  <c r="G898" i="28"/>
  <c r="K898" i="28"/>
  <c r="V898" i="28"/>
  <c r="AF898" i="28"/>
  <c r="E899" i="28"/>
  <c r="G899" i="28"/>
  <c r="K899" i="28"/>
  <c r="V899" i="28"/>
  <c r="AF899" i="28"/>
  <c r="E900" i="28"/>
  <c r="G900" i="28"/>
  <c r="K900" i="28"/>
  <c r="V900" i="28"/>
  <c r="AF900" i="28"/>
  <c r="E901" i="28"/>
  <c r="G901" i="28"/>
  <c r="K901" i="28"/>
  <c r="V901" i="28"/>
  <c r="AF901" i="28"/>
  <c r="E902" i="28"/>
  <c r="G902" i="28"/>
  <c r="K902" i="28"/>
  <c r="V902" i="28"/>
  <c r="AF902" i="28"/>
  <c r="E903" i="28"/>
  <c r="G903" i="28"/>
  <c r="K903" i="28"/>
  <c r="V903" i="28"/>
  <c r="AF903" i="28"/>
  <c r="E904" i="28"/>
  <c r="G904" i="28"/>
  <c r="K904" i="28"/>
  <c r="V904" i="28"/>
  <c r="AF904" i="28"/>
  <c r="E905" i="28"/>
  <c r="G905" i="28"/>
  <c r="K905" i="28"/>
  <c r="V905" i="28"/>
  <c r="AF905" i="28"/>
  <c r="E906" i="28"/>
  <c r="G906" i="28"/>
  <c r="K906" i="28"/>
  <c r="V906" i="28"/>
  <c r="AF906" i="28"/>
  <c r="E907" i="28"/>
  <c r="G907" i="28"/>
  <c r="K907" i="28"/>
  <c r="V907" i="28"/>
  <c r="AF907" i="28"/>
  <c r="E908" i="28"/>
  <c r="G908" i="28"/>
  <c r="K908" i="28"/>
  <c r="V908" i="28"/>
  <c r="AF908" i="28"/>
  <c r="E909" i="28"/>
  <c r="G909" i="28"/>
  <c r="K909" i="28"/>
  <c r="V909" i="28"/>
  <c r="AF909" i="28"/>
  <c r="E910" i="28"/>
  <c r="G910" i="28"/>
  <c r="K910" i="28"/>
  <c r="V910" i="28"/>
  <c r="AF910" i="28"/>
  <c r="E911" i="28"/>
  <c r="G911" i="28"/>
  <c r="K911" i="28"/>
  <c r="V911" i="28"/>
  <c r="AF911" i="28"/>
  <c r="E912" i="28"/>
  <c r="G912" i="28"/>
  <c r="K912" i="28"/>
  <c r="V912" i="28"/>
  <c r="AF912" i="28"/>
  <c r="E913" i="28"/>
  <c r="G913" i="28"/>
  <c r="K913" i="28"/>
  <c r="V913" i="28"/>
  <c r="AF913" i="28"/>
  <c r="E914" i="28"/>
  <c r="G914" i="28"/>
  <c r="K914" i="28"/>
  <c r="V914" i="28"/>
  <c r="AF914" i="28"/>
  <c r="E915" i="28"/>
  <c r="G915" i="28"/>
  <c r="K915" i="28"/>
  <c r="V915" i="28"/>
  <c r="AF915" i="28"/>
  <c r="E916" i="28"/>
  <c r="G916" i="28"/>
  <c r="K916" i="28"/>
  <c r="V916" i="28"/>
  <c r="AF916" i="28"/>
  <c r="E917" i="28"/>
  <c r="G917" i="28"/>
  <c r="K917" i="28"/>
  <c r="V917" i="28"/>
  <c r="AF917" i="28"/>
  <c r="E918" i="28"/>
  <c r="G918" i="28"/>
  <c r="K918" i="28"/>
  <c r="V918" i="28"/>
  <c r="AF918" i="28"/>
  <c r="E919" i="28"/>
  <c r="G919" i="28"/>
  <c r="K919" i="28"/>
  <c r="V919" i="28"/>
  <c r="AF919" i="28"/>
  <c r="E920" i="28"/>
  <c r="G920" i="28"/>
  <c r="K920" i="28"/>
  <c r="V920" i="28"/>
  <c r="AF920" i="28"/>
  <c r="E921" i="28"/>
  <c r="G921" i="28"/>
  <c r="K921" i="28"/>
  <c r="V921" i="28"/>
  <c r="AF921" i="28"/>
  <c r="E922" i="28"/>
  <c r="G922" i="28"/>
  <c r="K922" i="28"/>
  <c r="V922" i="28"/>
  <c r="AF922" i="28"/>
  <c r="E923" i="28"/>
  <c r="G923" i="28"/>
  <c r="K923" i="28"/>
  <c r="V923" i="28"/>
  <c r="AF923" i="28"/>
  <c r="E924" i="28"/>
  <c r="G924" i="28"/>
  <c r="K924" i="28"/>
  <c r="V924" i="28"/>
  <c r="AF924" i="28"/>
  <c r="E925" i="28"/>
  <c r="G925" i="28"/>
  <c r="K925" i="28"/>
  <c r="V925" i="28"/>
  <c r="AF925" i="28"/>
  <c r="E926" i="28"/>
  <c r="G926" i="28"/>
  <c r="K926" i="28"/>
  <c r="V926" i="28"/>
  <c r="AF926" i="28"/>
  <c r="E927" i="28"/>
  <c r="G927" i="28"/>
  <c r="K927" i="28"/>
  <c r="V927" i="28"/>
  <c r="AF927" i="28"/>
  <c r="E928" i="28"/>
  <c r="G928" i="28"/>
  <c r="K928" i="28"/>
  <c r="V928" i="28"/>
  <c r="AF928" i="28"/>
  <c r="E929" i="28"/>
  <c r="G929" i="28"/>
  <c r="K929" i="28"/>
  <c r="V929" i="28"/>
  <c r="AF929" i="28"/>
  <c r="E930" i="28"/>
  <c r="G930" i="28"/>
  <c r="K930" i="28"/>
  <c r="V930" i="28"/>
  <c r="AF930" i="28"/>
  <c r="E931" i="28"/>
  <c r="G931" i="28"/>
  <c r="K931" i="28"/>
  <c r="V931" i="28"/>
  <c r="AF931" i="28"/>
  <c r="E932" i="28"/>
  <c r="G932" i="28"/>
  <c r="K932" i="28"/>
  <c r="V932" i="28"/>
  <c r="AF932" i="28"/>
  <c r="E933" i="28"/>
  <c r="G933" i="28"/>
  <c r="K933" i="28"/>
  <c r="V933" i="28"/>
  <c r="AF933" i="28"/>
  <c r="E934" i="28"/>
  <c r="G934" i="28"/>
  <c r="K934" i="28"/>
  <c r="V934" i="28"/>
  <c r="AF934" i="28"/>
  <c r="E935" i="28"/>
  <c r="G935" i="28"/>
  <c r="K935" i="28"/>
  <c r="V935" i="28"/>
  <c r="AF935" i="28"/>
  <c r="E936" i="28"/>
  <c r="G936" i="28"/>
  <c r="K936" i="28"/>
  <c r="V936" i="28"/>
  <c r="AF936" i="28"/>
  <c r="E937" i="28"/>
  <c r="G937" i="28"/>
  <c r="K937" i="28"/>
  <c r="V937" i="28"/>
  <c r="AF937" i="28"/>
  <c r="E938" i="28"/>
  <c r="G938" i="28"/>
  <c r="K938" i="28"/>
  <c r="V938" i="28"/>
  <c r="AF938" i="28"/>
  <c r="E939" i="28"/>
  <c r="G939" i="28"/>
  <c r="K939" i="28"/>
  <c r="V939" i="28"/>
  <c r="AF939" i="28"/>
  <c r="E940" i="28"/>
  <c r="G940" i="28"/>
  <c r="K940" i="28"/>
  <c r="V940" i="28"/>
  <c r="AF940" i="28"/>
  <c r="E941" i="28"/>
  <c r="G941" i="28"/>
  <c r="K941" i="28"/>
  <c r="V941" i="28"/>
  <c r="AF941" i="28"/>
  <c r="E942" i="28"/>
  <c r="G942" i="28"/>
  <c r="K942" i="28"/>
  <c r="V942" i="28"/>
  <c r="AF942" i="28"/>
  <c r="E943" i="28"/>
  <c r="G943" i="28"/>
  <c r="K943" i="28"/>
  <c r="V943" i="28"/>
  <c r="AF943" i="28"/>
  <c r="E944" i="28"/>
  <c r="G944" i="28"/>
  <c r="K944" i="28"/>
  <c r="V944" i="28"/>
  <c r="AF944" i="28"/>
  <c r="E945" i="28"/>
  <c r="G945" i="28"/>
  <c r="K945" i="28"/>
  <c r="V945" i="28"/>
  <c r="AF945" i="28"/>
  <c r="E946" i="28"/>
  <c r="G946" i="28"/>
  <c r="K946" i="28"/>
  <c r="V946" i="28"/>
  <c r="AF946" i="28"/>
  <c r="E947" i="28"/>
  <c r="G947" i="28"/>
  <c r="K947" i="28"/>
  <c r="V947" i="28"/>
  <c r="AF947" i="28"/>
  <c r="E948" i="28"/>
  <c r="G948" i="28"/>
  <c r="K948" i="28"/>
  <c r="V948" i="28"/>
  <c r="AF948" i="28"/>
  <c r="E949" i="28"/>
  <c r="G949" i="28"/>
  <c r="K949" i="28"/>
  <c r="V949" i="28"/>
  <c r="AF949" i="28"/>
  <c r="E950" i="28"/>
  <c r="G950" i="28"/>
  <c r="K950" i="28"/>
  <c r="V950" i="28"/>
  <c r="AF950" i="28"/>
  <c r="E951" i="28"/>
  <c r="G951" i="28"/>
  <c r="K951" i="28"/>
  <c r="V951" i="28"/>
  <c r="AF951" i="28"/>
  <c r="E952" i="28"/>
  <c r="G952" i="28"/>
  <c r="K952" i="28"/>
  <c r="V952" i="28"/>
  <c r="AF952" i="28"/>
  <c r="E953" i="28"/>
  <c r="G953" i="28"/>
  <c r="K953" i="28"/>
  <c r="V953" i="28"/>
  <c r="AF953" i="28"/>
  <c r="E954" i="28"/>
  <c r="G954" i="28"/>
  <c r="K954" i="28"/>
  <c r="V954" i="28"/>
  <c r="AF954" i="28"/>
  <c r="E955" i="28"/>
  <c r="G955" i="28"/>
  <c r="K955" i="28"/>
  <c r="V955" i="28"/>
  <c r="AF955" i="28"/>
  <c r="E956" i="28"/>
  <c r="G956" i="28"/>
  <c r="K956" i="28"/>
  <c r="V956" i="28"/>
  <c r="AF956" i="28"/>
  <c r="E957" i="28"/>
  <c r="G957" i="28"/>
  <c r="K957" i="28"/>
  <c r="V957" i="28"/>
  <c r="AF957" i="28"/>
  <c r="E958" i="28"/>
  <c r="G958" i="28"/>
  <c r="K958" i="28"/>
  <c r="V958" i="28"/>
  <c r="AF958" i="28"/>
  <c r="E959" i="28"/>
  <c r="G959" i="28"/>
  <c r="K959" i="28"/>
  <c r="V959" i="28"/>
  <c r="AF959" i="28"/>
  <c r="E960" i="28"/>
  <c r="G960" i="28"/>
  <c r="K960" i="28"/>
  <c r="V960" i="28"/>
  <c r="AF960" i="28"/>
  <c r="E961" i="28"/>
  <c r="G961" i="28"/>
  <c r="K961" i="28"/>
  <c r="V961" i="28"/>
  <c r="AF961" i="28"/>
  <c r="E962" i="28"/>
  <c r="G962" i="28"/>
  <c r="K962" i="28"/>
  <c r="V962" i="28"/>
  <c r="AF962" i="28"/>
  <c r="E963" i="28"/>
  <c r="G963" i="28"/>
  <c r="K963" i="28"/>
  <c r="V963" i="28"/>
  <c r="AF963" i="28"/>
  <c r="E964" i="28"/>
  <c r="G964" i="28"/>
  <c r="K964" i="28"/>
  <c r="V964" i="28"/>
  <c r="AF964" i="28"/>
  <c r="E965" i="28"/>
  <c r="G965" i="28"/>
  <c r="K965" i="28"/>
  <c r="V965" i="28"/>
  <c r="AF965" i="28"/>
  <c r="E966" i="28"/>
  <c r="G966" i="28"/>
  <c r="K966" i="28"/>
  <c r="V966" i="28"/>
  <c r="AF966" i="28"/>
  <c r="E967" i="28"/>
  <c r="G967" i="28"/>
  <c r="K967" i="28"/>
  <c r="V967" i="28"/>
  <c r="AF967" i="28"/>
  <c r="E968" i="28"/>
  <c r="G968" i="28"/>
  <c r="K968" i="28"/>
  <c r="V968" i="28"/>
  <c r="AF968" i="28"/>
  <c r="E969" i="28"/>
  <c r="G969" i="28"/>
  <c r="K969" i="28"/>
  <c r="V969" i="28"/>
  <c r="AF969" i="28"/>
  <c r="E970" i="28"/>
  <c r="G970" i="28"/>
  <c r="K970" i="28"/>
  <c r="V970" i="28"/>
  <c r="AF970" i="28"/>
  <c r="E971" i="28"/>
  <c r="G971" i="28"/>
  <c r="K971" i="28"/>
  <c r="V971" i="28"/>
  <c r="AF971" i="28"/>
  <c r="E972" i="28"/>
  <c r="G972" i="28"/>
  <c r="K972" i="28"/>
  <c r="V972" i="28"/>
  <c r="AF972" i="28"/>
  <c r="E973" i="28"/>
  <c r="G973" i="28"/>
  <c r="K973" i="28"/>
  <c r="V973" i="28"/>
  <c r="AF973" i="28"/>
  <c r="E974" i="28"/>
  <c r="G974" i="28"/>
  <c r="K974" i="28"/>
  <c r="V974" i="28"/>
  <c r="AF974" i="28"/>
  <c r="E975" i="28"/>
  <c r="G975" i="28"/>
  <c r="K975" i="28"/>
  <c r="V975" i="28"/>
  <c r="AF975" i="28"/>
  <c r="E976" i="28"/>
  <c r="G976" i="28"/>
  <c r="K976" i="28"/>
  <c r="V976" i="28"/>
  <c r="AF976" i="28"/>
  <c r="E977" i="28"/>
  <c r="G977" i="28"/>
  <c r="K977" i="28"/>
  <c r="V977" i="28"/>
  <c r="AF977" i="28"/>
  <c r="E978" i="28"/>
  <c r="G978" i="28"/>
  <c r="K978" i="28"/>
  <c r="V978" i="28"/>
  <c r="AF978" i="28"/>
  <c r="E979" i="28"/>
  <c r="G979" i="28"/>
  <c r="K979" i="28"/>
  <c r="V979" i="28"/>
  <c r="AF979" i="28"/>
  <c r="E980" i="28"/>
  <c r="G980" i="28"/>
  <c r="K980" i="28"/>
  <c r="V980" i="28"/>
  <c r="AF980" i="28"/>
  <c r="E981" i="28"/>
  <c r="G981" i="28"/>
  <c r="K981" i="28"/>
  <c r="V981" i="28"/>
  <c r="AF981" i="28"/>
  <c r="E982" i="28"/>
  <c r="G982" i="28"/>
  <c r="K982" i="28"/>
  <c r="V982" i="28"/>
  <c r="AF982" i="28"/>
  <c r="E983" i="28"/>
  <c r="G983" i="28"/>
  <c r="K983" i="28"/>
  <c r="V983" i="28"/>
  <c r="AF983" i="28"/>
  <c r="E984" i="28"/>
  <c r="G984" i="28"/>
  <c r="K984" i="28"/>
  <c r="V984" i="28"/>
  <c r="AF984" i="28"/>
  <c r="E985" i="28"/>
  <c r="G985" i="28"/>
  <c r="K985" i="28"/>
  <c r="V985" i="28"/>
  <c r="AF985" i="28"/>
  <c r="E986" i="28"/>
  <c r="G986" i="28"/>
  <c r="K986" i="28"/>
  <c r="V986" i="28"/>
  <c r="AF986" i="28"/>
  <c r="E987" i="28"/>
  <c r="G987" i="28"/>
  <c r="K987" i="28"/>
  <c r="V987" i="28"/>
  <c r="AF987" i="28"/>
  <c r="E988" i="28"/>
  <c r="G988" i="28"/>
  <c r="K988" i="28"/>
  <c r="V988" i="28"/>
  <c r="AF988" i="28"/>
  <c r="E989" i="28"/>
  <c r="G989" i="28"/>
  <c r="K989" i="28"/>
  <c r="V989" i="28"/>
  <c r="AF989" i="28"/>
  <c r="E990" i="28"/>
  <c r="G990" i="28"/>
  <c r="K990" i="28"/>
  <c r="V990" i="28"/>
  <c r="AF990" i="28"/>
  <c r="E991" i="28"/>
  <c r="G991" i="28"/>
  <c r="K991" i="28"/>
  <c r="V991" i="28"/>
  <c r="AF991" i="28"/>
  <c r="E992" i="28"/>
  <c r="G992" i="28"/>
  <c r="K992" i="28"/>
  <c r="V992" i="28"/>
  <c r="AF992" i="28"/>
  <c r="E993" i="28"/>
  <c r="G993" i="28"/>
  <c r="K993" i="28"/>
  <c r="V993" i="28"/>
  <c r="AF993" i="28"/>
  <c r="E994" i="28"/>
  <c r="G994" i="28"/>
  <c r="K994" i="28"/>
  <c r="V994" i="28"/>
  <c r="AF994" i="28"/>
  <c r="E995" i="28"/>
  <c r="G995" i="28"/>
  <c r="K995" i="28"/>
  <c r="V995" i="28"/>
  <c r="AF995" i="28"/>
  <c r="E996" i="28"/>
  <c r="G996" i="28"/>
  <c r="K996" i="28"/>
  <c r="V996" i="28"/>
  <c r="AF996" i="28"/>
  <c r="E997" i="28"/>
  <c r="G997" i="28"/>
  <c r="K997" i="28"/>
  <c r="V997" i="28"/>
  <c r="AF997" i="28"/>
  <c r="E998" i="28"/>
  <c r="G998" i="28"/>
  <c r="K998" i="28"/>
  <c r="V998" i="28"/>
  <c r="AF998" i="28"/>
  <c r="E999" i="28"/>
  <c r="G999" i="28"/>
  <c r="K999" i="28"/>
  <c r="V999" i="28"/>
  <c r="AF999" i="28"/>
  <c r="E1000" i="28"/>
  <c r="G1000" i="28"/>
  <c r="K1000" i="28"/>
  <c r="V1000" i="28"/>
  <c r="AF1000" i="28"/>
  <c r="E1001" i="28"/>
  <c r="G1001" i="28"/>
  <c r="K1001" i="28"/>
  <c r="V1001" i="28"/>
  <c r="AF1001" i="28"/>
  <c r="E1002" i="28"/>
  <c r="G1002" i="28"/>
  <c r="K1002" i="28"/>
  <c r="V1002" i="28"/>
  <c r="AF1002" i="28"/>
  <c r="E1003" i="28"/>
  <c r="G1003" i="28"/>
  <c r="K1003" i="28"/>
  <c r="V1003" i="28"/>
  <c r="AF1003" i="28"/>
  <c r="E1004" i="28"/>
  <c r="G1004" i="28"/>
  <c r="K1004" i="28"/>
  <c r="V1004" i="28"/>
  <c r="AF1004" i="28"/>
  <c r="E1005" i="28"/>
  <c r="G1005" i="28"/>
  <c r="K1005" i="28"/>
  <c r="V1005" i="28"/>
  <c r="AF1005" i="28"/>
  <c r="E1006" i="28"/>
  <c r="G1006" i="28"/>
  <c r="K1006" i="28"/>
  <c r="V1006" i="28"/>
  <c r="AF1006" i="28"/>
  <c r="E1007" i="28"/>
  <c r="G1007" i="28"/>
  <c r="K1007" i="28"/>
  <c r="V1007" i="28"/>
  <c r="AF1007" i="28"/>
  <c r="E1008" i="28"/>
  <c r="G1008" i="28"/>
  <c r="K1008" i="28"/>
  <c r="V1008" i="28"/>
  <c r="AF1008" i="28"/>
  <c r="E1009" i="28"/>
  <c r="G1009" i="28"/>
  <c r="K1009" i="28"/>
  <c r="V1009" i="28"/>
  <c r="AF1009" i="28"/>
  <c r="E1010" i="28"/>
  <c r="G1010" i="28"/>
  <c r="K1010" i="28"/>
  <c r="V1010" i="28"/>
  <c r="AF1010" i="28"/>
  <c r="E1011" i="28"/>
  <c r="G1011" i="28"/>
  <c r="K1011" i="28"/>
  <c r="R1011" i="28"/>
  <c r="T1011" i="28"/>
  <c r="V1011" i="28"/>
  <c r="AF1011" i="28"/>
  <c r="E1012" i="28"/>
  <c r="G1012" i="28"/>
  <c r="K1012" i="28"/>
  <c r="V1012" i="28"/>
  <c r="AF1012" i="28"/>
  <c r="E1013" i="28"/>
  <c r="G1013" i="28"/>
  <c r="K1013" i="28"/>
  <c r="V1013" i="28"/>
  <c r="AF1013" i="28"/>
  <c r="E1014" i="28"/>
  <c r="G1014" i="28"/>
  <c r="K1014" i="28"/>
  <c r="T1014" i="28"/>
  <c r="V1014" i="28"/>
  <c r="AF1014" i="28"/>
  <c r="E1015" i="28"/>
  <c r="G1015" i="28"/>
  <c r="K1015" i="28"/>
  <c r="R1015" i="28"/>
  <c r="T1015" i="28"/>
  <c r="V1015" i="28"/>
  <c r="AF1015" i="28"/>
  <c r="E1016" i="28"/>
  <c r="G1016" i="28"/>
  <c r="K1016" i="28"/>
  <c r="T1016" i="28"/>
  <c r="V1016" i="28"/>
  <c r="AF1016" i="28"/>
  <c r="E1017" i="28"/>
  <c r="G1017" i="28"/>
  <c r="K1017" i="28"/>
  <c r="V1017" i="28"/>
  <c r="AF1017" i="28"/>
  <c r="E1018" i="28"/>
  <c r="G1018" i="28"/>
  <c r="K1018" i="28"/>
  <c r="V1018" i="28"/>
  <c r="AF1018" i="28"/>
  <c r="E1019" i="28"/>
  <c r="G1019" i="28"/>
  <c r="K1019" i="28"/>
  <c r="V1019" i="28"/>
  <c r="AF1019" i="28"/>
  <c r="E1020" i="28"/>
  <c r="G1020" i="28"/>
  <c r="K1020" i="28"/>
  <c r="T1020" i="28"/>
  <c r="V1020" i="28"/>
  <c r="AF1020" i="28"/>
  <c r="E1021" i="28"/>
  <c r="G1021" i="28"/>
  <c r="K1021" i="28"/>
  <c r="V1021" i="28"/>
  <c r="AF1021" i="28"/>
  <c r="E1022" i="28"/>
  <c r="G1022" i="28"/>
  <c r="K1022" i="28"/>
  <c r="T1022" i="28"/>
  <c r="V1022" i="28"/>
  <c r="AF1022" i="28"/>
  <c r="E1023" i="28"/>
  <c r="G1023" i="28"/>
  <c r="K1023" i="28"/>
  <c r="V1023" i="28"/>
  <c r="AF1023" i="28"/>
  <c r="E1024" i="28"/>
  <c r="G1024" i="28"/>
  <c r="K1024" i="28"/>
  <c r="V1024" i="28"/>
  <c r="AF1024" i="28"/>
  <c r="E1025" i="28"/>
  <c r="G1025" i="28"/>
  <c r="K1025" i="28"/>
  <c r="V1025" i="28"/>
  <c r="AF1025" i="28"/>
  <c r="E1026" i="28"/>
  <c r="G1026" i="28"/>
  <c r="K1026" i="28"/>
  <c r="V1026" i="28"/>
  <c r="AF1026" i="28"/>
  <c r="E1027" i="28"/>
  <c r="G1027" i="28"/>
  <c r="K1027" i="28"/>
  <c r="V1027" i="28"/>
  <c r="AF1027" i="28"/>
  <c r="E1028" i="28"/>
  <c r="G1028" i="28"/>
  <c r="K1028" i="28"/>
  <c r="V1028" i="28"/>
  <c r="AF1028" i="28"/>
  <c r="E1029" i="28"/>
  <c r="G1029" i="28"/>
  <c r="K1029" i="28"/>
  <c r="V1029" i="28"/>
  <c r="AF1029" i="28"/>
  <c r="E1030" i="28"/>
  <c r="G1030" i="28"/>
  <c r="K1030" i="28"/>
  <c r="V1030" i="28"/>
  <c r="AF1030" i="28"/>
  <c r="E1031" i="28"/>
  <c r="G1031" i="28"/>
  <c r="K1031" i="28"/>
  <c r="V1031" i="28"/>
  <c r="AF1031" i="28"/>
  <c r="E1032" i="28"/>
  <c r="G1032" i="28"/>
  <c r="K1032" i="28"/>
  <c r="V1032" i="28"/>
  <c r="AF1032" i="28"/>
  <c r="E1033" i="28"/>
  <c r="G1033" i="28"/>
  <c r="K1033" i="28"/>
  <c r="V1033" i="28"/>
  <c r="AF1033" i="28"/>
  <c r="E1034" i="28"/>
  <c r="G1034" i="28"/>
  <c r="K1034" i="28"/>
  <c r="V1034" i="28"/>
  <c r="AF1034" i="28"/>
  <c r="E1035" i="28"/>
  <c r="G1035" i="28"/>
  <c r="K1035" i="28"/>
  <c r="V1035" i="28"/>
  <c r="AF1035" i="28"/>
  <c r="E1036" i="28"/>
  <c r="G1036" i="28"/>
  <c r="K1036" i="28"/>
  <c r="V1036" i="28"/>
  <c r="AF1036" i="28"/>
  <c r="E1037" i="28"/>
  <c r="G1037" i="28"/>
  <c r="K1037" i="28"/>
  <c r="V1037" i="28"/>
  <c r="AF1037" i="28"/>
  <c r="E1038" i="28"/>
  <c r="G1038" i="28"/>
  <c r="K1038" i="28"/>
  <c r="V1038" i="28"/>
  <c r="AF1038" i="28"/>
  <c r="E1039" i="28"/>
  <c r="G1039" i="28"/>
  <c r="K1039" i="28"/>
  <c r="V1039" i="28"/>
  <c r="AF1039" i="28"/>
  <c r="E1040" i="28"/>
  <c r="G1040" i="28"/>
  <c r="K1040" i="28"/>
  <c r="V1040" i="28"/>
  <c r="AF1040" i="28"/>
  <c r="E1041" i="28"/>
  <c r="G1041" i="28"/>
  <c r="K1041" i="28"/>
  <c r="V1041" i="28"/>
  <c r="AF1041" i="28"/>
  <c r="E1042" i="28"/>
  <c r="G1042" i="28"/>
  <c r="K1042" i="28"/>
  <c r="V1042" i="28"/>
  <c r="AF1042" i="28"/>
  <c r="E1043" i="28"/>
  <c r="G1043" i="28"/>
  <c r="K1043" i="28"/>
  <c r="V1043" i="28"/>
  <c r="AF1043" i="28"/>
  <c r="E1044" i="28"/>
  <c r="G1044" i="28"/>
  <c r="K1044" i="28"/>
  <c r="V1044" i="28"/>
  <c r="AF1044" i="28"/>
  <c r="E1045" i="28"/>
  <c r="G1045" i="28"/>
  <c r="K1045" i="28"/>
  <c r="V1045" i="28"/>
  <c r="AF1045" i="28"/>
  <c r="E1046" i="28"/>
  <c r="G1046" i="28"/>
  <c r="K1046" i="28"/>
  <c r="V1046" i="28"/>
  <c r="AF1046" i="28"/>
  <c r="E1047" i="28"/>
  <c r="G1047" i="28"/>
  <c r="K1047" i="28"/>
  <c r="V1047" i="28"/>
  <c r="AF1047" i="28"/>
  <c r="E1048" i="28"/>
  <c r="G1048" i="28"/>
  <c r="K1048" i="28"/>
  <c r="V1048" i="28"/>
  <c r="AF1048" i="28"/>
  <c r="E1049" i="28"/>
  <c r="G1049" i="28"/>
  <c r="K1049" i="28"/>
  <c r="V1049" i="28"/>
  <c r="AF1049" i="28"/>
  <c r="E1050" i="28"/>
  <c r="G1050" i="28"/>
  <c r="K1050" i="28"/>
  <c r="V1050" i="28"/>
  <c r="AF1050" i="28"/>
  <c r="E1051" i="28"/>
  <c r="G1051" i="28"/>
  <c r="K1051" i="28"/>
  <c r="V1051" i="28"/>
  <c r="AF1051" i="28"/>
  <c r="E1052" i="28"/>
  <c r="G1052" i="28"/>
  <c r="K1052" i="28"/>
  <c r="V1052" i="28"/>
  <c r="AF1052" i="28"/>
  <c r="E1053" i="28"/>
  <c r="G1053" i="28"/>
  <c r="K1053" i="28"/>
  <c r="V1053" i="28"/>
  <c r="AF1053" i="28"/>
  <c r="E1054" i="28"/>
  <c r="G1054" i="28"/>
  <c r="K1054" i="28"/>
  <c r="V1054" i="28"/>
  <c r="AF1054" i="28"/>
  <c r="E1055" i="28"/>
  <c r="G1055" i="28"/>
  <c r="K1055" i="28"/>
  <c r="V1055" i="28"/>
  <c r="AF1055" i="28"/>
  <c r="E1056" i="28"/>
  <c r="G1056" i="28"/>
  <c r="K1056" i="28"/>
  <c r="V1056" i="28"/>
  <c r="AF1056" i="28"/>
  <c r="E1057" i="28"/>
  <c r="G1057" i="28"/>
  <c r="K1057" i="28"/>
  <c r="V1057" i="28"/>
  <c r="AF1057" i="28"/>
  <c r="E1058" i="28"/>
  <c r="G1058" i="28"/>
  <c r="K1058" i="28"/>
  <c r="V1058" i="28"/>
  <c r="AF1058" i="28"/>
  <c r="E1059" i="28"/>
  <c r="G1059" i="28"/>
  <c r="K1059" i="28"/>
  <c r="V1059" i="28"/>
  <c r="AF1059" i="28"/>
  <c r="E1060" i="28"/>
  <c r="G1060" i="28"/>
  <c r="K1060" i="28"/>
  <c r="V1060" i="28"/>
  <c r="AF1060" i="28"/>
  <c r="E1061" i="28"/>
  <c r="G1061" i="28"/>
  <c r="K1061" i="28"/>
  <c r="V1061" i="28"/>
  <c r="AF1061" i="28"/>
  <c r="E1062" i="28"/>
  <c r="G1062" i="28"/>
  <c r="K1062" i="28"/>
  <c r="V1062" i="28"/>
  <c r="AF1062" i="28"/>
  <c r="E1063" i="28"/>
  <c r="G1063" i="28"/>
  <c r="K1063" i="28"/>
  <c r="V1063" i="28"/>
  <c r="AF1063" i="28"/>
  <c r="E1064" i="28"/>
  <c r="G1064" i="28"/>
  <c r="K1064" i="28"/>
  <c r="V1064" i="28"/>
  <c r="AF1064" i="28"/>
  <c r="E1065" i="28"/>
  <c r="G1065" i="28"/>
  <c r="K1065" i="28"/>
  <c r="V1065" i="28"/>
  <c r="AF1065" i="28"/>
  <c r="E1066" i="28"/>
  <c r="G1066" i="28"/>
  <c r="K1066" i="28"/>
  <c r="V1066" i="28"/>
  <c r="AF1066" i="28"/>
  <c r="E1067" i="28"/>
  <c r="G1067" i="28"/>
  <c r="K1067" i="28"/>
  <c r="V1067" i="28"/>
  <c r="AF1067" i="28"/>
  <c r="E1068" i="28"/>
  <c r="G1068" i="28"/>
  <c r="K1068" i="28"/>
  <c r="V1068" i="28"/>
  <c r="AF1068" i="28"/>
  <c r="E1069" i="28"/>
  <c r="G1069" i="28"/>
  <c r="K1069" i="28"/>
  <c r="V1069" i="28"/>
  <c r="AF1069" i="28"/>
  <c r="E1070" i="28"/>
  <c r="G1070" i="28"/>
  <c r="K1070" i="28"/>
  <c r="V1070" i="28"/>
  <c r="AF1070" i="28"/>
  <c r="E1071" i="28"/>
  <c r="G1071" i="28"/>
  <c r="K1071" i="28"/>
  <c r="V1071" i="28"/>
  <c r="AF1071" i="28"/>
  <c r="E1072" i="28"/>
  <c r="G1072" i="28"/>
  <c r="K1072" i="28"/>
  <c r="V1072" i="28"/>
  <c r="AF1072" i="28"/>
  <c r="E1073" i="28"/>
  <c r="G1073" i="28"/>
  <c r="K1073" i="28"/>
  <c r="V1073" i="28"/>
  <c r="AF1073" i="28"/>
  <c r="E1074" i="28"/>
  <c r="G1074" i="28"/>
  <c r="K1074" i="28"/>
  <c r="V1074" i="28"/>
  <c r="AF1074" i="28"/>
  <c r="E1075" i="28"/>
  <c r="G1075" i="28"/>
  <c r="K1075" i="28"/>
  <c r="V1075" i="28"/>
  <c r="AF1075" i="28"/>
  <c r="E1076" i="28"/>
  <c r="G1076" i="28"/>
  <c r="K1076" i="28"/>
  <c r="V1076" i="28"/>
  <c r="AF1076" i="28"/>
  <c r="E1077" i="28"/>
  <c r="G1077" i="28"/>
  <c r="K1077" i="28"/>
  <c r="V1077" i="28"/>
  <c r="AF1077" i="28"/>
  <c r="E1078" i="28"/>
  <c r="G1078" i="28"/>
  <c r="K1078" i="28"/>
  <c r="V1078" i="28"/>
  <c r="AF1078" i="28"/>
  <c r="E1079" i="28"/>
  <c r="G1079" i="28"/>
  <c r="K1079" i="28"/>
  <c r="V1079" i="28"/>
  <c r="AF1079" i="28"/>
  <c r="E1080" i="28"/>
  <c r="G1080" i="28"/>
  <c r="K1080" i="28"/>
  <c r="V1080" i="28"/>
  <c r="AF1080" i="28"/>
  <c r="E1081" i="28"/>
  <c r="G1081" i="28"/>
  <c r="K1081" i="28"/>
  <c r="V1081" i="28"/>
  <c r="AF1081" i="28"/>
  <c r="E1082" i="28"/>
  <c r="G1082" i="28"/>
  <c r="K1082" i="28"/>
  <c r="V1082" i="28"/>
  <c r="AF1082" i="28"/>
  <c r="E1083" i="28"/>
  <c r="G1083" i="28"/>
  <c r="K1083" i="28"/>
  <c r="V1083" i="28"/>
  <c r="AF1083" i="28"/>
  <c r="E1084" i="28"/>
  <c r="G1084" i="28"/>
  <c r="K1084" i="28"/>
  <c r="V1084" i="28"/>
  <c r="AF1084" i="28"/>
  <c r="E1085" i="28"/>
  <c r="G1085" i="28"/>
  <c r="K1085" i="28"/>
  <c r="V1085" i="28"/>
  <c r="AF1085" i="28"/>
  <c r="E1086" i="28"/>
  <c r="G1086" i="28"/>
  <c r="K1086" i="28"/>
  <c r="V1086" i="28"/>
  <c r="AF1086" i="28"/>
  <c r="E1087" i="28"/>
  <c r="G1087" i="28"/>
  <c r="K1087" i="28"/>
  <c r="V1087" i="28"/>
  <c r="AF1087" i="28"/>
  <c r="E1088" i="28"/>
  <c r="G1088" i="28"/>
  <c r="K1088" i="28"/>
  <c r="V1088" i="28"/>
  <c r="AF1088" i="28"/>
  <c r="E1089" i="28"/>
  <c r="G1089" i="28"/>
  <c r="K1089" i="28"/>
  <c r="V1089" i="28"/>
  <c r="AF1089" i="28"/>
  <c r="E1090" i="28"/>
  <c r="G1090" i="28"/>
  <c r="K1090" i="28"/>
  <c r="V1090" i="28"/>
  <c r="AF1090" i="28"/>
  <c r="E1091" i="28"/>
  <c r="G1091" i="28"/>
  <c r="K1091" i="28"/>
  <c r="V1091" i="28"/>
  <c r="AF1091" i="28"/>
  <c r="E1092" i="28"/>
  <c r="G1092" i="28"/>
  <c r="K1092" i="28"/>
  <c r="V1092" i="28"/>
  <c r="AF1092" i="28"/>
  <c r="E1093" i="28"/>
  <c r="G1093" i="28"/>
  <c r="K1093" i="28"/>
  <c r="V1093" i="28"/>
  <c r="AF1093" i="28"/>
  <c r="E1094" i="28"/>
  <c r="G1094" i="28"/>
  <c r="K1094" i="28"/>
  <c r="V1094" i="28"/>
  <c r="AF1094" i="28"/>
  <c r="E1095" i="28"/>
  <c r="G1095" i="28"/>
  <c r="K1095" i="28"/>
  <c r="V1095" i="28"/>
  <c r="AF1095" i="28"/>
  <c r="E1096" i="28"/>
  <c r="G1096" i="28"/>
  <c r="K1096" i="28"/>
  <c r="V1096" i="28"/>
  <c r="AF1096" i="28"/>
  <c r="E1097" i="28"/>
  <c r="G1097" i="28"/>
  <c r="K1097" i="28"/>
  <c r="V1097" i="28"/>
  <c r="AF1097" i="28"/>
  <c r="E1098" i="28"/>
  <c r="G1098" i="28"/>
  <c r="K1098" i="28"/>
  <c r="V1098" i="28"/>
  <c r="AF1098" i="28"/>
  <c r="E1099" i="28"/>
  <c r="G1099" i="28"/>
  <c r="K1099" i="28"/>
  <c r="V1099" i="28"/>
  <c r="AF1099" i="28"/>
  <c r="E1100" i="28"/>
  <c r="G1100" i="28"/>
  <c r="K1100" i="28"/>
  <c r="V1100" i="28"/>
  <c r="AF1100" i="28"/>
  <c r="E1101" i="28"/>
  <c r="G1101" i="28"/>
  <c r="K1101" i="28"/>
  <c r="V1101" i="28"/>
  <c r="AF1101" i="28"/>
  <c r="E1102" i="28"/>
  <c r="G1102" i="28"/>
  <c r="K1102" i="28"/>
  <c r="V1102" i="28"/>
  <c r="AF1102" i="28"/>
  <c r="E1103" i="28"/>
  <c r="G1103" i="28"/>
  <c r="K1103" i="28"/>
  <c r="V1103" i="28"/>
  <c r="AF1103" i="28"/>
  <c r="E1104" i="28"/>
  <c r="G1104" i="28"/>
  <c r="K1104" i="28"/>
  <c r="V1104" i="28"/>
  <c r="AF1104" i="28"/>
  <c r="E1105" i="28"/>
  <c r="G1105" i="28"/>
  <c r="K1105" i="28"/>
  <c r="V1105" i="28"/>
  <c r="AF1105" i="28"/>
  <c r="E1106" i="28"/>
  <c r="G1106" i="28"/>
  <c r="K1106" i="28"/>
  <c r="V1106" i="28"/>
  <c r="AF1106" i="28"/>
  <c r="E1107" i="28"/>
  <c r="G1107" i="28"/>
  <c r="K1107" i="28"/>
  <c r="V1107" i="28"/>
  <c r="AF1107" i="28"/>
  <c r="E1108" i="28"/>
  <c r="G1108" i="28"/>
  <c r="K1108" i="28"/>
  <c r="V1108" i="28"/>
  <c r="AF1108" i="28"/>
  <c r="E1109" i="28"/>
  <c r="G1109" i="28"/>
  <c r="K1109" i="28"/>
  <c r="V1109" i="28"/>
  <c r="AF1109" i="28"/>
  <c r="E1110" i="28"/>
  <c r="G1110" i="28"/>
  <c r="K1110" i="28"/>
  <c r="V1110" i="28"/>
  <c r="AF1110" i="28"/>
  <c r="E1111" i="28"/>
  <c r="G1111" i="28"/>
  <c r="K1111" i="28"/>
  <c r="V1111" i="28"/>
  <c r="AF1111" i="28"/>
  <c r="E1112" i="28"/>
  <c r="G1112" i="28"/>
  <c r="K1112" i="28"/>
  <c r="V1112" i="28"/>
  <c r="AF1112" i="28"/>
  <c r="E1113" i="28"/>
  <c r="G1113" i="28"/>
  <c r="K1113" i="28"/>
  <c r="V1113" i="28"/>
  <c r="AF1113" i="28"/>
  <c r="E1114" i="28"/>
  <c r="G1114" i="28"/>
  <c r="K1114" i="28"/>
  <c r="V1114" i="28"/>
  <c r="AF1114" i="28"/>
  <c r="E1115" i="28"/>
  <c r="G1115" i="28"/>
  <c r="K1115" i="28"/>
  <c r="R1115" i="28"/>
  <c r="V1115" i="28"/>
  <c r="AF1115" i="28"/>
  <c r="E1116" i="28"/>
  <c r="G1116" i="28"/>
  <c r="K1116" i="28"/>
  <c r="V1116" i="28"/>
  <c r="AF1116" i="28"/>
  <c r="E1117" i="28"/>
  <c r="G1117" i="28"/>
  <c r="K1117" i="28"/>
  <c r="V1117" i="28"/>
  <c r="AF1117" i="28"/>
  <c r="E1118" i="28"/>
  <c r="G1118" i="28"/>
  <c r="K1118" i="28"/>
  <c r="V1118" i="28"/>
  <c r="AF1118" i="28"/>
  <c r="E1119" i="28"/>
  <c r="G1119" i="28"/>
  <c r="K1119" i="28"/>
  <c r="V1119" i="28"/>
  <c r="AF1119" i="28"/>
  <c r="E1120" i="28"/>
  <c r="G1120" i="28"/>
  <c r="K1120" i="28"/>
  <c r="V1120" i="28"/>
  <c r="AF1120" i="28"/>
  <c r="E1121" i="28"/>
  <c r="G1121" i="28"/>
  <c r="K1121" i="28"/>
  <c r="V1121" i="28"/>
  <c r="AF1121" i="28"/>
  <c r="E1122" i="28"/>
  <c r="G1122" i="28"/>
  <c r="K1122" i="28"/>
  <c r="V1122" i="28"/>
  <c r="AF1122" i="28"/>
  <c r="E1123" i="28"/>
  <c r="G1123" i="28"/>
  <c r="K1123" i="28"/>
  <c r="V1123" i="28"/>
  <c r="AF1123" i="28"/>
  <c r="E1124" i="28"/>
  <c r="G1124" i="28"/>
  <c r="K1124" i="28"/>
  <c r="V1124" i="28"/>
  <c r="AF1124" i="28"/>
  <c r="E1125" i="28"/>
  <c r="G1125" i="28"/>
  <c r="K1125" i="28"/>
  <c r="V1125" i="28"/>
  <c r="AF1125" i="28"/>
  <c r="E1126" i="28"/>
  <c r="G1126" i="28"/>
  <c r="K1126" i="28"/>
  <c r="R1126" i="28"/>
  <c r="V1126" i="28"/>
  <c r="AF1126" i="28"/>
  <c r="E1127" i="28"/>
  <c r="G1127" i="28"/>
  <c r="K1127" i="28"/>
  <c r="R1127" i="28"/>
  <c r="V1127" i="28"/>
  <c r="AF1127" i="28"/>
  <c r="E1128" i="28"/>
  <c r="G1128" i="28"/>
  <c r="K1128" i="28"/>
  <c r="R1128" i="28"/>
  <c r="V1128" i="28"/>
  <c r="AF1128" i="28"/>
  <c r="E1129" i="28"/>
  <c r="G1129" i="28"/>
  <c r="K1129" i="28"/>
  <c r="R1129" i="28"/>
  <c r="V1129" i="28"/>
  <c r="AF1129" i="28"/>
  <c r="E1130" i="28"/>
  <c r="G1130" i="28"/>
  <c r="K1130" i="28"/>
  <c r="V1130" i="28"/>
  <c r="AF1130" i="28"/>
  <c r="E1131" i="28"/>
  <c r="G1131" i="28"/>
  <c r="K1131" i="28"/>
  <c r="V1131" i="28"/>
  <c r="AF1131" i="28"/>
  <c r="E1132" i="28"/>
  <c r="G1132" i="28"/>
  <c r="K1132" i="28"/>
  <c r="V1132" i="28"/>
  <c r="AF1132" i="28"/>
  <c r="E1133" i="28"/>
  <c r="G1133" i="28"/>
  <c r="K1133" i="28"/>
  <c r="V1133" i="28"/>
  <c r="AF1133" i="28"/>
  <c r="E1134" i="28"/>
  <c r="G1134" i="28"/>
  <c r="K1134" i="28"/>
  <c r="V1134" i="28"/>
  <c r="AF1134" i="28"/>
  <c r="E1135" i="28"/>
  <c r="G1135" i="28"/>
  <c r="K1135" i="28"/>
  <c r="V1135" i="28"/>
  <c r="AF1135" i="28"/>
  <c r="E1136" i="28"/>
  <c r="G1136" i="28"/>
  <c r="K1136" i="28"/>
  <c r="V1136" i="28"/>
  <c r="AF1136" i="28"/>
  <c r="E1137" i="28"/>
  <c r="G1137" i="28"/>
  <c r="K1137" i="28"/>
  <c r="V1137" i="28"/>
  <c r="AF1137" i="28"/>
  <c r="E1138" i="28"/>
  <c r="G1138" i="28"/>
  <c r="K1138" i="28"/>
  <c r="V1138" i="28"/>
  <c r="AF1138" i="28"/>
  <c r="E1139" i="28"/>
  <c r="G1139" i="28"/>
  <c r="K1139" i="28"/>
  <c r="V1139" i="28"/>
  <c r="AF1139" i="28"/>
  <c r="E1140" i="28"/>
  <c r="G1140" i="28"/>
  <c r="K1140" i="28"/>
  <c r="V1140" i="28"/>
  <c r="AF1140" i="28"/>
  <c r="E1141" i="28"/>
  <c r="G1141" i="28"/>
  <c r="K1141" i="28"/>
  <c r="V1141" i="28"/>
  <c r="AF1141" i="28"/>
  <c r="E1142" i="28"/>
  <c r="G1142" i="28"/>
  <c r="K1142" i="28"/>
  <c r="V1142" i="28"/>
  <c r="AF1142" i="28"/>
  <c r="E1143" i="28"/>
  <c r="G1143" i="28"/>
  <c r="K1143" i="28"/>
  <c r="V1143" i="28"/>
  <c r="AF1143" i="28"/>
  <c r="E1144" i="28"/>
  <c r="G1144" i="28"/>
  <c r="K1144" i="28"/>
  <c r="V1144" i="28"/>
  <c r="AF1144" i="28"/>
  <c r="E1145" i="28"/>
  <c r="G1145" i="28"/>
  <c r="K1145" i="28"/>
  <c r="V1145" i="28"/>
  <c r="AF1145" i="28"/>
  <c r="E1146" i="28"/>
  <c r="G1146" i="28"/>
  <c r="K1146" i="28"/>
  <c r="V1146" i="28"/>
  <c r="AF1146" i="28"/>
  <c r="E1147" i="28"/>
  <c r="G1147" i="28"/>
  <c r="K1147" i="28"/>
  <c r="V1147" i="28"/>
  <c r="AF1147" i="28"/>
  <c r="E1148" i="28"/>
  <c r="G1148" i="28"/>
  <c r="K1148" i="28"/>
  <c r="V1148" i="28"/>
  <c r="AF1148" i="28"/>
  <c r="E1149" i="28"/>
  <c r="G1149" i="28"/>
  <c r="K1149" i="28"/>
  <c r="V1149" i="28"/>
  <c r="AF1149" i="28"/>
  <c r="E1150" i="28"/>
  <c r="G1150" i="28"/>
  <c r="K1150" i="28"/>
  <c r="V1150" i="28"/>
  <c r="AF1150" i="28"/>
  <c r="E1151" i="28"/>
  <c r="G1151" i="28"/>
  <c r="K1151" i="28"/>
  <c r="V1151" i="28"/>
  <c r="AF1151" i="28"/>
  <c r="E1152" i="28"/>
  <c r="G1152" i="28"/>
  <c r="K1152" i="28"/>
  <c r="V1152" i="28"/>
  <c r="AF1152" i="28"/>
  <c r="E1153" i="28"/>
  <c r="G1153" i="28"/>
  <c r="K1153" i="28"/>
  <c r="V1153" i="28"/>
  <c r="AF1153" i="28"/>
  <c r="E1154" i="28"/>
  <c r="G1154" i="28"/>
  <c r="K1154" i="28"/>
  <c r="V1154" i="28"/>
  <c r="AF1154" i="28"/>
  <c r="E1155" i="28"/>
  <c r="G1155" i="28"/>
  <c r="K1155" i="28"/>
  <c r="V1155" i="28"/>
  <c r="AF1155" i="28"/>
  <c r="E1156" i="28"/>
  <c r="G1156" i="28"/>
  <c r="K1156" i="28"/>
  <c r="V1156" i="28"/>
  <c r="AF1156" i="28"/>
  <c r="E1157" i="28"/>
  <c r="G1157" i="28"/>
  <c r="K1157" i="28"/>
  <c r="V1157" i="28"/>
  <c r="AF1157" i="28"/>
  <c r="E1158" i="28"/>
  <c r="G1158" i="28"/>
  <c r="K1158" i="28"/>
  <c r="V1158" i="28"/>
  <c r="AF1158" i="28"/>
  <c r="E1159" i="28"/>
  <c r="G1159" i="28"/>
  <c r="K1159" i="28"/>
  <c r="V1159" i="28"/>
  <c r="AF1159" i="28"/>
  <c r="E1160" i="28"/>
  <c r="G1160" i="28"/>
  <c r="K1160" i="28"/>
  <c r="V1160" i="28"/>
  <c r="AF1160" i="28"/>
  <c r="E1161" i="28"/>
  <c r="G1161" i="28"/>
  <c r="K1161" i="28"/>
  <c r="V1161" i="28"/>
  <c r="AF1161" i="28"/>
  <c r="E1162" i="28"/>
  <c r="G1162" i="28"/>
  <c r="K1162" i="28"/>
  <c r="V1162" i="28"/>
  <c r="AF1162" i="28"/>
  <c r="E1163" i="28"/>
  <c r="G1163" i="28"/>
  <c r="K1163" i="28"/>
  <c r="V1163" i="28"/>
  <c r="AF1163" i="28"/>
  <c r="E1164" i="28"/>
  <c r="G1164" i="28"/>
  <c r="K1164" i="28"/>
  <c r="V1164" i="28"/>
  <c r="AF1164" i="28"/>
  <c r="E1165" i="28"/>
  <c r="G1165" i="28"/>
  <c r="K1165" i="28"/>
  <c r="V1165" i="28"/>
  <c r="AF1165" i="28"/>
  <c r="E1166" i="28"/>
  <c r="G1166" i="28"/>
  <c r="K1166" i="28"/>
  <c r="V1166" i="28"/>
  <c r="AF1166" i="28"/>
  <c r="E1167" i="28"/>
  <c r="G1167" i="28"/>
  <c r="K1167" i="28"/>
  <c r="V1167" i="28"/>
  <c r="AF1167" i="28"/>
  <c r="E1168" i="28"/>
  <c r="G1168" i="28"/>
  <c r="K1168" i="28"/>
  <c r="V1168" i="28"/>
  <c r="AF1168" i="28"/>
  <c r="E1169" i="28"/>
  <c r="G1169" i="28"/>
  <c r="K1169" i="28"/>
  <c r="V1169" i="28"/>
  <c r="AF1169" i="28"/>
  <c r="E1170" i="28"/>
  <c r="G1170" i="28"/>
  <c r="K1170" i="28"/>
  <c r="V1170" i="28"/>
  <c r="AF1170" i="28"/>
  <c r="E1171" i="28"/>
  <c r="G1171" i="28"/>
  <c r="K1171" i="28"/>
  <c r="V1171" i="28"/>
  <c r="AF1171" i="28"/>
  <c r="E1172" i="28"/>
  <c r="G1172" i="28"/>
  <c r="K1172" i="28"/>
  <c r="V1172" i="28"/>
  <c r="AF1172" i="28"/>
  <c r="E1173" i="28"/>
  <c r="G1173" i="28"/>
  <c r="K1173" i="28"/>
  <c r="V1173" i="28"/>
  <c r="AF1173" i="28"/>
  <c r="E1174" i="28"/>
  <c r="G1174" i="28"/>
  <c r="K1174" i="28"/>
  <c r="V1174" i="28"/>
  <c r="AF1174" i="28"/>
  <c r="E1175" i="28"/>
  <c r="G1175" i="28"/>
  <c r="K1175" i="28"/>
  <c r="V1175" i="28"/>
  <c r="AF1175" i="28"/>
  <c r="E1176" i="28"/>
  <c r="G1176" i="28"/>
  <c r="K1176" i="28"/>
  <c r="V1176" i="28"/>
  <c r="AF1176" i="28"/>
  <c r="E1177" i="28"/>
  <c r="G1177" i="28"/>
  <c r="K1177" i="28"/>
  <c r="V1177" i="28"/>
  <c r="AF1177" i="28"/>
  <c r="E1178" i="28"/>
  <c r="G1178" i="28"/>
  <c r="K1178" i="28"/>
  <c r="V1178" i="28"/>
  <c r="AF1178" i="28"/>
  <c r="E1179" i="28"/>
  <c r="G1179" i="28"/>
  <c r="K1179" i="28"/>
  <c r="V1179" i="28"/>
  <c r="AF1179" i="28"/>
  <c r="E1180" i="28"/>
  <c r="G1180" i="28"/>
  <c r="K1180" i="28"/>
  <c r="V1180" i="28"/>
  <c r="AF1180" i="28"/>
  <c r="E1181" i="28"/>
  <c r="G1181" i="28"/>
  <c r="K1181" i="28"/>
  <c r="V1181" i="28"/>
  <c r="AF1181" i="28"/>
  <c r="E1182" i="28"/>
  <c r="G1182" i="28"/>
  <c r="K1182" i="28"/>
  <c r="V1182" i="28"/>
  <c r="AF1182" i="28"/>
  <c r="E1183" i="28"/>
  <c r="G1183" i="28"/>
  <c r="K1183" i="28"/>
  <c r="V1183" i="28"/>
  <c r="AF1183" i="28"/>
  <c r="E1184" i="28"/>
  <c r="G1184" i="28"/>
  <c r="K1184" i="28"/>
  <c r="V1184" i="28"/>
  <c r="AF1184" i="28"/>
  <c r="E1185" i="28"/>
  <c r="G1185" i="28"/>
  <c r="K1185" i="28"/>
  <c r="V1185" i="28"/>
  <c r="AF1185" i="28"/>
  <c r="E1186" i="28"/>
  <c r="G1186" i="28"/>
  <c r="K1186" i="28"/>
  <c r="V1186" i="28"/>
  <c r="AF1186" i="28"/>
  <c r="E1187" i="28"/>
  <c r="G1187" i="28"/>
  <c r="K1187" i="28"/>
  <c r="V1187" i="28"/>
  <c r="AF1187" i="28"/>
  <c r="E1188" i="28"/>
  <c r="G1188" i="28"/>
  <c r="K1188" i="28"/>
  <c r="V1188" i="28"/>
  <c r="AF1188" i="28"/>
  <c r="E1189" i="28"/>
  <c r="G1189" i="28"/>
  <c r="K1189" i="28"/>
  <c r="V1189" i="28"/>
  <c r="AF1189" i="28"/>
  <c r="E1190" i="28"/>
  <c r="G1190" i="28"/>
  <c r="K1190" i="28"/>
  <c r="V1190" i="28"/>
  <c r="AF1190" i="28"/>
  <c r="E1191" i="28"/>
  <c r="G1191" i="28"/>
  <c r="K1191" i="28"/>
  <c r="V1191" i="28"/>
  <c r="AF1191" i="28"/>
  <c r="E1192" i="28"/>
  <c r="G1192" i="28"/>
  <c r="K1192" i="28"/>
  <c r="V1192" i="28"/>
  <c r="AF1192" i="28"/>
  <c r="E1193" i="28"/>
  <c r="G1193" i="28"/>
  <c r="K1193" i="28"/>
  <c r="V1193" i="28"/>
  <c r="AF1193" i="28"/>
  <c r="E1194" i="28"/>
  <c r="G1194" i="28"/>
  <c r="K1194" i="28"/>
  <c r="V1194" i="28"/>
  <c r="AF1194" i="28"/>
  <c r="E1195" i="28"/>
  <c r="G1195" i="28"/>
  <c r="K1195" i="28"/>
  <c r="V1195" i="28"/>
  <c r="AF1195" i="28"/>
  <c r="E1196" i="28"/>
  <c r="G1196" i="28"/>
  <c r="K1196" i="28"/>
  <c r="V1196" i="28"/>
  <c r="AF1196" i="28"/>
  <c r="E1197" i="28"/>
  <c r="G1197" i="28"/>
  <c r="K1197" i="28"/>
  <c r="V1197" i="28"/>
  <c r="AF1197" i="28"/>
  <c r="E1198" i="28"/>
  <c r="G1198" i="28"/>
  <c r="K1198" i="28"/>
  <c r="V1198" i="28"/>
  <c r="AF1198" i="28"/>
  <c r="E1199" i="28"/>
  <c r="G1199" i="28"/>
  <c r="K1199" i="28"/>
  <c r="V1199" i="28"/>
  <c r="AF1199" i="28"/>
  <c r="E1200" i="28"/>
  <c r="G1200" i="28"/>
  <c r="K1200" i="28"/>
  <c r="V1200" i="28"/>
  <c r="AF1200" i="28"/>
  <c r="E1201" i="28"/>
  <c r="G1201" i="28"/>
  <c r="K1201" i="28"/>
  <c r="V1201" i="28"/>
  <c r="AF1201" i="28"/>
  <c r="E1202" i="28"/>
  <c r="G1202" i="28"/>
  <c r="K1202" i="28"/>
  <c r="V1202" i="28"/>
  <c r="AF1202" i="28"/>
  <c r="E1203" i="28"/>
  <c r="G1203" i="28"/>
  <c r="K1203" i="28"/>
  <c r="V1203" i="28"/>
  <c r="AF1203" i="28"/>
  <c r="E1204" i="28"/>
  <c r="G1204" i="28"/>
  <c r="K1204" i="28"/>
  <c r="V1204" i="28"/>
  <c r="AF1204" i="28"/>
  <c r="E1205" i="28"/>
  <c r="G1205" i="28"/>
  <c r="K1205" i="28"/>
  <c r="V1205" i="28"/>
  <c r="AF1205" i="28"/>
  <c r="E1206" i="28"/>
  <c r="G1206" i="28"/>
  <c r="K1206" i="28"/>
  <c r="V1206" i="28"/>
  <c r="AF1206" i="28"/>
  <c r="E1207" i="28"/>
  <c r="G1207" i="28"/>
  <c r="K1207" i="28"/>
  <c r="V1207" i="28"/>
  <c r="AF1207" i="28"/>
  <c r="E1208" i="28"/>
  <c r="G1208" i="28"/>
  <c r="K1208" i="28"/>
  <c r="V1208" i="28"/>
  <c r="AF1208" i="28"/>
  <c r="E1209" i="28"/>
  <c r="G1209" i="28"/>
  <c r="K1209" i="28"/>
  <c r="V1209" i="28"/>
  <c r="AF1209" i="28"/>
  <c r="E1210" i="28"/>
  <c r="G1210" i="28"/>
  <c r="K1210" i="28"/>
  <c r="V1210" i="28"/>
  <c r="AF1210" i="28"/>
  <c r="E1211" i="28"/>
  <c r="G1211" i="28"/>
  <c r="K1211" i="28"/>
  <c r="V1211" i="28"/>
  <c r="AF1211" i="28"/>
  <c r="E1212" i="28"/>
  <c r="G1212" i="28"/>
  <c r="K1212" i="28"/>
  <c r="V1212" i="28"/>
  <c r="AF1212" i="28"/>
  <c r="E1213" i="28"/>
  <c r="G1213" i="28"/>
  <c r="K1213" i="28"/>
  <c r="V1213" i="28"/>
  <c r="AF1213" i="28"/>
  <c r="E1214" i="28"/>
  <c r="G1214" i="28"/>
  <c r="K1214" i="28"/>
  <c r="V1214" i="28"/>
  <c r="AF1214" i="28"/>
  <c r="E1215" i="28"/>
  <c r="G1215" i="28"/>
  <c r="K1215" i="28"/>
  <c r="V1215" i="28"/>
  <c r="AF1215" i="28"/>
  <c r="E1216" i="28"/>
  <c r="G1216" i="28"/>
  <c r="K1216" i="28"/>
  <c r="V1216" i="28"/>
  <c r="AF1216" i="28"/>
  <c r="E1217" i="28"/>
  <c r="G1217" i="28"/>
  <c r="K1217" i="28"/>
  <c r="V1217" i="28"/>
  <c r="AF1217" i="28"/>
  <c r="E1218" i="28"/>
  <c r="G1218" i="28"/>
  <c r="K1218" i="28"/>
  <c r="V1218" i="28"/>
  <c r="AF1218" i="28"/>
  <c r="E1219" i="28"/>
  <c r="G1219" i="28"/>
  <c r="K1219" i="28"/>
  <c r="V1219" i="28"/>
  <c r="AF1219" i="28"/>
  <c r="E1220" i="28"/>
  <c r="G1220" i="28"/>
  <c r="K1220" i="28"/>
  <c r="V1220" i="28"/>
  <c r="AF1220" i="28"/>
  <c r="E1221" i="28"/>
  <c r="G1221" i="28"/>
  <c r="K1221" i="28"/>
  <c r="V1221" i="28"/>
  <c r="AF1221" i="28"/>
  <c r="E1222" i="28"/>
  <c r="G1222" i="28"/>
  <c r="K1222" i="28"/>
  <c r="V1222" i="28"/>
  <c r="AF1222" i="28"/>
  <c r="E1223" i="28"/>
  <c r="G1223" i="28"/>
  <c r="K1223" i="28"/>
  <c r="V1223" i="28"/>
  <c r="AF1223" i="28"/>
  <c r="E1224" i="28"/>
  <c r="G1224" i="28"/>
  <c r="K1224" i="28"/>
  <c r="V1224" i="28"/>
  <c r="AF1224" i="28"/>
  <c r="E1225" i="28"/>
  <c r="G1225" i="28"/>
  <c r="K1225" i="28"/>
  <c r="V1225" i="28"/>
  <c r="AF1225" i="28"/>
  <c r="E1226" i="28"/>
  <c r="G1226" i="28"/>
  <c r="K1226" i="28"/>
  <c r="V1226" i="28"/>
  <c r="AF1226" i="28"/>
  <c r="E1227" i="28"/>
  <c r="G1227" i="28"/>
  <c r="K1227" i="28"/>
  <c r="V1227" i="28"/>
  <c r="AF1227" i="28"/>
  <c r="E1228" i="28"/>
  <c r="G1228" i="28"/>
  <c r="K1228" i="28"/>
  <c r="V1228" i="28"/>
  <c r="AF1228" i="28"/>
  <c r="E1229" i="28"/>
  <c r="G1229" i="28"/>
  <c r="K1229" i="28"/>
  <c r="V1229" i="28"/>
  <c r="AF1229" i="28"/>
  <c r="E1230" i="28"/>
  <c r="G1230" i="28"/>
  <c r="K1230" i="28"/>
  <c r="V1230" i="28"/>
  <c r="AF1230" i="28"/>
  <c r="E1231" i="28"/>
  <c r="G1231" i="28"/>
  <c r="K1231" i="28"/>
  <c r="V1231" i="28"/>
  <c r="AF1231" i="28"/>
  <c r="E1232" i="28"/>
  <c r="G1232" i="28"/>
  <c r="K1232" i="28"/>
  <c r="V1232" i="28"/>
  <c r="AF1232" i="28"/>
  <c r="E1233" i="28"/>
  <c r="G1233" i="28"/>
  <c r="K1233" i="28"/>
  <c r="V1233" i="28"/>
  <c r="AF1233" i="28"/>
  <c r="E1234" i="28"/>
  <c r="G1234" i="28"/>
  <c r="K1234" i="28"/>
  <c r="V1234" i="28"/>
  <c r="AF1234" i="28"/>
  <c r="E1235" i="28"/>
  <c r="G1235" i="28"/>
  <c r="K1235" i="28"/>
  <c r="V1235" i="28"/>
  <c r="AF1235" i="28"/>
  <c r="E1236" i="28"/>
  <c r="G1236" i="28"/>
  <c r="K1236" i="28"/>
  <c r="V1236" i="28"/>
  <c r="AF1236" i="28"/>
  <c r="E1237" i="28"/>
  <c r="G1237" i="28"/>
  <c r="K1237" i="28"/>
  <c r="V1237" i="28"/>
  <c r="AF1237" i="28"/>
  <c r="E1238" i="28"/>
  <c r="G1238" i="28"/>
  <c r="K1238" i="28"/>
  <c r="V1238" i="28"/>
  <c r="AF1238" i="28"/>
  <c r="E1239" i="28"/>
  <c r="G1239" i="28"/>
  <c r="K1239" i="28"/>
  <c r="V1239" i="28"/>
  <c r="AF1239" i="28"/>
  <c r="E1240" i="28"/>
  <c r="G1240" i="28"/>
  <c r="K1240" i="28"/>
  <c r="V1240" i="28"/>
  <c r="AF1240" i="28"/>
  <c r="E1241" i="28"/>
  <c r="G1241" i="28"/>
  <c r="K1241" i="28"/>
  <c r="V1241" i="28"/>
  <c r="AF1241" i="28"/>
  <c r="E1242" i="28"/>
  <c r="G1242" i="28"/>
  <c r="K1242" i="28"/>
  <c r="V1242" i="28"/>
  <c r="AF1242" i="28"/>
  <c r="E1243" i="28"/>
  <c r="G1243" i="28"/>
  <c r="K1243" i="28"/>
  <c r="V1243" i="28"/>
  <c r="AF1243" i="28"/>
  <c r="E1244" i="28"/>
  <c r="G1244" i="28"/>
  <c r="K1244" i="28"/>
  <c r="V1244" i="28"/>
  <c r="AF1244" i="28"/>
  <c r="E1245" i="28"/>
  <c r="G1245" i="28"/>
  <c r="K1245" i="28"/>
  <c r="V1245" i="28"/>
  <c r="AF1245" i="28"/>
  <c r="E1246" i="28"/>
  <c r="G1246" i="28"/>
  <c r="K1246" i="28"/>
  <c r="V1246" i="28"/>
  <c r="AF1246" i="28"/>
  <c r="E1247" i="28"/>
  <c r="G1247" i="28"/>
  <c r="K1247" i="28"/>
  <c r="V1247" i="28"/>
  <c r="AF1247" i="28"/>
  <c r="E1248" i="28"/>
  <c r="G1248" i="28"/>
  <c r="K1248" i="28"/>
  <c r="V1248" i="28"/>
  <c r="AF1248" i="28"/>
  <c r="E1249" i="28"/>
  <c r="G1249" i="28"/>
  <c r="K1249" i="28"/>
  <c r="V1249" i="28"/>
  <c r="AF1249" i="28"/>
  <c r="E1250" i="28"/>
  <c r="G1250" i="28"/>
  <c r="K1250" i="28"/>
  <c r="V1250" i="28"/>
  <c r="AF1250" i="28"/>
  <c r="E1251" i="28"/>
  <c r="G1251" i="28"/>
  <c r="K1251" i="28"/>
  <c r="V1251" i="28"/>
  <c r="AF1251" i="28"/>
  <c r="E1252" i="28"/>
  <c r="G1252" i="28"/>
  <c r="K1252" i="28"/>
  <c r="V1252" i="28"/>
  <c r="AF1252" i="28"/>
  <c r="E1253" i="28"/>
  <c r="G1253" i="28"/>
  <c r="K1253" i="28"/>
  <c r="V1253" i="28"/>
  <c r="AF1253" i="28"/>
  <c r="E1254" i="28"/>
  <c r="G1254" i="28"/>
  <c r="K1254" i="28"/>
  <c r="V1254" i="28"/>
  <c r="AF1254" i="28"/>
  <c r="E1255" i="28"/>
  <c r="G1255" i="28"/>
  <c r="K1255" i="28"/>
  <c r="V1255" i="28"/>
  <c r="AF1255" i="28"/>
  <c r="E1256" i="28"/>
  <c r="G1256" i="28"/>
  <c r="K1256" i="28"/>
  <c r="V1256" i="28"/>
  <c r="AF1256" i="28"/>
  <c r="E1257" i="28"/>
  <c r="G1257" i="28"/>
  <c r="K1257" i="28"/>
  <c r="V1257" i="28"/>
  <c r="AF1257" i="28"/>
  <c r="E1258" i="28"/>
  <c r="G1258" i="28"/>
  <c r="K1258" i="28"/>
  <c r="V1258" i="28"/>
  <c r="AF1258" i="28"/>
  <c r="E1259" i="28"/>
  <c r="G1259" i="28"/>
  <c r="K1259" i="28"/>
  <c r="V1259" i="28"/>
  <c r="AF1259" i="28"/>
  <c r="E1260" i="28"/>
  <c r="G1260" i="28"/>
  <c r="K1260" i="28"/>
  <c r="V1260" i="28"/>
  <c r="AF1260" i="28"/>
  <c r="E1261" i="28"/>
  <c r="G1261" i="28"/>
  <c r="K1261" i="28"/>
  <c r="V1261" i="28"/>
  <c r="AF1261" i="28"/>
  <c r="E1262" i="28"/>
  <c r="G1262" i="28"/>
  <c r="K1262" i="28"/>
  <c r="V1262" i="28"/>
  <c r="AF1262" i="28"/>
  <c r="E1263" i="28"/>
  <c r="G1263" i="28"/>
  <c r="K1263" i="28"/>
  <c r="V1263" i="28"/>
  <c r="AF1263" i="28"/>
  <c r="E1264" i="28"/>
  <c r="G1264" i="28"/>
  <c r="K1264" i="28"/>
  <c r="V1264" i="28"/>
  <c r="AF1264" i="28"/>
  <c r="E1265" i="28"/>
  <c r="G1265" i="28"/>
  <c r="K1265" i="28"/>
  <c r="V1265" i="28"/>
  <c r="AF1265" i="28"/>
  <c r="E1266" i="28"/>
  <c r="G1266" i="28"/>
  <c r="K1266" i="28"/>
  <c r="V1266" i="28"/>
  <c r="AF1266" i="28"/>
  <c r="E1267" i="28"/>
  <c r="G1267" i="28"/>
  <c r="K1267" i="28"/>
  <c r="V1267" i="28"/>
  <c r="AF1267" i="28"/>
  <c r="E1268" i="28"/>
  <c r="G1268" i="28"/>
  <c r="K1268" i="28"/>
  <c r="V1268" i="28"/>
  <c r="AF1268" i="28"/>
  <c r="E1269" i="28"/>
  <c r="G1269" i="28"/>
  <c r="K1269" i="28"/>
  <c r="V1269" i="28"/>
  <c r="AF1269" i="28"/>
  <c r="E1270" i="28"/>
  <c r="G1270" i="28"/>
  <c r="K1270" i="28"/>
  <c r="V1270" i="28"/>
  <c r="AF1270" i="28"/>
  <c r="E1271" i="28"/>
  <c r="G1271" i="28"/>
  <c r="K1271" i="28"/>
  <c r="V1271" i="28"/>
  <c r="AF1271" i="28"/>
  <c r="E1272" i="28"/>
  <c r="G1272" i="28"/>
  <c r="K1272" i="28"/>
  <c r="V1272" i="28"/>
  <c r="AF1272" i="28"/>
  <c r="E1273" i="28"/>
  <c r="G1273" i="28"/>
  <c r="K1273" i="28"/>
  <c r="V1273" i="28"/>
  <c r="AF1273" i="28"/>
  <c r="E1274" i="28"/>
  <c r="G1274" i="28"/>
  <c r="K1274" i="28"/>
  <c r="V1274" i="28"/>
  <c r="AF1274" i="28"/>
  <c r="E1275" i="28"/>
  <c r="G1275" i="28"/>
  <c r="K1275" i="28"/>
  <c r="V1275" i="28"/>
  <c r="AF1275" i="28"/>
  <c r="E1276" i="28"/>
  <c r="G1276" i="28"/>
  <c r="K1276" i="28"/>
  <c r="V1276" i="28"/>
  <c r="AF1276" i="28"/>
  <c r="E1277" i="28"/>
  <c r="G1277" i="28"/>
  <c r="K1277" i="28"/>
  <c r="V1277" i="28"/>
  <c r="AF1277" i="28"/>
  <c r="E1278" i="28"/>
  <c r="G1278" i="28"/>
  <c r="K1278" i="28"/>
  <c r="V1278" i="28"/>
  <c r="AF1278" i="28"/>
  <c r="E1279" i="28"/>
  <c r="G1279" i="28"/>
  <c r="K1279" i="28"/>
  <c r="V1279" i="28"/>
  <c r="AF1279" i="28"/>
  <c r="E1280" i="28"/>
  <c r="G1280" i="28"/>
  <c r="K1280" i="28"/>
  <c r="V1280" i="28"/>
  <c r="AF1280" i="28"/>
  <c r="E1281" i="28"/>
  <c r="G1281" i="28"/>
  <c r="K1281" i="28"/>
  <c r="V1281" i="28"/>
  <c r="AF1281" i="28"/>
  <c r="E1282" i="28"/>
  <c r="G1282" i="28"/>
  <c r="K1282" i="28"/>
  <c r="V1282" i="28"/>
  <c r="AF1282" i="28"/>
  <c r="E1283" i="28"/>
  <c r="G1283" i="28"/>
  <c r="K1283" i="28"/>
  <c r="V1283" i="28"/>
  <c r="AF1283" i="28"/>
  <c r="E1284" i="28"/>
  <c r="G1284" i="28"/>
  <c r="K1284" i="28"/>
  <c r="V1284" i="28"/>
  <c r="AF1284" i="28"/>
  <c r="E1285" i="28"/>
  <c r="G1285" i="28"/>
  <c r="K1285" i="28"/>
  <c r="V1285" i="28"/>
  <c r="AF1285" i="28"/>
  <c r="E1286" i="28"/>
  <c r="G1286" i="28"/>
  <c r="K1286" i="28"/>
  <c r="V1286" i="28"/>
  <c r="AF1286" i="28"/>
  <c r="E1287" i="28"/>
  <c r="G1287" i="28"/>
  <c r="K1287" i="28"/>
  <c r="V1287" i="28"/>
  <c r="AF1287" i="28"/>
  <c r="E1288" i="28"/>
  <c r="G1288" i="28"/>
  <c r="K1288" i="28"/>
  <c r="V1288" i="28"/>
  <c r="AF1288" i="28"/>
  <c r="E1289" i="28"/>
  <c r="G1289" i="28"/>
  <c r="K1289" i="28"/>
  <c r="V1289" i="28"/>
  <c r="AF1289" i="28"/>
  <c r="E1290" i="28"/>
  <c r="G1290" i="28"/>
  <c r="K1290" i="28"/>
  <c r="V1290" i="28"/>
  <c r="AF1290" i="28"/>
  <c r="E1291" i="28"/>
  <c r="G1291" i="28"/>
  <c r="K1291" i="28"/>
  <c r="V1291" i="28"/>
  <c r="AF1291" i="28"/>
  <c r="E1292" i="28"/>
  <c r="G1292" i="28"/>
  <c r="K1292" i="28"/>
  <c r="V1292" i="28"/>
  <c r="AF1292" i="28"/>
  <c r="E1293" i="28"/>
  <c r="G1293" i="28"/>
  <c r="K1293" i="28"/>
  <c r="V1293" i="28"/>
  <c r="AF1293" i="28"/>
  <c r="E1294" i="28"/>
  <c r="G1294" i="28"/>
  <c r="K1294" i="28"/>
  <c r="V1294" i="28"/>
  <c r="AF1294" i="28"/>
  <c r="E1295" i="28"/>
  <c r="G1295" i="28"/>
  <c r="K1295" i="28"/>
  <c r="V1295" i="28"/>
  <c r="AF1295" i="28"/>
  <c r="E1296" i="28"/>
  <c r="G1296" i="28"/>
  <c r="K1296" i="28"/>
  <c r="V1296" i="28"/>
  <c r="AF1296" i="28"/>
  <c r="E1297" i="28"/>
  <c r="G1297" i="28"/>
  <c r="K1297" i="28"/>
  <c r="V1297" i="28"/>
  <c r="AF1297" i="28"/>
  <c r="E1298" i="28"/>
  <c r="G1298" i="28"/>
  <c r="K1298" i="28"/>
  <c r="V1298" i="28"/>
  <c r="AF1298" i="28"/>
  <c r="E1299" i="28"/>
  <c r="G1299" i="28"/>
  <c r="K1299" i="28"/>
  <c r="V1299" i="28"/>
  <c r="AF1299" i="28"/>
  <c r="E1300" i="28"/>
  <c r="G1300" i="28"/>
  <c r="K1300" i="28"/>
  <c r="V1300" i="28"/>
  <c r="AF1300" i="28"/>
  <c r="E1301" i="28"/>
  <c r="G1301" i="28"/>
  <c r="K1301" i="28"/>
  <c r="V1301" i="28"/>
  <c r="AF1301" i="28"/>
  <c r="E1302" i="28"/>
  <c r="G1302" i="28"/>
  <c r="K1302" i="28"/>
  <c r="V1302" i="28"/>
  <c r="AF1302" i="28"/>
  <c r="E1303" i="28"/>
  <c r="G1303" i="28"/>
  <c r="K1303" i="28"/>
  <c r="V1303" i="28"/>
  <c r="AF1303" i="28"/>
  <c r="E1304" i="28"/>
  <c r="G1304" i="28"/>
  <c r="K1304" i="28"/>
  <c r="V1304" i="28"/>
  <c r="AF1304" i="28"/>
  <c r="E1305" i="28"/>
  <c r="G1305" i="28"/>
  <c r="K1305" i="28"/>
  <c r="V1305" i="28"/>
  <c r="AF1305" i="28"/>
  <c r="E1306" i="28"/>
  <c r="G1306" i="28"/>
  <c r="K1306" i="28"/>
  <c r="V1306" i="28"/>
  <c r="AF1306" i="28"/>
  <c r="E1307" i="28"/>
  <c r="G1307" i="28"/>
  <c r="K1307" i="28"/>
  <c r="V1307" i="28"/>
  <c r="AF1307" i="28"/>
  <c r="E1308" i="28"/>
  <c r="G1308" i="28"/>
  <c r="K1308" i="28"/>
  <c r="V1308" i="28"/>
  <c r="AF1308" i="28"/>
  <c r="E1309" i="28"/>
  <c r="G1309" i="28"/>
  <c r="K1309" i="28"/>
  <c r="V1309" i="28"/>
  <c r="AF1309" i="28"/>
  <c r="E1310" i="28"/>
  <c r="G1310" i="28"/>
  <c r="K1310" i="28"/>
  <c r="V1310" i="28"/>
  <c r="AF1310" i="28"/>
  <c r="E1311" i="28"/>
  <c r="G1311" i="28"/>
  <c r="K1311" i="28"/>
  <c r="V1311" i="28"/>
  <c r="AF1311" i="28"/>
  <c r="E1312" i="28"/>
  <c r="G1312" i="28"/>
  <c r="K1312" i="28"/>
  <c r="V1312" i="28"/>
  <c r="AF1312" i="28"/>
  <c r="E1313" i="28"/>
  <c r="G1313" i="28"/>
  <c r="K1313" i="28"/>
  <c r="V1313" i="28"/>
  <c r="AF1313" i="28"/>
  <c r="E1314" i="28"/>
  <c r="G1314" i="28"/>
  <c r="K1314" i="28"/>
  <c r="V1314" i="28"/>
  <c r="AF1314" i="28"/>
  <c r="E1315" i="28"/>
  <c r="G1315" i="28"/>
  <c r="K1315" i="28"/>
  <c r="V1315" i="28"/>
  <c r="AF1315" i="28"/>
  <c r="E1316" i="28"/>
  <c r="G1316" i="28"/>
  <c r="K1316" i="28"/>
  <c r="V1316" i="28"/>
  <c r="AF1316" i="28"/>
  <c r="E1317" i="28"/>
  <c r="G1317" i="28"/>
  <c r="K1317" i="28"/>
  <c r="V1317" i="28"/>
  <c r="AF1317" i="28"/>
  <c r="E1318" i="28"/>
  <c r="G1318" i="28"/>
  <c r="K1318" i="28"/>
  <c r="V1318" i="28"/>
  <c r="AF1318" i="28"/>
  <c r="E1319" i="28"/>
  <c r="G1319" i="28"/>
  <c r="K1319" i="28"/>
  <c r="V1319" i="28"/>
  <c r="AF1319" i="28"/>
  <c r="E1320" i="28"/>
  <c r="G1320" i="28"/>
  <c r="K1320" i="28"/>
  <c r="V1320" i="28"/>
  <c r="AF1320" i="28"/>
  <c r="E1321" i="28"/>
  <c r="G1321" i="28"/>
  <c r="K1321" i="28"/>
  <c r="V1321" i="28"/>
  <c r="AF1321" i="28"/>
  <c r="E1322" i="28"/>
  <c r="G1322" i="28"/>
  <c r="K1322" i="28"/>
  <c r="V1322" i="28"/>
  <c r="AF1322" i="28"/>
  <c r="E1323" i="28"/>
  <c r="G1323" i="28"/>
  <c r="K1323" i="28"/>
  <c r="V1323" i="28"/>
  <c r="AF1323" i="28"/>
  <c r="E1324" i="28"/>
  <c r="G1324" i="28"/>
  <c r="K1324" i="28"/>
  <c r="V1324" i="28"/>
  <c r="AF1324" i="28"/>
  <c r="E1325" i="28"/>
  <c r="G1325" i="28"/>
  <c r="K1325" i="28"/>
  <c r="V1325" i="28"/>
  <c r="AF1325" i="28"/>
  <c r="E1326" i="28"/>
  <c r="G1326" i="28"/>
  <c r="K1326" i="28"/>
  <c r="V1326" i="28"/>
  <c r="AF1326" i="28"/>
  <c r="E1327" i="28"/>
  <c r="G1327" i="28"/>
  <c r="K1327" i="28"/>
  <c r="V1327" i="28"/>
  <c r="AF1327" i="28"/>
  <c r="E1328" i="28"/>
  <c r="G1328" i="28"/>
  <c r="K1328" i="28"/>
  <c r="V1328" i="28"/>
  <c r="AF1328" i="28"/>
  <c r="E1329" i="28"/>
  <c r="G1329" i="28"/>
  <c r="K1329" i="28"/>
  <c r="V1329" i="28"/>
  <c r="AF1329" i="28"/>
  <c r="E1330" i="28"/>
  <c r="G1330" i="28"/>
  <c r="K1330" i="28"/>
  <c r="V1330" i="28"/>
  <c r="AF1330" i="28"/>
  <c r="E1331" i="28"/>
  <c r="G1331" i="28"/>
  <c r="K1331" i="28"/>
  <c r="V1331" i="28"/>
  <c r="AF1331" i="28"/>
  <c r="E1332" i="28"/>
  <c r="G1332" i="28"/>
  <c r="K1332" i="28"/>
  <c r="V1332" i="28"/>
  <c r="AF1332" i="28"/>
  <c r="E1333" i="28"/>
  <c r="G1333" i="28"/>
  <c r="K1333" i="28"/>
  <c r="V1333" i="28"/>
  <c r="AF1333" i="28"/>
  <c r="E1334" i="28"/>
  <c r="G1334" i="28"/>
  <c r="K1334" i="28"/>
  <c r="V1334" i="28"/>
  <c r="AF1334" i="28"/>
  <c r="E1335" i="28"/>
  <c r="G1335" i="28"/>
  <c r="K1335" i="28"/>
  <c r="V1335" i="28"/>
  <c r="AF1335" i="28"/>
  <c r="E1336" i="28"/>
  <c r="G1336" i="28"/>
  <c r="K1336" i="28"/>
  <c r="V1336" i="28"/>
  <c r="AF1336" i="28"/>
  <c r="E1337" i="28"/>
  <c r="G1337" i="28"/>
  <c r="K1337" i="28"/>
  <c r="V1337" i="28"/>
  <c r="AF1337" i="28"/>
  <c r="E1338" i="28"/>
  <c r="G1338" i="28"/>
  <c r="K1338" i="28"/>
  <c r="V1338" i="28"/>
  <c r="AF1338" i="28"/>
  <c r="E1339" i="28"/>
  <c r="G1339" i="28"/>
  <c r="K1339" i="28"/>
  <c r="V1339" i="28"/>
  <c r="AF1339" i="28"/>
  <c r="E1340" i="28"/>
  <c r="G1340" i="28"/>
  <c r="K1340" i="28"/>
  <c r="V1340" i="28"/>
  <c r="AF1340" i="28"/>
  <c r="E1341" i="28"/>
  <c r="G1341" i="28"/>
  <c r="K1341" i="28"/>
  <c r="V1341" i="28"/>
  <c r="AF1341" i="28"/>
  <c r="E1342" i="28"/>
  <c r="G1342" i="28"/>
  <c r="K1342" i="28"/>
  <c r="V1342" i="28"/>
  <c r="AF1342" i="28"/>
  <c r="E1343" i="28"/>
  <c r="G1343" i="28"/>
  <c r="K1343" i="28"/>
  <c r="V1343" i="28"/>
  <c r="AF1343" i="28"/>
  <c r="E1344" i="28"/>
  <c r="G1344" i="28"/>
  <c r="K1344" i="28"/>
  <c r="V1344" i="28"/>
  <c r="AF1344" i="28"/>
  <c r="E1345" i="28"/>
  <c r="G1345" i="28"/>
  <c r="K1345" i="28"/>
  <c r="V1345" i="28"/>
  <c r="AF1345" i="28"/>
  <c r="E1346" i="28"/>
  <c r="G1346" i="28"/>
  <c r="K1346" i="28"/>
  <c r="V1346" i="28"/>
  <c r="AF1346" i="28"/>
  <c r="E1347" i="28"/>
  <c r="G1347" i="28"/>
  <c r="K1347" i="28"/>
  <c r="V1347" i="28"/>
  <c r="AF1347" i="28"/>
  <c r="E1348" i="28"/>
  <c r="G1348" i="28"/>
  <c r="K1348" i="28"/>
  <c r="V1348" i="28"/>
  <c r="AF1348" i="28"/>
  <c r="E1349" i="28"/>
  <c r="G1349" i="28"/>
  <c r="K1349" i="28"/>
  <c r="V1349" i="28"/>
  <c r="AF1349" i="28"/>
  <c r="E1350" i="28"/>
  <c r="G1350" i="28"/>
  <c r="K1350" i="28"/>
  <c r="V1350" i="28"/>
  <c r="AF1350" i="28"/>
  <c r="E1351" i="28"/>
  <c r="G1351" i="28"/>
  <c r="K1351" i="28"/>
  <c r="V1351" i="28"/>
  <c r="AF1351" i="28"/>
  <c r="E1352" i="28"/>
  <c r="G1352" i="28"/>
  <c r="K1352" i="28"/>
  <c r="V1352" i="28"/>
  <c r="AF1352" i="28"/>
  <c r="E1353" i="28"/>
  <c r="G1353" i="28"/>
  <c r="K1353" i="28"/>
  <c r="V1353" i="28"/>
  <c r="AF1353" i="28"/>
  <c r="E1354" i="28"/>
  <c r="G1354" i="28"/>
  <c r="K1354" i="28"/>
  <c r="V1354" i="28"/>
  <c r="AF1354" i="28"/>
  <c r="E1355" i="28"/>
  <c r="G1355" i="28"/>
  <c r="K1355" i="28"/>
  <c r="V1355" i="28"/>
  <c r="AF1355" i="28"/>
  <c r="E1356" i="28"/>
  <c r="G1356" i="28"/>
  <c r="K1356" i="28"/>
  <c r="V1356" i="28"/>
  <c r="AF1356" i="28"/>
  <c r="E1357" i="28"/>
  <c r="G1357" i="28"/>
  <c r="K1357" i="28"/>
  <c r="V1357" i="28"/>
  <c r="AF1357" i="28"/>
  <c r="E1358" i="28"/>
  <c r="G1358" i="28"/>
  <c r="K1358" i="28"/>
  <c r="V1358" i="28"/>
  <c r="AF1358" i="28"/>
  <c r="E1359" i="28"/>
  <c r="G1359" i="28"/>
  <c r="K1359" i="28"/>
  <c r="V1359" i="28"/>
  <c r="AF1359" i="28"/>
  <c r="E1360" i="28"/>
  <c r="G1360" i="28"/>
  <c r="K1360" i="28"/>
  <c r="V1360" i="28"/>
  <c r="AF1360" i="28"/>
  <c r="E1361" i="28"/>
  <c r="G1361" i="28"/>
  <c r="K1361" i="28"/>
  <c r="V1361" i="28"/>
  <c r="AF1361" i="28"/>
  <c r="E1362" i="28"/>
  <c r="G1362" i="28"/>
  <c r="K1362" i="28"/>
  <c r="V1362" i="28"/>
  <c r="AF1362" i="28"/>
  <c r="E1363" i="28"/>
  <c r="G1363" i="28"/>
  <c r="K1363" i="28"/>
  <c r="V1363" i="28"/>
  <c r="AF1363" i="28"/>
  <c r="E1364" i="28"/>
  <c r="G1364" i="28"/>
  <c r="K1364" i="28"/>
  <c r="V1364" i="28"/>
  <c r="AF1364" i="28"/>
  <c r="E1365" i="28"/>
  <c r="G1365" i="28"/>
  <c r="K1365" i="28"/>
  <c r="V1365" i="28"/>
  <c r="AF1365" i="28"/>
  <c r="E1366" i="28"/>
  <c r="G1366" i="28"/>
  <c r="K1366" i="28"/>
  <c r="V1366" i="28"/>
  <c r="AF1366" i="28"/>
  <c r="E1367" i="28"/>
  <c r="G1367" i="28"/>
  <c r="K1367" i="28"/>
  <c r="V1367" i="28"/>
  <c r="AF1367" i="28"/>
  <c r="E1368" i="28"/>
  <c r="G1368" i="28"/>
  <c r="K1368" i="28"/>
  <c r="V1368" i="28"/>
  <c r="AF1368" i="28"/>
  <c r="E1369" i="28"/>
  <c r="G1369" i="28"/>
  <c r="K1369" i="28"/>
  <c r="V1369" i="28"/>
  <c r="AF1369" i="28"/>
  <c r="E1370" i="28"/>
  <c r="G1370" i="28"/>
  <c r="K1370" i="28"/>
  <c r="V1370" i="28"/>
  <c r="AF1370" i="28"/>
  <c r="E1371" i="28"/>
  <c r="G1371" i="28"/>
  <c r="K1371" i="28"/>
  <c r="V1371" i="28"/>
  <c r="AF1371" i="28"/>
  <c r="E1372" i="28"/>
  <c r="G1372" i="28"/>
  <c r="K1372" i="28"/>
  <c r="V1372" i="28"/>
  <c r="AF1372" i="28"/>
  <c r="E1373" i="28"/>
  <c r="G1373" i="28"/>
  <c r="K1373" i="28"/>
  <c r="V1373" i="28"/>
  <c r="AF1373" i="28"/>
  <c r="E1374" i="28"/>
  <c r="G1374" i="28"/>
  <c r="K1374" i="28"/>
  <c r="V1374" i="28"/>
  <c r="AF1374" i="28"/>
  <c r="E1375" i="28"/>
  <c r="G1375" i="28"/>
  <c r="K1375" i="28"/>
  <c r="V1375" i="28"/>
  <c r="AF1375" i="28"/>
  <c r="E1376" i="28"/>
  <c r="G1376" i="28"/>
  <c r="K1376" i="28"/>
  <c r="V1376" i="28"/>
  <c r="AF1376" i="28"/>
  <c r="E1377" i="28"/>
  <c r="G1377" i="28"/>
  <c r="K1377" i="28"/>
  <c r="V1377" i="28"/>
  <c r="AF1377" i="28"/>
  <c r="E1378" i="28"/>
  <c r="G1378" i="28"/>
  <c r="K1378" i="28"/>
  <c r="V1378" i="28"/>
  <c r="AF1378" i="28"/>
  <c r="E1379" i="28"/>
  <c r="G1379" i="28"/>
  <c r="K1379" i="28"/>
  <c r="R1379" i="28"/>
  <c r="V1379" i="28"/>
  <c r="AF1379" i="28"/>
  <c r="E1380" i="28"/>
  <c r="G1380" i="28"/>
  <c r="K1380" i="28"/>
  <c r="V1380" i="28"/>
  <c r="AF1380" i="28"/>
  <c r="E1381" i="28"/>
  <c r="G1381" i="28"/>
  <c r="K1381" i="28"/>
  <c r="V1381" i="28"/>
  <c r="AF1381" i="28"/>
  <c r="E1382" i="28"/>
  <c r="G1382" i="28"/>
  <c r="K1382" i="28"/>
  <c r="V1382" i="28"/>
  <c r="AF1382" i="28"/>
  <c r="E1383" i="28"/>
  <c r="G1383" i="28"/>
  <c r="K1383" i="28"/>
  <c r="V1383" i="28"/>
  <c r="AF1383" i="28"/>
  <c r="E1384" i="28"/>
  <c r="G1384" i="28"/>
  <c r="K1384" i="28"/>
  <c r="V1384" i="28"/>
  <c r="AF1384" i="28"/>
  <c r="E1385" i="28"/>
  <c r="G1385" i="28"/>
  <c r="K1385" i="28"/>
  <c r="V1385" i="28"/>
  <c r="AF1385" i="28"/>
  <c r="E1386" i="28"/>
  <c r="G1386" i="28"/>
  <c r="K1386" i="28"/>
  <c r="V1386" i="28"/>
  <c r="AF1386" i="28"/>
  <c r="E1387" i="28"/>
  <c r="G1387" i="28"/>
  <c r="K1387" i="28"/>
  <c r="V1387" i="28"/>
  <c r="AF1387" i="28"/>
  <c r="E1388" i="28"/>
  <c r="G1388" i="28"/>
  <c r="K1388" i="28"/>
  <c r="V1388" i="28"/>
  <c r="AF1388" i="28"/>
  <c r="E1389" i="28"/>
  <c r="G1389" i="28"/>
  <c r="K1389" i="28"/>
  <c r="V1389" i="28"/>
  <c r="AF1389" i="28"/>
  <c r="E1390" i="28"/>
  <c r="G1390" i="28"/>
  <c r="K1390" i="28"/>
  <c r="V1390" i="28"/>
  <c r="AF1390" i="28"/>
  <c r="E1391" i="28"/>
  <c r="G1391" i="28"/>
  <c r="K1391" i="28"/>
  <c r="V1391" i="28"/>
  <c r="AF1391" i="28"/>
  <c r="E1392" i="28"/>
  <c r="G1392" i="28"/>
  <c r="K1392" i="28"/>
  <c r="V1392" i="28"/>
  <c r="AF1392" i="28"/>
  <c r="E1393" i="28"/>
  <c r="G1393" i="28"/>
  <c r="K1393" i="28"/>
  <c r="V1393" i="28"/>
  <c r="AF1393" i="28"/>
  <c r="E1394" i="28"/>
  <c r="G1394" i="28"/>
  <c r="K1394" i="28"/>
  <c r="V1394" i="28"/>
  <c r="AF1394" i="28"/>
  <c r="E1395" i="28"/>
  <c r="G1395" i="28"/>
  <c r="K1395" i="28"/>
  <c r="V1395" i="28"/>
  <c r="AF1395" i="28"/>
  <c r="E1396" i="28"/>
  <c r="G1396" i="28"/>
  <c r="K1396" i="28"/>
  <c r="V1396" i="28"/>
  <c r="AF1396" i="28"/>
  <c r="E1397" i="28"/>
  <c r="G1397" i="28"/>
  <c r="K1397" i="28"/>
  <c r="R1397" i="28"/>
  <c r="V1397" i="28"/>
  <c r="AF1397" i="28"/>
  <c r="E1398" i="28"/>
  <c r="G1398" i="28"/>
  <c r="K1398" i="28"/>
  <c r="V1398" i="28"/>
  <c r="AF1398" i="28"/>
  <c r="E1399" i="28"/>
  <c r="G1399" i="28"/>
  <c r="K1399" i="28"/>
  <c r="V1399" i="28"/>
  <c r="AF1399" i="28"/>
  <c r="E1400" i="28"/>
  <c r="G1400" i="28"/>
  <c r="K1400" i="28"/>
  <c r="V1400" i="28"/>
  <c r="AF1400" i="28"/>
  <c r="E1401" i="28"/>
  <c r="G1401" i="28"/>
  <c r="K1401" i="28"/>
  <c r="V1401" i="28"/>
  <c r="AF1401" i="28"/>
  <c r="E1402" i="28"/>
  <c r="G1402" i="28"/>
  <c r="K1402" i="28"/>
  <c r="V1402" i="28"/>
  <c r="AF1402" i="28"/>
  <c r="E1403" i="28"/>
  <c r="G1403" i="28"/>
  <c r="K1403" i="28"/>
  <c r="V1403" i="28"/>
  <c r="AF1403" i="28"/>
  <c r="E1404" i="28"/>
  <c r="G1404" i="28"/>
  <c r="K1404" i="28"/>
  <c r="V1404" i="28"/>
  <c r="AF1404" i="28"/>
  <c r="E1405" i="28"/>
  <c r="G1405" i="28"/>
  <c r="K1405" i="28"/>
  <c r="V1405" i="28"/>
  <c r="AF1405" i="28"/>
  <c r="E1406" i="28"/>
  <c r="G1406" i="28"/>
  <c r="K1406" i="28"/>
  <c r="V1406" i="28"/>
  <c r="AF1406" i="28"/>
  <c r="E1407" i="28"/>
  <c r="G1407" i="28"/>
  <c r="K1407" i="28"/>
  <c r="V1407" i="28"/>
  <c r="AF1407" i="28"/>
  <c r="E1408" i="28"/>
  <c r="G1408" i="28"/>
  <c r="K1408" i="28"/>
  <c r="V1408" i="28"/>
  <c r="AF1408" i="28"/>
  <c r="E1409" i="28"/>
  <c r="G1409" i="28"/>
  <c r="K1409" i="28"/>
  <c r="V1409" i="28"/>
  <c r="AF1409" i="28"/>
  <c r="E1410" i="28"/>
  <c r="G1410" i="28"/>
  <c r="K1410" i="28"/>
  <c r="V1410" i="28"/>
  <c r="AF1410" i="28"/>
  <c r="E1411" i="28"/>
  <c r="G1411" i="28"/>
  <c r="K1411" i="28"/>
  <c r="V1411" i="28"/>
  <c r="AF1411" i="28"/>
  <c r="E1412" i="28"/>
  <c r="G1412" i="28"/>
  <c r="K1412" i="28"/>
  <c r="V1412" i="28"/>
  <c r="AF1412" i="28"/>
  <c r="E1413" i="28"/>
  <c r="G1413" i="28"/>
  <c r="K1413" i="28"/>
  <c r="V1413" i="28"/>
  <c r="AF1413" i="28"/>
  <c r="E1414" i="28"/>
  <c r="G1414" i="28"/>
  <c r="K1414" i="28"/>
  <c r="V1414" i="28"/>
  <c r="AF1414" i="28"/>
  <c r="E1415" i="28"/>
  <c r="G1415" i="28"/>
  <c r="K1415" i="28"/>
  <c r="V1415" i="28"/>
  <c r="AF1415" i="28"/>
  <c r="E1416" i="28"/>
  <c r="G1416" i="28"/>
  <c r="K1416" i="28"/>
  <c r="V1416" i="28"/>
  <c r="AF1416" i="28"/>
  <c r="E1417" i="28"/>
  <c r="G1417" i="28"/>
  <c r="K1417" i="28"/>
  <c r="V1417" i="28"/>
  <c r="AF1417" i="28"/>
  <c r="E1418" i="28"/>
  <c r="G1418" i="28"/>
  <c r="K1418" i="28"/>
  <c r="V1418" i="28"/>
  <c r="AF1418" i="28"/>
  <c r="E1419" i="28"/>
  <c r="G1419" i="28"/>
  <c r="K1419" i="28"/>
  <c r="V1419" i="28"/>
  <c r="AF1419" i="28"/>
  <c r="E1420" i="28"/>
  <c r="G1420" i="28"/>
  <c r="K1420" i="28"/>
  <c r="V1420" i="28"/>
  <c r="AF1420" i="28"/>
  <c r="E1421" i="28"/>
  <c r="G1421" i="28"/>
  <c r="K1421" i="28"/>
  <c r="V1421" i="28"/>
  <c r="AF1421" i="28"/>
  <c r="E1422" i="28"/>
  <c r="G1422" i="28"/>
  <c r="K1422" i="28"/>
  <c r="V1422" i="28"/>
  <c r="AF1422" i="28"/>
  <c r="E1423" i="28"/>
  <c r="G1423" i="28"/>
  <c r="K1423" i="28"/>
  <c r="V1423" i="28"/>
  <c r="AF1423" i="28"/>
  <c r="E1424" i="28"/>
  <c r="G1424" i="28"/>
  <c r="K1424" i="28"/>
  <c r="V1424" i="28"/>
  <c r="AF1424" i="28"/>
  <c r="E1425" i="28"/>
  <c r="G1425" i="28"/>
  <c r="K1425" i="28"/>
  <c r="V1425" i="28"/>
  <c r="AF1425" i="28"/>
  <c r="E1426" i="28"/>
  <c r="G1426" i="28"/>
  <c r="K1426" i="28"/>
  <c r="V1426" i="28"/>
  <c r="AF1426" i="28"/>
  <c r="E1427" i="28"/>
  <c r="G1427" i="28"/>
  <c r="K1427" i="28"/>
  <c r="V1427" i="28"/>
  <c r="AF1427" i="28"/>
  <c r="E1428" i="28"/>
  <c r="G1428" i="28"/>
  <c r="K1428" i="28"/>
  <c r="V1428" i="28"/>
  <c r="AF1428" i="28"/>
  <c r="E1429" i="28"/>
  <c r="G1429" i="28"/>
  <c r="K1429" i="28"/>
  <c r="V1429" i="28"/>
  <c r="AF1429" i="28"/>
  <c r="E1430" i="28"/>
  <c r="G1430" i="28"/>
  <c r="K1430" i="28"/>
  <c r="V1430" i="28"/>
  <c r="AF1430" i="28"/>
  <c r="E1431" i="28"/>
  <c r="G1431" i="28"/>
  <c r="K1431" i="28"/>
  <c r="V1431" i="28"/>
  <c r="AF1431" i="28"/>
  <c r="E1432" i="28"/>
  <c r="G1432" i="28"/>
  <c r="K1432" i="28"/>
  <c r="V1432" i="28"/>
  <c r="AF1432" i="28"/>
  <c r="E1433" i="28"/>
  <c r="G1433" i="28"/>
  <c r="K1433" i="28"/>
  <c r="V1433" i="28"/>
  <c r="AF1433" i="28"/>
  <c r="E1434" i="28"/>
  <c r="G1434" i="28"/>
  <c r="K1434" i="28"/>
  <c r="V1434" i="28"/>
  <c r="AF1434" i="28"/>
  <c r="E1435" i="28"/>
  <c r="G1435" i="28"/>
  <c r="K1435" i="28"/>
  <c r="V1435" i="28"/>
  <c r="AF1435" i="28"/>
  <c r="E1436" i="28"/>
  <c r="G1436" i="28"/>
  <c r="K1436" i="28"/>
  <c r="V1436" i="28"/>
  <c r="AF1436" i="28"/>
  <c r="E1437" i="28"/>
  <c r="G1437" i="28"/>
  <c r="K1437" i="28"/>
  <c r="V1437" i="28"/>
  <c r="AF1437" i="28"/>
  <c r="E1438" i="28"/>
  <c r="G1438" i="28"/>
  <c r="K1438" i="28"/>
  <c r="V1438" i="28"/>
  <c r="AF1438" i="28"/>
  <c r="E1439" i="28"/>
  <c r="G1439" i="28"/>
  <c r="K1439" i="28"/>
  <c r="V1439" i="28"/>
  <c r="AF1439" i="28"/>
  <c r="E1440" i="28"/>
  <c r="G1440" i="28"/>
  <c r="K1440" i="28"/>
  <c r="V1440" i="28"/>
  <c r="AF1440" i="28"/>
  <c r="E1441" i="28"/>
  <c r="G1441" i="28"/>
  <c r="K1441" i="28"/>
  <c r="V1441" i="28"/>
  <c r="AF1441" i="28"/>
  <c r="E1442" i="28"/>
  <c r="G1442" i="28"/>
  <c r="K1442" i="28"/>
  <c r="V1442" i="28"/>
  <c r="AF1442" i="28"/>
  <c r="E1443" i="28"/>
  <c r="G1443" i="28"/>
  <c r="K1443" i="28"/>
  <c r="V1443" i="28"/>
  <c r="AF1443" i="28"/>
  <c r="E1444" i="28"/>
  <c r="G1444" i="28"/>
  <c r="K1444" i="28"/>
  <c r="V1444" i="28"/>
  <c r="AF1444" i="28"/>
  <c r="E1445" i="28"/>
  <c r="G1445" i="28"/>
  <c r="K1445" i="28"/>
  <c r="V1445" i="28"/>
  <c r="AF1445" i="28"/>
  <c r="E1446" i="28"/>
  <c r="G1446" i="28"/>
  <c r="K1446" i="28"/>
  <c r="V1446" i="28"/>
  <c r="AF1446" i="28"/>
  <c r="E1447" i="28"/>
  <c r="G1447" i="28"/>
  <c r="K1447" i="28"/>
  <c r="V1447" i="28"/>
  <c r="AF1447" i="28"/>
  <c r="E1448" i="28"/>
  <c r="G1448" i="28"/>
  <c r="K1448" i="28"/>
  <c r="V1448" i="28"/>
  <c r="AF1448" i="28"/>
  <c r="E1449" i="28"/>
  <c r="G1449" i="28"/>
  <c r="K1449" i="28"/>
  <c r="V1449" i="28"/>
  <c r="AF1449" i="28"/>
  <c r="E1450" i="28"/>
  <c r="G1450" i="28"/>
  <c r="K1450" i="28"/>
  <c r="V1450" i="28"/>
  <c r="AF1450" i="28"/>
  <c r="E1451" i="28"/>
  <c r="G1451" i="28"/>
  <c r="K1451" i="28"/>
  <c r="V1451" i="28"/>
  <c r="AF1451" i="28"/>
  <c r="E1452" i="28"/>
  <c r="G1452" i="28"/>
  <c r="K1452" i="28"/>
  <c r="V1452" i="28"/>
  <c r="AF1452" i="28"/>
  <c r="E1453" i="28"/>
  <c r="G1453" i="28"/>
  <c r="K1453" i="28"/>
  <c r="V1453" i="28"/>
  <c r="AF1453" i="28"/>
  <c r="E1454" i="28"/>
  <c r="G1454" i="28"/>
  <c r="K1454" i="28"/>
  <c r="V1454" i="28"/>
  <c r="AF1454" i="28"/>
  <c r="E1455" i="28"/>
  <c r="G1455" i="28"/>
  <c r="K1455" i="28"/>
  <c r="V1455" i="28"/>
  <c r="AF1455" i="28"/>
  <c r="E1456" i="28"/>
  <c r="G1456" i="28"/>
  <c r="K1456" i="28"/>
  <c r="V1456" i="28"/>
  <c r="AF1456" i="28"/>
  <c r="E1457" i="28"/>
  <c r="G1457" i="28"/>
  <c r="K1457" i="28"/>
  <c r="V1457" i="28"/>
  <c r="AF1457" i="28"/>
  <c r="E1458" i="28"/>
  <c r="G1458" i="28"/>
  <c r="K1458" i="28"/>
  <c r="V1458" i="28"/>
  <c r="AF1458" i="28"/>
  <c r="E1459" i="28"/>
  <c r="G1459" i="28"/>
  <c r="K1459" i="28"/>
  <c r="V1459" i="28"/>
  <c r="AF1459" i="28"/>
  <c r="E1460" i="28"/>
  <c r="G1460" i="28"/>
  <c r="K1460" i="28"/>
  <c r="V1460" i="28"/>
  <c r="AF1460" i="28"/>
  <c r="E1461" i="28"/>
  <c r="G1461" i="28"/>
  <c r="K1461" i="28"/>
  <c r="V1461" i="28"/>
  <c r="AF1461" i="28"/>
  <c r="E1462" i="28"/>
  <c r="G1462" i="28"/>
  <c r="K1462" i="28"/>
  <c r="V1462" i="28"/>
  <c r="AF1462" i="28"/>
  <c r="E1463" i="28"/>
  <c r="G1463" i="28"/>
  <c r="K1463" i="28"/>
  <c r="V1463" i="28"/>
  <c r="AF1463" i="28"/>
  <c r="E1464" i="28"/>
  <c r="G1464" i="28"/>
  <c r="K1464" i="28"/>
  <c r="V1464" i="28"/>
  <c r="AF1464" i="28"/>
  <c r="E1465" i="28"/>
  <c r="G1465" i="28"/>
  <c r="K1465" i="28"/>
  <c r="V1465" i="28"/>
  <c r="AF1465" i="28"/>
  <c r="E1466" i="28"/>
  <c r="G1466" i="28"/>
  <c r="K1466" i="28"/>
  <c r="V1466" i="28"/>
  <c r="AF1466" i="28"/>
  <c r="E1467" i="28"/>
  <c r="G1467" i="28"/>
  <c r="K1467" i="28"/>
  <c r="V1467" i="28"/>
  <c r="AF1467" i="28"/>
  <c r="E1468" i="28"/>
  <c r="G1468" i="28"/>
  <c r="K1468" i="28"/>
  <c r="V1468" i="28"/>
  <c r="AF1468" i="28"/>
  <c r="E1469" i="28"/>
  <c r="G1469" i="28"/>
  <c r="K1469" i="28"/>
  <c r="V1469" i="28"/>
  <c r="AF1469" i="28"/>
  <c r="E1470" i="28"/>
  <c r="G1470" i="28"/>
  <c r="K1470" i="28"/>
  <c r="V1470" i="28"/>
  <c r="AF1470" i="28"/>
  <c r="E1471" i="28"/>
  <c r="G1471" i="28"/>
  <c r="K1471" i="28"/>
  <c r="V1471" i="28"/>
  <c r="AF1471" i="28"/>
  <c r="E1472" i="28"/>
  <c r="G1472" i="28"/>
  <c r="K1472" i="28"/>
  <c r="V1472" i="28"/>
  <c r="AF1472" i="28"/>
  <c r="E1473" i="28"/>
  <c r="G1473" i="28"/>
  <c r="K1473" i="28"/>
  <c r="V1473" i="28"/>
  <c r="AF1473" i="28"/>
  <c r="E1474" i="28"/>
  <c r="G1474" i="28"/>
  <c r="K1474" i="28"/>
  <c r="V1474" i="28"/>
  <c r="AF1474" i="28"/>
  <c r="E1475" i="28"/>
  <c r="G1475" i="28"/>
  <c r="K1475" i="28"/>
  <c r="V1475" i="28"/>
  <c r="AF1475" i="28"/>
  <c r="E1476" i="28"/>
  <c r="G1476" i="28"/>
  <c r="K1476" i="28"/>
  <c r="V1476" i="28"/>
  <c r="AF1476" i="28"/>
  <c r="E1477" i="28"/>
  <c r="G1477" i="28"/>
  <c r="K1477" i="28"/>
  <c r="V1477" i="28"/>
  <c r="AF1477" i="28"/>
  <c r="E1478" i="28"/>
  <c r="G1478" i="28"/>
  <c r="K1478" i="28"/>
  <c r="V1478" i="28"/>
  <c r="AF1478" i="28"/>
  <c r="E1479" i="28"/>
  <c r="G1479" i="28"/>
  <c r="K1479" i="28"/>
  <c r="V1479" i="28"/>
  <c r="AF1479" i="28"/>
  <c r="E1480" i="28"/>
  <c r="G1480" i="28"/>
  <c r="K1480" i="28"/>
  <c r="V1480" i="28"/>
  <c r="AF1480" i="28"/>
  <c r="E1481" i="28"/>
  <c r="G1481" i="28"/>
  <c r="K1481" i="28"/>
  <c r="V1481" i="28"/>
  <c r="AF1481" i="28"/>
  <c r="E1482" i="28"/>
  <c r="G1482" i="28"/>
  <c r="K1482" i="28"/>
  <c r="V1482" i="28"/>
  <c r="AF1482" i="28"/>
  <c r="E1483" i="28"/>
  <c r="G1483" i="28"/>
  <c r="K1483" i="28"/>
  <c r="V1483" i="28"/>
  <c r="AF1483" i="28"/>
  <c r="E1484" i="28"/>
  <c r="G1484" i="28"/>
  <c r="K1484" i="28"/>
  <c r="V1484" i="28"/>
  <c r="AF1484" i="28"/>
  <c r="E1485" i="28"/>
  <c r="G1485" i="28"/>
  <c r="K1485" i="28"/>
  <c r="V1485" i="28"/>
  <c r="AF1485" i="28"/>
  <c r="E1486" i="28"/>
  <c r="G1486" i="28"/>
  <c r="K1486" i="28"/>
  <c r="V1486" i="28"/>
  <c r="AF1486" i="28"/>
  <c r="E1487" i="28"/>
  <c r="G1487" i="28"/>
  <c r="K1487" i="28"/>
  <c r="V1487" i="28"/>
  <c r="AF1487" i="28"/>
  <c r="E1488" i="28"/>
  <c r="G1488" i="28"/>
  <c r="K1488" i="28"/>
  <c r="R1488" i="28"/>
  <c r="V1488" i="28"/>
  <c r="AF1488" i="28"/>
  <c r="E1489" i="28"/>
  <c r="G1489" i="28"/>
  <c r="K1489" i="28"/>
  <c r="R1489" i="28"/>
  <c r="V1489" i="28"/>
  <c r="AF1489" i="28"/>
  <c r="E1490" i="28"/>
  <c r="G1490" i="28"/>
  <c r="K1490" i="28"/>
  <c r="R1490" i="28"/>
  <c r="V1490" i="28"/>
  <c r="AF1490" i="28"/>
  <c r="E1491" i="28"/>
  <c r="G1491" i="28"/>
  <c r="K1491" i="28"/>
  <c r="R1491" i="28"/>
  <c r="V1491" i="28"/>
  <c r="AF1491" i="28"/>
  <c r="E1492" i="28"/>
  <c r="G1492" i="28"/>
  <c r="K1492" i="28"/>
  <c r="R1492" i="28"/>
  <c r="V1492" i="28"/>
  <c r="AF1492" i="28"/>
  <c r="E1493" i="28"/>
  <c r="G1493" i="28"/>
  <c r="K1493" i="28"/>
  <c r="R1493" i="28"/>
  <c r="V1493" i="28"/>
  <c r="AF1493" i="28"/>
  <c r="E1494" i="28"/>
  <c r="G1494" i="28"/>
  <c r="K1494" i="28"/>
  <c r="R1494" i="28"/>
  <c r="V1494" i="28"/>
  <c r="AF1494" i="28"/>
  <c r="E1495" i="28"/>
  <c r="G1495" i="28"/>
  <c r="K1495" i="28"/>
  <c r="R1495" i="28"/>
  <c r="V1495" i="28"/>
  <c r="AF1495" i="28"/>
  <c r="E1496" i="28"/>
  <c r="G1496" i="28"/>
  <c r="K1496" i="28"/>
  <c r="R1496" i="28"/>
  <c r="V1496" i="28"/>
  <c r="AF1496" i="28"/>
  <c r="E1497" i="28"/>
  <c r="G1497" i="28"/>
  <c r="K1497" i="28"/>
  <c r="R1497" i="28"/>
  <c r="V1497" i="28"/>
  <c r="AF1497" i="28"/>
  <c r="E1498" i="28"/>
  <c r="G1498" i="28"/>
  <c r="K1498" i="28"/>
  <c r="R1498" i="28"/>
  <c r="V1498" i="28"/>
  <c r="AF1498" i="28"/>
  <c r="E1499" i="28"/>
  <c r="G1499" i="28"/>
  <c r="K1499" i="28"/>
  <c r="R1499" i="28"/>
  <c r="V1499" i="28"/>
  <c r="AF1499" i="28"/>
  <c r="E1500" i="28"/>
  <c r="G1500" i="28"/>
  <c r="K1500" i="28"/>
  <c r="V1500" i="28"/>
  <c r="AF1500" i="28"/>
  <c r="E1501" i="28"/>
  <c r="G1501" i="28"/>
  <c r="K1501" i="28"/>
  <c r="V1501" i="28"/>
  <c r="AF1501" i="28"/>
  <c r="E1502" i="28"/>
  <c r="G1502" i="28"/>
  <c r="K1502" i="28"/>
  <c r="V1502" i="28"/>
  <c r="AF1502" i="28"/>
  <c r="E1503" i="28"/>
  <c r="G1503" i="28"/>
  <c r="K1503" i="28"/>
  <c r="V1503" i="28"/>
  <c r="AF1503" i="28"/>
  <c r="E1504" i="28"/>
  <c r="G1504" i="28"/>
  <c r="K1504" i="28"/>
  <c r="V1504" i="28"/>
  <c r="AF1504" i="28"/>
  <c r="E1505" i="28"/>
  <c r="G1505" i="28"/>
  <c r="K1505" i="28"/>
  <c r="V1505" i="28"/>
  <c r="AF1505" i="28"/>
  <c r="E1506" i="28"/>
  <c r="G1506" i="28"/>
  <c r="K1506" i="28"/>
  <c r="V1506" i="28"/>
  <c r="AF1506" i="28"/>
  <c r="E1507" i="28"/>
  <c r="G1507" i="28"/>
  <c r="K1507" i="28"/>
  <c r="R1507" i="28"/>
  <c r="V1507" i="28"/>
  <c r="AF1507" i="28"/>
  <c r="E1508" i="28"/>
  <c r="G1508" i="28"/>
  <c r="K1508" i="28"/>
  <c r="R1508" i="28"/>
  <c r="V1508" i="28"/>
  <c r="AF1508" i="28"/>
  <c r="E1509" i="28"/>
  <c r="G1509" i="28"/>
  <c r="K1509" i="28"/>
  <c r="R1509" i="28"/>
  <c r="V1509" i="28"/>
  <c r="AF1509" i="28"/>
  <c r="E1510" i="28"/>
  <c r="G1510" i="28"/>
  <c r="K1510" i="28"/>
  <c r="R1510" i="28"/>
  <c r="V1510" i="28"/>
  <c r="AF1510" i="28"/>
  <c r="E1511" i="28"/>
  <c r="G1511" i="28"/>
  <c r="K1511" i="28"/>
  <c r="R1511" i="28"/>
  <c r="V1511" i="28"/>
  <c r="AF1511" i="28"/>
  <c r="E1512" i="28"/>
  <c r="G1512" i="28"/>
  <c r="K1512" i="28"/>
  <c r="R1512" i="28"/>
  <c r="V1512" i="28"/>
  <c r="AF1512" i="28"/>
  <c r="E1513" i="28"/>
  <c r="G1513" i="28"/>
  <c r="K1513" i="28"/>
  <c r="R1513" i="28"/>
  <c r="V1513" i="28"/>
  <c r="AF1513" i="28"/>
  <c r="E1514" i="28"/>
  <c r="G1514" i="28"/>
  <c r="K1514" i="28"/>
  <c r="R1514" i="28"/>
  <c r="V1514" i="28"/>
  <c r="AF1514" i="28"/>
  <c r="E1515" i="28"/>
  <c r="G1515" i="28"/>
  <c r="K1515" i="28"/>
  <c r="R1515" i="28"/>
  <c r="V1515" i="28"/>
  <c r="AF1515" i="28"/>
  <c r="E1516" i="28"/>
  <c r="G1516" i="28"/>
  <c r="K1516" i="28"/>
  <c r="R1516" i="28"/>
  <c r="V1516" i="28"/>
  <c r="AF1516" i="28"/>
  <c r="E1517" i="28"/>
  <c r="G1517" i="28"/>
  <c r="K1517" i="28"/>
  <c r="R1517" i="28"/>
  <c r="V1517" i="28"/>
  <c r="AF1517" i="28"/>
  <c r="E1518" i="28"/>
  <c r="G1518" i="28"/>
  <c r="K1518" i="28"/>
  <c r="R1518" i="28"/>
  <c r="V1518" i="28"/>
  <c r="AF1518" i="28"/>
  <c r="E1519" i="28"/>
  <c r="G1519" i="28"/>
  <c r="K1519" i="28"/>
  <c r="R1519" i="28"/>
  <c r="V1519" i="28"/>
  <c r="AF1519" i="28"/>
  <c r="E1520" i="28"/>
  <c r="G1520" i="28"/>
  <c r="K1520" i="28"/>
  <c r="R1520" i="28"/>
  <c r="V1520" i="28"/>
  <c r="AF1520" i="28"/>
  <c r="E1521" i="28"/>
  <c r="G1521" i="28"/>
  <c r="K1521" i="28"/>
  <c r="R1521" i="28"/>
  <c r="V1521" i="28"/>
  <c r="AF1521" i="28"/>
  <c r="E1522" i="28"/>
  <c r="G1522" i="28"/>
  <c r="K1522" i="28"/>
  <c r="R1522" i="28"/>
  <c r="V1522" i="28"/>
  <c r="AF1522" i="28"/>
  <c r="E1523" i="28"/>
  <c r="G1523" i="28"/>
  <c r="K1523" i="28"/>
  <c r="R1523" i="28"/>
  <c r="V1523" i="28"/>
  <c r="AF1523" i="28"/>
  <c r="E1524" i="28"/>
  <c r="G1524" i="28"/>
  <c r="K1524" i="28"/>
  <c r="R1524" i="28"/>
  <c r="V1524" i="28"/>
  <c r="AF1524" i="28"/>
  <c r="E1525" i="28"/>
  <c r="G1525" i="28"/>
  <c r="K1525" i="28"/>
  <c r="R1525" i="28"/>
  <c r="V1525" i="28"/>
  <c r="AF1525" i="28"/>
  <c r="E1526" i="28"/>
  <c r="G1526" i="28"/>
  <c r="K1526" i="28"/>
  <c r="R1526" i="28"/>
  <c r="V1526" i="28"/>
  <c r="AF1526" i="28"/>
  <c r="E1527" i="28"/>
  <c r="G1527" i="28"/>
  <c r="K1527" i="28"/>
  <c r="R1527" i="28"/>
  <c r="V1527" i="28"/>
  <c r="AF1527" i="28"/>
  <c r="E1528" i="28"/>
  <c r="G1528" i="28"/>
  <c r="K1528" i="28"/>
  <c r="V1528" i="28"/>
  <c r="AF1528" i="28"/>
  <c r="E1529" i="28"/>
  <c r="G1529" i="28"/>
  <c r="K1529" i="28"/>
  <c r="V1529" i="28"/>
  <c r="AF1529" i="28"/>
  <c r="E1530" i="28"/>
  <c r="G1530" i="28"/>
  <c r="K1530" i="28"/>
  <c r="R1530" i="28"/>
  <c r="V1530" i="28"/>
  <c r="AF1530" i="28"/>
  <c r="E1531" i="28"/>
  <c r="G1531" i="28"/>
  <c r="K1531" i="28"/>
  <c r="V1531" i="28"/>
  <c r="AF1531" i="28"/>
  <c r="E1532" i="28"/>
  <c r="G1532" i="28"/>
  <c r="K1532" i="28"/>
  <c r="V1532" i="28"/>
  <c r="AF1532" i="28"/>
  <c r="E1533" i="28"/>
  <c r="G1533" i="28"/>
  <c r="K1533" i="28"/>
  <c r="V1533" i="28"/>
  <c r="AF1533" i="28"/>
  <c r="E1534" i="28"/>
  <c r="G1534" i="28"/>
  <c r="K1534" i="28"/>
  <c r="V1534" i="28"/>
  <c r="AF1534" i="28"/>
  <c r="E1535" i="28"/>
  <c r="G1535" i="28"/>
  <c r="K1535" i="28"/>
  <c r="V1535" i="28"/>
  <c r="AF1535" i="28"/>
  <c r="E1536" i="28"/>
  <c r="G1536" i="28"/>
  <c r="K1536" i="28"/>
  <c r="R1536" i="28"/>
  <c r="V1536" i="28"/>
  <c r="AF1536" i="28"/>
  <c r="E1537" i="28"/>
  <c r="G1537" i="28"/>
  <c r="K1537" i="28"/>
  <c r="V1537" i="28"/>
  <c r="AF1537" i="28"/>
  <c r="E1538" i="28"/>
  <c r="G1538" i="28"/>
  <c r="K1538" i="28"/>
  <c r="V1538" i="28"/>
  <c r="AF1538" i="28"/>
  <c r="E1539" i="28"/>
  <c r="G1539" i="28"/>
  <c r="K1539" i="28"/>
  <c r="V1539" i="28"/>
  <c r="AF1539" i="28"/>
  <c r="E1540" i="28"/>
  <c r="G1540" i="28"/>
  <c r="K1540" i="28"/>
  <c r="V1540" i="28"/>
  <c r="AF1540" i="28"/>
  <c r="E1541" i="28"/>
  <c r="G1541" i="28"/>
  <c r="K1541" i="28"/>
  <c r="V1541" i="28"/>
  <c r="AF1541" i="28"/>
  <c r="E1542" i="28"/>
  <c r="G1542" i="28"/>
  <c r="K1542" i="28"/>
  <c r="V1542" i="28"/>
  <c r="AF1542" i="28"/>
  <c r="E1543" i="28"/>
  <c r="G1543" i="28"/>
  <c r="K1543" i="28"/>
  <c r="V1543" i="28"/>
  <c r="AF1543" i="28"/>
  <c r="E1544" i="28"/>
  <c r="G1544" i="28"/>
  <c r="K1544" i="28"/>
  <c r="V1544" i="28"/>
  <c r="AF1544" i="28"/>
  <c r="E1545" i="28"/>
  <c r="G1545" i="28"/>
  <c r="K1545" i="28"/>
  <c r="V1545" i="28"/>
  <c r="AF1545" i="28"/>
  <c r="E1546" i="28"/>
  <c r="G1546" i="28"/>
  <c r="K1546" i="28"/>
  <c r="V1546" i="28"/>
  <c r="AF1546" i="28"/>
  <c r="E1547" i="28"/>
  <c r="G1547" i="28"/>
  <c r="K1547" i="28"/>
  <c r="V1547" i="28"/>
  <c r="AF1547" i="28"/>
  <c r="E1548" i="28"/>
  <c r="G1548" i="28"/>
  <c r="K1548" i="28"/>
  <c r="V1548" i="28"/>
  <c r="AF1548" i="28"/>
  <c r="E1549" i="28"/>
  <c r="G1549" i="28"/>
  <c r="K1549" i="28"/>
  <c r="V1549" i="28"/>
  <c r="AF1549" i="28"/>
  <c r="E1550" i="28"/>
  <c r="G1550" i="28"/>
  <c r="K1550" i="28"/>
  <c r="V1550" i="28"/>
  <c r="AF1550" i="28"/>
  <c r="E1551" i="28"/>
  <c r="G1551" i="28"/>
  <c r="K1551" i="28"/>
  <c r="V1551" i="28"/>
  <c r="AF1551" i="28"/>
  <c r="E1552" i="28"/>
  <c r="G1552" i="28"/>
  <c r="K1552" i="28"/>
  <c r="V1552" i="28"/>
  <c r="AF1552" i="28"/>
  <c r="E1553" i="28"/>
  <c r="G1553" i="28"/>
  <c r="K1553" i="28"/>
  <c r="V1553" i="28"/>
  <c r="AF1553" i="28"/>
  <c r="E1554" i="28"/>
  <c r="G1554" i="28"/>
  <c r="K1554" i="28"/>
  <c r="V1554" i="28"/>
  <c r="AF1554" i="28"/>
  <c r="E1555" i="28"/>
  <c r="G1555" i="28"/>
  <c r="K1555" i="28"/>
  <c r="V1555" i="28"/>
  <c r="AF1555" i="28"/>
  <c r="E1556" i="28"/>
  <c r="G1556" i="28"/>
  <c r="K1556" i="28"/>
  <c r="V1556" i="28"/>
  <c r="AF1556" i="28"/>
  <c r="E1557" i="28"/>
  <c r="G1557" i="28"/>
  <c r="K1557" i="28"/>
  <c r="V1557" i="28"/>
  <c r="AF1557" i="28"/>
  <c r="E1558" i="28"/>
  <c r="G1558" i="28"/>
  <c r="K1558" i="28"/>
  <c r="V1558" i="28"/>
  <c r="AF1558" i="28"/>
  <c r="E1559" i="28"/>
  <c r="G1559" i="28"/>
  <c r="K1559" i="28"/>
  <c r="V1559" i="28"/>
  <c r="AF1559" i="28"/>
  <c r="E1560" i="28"/>
  <c r="G1560" i="28"/>
  <c r="K1560" i="28"/>
  <c r="V1560" i="28"/>
  <c r="AF1560" i="28"/>
  <c r="E1561" i="28"/>
  <c r="G1561" i="28"/>
  <c r="K1561" i="28"/>
  <c r="V1561" i="28"/>
  <c r="AF1561" i="28"/>
  <c r="E1562" i="28"/>
  <c r="G1562" i="28"/>
  <c r="K1562" i="28"/>
  <c r="V1562" i="28"/>
  <c r="AF1562" i="28"/>
  <c r="E1563" i="28"/>
  <c r="G1563" i="28"/>
  <c r="K1563" i="28"/>
  <c r="V1563" i="28"/>
  <c r="AF1563" i="28"/>
  <c r="E1564" i="28"/>
  <c r="G1564" i="28"/>
  <c r="K1564" i="28"/>
  <c r="V1564" i="28"/>
  <c r="AF1564" i="28"/>
  <c r="E1565" i="28"/>
  <c r="G1565" i="28"/>
  <c r="K1565" i="28"/>
  <c r="V1565" i="28"/>
  <c r="AF1565" i="28"/>
  <c r="E1566" i="28"/>
  <c r="G1566" i="28"/>
  <c r="K1566" i="28"/>
  <c r="V1566" i="28"/>
  <c r="AF1566" i="28"/>
  <c r="E1567" i="28"/>
  <c r="G1567" i="28"/>
  <c r="K1567" i="28"/>
  <c r="V1567" i="28"/>
  <c r="AF1567" i="28"/>
  <c r="E1568" i="28"/>
  <c r="G1568" i="28"/>
  <c r="K1568" i="28"/>
  <c r="V1568" i="28"/>
  <c r="AF1568" i="28"/>
  <c r="E1569" i="28"/>
  <c r="G1569" i="28"/>
  <c r="K1569" i="28"/>
  <c r="V1569" i="28"/>
  <c r="AF1569" i="28"/>
  <c r="E1570" i="28"/>
  <c r="G1570" i="28"/>
  <c r="K1570" i="28"/>
  <c r="V1570" i="28"/>
  <c r="AF1570" i="28"/>
  <c r="E1571" i="28"/>
  <c r="G1571" i="28"/>
  <c r="K1571" i="28"/>
  <c r="V1571" i="28"/>
  <c r="AF1571" i="28"/>
  <c r="E1572" i="28"/>
  <c r="G1572" i="28"/>
  <c r="K1572" i="28"/>
  <c r="V1572" i="28"/>
  <c r="AF1572" i="28"/>
  <c r="E1573" i="28"/>
  <c r="G1573" i="28"/>
  <c r="K1573" i="28"/>
  <c r="V1573" i="28"/>
  <c r="AF1573" i="28"/>
  <c r="E1574" i="28"/>
  <c r="G1574" i="28"/>
  <c r="K1574" i="28"/>
  <c r="V1574" i="28"/>
  <c r="AF1574" i="28"/>
  <c r="E1575" i="28"/>
  <c r="G1575" i="28"/>
  <c r="K1575" i="28"/>
  <c r="V1575" i="28"/>
  <c r="AF1575" i="28"/>
  <c r="E1576" i="28"/>
  <c r="G1576" i="28"/>
  <c r="K1576" i="28"/>
  <c r="V1576" i="28"/>
  <c r="AF1576" i="28"/>
  <c r="E1577" i="28"/>
  <c r="G1577" i="28"/>
  <c r="K1577" i="28"/>
  <c r="V1577" i="28"/>
  <c r="AF1577" i="28"/>
  <c r="E1578" i="28"/>
  <c r="G1578" i="28"/>
  <c r="K1578" i="28"/>
  <c r="V1578" i="28"/>
  <c r="AF1578" i="28"/>
  <c r="E1579" i="28"/>
  <c r="G1579" i="28"/>
  <c r="K1579" i="28"/>
  <c r="V1579" i="28"/>
  <c r="AF1579" i="28"/>
  <c r="E1580" i="28"/>
  <c r="G1580" i="28"/>
  <c r="K1580" i="28"/>
  <c r="V1580" i="28"/>
  <c r="AF1580" i="28"/>
  <c r="E1581" i="28"/>
  <c r="G1581" i="28"/>
  <c r="K1581" i="28"/>
  <c r="V1581" i="28"/>
  <c r="AF1581" i="28"/>
  <c r="E1582" i="28"/>
  <c r="G1582" i="28"/>
  <c r="K1582" i="28"/>
  <c r="V1582" i="28"/>
  <c r="AF1582" i="28"/>
  <c r="E1583" i="28"/>
  <c r="G1583" i="28"/>
  <c r="K1583" i="28"/>
  <c r="V1583" i="28"/>
  <c r="AF1583" i="28"/>
  <c r="E1584" i="28"/>
  <c r="G1584" i="28"/>
  <c r="K1584" i="28"/>
  <c r="V1584" i="28"/>
  <c r="AF1584" i="28"/>
  <c r="E1585" i="28"/>
  <c r="G1585" i="28"/>
  <c r="K1585" i="28"/>
  <c r="R1585" i="28"/>
  <c r="V1585" i="28"/>
  <c r="AF1585" i="28"/>
  <c r="E1586" i="28"/>
  <c r="G1586" i="28"/>
  <c r="K1586" i="28"/>
  <c r="R1586" i="28"/>
  <c r="V1586" i="28"/>
  <c r="AF1586" i="28"/>
  <c r="E1587" i="28"/>
  <c r="G1587" i="28"/>
  <c r="K1587" i="28"/>
  <c r="R1587" i="28"/>
  <c r="V1587" i="28"/>
  <c r="AF1587" i="28"/>
  <c r="E1588" i="28"/>
  <c r="G1588" i="28"/>
  <c r="K1588" i="28"/>
  <c r="R1588" i="28"/>
  <c r="V1588" i="28"/>
  <c r="AF1588" i="28"/>
  <c r="E1589" i="28"/>
  <c r="G1589" i="28"/>
  <c r="K1589" i="28"/>
  <c r="R1589" i="28"/>
  <c r="V1589" i="28"/>
  <c r="AF1589" i="28"/>
  <c r="E1590" i="28"/>
  <c r="G1590" i="28"/>
  <c r="K1590" i="28"/>
  <c r="R1590" i="28"/>
  <c r="V1590" i="28"/>
  <c r="AF1590" i="28"/>
  <c r="E1591" i="28"/>
  <c r="G1591" i="28"/>
  <c r="K1591" i="28"/>
  <c r="V1591" i="28"/>
  <c r="AF1591" i="28"/>
  <c r="E1592" i="28"/>
  <c r="G1592" i="28"/>
  <c r="K1592" i="28"/>
  <c r="V1592" i="28"/>
  <c r="AF1592" i="28"/>
  <c r="E1593" i="28"/>
  <c r="G1593" i="28"/>
  <c r="K1593" i="28"/>
  <c r="V1593" i="28"/>
  <c r="AF1593" i="28"/>
  <c r="E1594" i="28"/>
  <c r="G1594" i="28"/>
  <c r="K1594" i="28"/>
  <c r="V1594" i="28"/>
  <c r="AF1594" i="28"/>
  <c r="E1595" i="28"/>
  <c r="G1595" i="28"/>
  <c r="K1595" i="28"/>
  <c r="V1595" i="28"/>
  <c r="AF1595" i="28"/>
  <c r="E1596" i="28"/>
  <c r="G1596" i="28"/>
  <c r="K1596" i="28"/>
  <c r="V1596" i="28"/>
  <c r="AF1596" i="28"/>
  <c r="E1597" i="28"/>
  <c r="G1597" i="28"/>
  <c r="K1597" i="28"/>
  <c r="V1597" i="28"/>
  <c r="AF1597" i="28"/>
  <c r="E1598" i="28"/>
  <c r="G1598" i="28"/>
  <c r="K1598" i="28"/>
  <c r="V1598" i="28"/>
  <c r="AF1598" i="28"/>
  <c r="E1599" i="28"/>
  <c r="G1599" i="28"/>
  <c r="K1599" i="28"/>
  <c r="V1599" i="28"/>
  <c r="AF1599" i="28"/>
  <c r="E1600" i="28"/>
  <c r="G1600" i="28"/>
  <c r="K1600" i="28"/>
  <c r="V1600" i="28"/>
  <c r="AF1600" i="28"/>
  <c r="E1601" i="28"/>
  <c r="G1601" i="28"/>
  <c r="K1601" i="28"/>
  <c r="V1601" i="28"/>
  <c r="AF1601" i="28"/>
  <c r="E1602" i="28"/>
  <c r="G1602" i="28"/>
  <c r="K1602" i="28"/>
  <c r="V1602" i="28"/>
  <c r="AF1602" i="28"/>
  <c r="E1603" i="28"/>
  <c r="G1603" i="28"/>
  <c r="K1603" i="28"/>
  <c r="V1603" i="28"/>
  <c r="AF1603" i="28"/>
  <c r="E1604" i="28"/>
  <c r="G1604" i="28"/>
  <c r="K1604" i="28"/>
  <c r="V1604" i="28"/>
  <c r="AF1604" i="28"/>
  <c r="E1605" i="28"/>
  <c r="G1605" i="28"/>
  <c r="K1605" i="28"/>
  <c r="V1605" i="28"/>
  <c r="AF1605" i="28"/>
  <c r="E1606" i="28"/>
  <c r="G1606" i="28"/>
  <c r="K1606" i="28"/>
  <c r="V1606" i="28"/>
  <c r="AF1606" i="28"/>
  <c r="E1607" i="28"/>
  <c r="G1607" i="28"/>
  <c r="K1607" i="28"/>
  <c r="V1607" i="28"/>
  <c r="AF1607" i="28"/>
  <c r="E1608" i="28"/>
  <c r="G1608" i="28"/>
  <c r="K1608" i="28"/>
  <c r="V1608" i="28"/>
  <c r="AF1608" i="28"/>
  <c r="E1609" i="28"/>
  <c r="G1609" i="28"/>
  <c r="K1609" i="28"/>
  <c r="V1609" i="28"/>
  <c r="AF1609" i="28"/>
  <c r="E1610" i="28"/>
  <c r="G1610" i="28"/>
  <c r="K1610" i="28"/>
  <c r="V1610" i="28"/>
  <c r="AF1610" i="28"/>
  <c r="E1611" i="28"/>
  <c r="G1611" i="28"/>
  <c r="K1611" i="28"/>
  <c r="V1611" i="28"/>
  <c r="AF1611" i="28"/>
  <c r="E1612" i="28"/>
  <c r="G1612" i="28"/>
  <c r="K1612" i="28"/>
  <c r="V1612" i="28"/>
  <c r="AF1612" i="28"/>
  <c r="E1613" i="28"/>
  <c r="G1613" i="28"/>
  <c r="K1613" i="28"/>
  <c r="V1613" i="28"/>
  <c r="AF1613" i="28"/>
  <c r="E1614" i="28"/>
  <c r="G1614" i="28"/>
  <c r="K1614" i="28"/>
  <c r="V1614" i="28"/>
  <c r="AF1614" i="28"/>
  <c r="E1615" i="28"/>
  <c r="G1615" i="28"/>
  <c r="K1615" i="28"/>
  <c r="V1615" i="28"/>
  <c r="AF1615" i="28"/>
  <c r="E1616" i="28"/>
  <c r="G1616" i="28"/>
  <c r="K1616" i="28"/>
  <c r="V1616" i="28"/>
  <c r="AF1616" i="28"/>
  <c r="E1617" i="28"/>
  <c r="G1617" i="28"/>
  <c r="K1617" i="28"/>
  <c r="V1617" i="28"/>
  <c r="AF1617" i="28"/>
  <c r="E1618" i="28"/>
  <c r="G1618" i="28"/>
  <c r="K1618" i="28"/>
  <c r="V1618" i="28"/>
  <c r="AF1618" i="28"/>
  <c r="E1619" i="28"/>
  <c r="G1619" i="28"/>
  <c r="K1619" i="28"/>
  <c r="V1619" i="28"/>
  <c r="AF1619" i="28"/>
  <c r="E1620" i="28"/>
  <c r="G1620" i="28"/>
  <c r="K1620" i="28"/>
  <c r="V1620" i="28"/>
  <c r="AF1620" i="28"/>
  <c r="E1621" i="28"/>
  <c r="G1621" i="28"/>
  <c r="K1621" i="28"/>
  <c r="V1621" i="28"/>
  <c r="AF1621" i="28"/>
  <c r="E1622" i="28"/>
  <c r="G1622" i="28"/>
  <c r="K1622" i="28"/>
  <c r="V1622" i="28"/>
  <c r="AF1622" i="28"/>
  <c r="E1623" i="28"/>
  <c r="G1623" i="28"/>
  <c r="K1623" i="28"/>
  <c r="V1623" i="28"/>
  <c r="AF1623" i="28"/>
  <c r="E1624" i="28"/>
  <c r="G1624" i="28"/>
  <c r="K1624" i="28"/>
  <c r="V1624" i="28"/>
  <c r="AF1624" i="28"/>
  <c r="E1625" i="28"/>
  <c r="G1625" i="28"/>
  <c r="K1625" i="28"/>
  <c r="V1625" i="28"/>
  <c r="AF1625" i="28"/>
  <c r="E1626" i="28"/>
  <c r="G1626" i="28"/>
  <c r="K1626" i="28"/>
  <c r="V1626" i="28"/>
  <c r="AF1626" i="28"/>
  <c r="E1627" i="28"/>
  <c r="G1627" i="28"/>
  <c r="K1627" i="28"/>
  <c r="V1627" i="28"/>
  <c r="AF1627" i="28"/>
  <c r="E1628" i="28"/>
  <c r="G1628" i="28"/>
  <c r="K1628" i="28"/>
  <c r="V1628" i="28"/>
  <c r="AF1628" i="28"/>
  <c r="E1629" i="28"/>
  <c r="G1629" i="28"/>
  <c r="K1629" i="28"/>
  <c r="V1629" i="28"/>
  <c r="AF1629" i="28"/>
  <c r="E1630" i="28"/>
  <c r="G1630" i="28"/>
  <c r="K1630" i="28"/>
  <c r="V1630" i="28"/>
  <c r="AF1630" i="28"/>
  <c r="E1631" i="28"/>
  <c r="G1631" i="28"/>
  <c r="K1631" i="28"/>
  <c r="V1631" i="28"/>
  <c r="AF1631" i="28"/>
  <c r="E1632" i="28"/>
  <c r="G1632" i="28"/>
  <c r="K1632" i="28"/>
  <c r="V1632" i="28"/>
  <c r="AF1632" i="28"/>
  <c r="E1633" i="28"/>
  <c r="G1633" i="28"/>
  <c r="K1633" i="28"/>
  <c r="V1633" i="28"/>
  <c r="AF1633" i="28"/>
  <c r="E1634" i="28"/>
  <c r="G1634" i="28"/>
  <c r="K1634" i="28"/>
  <c r="V1634" i="28"/>
  <c r="AF1634" i="28"/>
  <c r="E1635" i="28"/>
  <c r="G1635" i="28"/>
  <c r="K1635" i="28"/>
  <c r="V1635" i="28"/>
  <c r="AF1635" i="28"/>
  <c r="E1636" i="28"/>
  <c r="G1636" i="28"/>
  <c r="K1636" i="28"/>
  <c r="V1636" i="28"/>
  <c r="AF1636" i="28"/>
  <c r="E1637" i="28"/>
  <c r="G1637" i="28"/>
  <c r="K1637" i="28"/>
  <c r="V1637" i="28"/>
  <c r="AF1637" i="28"/>
  <c r="E1638" i="28"/>
  <c r="G1638" i="28"/>
  <c r="K1638" i="28"/>
  <c r="V1638" i="28"/>
  <c r="AF1638" i="28"/>
  <c r="E1639" i="28"/>
  <c r="G1639" i="28"/>
  <c r="K1639" i="28"/>
  <c r="V1639" i="28"/>
  <c r="AF1639" i="28"/>
  <c r="E1640" i="28"/>
  <c r="G1640" i="28"/>
  <c r="K1640" i="28"/>
  <c r="V1640" i="28"/>
  <c r="AF1640" i="28"/>
  <c r="E1641" i="28"/>
  <c r="G1641" i="28"/>
  <c r="K1641" i="28"/>
  <c r="V1641" i="28"/>
  <c r="AF1641" i="28"/>
  <c r="E1642" i="28"/>
  <c r="G1642" i="28"/>
  <c r="K1642" i="28"/>
  <c r="V1642" i="28"/>
  <c r="AF1642" i="28"/>
  <c r="E1643" i="28"/>
  <c r="G1643" i="28"/>
  <c r="K1643" i="28"/>
  <c r="V1643" i="28"/>
  <c r="AF1643" i="28"/>
  <c r="E1644" i="28"/>
  <c r="G1644" i="28"/>
  <c r="K1644" i="28"/>
  <c r="V1644" i="28"/>
  <c r="AF1644" i="28"/>
  <c r="E1645" i="28"/>
  <c r="G1645" i="28"/>
  <c r="K1645" i="28"/>
  <c r="V1645" i="28"/>
  <c r="AF1645" i="28"/>
  <c r="E1646" i="28"/>
  <c r="G1646" i="28"/>
  <c r="K1646" i="28"/>
  <c r="V1646" i="28"/>
  <c r="AF1646" i="28"/>
  <c r="E1647" i="28"/>
  <c r="G1647" i="28"/>
  <c r="K1647" i="28"/>
  <c r="V1647" i="28"/>
  <c r="AF1647" i="28"/>
  <c r="E1648" i="28"/>
  <c r="G1648" i="28"/>
  <c r="K1648" i="28"/>
  <c r="V1648" i="28"/>
  <c r="AF1648" i="28"/>
  <c r="E1649" i="28"/>
  <c r="G1649" i="28"/>
  <c r="K1649" i="28"/>
  <c r="V1649" i="28"/>
  <c r="AF1649" i="28"/>
  <c r="E1650" i="28"/>
  <c r="G1650" i="28"/>
  <c r="K1650" i="28"/>
  <c r="V1650" i="28"/>
  <c r="AF1650" i="28"/>
  <c r="E1651" i="28"/>
  <c r="G1651" i="28"/>
  <c r="K1651" i="28"/>
  <c r="V1651" i="28"/>
  <c r="AF1651" i="28"/>
  <c r="E1652" i="28"/>
  <c r="G1652" i="28"/>
  <c r="K1652" i="28"/>
  <c r="V1652" i="28"/>
  <c r="AF1652" i="28"/>
  <c r="E1653" i="28"/>
  <c r="G1653" i="28"/>
  <c r="K1653" i="28"/>
  <c r="V1653" i="28"/>
  <c r="AF1653" i="28"/>
  <c r="E1654" i="28"/>
  <c r="G1654" i="28"/>
  <c r="K1654" i="28"/>
  <c r="V1654" i="28"/>
  <c r="AF1654" i="28"/>
  <c r="E1655" i="28"/>
  <c r="G1655" i="28"/>
  <c r="K1655" i="28"/>
  <c r="V1655" i="28"/>
  <c r="AF1655" i="28"/>
  <c r="E1656" i="28"/>
  <c r="G1656" i="28"/>
  <c r="K1656" i="28"/>
  <c r="V1656" i="28"/>
  <c r="AF1656" i="28"/>
  <c r="E1657" i="28"/>
  <c r="G1657" i="28"/>
  <c r="K1657" i="28"/>
  <c r="V1657" i="28"/>
  <c r="AF1657" i="28"/>
  <c r="E1658" i="28"/>
  <c r="G1658" i="28"/>
  <c r="K1658" i="28"/>
  <c r="V1658" i="28"/>
  <c r="AF1658" i="28"/>
  <c r="V3" i="28"/>
  <c r="V4" i="28"/>
  <c r="V5" i="28"/>
  <c r="V6" i="28"/>
  <c r="V7" i="28"/>
  <c r="V8" i="28"/>
  <c r="V9" i="28"/>
  <c r="V10" i="28"/>
  <c r="V11" i="28"/>
  <c r="V12" i="28"/>
  <c r="V13" i="28"/>
  <c r="V14" i="28"/>
  <c r="V15" i="28"/>
  <c r="V16" i="28"/>
  <c r="V17" i="28"/>
  <c r="V18" i="28"/>
  <c r="V19" i="28"/>
  <c r="V20" i="28"/>
  <c r="V21" i="28"/>
  <c r="V22" i="28"/>
  <c r="V23" i="28"/>
  <c r="V24" i="28"/>
  <c r="V25" i="28"/>
  <c r="V26" i="28"/>
  <c r="V27" i="28"/>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V62" i="28"/>
  <c r="V63" i="28"/>
  <c r="V64" i="28"/>
  <c r="V65" i="28"/>
  <c r="V66" i="28"/>
  <c r="V67" i="28"/>
  <c r="V68" i="28"/>
  <c r="V69" i="28"/>
  <c r="V70" i="28"/>
  <c r="V71" i="28"/>
  <c r="V72" i="28"/>
  <c r="V73" i="28"/>
  <c r="V74" i="28"/>
  <c r="V75" i="28"/>
  <c r="V76" i="28"/>
  <c r="V77" i="28"/>
  <c r="V78" i="28"/>
  <c r="V79" i="28"/>
  <c r="V80" i="28"/>
  <c r="V81" i="28"/>
  <c r="V82" i="28"/>
  <c r="V83" i="28"/>
  <c r="V84" i="28"/>
  <c r="V85" i="28"/>
  <c r="V86" i="28"/>
  <c r="V87" i="28"/>
  <c r="V88" i="28"/>
  <c r="V89" i="28"/>
  <c r="V90" i="28"/>
  <c r="V91" i="28"/>
  <c r="V92" i="28"/>
  <c r="V93" i="28"/>
  <c r="V94" i="28"/>
  <c r="V95" i="28"/>
  <c r="V96" i="28"/>
  <c r="V97" i="28"/>
  <c r="V98" i="28"/>
  <c r="V99" i="28"/>
  <c r="V100" i="28"/>
  <c r="V101" i="28"/>
  <c r="V102" i="28"/>
  <c r="V103" i="28"/>
  <c r="V104" i="28"/>
  <c r="V105" i="28"/>
  <c r="V106" i="28"/>
  <c r="V107" i="28"/>
  <c r="V108" i="28"/>
  <c r="V109" i="28"/>
  <c r="V110" i="28"/>
  <c r="V111" i="28"/>
  <c r="V112" i="28"/>
  <c r="V113" i="28"/>
  <c r="V114" i="28"/>
  <c r="V115" i="28"/>
  <c r="V116" i="28"/>
  <c r="V117" i="28"/>
  <c r="V118" i="28"/>
  <c r="V119" i="28"/>
  <c r="V120" i="28"/>
  <c r="V121" i="28"/>
  <c r="V122" i="28"/>
  <c r="V123" i="28"/>
  <c r="V124" i="28"/>
  <c r="V125" i="28"/>
  <c r="V126" i="28"/>
  <c r="V127" i="28"/>
  <c r="V128" i="28"/>
  <c r="V129" i="28"/>
  <c r="V130" i="28"/>
  <c r="V131" i="28"/>
  <c r="V132" i="28"/>
  <c r="V133" i="28"/>
  <c r="V134" i="28"/>
  <c r="V135" i="28"/>
  <c r="V136" i="28"/>
  <c r="V137" i="28"/>
  <c r="V138" i="28"/>
  <c r="V139" i="28"/>
  <c r="V140" i="28"/>
  <c r="V141" i="28"/>
  <c r="V142" i="28"/>
  <c r="V143" i="28"/>
  <c r="V144" i="28"/>
  <c r="V145" i="28"/>
  <c r="V146" i="28"/>
  <c r="V147" i="28"/>
  <c r="V148" i="28"/>
  <c r="V149" i="28"/>
  <c r="V150" i="28"/>
  <c r="V151" i="28"/>
  <c r="V152" i="28"/>
  <c r="V153" i="28"/>
  <c r="V154" i="28"/>
  <c r="V155" i="28"/>
  <c r="V156" i="28"/>
  <c r="V157" i="28"/>
  <c r="V158" i="28"/>
  <c r="V159" i="28"/>
  <c r="V160" i="28"/>
  <c r="V161" i="28"/>
  <c r="V162" i="28"/>
  <c r="V163" i="28"/>
  <c r="V164" i="28"/>
  <c r="V165" i="28"/>
  <c r="V166" i="28"/>
  <c r="V167" i="28"/>
  <c r="V168" i="28"/>
  <c r="V169" i="28"/>
  <c r="V170" i="28"/>
  <c r="V171" i="28"/>
  <c r="V172" i="28"/>
  <c r="V173" i="28"/>
  <c r="V174" i="28"/>
  <c r="V175" i="28"/>
  <c r="V176" i="28"/>
  <c r="V177" i="28"/>
  <c r="V178" i="28"/>
  <c r="V179" i="28"/>
  <c r="V180" i="28"/>
  <c r="V181" i="28"/>
  <c r="V182" i="28"/>
  <c r="V183" i="28"/>
  <c r="V184" i="28"/>
  <c r="V185" i="28"/>
  <c r="V186" i="28"/>
  <c r="V187" i="28"/>
  <c r="V188" i="28"/>
  <c r="V189" i="28"/>
  <c r="V190" i="28"/>
  <c r="V191" i="28"/>
  <c r="V192" i="28"/>
  <c r="V193" i="28"/>
  <c r="V194" i="28"/>
  <c r="V195" i="28"/>
  <c r="V196" i="28"/>
  <c r="V197" i="28"/>
  <c r="V198" i="28"/>
  <c r="V199" i="28"/>
  <c r="V200" i="28"/>
  <c r="V201" i="28"/>
  <c r="V202" i="28"/>
  <c r="V203" i="28"/>
  <c r="V204" i="28"/>
  <c r="V205" i="28"/>
  <c r="V206" i="28"/>
  <c r="V207" i="28"/>
  <c r="V208" i="28"/>
  <c r="V209" i="28"/>
  <c r="V210" i="28"/>
  <c r="V211" i="28"/>
  <c r="V212" i="28"/>
  <c r="V213" i="28"/>
  <c r="V214" i="28"/>
  <c r="V215" i="28"/>
  <c r="V216" i="28"/>
  <c r="V217" i="28"/>
  <c r="V218" i="28"/>
  <c r="V219" i="28"/>
  <c r="V220" i="28"/>
  <c r="V221" i="28"/>
  <c r="V222" i="28"/>
  <c r="V223" i="28"/>
  <c r="V224" i="28"/>
  <c r="V225" i="28"/>
  <c r="V226" i="28"/>
  <c r="V227" i="28"/>
  <c r="V228" i="28"/>
  <c r="V229" i="28"/>
  <c r="V230" i="28"/>
  <c r="V231" i="28"/>
  <c r="V232" i="28"/>
  <c r="V233" i="28"/>
  <c r="V234" i="28"/>
  <c r="V235" i="28"/>
  <c r="V236" i="28"/>
  <c r="V237" i="28"/>
  <c r="V238" i="28"/>
  <c r="V239" i="28"/>
  <c r="V240" i="28"/>
  <c r="V241" i="28"/>
  <c r="V242" i="28"/>
  <c r="V243" i="28"/>
  <c r="V244" i="28"/>
  <c r="V245" i="28"/>
  <c r="V246" i="28"/>
  <c r="V247" i="28"/>
  <c r="V248" i="28"/>
  <c r="V249" i="28"/>
  <c r="V250" i="28"/>
  <c r="V251" i="28"/>
  <c r="V252" i="28"/>
  <c r="V253" i="28"/>
  <c r="V254" i="28"/>
  <c r="V255" i="28"/>
  <c r="V256" i="28"/>
  <c r="V257" i="28"/>
  <c r="V258" i="28"/>
  <c r="V259" i="28"/>
  <c r="V260" i="28"/>
  <c r="V261" i="28"/>
  <c r="V263" i="28"/>
  <c r="V264" i="28"/>
  <c r="V265" i="28"/>
  <c r="V269" i="28"/>
  <c r="V272" i="28"/>
  <c r="V273" i="28"/>
  <c r="V274" i="28"/>
  <c r="V275" i="28"/>
  <c r="V276" i="28"/>
  <c r="V277" i="28"/>
  <c r="V278" i="28"/>
  <c r="V279" i="28"/>
  <c r="V280" i="28"/>
  <c r="V281" i="28"/>
  <c r="V282" i="28"/>
  <c r="V283" i="28"/>
  <c r="V285" i="28"/>
  <c r="V286" i="28"/>
  <c r="V287" i="28"/>
  <c r="V288" i="28"/>
  <c r="V289" i="28"/>
  <c r="V290" i="28"/>
  <c r="V291" i="28"/>
  <c r="V292" i="28"/>
  <c r="V293" i="28"/>
  <c r="V294" i="28"/>
  <c r="V295" i="28"/>
  <c r="V296" i="28"/>
  <c r="V297" i="28"/>
  <c r="V298" i="28"/>
  <c r="V299" i="28"/>
  <c r="V300" i="28"/>
  <c r="V301" i="28"/>
  <c r="V302" i="28"/>
  <c r="V303" i="28"/>
  <c r="D1535" i="30" l="1"/>
  <c r="D1476" i="30"/>
  <c r="D1536" i="30"/>
  <c r="T284" i="28" l="1"/>
  <c r="V284" i="28" s="1"/>
  <c r="T271" i="28"/>
  <c r="V271" i="28" s="1"/>
  <c r="T270" i="28"/>
  <c r="V270" i="28" s="1"/>
  <c r="T268" i="28"/>
  <c r="V268" i="28" s="1"/>
  <c r="T267" i="28"/>
  <c r="V267" i="28" s="1"/>
  <c r="T266" i="28"/>
  <c r="V266" i="28" s="1"/>
  <c r="T262" i="28"/>
  <c r="V262" i="28" s="1"/>
  <c r="D6145" i="30"/>
  <c r="D6146" i="30"/>
  <c r="D6147" i="30"/>
  <c r="D6148" i="30"/>
  <c r="D6149" i="30"/>
  <c r="D6150" i="30"/>
  <c r="D6151" i="30"/>
  <c r="D6144" i="30"/>
  <c r="D6009" i="30" l="1"/>
  <c r="D6061" i="30"/>
  <c r="D6062" i="30"/>
  <c r="D6063" i="30"/>
  <c r="D2937" i="30"/>
  <c r="D2938" i="30"/>
  <c r="D2939" i="30"/>
  <c r="D2940" i="30"/>
  <c r="D2941" i="30"/>
  <c r="D2886" i="30"/>
  <c r="D2887" i="30"/>
  <c r="D2888" i="30"/>
  <c r="D5963" i="30"/>
  <c r="D3" i="30" l="1"/>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203" i="30"/>
  <c r="D204" i="30"/>
  <c r="D205" i="30"/>
  <c r="D206" i="30"/>
  <c r="D207" i="30"/>
  <c r="D208" i="30"/>
  <c r="D209" i="30"/>
  <c r="D210" i="30"/>
  <c r="D211" i="30"/>
  <c r="D212" i="30"/>
  <c r="D213" i="30"/>
  <c r="D214" i="30"/>
  <c r="D215" i="30"/>
  <c r="D216" i="30"/>
  <c r="D217" i="30"/>
  <c r="D218" i="30"/>
  <c r="D219" i="30"/>
  <c r="D220" i="30"/>
  <c r="D221" i="30"/>
  <c r="D222" i="30"/>
  <c r="D223" i="30"/>
  <c r="D224" i="30"/>
  <c r="D225" i="30"/>
  <c r="D226" i="30"/>
  <c r="D227" i="30"/>
  <c r="D228" i="30"/>
  <c r="D229" i="30"/>
  <c r="D230" i="30"/>
  <c r="D231" i="30"/>
  <c r="D232" i="30"/>
  <c r="D233" i="30"/>
  <c r="D234" i="30"/>
  <c r="D235" i="30"/>
  <c r="D236" i="30"/>
  <c r="D237" i="30"/>
  <c r="D238" i="30"/>
  <c r="D239" i="30"/>
  <c r="D240" i="30"/>
  <c r="D241" i="30"/>
  <c r="D242" i="30"/>
  <c r="D243" i="30"/>
  <c r="D244" i="30"/>
  <c r="D245" i="30"/>
  <c r="D246" i="30"/>
  <c r="D247" i="30"/>
  <c r="D248" i="30"/>
  <c r="D249" i="30"/>
  <c r="D250" i="30"/>
  <c r="D251" i="30"/>
  <c r="D252" i="30"/>
  <c r="D253" i="30"/>
  <c r="D254" i="30"/>
  <c r="D255" i="30"/>
  <c r="D256" i="30"/>
  <c r="D257" i="30"/>
  <c r="D258" i="30"/>
  <c r="D259" i="30"/>
  <c r="D260" i="30"/>
  <c r="D261" i="30"/>
  <c r="D262" i="30"/>
  <c r="D263" i="30"/>
  <c r="D264" i="30"/>
  <c r="D265" i="30"/>
  <c r="D266" i="30"/>
  <c r="D267" i="30"/>
  <c r="D268" i="30"/>
  <c r="D269" i="30"/>
  <c r="D270" i="30"/>
  <c r="D271" i="30"/>
  <c r="D272" i="30"/>
  <c r="D273" i="30"/>
  <c r="D274" i="30"/>
  <c r="D275" i="30"/>
  <c r="D276" i="30"/>
  <c r="D277" i="30"/>
  <c r="D278" i="30"/>
  <c r="D279" i="30"/>
  <c r="D280" i="30"/>
  <c r="D281" i="30"/>
  <c r="D282" i="30"/>
  <c r="D283" i="30"/>
  <c r="D284" i="30"/>
  <c r="D285" i="30"/>
  <c r="D286" i="30"/>
  <c r="D287" i="30"/>
  <c r="D288" i="30"/>
  <c r="D289" i="30"/>
  <c r="D290" i="30"/>
  <c r="D291" i="30"/>
  <c r="D292" i="30"/>
  <c r="D293" i="30"/>
  <c r="D294" i="30"/>
  <c r="D295" i="30"/>
  <c r="D296" i="30"/>
  <c r="D297" i="30"/>
  <c r="D298" i="30"/>
  <c r="D299" i="30"/>
  <c r="D300" i="30"/>
  <c r="D301" i="30"/>
  <c r="D302" i="30"/>
  <c r="D303" i="30"/>
  <c r="D304" i="30"/>
  <c r="D305" i="30"/>
  <c r="D306" i="30"/>
  <c r="D307" i="30"/>
  <c r="D308" i="30"/>
  <c r="D309" i="30"/>
  <c r="D310" i="30"/>
  <c r="D311" i="30"/>
  <c r="D312" i="30"/>
  <c r="D313" i="30"/>
  <c r="D314" i="30"/>
  <c r="D315" i="30"/>
  <c r="D316" i="30"/>
  <c r="D317" i="30"/>
  <c r="D318" i="30"/>
  <c r="D319" i="30"/>
  <c r="D320" i="30"/>
  <c r="D321" i="30"/>
  <c r="D322" i="30"/>
  <c r="D323" i="30"/>
  <c r="D324" i="30"/>
  <c r="D325" i="30"/>
  <c r="D326" i="30"/>
  <c r="D327" i="30"/>
  <c r="D328" i="30"/>
  <c r="D329" i="30"/>
  <c r="D330" i="30"/>
  <c r="D331" i="30"/>
  <c r="D332" i="30"/>
  <c r="D333" i="30"/>
  <c r="D334" i="30"/>
  <c r="D335" i="30"/>
  <c r="D336" i="30"/>
  <c r="D337" i="30"/>
  <c r="D338" i="30"/>
  <c r="D339" i="30"/>
  <c r="D340" i="30"/>
  <c r="D341" i="30"/>
  <c r="D342" i="30"/>
  <c r="D343" i="30"/>
  <c r="D344" i="30"/>
  <c r="D345" i="30"/>
  <c r="D346" i="30"/>
  <c r="D347" i="30"/>
  <c r="D348" i="30"/>
  <c r="D349" i="30"/>
  <c r="D350" i="30"/>
  <c r="D351" i="30"/>
  <c r="D352" i="30"/>
  <c r="D353" i="30"/>
  <c r="D354" i="30"/>
  <c r="D355" i="30"/>
  <c r="D356" i="30"/>
  <c r="D357" i="30"/>
  <c r="D358" i="30"/>
  <c r="D359" i="30"/>
  <c r="D360" i="30"/>
  <c r="D361" i="30"/>
  <c r="D362" i="30"/>
  <c r="D363" i="30"/>
  <c r="D364" i="30"/>
  <c r="D365" i="30"/>
  <c r="D366" i="30"/>
  <c r="D367" i="30"/>
  <c r="D368" i="30"/>
  <c r="D369" i="30"/>
  <c r="D370" i="30"/>
  <c r="D371" i="30"/>
  <c r="D372" i="30"/>
  <c r="D373" i="30"/>
  <c r="D374" i="30"/>
  <c r="D375" i="30"/>
  <c r="D376" i="30"/>
  <c r="D377" i="30"/>
  <c r="D378" i="30"/>
  <c r="D379" i="30"/>
  <c r="D380" i="30"/>
  <c r="D381" i="30"/>
  <c r="D382" i="30"/>
  <c r="D383" i="30"/>
  <c r="D384" i="30"/>
  <c r="D385" i="30"/>
  <c r="D386" i="30"/>
  <c r="D387" i="30"/>
  <c r="D388" i="30"/>
  <c r="D389" i="30"/>
  <c r="D390" i="30"/>
  <c r="D391" i="30"/>
  <c r="D392" i="30"/>
  <c r="D393" i="30"/>
  <c r="D394" i="30"/>
  <c r="D395" i="30"/>
  <c r="D396" i="30"/>
  <c r="D397" i="30"/>
  <c r="D398" i="30"/>
  <c r="D399" i="30"/>
  <c r="D400" i="30"/>
  <c r="D401" i="30"/>
  <c r="D402" i="30"/>
  <c r="D403" i="30"/>
  <c r="D404" i="30"/>
  <c r="D405" i="30"/>
  <c r="D406" i="30"/>
  <c r="D407" i="30"/>
  <c r="D408" i="30"/>
  <c r="D409" i="30"/>
  <c r="D410" i="30"/>
  <c r="D411" i="30"/>
  <c r="D412" i="30"/>
  <c r="D413" i="30"/>
  <c r="D414" i="30"/>
  <c r="D415" i="30"/>
  <c r="D416" i="30"/>
  <c r="D417" i="30"/>
  <c r="D418" i="30"/>
  <c r="D419" i="30"/>
  <c r="D420" i="30"/>
  <c r="D421" i="30"/>
  <c r="D422" i="30"/>
  <c r="D423" i="30"/>
  <c r="D424" i="30"/>
  <c r="D425" i="30"/>
  <c r="D426" i="30"/>
  <c r="D427" i="30"/>
  <c r="D428" i="30"/>
  <c r="D429" i="30"/>
  <c r="D430" i="30"/>
  <c r="D431" i="30"/>
  <c r="D432" i="30"/>
  <c r="D433" i="30"/>
  <c r="D434" i="30"/>
  <c r="D435" i="30"/>
  <c r="D436" i="30"/>
  <c r="D437" i="30"/>
  <c r="D438" i="30"/>
  <c r="D439" i="30"/>
  <c r="D440" i="30"/>
  <c r="D441" i="30"/>
  <c r="D442" i="30"/>
  <c r="D443" i="30"/>
  <c r="D444" i="30"/>
  <c r="D445" i="30"/>
  <c r="D446" i="30"/>
  <c r="D447" i="30"/>
  <c r="D448" i="30"/>
  <c r="D449" i="30"/>
  <c r="D450" i="30"/>
  <c r="D451" i="30"/>
  <c r="D452" i="30"/>
  <c r="D453" i="30"/>
  <c r="D454" i="30"/>
  <c r="D455" i="30"/>
  <c r="D456" i="30"/>
  <c r="D457" i="30"/>
  <c r="D458" i="30"/>
  <c r="D459" i="30"/>
  <c r="D460" i="30"/>
  <c r="D461" i="30"/>
  <c r="D462" i="30"/>
  <c r="D463" i="30"/>
  <c r="D464" i="30"/>
  <c r="D465" i="30"/>
  <c r="D466" i="30"/>
  <c r="D467" i="30"/>
  <c r="D468" i="30"/>
  <c r="D469" i="30"/>
  <c r="D470" i="30"/>
  <c r="D471" i="30"/>
  <c r="D472" i="30"/>
  <c r="D473" i="30"/>
  <c r="D474" i="30"/>
  <c r="D475" i="30"/>
  <c r="D476" i="30"/>
  <c r="D477" i="30"/>
  <c r="D478" i="30"/>
  <c r="D479" i="30"/>
  <c r="D480" i="30"/>
  <c r="D481" i="30"/>
  <c r="D482" i="30"/>
  <c r="D483" i="30"/>
  <c r="D484" i="30"/>
  <c r="D485" i="30"/>
  <c r="D486" i="30"/>
  <c r="D487" i="30"/>
  <c r="D488" i="30"/>
  <c r="D489" i="30"/>
  <c r="D490" i="30"/>
  <c r="D491" i="30"/>
  <c r="D492" i="30"/>
  <c r="D493" i="30"/>
  <c r="D494" i="30"/>
  <c r="D495" i="30"/>
  <c r="D496" i="30"/>
  <c r="D497" i="30"/>
  <c r="D498" i="30"/>
  <c r="D499" i="30"/>
  <c r="D500" i="30"/>
  <c r="D501" i="30"/>
  <c r="D502" i="30"/>
  <c r="D503" i="30"/>
  <c r="D504" i="30"/>
  <c r="D505" i="30"/>
  <c r="D506" i="30"/>
  <c r="D507" i="30"/>
  <c r="D508" i="30"/>
  <c r="D509" i="30"/>
  <c r="D510" i="30"/>
  <c r="D511" i="30"/>
  <c r="D512" i="30"/>
  <c r="D513" i="30"/>
  <c r="D514" i="30"/>
  <c r="D515" i="30"/>
  <c r="D516" i="30"/>
  <c r="D517" i="30"/>
  <c r="D518" i="30"/>
  <c r="D519" i="30"/>
  <c r="D520" i="30"/>
  <c r="D521" i="30"/>
  <c r="D522" i="30"/>
  <c r="D523" i="30"/>
  <c r="D524" i="30"/>
  <c r="D525" i="30"/>
  <c r="D526" i="30"/>
  <c r="D527" i="30"/>
  <c r="D528" i="30"/>
  <c r="D529" i="30"/>
  <c r="D530" i="30"/>
  <c r="D531" i="30"/>
  <c r="D532" i="30"/>
  <c r="D533" i="30"/>
  <c r="D534" i="30"/>
  <c r="D535" i="30"/>
  <c r="D536" i="30"/>
  <c r="D537" i="30"/>
  <c r="D538" i="30"/>
  <c r="D539" i="30"/>
  <c r="D540" i="30"/>
  <c r="D541" i="30"/>
  <c r="D542" i="30"/>
  <c r="D543" i="30"/>
  <c r="D544" i="30"/>
  <c r="D545" i="30"/>
  <c r="D546" i="30"/>
  <c r="D547" i="30"/>
  <c r="D548" i="30"/>
  <c r="D549" i="30"/>
  <c r="D550" i="30"/>
  <c r="D551" i="30"/>
  <c r="D552" i="30"/>
  <c r="D553" i="30"/>
  <c r="D554" i="30"/>
  <c r="D555" i="30"/>
  <c r="D556" i="30"/>
  <c r="D557" i="30"/>
  <c r="D558" i="30"/>
  <c r="D559" i="30"/>
  <c r="D560" i="30"/>
  <c r="D561" i="30"/>
  <c r="D562" i="30"/>
  <c r="D563" i="30"/>
  <c r="D564" i="30"/>
  <c r="D565" i="30"/>
  <c r="D566" i="30"/>
  <c r="D567" i="30"/>
  <c r="D568" i="30"/>
  <c r="D569" i="30"/>
  <c r="D570" i="30"/>
  <c r="D571" i="30"/>
  <c r="D572" i="30"/>
  <c r="D573" i="30"/>
  <c r="D574" i="30"/>
  <c r="D575" i="30"/>
  <c r="D576" i="30"/>
  <c r="D577" i="30"/>
  <c r="D578" i="30"/>
  <c r="D579" i="30"/>
  <c r="D580" i="30"/>
  <c r="D581" i="30"/>
  <c r="D582" i="30"/>
  <c r="D583" i="30"/>
  <c r="D584" i="30"/>
  <c r="D585" i="30"/>
  <c r="D586" i="30"/>
  <c r="D587" i="30"/>
  <c r="D588" i="30"/>
  <c r="D589" i="30"/>
  <c r="D590" i="30"/>
  <c r="D591" i="30"/>
  <c r="D592" i="30"/>
  <c r="D593" i="30"/>
  <c r="D594" i="30"/>
  <c r="D595" i="30"/>
  <c r="D596" i="30"/>
  <c r="D597" i="30"/>
  <c r="D598" i="30"/>
  <c r="D599" i="30"/>
  <c r="D600" i="30"/>
  <c r="D601" i="30"/>
  <c r="D602" i="30"/>
  <c r="D603" i="30"/>
  <c r="D604" i="30"/>
  <c r="D605" i="30"/>
  <c r="D606" i="30"/>
  <c r="D607" i="30"/>
  <c r="D608" i="30"/>
  <c r="D609" i="30"/>
  <c r="D610" i="30"/>
  <c r="D611" i="30"/>
  <c r="D612" i="30"/>
  <c r="D613" i="30"/>
  <c r="D614" i="30"/>
  <c r="D615" i="30"/>
  <c r="D616" i="30"/>
  <c r="D617" i="30"/>
  <c r="D618" i="30"/>
  <c r="D619" i="30"/>
  <c r="D620" i="30"/>
  <c r="D621" i="30"/>
  <c r="D622" i="30"/>
  <c r="D623" i="30"/>
  <c r="D624" i="30"/>
  <c r="D625" i="30"/>
  <c r="D626" i="30"/>
  <c r="D627"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652" i="30"/>
  <c r="D653" i="30"/>
  <c r="D654" i="30"/>
  <c r="D655" i="30"/>
  <c r="D656" i="30"/>
  <c r="D657" i="30"/>
  <c r="D658" i="30"/>
  <c r="D659" i="30"/>
  <c r="D660" i="30"/>
  <c r="D661" i="30"/>
  <c r="D662" i="30"/>
  <c r="D663" i="30"/>
  <c r="D664" i="30"/>
  <c r="D665" i="30"/>
  <c r="D666" i="30"/>
  <c r="D667" i="30"/>
  <c r="D668" i="30"/>
  <c r="D669" i="30"/>
  <c r="D670" i="30"/>
  <c r="D671" i="30"/>
  <c r="D672" i="30"/>
  <c r="D673" i="30"/>
  <c r="D674" i="30"/>
  <c r="D675" i="30"/>
  <c r="D676" i="30"/>
  <c r="D677" i="30"/>
  <c r="D678" i="30"/>
  <c r="D679" i="30"/>
  <c r="D680" i="30"/>
  <c r="D681" i="30"/>
  <c r="D682" i="30"/>
  <c r="D683" i="30"/>
  <c r="D684" i="30"/>
  <c r="D685" i="30"/>
  <c r="D686" i="30"/>
  <c r="D687" i="30"/>
  <c r="D688" i="30"/>
  <c r="D689" i="30"/>
  <c r="D690" i="30"/>
  <c r="D691" i="30"/>
  <c r="D692" i="30"/>
  <c r="D693" i="30"/>
  <c r="D694" i="30"/>
  <c r="D695" i="30"/>
  <c r="D696" i="30"/>
  <c r="D697" i="30"/>
  <c r="D698" i="30"/>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D1005" i="30"/>
  <c r="D1006" i="30"/>
  <c r="D1007" i="30"/>
  <c r="D1008" i="30"/>
  <c r="D1009" i="30"/>
  <c r="D1010" i="30"/>
  <c r="D1011" i="30"/>
  <c r="D1012" i="30"/>
  <c r="D1013" i="30"/>
  <c r="D1014" i="30"/>
  <c r="D1015" i="30"/>
  <c r="D1016" i="30"/>
  <c r="D1017" i="30"/>
  <c r="D1018" i="30"/>
  <c r="D1019" i="30"/>
  <c r="D1020" i="30"/>
  <c r="D1021" i="30"/>
  <c r="D1022" i="30"/>
  <c r="D1023" i="30"/>
  <c r="D1024" i="30"/>
  <c r="D1025" i="30"/>
  <c r="D1026" i="30"/>
  <c r="D1027" i="30"/>
  <c r="D1028" i="30"/>
  <c r="D1029" i="30"/>
  <c r="D1030" i="30"/>
  <c r="D1031" i="30"/>
  <c r="D1032" i="30"/>
  <c r="D1033" i="30"/>
  <c r="D1034" i="30"/>
  <c r="D1035" i="30"/>
  <c r="D1036" i="30"/>
  <c r="D1037" i="30"/>
  <c r="D1038" i="30"/>
  <c r="D1039" i="30"/>
  <c r="D1040" i="30"/>
  <c r="D1041" i="30"/>
  <c r="D1042" i="30"/>
  <c r="D1043" i="30"/>
  <c r="D1044" i="30"/>
  <c r="D1045" i="30"/>
  <c r="D1046" i="30"/>
  <c r="D1047" i="30"/>
  <c r="D1048" i="30"/>
  <c r="D1049" i="30"/>
  <c r="D1050" i="30"/>
  <c r="D1051" i="30"/>
  <c r="D1052" i="30"/>
  <c r="D1053" i="30"/>
  <c r="D1054" i="30"/>
  <c r="D1055" i="30"/>
  <c r="D1056" i="30"/>
  <c r="D1057" i="30"/>
  <c r="D1058" i="30"/>
  <c r="D1059" i="30"/>
  <c r="D1060" i="30"/>
  <c r="D1061" i="30"/>
  <c r="D1064" i="30"/>
  <c r="D1065" i="30"/>
  <c r="D1066" i="30"/>
  <c r="D1067" i="30"/>
  <c r="D1068" i="30"/>
  <c r="D1069" i="30"/>
  <c r="D1070" i="30"/>
  <c r="D1071" i="30"/>
  <c r="D1072" i="30"/>
  <c r="D1073" i="30"/>
  <c r="D1074" i="30"/>
  <c r="D1075" i="30"/>
  <c r="D1076" i="30"/>
  <c r="D1077" i="30"/>
  <c r="D1078" i="30"/>
  <c r="D1079" i="30"/>
  <c r="D1080" i="30"/>
  <c r="D1081" i="30"/>
  <c r="D1082" i="30"/>
  <c r="D1083" i="30"/>
  <c r="D1084" i="30"/>
  <c r="D1085" i="30"/>
  <c r="D1086" i="30"/>
  <c r="D1087" i="30"/>
  <c r="D1088" i="30"/>
  <c r="D1089" i="30"/>
  <c r="D1090" i="30"/>
  <c r="D1091" i="30"/>
  <c r="D1092" i="30"/>
  <c r="D1093" i="30"/>
  <c r="D1094" i="30"/>
  <c r="D1095" i="30"/>
  <c r="D1096" i="30"/>
  <c r="D1097" i="30"/>
  <c r="D1098" i="30"/>
  <c r="D1099" i="30"/>
  <c r="D1100" i="30"/>
  <c r="D1101" i="30"/>
  <c r="D1102" i="30"/>
  <c r="D1103" i="30"/>
  <c r="D1104" i="30"/>
  <c r="D1105" i="30"/>
  <c r="D1106" i="30"/>
  <c r="D1107" i="30"/>
  <c r="D1108" i="30"/>
  <c r="D1109" i="30"/>
  <c r="D1110" i="30"/>
  <c r="D1111" i="30"/>
  <c r="D1112" i="30"/>
  <c r="D1113" i="30"/>
  <c r="D1114" i="30"/>
  <c r="D1115" i="30"/>
  <c r="D1116" i="30"/>
  <c r="D1117" i="30"/>
  <c r="D1118" i="30"/>
  <c r="D1119" i="30"/>
  <c r="D1120" i="30"/>
  <c r="D1121" i="30"/>
  <c r="D1122" i="30"/>
  <c r="D1123" i="30"/>
  <c r="D1124" i="30"/>
  <c r="D1125" i="30"/>
  <c r="D1126" i="30"/>
  <c r="D1127" i="30"/>
  <c r="D1128" i="30"/>
  <c r="D1129" i="30"/>
  <c r="D1130" i="30"/>
  <c r="D1131" i="30"/>
  <c r="D1132" i="30"/>
  <c r="D1133" i="30"/>
  <c r="D1134" i="30"/>
  <c r="D1135" i="30"/>
  <c r="D1136" i="30"/>
  <c r="D1137" i="30"/>
  <c r="D1138" i="30"/>
  <c r="D1139" i="30"/>
  <c r="D1140" i="30"/>
  <c r="D1141" i="30"/>
  <c r="D1142" i="30"/>
  <c r="D1143" i="30"/>
  <c r="D1144" i="30"/>
  <c r="D1145" i="30"/>
  <c r="D1146" i="30"/>
  <c r="D1147" i="30"/>
  <c r="D1148" i="30"/>
  <c r="D1149" i="30"/>
  <c r="D1150" i="30"/>
  <c r="D1151" i="30"/>
  <c r="D1152" i="30"/>
  <c r="D1153" i="30"/>
  <c r="D1154" i="30"/>
  <c r="D1155" i="30"/>
  <c r="D1156" i="30"/>
  <c r="D1157" i="30"/>
  <c r="D1158" i="30"/>
  <c r="D1159" i="30"/>
  <c r="D1160" i="30"/>
  <c r="D1162" i="30"/>
  <c r="D1163" i="30"/>
  <c r="D1164" i="30"/>
  <c r="D1165" i="30"/>
  <c r="D1166" i="30"/>
  <c r="D1167" i="30"/>
  <c r="D1168" i="30"/>
  <c r="D1169" i="30"/>
  <c r="D1170" i="30"/>
  <c r="D1171" i="30"/>
  <c r="D1172" i="30"/>
  <c r="D1173" i="30"/>
  <c r="D1174" i="30"/>
  <c r="D1175" i="30"/>
  <c r="D1176" i="30"/>
  <c r="D1177" i="30"/>
  <c r="D1178" i="30"/>
  <c r="D1179" i="30"/>
  <c r="D1180" i="30"/>
  <c r="D1181" i="30"/>
  <c r="D1182" i="30"/>
  <c r="D1183" i="30"/>
  <c r="D1184" i="30"/>
  <c r="D1185" i="30"/>
  <c r="D1186" i="30"/>
  <c r="D1187" i="30"/>
  <c r="D1188" i="30"/>
  <c r="D1189" i="30"/>
  <c r="D1190" i="30"/>
  <c r="D1191" i="30"/>
  <c r="D1192" i="30"/>
  <c r="D1193" i="30"/>
  <c r="D1194" i="30"/>
  <c r="D1195" i="30"/>
  <c r="D1196" i="30"/>
  <c r="D1197" i="30"/>
  <c r="D1198" i="30"/>
  <c r="D1199" i="30"/>
  <c r="D1200" i="30"/>
  <c r="D1201" i="30"/>
  <c r="D1202" i="30"/>
  <c r="D1203" i="30"/>
  <c r="D1204" i="30"/>
  <c r="D1205" i="30"/>
  <c r="D1206" i="30"/>
  <c r="D1207" i="30"/>
  <c r="D1208" i="30"/>
  <c r="D1209" i="30"/>
  <c r="D1210" i="30"/>
  <c r="D1211" i="30"/>
  <c r="D1212" i="30"/>
  <c r="D1213" i="30"/>
  <c r="D1214" i="30"/>
  <c r="D1215" i="30"/>
  <c r="D1216" i="30"/>
  <c r="D1217" i="30"/>
  <c r="D1218" i="30"/>
  <c r="D1219" i="30"/>
  <c r="D1220" i="30"/>
  <c r="D1221" i="30"/>
  <c r="D1222" i="30"/>
  <c r="D1223" i="30"/>
  <c r="D1224" i="30"/>
  <c r="D1225" i="30"/>
  <c r="D1226" i="30"/>
  <c r="D1227" i="30"/>
  <c r="D1228" i="30"/>
  <c r="D1229" i="30"/>
  <c r="D1230" i="30"/>
  <c r="D1231" i="30"/>
  <c r="D1232" i="30"/>
  <c r="D1233" i="30"/>
  <c r="D1234" i="30"/>
  <c r="D1235" i="30"/>
  <c r="D1236" i="30"/>
  <c r="D1237" i="30"/>
  <c r="D1238" i="30"/>
  <c r="D1239" i="30"/>
  <c r="D1240" i="30"/>
  <c r="D1241" i="30"/>
  <c r="D1242" i="30"/>
  <c r="D1243" i="30"/>
  <c r="D1244" i="30"/>
  <c r="D1245" i="30"/>
  <c r="D1246" i="30"/>
  <c r="D1247" i="30"/>
  <c r="D1248"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7" i="30"/>
  <c r="D1278"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07" i="30"/>
  <c r="D1308" i="30"/>
  <c r="D1309" i="30"/>
  <c r="D1310" i="30"/>
  <c r="D1311" i="30"/>
  <c r="D1312" i="30"/>
  <c r="D1313" i="30"/>
  <c r="D1314" i="30"/>
  <c r="D1315" i="30"/>
  <c r="D1316" i="30"/>
  <c r="D1317" i="30"/>
  <c r="D1318" i="30"/>
  <c r="D1319" i="30"/>
  <c r="D1320" i="30"/>
  <c r="D1321" i="30"/>
  <c r="D1322" i="30"/>
  <c r="D1323" i="30"/>
  <c r="D1324" i="30"/>
  <c r="D1325" i="30"/>
  <c r="D1326" i="30"/>
  <c r="D1327" i="30"/>
  <c r="D1328" i="30"/>
  <c r="D1329" i="30"/>
  <c r="D1330" i="30"/>
  <c r="D1331" i="30"/>
  <c r="D1332" i="30"/>
  <c r="D1333" i="30"/>
  <c r="D1334" i="30"/>
  <c r="D1335" i="30"/>
  <c r="D1336" i="30"/>
  <c r="D1337" i="30"/>
  <c r="D1338" i="30"/>
  <c r="D1339" i="30"/>
  <c r="D1340" i="30"/>
  <c r="D1341" i="30"/>
  <c r="D1342" i="30"/>
  <c r="D1343" i="30"/>
  <c r="D1344" i="30"/>
  <c r="D1345" i="30"/>
  <c r="D1346" i="30"/>
  <c r="D1347" i="30"/>
  <c r="D1348" i="30"/>
  <c r="D1349" i="30"/>
  <c r="D1350" i="30"/>
  <c r="D1351" i="30"/>
  <c r="D1352" i="30"/>
  <c r="D1353" i="30"/>
  <c r="D1354" i="30"/>
  <c r="D1355" i="30"/>
  <c r="D1356" i="30"/>
  <c r="D1357" i="30"/>
  <c r="D1358" i="30"/>
  <c r="D1359" i="30"/>
  <c r="D1360" i="30"/>
  <c r="D1361" i="30"/>
  <c r="D1362" i="30"/>
  <c r="D1363" i="30"/>
  <c r="D1364" i="30"/>
  <c r="D1365" i="30"/>
  <c r="D1366" i="30"/>
  <c r="D1367" i="30"/>
  <c r="D1368" i="30"/>
  <c r="D1369"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39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424" i="30"/>
  <c r="D1425" i="30"/>
  <c r="D1426" i="30"/>
  <c r="D1427" i="30"/>
  <c r="D1428" i="30"/>
  <c r="D1429" i="30"/>
  <c r="D1430" i="30"/>
  <c r="D1431" i="30"/>
  <c r="D1432" i="30"/>
  <c r="D1433" i="30"/>
  <c r="D1434" i="30"/>
  <c r="D1435" i="30"/>
  <c r="D1436" i="30"/>
  <c r="D1437" i="30"/>
  <c r="D1438" i="30"/>
  <c r="D1439" i="30"/>
  <c r="D1440" i="30"/>
  <c r="D1441" i="30"/>
  <c r="D1442" i="30"/>
  <c r="D1443" i="30"/>
  <c r="D1444" i="30"/>
  <c r="D1445" i="30"/>
  <c r="D1446" i="30"/>
  <c r="D1447" i="30"/>
  <c r="D1448" i="30"/>
  <c r="D1449" i="30"/>
  <c r="D1450" i="30"/>
  <c r="D1451" i="30"/>
  <c r="D1452" i="30"/>
  <c r="D1453" i="30"/>
  <c r="D1454" i="30"/>
  <c r="D1455" i="30"/>
  <c r="D1456" i="30"/>
  <c r="D1457" i="30"/>
  <c r="D1458" i="30"/>
  <c r="D1459" i="30"/>
  <c r="D1460" i="30"/>
  <c r="D1461" i="30"/>
  <c r="D1462" i="30"/>
  <c r="D1463" i="30"/>
  <c r="D1464" i="30"/>
  <c r="D1465" i="30"/>
  <c r="D1466" i="30"/>
  <c r="D1467" i="30"/>
  <c r="D1468" i="30"/>
  <c r="D1469" i="30"/>
  <c r="D1470" i="30"/>
  <c r="D1471" i="30"/>
  <c r="D1472" i="30"/>
  <c r="D1473" i="30"/>
  <c r="D1474" i="30"/>
  <c r="D1475" i="30"/>
  <c r="D1477" i="30"/>
  <c r="D1478" i="30"/>
  <c r="D1479" i="30"/>
  <c r="D1480" i="30"/>
  <c r="D1481" i="30"/>
  <c r="D1482" i="30"/>
  <c r="D1483" i="30"/>
  <c r="D1484" i="30"/>
  <c r="D1485" i="30"/>
  <c r="D1486" i="30"/>
  <c r="D1487" i="30"/>
  <c r="D1488" i="30"/>
  <c r="D1489" i="30"/>
  <c r="D1490" i="30"/>
  <c r="D1491" i="30"/>
  <c r="D1492" i="30"/>
  <c r="D1493" i="30"/>
  <c r="D1494" i="30"/>
  <c r="D1495" i="30"/>
  <c r="D1496" i="30"/>
  <c r="D1497" i="30"/>
  <c r="D1498" i="30"/>
  <c r="D1499" i="30"/>
  <c r="D1500" i="30"/>
  <c r="D1501" i="30"/>
  <c r="D1502" i="30"/>
  <c r="D1503" i="30"/>
  <c r="D1504" i="30"/>
  <c r="D1505" i="30"/>
  <c r="D1506" i="30"/>
  <c r="D1507" i="30"/>
  <c r="D1508" i="30"/>
  <c r="D1509" i="30"/>
  <c r="D1510" i="30"/>
  <c r="D1511" i="30"/>
  <c r="D1512" i="30"/>
  <c r="D1513" i="30"/>
  <c r="D1514" i="30"/>
  <c r="D1515" i="30"/>
  <c r="D1516" i="30"/>
  <c r="D1517" i="30"/>
  <c r="D1518" i="30"/>
  <c r="D1519" i="30"/>
  <c r="D1520" i="30"/>
  <c r="D1521" i="30"/>
  <c r="D1522" i="30"/>
  <c r="D1523" i="30"/>
  <c r="D1524" i="30"/>
  <c r="D1525" i="30"/>
  <c r="D1526" i="30"/>
  <c r="D1527" i="30"/>
  <c r="D1528" i="30"/>
  <c r="D1529" i="30"/>
  <c r="D1530" i="30"/>
  <c r="D1531" i="30"/>
  <c r="D1532" i="30"/>
  <c r="D1533" i="30"/>
  <c r="D1534" i="30"/>
  <c r="D1537" i="30"/>
  <c r="D1538" i="30"/>
  <c r="D1539" i="30"/>
  <c r="D1540" i="30"/>
  <c r="D1541" i="30"/>
  <c r="D1542" i="30"/>
  <c r="D1543" i="30"/>
  <c r="D1544" i="30"/>
  <c r="D1545" i="30"/>
  <c r="D1546" i="30"/>
  <c r="D1547" i="30"/>
  <c r="D1548" i="30"/>
  <c r="D1549" i="30"/>
  <c r="D1550" i="30"/>
  <c r="D1551" i="30"/>
  <c r="D1552" i="30"/>
  <c r="D1553" i="30"/>
  <c r="D1554" i="30"/>
  <c r="D1555" i="30"/>
  <c r="D1556" i="30"/>
  <c r="D1557" i="30"/>
  <c r="D1558" i="30"/>
  <c r="D1559" i="30"/>
  <c r="D1560" i="30"/>
  <c r="D1561" i="30"/>
  <c r="D1562" i="30"/>
  <c r="D1563" i="30"/>
  <c r="D1564" i="30"/>
  <c r="D1565" i="30"/>
  <c r="D1566" i="30"/>
  <c r="D1567" i="30"/>
  <c r="D1568" i="30"/>
  <c r="D1569"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591" i="30"/>
  <c r="D1592" i="30"/>
  <c r="D1593" i="30"/>
  <c r="D1594" i="30"/>
  <c r="D1595" i="30"/>
  <c r="D1596" i="30"/>
  <c r="D1597" i="30"/>
  <c r="D1598" i="30"/>
  <c r="D1599" i="30"/>
  <c r="D1600" i="30"/>
  <c r="D1601" i="30"/>
  <c r="D1602" i="30"/>
  <c r="D1603" i="30"/>
  <c r="D1604" i="30"/>
  <c r="D1605" i="30"/>
  <c r="D1606" i="30"/>
  <c r="D1607" i="30"/>
  <c r="D1608" i="30"/>
  <c r="D1609" i="30"/>
  <c r="D1610" i="30"/>
  <c r="D1611" i="30"/>
  <c r="D1612" i="30"/>
  <c r="D1613" i="30"/>
  <c r="D1614" i="30"/>
  <c r="D1615" i="30"/>
  <c r="D1616" i="30"/>
  <c r="D1617" i="30"/>
  <c r="D1618" i="30"/>
  <c r="D1619" i="30"/>
  <c r="D1620" i="30"/>
  <c r="D1621" i="30"/>
  <c r="D1622" i="30"/>
  <c r="D1623" i="30"/>
  <c r="D1624" i="30"/>
  <c r="D1625" i="30"/>
  <c r="D1626" i="30"/>
  <c r="D1627" i="30"/>
  <c r="D1628" i="30"/>
  <c r="D1629" i="30"/>
  <c r="D1630" i="30"/>
  <c r="D1631" i="30"/>
  <c r="D1632" i="30"/>
  <c r="D1633" i="30"/>
  <c r="D1634" i="30"/>
  <c r="D1635" i="30"/>
  <c r="D1636" i="30"/>
  <c r="D1637" i="30"/>
  <c r="D1638" i="30"/>
  <c r="D1639" i="30"/>
  <c r="D1640" i="30"/>
  <c r="D1641" i="30"/>
  <c r="D1642" i="30"/>
  <c r="D1643" i="30"/>
  <c r="D1644" i="30"/>
  <c r="D1645" i="30"/>
  <c r="D1646" i="30"/>
  <c r="D1647" i="30"/>
  <c r="D1648" i="30"/>
  <c r="D1649" i="30"/>
  <c r="D1650" i="30"/>
  <c r="D1651" i="30"/>
  <c r="D1652" i="30"/>
  <c r="D1653" i="30"/>
  <c r="D1654" i="30"/>
  <c r="D1655" i="30"/>
  <c r="D1656" i="30"/>
  <c r="D1657" i="30"/>
  <c r="D1658" i="30"/>
  <c r="D1659" i="30"/>
  <c r="D1660" i="30"/>
  <c r="D1661" i="30"/>
  <c r="D1662" i="30"/>
  <c r="D1663" i="30"/>
  <c r="D1664" i="30"/>
  <c r="D1665" i="30"/>
  <c r="D1666" i="30"/>
  <c r="D1667" i="30"/>
  <c r="D1668" i="30"/>
  <c r="D1669" i="30"/>
  <c r="D1670" i="30"/>
  <c r="D1671" i="30"/>
  <c r="D1672" i="30"/>
  <c r="D1673" i="30"/>
  <c r="D1674" i="30"/>
  <c r="D1675" i="30"/>
  <c r="D1676" i="30"/>
  <c r="D1677" i="30"/>
  <c r="D1678" i="30"/>
  <c r="D1679" i="30"/>
  <c r="D1680" i="30"/>
  <c r="D1681" i="30"/>
  <c r="D1682" i="30"/>
  <c r="D1683" i="30"/>
  <c r="D1684" i="30"/>
  <c r="D1685" i="30"/>
  <c r="D1686" i="30"/>
  <c r="D1687" i="30"/>
  <c r="D1688" i="30"/>
  <c r="D1689" i="30"/>
  <c r="D1690" i="30"/>
  <c r="D1691" i="30"/>
  <c r="D1692" i="30"/>
  <c r="D1693" i="30"/>
  <c r="D1694" i="30"/>
  <c r="D1695" i="30"/>
  <c r="D1696" i="30"/>
  <c r="D1697" i="30"/>
  <c r="D1698" i="30"/>
  <c r="D1699" i="30"/>
  <c r="D1700" i="30"/>
  <c r="D1701" i="30"/>
  <c r="D1702" i="30"/>
  <c r="D1703" i="30"/>
  <c r="D1704" i="30"/>
  <c r="D1705" i="30"/>
  <c r="D1706" i="30"/>
  <c r="D1707" i="30"/>
  <c r="D1708" i="30"/>
  <c r="D1709" i="30"/>
  <c r="D1710" i="30"/>
  <c r="D1711" i="30"/>
  <c r="D1712" i="30"/>
  <c r="D1713" i="30"/>
  <c r="D1714" i="30"/>
  <c r="D1715" i="30"/>
  <c r="D1716" i="30"/>
  <c r="D1717" i="30"/>
  <c r="D1718" i="30"/>
  <c r="D1719" i="30"/>
  <c r="D1720" i="30"/>
  <c r="D1721" i="30"/>
  <c r="D1722" i="30"/>
  <c r="D1723" i="30"/>
  <c r="D1724" i="30"/>
  <c r="D1725" i="30"/>
  <c r="D1726" i="30"/>
  <c r="D1727" i="30"/>
  <c r="D1728" i="30"/>
  <c r="D1729" i="30"/>
  <c r="D1730" i="30"/>
  <c r="D1731" i="30"/>
  <c r="D1732" i="30"/>
  <c r="D1733" i="30"/>
  <c r="D1734" i="30"/>
  <c r="D1735" i="30"/>
  <c r="D1736" i="30"/>
  <c r="D1737" i="30"/>
  <c r="D1738" i="30"/>
  <c r="D1739" i="30"/>
  <c r="D1740" i="30"/>
  <c r="D1741" i="30"/>
  <c r="D1742" i="30"/>
  <c r="D1743" i="30"/>
  <c r="D1744" i="30"/>
  <c r="D1745" i="30"/>
  <c r="D1746" i="30"/>
  <c r="D1747" i="30"/>
  <c r="D1748" i="30"/>
  <c r="D1749" i="30"/>
  <c r="D1750" i="30"/>
  <c r="D1751" i="30"/>
  <c r="D1752" i="30"/>
  <c r="D1753" i="30"/>
  <c r="D1754" i="30"/>
  <c r="D1755" i="30"/>
  <c r="D1756" i="30"/>
  <c r="D1757" i="30"/>
  <c r="D1758" i="30"/>
  <c r="D1759" i="30"/>
  <c r="D1760" i="30"/>
  <c r="D1761" i="30"/>
  <c r="D1762" i="30"/>
  <c r="D1763" i="30"/>
  <c r="D1764" i="30"/>
  <c r="D1765" i="30"/>
  <c r="D1766" i="30"/>
  <c r="D1767" i="30"/>
  <c r="D1768" i="30"/>
  <c r="D1769" i="30"/>
  <c r="D1770" i="30"/>
  <c r="D1771" i="30"/>
  <c r="D1772" i="30"/>
  <c r="D1773" i="30"/>
  <c r="D1774" i="30"/>
  <c r="D1775" i="30"/>
  <c r="D1776" i="30"/>
  <c r="D1777" i="30"/>
  <c r="D1778" i="30"/>
  <c r="D1779" i="30"/>
  <c r="D1780" i="30"/>
  <c r="D1781" i="30"/>
  <c r="D1782" i="30"/>
  <c r="D1783" i="30"/>
  <c r="D1784" i="30"/>
  <c r="D1785" i="30"/>
  <c r="D1786" i="30"/>
  <c r="D1787" i="30"/>
  <c r="D1788" i="30"/>
  <c r="D1789" i="30"/>
  <c r="D1790" i="30"/>
  <c r="D1791" i="30"/>
  <c r="D1792" i="30"/>
  <c r="D1793" i="30"/>
  <c r="D1794" i="30"/>
  <c r="D1795" i="30"/>
  <c r="D1796" i="30"/>
  <c r="D1797" i="30"/>
  <c r="D1798" i="30"/>
  <c r="D1799" i="30"/>
  <c r="D1800" i="30"/>
  <c r="D1801" i="30"/>
  <c r="D1802" i="30"/>
  <c r="D1803" i="30"/>
  <c r="D1804" i="30"/>
  <c r="D1805" i="30"/>
  <c r="D1806" i="30"/>
  <c r="D1807" i="30"/>
  <c r="D1808" i="30"/>
  <c r="D1809" i="30"/>
  <c r="D1810" i="30"/>
  <c r="D1811" i="30"/>
  <c r="D1812" i="30"/>
  <c r="D1813" i="30"/>
  <c r="D1814" i="30"/>
  <c r="D1815" i="30"/>
  <c r="D1816" i="30"/>
  <c r="D1817" i="30"/>
  <c r="D1818" i="30"/>
  <c r="D1819" i="30"/>
  <c r="D1820" i="30"/>
  <c r="D1821" i="30"/>
  <c r="D1822" i="30"/>
  <c r="D1823" i="30"/>
  <c r="D1824" i="30"/>
  <c r="D1825" i="30"/>
  <c r="D1826" i="30"/>
  <c r="D1827" i="30"/>
  <c r="D1828" i="30"/>
  <c r="D1829" i="30"/>
  <c r="D1830" i="30"/>
  <c r="D1831" i="30"/>
  <c r="D1832" i="30"/>
  <c r="D1833" i="30"/>
  <c r="D1834" i="30"/>
  <c r="D1835" i="30"/>
  <c r="D1836" i="30"/>
  <c r="D1837" i="30"/>
  <c r="D1838" i="30"/>
  <c r="D1839" i="30"/>
  <c r="D1840" i="30"/>
  <c r="D1841" i="30"/>
  <c r="D1842" i="30"/>
  <c r="D1843" i="30"/>
  <c r="D1844" i="30"/>
  <c r="D1845" i="30"/>
  <c r="D1846" i="30"/>
  <c r="D1847" i="30"/>
  <c r="D1848" i="30"/>
  <c r="D1849" i="30"/>
  <c r="D1850" i="30"/>
  <c r="D1851" i="30"/>
  <c r="D1852" i="30"/>
  <c r="D1853" i="30"/>
  <c r="D1854" i="30"/>
  <c r="D1855" i="30"/>
  <c r="D1856" i="30"/>
  <c r="D1857" i="30"/>
  <c r="D1858" i="30"/>
  <c r="D1859" i="30"/>
  <c r="D1860" i="30"/>
  <c r="D1861" i="30"/>
  <c r="D1862" i="30"/>
  <c r="D1863" i="30"/>
  <c r="D1864" i="30"/>
  <c r="D1865" i="30"/>
  <c r="D1866" i="30"/>
  <c r="D1867" i="30"/>
  <c r="D1868" i="30"/>
  <c r="D1869" i="30"/>
  <c r="D1870" i="30"/>
  <c r="D1871" i="30"/>
  <c r="D1872" i="30"/>
  <c r="D1873" i="30"/>
  <c r="D1874" i="30"/>
  <c r="D1875" i="30"/>
  <c r="D1876" i="30"/>
  <c r="D1877" i="30"/>
  <c r="D1878" i="30"/>
  <c r="D1879" i="30"/>
  <c r="D1880" i="30"/>
  <c r="D1881" i="30"/>
  <c r="D1882" i="30"/>
  <c r="D1883" i="30"/>
  <c r="D1884" i="30"/>
  <c r="D1885" i="30"/>
  <c r="D1886" i="30"/>
  <c r="D1887" i="30"/>
  <c r="D1888" i="30"/>
  <c r="D1889" i="30"/>
  <c r="D1890" i="30"/>
  <c r="D1891" i="30"/>
  <c r="D1892" i="30"/>
  <c r="D1893" i="30"/>
  <c r="D1894" i="30"/>
  <c r="D1895" i="30"/>
  <c r="D1896" i="30"/>
  <c r="D1897" i="30"/>
  <c r="D1898" i="30"/>
  <c r="D1899" i="30"/>
  <c r="D1900" i="30"/>
  <c r="D1901" i="30"/>
  <c r="D1902" i="30"/>
  <c r="D1903" i="30"/>
  <c r="D1904" i="30"/>
  <c r="D1905" i="30"/>
  <c r="D1906" i="30"/>
  <c r="D1907" i="30"/>
  <c r="D1908" i="30"/>
  <c r="D1909" i="30"/>
  <c r="D1910" i="30"/>
  <c r="D1911" i="30"/>
  <c r="D1912" i="30"/>
  <c r="D1913" i="30"/>
  <c r="D1914" i="30"/>
  <c r="D1915" i="30"/>
  <c r="D1916" i="30"/>
  <c r="D1917" i="30"/>
  <c r="D1918" i="30"/>
  <c r="D1919" i="30"/>
  <c r="D1920" i="30"/>
  <c r="D1921" i="30"/>
  <c r="D1922" i="30"/>
  <c r="D1923" i="30"/>
  <c r="D1924" i="30"/>
  <c r="D1925" i="30"/>
  <c r="D1926" i="30"/>
  <c r="D1927" i="30"/>
  <c r="D1928" i="30"/>
  <c r="D1929" i="30"/>
  <c r="D1930" i="30"/>
  <c r="D1931" i="30"/>
  <c r="D1932" i="30"/>
  <c r="D1933" i="30"/>
  <c r="D1934" i="30"/>
  <c r="D1935" i="30"/>
  <c r="D1936" i="30"/>
  <c r="D1937" i="30"/>
  <c r="D1938" i="30"/>
  <c r="D1939" i="30"/>
  <c r="D1940" i="30"/>
  <c r="D1941" i="30"/>
  <c r="D1942" i="30"/>
  <c r="D1943" i="30"/>
  <c r="D1944" i="30"/>
  <c r="D1945" i="30"/>
  <c r="D1946" i="30"/>
  <c r="D1947" i="30"/>
  <c r="D1948" i="30"/>
  <c r="D1949" i="30"/>
  <c r="D1950" i="30"/>
  <c r="D1951" i="30"/>
  <c r="D1952" i="30"/>
  <c r="D1953" i="30"/>
  <c r="D1954" i="30"/>
  <c r="D1955" i="30"/>
  <c r="D1956" i="30"/>
  <c r="D1957" i="30"/>
  <c r="D1958" i="30"/>
  <c r="D1959" i="30"/>
  <c r="D1960" i="30"/>
  <c r="D1961" i="30"/>
  <c r="D1962" i="30"/>
  <c r="D1963" i="30"/>
  <c r="D1964" i="30"/>
  <c r="D1965" i="30"/>
  <c r="D1966" i="30"/>
  <c r="D1967" i="30"/>
  <c r="D1968" i="30"/>
  <c r="D1969" i="30"/>
  <c r="D1970" i="30"/>
  <c r="D1971" i="30"/>
  <c r="D1972" i="30"/>
  <c r="D1973" i="30"/>
  <c r="D1974" i="30"/>
  <c r="D1975" i="30"/>
  <c r="D1976" i="30"/>
  <c r="D1977" i="30"/>
  <c r="D1978" i="30"/>
  <c r="D1979" i="30"/>
  <c r="D1980" i="30"/>
  <c r="D1981" i="30"/>
  <c r="D1982" i="30"/>
  <c r="D1983" i="30"/>
  <c r="D1984" i="30"/>
  <c r="D1985" i="30"/>
  <c r="D1986" i="30"/>
  <c r="D1987" i="30"/>
  <c r="D1988" i="30"/>
  <c r="D1989" i="30"/>
  <c r="D1990" i="30"/>
  <c r="D1991" i="30"/>
  <c r="D1992" i="30"/>
  <c r="D1993" i="30"/>
  <c r="D1994" i="30"/>
  <c r="D1995" i="30"/>
  <c r="D1996" i="30"/>
  <c r="D1997" i="30"/>
  <c r="D1998" i="30"/>
  <c r="D1999" i="30"/>
  <c r="D2000" i="30"/>
  <c r="D2001" i="30"/>
  <c r="D2002" i="30"/>
  <c r="D2003" i="30"/>
  <c r="D2004" i="30"/>
  <c r="D2005" i="30"/>
  <c r="D2006" i="30"/>
  <c r="D2007" i="30"/>
  <c r="D2008" i="30"/>
  <c r="D2009" i="30"/>
  <c r="D2010" i="30"/>
  <c r="D2011" i="30"/>
  <c r="D2012" i="30"/>
  <c r="D2013" i="30"/>
  <c r="D2014" i="30"/>
  <c r="D2015" i="30"/>
  <c r="D2016" i="30"/>
  <c r="D2017" i="30"/>
  <c r="D2018" i="30"/>
  <c r="D2019" i="30"/>
  <c r="D2020" i="30"/>
  <c r="D2021" i="30"/>
  <c r="D2022" i="30"/>
  <c r="D2023" i="30"/>
  <c r="D2024" i="30"/>
  <c r="D2025" i="30"/>
  <c r="D2026" i="30"/>
  <c r="D2027" i="30"/>
  <c r="D2028" i="30"/>
  <c r="D2029" i="30"/>
  <c r="D2030" i="30"/>
  <c r="D2031" i="30"/>
  <c r="D2032" i="30"/>
  <c r="D2033" i="30"/>
  <c r="D2034" i="30"/>
  <c r="D2035" i="30"/>
  <c r="D2036" i="30"/>
  <c r="D2037" i="30"/>
  <c r="D2038" i="30"/>
  <c r="D2039" i="30"/>
  <c r="D2040" i="30"/>
  <c r="D2041" i="30"/>
  <c r="D2042" i="30"/>
  <c r="D2043" i="30"/>
  <c r="D2044" i="30"/>
  <c r="D2045" i="30"/>
  <c r="D2046" i="30"/>
  <c r="D2047" i="30"/>
  <c r="D2048" i="30"/>
  <c r="D2049" i="30"/>
  <c r="D2050" i="30"/>
  <c r="D2051" i="30"/>
  <c r="D2052" i="30"/>
  <c r="D2053" i="30"/>
  <c r="D2054" i="30"/>
  <c r="D2055" i="30"/>
  <c r="D2056" i="30"/>
  <c r="D2057" i="30"/>
  <c r="D2058" i="30"/>
  <c r="D2059" i="30"/>
  <c r="D2060" i="30"/>
  <c r="D2061" i="30"/>
  <c r="D2062" i="30"/>
  <c r="D2063" i="30"/>
  <c r="D2064" i="30"/>
  <c r="D2065" i="30"/>
  <c r="D2066" i="30"/>
  <c r="D2067" i="30"/>
  <c r="D2068" i="30"/>
  <c r="D2069" i="30"/>
  <c r="D2070" i="30"/>
  <c r="D2071" i="30"/>
  <c r="D2072" i="30"/>
  <c r="D2073" i="30"/>
  <c r="D2074" i="30"/>
  <c r="D2075" i="30"/>
  <c r="D2076" i="30"/>
  <c r="D2077" i="30"/>
  <c r="D2078" i="30"/>
  <c r="D2079" i="30"/>
  <c r="D2080" i="30"/>
  <c r="D2081" i="30"/>
  <c r="D2082" i="30"/>
  <c r="D2083" i="30"/>
  <c r="D2084" i="30"/>
  <c r="D2085" i="30"/>
  <c r="D2086" i="30"/>
  <c r="D2087" i="30"/>
  <c r="D2088" i="30"/>
  <c r="D2089" i="30"/>
  <c r="D2090" i="30"/>
  <c r="D2091" i="30"/>
  <c r="D2092" i="30"/>
  <c r="D2093" i="30"/>
  <c r="D2094" i="30"/>
  <c r="D2095" i="30"/>
  <c r="D2096" i="30"/>
  <c r="D2097" i="30"/>
  <c r="D2098" i="30"/>
  <c r="D2099" i="30"/>
  <c r="D2100" i="30"/>
  <c r="D2101" i="30"/>
  <c r="D2102" i="30"/>
  <c r="D2103" i="30"/>
  <c r="D2104" i="30"/>
  <c r="D2105" i="30"/>
  <c r="D2106" i="30"/>
  <c r="D2107" i="30"/>
  <c r="D2108" i="30"/>
  <c r="D2109" i="30"/>
  <c r="D2110" i="30"/>
  <c r="D2111" i="30"/>
  <c r="D2112" i="30"/>
  <c r="D2113" i="30"/>
  <c r="D2114" i="30"/>
  <c r="D2115" i="30"/>
  <c r="D2116" i="30"/>
  <c r="D2117" i="30"/>
  <c r="D2118" i="30"/>
  <c r="D2119" i="30"/>
  <c r="D2120" i="30"/>
  <c r="D2121" i="30"/>
  <c r="D2122" i="30"/>
  <c r="D2123" i="30"/>
  <c r="D2124" i="30"/>
  <c r="D2125" i="30"/>
  <c r="D2126" i="30"/>
  <c r="D2127" i="30"/>
  <c r="D2128" i="30"/>
  <c r="D2129" i="30"/>
  <c r="D2130" i="30"/>
  <c r="D2131" i="30"/>
  <c r="D2132" i="30"/>
  <c r="D2133" i="30"/>
  <c r="D2134" i="30"/>
  <c r="D2135" i="30"/>
  <c r="D2136" i="30"/>
  <c r="D2137" i="30"/>
  <c r="D2138" i="30"/>
  <c r="D2139" i="30"/>
  <c r="D2140" i="30"/>
  <c r="D2141" i="30"/>
  <c r="D2142" i="30"/>
  <c r="D2143" i="30"/>
  <c r="D2144" i="30"/>
  <c r="D2145" i="30"/>
  <c r="D2146" i="30"/>
  <c r="D2147" i="30"/>
  <c r="D2148" i="30"/>
  <c r="D2149" i="30"/>
  <c r="D2150" i="30"/>
  <c r="D2151" i="30"/>
  <c r="D2152" i="30"/>
  <c r="D2153" i="30"/>
  <c r="D2154" i="30"/>
  <c r="D2155" i="30"/>
  <c r="D2156" i="30"/>
  <c r="D2157" i="30"/>
  <c r="D2158" i="30"/>
  <c r="D2159" i="30"/>
  <c r="D2160" i="30"/>
  <c r="D2161" i="30"/>
  <c r="D2162" i="30"/>
  <c r="D2163" i="30"/>
  <c r="D2164" i="30"/>
  <c r="D2165" i="30"/>
  <c r="D2166" i="30"/>
  <c r="D2167" i="30"/>
  <c r="D2168" i="30"/>
  <c r="D2169" i="30"/>
  <c r="D2170" i="30"/>
  <c r="D2171" i="30"/>
  <c r="D2172" i="30"/>
  <c r="D2173" i="30"/>
  <c r="D2174" i="30"/>
  <c r="D2175" i="30"/>
  <c r="D2176" i="30"/>
  <c r="D2177" i="30"/>
  <c r="D2178" i="30"/>
  <c r="D2179" i="30"/>
  <c r="D2180" i="30"/>
  <c r="D2181" i="30"/>
  <c r="D2182" i="30"/>
  <c r="D2183" i="30"/>
  <c r="D2184" i="30"/>
  <c r="D2185" i="30"/>
  <c r="D2186" i="30"/>
  <c r="D2187" i="30"/>
  <c r="D2188" i="30"/>
  <c r="D2189" i="30"/>
  <c r="D2190" i="30"/>
  <c r="D2191" i="30"/>
  <c r="D2192" i="30"/>
  <c r="D2193" i="30"/>
  <c r="D2194" i="30"/>
  <c r="D2195" i="30"/>
  <c r="D2196" i="30"/>
  <c r="D2197" i="30"/>
  <c r="D2198" i="30"/>
  <c r="D2199" i="30"/>
  <c r="D2200" i="30"/>
  <c r="D2201" i="30"/>
  <c r="D2202" i="30"/>
  <c r="D2203" i="30"/>
  <c r="D2204" i="30"/>
  <c r="D2205" i="30"/>
  <c r="D2206" i="30"/>
  <c r="D2207" i="30"/>
  <c r="D2208" i="30"/>
  <c r="D2209" i="30"/>
  <c r="D2210" i="30"/>
  <c r="D2211" i="30"/>
  <c r="D2212" i="30"/>
  <c r="D2213" i="30"/>
  <c r="D2214" i="30"/>
  <c r="D2215" i="30"/>
  <c r="D2216" i="30"/>
  <c r="D2217" i="30"/>
  <c r="D2218" i="30"/>
  <c r="D2219" i="30"/>
  <c r="D2220" i="30"/>
  <c r="D2221" i="30"/>
  <c r="D2222" i="30"/>
  <c r="D2223" i="30"/>
  <c r="D2224" i="30"/>
  <c r="D2225" i="30"/>
  <c r="D2226" i="30"/>
  <c r="D2227" i="30"/>
  <c r="D2228" i="30"/>
  <c r="D2229" i="30"/>
  <c r="D2230" i="30"/>
  <c r="D2231" i="30"/>
  <c r="D2232" i="30"/>
  <c r="D2233" i="30"/>
  <c r="D2234" i="30"/>
  <c r="D2235" i="30"/>
  <c r="D2236" i="30"/>
  <c r="D2237" i="30"/>
  <c r="D2238" i="30"/>
  <c r="D2239" i="30"/>
  <c r="D2240" i="30"/>
  <c r="D2241" i="30"/>
  <c r="D2242" i="30"/>
  <c r="D2243" i="30"/>
  <c r="D2244" i="30"/>
  <c r="D2245" i="30"/>
  <c r="D2246" i="30"/>
  <c r="D2247" i="30"/>
  <c r="D2248" i="30"/>
  <c r="D2249" i="30"/>
  <c r="D2250" i="30"/>
  <c r="D2251" i="30"/>
  <c r="D2252" i="30"/>
  <c r="D2253" i="30"/>
  <c r="D2254" i="30"/>
  <c r="D2255" i="30"/>
  <c r="D2256" i="30"/>
  <c r="D2257" i="30"/>
  <c r="D2258" i="30"/>
  <c r="D2259" i="30"/>
  <c r="D2260" i="30"/>
  <c r="D2261" i="30"/>
  <c r="D2262" i="30"/>
  <c r="D2263" i="30"/>
  <c r="D2264" i="30"/>
  <c r="D2265" i="30"/>
  <c r="D2266" i="30"/>
  <c r="D2267" i="30"/>
  <c r="D2268" i="30"/>
  <c r="D2269" i="30"/>
  <c r="D2270" i="30"/>
  <c r="D2271" i="30"/>
  <c r="D2272" i="30"/>
  <c r="D2273" i="30"/>
  <c r="D2274" i="30"/>
  <c r="D2275" i="30"/>
  <c r="D2276" i="30"/>
  <c r="D2277" i="30"/>
  <c r="D2278" i="30"/>
  <c r="D2279" i="30"/>
  <c r="D2280" i="30"/>
  <c r="D2281" i="30"/>
  <c r="D2282" i="30"/>
  <c r="D2283" i="30"/>
  <c r="D2284" i="30"/>
  <c r="D2285" i="30"/>
  <c r="D2286" i="30"/>
  <c r="D2287" i="30"/>
  <c r="D2288" i="30"/>
  <c r="D2289" i="30"/>
  <c r="D2290" i="30"/>
  <c r="D2291" i="30"/>
  <c r="D2292" i="30"/>
  <c r="D2293" i="30"/>
  <c r="D2294" i="30"/>
  <c r="D2295" i="30"/>
  <c r="D2296" i="30"/>
  <c r="D2297" i="30"/>
  <c r="D2298" i="30"/>
  <c r="D2299" i="30"/>
  <c r="D2300" i="30"/>
  <c r="D2301" i="30"/>
  <c r="D2302" i="30"/>
  <c r="D2303" i="30"/>
  <c r="D2304" i="30"/>
  <c r="D2305" i="30"/>
  <c r="D2306" i="30"/>
  <c r="D2307" i="30"/>
  <c r="D2308" i="30"/>
  <c r="D2309" i="30"/>
  <c r="D2310" i="30"/>
  <c r="D2311" i="30"/>
  <c r="D2312" i="30"/>
  <c r="D2313" i="30"/>
  <c r="D2314" i="30"/>
  <c r="D2315" i="30"/>
  <c r="D2316" i="30"/>
  <c r="D2317" i="30"/>
  <c r="D2318" i="30"/>
  <c r="D2319" i="30"/>
  <c r="D2320" i="30"/>
  <c r="D2321" i="30"/>
  <c r="D2322" i="30"/>
  <c r="D2323" i="30"/>
  <c r="D2324" i="30"/>
  <c r="D2325" i="30"/>
  <c r="D2326" i="30"/>
  <c r="D2327" i="30"/>
  <c r="D2328" i="30"/>
  <c r="D2329" i="30"/>
  <c r="D2330" i="30"/>
  <c r="D2331" i="30"/>
  <c r="D2332" i="30"/>
  <c r="D2333" i="30"/>
  <c r="D2334" i="30"/>
  <c r="D2335" i="30"/>
  <c r="D2336" i="30"/>
  <c r="D2337" i="30"/>
  <c r="D2338" i="30"/>
  <c r="D2339" i="30"/>
  <c r="D2340" i="30"/>
  <c r="D2341" i="30"/>
  <c r="D2342" i="30"/>
  <c r="D2343" i="30"/>
  <c r="D2344" i="30"/>
  <c r="D2345" i="30"/>
  <c r="D2346" i="30"/>
  <c r="D2347" i="30"/>
  <c r="D2348" i="30"/>
  <c r="D2349" i="30"/>
  <c r="D2350" i="30"/>
  <c r="D2351" i="30"/>
  <c r="D2352" i="30"/>
  <c r="D2353" i="30"/>
  <c r="D2354" i="30"/>
  <c r="D2355" i="30"/>
  <c r="D2356" i="30"/>
  <c r="D2357" i="30"/>
  <c r="D2358" i="30"/>
  <c r="D2359" i="30"/>
  <c r="D2360" i="30"/>
  <c r="D2361" i="30"/>
  <c r="D2362" i="30"/>
  <c r="D2363" i="30"/>
  <c r="D2364" i="30"/>
  <c r="D2365" i="30"/>
  <c r="D2366" i="30"/>
  <c r="D2367" i="30"/>
  <c r="D2368" i="30"/>
  <c r="D2369" i="30"/>
  <c r="D2370" i="30"/>
  <c r="D2371" i="30"/>
  <c r="D2372" i="30"/>
  <c r="D2373" i="30"/>
  <c r="D2374" i="30"/>
  <c r="D2375" i="30"/>
  <c r="D2376" i="30"/>
  <c r="D2377" i="30"/>
  <c r="D2378" i="30"/>
  <c r="D2379" i="30"/>
  <c r="D2380" i="30"/>
  <c r="D2381" i="30"/>
  <c r="D2382" i="30"/>
  <c r="D2383" i="30"/>
  <c r="D2384" i="30"/>
  <c r="D2385" i="30"/>
  <c r="D2386" i="30"/>
  <c r="D2387" i="30"/>
  <c r="D2388" i="30"/>
  <c r="D2389" i="30"/>
  <c r="D2390" i="30"/>
  <c r="D2391" i="30"/>
  <c r="D2392" i="30"/>
  <c r="D2393" i="30"/>
  <c r="D2394" i="30"/>
  <c r="D2395" i="30"/>
  <c r="D2396" i="30"/>
  <c r="D2397" i="30"/>
  <c r="D2398" i="30"/>
  <c r="D2399" i="30"/>
  <c r="D2400" i="30"/>
  <c r="D2401" i="30"/>
  <c r="D2402" i="30"/>
  <c r="D2403" i="30"/>
  <c r="D2404" i="30"/>
  <c r="D2405" i="30"/>
  <c r="D2406" i="30"/>
  <c r="D2407" i="30"/>
  <c r="D2408" i="30"/>
  <c r="D2409" i="30"/>
  <c r="D2410" i="30"/>
  <c r="D2411" i="30"/>
  <c r="D2412" i="30"/>
  <c r="D2413" i="30"/>
  <c r="D2414" i="30"/>
  <c r="D2415" i="30"/>
  <c r="D2416" i="30"/>
  <c r="D2417" i="30"/>
  <c r="D2418" i="30"/>
  <c r="D2419" i="30"/>
  <c r="D2420" i="30"/>
  <c r="D2421" i="30"/>
  <c r="D2422" i="30"/>
  <c r="D2423" i="30"/>
  <c r="D2424" i="30"/>
  <c r="D2425" i="30"/>
  <c r="D2426" i="30"/>
  <c r="D2427" i="30"/>
  <c r="D2428" i="30"/>
  <c r="D2429" i="30"/>
  <c r="D2430" i="30"/>
  <c r="D2431" i="30"/>
  <c r="D2432" i="30"/>
  <c r="D2433" i="30"/>
  <c r="D2434" i="30"/>
  <c r="D2435" i="30"/>
  <c r="D2436" i="30"/>
  <c r="D2437" i="30"/>
  <c r="D2438" i="30"/>
  <c r="D2439" i="30"/>
  <c r="D2440" i="30"/>
  <c r="D2441" i="30"/>
  <c r="D2442" i="30"/>
  <c r="D2443" i="30"/>
  <c r="D2444" i="30"/>
  <c r="D2445" i="30"/>
  <c r="D2446" i="30"/>
  <c r="D2447" i="30"/>
  <c r="D2448" i="30"/>
  <c r="D2449" i="30"/>
  <c r="D2450" i="30"/>
  <c r="D2451" i="30"/>
  <c r="D2452" i="30"/>
  <c r="D2453" i="30"/>
  <c r="D2454" i="30"/>
  <c r="D2455" i="30"/>
  <c r="D2456" i="30"/>
  <c r="D2457" i="30"/>
  <c r="D2458" i="30"/>
  <c r="D2459" i="30"/>
  <c r="D2460" i="30"/>
  <c r="D2461" i="30"/>
  <c r="D2462" i="30"/>
  <c r="D2463" i="30"/>
  <c r="D2464" i="30"/>
  <c r="D2465" i="30"/>
  <c r="D2466" i="30"/>
  <c r="D2467" i="30"/>
  <c r="D2468" i="30"/>
  <c r="D2469" i="30"/>
  <c r="D2470" i="30"/>
  <c r="D2471" i="30"/>
  <c r="D2472" i="30"/>
  <c r="D2473" i="30"/>
  <c r="D2474" i="30"/>
  <c r="D2475" i="30"/>
  <c r="D2476" i="30"/>
  <c r="D2477" i="30"/>
  <c r="D2478" i="30"/>
  <c r="D2479" i="30"/>
  <c r="D2480" i="30"/>
  <c r="D2481" i="30"/>
  <c r="D2482" i="30"/>
  <c r="D2483" i="30"/>
  <c r="D2484" i="30"/>
  <c r="D2485" i="30"/>
  <c r="D2486" i="30"/>
  <c r="D2487" i="30"/>
  <c r="D2488" i="30"/>
  <c r="D2489" i="30"/>
  <c r="D2490" i="30"/>
  <c r="D2491" i="30"/>
  <c r="D2492" i="30"/>
  <c r="D2493" i="30"/>
  <c r="D2494" i="30"/>
  <c r="D2495" i="30"/>
  <c r="D2496" i="30"/>
  <c r="D2497" i="30"/>
  <c r="D2498" i="30"/>
  <c r="D2499" i="30"/>
  <c r="D2500" i="30"/>
  <c r="D2501" i="30"/>
  <c r="D2502" i="30"/>
  <c r="D2503" i="30"/>
  <c r="D2504" i="30"/>
  <c r="D2505" i="30"/>
  <c r="D2506" i="30"/>
  <c r="D2507" i="30"/>
  <c r="D2508" i="30"/>
  <c r="D2509" i="30"/>
  <c r="D2510" i="30"/>
  <c r="D2511" i="30"/>
  <c r="D2512" i="30"/>
  <c r="D2513" i="30"/>
  <c r="D2514" i="30"/>
  <c r="D2515" i="30"/>
  <c r="D2516" i="30"/>
  <c r="D2517" i="30"/>
  <c r="D2518" i="30"/>
  <c r="D2519" i="30"/>
  <c r="D2520" i="30"/>
  <c r="D2521" i="30"/>
  <c r="D2522" i="30"/>
  <c r="D2523" i="30"/>
  <c r="D2524" i="30"/>
  <c r="D2525" i="30"/>
  <c r="D2526" i="30"/>
  <c r="D2527" i="30"/>
  <c r="D2528" i="30"/>
  <c r="D2529" i="30"/>
  <c r="D2530" i="30"/>
  <c r="D2531" i="30"/>
  <c r="D2532" i="30"/>
  <c r="D2533" i="30"/>
  <c r="D2534" i="30"/>
  <c r="D2535" i="30"/>
  <c r="D2536" i="30"/>
  <c r="D2537" i="30"/>
  <c r="D2538" i="30"/>
  <c r="D2539" i="30"/>
  <c r="D2540" i="30"/>
  <c r="D2541" i="30"/>
  <c r="D2542" i="30"/>
  <c r="D2543" i="30"/>
  <c r="D2544" i="30"/>
  <c r="D2545" i="30"/>
  <c r="D2546" i="30"/>
  <c r="D2547" i="30"/>
  <c r="D2548" i="30"/>
  <c r="D2549" i="30"/>
  <c r="D2550" i="30"/>
  <c r="D2551" i="30"/>
  <c r="D2552" i="30"/>
  <c r="D2553" i="30"/>
  <c r="D2554" i="30"/>
  <c r="D2555" i="30"/>
  <c r="D2556" i="30"/>
  <c r="D2557" i="30"/>
  <c r="D2558" i="30"/>
  <c r="D2559" i="30"/>
  <c r="D2560" i="30"/>
  <c r="D2561" i="30"/>
  <c r="D2562" i="30"/>
  <c r="D2563" i="30"/>
  <c r="D2564" i="30"/>
  <c r="D2565" i="30"/>
  <c r="D2566" i="30"/>
  <c r="D2567" i="30"/>
  <c r="D2568" i="30"/>
  <c r="D2569" i="30"/>
  <c r="D2570" i="30"/>
  <c r="D2571" i="30"/>
  <c r="D2572" i="30"/>
  <c r="D2573" i="30"/>
  <c r="D2574" i="30"/>
  <c r="D2575" i="30"/>
  <c r="D2576" i="30"/>
  <c r="D2577" i="30"/>
  <c r="D2578" i="30"/>
  <c r="D2579" i="30"/>
  <c r="D2580" i="30"/>
  <c r="D2581" i="30"/>
  <c r="D2582" i="30"/>
  <c r="D2583" i="30"/>
  <c r="D2584" i="30"/>
  <c r="D2585" i="30"/>
  <c r="D2586" i="30"/>
  <c r="D2587" i="30"/>
  <c r="D2588" i="30"/>
  <c r="D2589" i="30"/>
  <c r="D2590" i="30"/>
  <c r="D2591" i="30"/>
  <c r="D2592" i="30"/>
  <c r="D2593" i="30"/>
  <c r="D2594" i="30"/>
  <c r="D2595" i="30"/>
  <c r="D2596" i="30"/>
  <c r="D2597" i="30"/>
  <c r="D2598" i="30"/>
  <c r="D2599" i="30"/>
  <c r="D2600" i="30"/>
  <c r="D2601" i="30"/>
  <c r="D2602" i="30"/>
  <c r="D2603" i="30"/>
  <c r="D2604" i="30"/>
  <c r="D2605" i="30"/>
  <c r="D2606" i="30"/>
  <c r="D2607" i="30"/>
  <c r="D2608" i="30"/>
  <c r="D2609" i="30"/>
  <c r="D2610" i="30"/>
  <c r="D2611" i="30"/>
  <c r="D2612" i="30"/>
  <c r="D2613" i="30"/>
  <c r="D2614" i="30"/>
  <c r="D2615" i="30"/>
  <c r="D2616" i="30"/>
  <c r="D2617" i="30"/>
  <c r="D2618" i="30"/>
  <c r="D2619" i="30"/>
  <c r="D2620" i="30"/>
  <c r="D2621" i="30"/>
  <c r="D2622" i="30"/>
  <c r="D2623" i="30"/>
  <c r="D2624" i="30"/>
  <c r="D2625" i="30"/>
  <c r="D2626" i="30"/>
  <c r="D2627" i="30"/>
  <c r="D2628" i="30"/>
  <c r="D2629" i="30"/>
  <c r="D2630" i="30"/>
  <c r="D2631" i="30"/>
  <c r="D2632" i="30"/>
  <c r="D2633" i="30"/>
  <c r="D2634" i="30"/>
  <c r="D2635" i="30"/>
  <c r="D2636" i="30"/>
  <c r="D2637" i="30"/>
  <c r="D2638" i="30"/>
  <c r="D2639" i="30"/>
  <c r="D2640" i="30"/>
  <c r="D2641" i="30"/>
  <c r="D2642" i="30"/>
  <c r="D2643" i="30"/>
  <c r="D2644" i="30"/>
  <c r="D2645" i="30"/>
  <c r="D2646" i="30"/>
  <c r="D2647" i="30"/>
  <c r="D2648" i="30"/>
  <c r="D2649" i="30"/>
  <c r="D2650" i="30"/>
  <c r="D2651" i="30"/>
  <c r="D2652" i="30"/>
  <c r="D2653" i="30"/>
  <c r="D2654" i="30"/>
  <c r="D2655" i="30"/>
  <c r="D2656" i="30"/>
  <c r="D2657" i="30"/>
  <c r="D2658" i="30"/>
  <c r="D2659" i="30"/>
  <c r="D2660" i="30"/>
  <c r="D2661" i="30"/>
  <c r="D2662" i="30"/>
  <c r="D2663" i="30"/>
  <c r="D2664" i="30"/>
  <c r="D2665" i="30"/>
  <c r="D2666" i="30"/>
  <c r="D2667" i="30"/>
  <c r="D2668" i="30"/>
  <c r="D2669" i="30"/>
  <c r="D2670" i="30"/>
  <c r="D2671" i="30"/>
  <c r="D2672" i="30"/>
  <c r="D2673" i="30"/>
  <c r="D2674" i="30"/>
  <c r="D2675" i="30"/>
  <c r="D2676" i="30"/>
  <c r="D2677" i="30"/>
  <c r="D2678" i="30"/>
  <c r="D2679" i="30"/>
  <c r="D2680" i="30"/>
  <c r="D2681" i="30"/>
  <c r="D2682" i="30"/>
  <c r="D2683" i="30"/>
  <c r="D2684" i="30"/>
  <c r="D2685" i="30"/>
  <c r="D2686" i="30"/>
  <c r="D2687" i="30"/>
  <c r="D2688" i="30"/>
  <c r="D2689" i="30"/>
  <c r="D2690" i="30"/>
  <c r="D2691" i="30"/>
  <c r="D2692" i="30"/>
  <c r="D2693" i="30"/>
  <c r="D2694" i="30"/>
  <c r="D2695" i="30"/>
  <c r="D2696" i="30"/>
  <c r="D2697" i="30"/>
  <c r="D2698" i="30"/>
  <c r="D2699" i="30"/>
  <c r="D2700" i="30"/>
  <c r="D2701" i="30"/>
  <c r="D2702" i="30"/>
  <c r="D2703" i="30"/>
  <c r="D2704" i="30"/>
  <c r="D2705" i="30"/>
  <c r="D2706" i="30"/>
  <c r="D2707" i="30"/>
  <c r="D2708" i="30"/>
  <c r="D2709" i="30"/>
  <c r="D2710" i="30"/>
  <c r="D2711" i="30"/>
  <c r="D2712" i="30"/>
  <c r="D2713" i="30"/>
  <c r="D2714" i="30"/>
  <c r="D2715" i="30"/>
  <c r="D2716" i="30"/>
  <c r="D2717" i="30"/>
  <c r="D2718" i="30"/>
  <c r="D2719" i="30"/>
  <c r="D2720" i="30"/>
  <c r="D2721" i="30"/>
  <c r="D2722" i="30"/>
  <c r="D2723" i="30"/>
  <c r="D2724" i="30"/>
  <c r="D2725" i="30"/>
  <c r="D2726" i="30"/>
  <c r="D2727" i="30"/>
  <c r="D2728" i="30"/>
  <c r="D2729" i="30"/>
  <c r="D2730" i="30"/>
  <c r="D2731" i="30"/>
  <c r="D2732" i="30"/>
  <c r="D2733" i="30"/>
  <c r="D2734" i="30"/>
  <c r="D2735" i="30"/>
  <c r="D2736" i="30"/>
  <c r="D2737" i="30"/>
  <c r="D2738" i="30"/>
  <c r="D2739" i="30"/>
  <c r="D2740" i="30"/>
  <c r="D2741" i="30"/>
  <c r="D2742" i="30"/>
  <c r="D2743" i="30"/>
  <c r="D2744" i="30"/>
  <c r="D2745" i="30"/>
  <c r="D2746" i="30"/>
  <c r="D2747" i="30"/>
  <c r="D2748" i="30"/>
  <c r="D2749" i="30"/>
  <c r="D2750" i="30"/>
  <c r="D2751" i="30"/>
  <c r="D2752" i="30"/>
  <c r="D2753" i="30"/>
  <c r="D2754" i="30"/>
  <c r="D2755" i="30"/>
  <c r="D2756" i="30"/>
  <c r="D2757" i="30"/>
  <c r="D2758" i="30"/>
  <c r="D2759" i="30"/>
  <c r="D2760" i="30"/>
  <c r="D2761" i="30"/>
  <c r="D2762" i="30"/>
  <c r="D2763" i="30"/>
  <c r="D2764" i="30"/>
  <c r="D2765" i="30"/>
  <c r="D2766" i="30"/>
  <c r="D2767" i="30"/>
  <c r="D2768" i="30"/>
  <c r="D2769" i="30"/>
  <c r="D2770" i="30"/>
  <c r="D2771" i="30"/>
  <c r="D2772" i="30"/>
  <c r="D2773" i="30"/>
  <c r="D2774" i="30"/>
  <c r="D2775" i="30"/>
  <c r="D2776" i="30"/>
  <c r="D2777" i="30"/>
  <c r="D2778" i="30"/>
  <c r="D2779" i="30"/>
  <c r="D2780" i="30"/>
  <c r="D2781" i="30"/>
  <c r="D2782" i="30"/>
  <c r="D2783" i="30"/>
  <c r="D2784" i="30"/>
  <c r="D2785" i="30"/>
  <c r="D2786" i="30"/>
  <c r="D2787" i="30"/>
  <c r="D2788" i="30"/>
  <c r="D2789" i="30"/>
  <c r="D2790" i="30"/>
  <c r="D2791" i="30"/>
  <c r="D2792" i="30"/>
  <c r="D2793" i="30"/>
  <c r="D2794" i="30"/>
  <c r="D2795" i="30"/>
  <c r="D2796" i="30"/>
  <c r="D2797" i="30"/>
  <c r="D2798" i="30"/>
  <c r="D2799" i="30"/>
  <c r="D2800" i="30"/>
  <c r="D2801" i="30"/>
  <c r="D2802" i="30"/>
  <c r="D2803" i="30"/>
  <c r="D2804" i="30"/>
  <c r="D2805" i="30"/>
  <c r="D2806" i="30"/>
  <c r="D2807" i="30"/>
  <c r="D2808" i="30"/>
  <c r="D2809" i="30"/>
  <c r="D2810" i="30"/>
  <c r="D2811" i="30"/>
  <c r="D2812" i="30"/>
  <c r="D2813" i="30"/>
  <c r="D2814" i="30"/>
  <c r="D2815" i="30"/>
  <c r="D2816" i="30"/>
  <c r="D2817" i="30"/>
  <c r="D2818" i="30"/>
  <c r="D2819" i="30"/>
  <c r="D2820" i="30"/>
  <c r="D2821" i="30"/>
  <c r="D2822" i="30"/>
  <c r="D2823" i="30"/>
  <c r="D2824" i="30"/>
  <c r="D2825" i="30"/>
  <c r="D2826" i="30"/>
  <c r="D2827" i="30"/>
  <c r="D2828" i="30"/>
  <c r="D2829" i="30"/>
  <c r="D2830" i="30"/>
  <c r="D2831" i="30"/>
  <c r="D2832" i="30"/>
  <c r="D2833" i="30"/>
  <c r="D2834" i="30"/>
  <c r="D2835" i="30"/>
  <c r="D2836" i="30"/>
  <c r="D2837" i="30"/>
  <c r="D2838" i="30"/>
  <c r="D2839" i="30"/>
  <c r="D2840" i="30"/>
  <c r="D2841" i="30"/>
  <c r="D2842" i="30"/>
  <c r="D2843" i="30"/>
  <c r="D2844" i="30"/>
  <c r="D2845" i="30"/>
  <c r="D2846" i="30"/>
  <c r="D2847" i="30"/>
  <c r="D2848" i="30"/>
  <c r="D2849" i="30"/>
  <c r="D2850" i="30"/>
  <c r="D2851" i="30"/>
  <c r="D2852" i="30"/>
  <c r="D2853" i="30"/>
  <c r="D2854" i="30"/>
  <c r="D2855" i="30"/>
  <c r="D2856" i="30"/>
  <c r="D2857" i="30"/>
  <c r="D2858" i="30"/>
  <c r="D2859" i="30"/>
  <c r="D2860" i="30"/>
  <c r="D2861" i="30"/>
  <c r="D2862" i="30"/>
  <c r="D2863" i="30"/>
  <c r="D2864" i="30"/>
  <c r="D2865" i="30"/>
  <c r="D2866" i="30"/>
  <c r="D2867" i="30"/>
  <c r="D2868" i="30"/>
  <c r="D2869" i="30"/>
  <c r="D2870" i="30"/>
  <c r="D2871" i="30"/>
  <c r="D2872" i="30"/>
  <c r="D2873" i="30"/>
  <c r="D2874" i="30"/>
  <c r="D2875" i="30"/>
  <c r="D2876" i="30"/>
  <c r="D2877" i="30"/>
  <c r="D2878" i="30"/>
  <c r="D2879" i="30"/>
  <c r="D2880" i="30"/>
  <c r="D2881" i="30"/>
  <c r="D2882" i="30"/>
  <c r="D2883" i="30"/>
  <c r="D2884" i="30"/>
  <c r="D2885" i="30"/>
  <c r="D2889" i="30"/>
  <c r="D2890" i="30"/>
  <c r="D2891" i="30"/>
  <c r="D2892" i="30"/>
  <c r="D2893" i="30"/>
  <c r="D2894" i="30"/>
  <c r="D2895" i="30"/>
  <c r="D2896" i="30"/>
  <c r="D2897" i="30"/>
  <c r="D2898" i="30"/>
  <c r="D2899" i="30"/>
  <c r="D2900" i="30"/>
  <c r="D2901" i="30"/>
  <c r="D2902" i="30"/>
  <c r="D2903" i="30"/>
  <c r="D2904" i="30"/>
  <c r="D2905" i="30"/>
  <c r="D2906" i="30"/>
  <c r="D2907" i="30"/>
  <c r="D2908" i="30"/>
  <c r="D2909" i="30"/>
  <c r="D2910" i="30"/>
  <c r="D2911" i="30"/>
  <c r="D2912" i="30"/>
  <c r="D2913" i="30"/>
  <c r="D2914" i="30"/>
  <c r="D2915" i="30"/>
  <c r="D2916" i="30"/>
  <c r="D2917" i="30"/>
  <c r="D2918" i="30"/>
  <c r="D2919" i="30"/>
  <c r="D2920" i="30"/>
  <c r="D2921" i="30"/>
  <c r="D2922" i="30"/>
  <c r="D2923" i="30"/>
  <c r="D2924" i="30"/>
  <c r="D2925" i="30"/>
  <c r="D2926" i="30"/>
  <c r="D2927" i="30"/>
  <c r="D2928" i="30"/>
  <c r="D2929" i="30"/>
  <c r="D2930" i="30"/>
  <c r="D2931" i="30"/>
  <c r="D2932" i="30"/>
  <c r="D2933" i="30"/>
  <c r="D2934" i="30"/>
  <c r="D2935" i="30"/>
  <c r="D2936" i="30"/>
  <c r="D2942" i="30"/>
  <c r="D2943" i="30"/>
  <c r="D2944" i="30"/>
  <c r="D2945" i="30"/>
  <c r="D2946" i="30"/>
  <c r="D2947" i="30"/>
  <c r="D2948" i="30"/>
  <c r="D2949" i="30"/>
  <c r="D2950" i="30"/>
  <c r="D2951" i="30"/>
  <c r="D2952" i="30"/>
  <c r="D2953" i="30"/>
  <c r="D2954" i="30"/>
  <c r="D2955" i="30"/>
  <c r="D2956" i="30"/>
  <c r="D2957" i="30"/>
  <c r="D2958" i="30"/>
  <c r="D2959" i="30"/>
  <c r="D2960" i="30"/>
  <c r="D2961" i="30"/>
  <c r="D2962" i="30"/>
  <c r="D2963" i="30"/>
  <c r="D2964" i="30"/>
  <c r="D2965" i="30"/>
  <c r="D2966" i="30"/>
  <c r="D2967" i="30"/>
  <c r="D2968" i="30"/>
  <c r="D2969" i="30"/>
  <c r="D2970" i="30"/>
  <c r="D2971" i="30"/>
  <c r="D2972" i="30"/>
  <c r="D2973" i="30"/>
  <c r="D2974" i="30"/>
  <c r="D2975" i="30"/>
  <c r="D2976" i="30"/>
  <c r="D2977" i="30"/>
  <c r="D2978" i="30"/>
  <c r="D2979" i="30"/>
  <c r="D2980" i="30"/>
  <c r="D2981" i="30"/>
  <c r="D2982" i="30"/>
  <c r="D2983" i="30"/>
  <c r="D2984" i="30"/>
  <c r="D2985" i="30"/>
  <c r="D2986" i="30"/>
  <c r="D2987" i="30"/>
  <c r="D2988" i="30"/>
  <c r="D2989" i="30"/>
  <c r="D2990" i="30"/>
  <c r="D2991" i="30"/>
  <c r="D2992" i="30"/>
  <c r="D2993" i="30"/>
  <c r="D2994" i="30"/>
  <c r="D2995" i="30"/>
  <c r="D2996" i="30"/>
  <c r="D2997" i="30"/>
  <c r="D2998" i="30"/>
  <c r="D2999" i="30"/>
  <c r="D3000" i="30"/>
  <c r="D3001" i="30"/>
  <c r="D3002" i="30"/>
  <c r="D3003" i="30"/>
  <c r="D3004" i="30"/>
  <c r="D3005" i="30"/>
  <c r="D3006" i="30"/>
  <c r="D3007" i="30"/>
  <c r="D3008" i="30"/>
  <c r="D3009" i="30"/>
  <c r="D3010" i="30"/>
  <c r="D3011" i="30"/>
  <c r="D3012" i="30"/>
  <c r="D3013" i="30"/>
  <c r="D3014" i="30"/>
  <c r="D3015" i="30"/>
  <c r="D3016" i="30"/>
  <c r="D3017" i="30"/>
  <c r="D3018" i="30"/>
  <c r="D3019" i="30"/>
  <c r="D3020" i="30"/>
  <c r="D3021" i="30"/>
  <c r="D3022" i="30"/>
  <c r="D3023" i="30"/>
  <c r="D3024" i="30"/>
  <c r="D3025" i="30"/>
  <c r="D3026" i="30"/>
  <c r="D3027" i="30"/>
  <c r="D3028" i="30"/>
  <c r="D3029" i="30"/>
  <c r="D3030" i="30"/>
  <c r="D3031" i="30"/>
  <c r="D3032" i="30"/>
  <c r="D3033" i="30"/>
  <c r="D3034" i="30"/>
  <c r="D3035" i="30"/>
  <c r="D3036" i="30"/>
  <c r="D3037" i="30"/>
  <c r="D3038" i="30"/>
  <c r="D3039" i="30"/>
  <c r="D3040" i="30"/>
  <c r="D3041" i="30"/>
  <c r="D3042" i="30"/>
  <c r="D3043" i="30"/>
  <c r="D3044" i="30"/>
  <c r="D3045" i="30"/>
  <c r="D3046" i="30"/>
  <c r="D3047" i="30"/>
  <c r="D3048" i="30"/>
  <c r="D3049" i="30"/>
  <c r="D3050" i="30"/>
  <c r="D3051" i="30"/>
  <c r="D3052" i="30"/>
  <c r="D3053" i="30"/>
  <c r="D3054" i="30"/>
  <c r="D3055" i="30"/>
  <c r="D3056" i="30"/>
  <c r="D3057" i="30"/>
  <c r="D3058" i="30"/>
  <c r="D3059" i="30"/>
  <c r="D3060" i="30"/>
  <c r="D3061" i="30"/>
  <c r="D3062" i="30"/>
  <c r="D3063" i="30"/>
  <c r="D3064" i="30"/>
  <c r="D3065" i="30"/>
  <c r="D3066" i="30"/>
  <c r="D3067" i="30"/>
  <c r="D3068" i="30"/>
  <c r="D3069" i="30"/>
  <c r="D3070" i="30"/>
  <c r="D3071" i="30"/>
  <c r="D3072" i="30"/>
  <c r="D3073" i="30"/>
  <c r="D3074" i="30"/>
  <c r="D3075" i="30"/>
  <c r="D3076" i="30"/>
  <c r="D3077" i="30"/>
  <c r="D3078" i="30"/>
  <c r="D3079" i="30"/>
  <c r="D3080" i="30"/>
  <c r="D3081" i="30"/>
  <c r="D3082" i="30"/>
  <c r="D3083" i="30"/>
  <c r="D3084" i="30"/>
  <c r="D3085" i="30"/>
  <c r="D3086" i="30"/>
  <c r="D3087" i="30"/>
  <c r="D3088" i="30"/>
  <c r="D3089" i="30"/>
  <c r="D3090" i="30"/>
  <c r="D3091" i="30"/>
  <c r="D3092" i="30"/>
  <c r="D3093" i="30"/>
  <c r="D3094" i="30"/>
  <c r="D3095" i="30"/>
  <c r="D3096" i="30"/>
  <c r="D3097" i="30"/>
  <c r="D3098" i="30"/>
  <c r="D3099" i="30"/>
  <c r="D3100" i="30"/>
  <c r="D3101" i="30"/>
  <c r="D3102" i="30"/>
  <c r="D3103" i="30"/>
  <c r="D3104" i="30"/>
  <c r="D3105" i="30"/>
  <c r="D3106" i="30"/>
  <c r="D3107" i="30"/>
  <c r="D3108" i="30"/>
  <c r="D3109" i="30"/>
  <c r="D3110" i="30"/>
  <c r="D3111" i="30"/>
  <c r="D3112" i="30"/>
  <c r="D3113" i="30"/>
  <c r="D3114" i="30"/>
  <c r="D3115" i="30"/>
  <c r="D3116" i="30"/>
  <c r="D3117" i="30"/>
  <c r="D3118" i="30"/>
  <c r="D3119" i="30"/>
  <c r="D3120" i="30"/>
  <c r="D3121" i="30"/>
  <c r="D3122" i="30"/>
  <c r="D3123" i="30"/>
  <c r="D3124" i="30"/>
  <c r="D3125" i="30"/>
  <c r="D3126" i="30"/>
  <c r="D3127" i="30"/>
  <c r="D3128" i="30"/>
  <c r="D3129" i="30"/>
  <c r="D3130" i="30"/>
  <c r="D3131" i="30"/>
  <c r="D3132" i="30"/>
  <c r="D3133" i="30"/>
  <c r="D3134" i="30"/>
  <c r="D3135" i="30"/>
  <c r="D3136" i="30"/>
  <c r="D3137" i="30"/>
  <c r="D3138" i="30"/>
  <c r="D3139" i="30"/>
  <c r="D3140" i="30"/>
  <c r="D3141" i="30"/>
  <c r="D3142" i="30"/>
  <c r="D3143" i="30"/>
  <c r="D3144" i="30"/>
  <c r="D3145" i="30"/>
  <c r="D3146" i="30"/>
  <c r="D3147" i="30"/>
  <c r="D3148" i="30"/>
  <c r="D3149" i="30"/>
  <c r="D3150" i="30"/>
  <c r="D3151" i="30"/>
  <c r="D3152" i="30"/>
  <c r="D3153" i="30"/>
  <c r="D3154" i="30"/>
  <c r="D3155" i="30"/>
  <c r="D3156" i="30"/>
  <c r="D3157" i="30"/>
  <c r="D3158" i="30"/>
  <c r="D3159" i="30"/>
  <c r="D3160" i="30"/>
  <c r="D3161" i="30"/>
  <c r="D3162" i="30"/>
  <c r="D3163" i="30"/>
  <c r="D3164" i="30"/>
  <c r="D3165" i="30"/>
  <c r="D3166" i="30"/>
  <c r="D3167" i="30"/>
  <c r="D3168" i="30"/>
  <c r="D3169" i="30"/>
  <c r="D3170" i="30"/>
  <c r="D3171" i="30"/>
  <c r="D3172" i="30"/>
  <c r="D3173" i="30"/>
  <c r="D3174" i="30"/>
  <c r="D3175" i="30"/>
  <c r="D3176" i="30"/>
  <c r="D3177" i="30"/>
  <c r="D3178" i="30"/>
  <c r="D3179" i="30"/>
  <c r="D3180" i="30"/>
  <c r="D3181" i="30"/>
  <c r="D3182" i="30"/>
  <c r="D3183" i="30"/>
  <c r="D3184" i="30"/>
  <c r="D3185" i="30"/>
  <c r="D3186" i="30"/>
  <c r="D3187" i="30"/>
  <c r="D3188" i="30"/>
  <c r="D3189" i="30"/>
  <c r="D3190" i="30"/>
  <c r="D3191" i="30"/>
  <c r="D3192" i="30"/>
  <c r="D3193" i="30"/>
  <c r="D3194" i="30"/>
  <c r="D3195" i="30"/>
  <c r="D3196" i="30"/>
  <c r="D3197" i="30"/>
  <c r="D3198" i="30"/>
  <c r="D3199" i="30"/>
  <c r="D3200" i="30"/>
  <c r="D3201" i="30"/>
  <c r="D3202" i="30"/>
  <c r="D3203" i="30"/>
  <c r="D3204" i="30"/>
  <c r="D3205" i="30"/>
  <c r="D3206" i="30"/>
  <c r="D3207" i="30"/>
  <c r="D3208" i="30"/>
  <c r="D3209" i="30"/>
  <c r="D3210" i="30"/>
  <c r="D3211" i="30"/>
  <c r="D3212" i="30"/>
  <c r="D3213" i="30"/>
  <c r="D3214" i="30"/>
  <c r="D3215" i="30"/>
  <c r="D3216" i="30"/>
  <c r="D3217" i="30"/>
  <c r="D3218" i="30"/>
  <c r="D3219" i="30"/>
  <c r="D3220" i="30"/>
  <c r="D3221" i="30"/>
  <c r="D3222" i="30"/>
  <c r="D3223" i="30"/>
  <c r="D3224" i="30"/>
  <c r="D3225" i="30"/>
  <c r="D3226" i="30"/>
  <c r="D3227" i="30"/>
  <c r="D3228" i="30"/>
  <c r="D3229" i="30"/>
  <c r="D3230" i="30"/>
  <c r="D3231" i="30"/>
  <c r="D3232" i="30"/>
  <c r="D3233" i="30"/>
  <c r="D3234" i="30"/>
  <c r="D3235" i="30"/>
  <c r="D3236" i="30"/>
  <c r="D3237" i="30"/>
  <c r="D3238" i="30"/>
  <c r="D3239" i="30"/>
  <c r="D3240" i="30"/>
  <c r="D3241" i="30"/>
  <c r="D3242" i="30"/>
  <c r="D3243" i="30"/>
  <c r="D3244" i="30"/>
  <c r="D3245" i="30"/>
  <c r="D3246" i="30"/>
  <c r="D3247" i="30"/>
  <c r="D3248" i="30"/>
  <c r="D3249" i="30"/>
  <c r="D3250" i="30"/>
  <c r="D3251" i="30"/>
  <c r="D3252" i="30"/>
  <c r="D3253" i="30"/>
  <c r="D3254" i="30"/>
  <c r="D3255" i="30"/>
  <c r="D3256" i="30"/>
  <c r="D3257" i="30"/>
  <c r="D3258" i="30"/>
  <c r="D3259" i="30"/>
  <c r="D3260" i="30"/>
  <c r="D3261" i="30"/>
  <c r="D3262" i="30"/>
  <c r="D3263" i="30"/>
  <c r="D3264" i="30"/>
  <c r="D3265" i="30"/>
  <c r="D3266" i="30"/>
  <c r="D3267" i="30"/>
  <c r="D3268" i="30"/>
  <c r="D3269" i="30"/>
  <c r="D3270" i="30"/>
  <c r="D3271" i="30"/>
  <c r="D3272" i="30"/>
  <c r="D3273" i="30"/>
  <c r="D3274" i="30"/>
  <c r="D3275" i="30"/>
  <c r="D3276" i="30"/>
  <c r="D3277" i="30"/>
  <c r="D3278" i="30"/>
  <c r="D3279" i="30"/>
  <c r="D3280" i="30"/>
  <c r="D3281" i="30"/>
  <c r="D3282" i="30"/>
  <c r="D3283" i="30"/>
  <c r="D3284" i="30"/>
  <c r="D3285" i="30"/>
  <c r="D3286" i="30"/>
  <c r="D3287" i="30"/>
  <c r="D3288" i="30"/>
  <c r="D3289" i="30"/>
  <c r="D3290" i="30"/>
  <c r="D3291" i="30"/>
  <c r="D3292" i="30"/>
  <c r="D3293" i="30"/>
  <c r="D3294" i="30"/>
  <c r="D3295" i="30"/>
  <c r="D3296" i="30"/>
  <c r="D3297" i="30"/>
  <c r="D3298" i="30"/>
  <c r="D3299" i="30"/>
  <c r="D3300" i="30"/>
  <c r="D3301" i="30"/>
  <c r="D3302" i="30"/>
  <c r="D3303" i="30"/>
  <c r="D3304" i="30"/>
  <c r="D3305" i="30"/>
  <c r="D3306" i="30"/>
  <c r="D3307" i="30"/>
  <c r="D3308" i="30"/>
  <c r="D3309" i="30"/>
  <c r="D3310" i="30"/>
  <c r="D3311" i="30"/>
  <c r="D3312" i="30"/>
  <c r="D3313" i="30"/>
  <c r="D3314" i="30"/>
  <c r="D3315" i="30"/>
  <c r="D3316" i="30"/>
  <c r="D3317" i="30"/>
  <c r="D3318" i="30"/>
  <c r="D3319" i="30"/>
  <c r="D3320" i="30"/>
  <c r="D3321" i="30"/>
  <c r="D3322" i="30"/>
  <c r="D3323" i="30"/>
  <c r="D3324" i="30"/>
  <c r="D3325" i="30"/>
  <c r="D3326" i="30"/>
  <c r="D3327" i="30"/>
  <c r="D3328" i="30"/>
  <c r="D3329" i="30"/>
  <c r="D3330" i="30"/>
  <c r="D3331" i="30"/>
  <c r="D3332" i="30"/>
  <c r="D3333" i="30"/>
  <c r="D3334" i="30"/>
  <c r="D3335" i="30"/>
  <c r="D3336" i="30"/>
  <c r="D3337" i="30"/>
  <c r="D3338" i="30"/>
  <c r="D3339" i="30"/>
  <c r="D3340" i="30"/>
  <c r="D3341" i="30"/>
  <c r="D3342" i="30"/>
  <c r="D3343" i="30"/>
  <c r="D3344" i="30"/>
  <c r="D3345" i="30"/>
  <c r="D3346" i="30"/>
  <c r="D3347" i="30"/>
  <c r="D3348" i="30"/>
  <c r="D3349" i="30"/>
  <c r="D3350" i="30"/>
  <c r="D3351" i="30"/>
  <c r="D3352" i="30"/>
  <c r="D3353" i="30"/>
  <c r="D3354" i="30"/>
  <c r="D3355" i="30"/>
  <c r="D3356" i="30"/>
  <c r="D3357" i="30"/>
  <c r="D3358" i="30"/>
  <c r="D3359" i="30"/>
  <c r="D3360" i="30"/>
  <c r="D3361" i="30"/>
  <c r="D3362" i="30"/>
  <c r="D3363" i="30"/>
  <c r="D3364" i="30"/>
  <c r="D3365" i="30"/>
  <c r="D3366" i="30"/>
  <c r="D3367" i="30"/>
  <c r="D3368" i="30"/>
  <c r="D3369" i="30"/>
  <c r="D3370" i="30"/>
  <c r="D3371" i="30"/>
  <c r="D3372" i="30"/>
  <c r="D3373" i="30"/>
  <c r="D3374" i="30"/>
  <c r="D3375" i="30"/>
  <c r="D3376" i="30"/>
  <c r="D3377" i="30"/>
  <c r="D3378" i="30"/>
  <c r="D3379" i="30"/>
  <c r="D3380" i="30"/>
  <c r="D3381" i="30"/>
  <c r="D3382" i="30"/>
  <c r="D3383" i="30"/>
  <c r="D3384" i="30"/>
  <c r="D3385" i="30"/>
  <c r="D3386" i="30"/>
  <c r="D3387" i="30"/>
  <c r="D3388" i="30"/>
  <c r="D3389" i="30"/>
  <c r="D3390" i="30"/>
  <c r="D3391" i="30"/>
  <c r="D3392" i="30"/>
  <c r="D3393" i="30"/>
  <c r="D3394" i="30"/>
  <c r="D3395" i="30"/>
  <c r="D3396" i="30"/>
  <c r="D3397" i="30"/>
  <c r="D3398" i="30"/>
  <c r="D3399" i="30"/>
  <c r="D3400" i="30"/>
  <c r="D3401" i="30"/>
  <c r="D3402" i="30"/>
  <c r="D3403" i="30"/>
  <c r="D3404" i="30"/>
  <c r="D3405" i="30"/>
  <c r="D3406" i="30"/>
  <c r="D3407" i="30"/>
  <c r="D3408" i="30"/>
  <c r="D3409" i="30"/>
  <c r="D3410" i="30"/>
  <c r="D3411" i="30"/>
  <c r="D3412" i="30"/>
  <c r="D3413" i="30"/>
  <c r="D3414" i="30"/>
  <c r="D3415" i="30"/>
  <c r="D3416" i="30"/>
  <c r="D3417" i="30"/>
  <c r="D3418" i="30"/>
  <c r="D3419" i="30"/>
  <c r="D3420" i="30"/>
  <c r="D3421" i="30"/>
  <c r="D3422" i="30"/>
  <c r="D3423" i="30"/>
  <c r="D3424" i="30"/>
  <c r="D3425" i="30"/>
  <c r="D3426" i="30"/>
  <c r="D3427" i="30"/>
  <c r="D3428" i="30"/>
  <c r="D3429" i="30"/>
  <c r="D3430" i="30"/>
  <c r="D3431" i="30"/>
  <c r="D3432" i="30"/>
  <c r="D3433" i="30"/>
  <c r="D3434" i="30"/>
  <c r="D3435" i="30"/>
  <c r="D3436" i="30"/>
  <c r="D3437" i="30"/>
  <c r="D3438" i="30"/>
  <c r="D3439" i="30"/>
  <c r="D3440" i="30"/>
  <c r="D3441" i="30"/>
  <c r="D3442" i="30"/>
  <c r="D3443" i="30"/>
  <c r="D3444" i="30"/>
  <c r="D3445" i="30"/>
  <c r="D3446" i="30"/>
  <c r="D3447" i="30"/>
  <c r="D3448" i="30"/>
  <c r="D3449" i="30"/>
  <c r="D3450" i="30"/>
  <c r="D3451" i="30"/>
  <c r="D3452" i="30"/>
  <c r="D3453" i="30"/>
  <c r="D3454" i="30"/>
  <c r="D3455" i="30"/>
  <c r="D3456" i="30"/>
  <c r="D3457" i="30"/>
  <c r="D3458" i="30"/>
  <c r="D3459" i="30"/>
  <c r="D3460" i="30"/>
  <c r="D3461" i="30"/>
  <c r="D3462" i="30"/>
  <c r="D3463" i="30"/>
  <c r="D3464" i="30"/>
  <c r="D3465" i="30"/>
  <c r="D3466" i="30"/>
  <c r="D3467" i="30"/>
  <c r="D3468" i="30"/>
  <c r="D3469" i="30"/>
  <c r="D3470" i="30"/>
  <c r="D3471" i="30"/>
  <c r="D3472" i="30"/>
  <c r="D3473" i="30"/>
  <c r="D3474" i="30"/>
  <c r="D3475" i="30"/>
  <c r="D3476" i="30"/>
  <c r="D3477" i="30"/>
  <c r="D3478" i="30"/>
  <c r="D3479" i="30"/>
  <c r="D3480" i="30"/>
  <c r="D3481" i="30"/>
  <c r="D3482" i="30"/>
  <c r="D3483" i="30"/>
  <c r="D3484" i="30"/>
  <c r="D3485" i="30"/>
  <c r="D3486" i="30"/>
  <c r="D3487" i="30"/>
  <c r="D3488" i="30"/>
  <c r="D3489" i="30"/>
  <c r="D3490" i="30"/>
  <c r="D3491" i="30"/>
  <c r="D3492" i="30"/>
  <c r="D3493" i="30"/>
  <c r="D3494" i="30"/>
  <c r="D3495" i="30"/>
  <c r="D3496" i="30"/>
  <c r="D3497" i="30"/>
  <c r="D3498" i="30"/>
  <c r="D3499" i="30"/>
  <c r="D3500" i="30"/>
  <c r="D3501" i="30"/>
  <c r="D3502" i="30"/>
  <c r="D3503" i="30"/>
  <c r="D3504" i="30"/>
  <c r="D3505" i="30"/>
  <c r="D3506" i="30"/>
  <c r="D3507" i="30"/>
  <c r="D3508" i="30"/>
  <c r="D3509" i="30"/>
  <c r="D3510" i="30"/>
  <c r="D3511" i="30"/>
  <c r="D3512" i="30"/>
  <c r="D3513" i="30"/>
  <c r="D3514" i="30"/>
  <c r="D3515" i="30"/>
  <c r="D3516" i="30"/>
  <c r="D3517" i="30"/>
  <c r="D3518" i="30"/>
  <c r="D3519" i="30"/>
  <c r="D3520" i="30"/>
  <c r="D3521" i="30"/>
  <c r="D3522" i="30"/>
  <c r="D3523" i="30"/>
  <c r="D3524" i="30"/>
  <c r="D3525" i="30"/>
  <c r="D3526" i="30"/>
  <c r="D3527" i="30"/>
  <c r="D3528" i="30"/>
  <c r="D3529" i="30"/>
  <c r="D3530" i="30"/>
  <c r="D3531" i="30"/>
  <c r="D3532" i="30"/>
  <c r="D3533" i="30"/>
  <c r="D3534" i="30"/>
  <c r="D3535" i="30"/>
  <c r="D3536" i="30"/>
  <c r="D3537" i="30"/>
  <c r="D3538" i="30"/>
  <c r="D3539" i="30"/>
  <c r="D3540" i="30"/>
  <c r="D3541" i="30"/>
  <c r="D3542" i="30"/>
  <c r="D3543" i="30"/>
  <c r="D3544" i="30"/>
  <c r="D3545" i="30"/>
  <c r="D3546" i="30"/>
  <c r="D3547" i="30"/>
  <c r="D3548" i="30"/>
  <c r="D3549" i="30"/>
  <c r="D3550" i="30"/>
  <c r="D3551" i="30"/>
  <c r="D3552" i="30"/>
  <c r="D3553" i="30"/>
  <c r="D3554" i="30"/>
  <c r="D3555" i="30"/>
  <c r="D3556" i="30"/>
  <c r="D3557" i="30"/>
  <c r="D3558" i="30"/>
  <c r="D3559" i="30"/>
  <c r="D3560" i="30"/>
  <c r="D3561" i="30"/>
  <c r="D3562" i="30"/>
  <c r="D3563" i="30"/>
  <c r="D3564" i="30"/>
  <c r="D3565" i="30"/>
  <c r="D3566" i="30"/>
  <c r="D3567" i="30"/>
  <c r="D3568" i="30"/>
  <c r="D3569" i="30"/>
  <c r="D3570" i="30"/>
  <c r="D3571" i="30"/>
  <c r="D3572" i="30"/>
  <c r="D3573" i="30"/>
  <c r="D3574" i="30"/>
  <c r="D3575" i="30"/>
  <c r="D3576" i="30"/>
  <c r="D3577" i="30"/>
  <c r="D3578" i="30"/>
  <c r="D3579" i="30"/>
  <c r="D3580" i="30"/>
  <c r="D3581" i="30"/>
  <c r="D3582" i="30"/>
  <c r="D3583" i="30"/>
  <c r="D3584" i="30"/>
  <c r="D3585" i="30"/>
  <c r="D3586" i="30"/>
  <c r="D3587" i="30"/>
  <c r="D3588" i="30"/>
  <c r="D3589" i="30"/>
  <c r="D3590" i="30"/>
  <c r="D3591" i="30"/>
  <c r="D3592" i="30"/>
  <c r="D3593" i="30"/>
  <c r="D3594" i="30"/>
  <c r="D3595" i="30"/>
  <c r="D3596" i="30"/>
  <c r="D3597" i="30"/>
  <c r="D3598" i="30"/>
  <c r="D3599" i="30"/>
  <c r="D3600" i="30"/>
  <c r="D3601" i="30"/>
  <c r="D3602" i="30"/>
  <c r="D3603" i="30"/>
  <c r="D3604" i="30"/>
  <c r="D3605" i="30"/>
  <c r="D3606" i="30"/>
  <c r="D3607" i="30"/>
  <c r="D3608" i="30"/>
  <c r="D3609" i="30"/>
  <c r="D3610" i="30"/>
  <c r="D3611" i="30"/>
  <c r="D3612" i="30"/>
  <c r="D3613" i="30"/>
  <c r="D3614" i="30"/>
  <c r="D3615" i="30"/>
  <c r="D3616" i="30"/>
  <c r="D3617" i="30"/>
  <c r="D3618" i="30"/>
  <c r="D3619" i="30"/>
  <c r="D3620" i="30"/>
  <c r="D3621" i="30"/>
  <c r="D3622" i="30"/>
  <c r="D3623" i="30"/>
  <c r="D3624" i="30"/>
  <c r="D3625" i="30"/>
  <c r="D3626" i="30"/>
  <c r="D3627" i="30"/>
  <c r="D3628" i="30"/>
  <c r="D3629" i="30"/>
  <c r="D3630" i="30"/>
  <c r="D3631" i="30"/>
  <c r="D3632" i="30"/>
  <c r="D3633" i="30"/>
  <c r="D3634" i="30"/>
  <c r="D3635" i="30"/>
  <c r="D3636" i="30"/>
  <c r="D3637" i="30"/>
  <c r="D3638" i="30"/>
  <c r="D3639" i="30"/>
  <c r="D3640" i="30"/>
  <c r="D3641" i="30"/>
  <c r="D3642" i="30"/>
  <c r="D3643" i="30"/>
  <c r="D3644" i="30"/>
  <c r="D3645" i="30"/>
  <c r="D3646" i="30"/>
  <c r="D3647" i="30"/>
  <c r="D3648" i="30"/>
  <c r="D3649" i="30"/>
  <c r="D3650" i="30"/>
  <c r="D3651" i="30"/>
  <c r="D3652" i="30"/>
  <c r="D3653" i="30"/>
  <c r="D3654" i="30"/>
  <c r="D3655" i="30"/>
  <c r="D3656" i="30"/>
  <c r="D3657" i="30"/>
  <c r="D3658" i="30"/>
  <c r="D3659" i="30"/>
  <c r="D3660" i="30"/>
  <c r="D3661" i="30"/>
  <c r="D3662" i="30"/>
  <c r="D3663" i="30"/>
  <c r="D3664" i="30"/>
  <c r="D3665" i="30"/>
  <c r="D3666" i="30"/>
  <c r="D3667" i="30"/>
  <c r="D3668" i="30"/>
  <c r="D3669" i="30"/>
  <c r="D3670" i="30"/>
  <c r="D3671" i="30"/>
  <c r="D3672" i="30"/>
  <c r="D3673" i="30"/>
  <c r="D3674" i="30"/>
  <c r="D3675" i="30"/>
  <c r="D3676" i="30"/>
  <c r="D3677" i="30"/>
  <c r="D3678" i="30"/>
  <c r="D3679" i="30"/>
  <c r="D3680" i="30"/>
  <c r="D3681" i="30"/>
  <c r="D3682" i="30"/>
  <c r="D3683" i="30"/>
  <c r="D3684" i="30"/>
  <c r="D3685" i="30"/>
  <c r="D3686" i="30"/>
  <c r="D3687" i="30"/>
  <c r="D3688" i="30"/>
  <c r="D3689" i="30"/>
  <c r="D3690" i="30"/>
  <c r="D3691" i="30"/>
  <c r="D3692" i="30"/>
  <c r="D3693" i="30"/>
  <c r="D3694" i="30"/>
  <c r="D3695" i="30"/>
  <c r="D3696" i="30"/>
  <c r="D3697" i="30"/>
  <c r="D3698" i="30"/>
  <c r="D3699" i="30"/>
  <c r="D3700" i="30"/>
  <c r="D3701" i="30"/>
  <c r="D3702" i="30"/>
  <c r="D3703" i="30"/>
  <c r="D3704" i="30"/>
  <c r="D3705" i="30"/>
  <c r="D3706" i="30"/>
  <c r="D3707" i="30"/>
  <c r="D3708" i="30"/>
  <c r="D3709" i="30"/>
  <c r="D3710" i="30"/>
  <c r="D3711" i="30"/>
  <c r="D3712" i="30"/>
  <c r="D3713" i="30"/>
  <c r="D3714" i="30"/>
  <c r="D3715" i="30"/>
  <c r="D3716" i="30"/>
  <c r="D3717" i="30"/>
  <c r="D3718" i="30"/>
  <c r="D3719" i="30"/>
  <c r="D3720" i="30"/>
  <c r="D3721" i="30"/>
  <c r="D3722" i="30"/>
  <c r="D3723" i="30"/>
  <c r="D3724" i="30"/>
  <c r="D3725" i="30"/>
  <c r="D3726" i="30"/>
  <c r="D3727" i="30"/>
  <c r="D3728" i="30"/>
  <c r="D3729" i="30"/>
  <c r="D3730" i="30"/>
  <c r="D3731" i="30"/>
  <c r="D3732" i="30"/>
  <c r="D3733" i="30"/>
  <c r="D3734" i="30"/>
  <c r="D3735" i="30"/>
  <c r="D3736" i="30"/>
  <c r="D3737" i="30"/>
  <c r="D3738" i="30"/>
  <c r="D3739" i="30"/>
  <c r="D3740" i="30"/>
  <c r="D3741" i="30"/>
  <c r="D3742" i="30"/>
  <c r="D3743" i="30"/>
  <c r="D3744" i="30"/>
  <c r="D3745" i="30"/>
  <c r="D3746" i="30"/>
  <c r="D3747" i="30"/>
  <c r="D3748" i="30"/>
  <c r="D3749" i="30"/>
  <c r="D3750" i="30"/>
  <c r="D3751" i="30"/>
  <c r="D3752" i="30"/>
  <c r="D3753" i="30"/>
  <c r="D3754" i="30"/>
  <c r="D3755" i="30"/>
  <c r="D3756" i="30"/>
  <c r="D3757" i="30"/>
  <c r="D3758" i="30"/>
  <c r="D3759" i="30"/>
  <c r="D3760" i="30"/>
  <c r="D3761" i="30"/>
  <c r="D3762" i="30"/>
  <c r="D3763" i="30"/>
  <c r="D3764" i="30"/>
  <c r="D3765" i="30"/>
  <c r="D3766" i="30"/>
  <c r="D3767" i="30"/>
  <c r="D3768" i="30"/>
  <c r="D3769" i="30"/>
  <c r="D3770" i="30"/>
  <c r="D3771" i="30"/>
  <c r="D3772" i="30"/>
  <c r="D3773" i="30"/>
  <c r="D3774" i="30"/>
  <c r="D3775" i="30"/>
  <c r="D3776" i="30"/>
  <c r="D3777" i="30"/>
  <c r="D3778" i="30"/>
  <c r="D3779" i="30"/>
  <c r="D3780" i="30"/>
  <c r="D3781" i="30"/>
  <c r="D3782" i="30"/>
  <c r="D3783" i="30"/>
  <c r="D3784" i="30"/>
  <c r="D3785" i="30"/>
  <c r="D3786" i="30"/>
  <c r="D3787" i="30"/>
  <c r="D3788" i="30"/>
  <c r="D3789" i="30"/>
  <c r="D3790" i="30"/>
  <c r="D3791" i="30"/>
  <c r="D3792" i="30"/>
  <c r="D3793" i="30"/>
  <c r="D3794" i="30"/>
  <c r="D3795" i="30"/>
  <c r="D3796" i="30"/>
  <c r="D3797" i="30"/>
  <c r="D3798" i="30"/>
  <c r="D3799" i="30"/>
  <c r="D3800" i="30"/>
  <c r="D3801" i="30"/>
  <c r="D3802" i="30"/>
  <c r="D3803" i="30"/>
  <c r="D3804" i="30"/>
  <c r="D3805" i="30"/>
  <c r="D3806" i="30"/>
  <c r="D3807" i="30"/>
  <c r="D3808" i="30"/>
  <c r="D3809" i="30"/>
  <c r="D3810" i="30"/>
  <c r="D3811" i="30"/>
  <c r="D3812" i="30"/>
  <c r="D3813" i="30"/>
  <c r="D3814" i="30"/>
  <c r="D3815" i="30"/>
  <c r="D3816" i="30"/>
  <c r="D3817" i="30"/>
  <c r="D3818" i="30"/>
  <c r="D3819" i="30"/>
  <c r="D3820" i="30"/>
  <c r="D3821" i="30"/>
  <c r="D3822" i="30"/>
  <c r="D3823" i="30"/>
  <c r="D3824" i="30"/>
  <c r="D3825" i="30"/>
  <c r="D3826" i="30"/>
  <c r="D3827" i="30"/>
  <c r="D3828" i="30"/>
  <c r="D3829" i="30"/>
  <c r="D3830" i="30"/>
  <c r="D3831" i="30"/>
  <c r="D3832" i="30"/>
  <c r="D3833" i="30"/>
  <c r="D3834" i="30"/>
  <c r="D3835" i="30"/>
  <c r="D3836" i="30"/>
  <c r="D3837" i="30"/>
  <c r="D3838" i="30"/>
  <c r="D3839" i="30"/>
  <c r="D3840" i="30"/>
  <c r="D3841" i="30"/>
  <c r="D3842" i="30"/>
  <c r="D3843" i="30"/>
  <c r="D3844" i="30"/>
  <c r="D3845" i="30"/>
  <c r="D3846" i="30"/>
  <c r="D3847" i="30"/>
  <c r="D3848" i="30"/>
  <c r="D3849" i="30"/>
  <c r="D3850" i="30"/>
  <c r="D3851" i="30"/>
  <c r="D3852" i="30"/>
  <c r="D3853" i="30"/>
  <c r="D3854" i="30"/>
  <c r="D3855" i="30"/>
  <c r="D3856" i="30"/>
  <c r="D3857" i="30"/>
  <c r="D3858" i="30"/>
  <c r="D3859" i="30"/>
  <c r="D3860" i="30"/>
  <c r="D3861" i="30"/>
  <c r="D3862" i="30"/>
  <c r="D3863" i="30"/>
  <c r="D3864" i="30"/>
  <c r="D3865" i="30"/>
  <c r="D3866" i="30"/>
  <c r="D3867" i="30"/>
  <c r="D3868" i="30"/>
  <c r="D3869" i="30"/>
  <c r="D3870" i="30"/>
  <c r="D3871" i="30"/>
  <c r="D3872" i="30"/>
  <c r="D3873" i="30"/>
  <c r="D3874" i="30"/>
  <c r="D3875" i="30"/>
  <c r="D3876" i="30"/>
  <c r="D3877" i="30"/>
  <c r="D3878" i="30"/>
  <c r="D3879" i="30"/>
  <c r="D3880" i="30"/>
  <c r="D3881" i="30"/>
  <c r="D3882" i="30"/>
  <c r="D3883" i="30"/>
  <c r="D3884" i="30"/>
  <c r="D3885" i="30"/>
  <c r="D3886" i="30"/>
  <c r="D3887" i="30"/>
  <c r="D3888" i="30"/>
  <c r="D3889" i="30"/>
  <c r="D3890" i="30"/>
  <c r="D3891" i="30"/>
  <c r="D3892" i="30"/>
  <c r="D3893" i="30"/>
  <c r="D3894" i="30"/>
  <c r="D3895" i="30"/>
  <c r="D3896" i="30"/>
  <c r="D3897" i="30"/>
  <c r="D3898" i="30"/>
  <c r="D3899" i="30"/>
  <c r="D3900" i="30"/>
  <c r="D3901" i="30"/>
  <c r="D3902" i="30"/>
  <c r="D3903" i="30"/>
  <c r="D3904" i="30"/>
  <c r="D3905" i="30"/>
  <c r="D3906" i="30"/>
  <c r="D3907" i="30"/>
  <c r="D3908" i="30"/>
  <c r="D3909" i="30"/>
  <c r="D3910" i="30"/>
  <c r="D3911" i="30"/>
  <c r="D3912" i="30"/>
  <c r="D3913" i="30"/>
  <c r="D3914" i="30"/>
  <c r="D3915" i="30"/>
  <c r="D3916" i="30"/>
  <c r="D3917" i="30"/>
  <c r="D3918" i="30"/>
  <c r="D3919" i="30"/>
  <c r="D3920" i="30"/>
  <c r="D3921" i="30"/>
  <c r="D3922" i="30"/>
  <c r="D3923" i="30"/>
  <c r="D3924" i="30"/>
  <c r="D3925" i="30"/>
  <c r="D3926" i="30"/>
  <c r="D3927" i="30"/>
  <c r="D3928" i="30"/>
  <c r="D3929" i="30"/>
  <c r="D3930" i="30"/>
  <c r="D3931" i="30"/>
  <c r="D3932" i="30"/>
  <c r="D3933" i="30"/>
  <c r="D3934" i="30"/>
  <c r="D3935" i="30"/>
  <c r="D3936" i="30"/>
  <c r="D3937" i="30"/>
  <c r="D3938" i="30"/>
  <c r="D3939" i="30"/>
  <c r="D3940" i="30"/>
  <c r="D3941" i="30"/>
  <c r="D3942" i="30"/>
  <c r="D3943" i="30"/>
  <c r="D3944" i="30"/>
  <c r="D3945" i="30"/>
  <c r="D3946" i="30"/>
  <c r="D3947" i="30"/>
  <c r="D3948" i="30"/>
  <c r="D3949" i="30"/>
  <c r="D3950" i="30"/>
  <c r="D3951" i="30"/>
  <c r="D3952" i="30"/>
  <c r="D3953" i="30"/>
  <c r="D3954" i="30"/>
  <c r="D3955" i="30"/>
  <c r="D3956" i="30"/>
  <c r="D3957" i="30"/>
  <c r="D3958" i="30"/>
  <c r="D3959" i="30"/>
  <c r="D3960" i="30"/>
  <c r="D3961" i="30"/>
  <c r="D3962" i="30"/>
  <c r="D3963" i="30"/>
  <c r="D3964" i="30"/>
  <c r="D3965" i="30"/>
  <c r="D3966" i="30"/>
  <c r="D3967" i="30"/>
  <c r="D3968" i="30"/>
  <c r="D3969" i="30"/>
  <c r="D3970" i="30"/>
  <c r="D3971" i="30"/>
  <c r="D3972" i="30"/>
  <c r="D3973" i="30"/>
  <c r="D3974" i="30"/>
  <c r="D3975" i="30"/>
  <c r="D3976" i="30"/>
  <c r="D3977" i="30"/>
  <c r="D3978" i="30"/>
  <c r="D3979" i="30"/>
  <c r="D3980" i="30"/>
  <c r="D3981" i="30"/>
  <c r="D3982" i="30"/>
  <c r="D3983" i="30"/>
  <c r="D3984" i="30"/>
  <c r="D3985" i="30"/>
  <c r="D3986" i="30"/>
  <c r="D3987" i="30"/>
  <c r="D3988" i="30"/>
  <c r="D3989" i="30"/>
  <c r="D3990" i="30"/>
  <c r="D3991" i="30"/>
  <c r="D3992" i="30"/>
  <c r="D3993" i="30"/>
  <c r="D3994" i="30"/>
  <c r="D3995" i="30"/>
  <c r="D3996" i="30"/>
  <c r="D3997" i="30"/>
  <c r="D3998" i="30"/>
  <c r="D3999" i="30"/>
  <c r="D4000" i="30"/>
  <c r="D4001" i="30"/>
  <c r="D4002" i="30"/>
  <c r="D4003" i="30"/>
  <c r="D4004" i="30"/>
  <c r="D4005" i="30"/>
  <c r="D4006" i="30"/>
  <c r="D4007" i="30"/>
  <c r="D4008" i="30"/>
  <c r="D4009" i="30"/>
  <c r="D4010" i="30"/>
  <c r="D4011" i="30"/>
  <c r="D4012" i="30"/>
  <c r="D4013" i="30"/>
  <c r="D4014" i="30"/>
  <c r="D4015" i="30"/>
  <c r="D4016" i="30"/>
  <c r="D4017" i="30"/>
  <c r="D4018" i="30"/>
  <c r="D4019" i="30"/>
  <c r="D4020" i="30"/>
  <c r="D4021" i="30"/>
  <c r="D4022" i="30"/>
  <c r="D4023" i="30"/>
  <c r="D4024" i="30"/>
  <c r="D4025" i="30"/>
  <c r="D4026" i="30"/>
  <c r="D4027" i="30"/>
  <c r="D4028" i="30"/>
  <c r="D4029" i="30"/>
  <c r="D4030" i="30"/>
  <c r="D4031" i="30"/>
  <c r="D4032" i="30"/>
  <c r="D4033" i="30"/>
  <c r="D4034" i="30"/>
  <c r="D4035" i="30"/>
  <c r="D4036" i="30"/>
  <c r="D4037" i="30"/>
  <c r="D4038" i="30"/>
  <c r="D4039" i="30"/>
  <c r="D4040" i="30"/>
  <c r="D4041" i="30"/>
  <c r="D4042" i="30"/>
  <c r="D4043" i="30"/>
  <c r="D4044" i="30"/>
  <c r="D4045" i="30"/>
  <c r="D4046" i="30"/>
  <c r="D4047" i="30"/>
  <c r="D4048" i="30"/>
  <c r="D4049" i="30"/>
  <c r="D4050" i="30"/>
  <c r="D4051" i="30"/>
  <c r="D4052" i="30"/>
  <c r="D4053" i="30"/>
  <c r="D4054" i="30"/>
  <c r="D4055" i="30"/>
  <c r="D4056" i="30"/>
  <c r="D4057" i="30"/>
  <c r="D4058" i="30"/>
  <c r="D4059" i="30"/>
  <c r="D4060" i="30"/>
  <c r="D4061" i="30"/>
  <c r="D4062" i="30"/>
  <c r="D4063" i="30"/>
  <c r="D4064" i="30"/>
  <c r="D4065" i="30"/>
  <c r="D4066" i="30"/>
  <c r="D4067" i="30"/>
  <c r="D4068" i="30"/>
  <c r="D4069" i="30"/>
  <c r="D4070" i="30"/>
  <c r="D4071" i="30"/>
  <c r="D4072" i="30"/>
  <c r="D4073" i="30"/>
  <c r="D4074" i="30"/>
  <c r="D4075" i="30"/>
  <c r="D4076" i="30"/>
  <c r="D4077" i="30"/>
  <c r="D4078" i="30"/>
  <c r="D4079" i="30"/>
  <c r="D4080" i="30"/>
  <c r="D4081" i="30"/>
  <c r="D4082" i="30"/>
  <c r="D4083" i="30"/>
  <c r="D4084" i="30"/>
  <c r="D4085" i="30"/>
  <c r="D4086" i="30"/>
  <c r="D4087" i="30"/>
  <c r="D4088" i="30"/>
  <c r="D4089" i="30"/>
  <c r="D4090" i="30"/>
  <c r="D4091" i="30"/>
  <c r="D4092" i="30"/>
  <c r="D4093" i="30"/>
  <c r="D4094" i="30"/>
  <c r="D4095" i="30"/>
  <c r="D4096" i="30"/>
  <c r="D4097" i="30"/>
  <c r="D4098" i="30"/>
  <c r="D4099" i="30"/>
  <c r="D4100" i="30"/>
  <c r="D4101" i="30"/>
  <c r="D4102" i="30"/>
  <c r="D4103" i="30"/>
  <c r="D4104" i="30"/>
  <c r="D4105" i="30"/>
  <c r="D4106" i="30"/>
  <c r="D4107" i="30"/>
  <c r="D4108" i="30"/>
  <c r="D4109" i="30"/>
  <c r="D4110" i="30"/>
  <c r="D4111" i="30"/>
  <c r="D4112" i="30"/>
  <c r="D4113" i="30"/>
  <c r="D4114" i="30"/>
  <c r="D4115" i="30"/>
  <c r="D4116" i="30"/>
  <c r="D4117" i="30"/>
  <c r="D4118" i="30"/>
  <c r="D4119" i="30"/>
  <c r="D4120" i="30"/>
  <c r="D4121" i="30"/>
  <c r="D4122" i="30"/>
  <c r="D4123" i="30"/>
  <c r="D4125" i="30"/>
  <c r="D4126" i="30"/>
  <c r="D4127" i="30"/>
  <c r="D4128" i="30"/>
  <c r="D4129" i="30"/>
  <c r="D4130" i="30"/>
  <c r="D4131" i="30"/>
  <c r="D4132" i="30"/>
  <c r="D4133" i="30"/>
  <c r="D4134" i="30"/>
  <c r="D4135" i="30"/>
  <c r="D4136" i="30"/>
  <c r="D4137" i="30"/>
  <c r="D4138" i="30"/>
  <c r="D4139" i="30"/>
  <c r="D4140" i="30"/>
  <c r="D4141" i="30"/>
  <c r="D4142" i="30"/>
  <c r="D4143" i="30"/>
  <c r="D4144" i="30"/>
  <c r="D4145" i="30"/>
  <c r="D4146" i="30"/>
  <c r="D4147" i="30"/>
  <c r="D4148" i="30"/>
  <c r="D4149" i="30"/>
  <c r="D4150" i="30"/>
  <c r="D4151" i="30"/>
  <c r="D4152" i="30"/>
  <c r="D4153" i="30"/>
  <c r="D4154" i="30"/>
  <c r="D4155" i="30"/>
  <c r="D4156" i="30"/>
  <c r="D4157" i="30"/>
  <c r="D4158" i="30"/>
  <c r="D4159" i="30"/>
  <c r="D4160" i="30"/>
  <c r="D4161" i="30"/>
  <c r="D4162" i="30"/>
  <c r="D4163" i="30"/>
  <c r="D4164" i="30"/>
  <c r="D4165" i="30"/>
  <c r="D4166" i="30"/>
  <c r="D4167" i="30"/>
  <c r="D4168" i="30"/>
  <c r="D4169" i="30"/>
  <c r="D4170" i="30"/>
  <c r="D4171" i="30"/>
  <c r="D4172" i="30"/>
  <c r="D4173" i="30"/>
  <c r="D4174" i="30"/>
  <c r="D4175" i="30"/>
  <c r="D4176" i="30"/>
  <c r="D4177" i="30"/>
  <c r="D4178" i="30"/>
  <c r="D4179" i="30"/>
  <c r="D4180" i="30"/>
  <c r="D4181" i="30"/>
  <c r="D4182" i="30"/>
  <c r="D4183" i="30"/>
  <c r="D4184" i="30"/>
  <c r="D4185" i="30"/>
  <c r="D4186" i="30"/>
  <c r="D4187" i="30"/>
  <c r="D4188" i="30"/>
  <c r="D4189" i="30"/>
  <c r="D4190" i="30"/>
  <c r="D4191" i="30"/>
  <c r="D4192" i="30"/>
  <c r="D4193" i="30"/>
  <c r="D4194" i="30"/>
  <c r="D4195" i="30"/>
  <c r="D4196" i="30"/>
  <c r="D4197" i="30"/>
  <c r="D4198" i="30"/>
  <c r="D4199" i="30"/>
  <c r="D4200" i="30"/>
  <c r="D4201" i="30"/>
  <c r="D4202" i="30"/>
  <c r="D4203" i="30"/>
  <c r="D4204" i="30"/>
  <c r="D4205" i="30"/>
  <c r="D4206" i="30"/>
  <c r="D4207" i="30"/>
  <c r="D4208" i="30"/>
  <c r="D4209" i="30"/>
  <c r="D4210" i="30"/>
  <c r="D4211" i="30"/>
  <c r="D4212" i="30"/>
  <c r="D4213" i="30"/>
  <c r="D4214" i="30"/>
  <c r="D4215" i="30"/>
  <c r="D4217" i="30"/>
  <c r="D4218" i="30"/>
  <c r="D4219" i="30"/>
  <c r="D4220" i="30"/>
  <c r="D4221" i="30"/>
  <c r="D4222" i="30"/>
  <c r="D4223" i="30"/>
  <c r="D4224" i="30"/>
  <c r="D4225" i="30"/>
  <c r="D4226" i="30"/>
  <c r="D4227" i="30"/>
  <c r="D4228" i="30"/>
  <c r="D4229" i="30"/>
  <c r="D4230" i="30"/>
  <c r="D4231" i="30"/>
  <c r="D4232" i="30"/>
  <c r="D4233" i="30"/>
  <c r="D4234" i="30"/>
  <c r="D4235" i="30"/>
  <c r="D4236" i="30"/>
  <c r="D4237" i="30"/>
  <c r="D4238" i="30"/>
  <c r="D4239" i="30"/>
  <c r="D4240" i="30"/>
  <c r="D4241" i="30"/>
  <c r="D4242" i="30"/>
  <c r="D4243" i="30"/>
  <c r="D4244" i="30"/>
  <c r="D4245" i="30"/>
  <c r="D4246" i="30"/>
  <c r="D4247" i="30"/>
  <c r="D4248" i="30"/>
  <c r="D4249" i="30"/>
  <c r="D4250" i="30"/>
  <c r="D4251" i="30"/>
  <c r="D4252" i="30"/>
  <c r="D4253" i="30"/>
  <c r="D4254" i="30"/>
  <c r="D4255" i="30"/>
  <c r="D4256" i="30"/>
  <c r="D4257" i="30"/>
  <c r="D4258" i="30"/>
  <c r="D4259" i="30"/>
  <c r="D4260" i="30"/>
  <c r="D4261" i="30"/>
  <c r="D4262" i="30"/>
  <c r="D4263" i="30"/>
  <c r="D4264" i="30"/>
  <c r="D4265" i="30"/>
  <c r="D4266" i="30"/>
  <c r="D4267" i="30"/>
  <c r="D4268" i="30"/>
  <c r="D4269" i="30"/>
  <c r="D4270" i="30"/>
  <c r="D4271" i="30"/>
  <c r="D4272" i="30"/>
  <c r="D4273" i="30"/>
  <c r="D4274" i="30"/>
  <c r="D4275" i="30"/>
  <c r="D4276" i="30"/>
  <c r="D4277" i="30"/>
  <c r="D4278" i="30"/>
  <c r="D4279" i="30"/>
  <c r="D4280" i="30"/>
  <c r="D4281" i="30"/>
  <c r="D4282" i="30"/>
  <c r="D4283" i="30"/>
  <c r="D4284" i="30"/>
  <c r="D4285" i="30"/>
  <c r="D4286" i="30"/>
  <c r="D4287" i="30"/>
  <c r="D4288" i="30"/>
  <c r="D4289" i="30"/>
  <c r="D4290" i="30"/>
  <c r="D4291" i="30"/>
  <c r="D4292" i="30"/>
  <c r="D4293" i="30"/>
  <c r="D4294" i="30"/>
  <c r="D4295" i="30"/>
  <c r="D4296" i="30"/>
  <c r="D4297" i="30"/>
  <c r="D4298" i="30"/>
  <c r="D4299" i="30"/>
  <c r="D4300" i="30"/>
  <c r="D4301" i="30"/>
  <c r="D4302" i="30"/>
  <c r="D4303" i="30"/>
  <c r="D4304" i="30"/>
  <c r="D4305" i="30"/>
  <c r="D4306" i="30"/>
  <c r="D4307" i="30"/>
  <c r="D4308" i="30"/>
  <c r="D4309" i="30"/>
  <c r="D4310" i="30"/>
  <c r="D4311" i="30"/>
  <c r="D4312" i="30"/>
  <c r="D4313" i="30"/>
  <c r="D4314" i="30"/>
  <c r="D4315" i="30"/>
  <c r="D4316" i="30"/>
  <c r="D4317" i="30"/>
  <c r="D4318" i="30"/>
  <c r="D4319" i="30"/>
  <c r="D4320" i="30"/>
  <c r="D4325" i="30"/>
  <c r="D4326" i="30"/>
  <c r="D4327" i="30"/>
  <c r="D4328" i="30"/>
  <c r="D4329" i="30"/>
  <c r="D4330" i="30"/>
  <c r="D4331" i="30"/>
  <c r="D4332" i="30"/>
  <c r="D4333" i="30"/>
  <c r="D4334" i="30"/>
  <c r="D4335" i="30"/>
  <c r="D4336" i="30"/>
  <c r="D4337" i="30"/>
  <c r="D4338" i="30"/>
  <c r="D4339" i="30"/>
  <c r="D4340" i="30"/>
  <c r="D4341" i="30"/>
  <c r="D4342" i="30"/>
  <c r="D4343" i="30"/>
  <c r="D4344" i="30"/>
  <c r="D4345" i="30"/>
  <c r="D4346" i="30"/>
  <c r="D4347" i="30"/>
  <c r="D4348" i="30"/>
  <c r="D4349" i="30"/>
  <c r="D4350" i="30"/>
  <c r="D4351" i="30"/>
  <c r="D4352" i="30"/>
  <c r="D4353" i="30"/>
  <c r="D4354" i="30"/>
  <c r="D4355" i="30"/>
  <c r="D4356" i="30"/>
  <c r="D4357" i="30"/>
  <c r="D4358" i="30"/>
  <c r="D4359" i="30"/>
  <c r="D4360" i="30"/>
  <c r="D4361" i="30"/>
  <c r="D4362" i="30"/>
  <c r="D4363" i="30"/>
  <c r="D4364" i="30"/>
  <c r="D4365" i="30"/>
  <c r="D4366" i="30"/>
  <c r="D4367" i="30"/>
  <c r="D4368" i="30"/>
  <c r="D4369" i="30"/>
  <c r="D4370" i="30"/>
  <c r="D4371" i="30"/>
  <c r="D4372" i="30"/>
  <c r="D4373" i="30"/>
  <c r="D4374" i="30"/>
  <c r="D4375" i="30"/>
  <c r="D4376" i="30"/>
  <c r="D4377" i="30"/>
  <c r="D4378" i="30"/>
  <c r="D4379" i="30"/>
  <c r="D4380" i="30"/>
  <c r="D4381" i="30"/>
  <c r="D4382" i="30"/>
  <c r="D4383" i="30"/>
  <c r="D4384" i="30"/>
  <c r="D4385" i="30"/>
  <c r="D4386" i="30"/>
  <c r="D4387" i="30"/>
  <c r="D4388" i="30"/>
  <c r="D4389" i="30"/>
  <c r="D4390" i="30"/>
  <c r="D4391" i="30"/>
  <c r="D4392" i="30"/>
  <c r="D4393" i="30"/>
  <c r="D4394" i="30"/>
  <c r="D4395" i="30"/>
  <c r="D4396" i="30"/>
  <c r="D4397" i="30"/>
  <c r="D4398" i="30"/>
  <c r="D4399" i="30"/>
  <c r="D4400" i="30"/>
  <c r="D4401" i="30"/>
  <c r="D4402" i="30"/>
  <c r="D4403" i="30"/>
  <c r="D4404" i="30"/>
  <c r="D4405" i="30"/>
  <c r="D4406" i="30"/>
  <c r="D4407" i="30"/>
  <c r="D4408" i="30"/>
  <c r="D4409" i="30"/>
  <c r="D4410" i="30"/>
  <c r="D4411" i="30"/>
  <c r="D4412" i="30"/>
  <c r="D4413" i="30"/>
  <c r="D4415" i="30"/>
  <c r="D4416" i="30"/>
  <c r="D4417" i="30"/>
  <c r="D4418" i="30"/>
  <c r="D4419" i="30"/>
  <c r="D4420" i="30"/>
  <c r="D4421" i="30"/>
  <c r="D4422" i="30"/>
  <c r="D4423" i="30"/>
  <c r="D4424" i="30"/>
  <c r="D4425" i="30"/>
  <c r="D4426" i="30"/>
  <c r="D4427" i="30"/>
  <c r="D4428" i="30"/>
  <c r="D4429" i="30"/>
  <c r="D4430" i="30"/>
  <c r="D4431" i="30"/>
  <c r="D4432" i="30"/>
  <c r="D4433" i="30"/>
  <c r="D4434" i="30"/>
  <c r="D4435" i="30"/>
  <c r="D4436" i="30"/>
  <c r="D4437" i="30"/>
  <c r="D4438" i="30"/>
  <c r="D4439" i="30"/>
  <c r="D4440" i="30"/>
  <c r="D4441" i="30"/>
  <c r="D4442" i="30"/>
  <c r="D4443" i="30"/>
  <c r="D4444" i="30"/>
  <c r="D4445" i="30"/>
  <c r="D4446" i="30"/>
  <c r="D4447" i="30"/>
  <c r="D4448" i="30"/>
  <c r="D4449" i="30"/>
  <c r="D4450" i="30"/>
  <c r="D4451" i="30"/>
  <c r="D4452" i="30"/>
  <c r="D4453" i="30"/>
  <c r="D4454" i="30"/>
  <c r="D4455" i="30"/>
  <c r="D4456" i="30"/>
  <c r="D4457" i="30"/>
  <c r="D4458" i="30"/>
  <c r="D4459" i="30"/>
  <c r="D4460" i="30"/>
  <c r="D4461" i="30"/>
  <c r="D4462" i="30"/>
  <c r="D4463" i="30"/>
  <c r="D4464" i="30"/>
  <c r="D4465" i="30"/>
  <c r="D4466" i="30"/>
  <c r="D4467" i="30"/>
  <c r="D4468" i="30"/>
  <c r="D4469" i="30"/>
  <c r="D4470" i="30"/>
  <c r="D4471" i="30"/>
  <c r="D4472" i="30"/>
  <c r="D4473" i="30"/>
  <c r="D4474" i="30"/>
  <c r="D4475" i="30"/>
  <c r="D4476" i="30"/>
  <c r="D4477" i="30"/>
  <c r="D4478" i="30"/>
  <c r="D4479" i="30"/>
  <c r="D4480" i="30"/>
  <c r="D4481" i="30"/>
  <c r="D4482" i="30"/>
  <c r="D4483" i="30"/>
  <c r="D4484" i="30"/>
  <c r="D4485" i="30"/>
  <c r="D4486" i="30"/>
  <c r="D4487" i="30"/>
  <c r="D4488" i="30"/>
  <c r="D4489" i="30"/>
  <c r="D4490" i="30"/>
  <c r="D4491" i="30"/>
  <c r="D4492" i="30"/>
  <c r="D4493" i="30"/>
  <c r="D4494" i="30"/>
  <c r="D4495" i="30"/>
  <c r="D4496" i="30"/>
  <c r="D4497" i="30"/>
  <c r="D4498" i="30"/>
  <c r="D4499" i="30"/>
  <c r="D4500" i="30"/>
  <c r="D4501" i="30"/>
  <c r="D4502" i="30"/>
  <c r="D4503" i="30"/>
  <c r="D4504" i="30"/>
  <c r="D4505" i="30"/>
  <c r="D4506" i="30"/>
  <c r="D4507" i="30"/>
  <c r="D4508" i="30"/>
  <c r="D4509" i="30"/>
  <c r="D4510" i="30"/>
  <c r="D4513" i="30"/>
  <c r="D4514" i="30"/>
  <c r="D4515" i="30"/>
  <c r="D4516" i="30"/>
  <c r="D4517" i="30"/>
  <c r="D4518" i="30"/>
  <c r="D4519" i="30"/>
  <c r="D4520" i="30"/>
  <c r="D4521" i="30"/>
  <c r="D4522" i="30"/>
  <c r="D4523" i="30"/>
  <c r="D4524" i="30"/>
  <c r="D4525" i="30"/>
  <c r="D4526" i="30"/>
  <c r="D4527" i="30"/>
  <c r="D4528" i="30"/>
  <c r="D4529" i="30"/>
  <c r="D4530" i="30"/>
  <c r="D4531" i="30"/>
  <c r="D4532" i="30"/>
  <c r="D4533" i="30"/>
  <c r="D4534" i="30"/>
  <c r="D4535" i="30"/>
  <c r="D4536" i="30"/>
  <c r="D4537" i="30"/>
  <c r="D4538" i="30"/>
  <c r="D4539" i="30"/>
  <c r="D4540" i="30"/>
  <c r="D4541" i="30"/>
  <c r="D4542" i="30"/>
  <c r="D4543" i="30"/>
  <c r="D4544" i="30"/>
  <c r="D4545" i="30"/>
  <c r="D4546" i="30"/>
  <c r="D4547" i="30"/>
  <c r="D4548" i="30"/>
  <c r="D4549" i="30"/>
  <c r="D4550" i="30"/>
  <c r="D4551" i="30"/>
  <c r="D4552" i="30"/>
  <c r="D4553" i="30"/>
  <c r="D4554" i="30"/>
  <c r="D4555" i="30"/>
  <c r="D4556" i="30"/>
  <c r="D4557" i="30"/>
  <c r="D4558" i="30"/>
  <c r="D4559" i="30"/>
  <c r="D4560" i="30"/>
  <c r="D4561" i="30"/>
  <c r="D4562" i="30"/>
  <c r="D4563" i="30"/>
  <c r="D4564" i="30"/>
  <c r="D4565" i="30"/>
  <c r="D4566" i="30"/>
  <c r="D4567" i="30"/>
  <c r="D4568" i="30"/>
  <c r="D4569" i="30"/>
  <c r="D4570" i="30"/>
  <c r="D4571" i="30"/>
  <c r="D4572" i="30"/>
  <c r="D4573" i="30"/>
  <c r="D4574" i="30"/>
  <c r="D4575" i="30"/>
  <c r="D4576" i="30"/>
  <c r="D4577" i="30"/>
  <c r="D4578" i="30"/>
  <c r="D4579" i="30"/>
  <c r="D4580" i="30"/>
  <c r="D4581" i="30"/>
  <c r="D4582" i="30"/>
  <c r="D4583" i="30"/>
  <c r="D4584" i="30"/>
  <c r="D4585" i="30"/>
  <c r="D4592" i="30"/>
  <c r="D4593" i="30"/>
  <c r="D4594" i="30"/>
  <c r="D4595" i="30"/>
  <c r="D4596" i="30"/>
  <c r="D4597" i="30"/>
  <c r="D4598" i="30"/>
  <c r="D4599" i="30"/>
  <c r="D4600" i="30"/>
  <c r="D4601" i="30"/>
  <c r="D4602" i="30"/>
  <c r="D4603" i="30"/>
  <c r="D4604" i="30"/>
  <c r="D4605" i="30"/>
  <c r="D4606" i="30"/>
  <c r="D4607" i="30"/>
  <c r="D4608" i="30"/>
  <c r="D4609" i="30"/>
  <c r="D4610" i="30"/>
  <c r="D4611" i="30"/>
  <c r="D4612" i="30"/>
  <c r="D4613" i="30"/>
  <c r="D4614" i="30"/>
  <c r="D4615" i="30"/>
  <c r="D4616" i="30"/>
  <c r="D4617" i="30"/>
  <c r="D4618" i="30"/>
  <c r="D4619" i="30"/>
  <c r="D4620" i="30"/>
  <c r="D4621" i="30"/>
  <c r="D4622" i="30"/>
  <c r="D4623" i="30"/>
  <c r="D4624" i="30"/>
  <c r="D4625" i="30"/>
  <c r="D4626" i="30"/>
  <c r="D4627" i="30"/>
  <c r="D4628" i="30"/>
  <c r="D4629" i="30"/>
  <c r="D4630" i="30"/>
  <c r="D4631" i="30"/>
  <c r="D4632" i="30"/>
  <c r="D4633" i="30"/>
  <c r="D4634" i="30"/>
  <c r="D4635" i="30"/>
  <c r="D4636" i="30"/>
  <c r="D4637" i="30"/>
  <c r="D4638" i="30"/>
  <c r="D4639" i="30"/>
  <c r="D4640" i="30"/>
  <c r="D4641" i="30"/>
  <c r="D4642" i="30"/>
  <c r="D4643" i="30"/>
  <c r="D4644" i="30"/>
  <c r="D4645" i="30"/>
  <c r="D4646" i="30"/>
  <c r="D4647" i="30"/>
  <c r="D4648" i="30"/>
  <c r="D4649" i="30"/>
  <c r="D4650" i="30"/>
  <c r="D4651" i="30"/>
  <c r="D4652" i="30"/>
  <c r="D4653" i="30"/>
  <c r="D4654" i="30"/>
  <c r="D4655" i="30"/>
  <c r="D4656" i="30"/>
  <c r="D4657" i="30"/>
  <c r="D4658" i="30"/>
  <c r="D4659" i="30"/>
  <c r="D4660" i="30"/>
  <c r="D4661" i="30"/>
  <c r="D4662" i="30"/>
  <c r="D4663" i="30"/>
  <c r="D4664" i="30"/>
  <c r="D4665" i="30"/>
  <c r="D4666" i="30"/>
  <c r="D4667" i="30"/>
  <c r="D4668" i="30"/>
  <c r="D4669" i="30"/>
  <c r="D4670" i="30"/>
  <c r="D4671" i="30"/>
  <c r="D4672" i="30"/>
  <c r="D4673" i="30"/>
  <c r="D4674" i="30"/>
  <c r="D4675" i="30"/>
  <c r="D4676" i="30"/>
  <c r="D4677" i="30"/>
  <c r="D4678" i="30"/>
  <c r="D4679" i="30"/>
  <c r="D4680" i="30"/>
  <c r="D4681" i="30"/>
  <c r="D4682" i="30"/>
  <c r="D4683" i="30"/>
  <c r="D4684" i="30"/>
  <c r="D4685" i="30"/>
  <c r="D4686" i="30"/>
  <c r="D4687" i="30"/>
  <c r="D4688" i="30"/>
  <c r="D4689" i="30"/>
  <c r="D4690" i="30"/>
  <c r="D4691" i="30"/>
  <c r="D4692" i="30"/>
  <c r="D4693" i="30"/>
  <c r="D4694" i="30"/>
  <c r="D4695" i="30"/>
  <c r="D4696" i="30"/>
  <c r="D4697" i="30"/>
  <c r="D4698" i="30"/>
  <c r="D4699" i="30"/>
  <c r="D4700" i="30"/>
  <c r="D4701" i="30"/>
  <c r="D4702" i="30"/>
  <c r="D4703" i="30"/>
  <c r="D4704" i="30"/>
  <c r="D4705" i="30"/>
  <c r="D4706" i="30"/>
  <c r="D4707" i="30"/>
  <c r="D4708" i="30"/>
  <c r="D4709" i="30"/>
  <c r="D4710" i="30"/>
  <c r="D4711" i="30"/>
  <c r="D4712" i="30"/>
  <c r="D4713" i="30"/>
  <c r="D4714" i="30"/>
  <c r="D4715" i="30"/>
  <c r="D4716" i="30"/>
  <c r="D4717" i="30"/>
  <c r="D4718" i="30"/>
  <c r="D4719" i="30"/>
  <c r="D4720" i="30"/>
  <c r="D4721" i="30"/>
  <c r="D4722" i="30"/>
  <c r="D4723" i="30"/>
  <c r="D4724" i="30"/>
  <c r="D4725" i="30"/>
  <c r="D4726" i="30"/>
  <c r="D4727" i="30"/>
  <c r="D4728" i="30"/>
  <c r="D4729" i="30"/>
  <c r="D4730" i="30"/>
  <c r="D4731" i="30"/>
  <c r="D4732" i="30"/>
  <c r="D4733" i="30"/>
  <c r="D4734" i="30"/>
  <c r="D4735" i="30"/>
  <c r="D4736" i="30"/>
  <c r="D4737" i="30"/>
  <c r="D4738" i="30"/>
  <c r="D4739" i="30"/>
  <c r="D4740" i="30"/>
  <c r="D4741" i="30"/>
  <c r="D4742" i="30"/>
  <c r="D4743" i="30"/>
  <c r="D4744" i="30"/>
  <c r="D4745" i="30"/>
  <c r="D4746" i="30"/>
  <c r="D4747" i="30"/>
  <c r="D4748" i="30"/>
  <c r="D4749" i="30"/>
  <c r="D4750" i="30"/>
  <c r="D4751" i="30"/>
  <c r="D4752" i="30"/>
  <c r="D4753" i="30"/>
  <c r="D4754" i="30"/>
  <c r="D4755" i="30"/>
  <c r="D4756" i="30"/>
  <c r="D4757" i="30"/>
  <c r="D4758" i="30"/>
  <c r="D4759" i="30"/>
  <c r="D4760" i="30"/>
  <c r="D4761" i="30"/>
  <c r="D4762" i="30"/>
  <c r="D4763" i="30"/>
  <c r="D4764" i="30"/>
  <c r="D4765" i="30"/>
  <c r="D4766" i="30"/>
  <c r="D4767" i="30"/>
  <c r="D4768" i="30"/>
  <c r="D4769" i="30"/>
  <c r="D4770" i="30"/>
  <c r="D4771" i="30"/>
  <c r="D4772" i="30"/>
  <c r="D4773" i="30"/>
  <c r="D4774" i="30"/>
  <c r="D4775" i="30"/>
  <c r="D4776" i="30"/>
  <c r="D4777" i="30"/>
  <c r="D4778" i="30"/>
  <c r="D4779" i="30"/>
  <c r="D4780" i="30"/>
  <c r="D4781" i="30"/>
  <c r="D4782" i="30"/>
  <c r="D4783" i="30"/>
  <c r="D4784" i="30"/>
  <c r="D4785" i="30"/>
  <c r="D4786" i="30"/>
  <c r="D4787" i="30"/>
  <c r="D4788" i="30"/>
  <c r="D4789" i="30"/>
  <c r="D4790" i="30"/>
  <c r="D4791" i="30"/>
  <c r="D4792" i="30"/>
  <c r="D4793" i="30"/>
  <c r="D4794" i="30"/>
  <c r="D4795" i="30"/>
  <c r="D4796" i="30"/>
  <c r="D4797" i="30"/>
  <c r="D4798" i="30"/>
  <c r="D4799" i="30"/>
  <c r="D4800" i="30"/>
  <c r="D4801" i="30"/>
  <c r="D4802" i="30"/>
  <c r="D4803" i="30"/>
  <c r="D4804" i="30"/>
  <c r="D4805" i="30"/>
  <c r="D4806" i="30"/>
  <c r="D4807" i="30"/>
  <c r="D4808" i="30"/>
  <c r="D4809" i="30"/>
  <c r="D4810" i="30"/>
  <c r="D4811" i="30"/>
  <c r="D4812" i="30"/>
  <c r="D4813" i="30"/>
  <c r="D4814" i="30"/>
  <c r="D4815" i="30"/>
  <c r="D4816" i="30"/>
  <c r="D4817" i="30"/>
  <c r="D4818" i="30"/>
  <c r="D4819" i="30"/>
  <c r="D4820" i="30"/>
  <c r="D4821" i="30"/>
  <c r="D4822" i="30"/>
  <c r="D4823" i="30"/>
  <c r="D4824" i="30"/>
  <c r="D4825" i="30"/>
  <c r="D4826" i="30"/>
  <c r="D4827" i="30"/>
  <c r="D4828" i="30"/>
  <c r="D4829" i="30"/>
  <c r="D4830" i="30"/>
  <c r="D4831" i="30"/>
  <c r="D4832" i="30"/>
  <c r="D4833" i="30"/>
  <c r="D4834" i="30"/>
  <c r="D4835" i="30"/>
  <c r="D4836" i="30"/>
  <c r="D4837" i="30"/>
  <c r="D4838" i="30"/>
  <c r="D4839" i="30"/>
  <c r="D4840" i="30"/>
  <c r="D4841" i="30"/>
  <c r="D4842" i="30"/>
  <c r="D4843" i="30"/>
  <c r="D4844" i="30"/>
  <c r="D4845" i="30"/>
  <c r="D4846" i="30"/>
  <c r="D4847" i="30"/>
  <c r="D4848" i="30"/>
  <c r="D4849" i="30"/>
  <c r="D4850" i="30"/>
  <c r="D4851" i="30"/>
  <c r="D4852" i="30"/>
  <c r="D4853" i="30"/>
  <c r="D4854" i="30"/>
  <c r="D4855" i="30"/>
  <c r="D4856" i="30"/>
  <c r="D4857" i="30"/>
  <c r="D4858" i="30"/>
  <c r="D4859" i="30"/>
  <c r="D4860" i="30"/>
  <c r="D4861" i="30"/>
  <c r="D4862" i="30"/>
  <c r="D4863" i="30"/>
  <c r="D4864" i="30"/>
  <c r="D4865" i="30"/>
  <c r="D4866" i="30"/>
  <c r="D4867" i="30"/>
  <c r="D4868" i="30"/>
  <c r="D4869" i="30"/>
  <c r="D4870" i="30"/>
  <c r="D4871" i="30"/>
  <c r="D4872" i="30"/>
  <c r="D4873" i="30"/>
  <c r="D4874" i="30"/>
  <c r="D4875" i="30"/>
  <c r="D4876" i="30"/>
  <c r="D4877" i="30"/>
  <c r="D4878" i="30"/>
  <c r="D4879" i="30"/>
  <c r="D4880" i="30"/>
  <c r="D4881" i="30"/>
  <c r="D4882" i="30"/>
  <c r="D4883" i="30"/>
  <c r="D4884" i="30"/>
  <c r="D4885" i="30"/>
  <c r="D4886" i="30"/>
  <c r="D4887" i="30"/>
  <c r="D4888" i="30"/>
  <c r="D4889" i="30"/>
  <c r="D4890" i="30"/>
  <c r="D4891" i="30"/>
  <c r="D4892" i="30"/>
  <c r="D4893" i="30"/>
  <c r="D4894" i="30"/>
  <c r="D4895" i="30"/>
  <c r="D4896" i="30"/>
  <c r="D4897" i="30"/>
  <c r="D4898" i="30"/>
  <c r="D4899" i="30"/>
  <c r="D4900" i="30"/>
  <c r="D4901" i="30"/>
  <c r="D4902" i="30"/>
  <c r="D4903" i="30"/>
  <c r="D4904" i="30"/>
  <c r="D4905" i="30"/>
  <c r="D4906" i="30"/>
  <c r="D4907" i="30"/>
  <c r="D4908" i="30"/>
  <c r="D4909" i="30"/>
  <c r="D4910" i="30"/>
  <c r="D4911" i="30"/>
  <c r="D4912" i="30"/>
  <c r="D4913" i="30"/>
  <c r="D4914" i="30"/>
  <c r="D4915" i="30"/>
  <c r="D4916" i="30"/>
  <c r="D4917" i="30"/>
  <c r="D4918" i="30"/>
  <c r="D4919" i="30"/>
  <c r="D4920" i="30"/>
  <c r="D4921" i="30"/>
  <c r="D4922" i="30"/>
  <c r="D4923" i="30"/>
  <c r="D4924" i="30"/>
  <c r="D4925" i="30"/>
  <c r="D4926" i="30"/>
  <c r="D4927" i="30"/>
  <c r="D4928" i="30"/>
  <c r="D4929" i="30"/>
  <c r="D4930" i="30"/>
  <c r="D4931" i="30"/>
  <c r="D4932" i="30"/>
  <c r="D4933" i="30"/>
  <c r="D4934" i="30"/>
  <c r="D4935" i="30"/>
  <c r="D4936" i="30"/>
  <c r="D4937" i="30"/>
  <c r="D4938" i="30"/>
  <c r="D4939" i="30"/>
  <c r="D4940" i="30"/>
  <c r="D4941" i="30"/>
  <c r="D4942" i="30"/>
  <c r="D4943" i="30"/>
  <c r="D4944" i="30"/>
  <c r="D4945" i="30"/>
  <c r="D4946" i="30"/>
  <c r="D4947" i="30"/>
  <c r="D4948" i="30"/>
  <c r="D4949" i="30"/>
  <c r="D4950" i="30"/>
  <c r="D4951" i="30"/>
  <c r="D4952" i="30"/>
  <c r="D4953" i="30"/>
  <c r="D4954" i="30"/>
  <c r="D4955" i="30"/>
  <c r="D4956" i="30"/>
  <c r="D4957" i="30"/>
  <c r="D4958" i="30"/>
  <c r="D4959" i="30"/>
  <c r="D4960" i="30"/>
  <c r="D4961" i="30"/>
  <c r="D4962" i="30"/>
  <c r="D4963" i="30"/>
  <c r="D4964" i="30"/>
  <c r="D4965" i="30"/>
  <c r="D4966" i="30"/>
  <c r="D4967" i="30"/>
  <c r="D4968" i="30"/>
  <c r="D4969" i="30"/>
  <c r="D4970" i="30"/>
  <c r="D4971" i="30"/>
  <c r="D4972" i="30"/>
  <c r="D4973" i="30"/>
  <c r="D4974" i="30"/>
  <c r="D4975" i="30"/>
  <c r="D4976" i="30"/>
  <c r="D4977" i="30"/>
  <c r="D4978" i="30"/>
  <c r="D4979" i="30"/>
  <c r="D4980" i="30"/>
  <c r="D4981" i="30"/>
  <c r="D4982" i="30"/>
  <c r="D4983" i="30"/>
  <c r="D4984" i="30"/>
  <c r="D4985" i="30"/>
  <c r="D4986" i="30"/>
  <c r="D4987" i="30"/>
  <c r="D4988" i="30"/>
  <c r="D4989" i="30"/>
  <c r="D4990" i="30"/>
  <c r="D4991" i="30"/>
  <c r="D4992" i="30"/>
  <c r="D4993" i="30"/>
  <c r="D4994" i="30"/>
  <c r="D4995" i="30"/>
  <c r="D4996" i="30"/>
  <c r="D4997" i="30"/>
  <c r="D4998" i="30"/>
  <c r="D4999" i="30"/>
  <c r="D5000" i="30"/>
  <c r="D5001" i="30"/>
  <c r="D5002" i="30"/>
  <c r="D5003" i="30"/>
  <c r="D5004" i="30"/>
  <c r="D5005" i="30"/>
  <c r="D5006" i="30"/>
  <c r="D5007" i="30"/>
  <c r="D5008" i="30"/>
  <c r="D5009" i="30"/>
  <c r="D5010" i="30"/>
  <c r="D5011" i="30"/>
  <c r="D5012" i="30"/>
  <c r="D5013" i="30"/>
  <c r="D5014" i="30"/>
  <c r="D5015" i="30"/>
  <c r="D5016" i="30"/>
  <c r="D5017" i="30"/>
  <c r="D5018" i="30"/>
  <c r="D5020" i="30"/>
  <c r="D5021" i="30"/>
  <c r="D5022" i="30"/>
  <c r="D5023" i="30"/>
  <c r="D5024" i="30"/>
  <c r="D5025" i="30"/>
  <c r="D5026" i="30"/>
  <c r="D5027" i="30"/>
  <c r="D5028" i="30"/>
  <c r="D5029" i="30"/>
  <c r="D5030" i="30"/>
  <c r="D5031" i="30"/>
  <c r="D5032" i="30"/>
  <c r="D5033" i="30"/>
  <c r="D5034" i="30"/>
  <c r="D5035" i="30"/>
  <c r="D5036" i="30"/>
  <c r="D5037" i="30"/>
  <c r="D5038" i="30"/>
  <c r="D5039" i="30"/>
  <c r="D5040" i="30"/>
  <c r="D5041" i="30"/>
  <c r="D5042" i="30"/>
  <c r="D5043" i="30"/>
  <c r="D5044" i="30"/>
  <c r="D5045" i="30"/>
  <c r="D5046" i="30"/>
  <c r="D5047" i="30"/>
  <c r="D5048" i="30"/>
  <c r="D5049" i="30"/>
  <c r="D5050" i="30"/>
  <c r="D5051" i="30"/>
  <c r="D5052" i="30"/>
  <c r="D5053" i="30"/>
  <c r="D5054" i="30"/>
  <c r="D5055" i="30"/>
  <c r="D5056" i="30"/>
  <c r="D5057" i="30"/>
  <c r="D5058" i="30"/>
  <c r="D5059" i="30"/>
  <c r="D5060" i="30"/>
  <c r="D5061" i="30"/>
  <c r="D5062" i="30"/>
  <c r="D5063" i="30"/>
  <c r="D5064" i="30"/>
  <c r="D5065" i="30"/>
  <c r="D5066" i="30"/>
  <c r="D5067" i="30"/>
  <c r="D5068" i="30"/>
  <c r="D5069" i="30"/>
  <c r="D5070" i="30"/>
  <c r="D5071" i="30"/>
  <c r="D5072" i="30"/>
  <c r="D5073" i="30"/>
  <c r="D5074" i="30"/>
  <c r="D5075" i="30"/>
  <c r="D5076" i="30"/>
  <c r="D5077" i="30"/>
  <c r="D5078" i="30"/>
  <c r="D5079" i="30"/>
  <c r="D5080" i="30"/>
  <c r="D5081" i="30"/>
  <c r="D5082" i="30"/>
  <c r="D5083" i="30"/>
  <c r="D5084" i="30"/>
  <c r="D5085" i="30"/>
  <c r="D5086" i="30"/>
  <c r="D5087" i="30"/>
  <c r="D5088" i="30"/>
  <c r="D5089" i="30"/>
  <c r="D5090" i="30"/>
  <c r="D5091" i="30"/>
  <c r="D5092" i="30"/>
  <c r="D5093" i="30"/>
  <c r="D5094" i="30"/>
  <c r="D5095" i="30"/>
  <c r="D5096" i="30"/>
  <c r="D5097" i="30"/>
  <c r="D5098" i="30"/>
  <c r="D5099" i="30"/>
  <c r="D5100" i="30"/>
  <c r="D5101" i="30"/>
  <c r="D5102" i="30"/>
  <c r="D5103" i="30"/>
  <c r="D5104" i="30"/>
  <c r="D5105" i="30"/>
  <c r="D5106" i="30"/>
  <c r="D5107" i="30"/>
  <c r="D5108" i="30"/>
  <c r="D5109" i="30"/>
  <c r="D5110" i="30"/>
  <c r="D5111" i="30"/>
  <c r="D5112" i="30"/>
  <c r="D5113" i="30"/>
  <c r="D5114" i="30"/>
  <c r="D5115" i="30"/>
  <c r="D5116" i="30"/>
  <c r="D5117" i="30"/>
  <c r="D5118" i="30"/>
  <c r="D5119" i="30"/>
  <c r="D5120" i="30"/>
  <c r="D5121" i="30"/>
  <c r="D5122" i="30"/>
  <c r="D5123" i="30"/>
  <c r="D5124" i="30"/>
  <c r="D5125" i="30"/>
  <c r="D5126" i="30"/>
  <c r="D5127" i="30"/>
  <c r="D5128" i="30"/>
  <c r="D5129" i="30"/>
  <c r="D5130" i="30"/>
  <c r="D5131" i="30"/>
  <c r="D5132" i="30"/>
  <c r="D5133" i="30"/>
  <c r="D5134" i="30"/>
  <c r="D5135" i="30"/>
  <c r="D5136" i="30"/>
  <c r="D5137" i="30"/>
  <c r="D5138" i="30"/>
  <c r="D5139" i="30"/>
  <c r="D5140" i="30"/>
  <c r="D5141" i="30"/>
  <c r="D5142" i="30"/>
  <c r="D5143" i="30"/>
  <c r="D5144" i="30"/>
  <c r="D5145" i="30"/>
  <c r="D5146" i="30"/>
  <c r="D5147" i="30"/>
  <c r="D5148" i="30"/>
  <c r="D5149" i="30"/>
  <c r="D5157" i="30"/>
  <c r="D5158" i="30"/>
  <c r="D5159" i="30"/>
  <c r="D5160" i="30"/>
  <c r="D5161" i="30"/>
  <c r="D5162" i="30"/>
  <c r="D5163" i="30"/>
  <c r="D5164" i="30"/>
  <c r="D5165" i="30"/>
  <c r="D5166" i="30"/>
  <c r="D5167" i="30"/>
  <c r="D5168" i="30"/>
  <c r="D5169" i="30"/>
  <c r="D5170" i="30"/>
  <c r="D5171" i="30"/>
  <c r="D5172" i="30"/>
  <c r="D5173" i="30"/>
  <c r="D5174" i="30"/>
  <c r="D5175" i="30"/>
  <c r="D5176" i="30"/>
  <c r="D5177" i="30"/>
  <c r="D5178" i="30"/>
  <c r="D5179" i="30"/>
  <c r="D5180" i="30"/>
  <c r="D5181" i="30"/>
  <c r="D5182" i="30"/>
  <c r="D5183" i="30"/>
  <c r="D5184" i="30"/>
  <c r="D5185" i="30"/>
  <c r="D5186" i="30"/>
  <c r="D5187" i="30"/>
  <c r="D5188" i="30"/>
  <c r="D5189" i="30"/>
  <c r="D5190" i="30"/>
  <c r="D5191" i="30"/>
  <c r="D5192" i="30"/>
  <c r="D5193" i="30"/>
  <c r="D5194" i="30"/>
  <c r="D5195" i="30"/>
  <c r="D5196" i="30"/>
  <c r="D5197" i="30"/>
  <c r="D5198" i="30"/>
  <c r="D5199" i="30"/>
  <c r="D5200" i="30"/>
  <c r="D5201" i="30"/>
  <c r="D5202" i="30"/>
  <c r="D5203" i="30"/>
  <c r="D5204" i="30"/>
  <c r="D5205" i="30"/>
  <c r="D5206" i="30"/>
  <c r="D5207" i="30"/>
  <c r="D5208" i="30"/>
  <c r="D5209" i="30"/>
  <c r="D5210" i="30"/>
  <c r="D5211" i="30"/>
  <c r="D5212" i="30"/>
  <c r="D5213" i="30"/>
  <c r="D5214" i="30"/>
  <c r="D5215" i="30"/>
  <c r="D5216" i="30"/>
  <c r="D5217" i="30"/>
  <c r="D5218" i="30"/>
  <c r="D5219" i="30"/>
  <c r="D5220" i="30"/>
  <c r="D5221" i="30"/>
  <c r="D5222" i="30"/>
  <c r="D5223" i="30"/>
  <c r="D5224" i="30"/>
  <c r="D5225" i="30"/>
  <c r="D5226" i="30"/>
  <c r="D5227" i="30"/>
  <c r="D5228" i="30"/>
  <c r="D5229" i="30"/>
  <c r="D5230" i="30"/>
  <c r="D5231" i="30"/>
  <c r="D5232" i="30"/>
  <c r="D5233" i="30"/>
  <c r="D5234" i="30"/>
  <c r="D5235" i="30"/>
  <c r="D5236" i="30"/>
  <c r="D5237" i="30"/>
  <c r="D5238" i="30"/>
  <c r="D5239" i="30"/>
  <c r="D5240" i="30"/>
  <c r="D5241" i="30"/>
  <c r="D5242" i="30"/>
  <c r="D5243" i="30"/>
  <c r="D5244" i="30"/>
  <c r="D5245" i="30"/>
  <c r="D5246" i="30"/>
  <c r="D5247" i="30"/>
  <c r="D5248" i="30"/>
  <c r="D5249" i="30"/>
  <c r="D5250" i="30"/>
  <c r="D5251" i="30"/>
  <c r="D5252" i="30"/>
  <c r="D5253" i="30"/>
  <c r="D5254" i="30"/>
  <c r="D5255" i="30"/>
  <c r="D5256" i="30"/>
  <c r="D5257" i="30"/>
  <c r="D5258" i="30"/>
  <c r="D5259" i="30"/>
  <c r="D5260" i="30"/>
  <c r="D5261" i="30"/>
  <c r="D5262" i="30"/>
  <c r="D5263" i="30"/>
  <c r="D5264" i="30"/>
  <c r="D5265" i="30"/>
  <c r="D5266" i="30"/>
  <c r="D5267" i="30"/>
  <c r="D5268" i="30"/>
  <c r="D5269" i="30"/>
  <c r="D5270" i="30"/>
  <c r="D5271" i="30"/>
  <c r="D5272" i="30"/>
  <c r="D5273" i="30"/>
  <c r="D5274" i="30"/>
  <c r="D5275" i="30"/>
  <c r="D5276" i="30"/>
  <c r="D5277" i="30"/>
  <c r="D5278" i="30"/>
  <c r="D5279" i="30"/>
  <c r="D5280" i="30"/>
  <c r="D5281" i="30"/>
  <c r="D5282" i="30"/>
  <c r="D5283" i="30"/>
  <c r="D5284" i="30"/>
  <c r="D5285" i="30"/>
  <c r="D5286" i="30"/>
  <c r="D5287" i="30"/>
  <c r="D5288" i="30"/>
  <c r="D5289" i="30"/>
  <c r="D5290" i="30"/>
  <c r="D5291" i="30"/>
  <c r="D5292" i="30"/>
  <c r="D5293" i="30"/>
  <c r="D5294" i="30"/>
  <c r="D5295" i="30"/>
  <c r="D5296" i="30"/>
  <c r="D5297" i="30"/>
  <c r="D5298" i="30"/>
  <c r="D5299" i="30"/>
  <c r="D5300" i="30"/>
  <c r="D5301" i="30"/>
  <c r="D5302" i="30"/>
  <c r="D5303" i="30"/>
  <c r="D5304" i="30"/>
  <c r="D5305" i="30"/>
  <c r="D5306" i="30"/>
  <c r="D5307" i="30"/>
  <c r="D5308" i="30"/>
  <c r="D5309" i="30"/>
  <c r="D5310" i="30"/>
  <c r="D5311" i="30"/>
  <c r="D5312" i="30"/>
  <c r="D5313" i="30"/>
  <c r="D5314" i="30"/>
  <c r="D5315" i="30"/>
  <c r="D5316" i="30"/>
  <c r="D5317" i="30"/>
  <c r="D5318" i="30"/>
  <c r="D5319" i="30"/>
  <c r="D5320" i="30"/>
  <c r="D5321" i="30"/>
  <c r="D5322" i="30"/>
  <c r="D5323" i="30"/>
  <c r="D5324" i="30"/>
  <c r="D5325" i="30"/>
  <c r="D5326" i="30"/>
  <c r="D5327" i="30"/>
  <c r="D5328" i="30"/>
  <c r="D5329" i="30"/>
  <c r="D5330" i="30"/>
  <c r="D5331" i="30"/>
  <c r="D5332" i="30"/>
  <c r="D5333" i="30"/>
  <c r="D5334" i="30"/>
  <c r="D5335" i="30"/>
  <c r="D5336" i="30"/>
  <c r="D5337" i="30"/>
  <c r="D5338" i="30"/>
  <c r="D5339" i="30"/>
  <c r="D5340" i="30"/>
  <c r="D5341" i="30"/>
  <c r="D5342" i="30"/>
  <c r="D5343" i="30"/>
  <c r="D5344" i="30"/>
  <c r="D5345" i="30"/>
  <c r="D5346" i="30"/>
  <c r="D5347" i="30"/>
  <c r="D5348" i="30"/>
  <c r="D5349" i="30"/>
  <c r="D5350" i="30"/>
  <c r="D5351" i="30"/>
  <c r="D5352" i="30"/>
  <c r="D5353" i="30"/>
  <c r="D5354" i="30"/>
  <c r="D5355" i="30"/>
  <c r="D5356" i="30"/>
  <c r="D5357" i="30"/>
  <c r="D5358" i="30"/>
  <c r="D5359" i="30"/>
  <c r="D5360" i="30"/>
  <c r="D5361" i="30"/>
  <c r="D5362" i="30"/>
  <c r="D5363" i="30"/>
  <c r="D5364" i="30"/>
  <c r="D5365" i="30"/>
  <c r="D5366" i="30"/>
  <c r="D5367" i="30"/>
  <c r="D5368" i="30"/>
  <c r="D5369" i="30"/>
  <c r="D5370" i="30"/>
  <c r="D5371" i="30"/>
  <c r="D5372" i="30"/>
  <c r="D5373" i="30"/>
  <c r="D5374" i="30"/>
  <c r="D5375" i="30"/>
  <c r="D5376" i="30"/>
  <c r="D5377" i="30"/>
  <c r="D5378" i="30"/>
  <c r="D5379" i="30"/>
  <c r="D5380" i="30"/>
  <c r="D5381" i="30"/>
  <c r="D5382" i="30"/>
  <c r="D5383" i="30"/>
  <c r="D5384" i="30"/>
  <c r="D5385" i="30"/>
  <c r="D5386" i="30"/>
  <c r="D5387" i="30"/>
  <c r="D5388" i="30"/>
  <c r="D5389" i="30"/>
  <c r="D5390" i="30"/>
  <c r="D5391" i="30"/>
  <c r="D5392" i="30"/>
  <c r="D5393" i="30"/>
  <c r="D5394" i="30"/>
  <c r="D5395" i="30"/>
  <c r="D5396" i="30"/>
  <c r="D5397" i="30"/>
  <c r="D5398" i="30"/>
  <c r="D5399" i="30"/>
  <c r="D5400" i="30"/>
  <c r="D5401" i="30"/>
  <c r="D5402" i="30"/>
  <c r="D5403" i="30"/>
  <c r="D5404" i="30"/>
  <c r="D5405" i="30"/>
  <c r="D5406" i="30"/>
  <c r="D5407" i="30"/>
  <c r="D5408" i="30"/>
  <c r="D5409" i="30"/>
  <c r="D5410" i="30"/>
  <c r="D5411" i="30"/>
  <c r="D5412" i="30"/>
  <c r="D5413" i="30"/>
  <c r="D5414" i="30"/>
  <c r="D5415" i="30"/>
  <c r="D5416" i="30"/>
  <c r="D5417" i="30"/>
  <c r="D5418" i="30"/>
  <c r="D5419" i="30"/>
  <c r="D5420" i="30"/>
  <c r="D5421" i="30"/>
  <c r="D5422" i="30"/>
  <c r="D5423" i="30"/>
  <c r="D5424" i="30"/>
  <c r="D5425" i="30"/>
  <c r="D5426" i="30"/>
  <c r="D5427" i="30"/>
  <c r="D5428" i="30"/>
  <c r="D5429" i="30"/>
  <c r="D5430" i="30"/>
  <c r="D5431" i="30"/>
  <c r="D5432" i="30"/>
  <c r="D5433" i="30"/>
  <c r="D5434" i="30"/>
  <c r="D5435" i="30"/>
  <c r="D5436" i="30"/>
  <c r="D5437" i="30"/>
  <c r="D5438" i="30"/>
  <c r="D5439" i="30"/>
  <c r="D5440" i="30"/>
  <c r="D5441" i="30"/>
  <c r="D5442" i="30"/>
  <c r="D5443" i="30"/>
  <c r="D5444" i="30"/>
  <c r="D5445" i="30"/>
  <c r="D5446" i="30"/>
  <c r="D5447" i="30"/>
  <c r="D5448" i="30"/>
  <c r="D5449" i="30"/>
  <c r="D5450" i="30"/>
  <c r="D5451" i="30"/>
  <c r="D5452" i="30"/>
  <c r="D5453" i="30"/>
  <c r="D5454" i="30"/>
  <c r="D5455" i="30"/>
  <c r="D5456" i="30"/>
  <c r="D5457" i="30"/>
  <c r="D5458" i="30"/>
  <c r="D5459" i="30"/>
  <c r="D5460" i="30"/>
  <c r="D5461" i="30"/>
  <c r="D5462" i="30"/>
  <c r="D5463" i="30"/>
  <c r="D5464" i="30"/>
  <c r="D5465" i="30"/>
  <c r="D5466" i="30"/>
  <c r="D5467" i="30"/>
  <c r="D5468" i="30"/>
  <c r="D5469" i="30"/>
  <c r="D5470" i="30"/>
  <c r="D5471" i="30"/>
  <c r="D5472" i="30"/>
  <c r="D5473" i="30"/>
  <c r="D5474" i="30"/>
  <c r="D5475" i="30"/>
  <c r="D5476" i="30"/>
  <c r="D5477" i="30"/>
  <c r="D5478" i="30"/>
  <c r="D5479" i="30"/>
  <c r="D5480" i="30"/>
  <c r="D5481" i="30"/>
  <c r="D5482" i="30"/>
  <c r="D5483" i="30"/>
  <c r="D5484" i="30"/>
  <c r="D5485" i="30"/>
  <c r="D5486" i="30"/>
  <c r="D5487" i="30"/>
  <c r="D5488" i="30"/>
  <c r="D5489" i="30"/>
  <c r="D5490" i="30"/>
  <c r="D5491" i="30"/>
  <c r="D5492" i="30"/>
  <c r="D5493" i="30"/>
  <c r="D5494" i="30"/>
  <c r="D5495" i="30"/>
  <c r="D5496" i="30"/>
  <c r="D5497" i="30"/>
  <c r="D5498" i="30"/>
  <c r="D5499" i="30"/>
  <c r="D5500" i="30"/>
  <c r="D5501" i="30"/>
  <c r="D5502" i="30"/>
  <c r="D5503" i="30"/>
  <c r="D5504" i="30"/>
  <c r="D5505" i="30"/>
  <c r="D5506" i="30"/>
  <c r="D5507" i="30"/>
  <c r="D5508" i="30"/>
  <c r="D5509" i="30"/>
  <c r="D5510" i="30"/>
  <c r="D5511" i="30"/>
  <c r="D5512" i="30"/>
  <c r="D5513" i="30"/>
  <c r="D5514" i="30"/>
  <c r="D5515" i="30"/>
  <c r="D5516" i="30"/>
  <c r="D5517" i="30"/>
  <c r="D5518" i="30"/>
  <c r="D5519" i="30"/>
  <c r="D5520" i="30"/>
  <c r="D5521" i="30"/>
  <c r="D5522" i="30"/>
  <c r="D5523" i="30"/>
  <c r="D5524" i="30"/>
  <c r="D5525" i="30"/>
  <c r="D5526" i="30"/>
  <c r="D5527" i="30"/>
  <c r="D5528" i="30"/>
  <c r="D5529" i="30"/>
  <c r="D5530" i="30"/>
  <c r="D5531" i="30"/>
  <c r="D5532" i="30"/>
  <c r="D5533" i="30"/>
  <c r="D5534" i="30"/>
  <c r="D5535" i="30"/>
  <c r="D5536" i="30"/>
  <c r="D5537" i="30"/>
  <c r="D5538" i="30"/>
  <c r="D5539" i="30"/>
  <c r="D5540" i="30"/>
  <c r="D5541" i="30"/>
  <c r="D5542" i="30"/>
  <c r="D5543" i="30"/>
  <c r="D5544" i="30"/>
  <c r="D5545" i="30"/>
  <c r="D5546" i="30"/>
  <c r="D5547" i="30"/>
  <c r="D5548" i="30"/>
  <c r="D5549" i="30"/>
  <c r="D5550" i="30"/>
  <c r="D5551" i="30"/>
  <c r="D5552" i="30"/>
  <c r="D5553" i="30"/>
  <c r="D5554" i="30"/>
  <c r="D5555" i="30"/>
  <c r="D5556" i="30"/>
  <c r="D5557" i="30"/>
  <c r="D5558" i="30"/>
  <c r="D5559" i="30"/>
  <c r="D5560" i="30"/>
  <c r="D5561" i="30"/>
  <c r="D5562" i="30"/>
  <c r="D5563" i="30"/>
  <c r="D5564" i="30"/>
  <c r="D5565" i="30"/>
  <c r="D5566" i="30"/>
  <c r="D5567" i="30"/>
  <c r="D5568" i="30"/>
  <c r="D5569" i="30"/>
  <c r="D5570" i="30"/>
  <c r="D5571" i="30"/>
  <c r="D5572" i="30"/>
  <c r="D5573" i="30"/>
  <c r="D5574" i="30"/>
  <c r="D5575" i="30"/>
  <c r="D5576" i="30"/>
  <c r="D5577" i="30"/>
  <c r="D5578" i="30"/>
  <c r="D5579" i="30"/>
  <c r="D5580" i="30"/>
  <c r="D5581" i="30"/>
  <c r="D5582" i="30"/>
  <c r="D5583" i="30"/>
  <c r="D5584" i="30"/>
  <c r="D5585" i="30"/>
  <c r="D5586" i="30"/>
  <c r="D5587" i="30"/>
  <c r="D5588" i="30"/>
  <c r="D5589" i="30"/>
  <c r="D5590" i="30"/>
  <c r="D5591" i="30"/>
  <c r="D5592" i="30"/>
  <c r="D5593" i="30"/>
  <c r="D5594" i="30"/>
  <c r="D5595" i="30"/>
  <c r="D5596" i="30"/>
  <c r="D5597" i="30"/>
  <c r="D5598" i="30"/>
  <c r="D5599" i="30"/>
  <c r="D5600" i="30"/>
  <c r="D5601" i="30"/>
  <c r="D5602" i="30"/>
  <c r="D5603" i="30"/>
  <c r="D5604" i="30"/>
  <c r="D5605" i="30"/>
  <c r="D5606" i="30"/>
  <c r="D5607" i="30"/>
  <c r="D5608" i="30"/>
  <c r="D5609" i="30"/>
  <c r="D5610" i="30"/>
  <c r="D5611" i="30"/>
  <c r="D5612" i="30"/>
  <c r="D5613" i="30"/>
  <c r="D5614" i="30"/>
  <c r="D5615" i="30"/>
  <c r="D5616" i="30"/>
  <c r="D5617" i="30"/>
  <c r="D5618" i="30"/>
  <c r="D5619" i="30"/>
  <c r="D5620" i="30"/>
  <c r="D5621" i="30"/>
  <c r="D5622" i="30"/>
  <c r="D5623" i="30"/>
  <c r="D5624" i="30"/>
  <c r="D5625" i="30"/>
  <c r="D5626" i="30"/>
  <c r="D5627" i="30"/>
  <c r="D5628" i="30"/>
  <c r="D5629" i="30"/>
  <c r="D5630" i="30"/>
  <c r="D5631" i="30"/>
  <c r="D5632" i="30"/>
  <c r="D5633" i="30"/>
  <c r="D5634" i="30"/>
  <c r="D5635" i="30"/>
  <c r="D5636" i="30"/>
  <c r="D5637" i="30"/>
  <c r="D5638" i="30"/>
  <c r="D5639" i="30"/>
  <c r="D5640" i="30"/>
  <c r="D5641" i="30"/>
  <c r="D5642" i="30"/>
  <c r="D5643" i="30"/>
  <c r="D5644" i="30"/>
  <c r="D5645" i="30"/>
  <c r="D5646" i="30"/>
  <c r="D5647" i="30"/>
  <c r="D5648" i="30"/>
  <c r="D5649" i="30"/>
  <c r="D5650" i="30"/>
  <c r="D5651" i="30"/>
  <c r="D5652" i="30"/>
  <c r="D5653" i="30"/>
  <c r="D5654" i="30"/>
  <c r="D5655" i="30"/>
  <c r="D5656" i="30"/>
  <c r="D5657" i="30"/>
  <c r="D5658" i="30"/>
  <c r="D5659" i="30"/>
  <c r="D5660" i="30"/>
  <c r="D5661" i="30"/>
  <c r="D5662" i="30"/>
  <c r="D5663" i="30"/>
  <c r="D5664" i="30"/>
  <c r="D5665" i="30"/>
  <c r="D5666" i="30"/>
  <c r="D5667" i="30"/>
  <c r="D5668" i="30"/>
  <c r="D5669" i="30"/>
  <c r="D5670" i="30"/>
  <c r="D5671" i="30"/>
  <c r="D5672" i="30"/>
  <c r="D5673" i="30"/>
  <c r="D5674" i="30"/>
  <c r="D5675" i="30"/>
  <c r="D5676" i="30"/>
  <c r="D5677" i="30"/>
  <c r="D5678" i="30"/>
  <c r="D5679" i="30"/>
  <c r="D5680" i="30"/>
  <c r="D5681" i="30"/>
  <c r="D5682" i="30"/>
  <c r="D5683" i="30"/>
  <c r="D5684" i="30"/>
  <c r="D5685" i="30"/>
  <c r="D5686" i="30"/>
  <c r="D5687" i="30"/>
  <c r="D5688" i="30"/>
  <c r="D5689" i="30"/>
  <c r="D5690" i="30"/>
  <c r="D5691" i="30"/>
  <c r="D5692" i="30"/>
  <c r="D5693" i="30"/>
  <c r="D5694" i="30"/>
  <c r="D5695" i="30"/>
  <c r="D5696" i="30"/>
  <c r="D5697" i="30"/>
  <c r="D5698" i="30"/>
  <c r="D5699" i="30"/>
  <c r="D5700" i="30"/>
  <c r="D5701" i="30"/>
  <c r="D5702" i="30"/>
  <c r="D5703" i="30"/>
  <c r="D5704" i="30"/>
  <c r="D5705" i="30"/>
  <c r="D5706" i="30"/>
  <c r="D5707" i="30"/>
  <c r="D5708" i="30"/>
  <c r="D5709" i="30"/>
  <c r="D5710" i="30"/>
  <c r="D5711" i="30"/>
  <c r="D5712" i="30"/>
  <c r="D5713" i="30"/>
  <c r="D5714" i="30"/>
  <c r="D5715" i="30"/>
  <c r="D5716" i="30"/>
  <c r="D5717" i="30"/>
  <c r="D5718" i="30"/>
  <c r="D5719" i="30"/>
  <c r="D5720" i="30"/>
  <c r="D5721" i="30"/>
  <c r="D5722" i="30"/>
  <c r="D5723" i="30"/>
  <c r="D5724" i="30"/>
  <c r="D5725" i="30"/>
  <c r="D5726" i="30"/>
  <c r="D5727" i="30"/>
  <c r="D5728" i="30"/>
  <c r="D5729" i="30"/>
  <c r="D5730" i="30"/>
  <c r="D5731" i="30"/>
  <c r="D5732" i="30"/>
  <c r="D5733" i="30"/>
  <c r="D5734" i="30"/>
  <c r="D5735" i="30"/>
  <c r="D5736" i="30"/>
  <c r="D5737" i="30"/>
  <c r="D5738" i="30"/>
  <c r="D5739" i="30"/>
  <c r="D5740" i="30"/>
  <c r="D5741" i="30"/>
  <c r="D5742" i="30"/>
  <c r="D5743" i="30"/>
  <c r="D5744" i="30"/>
  <c r="D5745" i="30"/>
  <c r="D5746" i="30"/>
  <c r="D5747" i="30"/>
  <c r="D5748" i="30"/>
  <c r="D5749" i="30"/>
  <c r="D5750" i="30"/>
  <c r="D5751" i="30"/>
  <c r="D5752" i="30"/>
  <c r="D5753" i="30"/>
  <c r="D5754" i="30"/>
  <c r="D5755" i="30"/>
  <c r="D5756" i="30"/>
  <c r="D5757" i="30"/>
  <c r="D5758" i="30"/>
  <c r="D5759" i="30"/>
  <c r="D5760" i="30"/>
  <c r="D5761" i="30"/>
  <c r="D5762" i="30"/>
  <c r="D5763" i="30"/>
  <c r="D5764" i="30"/>
  <c r="D5765" i="30"/>
  <c r="D5766" i="30"/>
  <c r="D5767" i="30"/>
  <c r="D5768" i="30"/>
  <c r="D5769" i="30"/>
  <c r="D5770" i="30"/>
  <c r="D5771" i="30"/>
  <c r="D5772" i="30"/>
  <c r="D5773" i="30"/>
  <c r="D5774" i="30"/>
  <c r="D5775" i="30"/>
  <c r="D5776" i="30"/>
  <c r="D5777" i="30"/>
  <c r="D5778" i="30"/>
  <c r="D5779" i="30"/>
  <c r="D5780" i="30"/>
  <c r="D5781" i="30"/>
  <c r="D5782" i="30"/>
  <c r="D5783" i="30"/>
  <c r="D5784" i="30"/>
  <c r="D5785" i="30"/>
  <c r="D5786" i="30"/>
  <c r="D5787" i="30"/>
  <c r="D5788" i="30"/>
  <c r="D5789" i="30"/>
  <c r="D5790" i="30"/>
  <c r="D5791" i="30"/>
  <c r="D5792" i="30"/>
  <c r="D5793" i="30"/>
  <c r="D5794" i="30"/>
  <c r="D5795" i="30"/>
  <c r="D5796" i="30"/>
  <c r="D5797" i="30"/>
  <c r="D5798" i="30"/>
  <c r="D5799" i="30"/>
  <c r="D5800" i="30"/>
  <c r="D5801" i="30"/>
  <c r="D5802" i="30"/>
  <c r="D5803" i="30"/>
  <c r="D5804" i="30"/>
  <c r="D5805" i="30"/>
  <c r="D5806" i="30"/>
  <c r="D5807" i="30"/>
  <c r="D5808" i="30"/>
  <c r="D5809" i="30"/>
  <c r="D5810" i="30"/>
  <c r="D5811" i="30"/>
  <c r="D5812" i="30"/>
  <c r="D5813" i="30"/>
  <c r="D5814" i="30"/>
  <c r="D5815" i="30"/>
  <c r="D5816" i="30"/>
  <c r="D5817" i="30"/>
  <c r="D5818" i="30"/>
  <c r="D5819" i="30"/>
  <c r="D5820" i="30"/>
  <c r="D5821" i="30"/>
  <c r="D5822" i="30"/>
  <c r="D5823" i="30"/>
  <c r="D5824" i="30"/>
  <c r="D5825" i="30"/>
  <c r="D5826" i="30"/>
  <c r="D5827" i="30"/>
  <c r="D5828" i="30"/>
  <c r="D5829" i="30"/>
  <c r="D5830" i="30"/>
  <c r="D5831" i="30"/>
  <c r="D5832" i="30"/>
  <c r="D5833" i="30"/>
  <c r="D5834" i="30"/>
  <c r="D5836" i="30"/>
  <c r="D5837" i="30"/>
  <c r="D5838" i="30"/>
  <c r="D5839" i="30"/>
  <c r="D5840" i="30"/>
  <c r="D5841" i="30"/>
  <c r="D5842" i="30"/>
  <c r="D5843" i="30"/>
  <c r="D5844" i="30"/>
  <c r="D5845" i="30"/>
  <c r="D5846" i="30"/>
  <c r="D5847" i="30"/>
  <c r="D5848" i="30"/>
  <c r="D5849" i="30"/>
  <c r="D5850" i="30"/>
  <c r="D5851" i="30"/>
  <c r="D5852" i="30"/>
  <c r="D5853" i="30"/>
  <c r="D5854" i="30"/>
  <c r="D5855" i="30"/>
  <c r="D5856" i="30"/>
  <c r="D5857" i="30"/>
  <c r="D5858" i="30"/>
  <c r="D5859" i="30"/>
  <c r="D5860" i="30"/>
  <c r="D5861" i="30"/>
  <c r="D5862" i="30"/>
  <c r="D5863" i="30"/>
  <c r="D5864" i="30"/>
  <c r="D5865" i="30"/>
  <c r="D5866" i="30"/>
  <c r="D5867" i="30"/>
  <c r="D5868" i="30"/>
  <c r="D5869" i="30"/>
  <c r="D5870" i="30"/>
  <c r="D5871" i="30"/>
  <c r="D5872" i="30"/>
  <c r="D5873" i="30"/>
  <c r="D5874" i="30"/>
  <c r="D5875" i="30"/>
  <c r="D5876" i="30"/>
  <c r="D5877" i="30"/>
  <c r="D5878" i="30"/>
  <c r="D5879" i="30"/>
  <c r="D5880" i="30"/>
  <c r="D5881" i="30"/>
  <c r="D5882" i="30"/>
  <c r="D5883" i="30"/>
  <c r="D5884" i="30"/>
  <c r="D5885" i="30"/>
  <c r="D5886" i="30"/>
  <c r="D5887" i="30"/>
  <c r="D5888" i="30"/>
  <c r="D5889" i="30"/>
  <c r="D5890" i="30"/>
  <c r="D5891" i="30"/>
  <c r="D5892" i="30"/>
  <c r="D5893" i="30"/>
  <c r="D5894" i="30"/>
  <c r="D5895" i="30"/>
  <c r="D5896" i="30"/>
  <c r="D5897" i="30"/>
  <c r="D5898" i="30"/>
  <c r="D5899" i="30"/>
  <c r="D5900" i="30"/>
  <c r="D5901" i="30"/>
  <c r="D5902" i="30"/>
  <c r="D5903" i="30"/>
  <c r="D5904" i="30"/>
  <c r="D5905" i="30"/>
  <c r="D5906" i="30"/>
  <c r="D5907" i="30"/>
  <c r="D5908" i="30"/>
  <c r="D5909" i="30"/>
  <c r="D5910" i="30"/>
  <c r="D5911" i="30"/>
  <c r="D5912" i="30"/>
  <c r="D5913" i="30"/>
  <c r="D5914" i="30"/>
  <c r="D5915" i="30"/>
  <c r="D5916" i="30"/>
  <c r="D5917" i="30"/>
  <c r="D5918" i="30"/>
  <c r="D5919" i="30"/>
  <c r="D5920" i="30"/>
  <c r="D5921" i="30"/>
  <c r="D5922" i="30"/>
  <c r="D5923" i="30"/>
  <c r="D5924" i="30"/>
  <c r="D5925" i="30"/>
  <c r="D5926" i="30"/>
  <c r="D5927" i="30"/>
  <c r="D5928" i="30"/>
  <c r="D5929" i="30"/>
  <c r="D5930" i="30"/>
  <c r="D5931" i="30"/>
  <c r="D5932" i="30"/>
  <c r="D5933" i="30"/>
  <c r="D5934" i="30"/>
  <c r="D5935" i="30"/>
  <c r="D5936" i="30"/>
  <c r="D5937" i="30"/>
  <c r="D5938" i="30"/>
  <c r="D5939" i="30"/>
  <c r="D5940" i="30"/>
  <c r="D5941" i="30"/>
  <c r="D5942" i="30"/>
  <c r="D5943" i="30"/>
  <c r="D5944" i="30"/>
  <c r="D5945" i="30"/>
  <c r="D5946" i="30"/>
  <c r="D5947" i="30"/>
  <c r="D5948" i="30"/>
  <c r="D5949" i="30"/>
  <c r="D5950" i="30"/>
  <c r="D5951" i="30"/>
  <c r="D5952" i="30"/>
  <c r="D5953" i="30"/>
  <c r="D5954" i="30"/>
  <c r="D5955" i="30"/>
  <c r="D5956" i="30"/>
  <c r="D5957" i="30"/>
  <c r="D5958" i="30"/>
  <c r="D5959" i="30"/>
  <c r="D5960" i="30"/>
  <c r="D5961" i="30"/>
  <c r="D5962" i="30"/>
  <c r="D5964" i="30"/>
  <c r="D5965" i="30"/>
  <c r="D5966" i="30"/>
  <c r="D5967" i="30"/>
  <c r="D5968" i="30"/>
  <c r="D5969" i="30"/>
  <c r="D5970" i="30"/>
  <c r="D5971" i="30"/>
  <c r="D5972" i="30"/>
  <c r="D5973" i="30"/>
  <c r="D5974" i="30"/>
  <c r="D5975" i="30"/>
  <c r="D5976" i="30"/>
  <c r="D5977" i="30"/>
  <c r="D5978" i="30"/>
  <c r="D5979" i="30"/>
  <c r="D5980" i="30"/>
  <c r="D5981" i="30"/>
  <c r="D5982" i="30"/>
  <c r="D5983" i="30"/>
  <c r="D5984" i="30"/>
  <c r="D5985" i="30"/>
  <c r="D5986" i="30"/>
  <c r="D5987" i="30"/>
  <c r="D5988" i="30"/>
  <c r="D5989" i="30"/>
  <c r="D5990" i="30"/>
  <c r="D5991" i="30"/>
  <c r="D5992" i="30"/>
  <c r="D5993" i="30"/>
  <c r="D5994" i="30"/>
  <c r="D5995" i="30"/>
  <c r="D5996" i="30"/>
  <c r="D5997" i="30"/>
  <c r="D5998" i="30"/>
  <c r="D5999" i="30"/>
  <c r="D6000" i="30"/>
  <c r="D6001" i="30"/>
  <c r="D6002" i="30"/>
  <c r="D6003" i="30"/>
  <c r="D6004" i="30"/>
  <c r="D6005" i="30"/>
  <c r="D6006" i="30"/>
  <c r="D6010" i="30"/>
  <c r="D6011" i="30"/>
  <c r="D6012" i="30"/>
  <c r="D6013" i="30"/>
  <c r="D6014" i="30"/>
  <c r="D6015" i="30"/>
  <c r="D6016" i="30"/>
  <c r="D6017" i="30"/>
  <c r="D6018" i="30"/>
  <c r="D6019" i="30"/>
  <c r="D6020" i="30"/>
  <c r="D6021" i="30"/>
  <c r="D6022" i="30"/>
  <c r="D6023" i="30"/>
  <c r="D6024" i="30"/>
  <c r="D6025" i="30"/>
  <c r="D6026" i="30"/>
  <c r="D6027" i="30"/>
  <c r="D6028" i="30"/>
  <c r="D6029" i="30"/>
  <c r="D6030" i="30"/>
  <c r="D6031" i="30"/>
  <c r="D6032" i="30"/>
  <c r="D6033" i="30"/>
  <c r="D6034" i="30"/>
  <c r="D6035" i="30"/>
  <c r="D6036" i="30"/>
  <c r="D6037" i="30"/>
  <c r="D6038" i="30"/>
  <c r="D6039" i="30"/>
  <c r="D6040" i="30"/>
  <c r="D6041" i="30"/>
  <c r="D6042" i="30"/>
  <c r="D6043" i="30"/>
  <c r="D6044" i="30"/>
  <c r="D6045" i="30"/>
  <c r="D6046" i="30"/>
  <c r="D6047" i="30"/>
  <c r="D6048" i="30"/>
  <c r="D6049" i="30"/>
  <c r="D6050" i="30"/>
  <c r="D6051" i="30"/>
  <c r="D6052" i="30"/>
  <c r="D6053" i="30"/>
  <c r="D6054" i="30"/>
  <c r="D6055" i="30"/>
  <c r="D6056" i="30"/>
  <c r="D6057" i="30"/>
  <c r="D6058" i="30"/>
  <c r="D6059" i="30"/>
  <c r="D6060" i="30"/>
  <c r="D6064" i="30"/>
  <c r="D6065" i="30"/>
  <c r="D6066" i="30"/>
  <c r="D6067" i="30"/>
  <c r="D6068" i="30"/>
  <c r="D6069" i="30"/>
  <c r="D6070" i="30"/>
  <c r="D6071" i="30"/>
  <c r="D6072" i="30"/>
  <c r="D6073" i="30"/>
  <c r="D6074" i="30"/>
  <c r="D6075" i="30"/>
  <c r="D6076" i="30"/>
  <c r="D6077" i="30"/>
  <c r="D6078" i="30"/>
  <c r="D6079" i="30"/>
  <c r="D6080" i="30"/>
  <c r="D6081" i="30"/>
  <c r="D6082" i="30"/>
  <c r="D6083" i="30"/>
  <c r="D6084" i="30"/>
  <c r="D6085" i="30"/>
  <c r="D6086" i="30"/>
  <c r="D6087" i="30"/>
  <c r="D6088" i="30"/>
  <c r="D6089" i="30"/>
  <c r="D6090" i="30"/>
  <c r="D6091" i="30"/>
  <c r="D6092" i="30"/>
  <c r="D6093" i="30"/>
  <c r="D6094" i="30"/>
  <c r="D6095" i="30"/>
  <c r="D6096" i="30"/>
  <c r="D6097" i="30"/>
  <c r="D6098" i="30"/>
  <c r="D6099" i="30"/>
  <c r="D6100" i="30"/>
  <c r="D6101" i="30"/>
  <c r="D6102" i="30"/>
  <c r="D6103" i="30"/>
  <c r="D6104" i="30"/>
  <c r="D6105" i="30"/>
  <c r="D6106" i="30"/>
  <c r="D6107" i="30"/>
  <c r="D6108" i="30"/>
  <c r="D6109" i="30"/>
  <c r="D6110" i="30"/>
  <c r="D6111" i="30"/>
  <c r="D6112" i="30"/>
  <c r="D6113" i="30"/>
  <c r="D6114" i="30"/>
  <c r="D6115" i="30"/>
  <c r="D6116" i="30"/>
  <c r="D6117" i="30"/>
  <c r="D6118" i="30"/>
  <c r="D6119" i="30"/>
  <c r="D6120" i="30"/>
  <c r="D6121" i="30"/>
  <c r="D6122" i="30"/>
  <c r="D6123" i="30"/>
  <c r="D6124" i="30"/>
  <c r="D6125" i="30"/>
  <c r="D6126" i="30"/>
  <c r="D6127" i="30"/>
  <c r="D6128" i="30"/>
  <c r="D6129" i="30"/>
  <c r="D6130" i="30"/>
  <c r="D6131" i="30"/>
  <c r="D6132" i="30"/>
  <c r="D6133" i="30"/>
  <c r="D6134" i="30"/>
  <c r="D6135" i="30"/>
  <c r="D6136" i="30"/>
  <c r="D6137" i="30"/>
  <c r="D6138" i="30"/>
  <c r="D6139" i="30"/>
  <c r="D6140" i="30"/>
  <c r="D6141" i="30"/>
  <c r="D6142" i="30"/>
  <c r="D6143" i="30"/>
  <c r="D6152" i="30"/>
  <c r="D6153" i="30"/>
  <c r="D6154" i="30"/>
  <c r="D6155" i="30"/>
  <c r="D6156" i="30"/>
  <c r="D6157" i="30"/>
  <c r="D6158" i="30"/>
  <c r="D6159" i="30"/>
  <c r="D6160" i="30"/>
  <c r="D6161" i="30"/>
  <c r="D6162" i="30"/>
  <c r="D6163" i="30"/>
  <c r="D6164" i="30"/>
  <c r="D6165" i="30"/>
  <c r="D6166" i="30"/>
  <c r="D6167" i="30"/>
  <c r="D6168" i="30"/>
  <c r="D6169" i="30"/>
  <c r="D6170" i="30"/>
  <c r="D6171" i="30"/>
  <c r="D6172" i="30"/>
  <c r="D6173" i="30"/>
  <c r="D6174" i="30"/>
  <c r="D6175" i="30"/>
  <c r="D6176" i="30"/>
  <c r="D6177" i="30"/>
  <c r="D6178" i="30"/>
  <c r="D6179" i="30"/>
  <c r="D6180" i="30"/>
  <c r="D6181" i="30"/>
  <c r="D6182" i="30"/>
  <c r="D6183" i="30"/>
  <c r="D6184" i="30"/>
  <c r="D6185" i="30"/>
  <c r="D6186" i="30"/>
  <c r="D6187" i="30"/>
  <c r="D6188" i="30"/>
  <c r="D6189" i="30"/>
  <c r="D6190" i="30"/>
  <c r="D6191" i="30"/>
  <c r="D6192" i="30"/>
  <c r="D6193" i="30"/>
  <c r="D6194" i="30"/>
  <c r="D6195" i="30"/>
  <c r="D6196" i="30"/>
  <c r="D6197" i="30"/>
  <c r="D6198" i="30"/>
  <c r="D6199" i="30"/>
  <c r="D6200" i="30"/>
  <c r="D6201" i="30"/>
  <c r="D6202" i="30"/>
  <c r="D6203" i="30"/>
  <c r="D6204" i="30"/>
  <c r="D6205" i="30"/>
  <c r="D6206" i="30"/>
  <c r="D6207" i="30"/>
  <c r="D6208" i="30"/>
  <c r="D6209" i="30"/>
  <c r="D6210" i="30"/>
  <c r="D6211" i="30"/>
  <c r="D6212" i="30"/>
  <c r="D6213" i="30"/>
  <c r="D6214" i="30"/>
  <c r="D6215" i="30"/>
  <c r="D6216" i="30"/>
  <c r="D6217" i="30"/>
  <c r="D6218" i="30"/>
  <c r="D6219" i="30"/>
  <c r="D6220" i="30"/>
  <c r="D6221" i="30"/>
  <c r="D6222" i="30"/>
  <c r="D6223" i="30"/>
  <c r="D6224" i="30"/>
  <c r="D6225" i="30"/>
  <c r="D6226" i="30"/>
  <c r="D6227" i="30"/>
  <c r="D6228" i="30"/>
  <c r="D6229" i="30"/>
  <c r="D6230" i="30"/>
  <c r="D6231" i="30"/>
  <c r="D6232" i="30"/>
  <c r="D6233" i="30"/>
  <c r="D6234" i="30"/>
  <c r="D6235" i="30"/>
  <c r="D6236" i="30"/>
  <c r="D6237" i="30"/>
  <c r="D6238" i="30"/>
  <c r="D6239" i="30"/>
  <c r="D6240" i="30"/>
  <c r="D6241" i="30"/>
  <c r="D6242" i="30"/>
  <c r="D6243" i="30"/>
  <c r="D6244" i="30"/>
  <c r="D6245" i="30"/>
  <c r="D6246" i="30"/>
  <c r="D6247" i="30"/>
  <c r="D6248" i="30"/>
  <c r="D6249" i="30"/>
  <c r="D6250" i="30"/>
  <c r="D6251" i="30"/>
  <c r="D6252" i="30"/>
  <c r="D6253" i="30"/>
  <c r="D6254" i="30"/>
  <c r="D6255" i="30"/>
  <c r="D6256" i="30"/>
  <c r="D6257" i="30"/>
  <c r="D6258" i="30"/>
  <c r="D6259" i="30"/>
  <c r="D6260" i="30"/>
  <c r="D6261" i="30"/>
  <c r="D6262" i="30"/>
  <c r="D6263" i="30"/>
  <c r="D6264" i="30"/>
  <c r="D6265" i="30"/>
  <c r="D6266" i="30"/>
  <c r="D6267" i="30"/>
  <c r="D6268" i="30"/>
  <c r="D6269" i="30"/>
  <c r="D6270" i="30"/>
  <c r="D6271" i="30"/>
  <c r="D6272" i="30"/>
  <c r="D6273" i="30"/>
  <c r="D6274" i="30"/>
  <c r="D6275" i="30"/>
  <c r="D6276" i="30"/>
  <c r="D6277" i="30"/>
  <c r="D6278" i="30"/>
  <c r="D6279" i="30"/>
  <c r="D6280" i="30"/>
  <c r="D6281" i="30"/>
  <c r="D6282" i="30"/>
  <c r="D6283" i="30"/>
  <c r="D6284" i="30"/>
  <c r="D6285" i="30"/>
  <c r="D6286" i="30"/>
  <c r="D6287" i="30"/>
  <c r="D6288" i="30"/>
  <c r="D6289" i="30"/>
  <c r="D6290" i="30"/>
  <c r="D6291" i="30"/>
  <c r="D6292" i="30"/>
  <c r="D6293" i="30"/>
  <c r="D6294" i="30"/>
  <c r="D6295" i="30"/>
  <c r="D6296" i="30"/>
  <c r="D6297" i="30"/>
  <c r="D6298" i="30"/>
  <c r="D6299" i="30"/>
  <c r="D6300" i="30"/>
  <c r="D6301" i="30"/>
  <c r="D6302" i="30"/>
  <c r="D6303" i="30"/>
  <c r="D6304" i="30"/>
  <c r="D6305" i="30"/>
  <c r="D6306" i="30"/>
  <c r="D6307" i="30"/>
  <c r="D6308" i="30"/>
  <c r="D6309" i="30"/>
  <c r="D6310" i="30"/>
  <c r="D6311" i="30"/>
  <c r="D6312" i="30"/>
  <c r="D6313" i="30"/>
  <c r="D6314" i="30"/>
  <c r="D6315" i="30"/>
  <c r="D6316" i="30"/>
  <c r="D6317" i="30"/>
  <c r="D6318" i="30"/>
  <c r="D6319" i="30"/>
  <c r="D6320" i="30"/>
  <c r="D6321" i="30"/>
  <c r="D6322" i="30"/>
  <c r="D6323" i="30"/>
  <c r="D6324" i="30"/>
  <c r="D6325" i="30"/>
  <c r="D6326" i="30"/>
  <c r="D6327" i="30"/>
  <c r="D6328" i="30"/>
  <c r="D6329" i="30"/>
  <c r="D6330" i="30"/>
  <c r="D6331" i="30"/>
  <c r="D6332" i="30"/>
  <c r="D6333" i="30"/>
  <c r="D6334" i="30"/>
  <c r="D6335" i="30"/>
  <c r="D6336" i="30"/>
  <c r="D6337" i="30"/>
  <c r="D6338" i="30"/>
  <c r="D6339" i="30"/>
  <c r="D6340" i="30"/>
  <c r="D6341" i="30"/>
  <c r="D6342" i="30"/>
  <c r="D6343" i="30"/>
  <c r="D6344" i="30"/>
  <c r="D6345" i="30"/>
  <c r="D6346" i="30"/>
  <c r="D6347" i="30"/>
  <c r="D6348" i="30"/>
  <c r="D6349" i="30"/>
  <c r="D6350" i="30"/>
  <c r="D6351" i="30"/>
  <c r="D6352" i="30"/>
  <c r="D6353" i="30"/>
  <c r="D6354" i="30"/>
  <c r="D6355" i="30"/>
  <c r="D6356" i="30"/>
  <c r="D6357" i="30"/>
  <c r="D6358" i="30"/>
  <c r="D6359" i="30"/>
  <c r="D6360" i="30"/>
  <c r="D6361" i="30"/>
  <c r="D6362" i="30"/>
  <c r="D6363" i="30"/>
  <c r="D6364" i="30"/>
  <c r="D6365" i="30"/>
  <c r="D6366" i="30"/>
  <c r="D6367" i="30"/>
  <c r="D6368" i="30"/>
  <c r="D6369" i="30"/>
  <c r="D6370" i="30"/>
  <c r="D6371" i="30"/>
  <c r="D6372" i="30"/>
  <c r="D6373" i="30"/>
  <c r="D6374" i="30"/>
  <c r="D6375" i="30"/>
  <c r="D6376" i="30"/>
  <c r="D6377" i="30"/>
  <c r="D6378" i="30"/>
  <c r="D6379" i="30"/>
  <c r="D6380" i="30"/>
  <c r="D6381" i="30"/>
  <c r="D6382" i="30"/>
  <c r="D6383" i="30"/>
  <c r="D6384" i="30"/>
  <c r="D6385" i="30"/>
  <c r="D6386" i="30"/>
  <c r="D6387" i="30"/>
  <c r="D6388" i="30"/>
  <c r="D6389" i="30"/>
  <c r="D6390" i="30"/>
  <c r="D6391" i="30"/>
  <c r="D6392" i="30"/>
  <c r="D6393" i="30"/>
  <c r="D6394" i="30"/>
  <c r="D6395" i="30"/>
  <c r="D6396" i="30"/>
  <c r="D6397" i="30"/>
  <c r="D6398" i="30"/>
  <c r="D6399" i="30"/>
  <c r="D6400" i="30"/>
  <c r="D6401" i="30"/>
  <c r="D6402" i="30"/>
  <c r="D6403" i="30"/>
  <c r="D6404" i="30"/>
  <c r="D6405" i="30"/>
  <c r="D6406" i="30"/>
  <c r="D6407" i="30"/>
  <c r="D6408" i="30"/>
  <c r="D6409" i="30"/>
  <c r="D6410" i="30"/>
  <c r="D6411" i="30"/>
  <c r="D6412" i="30"/>
  <c r="D6413" i="30"/>
  <c r="D6414" i="30"/>
  <c r="D6415" i="30"/>
  <c r="D6416" i="30"/>
  <c r="D6417" i="30"/>
  <c r="D6418" i="30"/>
  <c r="D6419" i="30"/>
  <c r="D6420" i="30"/>
  <c r="D6421" i="30"/>
  <c r="D6422" i="30"/>
  <c r="D6423" i="30"/>
  <c r="D6424" i="30"/>
  <c r="D6425" i="30"/>
  <c r="D6426" i="30"/>
  <c r="D6427" i="30"/>
  <c r="D6428" i="30"/>
  <c r="D6429" i="30"/>
  <c r="D6430" i="30"/>
  <c r="D6431" i="30"/>
  <c r="D6432" i="30"/>
  <c r="D6433" i="30"/>
  <c r="D6434" i="30"/>
  <c r="D6435" i="30"/>
  <c r="D6436" i="30"/>
  <c r="D6437" i="30"/>
  <c r="D6438" i="30"/>
  <c r="D6439" i="30"/>
  <c r="D6440" i="30"/>
  <c r="D6441" i="30"/>
  <c r="D6442" i="30"/>
  <c r="D6443" i="30"/>
  <c r="D6444" i="30"/>
  <c r="D6445" i="30"/>
  <c r="D6446" i="30"/>
  <c r="D6447" i="30"/>
  <c r="D6448" i="30"/>
  <c r="D6449" i="30"/>
  <c r="D6450" i="30"/>
  <c r="D6451" i="30"/>
  <c r="D6452" i="30"/>
  <c r="D6453" i="30"/>
  <c r="D6454" i="30"/>
  <c r="D6455" i="30"/>
  <c r="D6456" i="30"/>
  <c r="D6457" i="30"/>
  <c r="D6458" i="30"/>
  <c r="D6459" i="30"/>
  <c r="D6460" i="30"/>
  <c r="D6461" i="30"/>
  <c r="D6462" i="30"/>
  <c r="D6463" i="30"/>
  <c r="D6464" i="30"/>
  <c r="D6465" i="30"/>
  <c r="D6466" i="30"/>
  <c r="D6467" i="30"/>
  <c r="D6468" i="30"/>
  <c r="D6469" i="30"/>
  <c r="D6470" i="30"/>
  <c r="D6471" i="30"/>
  <c r="D6472" i="30"/>
  <c r="D6473" i="30"/>
  <c r="D6474" i="30"/>
  <c r="D6475" i="30"/>
  <c r="D6476" i="30"/>
  <c r="D6477" i="30"/>
  <c r="D6478" i="30"/>
  <c r="D6479" i="30"/>
  <c r="D6480" i="30"/>
  <c r="D6481" i="30"/>
  <c r="D6482" i="30"/>
  <c r="D6483" i="30"/>
  <c r="D6484" i="30"/>
  <c r="D6485" i="30"/>
  <c r="D6486" i="30"/>
  <c r="D6487" i="30"/>
  <c r="D6488" i="30"/>
  <c r="D6489" i="30"/>
  <c r="D6490" i="30"/>
  <c r="D6491" i="30"/>
  <c r="D6492" i="30"/>
  <c r="D6493" i="30"/>
  <c r="D6494" i="30"/>
  <c r="D6495" i="30"/>
  <c r="D6496" i="30"/>
  <c r="D6497" i="30"/>
  <c r="D6498" i="30"/>
  <c r="D6499" i="30"/>
  <c r="D6500" i="30"/>
  <c r="D6501" i="30"/>
  <c r="D6502" i="30"/>
  <c r="D6503" i="30"/>
  <c r="D6504" i="30"/>
  <c r="D6505" i="30"/>
  <c r="D6506" i="30"/>
  <c r="D6507" i="30"/>
  <c r="D6508" i="30"/>
  <c r="D6509" i="30"/>
  <c r="D6510" i="30"/>
  <c r="D6511" i="30"/>
  <c r="D6512" i="30"/>
  <c r="D6513" i="30"/>
  <c r="D6514" i="30"/>
  <c r="D6515" i="30"/>
  <c r="D6516" i="30"/>
  <c r="D6517" i="30"/>
  <c r="D6518" i="30"/>
  <c r="D6519" i="30"/>
  <c r="D6520" i="30"/>
  <c r="D6521" i="30"/>
  <c r="D6522" i="30"/>
  <c r="D6523" i="30"/>
  <c r="D6524" i="30"/>
  <c r="D6525" i="30"/>
  <c r="D6526" i="30"/>
  <c r="D6527" i="30"/>
  <c r="D6528" i="30"/>
  <c r="D6529" i="30"/>
  <c r="D6530" i="30"/>
  <c r="D6531" i="30"/>
  <c r="D6532" i="30"/>
  <c r="D6533" i="30"/>
  <c r="D6534" i="30"/>
  <c r="D6535" i="30"/>
  <c r="D6536" i="30"/>
  <c r="D6537" i="30"/>
  <c r="D6538" i="30"/>
  <c r="D6539" i="30"/>
  <c r="D6540" i="30"/>
  <c r="D6541" i="30"/>
  <c r="D6542" i="30"/>
  <c r="D6543" i="30"/>
  <c r="D6544" i="30"/>
  <c r="D6545" i="30"/>
  <c r="D6546" i="30"/>
  <c r="D6547" i="30"/>
  <c r="D6548" i="30"/>
  <c r="D6549" i="30"/>
  <c r="D6550" i="30"/>
  <c r="D6551" i="30"/>
  <c r="D6552" i="30"/>
  <c r="D6553" i="30"/>
  <c r="D6554" i="30"/>
  <c r="D6555" i="30"/>
  <c r="D6556" i="30"/>
  <c r="D6557" i="30"/>
  <c r="D6558" i="30"/>
  <c r="D6559" i="30"/>
  <c r="D6560" i="30"/>
  <c r="D6561" i="30"/>
  <c r="D6562" i="30"/>
  <c r="D6563" i="30"/>
  <c r="D6564" i="30"/>
  <c r="D6565" i="30"/>
  <c r="D6566" i="30"/>
  <c r="D6567" i="30"/>
  <c r="D6568" i="30"/>
  <c r="D6569" i="30"/>
  <c r="D6570" i="30"/>
  <c r="D6571" i="30"/>
  <c r="D6572" i="30"/>
  <c r="D6573" i="30"/>
  <c r="D6574" i="30"/>
  <c r="D6575" i="30"/>
  <c r="D6576" i="30"/>
  <c r="D6577" i="30"/>
  <c r="D6578" i="30"/>
  <c r="D6579" i="30"/>
  <c r="D6580" i="30"/>
  <c r="D6581" i="30"/>
  <c r="D6582" i="30"/>
  <c r="D6583" i="30"/>
  <c r="D6584" i="30"/>
  <c r="D6585" i="30"/>
  <c r="D6586" i="30"/>
  <c r="D6587" i="30"/>
  <c r="D6588" i="30"/>
  <c r="D6589" i="30"/>
  <c r="D6590" i="30"/>
  <c r="D6591" i="30"/>
  <c r="D6592" i="30"/>
  <c r="D6593" i="30"/>
  <c r="D6594" i="30"/>
  <c r="D6595" i="30"/>
  <c r="D6596" i="30"/>
  <c r="D6597" i="30"/>
  <c r="D6598" i="30"/>
  <c r="D6599" i="30"/>
  <c r="D6600" i="30"/>
  <c r="D6601" i="30"/>
  <c r="D6602" i="30"/>
  <c r="D6603" i="30"/>
  <c r="D6604" i="30"/>
  <c r="D6605" i="30"/>
  <c r="D6606" i="30"/>
  <c r="D6607" i="30"/>
  <c r="D6608" i="30"/>
  <c r="D6609" i="30"/>
  <c r="D6610" i="30"/>
  <c r="D6611" i="30"/>
  <c r="D6612" i="30"/>
  <c r="D6613" i="30"/>
  <c r="D6614" i="30"/>
  <c r="D6615" i="30"/>
  <c r="D6616" i="30"/>
  <c r="D6617" i="30"/>
  <c r="D6618" i="30"/>
  <c r="D6619" i="30"/>
  <c r="D6620" i="30"/>
  <c r="D6621" i="30"/>
  <c r="D6622" i="30"/>
  <c r="D6623" i="30"/>
  <c r="D6624" i="30"/>
  <c r="D6625" i="30"/>
  <c r="D6626" i="30"/>
  <c r="D6627" i="30"/>
  <c r="D6628" i="30"/>
  <c r="D6629" i="30"/>
  <c r="D6630" i="30"/>
  <c r="D6631" i="30"/>
  <c r="D6632" i="30"/>
  <c r="D6633" i="30"/>
  <c r="D6634" i="30"/>
  <c r="D6635" i="30"/>
  <c r="D6636" i="30"/>
  <c r="D6637" i="30"/>
  <c r="D6638" i="30"/>
  <c r="D6639" i="30"/>
  <c r="D6640" i="30"/>
  <c r="D6641" i="30"/>
  <c r="D6642" i="30"/>
  <c r="D6643" i="30"/>
  <c r="D6644" i="30"/>
  <c r="D6645" i="30"/>
  <c r="D6646" i="30"/>
  <c r="D6647" i="30"/>
  <c r="D6648" i="30"/>
  <c r="D6649" i="30"/>
  <c r="D6650" i="30"/>
  <c r="D6651" i="30"/>
  <c r="D6652" i="30"/>
  <c r="D6653" i="30"/>
  <c r="D6654" i="30"/>
  <c r="D6655" i="30"/>
  <c r="D6656" i="30"/>
  <c r="D6657" i="30"/>
  <c r="D6658" i="30"/>
  <c r="D6659" i="30"/>
  <c r="D6660" i="30"/>
  <c r="D6661" i="30"/>
  <c r="D6662" i="30"/>
  <c r="D6663" i="30"/>
  <c r="D6664" i="30"/>
  <c r="D6665" i="30"/>
  <c r="D6666" i="30"/>
  <c r="D6667" i="30"/>
  <c r="D6668" i="30"/>
  <c r="D6669" i="30"/>
  <c r="D6670" i="30"/>
  <c r="D6671" i="30"/>
  <c r="D6672" i="30"/>
  <c r="D6673" i="30"/>
  <c r="D6674" i="30"/>
  <c r="D6675" i="30"/>
  <c r="D6676" i="30"/>
  <c r="D6677" i="30"/>
  <c r="D6682" i="30"/>
  <c r="D6683" i="30"/>
  <c r="D6684" i="30"/>
  <c r="D6685" i="30"/>
  <c r="D6686" i="30"/>
  <c r="D6687" i="30"/>
  <c r="D6688" i="30"/>
  <c r="D6689" i="30"/>
  <c r="D6690" i="30"/>
  <c r="D6691" i="30"/>
  <c r="D6692" i="30"/>
  <c r="D6693" i="30"/>
  <c r="D6694" i="30"/>
  <c r="D6695" i="30"/>
  <c r="D6696" i="30"/>
  <c r="D6697" i="30"/>
  <c r="D6698" i="30"/>
  <c r="D6699" i="30"/>
  <c r="D6700" i="30"/>
  <c r="D6701" i="30"/>
  <c r="D6702" i="30"/>
  <c r="D6703" i="30"/>
  <c r="D6704" i="30"/>
  <c r="D6705" i="30"/>
  <c r="D6706" i="30"/>
  <c r="D6707" i="30"/>
  <c r="D6708" i="30"/>
  <c r="D6709" i="30"/>
  <c r="D6710" i="30"/>
  <c r="D6711" i="30"/>
  <c r="D6712" i="30"/>
  <c r="D6713" i="30"/>
  <c r="D6714" i="30"/>
  <c r="D6715" i="30"/>
  <c r="D6716" i="30"/>
  <c r="D6717" i="30"/>
  <c r="D6718" i="30"/>
  <c r="D6719" i="30"/>
  <c r="D6720" i="30"/>
  <c r="D6721" i="30"/>
  <c r="D6722" i="30"/>
  <c r="D6723" i="30"/>
  <c r="D6724" i="30"/>
  <c r="D6725" i="30"/>
  <c r="D6726" i="30"/>
  <c r="D6727" i="30"/>
  <c r="D6728" i="30"/>
  <c r="D6729" i="30"/>
  <c r="D6730" i="30"/>
  <c r="D6731" i="30"/>
  <c r="D6732" i="30"/>
  <c r="D6733" i="30"/>
  <c r="D6734" i="30"/>
  <c r="D6735" i="30"/>
  <c r="D6736" i="30"/>
  <c r="D6737" i="30"/>
  <c r="D6738" i="30"/>
  <c r="D6739" i="30"/>
  <c r="D6740" i="30"/>
  <c r="D6741" i="30"/>
  <c r="D6742" i="30"/>
  <c r="D6743" i="30"/>
  <c r="D6744" i="30"/>
  <c r="D6745" i="30"/>
  <c r="D6746" i="30"/>
  <c r="D6747" i="30"/>
  <c r="D6748" i="30"/>
  <c r="D6749" i="30"/>
  <c r="D6750" i="30"/>
  <c r="D6751" i="30"/>
  <c r="D6752" i="30"/>
  <c r="D6753" i="30"/>
  <c r="D6754" i="30"/>
  <c r="D6755" i="30"/>
  <c r="D6756" i="30"/>
  <c r="D6757" i="30"/>
  <c r="D6758" i="30"/>
  <c r="D6759" i="30"/>
  <c r="D6760" i="30"/>
  <c r="D6761" i="30"/>
  <c r="D6762" i="30"/>
  <c r="D6763" i="30"/>
  <c r="D6764" i="30"/>
  <c r="D6765" i="30"/>
  <c r="D6766" i="30"/>
  <c r="D6767" i="30"/>
  <c r="D6768" i="30"/>
  <c r="D6769" i="30"/>
  <c r="D6770" i="30"/>
  <c r="D6771" i="30"/>
  <c r="D6772" i="30"/>
  <c r="D6773" i="30"/>
  <c r="D6774" i="30"/>
  <c r="D6775" i="30"/>
  <c r="D6776" i="30"/>
  <c r="D6777" i="30"/>
  <c r="D6778" i="30"/>
  <c r="D6779" i="30"/>
  <c r="D6780" i="30"/>
  <c r="D6781" i="30"/>
  <c r="D6782" i="30"/>
  <c r="D6783" i="30"/>
  <c r="D6784" i="30"/>
  <c r="D6785" i="30"/>
  <c r="D6786" i="30"/>
  <c r="D6787" i="30"/>
  <c r="D6788" i="30"/>
  <c r="D6789" i="30"/>
  <c r="D6790" i="30"/>
  <c r="D6791" i="30"/>
  <c r="D6792" i="30"/>
  <c r="D6793" i="30"/>
  <c r="D6794" i="30"/>
  <c r="D6795" i="30"/>
  <c r="D6796" i="30"/>
  <c r="D6797" i="30"/>
  <c r="D6798" i="30"/>
  <c r="D4511" i="30"/>
  <c r="D4512" i="30"/>
  <c r="D4586" i="30"/>
  <c r="D4587" i="30"/>
  <c r="D4588" i="30"/>
  <c r="D4589" i="30"/>
  <c r="D4590" i="30"/>
  <c r="D4591" i="30"/>
  <c r="D5019" i="30"/>
  <c r="D5150" i="30"/>
  <c r="D5151" i="30"/>
  <c r="D5152" i="30"/>
  <c r="D5153" i="30"/>
  <c r="D5154" i="30"/>
  <c r="D5155" i="30"/>
  <c r="D5835" i="30"/>
  <c r="D6678" i="30"/>
  <c r="D6679" i="30"/>
  <c r="D6680" i="30"/>
  <c r="D6681" i="30"/>
  <c r="D1161" i="30"/>
  <c r="D5156" i="30"/>
  <c r="D1062" i="30"/>
  <c r="D1063" i="30"/>
  <c r="D4321" i="30"/>
  <c r="D4322" i="30"/>
  <c r="D4323" i="30"/>
  <c r="D4324" i="30"/>
  <c r="D4216" i="30"/>
  <c r="D4414" i="30"/>
  <c r="D4124" i="30"/>
  <c r="D6007" i="30"/>
  <c r="D6008" i="30"/>
  <c r="D2" i="30"/>
  <c r="K4" i="28" l="1"/>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58" i="28"/>
  <c r="K159" i="28"/>
  <c r="K160" i="28"/>
  <c r="K161" i="28"/>
  <c r="K162" i="28"/>
  <c r="K163" i="28"/>
  <c r="K164" i="28"/>
  <c r="K165" i="28"/>
  <c r="K166" i="28"/>
  <c r="K167" i="28"/>
  <c r="K168" i="28"/>
  <c r="K169" i="28"/>
  <c r="K170" i="28"/>
  <c r="K171" i="28"/>
  <c r="K172" i="28"/>
  <c r="K173" i="28"/>
  <c r="K174" i="28"/>
  <c r="K175" i="28"/>
  <c r="K176" i="28"/>
  <c r="K177" i="28"/>
  <c r="K178" i="28"/>
  <c r="K179" i="28"/>
  <c r="K180" i="28"/>
  <c r="K181" i="28"/>
  <c r="K182" i="28"/>
  <c r="K183" i="28"/>
  <c r="K184" i="28"/>
  <c r="K185" i="28"/>
  <c r="K186" i="28"/>
  <c r="K187" i="28"/>
  <c r="K188" i="28"/>
  <c r="K189" i="28"/>
  <c r="K190" i="28"/>
  <c r="K191" i="28"/>
  <c r="K192" i="28"/>
  <c r="K193" i="28"/>
  <c r="K194" i="28"/>
  <c r="K195" i="28"/>
  <c r="K196" i="28"/>
  <c r="K197" i="28"/>
  <c r="K198" i="28"/>
  <c r="K199" i="28"/>
  <c r="K200" i="28"/>
  <c r="K201" i="28"/>
  <c r="K202" i="28"/>
  <c r="K203" i="28"/>
  <c r="K204" i="28"/>
  <c r="K205" i="28"/>
  <c r="K206" i="28"/>
  <c r="K207" i="28"/>
  <c r="K208" i="28"/>
  <c r="K209" i="28"/>
  <c r="K210" i="28"/>
  <c r="K211" i="28"/>
  <c r="K212" i="28"/>
  <c r="K213" i="28"/>
  <c r="K214" i="28"/>
  <c r="K215" i="28"/>
  <c r="K216" i="28"/>
  <c r="K217" i="28"/>
  <c r="K218" i="28"/>
  <c r="K219" i="28"/>
  <c r="K220" i="28"/>
  <c r="K221" i="28"/>
  <c r="K222" i="28"/>
  <c r="K223" i="28"/>
  <c r="K224" i="28"/>
  <c r="K225" i="28"/>
  <c r="K226" i="28"/>
  <c r="K227" i="28"/>
  <c r="K228" i="28"/>
  <c r="K229" i="28"/>
  <c r="K230" i="28"/>
  <c r="K231" i="28"/>
  <c r="K232" i="28"/>
  <c r="K233" i="28"/>
  <c r="K234" i="28"/>
  <c r="K235" i="28"/>
  <c r="K236" i="28"/>
  <c r="K237" i="28"/>
  <c r="K238" i="28"/>
  <c r="K239" i="28"/>
  <c r="K240" i="28"/>
  <c r="K241" i="28"/>
  <c r="K242" i="28"/>
  <c r="K243" i="28"/>
  <c r="K244" i="28"/>
  <c r="K245" i="28"/>
  <c r="K246" i="28"/>
  <c r="K247" i="28"/>
  <c r="K248" i="28"/>
  <c r="K249" i="28"/>
  <c r="K250" i="28"/>
  <c r="K251" i="28"/>
  <c r="K252" i="28"/>
  <c r="K253" i="28"/>
  <c r="K254" i="28"/>
  <c r="K255" i="28"/>
  <c r="K256" i="28"/>
  <c r="K257" i="28"/>
  <c r="K258" i="28"/>
  <c r="K259" i="28"/>
  <c r="K260" i="28"/>
  <c r="K261" i="28"/>
  <c r="K262" i="28"/>
  <c r="K263" i="28"/>
  <c r="K264" i="28"/>
  <c r="K265" i="28"/>
  <c r="K266" i="28"/>
  <c r="K267" i="28"/>
  <c r="K268" i="28"/>
  <c r="K269" i="28"/>
  <c r="K270" i="28"/>
  <c r="K271" i="28"/>
  <c r="K272" i="28"/>
  <c r="K273" i="28"/>
  <c r="K274" i="28"/>
  <c r="K275" i="28"/>
  <c r="K276" i="28"/>
  <c r="K277" i="28"/>
  <c r="K278" i="28"/>
  <c r="K279" i="28"/>
  <c r="K280" i="28"/>
  <c r="K281" i="28"/>
  <c r="K282" i="28"/>
  <c r="K283" i="28"/>
  <c r="K284" i="28"/>
  <c r="K285" i="28"/>
  <c r="K286" i="28"/>
  <c r="K287" i="28"/>
  <c r="K288" i="28"/>
  <c r="K289" i="28"/>
  <c r="K290" i="28"/>
  <c r="K291" i="28"/>
  <c r="K292" i="28"/>
  <c r="K293" i="28"/>
  <c r="K294" i="28"/>
  <c r="K295" i="28"/>
  <c r="K296" i="28"/>
  <c r="K297" i="28"/>
  <c r="K298" i="28"/>
  <c r="K299" i="28"/>
  <c r="K300" i="28"/>
  <c r="K301" i="28"/>
  <c r="K302" i="28"/>
  <c r="K303" i="28"/>
  <c r="K3" i="28"/>
  <c r="AF4" i="28"/>
  <c r="M3" i="28"/>
  <c r="G303" i="28"/>
  <c r="G302" i="28"/>
  <c r="G301" i="28"/>
  <c r="G300" i="28"/>
  <c r="G299" i="28"/>
  <c r="G298" i="28"/>
  <c r="G297" i="28"/>
  <c r="G296" i="28"/>
  <c r="G295" i="28"/>
  <c r="G294" i="28"/>
  <c r="G293" i="28"/>
  <c r="G292" i="28"/>
  <c r="G291" i="28"/>
  <c r="G290" i="28"/>
  <c r="G289" i="28"/>
  <c r="G288" i="28"/>
  <c r="G287" i="28"/>
  <c r="G286" i="28"/>
  <c r="G285" i="28"/>
  <c r="G284" i="28"/>
  <c r="G283" i="28"/>
  <c r="G282" i="28"/>
  <c r="G281" i="28"/>
  <c r="G280" i="28"/>
  <c r="G279" i="28"/>
  <c r="G278" i="28"/>
  <c r="G277" i="28"/>
  <c r="G276" i="28"/>
  <c r="G275" i="28"/>
  <c r="G274" i="28"/>
  <c r="G273" i="28"/>
  <c r="G272" i="28"/>
  <c r="G271" i="28"/>
  <c r="G270" i="28"/>
  <c r="G269" i="28"/>
  <c r="G268" i="28"/>
  <c r="G267" i="28"/>
  <c r="G266" i="28"/>
  <c r="G265" i="28"/>
  <c r="G264" i="28"/>
  <c r="G263" i="28"/>
  <c r="G262" i="28"/>
  <c r="G261" i="28"/>
  <c r="G260" i="28"/>
  <c r="G259" i="28"/>
  <c r="G258" i="28"/>
  <c r="G257" i="28"/>
  <c r="G256" i="28"/>
  <c r="G255" i="28"/>
  <c r="G254" i="28"/>
  <c r="G253" i="28"/>
  <c r="G252" i="28"/>
  <c r="G251" i="28"/>
  <c r="G250" i="28"/>
  <c r="G249" i="28"/>
  <c r="G248" i="28"/>
  <c r="G247" i="28"/>
  <c r="G246" i="28"/>
  <c r="G245" i="28"/>
  <c r="G244" i="28"/>
  <c r="G243" i="28"/>
  <c r="G242" i="28"/>
  <c r="G241" i="28"/>
  <c r="G240" i="28"/>
  <c r="G239" i="28"/>
  <c r="G238" i="28"/>
  <c r="G237" i="28"/>
  <c r="G236" i="28"/>
  <c r="G235" i="28"/>
  <c r="G234" i="28"/>
  <c r="G233" i="28"/>
  <c r="G232" i="28"/>
  <c r="G231" i="28"/>
  <c r="G230" i="28"/>
  <c r="G229" i="28"/>
  <c r="G228" i="28"/>
  <c r="G227" i="28"/>
  <c r="G226" i="28"/>
  <c r="G225" i="28"/>
  <c r="G224" i="28"/>
  <c r="G223" i="28"/>
  <c r="G222" i="28"/>
  <c r="G221" i="28"/>
  <c r="G220" i="28"/>
  <c r="G219" i="28"/>
  <c r="G218" i="28"/>
  <c r="G217" i="28"/>
  <c r="G216" i="28"/>
  <c r="G215" i="28"/>
  <c r="G214" i="28"/>
  <c r="G213" i="28"/>
  <c r="G212" i="28"/>
  <c r="G211" i="28"/>
  <c r="G210" i="28"/>
  <c r="G209" i="28"/>
  <c r="G208" i="28"/>
  <c r="G207" i="28"/>
  <c r="G206" i="28"/>
  <c r="G205" i="28"/>
  <c r="G204" i="28"/>
  <c r="G203" i="28"/>
  <c r="G202" i="28"/>
  <c r="G201" i="28"/>
  <c r="G200" i="28"/>
  <c r="G199" i="28"/>
  <c r="G198" i="28"/>
  <c r="G197" i="28"/>
  <c r="G196" i="28"/>
  <c r="G195" i="28"/>
  <c r="G194" i="28"/>
  <c r="G193" i="28"/>
  <c r="G192" i="28"/>
  <c r="G191" i="28"/>
  <c r="G190" i="28"/>
  <c r="G189" i="28"/>
  <c r="G188" i="28"/>
  <c r="G187" i="28"/>
  <c r="G186" i="28"/>
  <c r="G185" i="28"/>
  <c r="G184" i="28"/>
  <c r="G183" i="28"/>
  <c r="G182" i="28"/>
  <c r="G181" i="28"/>
  <c r="G180" i="28"/>
  <c r="G179" i="28"/>
  <c r="G178" i="28"/>
  <c r="G177" i="28"/>
  <c r="G176" i="28"/>
  <c r="G175" i="28"/>
  <c r="G174" i="28"/>
  <c r="G173" i="28"/>
  <c r="G172" i="28"/>
  <c r="G171" i="28"/>
  <c r="G170" i="28"/>
  <c r="G169" i="28"/>
  <c r="G168" i="28"/>
  <c r="G167" i="28"/>
  <c r="G166" i="28"/>
  <c r="G165" i="28"/>
  <c r="G164" i="28"/>
  <c r="G163" i="28"/>
  <c r="G162" i="28"/>
  <c r="G161" i="28"/>
  <c r="G160" i="28"/>
  <c r="G159" i="28"/>
  <c r="G158" i="28"/>
  <c r="G157" i="28"/>
  <c r="G156" i="28"/>
  <c r="G155" i="28"/>
  <c r="G154" i="28"/>
  <c r="G153" i="28"/>
  <c r="G152" i="28"/>
  <c r="G151" i="28"/>
  <c r="G150" i="28"/>
  <c r="G149" i="28"/>
  <c r="G148" i="28"/>
  <c r="G147" i="28"/>
  <c r="G146" i="28"/>
  <c r="G145" i="28"/>
  <c r="G144" i="28"/>
  <c r="G143" i="28"/>
  <c r="G142" i="28"/>
  <c r="G141" i="28"/>
  <c r="G140" i="28"/>
  <c r="G139" i="28"/>
  <c r="G138" i="28"/>
  <c r="G137" i="28"/>
  <c r="G136" i="28"/>
  <c r="G135" i="28"/>
  <c r="G134" i="28"/>
  <c r="G133" i="28"/>
  <c r="G132" i="28"/>
  <c r="G131" i="28"/>
  <c r="G130" i="28"/>
  <c r="G129" i="28"/>
  <c r="G128" i="28"/>
  <c r="G127" i="28"/>
  <c r="G126" i="28"/>
  <c r="G125" i="28"/>
  <c r="G124" i="28"/>
  <c r="G123" i="28"/>
  <c r="G122" i="28"/>
  <c r="G121" i="28"/>
  <c r="G120" i="28"/>
  <c r="G119" i="28"/>
  <c r="G118" i="28"/>
  <c r="G117"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G85" i="28"/>
  <c r="G84" i="28"/>
  <c r="G83" i="28"/>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E4" i="28"/>
  <c r="G3" i="28"/>
  <c r="E3" i="28"/>
  <c r="E5" i="28"/>
  <c r="E6" i="28"/>
  <c r="E7" i="28"/>
  <c r="E8" i="28"/>
  <c r="E9" i="28"/>
  <c r="E10" i="28"/>
  <c r="E11" i="28"/>
  <c r="E12" i="28"/>
  <c r="E13" i="28"/>
  <c r="E14" i="28"/>
  <c r="E15" i="28"/>
  <c r="E16" i="28"/>
  <c r="E17" i="28"/>
  <c r="E18" i="28"/>
  <c r="E19" i="28"/>
  <c r="E20" i="28"/>
  <c r="E21" i="28"/>
  <c r="E22" i="28"/>
  <c r="E23" i="28"/>
  <c r="E24" i="28"/>
  <c r="E25" i="28"/>
  <c r="E26" i="28"/>
  <c r="V15" i="26"/>
  <c r="V14" i="26"/>
  <c r="V13" i="26"/>
  <c r="V12" i="26"/>
  <c r="V11" i="26"/>
  <c r="V10" i="26"/>
  <c r="V9" i="26"/>
  <c r="V8" i="26"/>
  <c r="V7" i="26"/>
  <c r="V6" i="26"/>
  <c r="V5" i="26"/>
  <c r="V4" i="26"/>
  <c r="V3" i="26"/>
  <c r="AF303" i="28"/>
  <c r="M303" i="28"/>
  <c r="E303" i="28"/>
  <c r="AF302" i="28"/>
  <c r="M302" i="28"/>
  <c r="E302" i="28"/>
  <c r="AF301" i="28"/>
  <c r="M301" i="28"/>
  <c r="E301" i="28"/>
  <c r="AF300" i="28"/>
  <c r="M300" i="28"/>
  <c r="E300" i="28"/>
  <c r="AF299" i="28"/>
  <c r="M299" i="28"/>
  <c r="E299" i="28"/>
  <c r="AF298" i="28"/>
  <c r="M298" i="28"/>
  <c r="E298" i="28"/>
  <c r="AF297" i="28"/>
  <c r="M297" i="28"/>
  <c r="E297" i="28"/>
  <c r="AF296" i="28"/>
  <c r="M296" i="28"/>
  <c r="E296" i="28"/>
  <c r="AF295" i="28"/>
  <c r="M295" i="28"/>
  <c r="E295" i="28"/>
  <c r="AF294" i="28"/>
  <c r="M294" i="28"/>
  <c r="E294" i="28"/>
  <c r="AF293" i="28"/>
  <c r="M293" i="28"/>
  <c r="E293" i="28"/>
  <c r="AF292" i="28"/>
  <c r="M292" i="28"/>
  <c r="E292" i="28"/>
  <c r="AF291" i="28"/>
  <c r="M291" i="28"/>
  <c r="E291" i="28"/>
  <c r="AF290" i="28"/>
  <c r="M290" i="28"/>
  <c r="E290" i="28"/>
  <c r="AF289" i="28"/>
  <c r="M289" i="28"/>
  <c r="E289" i="28"/>
  <c r="AF288" i="28"/>
  <c r="M288" i="28"/>
  <c r="E288" i="28"/>
  <c r="AF287" i="28"/>
  <c r="M287" i="28"/>
  <c r="E287" i="28"/>
  <c r="AF286" i="28"/>
  <c r="M286" i="28"/>
  <c r="E286" i="28"/>
  <c r="AF285" i="28"/>
  <c r="M285" i="28"/>
  <c r="E285" i="28"/>
  <c r="AF284" i="28"/>
  <c r="M284" i="28"/>
  <c r="E284" i="28"/>
  <c r="AF283" i="28"/>
  <c r="M283" i="28"/>
  <c r="E283" i="28"/>
  <c r="AF282" i="28"/>
  <c r="M282" i="28"/>
  <c r="E282" i="28"/>
  <c r="AF281" i="28"/>
  <c r="M281" i="28"/>
  <c r="E281" i="28"/>
  <c r="AF280" i="28"/>
  <c r="M280" i="28"/>
  <c r="E280" i="28"/>
  <c r="AF279" i="28"/>
  <c r="M279" i="28"/>
  <c r="E279" i="28"/>
  <c r="AF278" i="28"/>
  <c r="M278" i="28"/>
  <c r="E278" i="28"/>
  <c r="AF277" i="28"/>
  <c r="M277" i="28"/>
  <c r="E277" i="28"/>
  <c r="AF276" i="28"/>
  <c r="M276" i="28"/>
  <c r="E276" i="28"/>
  <c r="AF275" i="28"/>
  <c r="M275" i="28"/>
  <c r="E275" i="28"/>
  <c r="AF274" i="28"/>
  <c r="M274" i="28"/>
  <c r="E274" i="28"/>
  <c r="AF273" i="28"/>
  <c r="M273" i="28"/>
  <c r="E273" i="28"/>
  <c r="AF272" i="28"/>
  <c r="M272" i="28"/>
  <c r="E272" i="28"/>
  <c r="AF271" i="28"/>
  <c r="M271" i="28"/>
  <c r="E271" i="28"/>
  <c r="AF270" i="28"/>
  <c r="M270" i="28"/>
  <c r="E270" i="28"/>
  <c r="AF269" i="28"/>
  <c r="M269" i="28"/>
  <c r="E269" i="28"/>
  <c r="AF268" i="28"/>
  <c r="M268" i="28"/>
  <c r="E268" i="28"/>
  <c r="AF267" i="28"/>
  <c r="M267" i="28"/>
  <c r="E267" i="28"/>
  <c r="AF266" i="28"/>
  <c r="M266" i="28"/>
  <c r="E266" i="28"/>
  <c r="AF265" i="28"/>
  <c r="M265" i="28"/>
  <c r="E265" i="28"/>
  <c r="AF264" i="28"/>
  <c r="M264" i="28"/>
  <c r="E264" i="28"/>
  <c r="AF263" i="28"/>
  <c r="M263" i="28"/>
  <c r="E263" i="28"/>
  <c r="AF262" i="28"/>
  <c r="M262" i="28"/>
  <c r="E262" i="28"/>
  <c r="AF261" i="28"/>
  <c r="M261" i="28"/>
  <c r="E261" i="28"/>
  <c r="AF260" i="28"/>
  <c r="M260" i="28"/>
  <c r="E260" i="28"/>
  <c r="AF259" i="28"/>
  <c r="M259" i="28"/>
  <c r="E259" i="28"/>
  <c r="AF258" i="28"/>
  <c r="M258" i="28"/>
  <c r="E258" i="28"/>
  <c r="AF257" i="28"/>
  <c r="M257" i="28"/>
  <c r="E257" i="28"/>
  <c r="AF256" i="28"/>
  <c r="M256" i="28"/>
  <c r="E256" i="28"/>
  <c r="AF255" i="28"/>
  <c r="M255" i="28"/>
  <c r="E255" i="28"/>
  <c r="AF254" i="28"/>
  <c r="M254" i="28"/>
  <c r="E254" i="28"/>
  <c r="AF253" i="28"/>
  <c r="M253" i="28"/>
  <c r="E253" i="28"/>
  <c r="AF252" i="28"/>
  <c r="M252" i="28"/>
  <c r="E252" i="28"/>
  <c r="AF251" i="28"/>
  <c r="M251" i="28"/>
  <c r="E251" i="28"/>
  <c r="AF250" i="28"/>
  <c r="M250" i="28"/>
  <c r="E250" i="28"/>
  <c r="AF249" i="28"/>
  <c r="M249" i="28"/>
  <c r="E249" i="28"/>
  <c r="AF248" i="28"/>
  <c r="M248" i="28"/>
  <c r="E248" i="28"/>
  <c r="AF247" i="28"/>
  <c r="M247" i="28"/>
  <c r="E247" i="28"/>
  <c r="AF246" i="28"/>
  <c r="M246" i="28"/>
  <c r="E246" i="28"/>
  <c r="AF245" i="28"/>
  <c r="M245" i="28"/>
  <c r="E245" i="28"/>
  <c r="AF244" i="28"/>
  <c r="M244" i="28"/>
  <c r="E244" i="28"/>
  <c r="AF243" i="28"/>
  <c r="M243" i="28"/>
  <c r="E243" i="28"/>
  <c r="AF242" i="28"/>
  <c r="M242" i="28"/>
  <c r="E242" i="28"/>
  <c r="AF241" i="28"/>
  <c r="M241" i="28"/>
  <c r="E241" i="28"/>
  <c r="AF240" i="28"/>
  <c r="M240" i="28"/>
  <c r="E240" i="28"/>
  <c r="AF239" i="28"/>
  <c r="M239" i="28"/>
  <c r="E239" i="28"/>
  <c r="AF238" i="28"/>
  <c r="M238" i="28"/>
  <c r="E238" i="28"/>
  <c r="AF237" i="28"/>
  <c r="M237" i="28"/>
  <c r="E237" i="28"/>
  <c r="AF236" i="28"/>
  <c r="M236" i="28"/>
  <c r="E236" i="28"/>
  <c r="AF235" i="28"/>
  <c r="M235" i="28"/>
  <c r="E235" i="28"/>
  <c r="AF234" i="28"/>
  <c r="M234" i="28"/>
  <c r="E234" i="28"/>
  <c r="AF233" i="28"/>
  <c r="M233" i="28"/>
  <c r="E233" i="28"/>
  <c r="AF232" i="28"/>
  <c r="M232" i="28"/>
  <c r="E232" i="28"/>
  <c r="AF231" i="28"/>
  <c r="M231" i="28"/>
  <c r="E231" i="28"/>
  <c r="AF230" i="28"/>
  <c r="M230" i="28"/>
  <c r="E230" i="28"/>
  <c r="AF229" i="28"/>
  <c r="M229" i="28"/>
  <c r="E229" i="28"/>
  <c r="AF228" i="28"/>
  <c r="M228" i="28"/>
  <c r="E228" i="28"/>
  <c r="AF227" i="28"/>
  <c r="M227" i="28"/>
  <c r="E227" i="28"/>
  <c r="AF226" i="28"/>
  <c r="M226" i="28"/>
  <c r="E226" i="28"/>
  <c r="AF225" i="28"/>
  <c r="M225" i="28"/>
  <c r="E225" i="28"/>
  <c r="AF224" i="28"/>
  <c r="M224" i="28"/>
  <c r="E224" i="28"/>
  <c r="AF223" i="28"/>
  <c r="M223" i="28"/>
  <c r="E223" i="28"/>
  <c r="AF222" i="28"/>
  <c r="M222" i="28"/>
  <c r="E222" i="28"/>
  <c r="AF221" i="28"/>
  <c r="M221" i="28"/>
  <c r="E221" i="28"/>
  <c r="AF220" i="28"/>
  <c r="M220" i="28"/>
  <c r="E220" i="28"/>
  <c r="AF219" i="28"/>
  <c r="M219" i="28"/>
  <c r="E219" i="28"/>
  <c r="AF218" i="28"/>
  <c r="M218" i="28"/>
  <c r="E218" i="28"/>
  <c r="AF217" i="28"/>
  <c r="M217" i="28"/>
  <c r="E217" i="28"/>
  <c r="AF216" i="28"/>
  <c r="M216" i="28"/>
  <c r="E216" i="28"/>
  <c r="AF215" i="28"/>
  <c r="M215" i="28"/>
  <c r="E215" i="28"/>
  <c r="AF214" i="28"/>
  <c r="M214" i="28"/>
  <c r="E214" i="28"/>
  <c r="AF213" i="28"/>
  <c r="M213" i="28"/>
  <c r="E213" i="28"/>
  <c r="AF212" i="28"/>
  <c r="M212" i="28"/>
  <c r="E212" i="28"/>
  <c r="AF211" i="28"/>
  <c r="M211" i="28"/>
  <c r="E211" i="28"/>
  <c r="AF210" i="28"/>
  <c r="M210" i="28"/>
  <c r="E210" i="28"/>
  <c r="AF209" i="28"/>
  <c r="M209" i="28"/>
  <c r="E209" i="28"/>
  <c r="AF208" i="28"/>
  <c r="M208" i="28"/>
  <c r="E208" i="28"/>
  <c r="AF207" i="28"/>
  <c r="M207" i="28"/>
  <c r="E207" i="28"/>
  <c r="AF206" i="28"/>
  <c r="M206" i="28"/>
  <c r="E206" i="28"/>
  <c r="AF205" i="28"/>
  <c r="M205" i="28"/>
  <c r="E205" i="28"/>
  <c r="AF204" i="28"/>
  <c r="M204" i="28"/>
  <c r="E204" i="28"/>
  <c r="AF203" i="28"/>
  <c r="M203" i="28"/>
  <c r="E203" i="28"/>
  <c r="AF202" i="28"/>
  <c r="M202" i="28"/>
  <c r="E202" i="28"/>
  <c r="AF201" i="28"/>
  <c r="M201" i="28"/>
  <c r="E201" i="28"/>
  <c r="AF200" i="28"/>
  <c r="M200" i="28"/>
  <c r="E200" i="28"/>
  <c r="AF199" i="28"/>
  <c r="M199" i="28"/>
  <c r="E199" i="28"/>
  <c r="AF198" i="28"/>
  <c r="M198" i="28"/>
  <c r="E198" i="28"/>
  <c r="AF197" i="28"/>
  <c r="M197" i="28"/>
  <c r="E197" i="28"/>
  <c r="AF196" i="28"/>
  <c r="M196" i="28"/>
  <c r="E196" i="28"/>
  <c r="AF195" i="28"/>
  <c r="M195" i="28"/>
  <c r="E195" i="28"/>
  <c r="AF194" i="28"/>
  <c r="M194" i="28"/>
  <c r="E194" i="28"/>
  <c r="AF193" i="28"/>
  <c r="M193" i="28"/>
  <c r="E193" i="28"/>
  <c r="AF192" i="28"/>
  <c r="M192" i="28"/>
  <c r="E192" i="28"/>
  <c r="AF191" i="28"/>
  <c r="M191" i="28"/>
  <c r="E191" i="28"/>
  <c r="AF190" i="28"/>
  <c r="M190" i="28"/>
  <c r="E190" i="28"/>
  <c r="AF189" i="28"/>
  <c r="M189" i="28"/>
  <c r="E189" i="28"/>
  <c r="AF188" i="28"/>
  <c r="M188" i="28"/>
  <c r="E188" i="28"/>
  <c r="AF187" i="28"/>
  <c r="M187" i="28"/>
  <c r="E187" i="28"/>
  <c r="AF186" i="28"/>
  <c r="M186" i="28"/>
  <c r="E186" i="28"/>
  <c r="AF185" i="28"/>
  <c r="M185" i="28"/>
  <c r="E185" i="28"/>
  <c r="AF184" i="28"/>
  <c r="M184" i="28"/>
  <c r="E184" i="28"/>
  <c r="AF183" i="28"/>
  <c r="M183" i="28"/>
  <c r="E183" i="28"/>
  <c r="AF182" i="28"/>
  <c r="M182" i="28"/>
  <c r="E182" i="28"/>
  <c r="AF181" i="28"/>
  <c r="M181" i="28"/>
  <c r="E181" i="28"/>
  <c r="AF180" i="28"/>
  <c r="M180" i="28"/>
  <c r="E180" i="28"/>
  <c r="AF179" i="28"/>
  <c r="M179" i="28"/>
  <c r="E179" i="28"/>
  <c r="AF178" i="28"/>
  <c r="M178" i="28"/>
  <c r="E178" i="28"/>
  <c r="AF177" i="28"/>
  <c r="M177" i="28"/>
  <c r="E177" i="28"/>
  <c r="AF176" i="28"/>
  <c r="M176" i="28"/>
  <c r="E176" i="28"/>
  <c r="AF175" i="28"/>
  <c r="M175" i="28"/>
  <c r="E175" i="28"/>
  <c r="AF174" i="28"/>
  <c r="M174" i="28"/>
  <c r="E174" i="28"/>
  <c r="AF173" i="28"/>
  <c r="M173" i="28"/>
  <c r="E173" i="28"/>
  <c r="AF172" i="28"/>
  <c r="M172" i="28"/>
  <c r="E172" i="28"/>
  <c r="AF171" i="28"/>
  <c r="M171" i="28"/>
  <c r="E171" i="28"/>
  <c r="AF170" i="28"/>
  <c r="M170" i="28"/>
  <c r="E170" i="28"/>
  <c r="AF169" i="28"/>
  <c r="M169" i="28"/>
  <c r="E169" i="28"/>
  <c r="AF168" i="28"/>
  <c r="M168" i="28"/>
  <c r="E168" i="28"/>
  <c r="AF167" i="28"/>
  <c r="M167" i="28"/>
  <c r="E167" i="28"/>
  <c r="AF166" i="28"/>
  <c r="M166" i="28"/>
  <c r="E166" i="28"/>
  <c r="AF165" i="28"/>
  <c r="M165" i="28"/>
  <c r="E165" i="28"/>
  <c r="AF164" i="28"/>
  <c r="M164" i="28"/>
  <c r="E164" i="28"/>
  <c r="AF163" i="28"/>
  <c r="M163" i="28"/>
  <c r="E163" i="28"/>
  <c r="AF162" i="28"/>
  <c r="M162" i="28"/>
  <c r="E162" i="28"/>
  <c r="AF161" i="28"/>
  <c r="M161" i="28"/>
  <c r="E161" i="28"/>
  <c r="AF160" i="28"/>
  <c r="M160" i="28"/>
  <c r="E160" i="28"/>
  <c r="AF159" i="28"/>
  <c r="M159" i="28"/>
  <c r="E159" i="28"/>
  <c r="AF158" i="28"/>
  <c r="M158" i="28"/>
  <c r="E158" i="28"/>
  <c r="AF157" i="28"/>
  <c r="M157" i="28"/>
  <c r="E157" i="28"/>
  <c r="AF156" i="28"/>
  <c r="M156" i="28"/>
  <c r="E156" i="28"/>
  <c r="AF155" i="28"/>
  <c r="M155" i="28"/>
  <c r="E155" i="28"/>
  <c r="AF154" i="28"/>
  <c r="M154" i="28"/>
  <c r="E154" i="28"/>
  <c r="AF153" i="28"/>
  <c r="M153" i="28"/>
  <c r="E153" i="28"/>
  <c r="AF152" i="28"/>
  <c r="M152" i="28"/>
  <c r="E152" i="28"/>
  <c r="AF151" i="28"/>
  <c r="M151" i="28"/>
  <c r="E151" i="28"/>
  <c r="AF150" i="28"/>
  <c r="M150" i="28"/>
  <c r="E150" i="28"/>
  <c r="AF149" i="28"/>
  <c r="M149" i="28"/>
  <c r="E149" i="28"/>
  <c r="AF148" i="28"/>
  <c r="M148" i="28"/>
  <c r="E148" i="28"/>
  <c r="AF147" i="28"/>
  <c r="M147" i="28"/>
  <c r="E147" i="28"/>
  <c r="AF146" i="28"/>
  <c r="M146" i="28"/>
  <c r="E146" i="28"/>
  <c r="AF145" i="28"/>
  <c r="M145" i="28"/>
  <c r="E145" i="28"/>
  <c r="AF144" i="28"/>
  <c r="M144" i="28"/>
  <c r="E144" i="28"/>
  <c r="AF143" i="28"/>
  <c r="M143" i="28"/>
  <c r="E143" i="28"/>
  <c r="AF142" i="28"/>
  <c r="M142" i="28"/>
  <c r="E142" i="28"/>
  <c r="AF141" i="28"/>
  <c r="M141" i="28"/>
  <c r="E141" i="28"/>
  <c r="AF140" i="28"/>
  <c r="M140" i="28"/>
  <c r="E140" i="28"/>
  <c r="AF139" i="28"/>
  <c r="M139" i="28"/>
  <c r="E139" i="28"/>
  <c r="AF138" i="28"/>
  <c r="M138" i="28"/>
  <c r="E138" i="28"/>
  <c r="AF137" i="28"/>
  <c r="M137" i="28"/>
  <c r="E137" i="28"/>
  <c r="AF136" i="28"/>
  <c r="M136" i="28"/>
  <c r="E136" i="28"/>
  <c r="AF135" i="28"/>
  <c r="M135" i="28"/>
  <c r="E135" i="28"/>
  <c r="AF134" i="28"/>
  <c r="M134" i="28"/>
  <c r="E134" i="28"/>
  <c r="AF133" i="28"/>
  <c r="M133" i="28"/>
  <c r="E133" i="28"/>
  <c r="AF132" i="28"/>
  <c r="M132" i="28"/>
  <c r="E132" i="28"/>
  <c r="AF131" i="28"/>
  <c r="M131" i="28"/>
  <c r="E131" i="28"/>
  <c r="AF130" i="28"/>
  <c r="M130" i="28"/>
  <c r="E130" i="28"/>
  <c r="AF129" i="28"/>
  <c r="M129" i="28"/>
  <c r="E129" i="28"/>
  <c r="AF128" i="28"/>
  <c r="M128" i="28"/>
  <c r="E128" i="28"/>
  <c r="AF127" i="28"/>
  <c r="M127" i="28"/>
  <c r="E127" i="28"/>
  <c r="AF126" i="28"/>
  <c r="M126" i="28"/>
  <c r="E126" i="28"/>
  <c r="AF125" i="28"/>
  <c r="M125" i="28"/>
  <c r="E125" i="28"/>
  <c r="AF124" i="28"/>
  <c r="M124" i="28"/>
  <c r="E124" i="28"/>
  <c r="AF123" i="28"/>
  <c r="M123" i="28"/>
  <c r="E123" i="28"/>
  <c r="AF122" i="28"/>
  <c r="M122" i="28"/>
  <c r="E122" i="28"/>
  <c r="AF121" i="28"/>
  <c r="M121" i="28"/>
  <c r="E121" i="28"/>
  <c r="AF120" i="28"/>
  <c r="M120" i="28"/>
  <c r="E120" i="28"/>
  <c r="AF119" i="28"/>
  <c r="M119" i="28"/>
  <c r="E119" i="28"/>
  <c r="AF118" i="28"/>
  <c r="M118" i="28"/>
  <c r="E118" i="28"/>
  <c r="AF117" i="28"/>
  <c r="M117" i="28"/>
  <c r="E117" i="28"/>
  <c r="AF116" i="28"/>
  <c r="M116" i="28"/>
  <c r="E116" i="28"/>
  <c r="AF115" i="28"/>
  <c r="M115" i="28"/>
  <c r="E115" i="28"/>
  <c r="AF114" i="28"/>
  <c r="M114" i="28"/>
  <c r="E114" i="28"/>
  <c r="AF113" i="28"/>
  <c r="M113" i="28"/>
  <c r="E113" i="28"/>
  <c r="AF112" i="28"/>
  <c r="M112" i="28"/>
  <c r="E112" i="28"/>
  <c r="AF111" i="28"/>
  <c r="M111" i="28"/>
  <c r="E111" i="28"/>
  <c r="AF110" i="28"/>
  <c r="M110" i="28"/>
  <c r="E110" i="28"/>
  <c r="AF109" i="28"/>
  <c r="M109" i="28"/>
  <c r="E109" i="28"/>
  <c r="AF108" i="28"/>
  <c r="M108" i="28"/>
  <c r="E108" i="28"/>
  <c r="AF107" i="28"/>
  <c r="M107" i="28"/>
  <c r="E107" i="28"/>
  <c r="AF106" i="28"/>
  <c r="M106" i="28"/>
  <c r="E106" i="28"/>
  <c r="AF105" i="28"/>
  <c r="M105" i="28"/>
  <c r="E105" i="28"/>
  <c r="AF104" i="28"/>
  <c r="M104" i="28"/>
  <c r="E104" i="28"/>
  <c r="AF103" i="28"/>
  <c r="M103" i="28"/>
  <c r="E103" i="28"/>
  <c r="AF102" i="28"/>
  <c r="M102" i="28"/>
  <c r="E102" i="28"/>
  <c r="AF101" i="28"/>
  <c r="M101" i="28"/>
  <c r="E101" i="28"/>
  <c r="AF100" i="28"/>
  <c r="M100" i="28"/>
  <c r="E100" i="28"/>
  <c r="AF99" i="28"/>
  <c r="M99" i="28"/>
  <c r="E99" i="28"/>
  <c r="AF98" i="28"/>
  <c r="M98" i="28"/>
  <c r="E98" i="28"/>
  <c r="AF97" i="28"/>
  <c r="M97" i="28"/>
  <c r="E97" i="28"/>
  <c r="AF96" i="28"/>
  <c r="M96" i="28"/>
  <c r="E96" i="28"/>
  <c r="AF95" i="28"/>
  <c r="M95" i="28"/>
  <c r="E95" i="28"/>
  <c r="AF94" i="28"/>
  <c r="M94" i="28"/>
  <c r="E94" i="28"/>
  <c r="AF93" i="28"/>
  <c r="M93" i="28"/>
  <c r="E93" i="28"/>
  <c r="AF92" i="28"/>
  <c r="M92" i="28"/>
  <c r="E92" i="28"/>
  <c r="AF91" i="28"/>
  <c r="M91" i="28"/>
  <c r="E91" i="28"/>
  <c r="AF90" i="28"/>
  <c r="M90" i="28"/>
  <c r="E90" i="28"/>
  <c r="AF89" i="28"/>
  <c r="M89" i="28"/>
  <c r="E89" i="28"/>
  <c r="AF88" i="28"/>
  <c r="M88" i="28"/>
  <c r="E88" i="28"/>
  <c r="AF87" i="28"/>
  <c r="M87" i="28"/>
  <c r="E87" i="28"/>
  <c r="AF86" i="28"/>
  <c r="M86" i="28"/>
  <c r="E86" i="28"/>
  <c r="AF85" i="28"/>
  <c r="M85" i="28"/>
  <c r="E85" i="28"/>
  <c r="AF84" i="28"/>
  <c r="M84" i="28"/>
  <c r="E84" i="28"/>
  <c r="AF83" i="28"/>
  <c r="M83" i="28"/>
  <c r="E83" i="28"/>
  <c r="AF82" i="28"/>
  <c r="M82" i="28"/>
  <c r="E82" i="28"/>
  <c r="AF81" i="28"/>
  <c r="M81" i="28"/>
  <c r="E81" i="28"/>
  <c r="AF80" i="28"/>
  <c r="M80" i="28"/>
  <c r="E80" i="28"/>
  <c r="AF79" i="28"/>
  <c r="M79" i="28"/>
  <c r="E79" i="28"/>
  <c r="AF78" i="28"/>
  <c r="M78" i="28"/>
  <c r="E78" i="28"/>
  <c r="AF77" i="28"/>
  <c r="M77" i="28"/>
  <c r="E77" i="28"/>
  <c r="AF76" i="28"/>
  <c r="M76" i="28"/>
  <c r="E76" i="28"/>
  <c r="AF75" i="28"/>
  <c r="M75" i="28"/>
  <c r="E75" i="28"/>
  <c r="AF74" i="28"/>
  <c r="M74" i="28"/>
  <c r="E74" i="28"/>
  <c r="AF73" i="28"/>
  <c r="M73" i="28"/>
  <c r="E73" i="28"/>
  <c r="AF72" i="28"/>
  <c r="M72" i="28"/>
  <c r="E72" i="28"/>
  <c r="AF71" i="28"/>
  <c r="M71" i="28"/>
  <c r="E71" i="28"/>
  <c r="AF70" i="28"/>
  <c r="M70" i="28"/>
  <c r="E70" i="28"/>
  <c r="AF69" i="28"/>
  <c r="M69" i="28"/>
  <c r="E69" i="28"/>
  <c r="AF68" i="28"/>
  <c r="M68" i="28"/>
  <c r="E68" i="28"/>
  <c r="AF67" i="28"/>
  <c r="M67" i="28"/>
  <c r="E67" i="28"/>
  <c r="AF66" i="28"/>
  <c r="M66" i="28"/>
  <c r="E66" i="28"/>
  <c r="AF65" i="28"/>
  <c r="M65" i="28"/>
  <c r="E65" i="28"/>
  <c r="AF64" i="28"/>
  <c r="M64" i="28"/>
  <c r="E64" i="28"/>
  <c r="AF63" i="28"/>
  <c r="M63" i="28"/>
  <c r="E63" i="28"/>
  <c r="AF62" i="28"/>
  <c r="M62" i="28"/>
  <c r="E62" i="28"/>
  <c r="AF61" i="28"/>
  <c r="M61" i="28"/>
  <c r="E61" i="28"/>
  <c r="AF60" i="28"/>
  <c r="M60" i="28"/>
  <c r="E60" i="28"/>
  <c r="AF59" i="28"/>
  <c r="M59" i="28"/>
  <c r="E59" i="28"/>
  <c r="AF58" i="28"/>
  <c r="M58" i="28"/>
  <c r="E58" i="28"/>
  <c r="AF57" i="28"/>
  <c r="M57" i="28"/>
  <c r="E57" i="28"/>
  <c r="AF56" i="28"/>
  <c r="M56" i="28"/>
  <c r="E56" i="28"/>
  <c r="AF55" i="28"/>
  <c r="M55" i="28"/>
  <c r="E55" i="28"/>
  <c r="AF54" i="28"/>
  <c r="M54" i="28"/>
  <c r="E54" i="28"/>
  <c r="AF53" i="28"/>
  <c r="M53" i="28"/>
  <c r="E53" i="28"/>
  <c r="AF52" i="28"/>
  <c r="M52" i="28"/>
  <c r="E52" i="28"/>
  <c r="AF51" i="28"/>
  <c r="M51" i="28"/>
  <c r="E51" i="28"/>
  <c r="AF50" i="28"/>
  <c r="M50" i="28"/>
  <c r="E50" i="28"/>
  <c r="AF49" i="28"/>
  <c r="M49" i="28"/>
  <c r="E49" i="28"/>
  <c r="AF48" i="28"/>
  <c r="M48" i="28"/>
  <c r="E48" i="28"/>
  <c r="AF47" i="28"/>
  <c r="M47" i="28"/>
  <c r="E47" i="28"/>
  <c r="AF46" i="28"/>
  <c r="M46" i="28"/>
  <c r="E46" i="28"/>
  <c r="AF45" i="28"/>
  <c r="M45" i="28"/>
  <c r="E45" i="28"/>
  <c r="AF44" i="28"/>
  <c r="M44" i="28"/>
  <c r="E44" i="28"/>
  <c r="AF43" i="28"/>
  <c r="M43" i="28"/>
  <c r="E43" i="28"/>
  <c r="AF42" i="28"/>
  <c r="M42" i="28"/>
  <c r="E42" i="28"/>
  <c r="AF41" i="28"/>
  <c r="M41" i="28"/>
  <c r="E41" i="28"/>
  <c r="AF40" i="28"/>
  <c r="M40" i="28"/>
  <c r="E40" i="28"/>
  <c r="AF39" i="28"/>
  <c r="M39" i="28"/>
  <c r="E39" i="28"/>
  <c r="AF38" i="28"/>
  <c r="M38" i="28"/>
  <c r="E38" i="28"/>
  <c r="AF37" i="28"/>
  <c r="M37" i="28"/>
  <c r="E37" i="28"/>
  <c r="AF36" i="28"/>
  <c r="M36" i="28"/>
  <c r="E36" i="28"/>
  <c r="AF35" i="28"/>
  <c r="M35" i="28"/>
  <c r="E35" i="28"/>
  <c r="AF34" i="28"/>
  <c r="M34" i="28"/>
  <c r="E34" i="28"/>
  <c r="AF33" i="28"/>
  <c r="M33" i="28"/>
  <c r="E33" i="28"/>
  <c r="AF32" i="28"/>
  <c r="M32" i="28"/>
  <c r="E32" i="28"/>
  <c r="AF31" i="28"/>
  <c r="M31" i="28"/>
  <c r="E31" i="28"/>
  <c r="AF30" i="28"/>
  <c r="M30" i="28"/>
  <c r="E30" i="28"/>
  <c r="AF29" i="28"/>
  <c r="M29" i="28"/>
  <c r="E29" i="28"/>
  <c r="AF28" i="28"/>
  <c r="M28" i="28"/>
  <c r="E28" i="28"/>
  <c r="AF27" i="28"/>
  <c r="M27" i="28"/>
  <c r="E27" i="28"/>
  <c r="AF26" i="28"/>
  <c r="M26" i="28"/>
  <c r="AF25" i="28"/>
  <c r="M25" i="28"/>
  <c r="AF24" i="28"/>
  <c r="M24" i="28"/>
  <c r="AF23" i="28"/>
  <c r="M23" i="28"/>
  <c r="AF22" i="28"/>
  <c r="M22" i="28"/>
  <c r="AF21" i="28"/>
  <c r="M21" i="28"/>
  <c r="AF20" i="28"/>
  <c r="M20" i="28"/>
  <c r="AF19" i="28"/>
  <c r="M19" i="28"/>
  <c r="AF18" i="28"/>
  <c r="M18" i="28"/>
  <c r="AF17" i="28"/>
  <c r="M17" i="28"/>
  <c r="AF16" i="28"/>
  <c r="M16" i="28"/>
  <c r="AF15" i="28"/>
  <c r="M15" i="28"/>
  <c r="AF14" i="28"/>
  <c r="M14" i="28"/>
  <c r="AF13" i="28"/>
  <c r="M13" i="28"/>
  <c r="AF12" i="28"/>
  <c r="M12" i="28"/>
  <c r="AF11" i="28"/>
  <c r="M11" i="28"/>
  <c r="AF10" i="28"/>
  <c r="M10" i="28"/>
  <c r="AF9" i="28"/>
  <c r="M9" i="28"/>
  <c r="AF8" i="28"/>
  <c r="M8" i="28"/>
  <c r="AF7" i="28"/>
  <c r="M7" i="28"/>
  <c r="AF6" i="28"/>
  <c r="M6" i="28"/>
  <c r="AF5" i="28"/>
  <c r="M5" i="28"/>
  <c r="AF3" i="28"/>
  <c r="E3" i="26"/>
  <c r="G3" i="26"/>
  <c r="J3" i="26"/>
  <c r="M3" i="26"/>
  <c r="E4" i="26"/>
  <c r="G4" i="26"/>
  <c r="J4" i="26"/>
  <c r="E5" i="26"/>
  <c r="G5" i="26"/>
  <c r="J5" i="26"/>
  <c r="E6" i="26"/>
  <c r="G6" i="26"/>
  <c r="J6" i="26"/>
  <c r="E7" i="26"/>
  <c r="G7" i="26"/>
  <c r="J7" i="26"/>
  <c r="E8" i="26"/>
  <c r="G8" i="26"/>
  <c r="J8" i="26"/>
  <c r="E9" i="26"/>
  <c r="G9" i="26"/>
  <c r="J9" i="26"/>
  <c r="E10" i="26"/>
  <c r="G10" i="26"/>
  <c r="J10" i="26"/>
  <c r="E11" i="26"/>
  <c r="G11" i="26"/>
  <c r="J11" i="26"/>
  <c r="E12" i="26"/>
  <c r="G12" i="26"/>
  <c r="J12" i="26"/>
  <c r="E13" i="26"/>
  <c r="G13" i="26"/>
  <c r="J13" i="26"/>
  <c r="E14" i="26"/>
  <c r="G14" i="26"/>
  <c r="J14" i="26"/>
  <c r="E15" i="26"/>
  <c r="G15" i="26"/>
  <c r="J15" i="26"/>
  <c r="E16" i="26"/>
  <c r="G16" i="26"/>
  <c r="J16" i="26"/>
  <c r="E17" i="26"/>
  <c r="G17" i="26"/>
  <c r="J17" i="26"/>
  <c r="E18" i="26"/>
  <c r="G18" i="26"/>
  <c r="J18" i="26"/>
  <c r="E19" i="26"/>
  <c r="G19" i="26"/>
  <c r="J19" i="26"/>
  <c r="E20" i="26"/>
  <c r="G20" i="26"/>
  <c r="J20" i="26"/>
  <c r="E21" i="26"/>
  <c r="G21" i="26"/>
  <c r="J21" i="26"/>
  <c r="E22" i="26"/>
  <c r="G22" i="26"/>
  <c r="J22" i="26"/>
  <c r="E23" i="26"/>
  <c r="G23" i="26"/>
  <c r="J23" i="26"/>
  <c r="E24" i="26"/>
  <c r="G24" i="26"/>
  <c r="J24" i="26"/>
  <c r="E25" i="26"/>
  <c r="G25" i="26"/>
  <c r="J25" i="26"/>
  <c r="E26" i="26"/>
  <c r="G26" i="26"/>
  <c r="J26" i="26"/>
  <c r="E27" i="26"/>
  <c r="G27" i="26"/>
  <c r="J27" i="26"/>
  <c r="E28" i="26"/>
  <c r="G28" i="26"/>
  <c r="J28" i="26"/>
  <c r="E29" i="26"/>
  <c r="G29" i="26"/>
  <c r="J29" i="26"/>
  <c r="E30" i="26"/>
  <c r="G30" i="26"/>
  <c r="J30" i="26"/>
  <c r="E31" i="26"/>
  <c r="G31" i="26"/>
  <c r="J31" i="26"/>
  <c r="E32" i="26"/>
  <c r="G32" i="26"/>
  <c r="J32" i="26"/>
  <c r="E33" i="26"/>
  <c r="G33" i="26"/>
  <c r="J33" i="26"/>
  <c r="E34" i="26"/>
  <c r="G34" i="26"/>
  <c r="J34" i="26"/>
  <c r="E35" i="26"/>
  <c r="G35" i="26"/>
  <c r="J35" i="26"/>
  <c r="E36" i="26"/>
  <c r="G36" i="26"/>
  <c r="J36" i="26"/>
  <c r="E37" i="26"/>
  <c r="G37" i="26"/>
  <c r="J37" i="26"/>
  <c r="E38" i="26"/>
  <c r="G38" i="26"/>
  <c r="J38" i="26"/>
  <c r="E39" i="26"/>
  <c r="G39" i="26"/>
  <c r="J39" i="26"/>
  <c r="E40" i="26"/>
  <c r="G40" i="26"/>
  <c r="J40" i="26"/>
  <c r="E41" i="26"/>
  <c r="G41" i="26"/>
  <c r="J41" i="26"/>
  <c r="E42" i="26"/>
  <c r="G42" i="26"/>
  <c r="J42" i="26"/>
  <c r="E43" i="26"/>
  <c r="G43" i="26"/>
  <c r="J43" i="26"/>
  <c r="E44" i="26"/>
  <c r="G44" i="26"/>
  <c r="J44" i="26"/>
  <c r="E45" i="26"/>
  <c r="G45" i="26"/>
  <c r="J45" i="26"/>
  <c r="E46" i="26"/>
  <c r="G46" i="26"/>
  <c r="J46" i="26"/>
  <c r="E47" i="26"/>
  <c r="G47" i="26"/>
  <c r="J47" i="26"/>
  <c r="E48" i="26"/>
  <c r="G48" i="26"/>
  <c r="J48" i="26"/>
  <c r="E49" i="26"/>
  <c r="G49" i="26"/>
  <c r="J49" i="26"/>
  <c r="E50" i="26"/>
  <c r="G50" i="26"/>
  <c r="J50" i="26"/>
  <c r="E51" i="26"/>
  <c r="G51" i="26"/>
  <c r="J51" i="26"/>
  <c r="E52" i="26"/>
  <c r="G52" i="26"/>
  <c r="J52" i="26"/>
  <c r="E53" i="26"/>
  <c r="G53" i="26"/>
  <c r="J53" i="26"/>
  <c r="E54" i="26"/>
  <c r="G54" i="26"/>
  <c r="J54" i="26"/>
  <c r="E55" i="26"/>
  <c r="G55" i="26"/>
  <c r="J55" i="26"/>
  <c r="E56" i="26"/>
  <c r="G56" i="26"/>
  <c r="J56" i="26"/>
  <c r="E57" i="26"/>
  <c r="G57" i="26"/>
  <c r="J57" i="26"/>
  <c r="E58" i="26"/>
  <c r="G58" i="26"/>
  <c r="J58" i="26"/>
  <c r="E59" i="26"/>
  <c r="G59" i="26"/>
  <c r="J59" i="26"/>
  <c r="E60" i="26"/>
  <c r="G60" i="26"/>
  <c r="J60" i="26"/>
  <c r="E61" i="26"/>
  <c r="G61" i="26"/>
  <c r="J61" i="26"/>
  <c r="E62" i="26"/>
  <c r="G62" i="26"/>
  <c r="J62" i="26"/>
  <c r="E63" i="26"/>
  <c r="G63" i="26"/>
  <c r="J63" i="26"/>
  <c r="E64" i="26"/>
  <c r="G64" i="26"/>
  <c r="J64" i="26"/>
  <c r="E65" i="26"/>
  <c r="G65" i="26"/>
  <c r="J65" i="26"/>
  <c r="E66" i="26"/>
  <c r="G66" i="26"/>
  <c r="J66" i="26"/>
  <c r="E67" i="26"/>
  <c r="G67" i="26"/>
  <c r="J67" i="26"/>
  <c r="E68" i="26"/>
  <c r="G68" i="26"/>
  <c r="J68" i="26"/>
  <c r="E69" i="26"/>
  <c r="G69" i="26"/>
  <c r="J69" i="26"/>
  <c r="E70" i="26"/>
  <c r="G70" i="26"/>
  <c r="J70" i="26"/>
  <c r="E71" i="26"/>
  <c r="G71" i="26"/>
  <c r="J71" i="26"/>
  <c r="E72" i="26"/>
  <c r="G72" i="26"/>
  <c r="J72" i="26"/>
  <c r="E73" i="26"/>
  <c r="G73" i="26"/>
  <c r="J73" i="26"/>
  <c r="E74" i="26"/>
  <c r="G74" i="26"/>
  <c r="J74" i="26"/>
  <c r="E75" i="26"/>
  <c r="G75" i="26"/>
  <c r="J75" i="26"/>
  <c r="E76" i="26"/>
  <c r="G76" i="26"/>
  <c r="J76" i="26"/>
  <c r="E77" i="26"/>
  <c r="G77" i="26"/>
  <c r="J77" i="26"/>
  <c r="E78" i="26"/>
  <c r="G78" i="26"/>
  <c r="J78" i="26"/>
  <c r="E79" i="26"/>
  <c r="G79" i="26"/>
  <c r="J79" i="26"/>
  <c r="E80" i="26"/>
  <c r="G80" i="26"/>
  <c r="J80" i="26"/>
  <c r="E81" i="26"/>
  <c r="G81" i="26"/>
  <c r="J81" i="26"/>
  <c r="E82" i="26"/>
  <c r="G82" i="26"/>
  <c r="J82" i="26"/>
  <c r="E83" i="26"/>
  <c r="G83" i="26"/>
  <c r="J83" i="26"/>
  <c r="E84" i="26"/>
  <c r="G84" i="26"/>
  <c r="J84" i="26"/>
  <c r="E85" i="26"/>
  <c r="G85" i="26"/>
  <c r="J85" i="26"/>
  <c r="E86" i="26"/>
  <c r="G86" i="26"/>
  <c r="J86" i="26"/>
  <c r="E87" i="26"/>
  <c r="G87" i="26"/>
  <c r="J87" i="26"/>
  <c r="E88" i="26"/>
  <c r="G88" i="26"/>
  <c r="J88" i="26"/>
  <c r="E89" i="26"/>
  <c r="G89" i="26"/>
  <c r="J89" i="26"/>
  <c r="E90" i="26"/>
  <c r="G90" i="26"/>
  <c r="J90" i="26"/>
  <c r="E91" i="26"/>
  <c r="G91" i="26"/>
  <c r="J91" i="26"/>
  <c r="E92" i="26"/>
  <c r="G92" i="26"/>
  <c r="J92" i="26"/>
  <c r="E93" i="26"/>
  <c r="G93" i="26"/>
  <c r="J93" i="26"/>
  <c r="E94" i="26"/>
  <c r="G94" i="26"/>
  <c r="J94" i="26"/>
  <c r="E95" i="26"/>
  <c r="G95" i="26"/>
  <c r="J95" i="26"/>
  <c r="E96" i="26"/>
  <c r="G96" i="26"/>
  <c r="J96" i="26"/>
  <c r="E97" i="26"/>
  <c r="G97" i="26"/>
  <c r="J97" i="26"/>
  <c r="E98" i="26"/>
  <c r="G98" i="26"/>
  <c r="J98" i="26"/>
  <c r="E99" i="26"/>
  <c r="G99" i="26"/>
  <c r="J99" i="26"/>
  <c r="E100" i="26"/>
  <c r="G100" i="26"/>
  <c r="J100" i="26"/>
  <c r="E101" i="26"/>
  <c r="G101" i="26"/>
  <c r="J101" i="26"/>
  <c r="E102" i="26"/>
  <c r="G102" i="26"/>
  <c r="J102" i="26"/>
  <c r="E103" i="26"/>
  <c r="G103" i="26"/>
  <c r="J103" i="26"/>
  <c r="E104" i="26"/>
  <c r="G104" i="26"/>
  <c r="J104" i="26"/>
  <c r="E105" i="26"/>
  <c r="G105" i="26"/>
  <c r="J105" i="26"/>
  <c r="E106" i="26"/>
  <c r="G106" i="26"/>
  <c r="J106" i="26"/>
  <c r="E107" i="26"/>
  <c r="G107" i="26"/>
  <c r="J107" i="26"/>
  <c r="E108" i="26"/>
  <c r="G108" i="26"/>
  <c r="J108" i="26"/>
  <c r="E109" i="26"/>
  <c r="G109" i="26"/>
  <c r="J109" i="26"/>
  <c r="E110" i="26"/>
  <c r="G110" i="26"/>
  <c r="J110" i="26"/>
  <c r="E111" i="26"/>
  <c r="G111" i="26"/>
  <c r="J111" i="26"/>
  <c r="E112" i="26"/>
  <c r="G112" i="26"/>
  <c r="J112" i="26"/>
  <c r="E113" i="26"/>
  <c r="G113" i="26"/>
  <c r="J113" i="26"/>
  <c r="E114" i="26"/>
  <c r="G114" i="26"/>
  <c r="J114" i="26"/>
  <c r="E115" i="26"/>
  <c r="G115" i="26"/>
  <c r="J115" i="26"/>
  <c r="E116" i="26"/>
  <c r="G116" i="26"/>
  <c r="J116" i="26"/>
  <c r="E117" i="26"/>
  <c r="G117" i="26"/>
  <c r="J117" i="26"/>
  <c r="E118" i="26"/>
  <c r="G118" i="26"/>
  <c r="J118" i="26"/>
  <c r="E119" i="26"/>
  <c r="G119" i="26"/>
  <c r="J119" i="26"/>
  <c r="E120" i="26"/>
  <c r="G120" i="26"/>
  <c r="J120" i="26"/>
  <c r="E121" i="26"/>
  <c r="G121" i="26"/>
  <c r="J121" i="26"/>
  <c r="E122" i="26"/>
  <c r="G122" i="26"/>
  <c r="J122" i="26"/>
  <c r="E123" i="26"/>
  <c r="G123" i="26"/>
  <c r="J123" i="26"/>
  <c r="E124" i="26"/>
  <c r="G124" i="26"/>
  <c r="J124" i="26"/>
  <c r="E125" i="26"/>
  <c r="G125" i="26"/>
  <c r="J125" i="26"/>
  <c r="E126" i="26"/>
  <c r="G126" i="26"/>
  <c r="J126" i="26"/>
  <c r="E127" i="26"/>
  <c r="G127" i="26"/>
  <c r="J127" i="26"/>
  <c r="E128" i="26"/>
  <c r="G128" i="26"/>
  <c r="J128" i="26"/>
  <c r="E129" i="26"/>
  <c r="G129" i="26"/>
  <c r="J129" i="26"/>
  <c r="E130" i="26"/>
  <c r="G130" i="26"/>
  <c r="J130" i="26"/>
  <c r="E131" i="26"/>
  <c r="G131" i="26"/>
  <c r="J131" i="26"/>
  <c r="E132" i="26"/>
  <c r="G132" i="26"/>
  <c r="J132" i="26"/>
  <c r="E133" i="26"/>
  <c r="G133" i="26"/>
  <c r="J133" i="26"/>
  <c r="E134" i="26"/>
  <c r="G134" i="26"/>
  <c r="J134" i="26"/>
  <c r="E135" i="26"/>
  <c r="G135" i="26"/>
  <c r="J135" i="26"/>
  <c r="E136" i="26"/>
  <c r="G136" i="26"/>
  <c r="J136" i="26"/>
  <c r="E137" i="26"/>
  <c r="G137" i="26"/>
  <c r="J137" i="26"/>
  <c r="E138" i="26"/>
  <c r="G138" i="26"/>
  <c r="J138" i="26"/>
  <c r="E139" i="26"/>
  <c r="G139" i="26"/>
  <c r="J139" i="26"/>
  <c r="E140" i="26"/>
  <c r="G140" i="26"/>
  <c r="J140" i="26"/>
  <c r="E141" i="26"/>
  <c r="G141" i="26"/>
  <c r="J141" i="26"/>
  <c r="E142" i="26"/>
  <c r="G142" i="26"/>
  <c r="J142" i="26"/>
  <c r="E143" i="26"/>
  <c r="G143" i="26"/>
  <c r="J143" i="26"/>
  <c r="E144" i="26"/>
  <c r="G144" i="26"/>
  <c r="J144" i="26"/>
  <c r="E145" i="26"/>
  <c r="G145" i="26"/>
  <c r="J145" i="26"/>
  <c r="E146" i="26"/>
  <c r="G146" i="26"/>
  <c r="J146" i="26"/>
  <c r="E147" i="26"/>
  <c r="G147" i="26"/>
  <c r="J147" i="26"/>
  <c r="E148" i="26"/>
  <c r="G148" i="26"/>
  <c r="J148" i="26"/>
  <c r="E149" i="26"/>
  <c r="G149" i="26"/>
  <c r="J149" i="26"/>
  <c r="E150" i="26"/>
  <c r="G150" i="26"/>
  <c r="J150" i="26"/>
  <c r="E151" i="26"/>
  <c r="G151" i="26"/>
  <c r="J151" i="26"/>
  <c r="E152" i="26"/>
  <c r="G152" i="26"/>
  <c r="J152" i="26"/>
  <c r="E153" i="26"/>
  <c r="G153" i="26"/>
  <c r="J153" i="26"/>
  <c r="E154" i="26"/>
  <c r="G154" i="26"/>
  <c r="J154" i="26"/>
  <c r="E155" i="26"/>
  <c r="G155" i="26"/>
  <c r="J155" i="26"/>
  <c r="E156" i="26"/>
  <c r="G156" i="26"/>
  <c r="J156" i="26"/>
  <c r="E157" i="26"/>
  <c r="G157" i="26"/>
  <c r="J157" i="26"/>
  <c r="E158" i="26"/>
  <c r="G158" i="26"/>
  <c r="J158" i="26"/>
  <c r="E159" i="26"/>
  <c r="G159" i="26"/>
  <c r="J159" i="26"/>
  <c r="E160" i="26"/>
  <c r="G160" i="26"/>
  <c r="J160" i="26"/>
  <c r="E161" i="26"/>
  <c r="G161" i="26"/>
  <c r="J161" i="26"/>
  <c r="E162" i="26"/>
  <c r="G162" i="26"/>
  <c r="J162" i="26"/>
  <c r="E163" i="26"/>
  <c r="G163" i="26"/>
  <c r="J163" i="26"/>
  <c r="E164" i="26"/>
  <c r="G164" i="26"/>
  <c r="J164" i="26"/>
  <c r="E165" i="26"/>
  <c r="G165" i="26"/>
  <c r="J165" i="26"/>
  <c r="E166" i="26"/>
  <c r="G166" i="26"/>
  <c r="J166" i="26"/>
  <c r="E167" i="26"/>
  <c r="G167" i="26"/>
  <c r="J167" i="26"/>
  <c r="E168" i="26"/>
  <c r="G168" i="26"/>
  <c r="J168" i="26"/>
  <c r="E169" i="26"/>
  <c r="G169" i="26"/>
  <c r="J169" i="26"/>
  <c r="E170" i="26"/>
  <c r="G170" i="26"/>
  <c r="J170" i="26"/>
  <c r="E171" i="26"/>
  <c r="G171" i="26"/>
  <c r="J171" i="26"/>
  <c r="E172" i="26"/>
  <c r="G172" i="26"/>
  <c r="J172" i="26"/>
  <c r="E173" i="26"/>
  <c r="G173" i="26"/>
  <c r="J173" i="26"/>
  <c r="E174" i="26"/>
  <c r="G174" i="26"/>
  <c r="J174" i="26"/>
  <c r="E175" i="26"/>
  <c r="G175" i="26"/>
  <c r="J175" i="26"/>
  <c r="E176" i="26"/>
  <c r="G176" i="26"/>
  <c r="J176" i="26"/>
  <c r="E177" i="26"/>
  <c r="G177" i="26"/>
  <c r="J177" i="26"/>
  <c r="E178" i="26"/>
  <c r="G178" i="26"/>
  <c r="J178" i="26"/>
  <c r="E179" i="26"/>
  <c r="G179" i="26"/>
  <c r="J179" i="26"/>
  <c r="E180" i="26"/>
  <c r="G180" i="26"/>
  <c r="J180" i="26"/>
  <c r="E181" i="26"/>
  <c r="G181" i="26"/>
  <c r="J181" i="26"/>
  <c r="E182" i="26"/>
  <c r="G182" i="26"/>
  <c r="J182" i="26"/>
  <c r="E183" i="26"/>
  <c r="G183" i="26"/>
  <c r="J183" i="26"/>
  <c r="E184" i="26"/>
  <c r="G184" i="26"/>
  <c r="J184" i="26"/>
  <c r="E185" i="26"/>
  <c r="G185" i="26"/>
  <c r="J185" i="26"/>
  <c r="E186" i="26"/>
  <c r="G186" i="26"/>
  <c r="J186" i="26"/>
  <c r="E187" i="26"/>
  <c r="G187" i="26"/>
  <c r="J187" i="26"/>
  <c r="E188" i="26"/>
  <c r="G188" i="26"/>
  <c r="J188" i="26"/>
  <c r="E189" i="26"/>
  <c r="G189" i="26"/>
  <c r="J189" i="26"/>
  <c r="E190" i="26"/>
  <c r="G190" i="26"/>
  <c r="J190" i="26"/>
  <c r="E191" i="26"/>
  <c r="G191" i="26"/>
  <c r="J191" i="26"/>
  <c r="E192" i="26"/>
  <c r="G192" i="26"/>
  <c r="J192" i="26"/>
  <c r="E193" i="26"/>
  <c r="G193" i="26"/>
  <c r="J193" i="26"/>
  <c r="E194" i="26"/>
  <c r="G194" i="26"/>
  <c r="J194" i="26"/>
  <c r="E195" i="26"/>
  <c r="G195" i="26"/>
  <c r="J195" i="26"/>
  <c r="E196" i="26"/>
  <c r="G196" i="26"/>
  <c r="J196" i="26"/>
  <c r="E197" i="26"/>
  <c r="G197" i="26"/>
  <c r="J197" i="26"/>
  <c r="E198" i="26"/>
  <c r="G198" i="26"/>
  <c r="J198" i="26"/>
  <c r="E199" i="26"/>
  <c r="G199" i="26"/>
  <c r="J199" i="26"/>
  <c r="E200" i="26"/>
  <c r="G200" i="26"/>
  <c r="J200" i="26"/>
  <c r="E201" i="26"/>
  <c r="G201" i="26"/>
  <c r="J201" i="26"/>
  <c r="E202" i="26"/>
  <c r="G202" i="26"/>
  <c r="J202" i="26"/>
  <c r="E203" i="26"/>
  <c r="G203" i="26"/>
  <c r="J203" i="26"/>
  <c r="E204" i="26"/>
  <c r="G204" i="26"/>
  <c r="J204" i="26"/>
  <c r="E205" i="26"/>
  <c r="G205" i="26"/>
  <c r="J205" i="26"/>
  <c r="E206" i="26"/>
  <c r="G206" i="26"/>
  <c r="J206" i="26"/>
  <c r="E207" i="26"/>
  <c r="G207" i="26"/>
  <c r="J207" i="26"/>
  <c r="E208" i="26"/>
  <c r="G208" i="26"/>
  <c r="J208" i="26"/>
  <c r="E209" i="26"/>
  <c r="G209" i="26"/>
  <c r="J209" i="26"/>
  <c r="E210" i="26"/>
  <c r="G210" i="26"/>
  <c r="J210" i="26"/>
  <c r="E211" i="26"/>
  <c r="G211" i="26"/>
  <c r="J211" i="26"/>
  <c r="E212" i="26"/>
  <c r="G212" i="26"/>
  <c r="J212" i="26"/>
  <c r="E213" i="26"/>
  <c r="G213" i="26"/>
  <c r="J213" i="26"/>
  <c r="E214" i="26"/>
  <c r="G214" i="26"/>
  <c r="J214" i="26"/>
  <c r="E215" i="26"/>
  <c r="G215" i="26"/>
  <c r="J215" i="26"/>
  <c r="E216" i="26"/>
  <c r="G216" i="26"/>
  <c r="J216" i="26"/>
  <c r="E217" i="26"/>
  <c r="G217" i="26"/>
  <c r="J217" i="26"/>
  <c r="E218" i="26"/>
  <c r="G218" i="26"/>
  <c r="J218" i="26"/>
  <c r="E219" i="26"/>
  <c r="G219" i="26"/>
  <c r="J219" i="26"/>
  <c r="E220" i="26"/>
  <c r="G220" i="26"/>
  <c r="J220" i="26"/>
  <c r="E221" i="26"/>
  <c r="G221" i="26"/>
  <c r="J221" i="26"/>
  <c r="E222" i="26"/>
  <c r="G222" i="26"/>
  <c r="J222" i="26"/>
  <c r="E223" i="26"/>
  <c r="G223" i="26"/>
  <c r="J223" i="26"/>
  <c r="E224" i="26"/>
  <c r="G224" i="26"/>
  <c r="J224" i="26"/>
  <c r="E225" i="26"/>
  <c r="G225" i="26"/>
  <c r="J225" i="26"/>
  <c r="E226" i="26"/>
  <c r="G226" i="26"/>
  <c r="J226" i="26"/>
  <c r="E227" i="26"/>
  <c r="G227" i="26"/>
  <c r="J227" i="26"/>
  <c r="E228" i="26"/>
  <c r="G228" i="26"/>
  <c r="J228" i="26"/>
  <c r="E229" i="26"/>
  <c r="G229" i="26"/>
  <c r="J229" i="26"/>
  <c r="E230" i="26"/>
  <c r="G230" i="26"/>
  <c r="J230" i="26"/>
  <c r="E231" i="26"/>
  <c r="G231" i="26"/>
  <c r="J231" i="26"/>
  <c r="E232" i="26"/>
  <c r="G232" i="26"/>
  <c r="J232" i="26"/>
  <c r="E233" i="26"/>
  <c r="G233" i="26"/>
  <c r="J233" i="26"/>
  <c r="E234" i="26"/>
  <c r="G234" i="26"/>
  <c r="J234" i="26"/>
  <c r="E235" i="26"/>
  <c r="G235" i="26"/>
  <c r="J235" i="26"/>
  <c r="E236" i="26"/>
  <c r="G236" i="26"/>
  <c r="J236" i="26"/>
  <c r="E237" i="26"/>
  <c r="G237" i="26"/>
  <c r="J237" i="26"/>
  <c r="E238" i="26"/>
  <c r="G238" i="26"/>
  <c r="J238" i="26"/>
  <c r="E239" i="26"/>
  <c r="G239" i="26"/>
  <c r="J239" i="26"/>
  <c r="E240" i="26"/>
  <c r="G240" i="26"/>
  <c r="J240" i="26"/>
  <c r="E241" i="26"/>
  <c r="G241" i="26"/>
  <c r="J241" i="26"/>
  <c r="E242" i="26"/>
  <c r="G242" i="26"/>
  <c r="J242" i="26"/>
  <c r="E243" i="26"/>
  <c r="G243" i="26"/>
  <c r="J243" i="26"/>
  <c r="E244" i="26"/>
  <c r="G244" i="26"/>
  <c r="J244" i="26"/>
  <c r="E245" i="26"/>
  <c r="G245" i="26"/>
  <c r="J245" i="26"/>
  <c r="E246" i="26"/>
  <c r="G246" i="26"/>
  <c r="J246" i="26"/>
  <c r="E247" i="26"/>
  <c r="G247" i="26"/>
  <c r="J247" i="26"/>
  <c r="E248" i="26"/>
  <c r="G248" i="26"/>
  <c r="J248" i="26"/>
  <c r="E249" i="26"/>
  <c r="G249" i="26"/>
  <c r="J249" i="26"/>
  <c r="E250" i="26"/>
  <c r="G250" i="26"/>
  <c r="J250" i="26"/>
  <c r="E251" i="26"/>
  <c r="G251" i="26"/>
  <c r="J251" i="26"/>
  <c r="E252" i="26"/>
  <c r="G252" i="26"/>
  <c r="J252" i="26"/>
  <c r="E253" i="26"/>
  <c r="G253" i="26"/>
  <c r="J253" i="26"/>
  <c r="E254" i="26"/>
  <c r="G254" i="26"/>
  <c r="J254" i="26"/>
  <c r="E255" i="26"/>
  <c r="G255" i="26"/>
  <c r="J255" i="26"/>
  <c r="E256" i="26"/>
  <c r="G256" i="26"/>
  <c r="J256" i="26"/>
  <c r="E257" i="26"/>
  <c r="G257" i="26"/>
  <c r="J257" i="26"/>
  <c r="E258" i="26"/>
  <c r="G258" i="26"/>
  <c r="J258" i="26"/>
  <c r="E259" i="26"/>
  <c r="G259" i="26"/>
  <c r="J259" i="26"/>
  <c r="E260" i="26"/>
  <c r="G260" i="26"/>
  <c r="J260" i="26"/>
  <c r="E261" i="26"/>
  <c r="G261" i="26"/>
  <c r="J261" i="26"/>
  <c r="E262" i="26"/>
  <c r="G262" i="26"/>
  <c r="J262" i="26"/>
  <c r="E263" i="26"/>
  <c r="G263" i="26"/>
  <c r="J263" i="26"/>
  <c r="E264" i="26"/>
  <c r="G264" i="26"/>
  <c r="J264" i="26"/>
  <c r="E265" i="26"/>
  <c r="G265" i="26"/>
  <c r="J265" i="26"/>
  <c r="E266" i="26"/>
  <c r="G266" i="26"/>
  <c r="J266" i="26"/>
  <c r="E267" i="26"/>
  <c r="G267" i="26"/>
  <c r="J267" i="26"/>
  <c r="E268" i="26"/>
  <c r="G268" i="26"/>
  <c r="J268" i="26"/>
  <c r="E269" i="26"/>
  <c r="G269" i="26"/>
  <c r="J269" i="26"/>
  <c r="E270" i="26"/>
  <c r="G270" i="26"/>
  <c r="J270" i="26"/>
  <c r="E271" i="26"/>
  <c r="G271" i="26"/>
  <c r="J271" i="26"/>
  <c r="E272" i="26"/>
  <c r="G272" i="26"/>
  <c r="J272" i="26"/>
  <c r="E273" i="26"/>
  <c r="G273" i="26"/>
  <c r="J273" i="26"/>
  <c r="E274" i="26"/>
  <c r="G274" i="26"/>
  <c r="J274" i="26"/>
  <c r="E275" i="26"/>
  <c r="G275" i="26"/>
  <c r="J275" i="26"/>
  <c r="E276" i="26"/>
  <c r="G276" i="26"/>
  <c r="J276" i="26"/>
  <c r="E277" i="26"/>
  <c r="G277" i="26"/>
  <c r="J277" i="26"/>
  <c r="E278" i="26"/>
  <c r="G278" i="26"/>
  <c r="J278" i="26"/>
  <c r="E279" i="26"/>
  <c r="G279" i="26"/>
  <c r="J279" i="26"/>
  <c r="E280" i="26"/>
  <c r="G280" i="26"/>
  <c r="J280" i="26"/>
  <c r="E281" i="26"/>
  <c r="G281" i="26"/>
  <c r="J281" i="26"/>
  <c r="E282" i="26"/>
  <c r="G282" i="26"/>
  <c r="J282" i="26"/>
  <c r="E283" i="26"/>
  <c r="G283" i="26"/>
  <c r="J283" i="26"/>
  <c r="E284" i="26"/>
  <c r="G284" i="26"/>
  <c r="J284" i="26"/>
  <c r="E285" i="26"/>
  <c r="G285" i="26"/>
  <c r="J285" i="26"/>
  <c r="E286" i="26"/>
  <c r="G286" i="26"/>
  <c r="J286" i="26"/>
  <c r="E287" i="26"/>
  <c r="G287" i="26"/>
  <c r="J287" i="26"/>
  <c r="E288" i="26"/>
  <c r="G288" i="26"/>
  <c r="J288" i="26"/>
  <c r="E289" i="26"/>
  <c r="G289" i="26"/>
  <c r="J289" i="26"/>
  <c r="E290" i="26"/>
  <c r="G290" i="26"/>
  <c r="J290" i="26"/>
  <c r="E291" i="26"/>
  <c r="G291" i="26"/>
  <c r="J291" i="26"/>
  <c r="E292" i="26"/>
  <c r="G292" i="26"/>
  <c r="J292" i="26"/>
  <c r="E293" i="26"/>
  <c r="G293" i="26"/>
  <c r="J293" i="26"/>
  <c r="E294" i="26"/>
  <c r="G294" i="26"/>
  <c r="J294" i="26"/>
  <c r="E295" i="26"/>
  <c r="G295" i="26"/>
  <c r="J295" i="26"/>
  <c r="E296" i="26"/>
  <c r="G296" i="26"/>
  <c r="J296" i="26"/>
  <c r="E297" i="26"/>
  <c r="G297" i="26"/>
  <c r="J297" i="26"/>
  <c r="E298" i="26"/>
  <c r="G298" i="26"/>
  <c r="J298" i="26"/>
  <c r="E299" i="26"/>
  <c r="G299" i="26"/>
  <c r="J299" i="26"/>
  <c r="E300" i="26"/>
  <c r="G300" i="26"/>
  <c r="J300" i="26"/>
  <c r="E301" i="26"/>
  <c r="G301" i="26"/>
  <c r="J301" i="26"/>
  <c r="E302" i="26"/>
  <c r="G302" i="26"/>
  <c r="J302" i="26"/>
  <c r="E303" i="26"/>
  <c r="G303" i="26"/>
  <c r="J303" i="26"/>
  <c r="E304" i="26"/>
  <c r="G304" i="26"/>
  <c r="J304" i="26"/>
  <c r="E305" i="26"/>
  <c r="G305" i="26"/>
  <c r="J305" i="26"/>
  <c r="E306" i="26"/>
  <c r="G306" i="26"/>
  <c r="J306" i="26"/>
  <c r="E307" i="26"/>
  <c r="G307" i="26"/>
  <c r="J307" i="26"/>
  <c r="E308" i="26"/>
  <c r="G308" i="26"/>
  <c r="J308" i="26"/>
  <c r="E309" i="26"/>
  <c r="G309" i="26"/>
  <c r="J309" i="26"/>
  <c r="E310" i="26"/>
  <c r="G310" i="26"/>
  <c r="J310" i="26"/>
  <c r="E311" i="26"/>
  <c r="G311" i="26"/>
  <c r="J311" i="26"/>
  <c r="E312" i="26"/>
  <c r="G312" i="26"/>
  <c r="J312" i="26"/>
  <c r="E313" i="26"/>
  <c r="G313" i="26"/>
  <c r="J313" i="26"/>
  <c r="E314" i="26"/>
  <c r="G314" i="26"/>
  <c r="J314" i="26"/>
  <c r="E315" i="26"/>
  <c r="G315" i="26"/>
  <c r="J315" i="26"/>
  <c r="E316" i="26"/>
  <c r="G316" i="26"/>
  <c r="J316" i="26"/>
  <c r="E317" i="26"/>
  <c r="G317" i="26"/>
  <c r="J317" i="26"/>
  <c r="E318" i="26"/>
  <c r="G318" i="26"/>
  <c r="J318" i="26"/>
  <c r="E319" i="26"/>
  <c r="G319" i="26"/>
  <c r="J319" i="26"/>
  <c r="E320" i="26"/>
  <c r="G320" i="26"/>
  <c r="J320" i="26"/>
  <c r="E321" i="26"/>
  <c r="G321" i="26"/>
  <c r="J321" i="26"/>
  <c r="E322" i="26"/>
  <c r="G322" i="26"/>
  <c r="J322" i="26"/>
  <c r="E323" i="26"/>
  <c r="G323" i="26"/>
  <c r="J323" i="26"/>
  <c r="E324" i="26"/>
  <c r="G324" i="26"/>
  <c r="J324" i="26"/>
  <c r="E325" i="26"/>
  <c r="G325" i="26"/>
  <c r="J325" i="26"/>
  <c r="E326" i="26"/>
  <c r="G326" i="26"/>
  <c r="J326" i="26"/>
  <c r="E327" i="26"/>
  <c r="G327" i="26"/>
  <c r="J327" i="26"/>
  <c r="E328" i="26"/>
  <c r="G328" i="26"/>
  <c r="J328" i="26"/>
  <c r="E329" i="26"/>
  <c r="G329" i="26"/>
  <c r="J329" i="26"/>
  <c r="E330" i="26"/>
  <c r="G330" i="26"/>
  <c r="J330" i="26"/>
  <c r="E331" i="26"/>
  <c r="G331" i="26"/>
  <c r="J331" i="26"/>
  <c r="E332" i="26"/>
  <c r="G332" i="26"/>
  <c r="J332" i="26"/>
  <c r="E333" i="26"/>
  <c r="G333" i="26"/>
  <c r="J333" i="26"/>
  <c r="E334" i="26"/>
  <c r="G334" i="26"/>
  <c r="J334" i="26"/>
  <c r="E335" i="26"/>
  <c r="G335" i="26"/>
  <c r="J335" i="26"/>
  <c r="E336" i="26"/>
  <c r="G336" i="26"/>
  <c r="J336" i="26"/>
  <c r="E337" i="26"/>
  <c r="G337" i="26"/>
  <c r="J337" i="26"/>
  <c r="E338" i="26"/>
  <c r="G338" i="26"/>
  <c r="J338" i="26"/>
  <c r="E339" i="26"/>
  <c r="G339" i="26"/>
  <c r="J339" i="26"/>
  <c r="E340" i="26"/>
  <c r="G340" i="26"/>
  <c r="J340" i="26"/>
  <c r="E341" i="26"/>
  <c r="G341" i="26"/>
  <c r="J341" i="26"/>
  <c r="E342" i="26"/>
  <c r="G342" i="26"/>
  <c r="J342" i="26"/>
  <c r="E343" i="26"/>
  <c r="G343" i="26"/>
  <c r="J343" i="26"/>
  <c r="E344" i="26"/>
  <c r="G344" i="26"/>
  <c r="J344" i="26"/>
  <c r="E345" i="26"/>
  <c r="G345" i="26"/>
  <c r="J345" i="26"/>
  <c r="E346" i="26"/>
  <c r="G346" i="26"/>
  <c r="J346" i="26"/>
  <c r="E347" i="26"/>
  <c r="G347" i="26"/>
  <c r="J347" i="26"/>
  <c r="E348" i="26"/>
  <c r="G348" i="26"/>
  <c r="J348" i="26"/>
  <c r="E349" i="26"/>
  <c r="G349" i="26"/>
  <c r="J349" i="26"/>
  <c r="E350" i="26"/>
  <c r="G350" i="26"/>
  <c r="J350" i="26"/>
  <c r="E351" i="26"/>
  <c r="G351" i="26"/>
  <c r="J351" i="26"/>
  <c r="E352" i="26"/>
  <c r="G352" i="26"/>
  <c r="J352" i="26"/>
  <c r="E353" i="26"/>
  <c r="G353" i="26"/>
  <c r="J353" i="26"/>
  <c r="E354" i="26"/>
  <c r="G354" i="26"/>
  <c r="J354" i="26"/>
  <c r="E355" i="26"/>
  <c r="G355" i="26"/>
  <c r="J355" i="26"/>
  <c r="E356" i="26"/>
  <c r="G356" i="26"/>
  <c r="J356" i="26"/>
  <c r="E357" i="26"/>
  <c r="G357" i="26"/>
  <c r="J357" i="26"/>
  <c r="E358" i="26"/>
  <c r="G358" i="26"/>
  <c r="J358" i="26"/>
  <c r="E359" i="26"/>
  <c r="G359" i="26"/>
  <c r="J359" i="26"/>
  <c r="E360" i="26"/>
  <c r="G360" i="26"/>
  <c r="J360" i="26"/>
  <c r="E361" i="26"/>
  <c r="G361" i="26"/>
  <c r="J361" i="26"/>
  <c r="E362" i="26"/>
  <c r="G362" i="26"/>
  <c r="J362" i="26"/>
  <c r="E363" i="26"/>
  <c r="G363" i="26"/>
  <c r="J363" i="26"/>
  <c r="E364" i="26"/>
  <c r="G364" i="26"/>
  <c r="J364" i="26"/>
  <c r="E365" i="26"/>
  <c r="G365" i="26"/>
  <c r="J365" i="26"/>
  <c r="E366" i="26"/>
  <c r="G366" i="26"/>
  <c r="J366" i="26"/>
  <c r="E367" i="26"/>
  <c r="G367" i="26"/>
  <c r="J367" i="26"/>
  <c r="E368" i="26"/>
  <c r="G368" i="26"/>
  <c r="J368" i="26"/>
  <c r="E369" i="26"/>
  <c r="G369" i="26"/>
  <c r="J369" i="26"/>
  <c r="E370" i="26"/>
  <c r="G370" i="26"/>
  <c r="J370" i="26"/>
  <c r="E371" i="26"/>
  <c r="G371" i="26"/>
  <c r="J371" i="26"/>
  <c r="E372" i="26"/>
  <c r="G372" i="26"/>
  <c r="J372" i="26"/>
  <c r="E373" i="26"/>
  <c r="G373" i="26"/>
  <c r="J373" i="26"/>
  <c r="E374" i="26"/>
  <c r="G374" i="26"/>
  <c r="J374" i="26"/>
  <c r="E375" i="26"/>
  <c r="G375" i="26"/>
  <c r="J375" i="26"/>
  <c r="E376" i="26"/>
  <c r="G376" i="26"/>
  <c r="J376" i="26"/>
  <c r="E377" i="26"/>
  <c r="G377" i="26"/>
  <c r="J377" i="26"/>
  <c r="E378" i="26"/>
  <c r="G378" i="26"/>
  <c r="J378" i="26"/>
  <c r="E379" i="26"/>
  <c r="G379" i="26"/>
  <c r="J379" i="26"/>
  <c r="E380" i="26"/>
  <c r="G380" i="26"/>
  <c r="J380" i="26"/>
  <c r="E381" i="26"/>
  <c r="G381" i="26"/>
  <c r="J381" i="26"/>
  <c r="E382" i="26"/>
  <c r="G382" i="26"/>
  <c r="J382" i="26"/>
  <c r="E383" i="26"/>
  <c r="G383" i="26"/>
  <c r="J383" i="26"/>
  <c r="E384" i="26"/>
  <c r="G384" i="26"/>
  <c r="J384" i="26"/>
  <c r="E385" i="26"/>
  <c r="G385" i="26"/>
  <c r="J385" i="26"/>
  <c r="E386" i="26"/>
  <c r="G386" i="26"/>
  <c r="J386" i="26"/>
  <c r="E387" i="26"/>
  <c r="G387" i="26"/>
  <c r="J387" i="26"/>
  <c r="E388" i="26"/>
  <c r="G388" i="26"/>
  <c r="J388" i="26"/>
  <c r="E389" i="26"/>
  <c r="G389" i="26"/>
  <c r="J389" i="26"/>
  <c r="E390" i="26"/>
  <c r="G390" i="26"/>
  <c r="J390" i="26"/>
  <c r="E391" i="26"/>
  <c r="G391" i="26"/>
  <c r="J391" i="26"/>
  <c r="E392" i="26"/>
  <c r="G392" i="26"/>
  <c r="J392" i="26"/>
  <c r="E393" i="26"/>
  <c r="G393" i="26"/>
  <c r="J393" i="26"/>
  <c r="E394" i="26"/>
  <c r="G394" i="26"/>
  <c r="J394" i="26"/>
  <c r="E395" i="26"/>
  <c r="G395" i="26"/>
  <c r="J395" i="26"/>
  <c r="E396" i="26"/>
  <c r="G396" i="26"/>
  <c r="J396" i="26"/>
  <c r="E397" i="26"/>
  <c r="G397" i="26"/>
  <c r="J397" i="26"/>
  <c r="E398" i="26"/>
  <c r="G398" i="26"/>
  <c r="J398" i="26"/>
  <c r="E399" i="26"/>
  <c r="G399" i="26"/>
  <c r="J399" i="26"/>
  <c r="E400" i="26"/>
  <c r="G400" i="26"/>
  <c r="J400" i="26"/>
  <c r="E401" i="26"/>
  <c r="G401" i="26"/>
  <c r="J401" i="26"/>
  <c r="E402" i="26"/>
  <c r="G402" i="26"/>
  <c r="J402" i="26"/>
  <c r="E403" i="26"/>
  <c r="G403" i="26"/>
  <c r="J403" i="26"/>
  <c r="E404" i="26"/>
  <c r="G404" i="26"/>
  <c r="J404" i="26"/>
  <c r="E405" i="26"/>
  <c r="G405" i="26"/>
  <c r="J405" i="26"/>
  <c r="E406" i="26"/>
  <c r="G406" i="26"/>
  <c r="J406" i="26"/>
  <c r="E407" i="26"/>
  <c r="G407" i="26"/>
  <c r="J407" i="26"/>
  <c r="E408" i="26"/>
  <c r="G408" i="26"/>
  <c r="J408" i="26"/>
  <c r="E409" i="26"/>
  <c r="G409" i="26"/>
  <c r="J409" i="26"/>
  <c r="E410" i="26"/>
  <c r="G410" i="26"/>
  <c r="J410" i="26"/>
  <c r="E411" i="26"/>
  <c r="G411" i="26"/>
  <c r="J411" i="26"/>
  <c r="E412" i="26"/>
  <c r="G412" i="26"/>
  <c r="J412" i="26"/>
  <c r="E413" i="26"/>
  <c r="G413" i="26"/>
  <c r="J413" i="26"/>
  <c r="E414" i="26"/>
  <c r="G414" i="26"/>
  <c r="J414" i="26"/>
  <c r="E415" i="26"/>
  <c r="G415" i="26"/>
  <c r="J415" i="26"/>
  <c r="E416" i="26"/>
  <c r="G416" i="26"/>
  <c r="J416" i="26"/>
  <c r="E417" i="26"/>
  <c r="G417" i="26"/>
  <c r="J417" i="26"/>
  <c r="E418" i="26"/>
  <c r="G418" i="26"/>
  <c r="J418" i="26"/>
  <c r="E419" i="26"/>
  <c r="G419" i="26"/>
  <c r="J419" i="26"/>
  <c r="E420" i="26"/>
  <c r="G420" i="26"/>
  <c r="J420" i="26"/>
  <c r="E421" i="26"/>
  <c r="G421" i="26"/>
  <c r="J421" i="26"/>
  <c r="E422" i="26"/>
  <c r="G422" i="26"/>
  <c r="J422" i="26"/>
  <c r="E423" i="26"/>
  <c r="G423" i="26"/>
  <c r="J423" i="26"/>
  <c r="E424" i="26"/>
  <c r="G424" i="26"/>
  <c r="J424" i="26"/>
  <c r="E425" i="26"/>
  <c r="G425" i="26"/>
  <c r="J425" i="26"/>
  <c r="E426" i="26"/>
  <c r="G426" i="26"/>
  <c r="J426" i="26"/>
  <c r="E427" i="26"/>
  <c r="G427" i="26"/>
  <c r="J427" i="26"/>
  <c r="E428" i="26"/>
  <c r="G428" i="26"/>
  <c r="J428" i="26"/>
  <c r="E429" i="26"/>
  <c r="G429" i="26"/>
  <c r="J429" i="26"/>
  <c r="E430" i="26"/>
  <c r="G430" i="26"/>
  <c r="J430" i="26"/>
  <c r="E431" i="26"/>
  <c r="G431" i="26"/>
  <c r="J431" i="26"/>
  <c r="E432" i="26"/>
  <c r="G432" i="26"/>
  <c r="J432" i="26"/>
  <c r="E433" i="26"/>
  <c r="G433" i="26"/>
  <c r="J433" i="26"/>
  <c r="E434" i="26"/>
  <c r="G434" i="26"/>
  <c r="J434" i="26"/>
  <c r="E435" i="26"/>
  <c r="G435" i="26"/>
  <c r="J435" i="26"/>
  <c r="E436" i="26"/>
  <c r="G436" i="26"/>
  <c r="J436" i="26"/>
  <c r="E437" i="26"/>
  <c r="G437" i="26"/>
  <c r="J437" i="26"/>
  <c r="E438" i="26"/>
  <c r="G438" i="26"/>
  <c r="J438" i="26"/>
  <c r="E439" i="26"/>
  <c r="G439" i="26"/>
  <c r="J439" i="26"/>
  <c r="E440" i="26"/>
  <c r="G440" i="26"/>
  <c r="J440" i="26"/>
  <c r="E441" i="26"/>
  <c r="G441" i="26"/>
  <c r="J441" i="26"/>
  <c r="E442" i="26"/>
  <c r="G442" i="26"/>
  <c r="J442" i="26"/>
  <c r="E443" i="26"/>
  <c r="G443" i="26"/>
  <c r="J443" i="26"/>
  <c r="E444" i="26"/>
  <c r="G444" i="26"/>
  <c r="J444" i="26"/>
  <c r="E445" i="26"/>
  <c r="G445" i="26"/>
  <c r="J445" i="26"/>
  <c r="E446" i="26"/>
  <c r="G446" i="26"/>
  <c r="J446" i="26"/>
  <c r="E447" i="26"/>
  <c r="G447" i="26"/>
  <c r="J447" i="26"/>
  <c r="E448" i="26"/>
  <c r="G448" i="26"/>
  <c r="J448" i="26"/>
  <c r="E449" i="26"/>
  <c r="G449" i="26"/>
  <c r="J449" i="26"/>
  <c r="E450" i="26"/>
  <c r="G450" i="26"/>
  <c r="J450" i="26"/>
  <c r="E451" i="26"/>
  <c r="G451" i="26"/>
  <c r="J451" i="26"/>
  <c r="E452" i="26"/>
  <c r="G452" i="26"/>
  <c r="J452" i="26"/>
  <c r="E453" i="26"/>
  <c r="G453" i="26"/>
  <c r="J453" i="26"/>
  <c r="E454" i="26"/>
  <c r="G454" i="26"/>
  <c r="J454" i="26"/>
  <c r="E455" i="26"/>
  <c r="G455" i="26"/>
  <c r="J455" i="26"/>
  <c r="E456" i="26"/>
  <c r="G456" i="26"/>
  <c r="J456" i="26"/>
  <c r="E457" i="26"/>
  <c r="G457" i="26"/>
  <c r="J457" i="26"/>
  <c r="E458" i="26"/>
  <c r="G458" i="26"/>
  <c r="J458" i="26"/>
  <c r="E459" i="26"/>
  <c r="G459" i="26"/>
  <c r="J459" i="26"/>
  <c r="E460" i="26"/>
  <c r="G460" i="26"/>
  <c r="J460" i="26"/>
  <c r="E461" i="26"/>
  <c r="G461" i="26"/>
  <c r="J461" i="26"/>
  <c r="E462" i="26"/>
  <c r="G462" i="26"/>
  <c r="J462" i="26"/>
  <c r="E463" i="26"/>
  <c r="G463" i="26"/>
  <c r="J463" i="26"/>
  <c r="E464" i="26"/>
  <c r="G464" i="26"/>
  <c r="J464" i="26"/>
  <c r="E465" i="26"/>
  <c r="G465" i="26"/>
  <c r="J465" i="26"/>
  <c r="E466" i="26"/>
  <c r="G466" i="26"/>
  <c r="J466" i="26"/>
  <c r="E467" i="26"/>
  <c r="G467" i="26"/>
  <c r="J467" i="26"/>
  <c r="E468" i="26"/>
  <c r="G468" i="26"/>
  <c r="J468" i="26"/>
  <c r="E469" i="26"/>
  <c r="G469" i="26"/>
  <c r="J469" i="26"/>
  <c r="E470" i="26"/>
  <c r="G470" i="26"/>
  <c r="J470" i="26"/>
  <c r="E471" i="26"/>
  <c r="G471" i="26"/>
  <c r="J471" i="26"/>
  <c r="E472" i="26"/>
  <c r="G472" i="26"/>
  <c r="J472" i="26"/>
  <c r="E473" i="26"/>
  <c r="G473" i="26"/>
  <c r="J473" i="26"/>
  <c r="E474" i="26"/>
  <c r="G474" i="26"/>
  <c r="J474" i="26"/>
  <c r="E475" i="26"/>
  <c r="G475" i="26"/>
  <c r="J475" i="26"/>
  <c r="E476" i="26"/>
  <c r="G476" i="26"/>
  <c r="J476" i="26"/>
  <c r="E477" i="26"/>
  <c r="G477" i="26"/>
  <c r="J477" i="26"/>
  <c r="E478" i="26"/>
  <c r="G478" i="26"/>
  <c r="J478" i="26"/>
  <c r="E479" i="26"/>
  <c r="G479" i="26"/>
  <c r="J479" i="26"/>
  <c r="E480" i="26"/>
  <c r="G480" i="26"/>
  <c r="J480" i="26"/>
  <c r="E481" i="26"/>
  <c r="G481" i="26"/>
  <c r="J481" i="26"/>
  <c r="E482" i="26"/>
  <c r="G482" i="26"/>
  <c r="J482" i="26"/>
  <c r="E483" i="26"/>
  <c r="G483" i="26"/>
  <c r="J483" i="26"/>
  <c r="E484" i="26"/>
  <c r="G484" i="26"/>
  <c r="J484" i="26"/>
  <c r="E485" i="26"/>
  <c r="G485" i="26"/>
  <c r="J485" i="26"/>
  <c r="E486" i="26"/>
  <c r="G486" i="26"/>
  <c r="J486" i="26"/>
  <c r="E487" i="26"/>
  <c r="G487" i="26"/>
  <c r="J487" i="26"/>
  <c r="E488" i="26"/>
  <c r="G488" i="26"/>
  <c r="J488" i="26"/>
  <c r="E489" i="26"/>
  <c r="G489" i="26"/>
  <c r="J489" i="26"/>
  <c r="E490" i="26"/>
  <c r="G490" i="26"/>
  <c r="J490" i="26"/>
  <c r="E491" i="26"/>
  <c r="G491" i="26"/>
  <c r="J491" i="26"/>
  <c r="E492" i="26"/>
  <c r="G492" i="26"/>
  <c r="J492" i="26"/>
  <c r="E493" i="26"/>
  <c r="G493" i="26"/>
  <c r="J493" i="26"/>
  <c r="E494" i="26"/>
  <c r="G494" i="26"/>
  <c r="J494" i="26"/>
  <c r="E495" i="26"/>
  <c r="G495" i="26"/>
  <c r="J495" i="26"/>
  <c r="E496" i="26"/>
  <c r="G496" i="26"/>
  <c r="J496" i="26"/>
  <c r="E497" i="26"/>
  <c r="G497" i="26"/>
  <c r="J497" i="26"/>
  <c r="E498" i="26"/>
  <c r="G498" i="26"/>
  <c r="J498" i="26"/>
  <c r="E499" i="26"/>
  <c r="G499" i="26"/>
  <c r="J499" i="26"/>
  <c r="E500" i="26"/>
  <c r="G500" i="26"/>
  <c r="J500" i="26"/>
  <c r="E501" i="26"/>
  <c r="G501" i="26"/>
  <c r="J501" i="26"/>
  <c r="W15" i="13" l="1"/>
  <c r="N15" i="13"/>
  <c r="K15" i="13"/>
  <c r="G15" i="13"/>
  <c r="E15" i="13"/>
  <c r="W8" i="13"/>
  <c r="N8" i="13"/>
  <c r="K8" i="13"/>
  <c r="G8" i="13"/>
  <c r="E8" i="13"/>
  <c r="W3" i="13"/>
  <c r="N3" i="13"/>
  <c r="K3" i="13"/>
  <c r="G3" i="13"/>
  <c r="E3" i="13"/>
  <c r="W2" i="13"/>
  <c r="N2" i="13"/>
  <c r="K2" i="13"/>
  <c r="G2" i="13"/>
  <c r="E2" i="13"/>
  <c r="W4" i="13"/>
  <c r="N4" i="13"/>
  <c r="K4" i="13"/>
  <c r="G4" i="13"/>
  <c r="E4" i="13"/>
  <c r="G19" i="13"/>
  <c r="E19" i="13"/>
  <c r="W7" i="13"/>
  <c r="N7" i="13"/>
  <c r="K7" i="13"/>
  <c r="G7" i="13"/>
  <c r="E7" i="13"/>
  <c r="W12" i="13"/>
  <c r="N12" i="13"/>
  <c r="K12" i="13"/>
  <c r="G12" i="13"/>
  <c r="E12" i="13"/>
  <c r="W14" i="13"/>
  <c r="N14" i="13"/>
  <c r="K14" i="13"/>
  <c r="G14" i="13"/>
  <c r="E14" i="13"/>
  <c r="W9" i="13"/>
  <c r="N9" i="13"/>
  <c r="K9" i="13"/>
  <c r="G9" i="13"/>
  <c r="E9" i="13"/>
  <c r="W6" i="13"/>
  <c r="N6" i="13"/>
  <c r="K6" i="13"/>
  <c r="G6" i="13"/>
  <c r="E6" i="13"/>
  <c r="G5" i="13"/>
  <c r="G13" i="13"/>
  <c r="W215" i="13"/>
  <c r="N215" i="13"/>
  <c r="K215" i="13"/>
  <c r="G215" i="13"/>
  <c r="E215" i="13"/>
  <c r="W214" i="13"/>
  <c r="N214" i="13"/>
  <c r="K214" i="13"/>
  <c r="G214" i="13"/>
  <c r="E214" i="13"/>
  <c r="W213" i="13"/>
  <c r="N213" i="13"/>
  <c r="K213" i="13"/>
  <c r="G213" i="13"/>
  <c r="E213" i="13"/>
  <c r="W212" i="13"/>
  <c r="N212" i="13"/>
  <c r="K212" i="13"/>
  <c r="G212" i="13"/>
  <c r="E212" i="13"/>
  <c r="W211" i="13"/>
  <c r="N211" i="13"/>
  <c r="K211" i="13"/>
  <c r="G211" i="13"/>
  <c r="E211" i="13"/>
  <c r="W210" i="13"/>
  <c r="N210" i="13"/>
  <c r="K210" i="13"/>
  <c r="G210" i="13"/>
  <c r="E210" i="13"/>
  <c r="W209" i="13"/>
  <c r="N209" i="13"/>
  <c r="K209" i="13"/>
  <c r="G209" i="13"/>
  <c r="E209" i="13"/>
  <c r="W208" i="13"/>
  <c r="N208" i="13"/>
  <c r="K208" i="13"/>
  <c r="G208" i="13"/>
  <c r="E208" i="13"/>
  <c r="W207" i="13"/>
  <c r="N207" i="13"/>
  <c r="K207" i="13"/>
  <c r="G207" i="13"/>
  <c r="E207" i="13"/>
  <c r="W206" i="13"/>
  <c r="N206" i="13"/>
  <c r="K206" i="13"/>
  <c r="G206" i="13"/>
  <c r="E206" i="13"/>
  <c r="W205" i="13"/>
  <c r="N205" i="13"/>
  <c r="K205" i="13"/>
  <c r="G205" i="13"/>
  <c r="E205" i="13"/>
  <c r="W204" i="13"/>
  <c r="N204" i="13"/>
  <c r="K204" i="13"/>
  <c r="G204" i="13"/>
  <c r="E204" i="13"/>
  <c r="W203" i="13"/>
  <c r="N203" i="13"/>
  <c r="K203" i="13"/>
  <c r="G203" i="13"/>
  <c r="E203" i="13"/>
  <c r="W202" i="13"/>
  <c r="N202" i="13"/>
  <c r="K202" i="13"/>
  <c r="G202" i="13"/>
  <c r="E202" i="13"/>
  <c r="W201" i="13"/>
  <c r="N201" i="13"/>
  <c r="K201" i="13"/>
  <c r="G201" i="13"/>
  <c r="E201" i="13"/>
  <c r="W200" i="13"/>
  <c r="N200" i="13"/>
  <c r="K200" i="13"/>
  <c r="G200" i="13"/>
  <c r="E200" i="13"/>
  <c r="W199" i="13"/>
  <c r="N199" i="13"/>
  <c r="K199" i="13"/>
  <c r="G199" i="13"/>
  <c r="E199" i="13"/>
  <c r="W198" i="13"/>
  <c r="N198" i="13"/>
  <c r="K198" i="13"/>
  <c r="G198" i="13"/>
  <c r="E198" i="13"/>
  <c r="W197" i="13"/>
  <c r="N197" i="13"/>
  <c r="K197" i="13"/>
  <c r="G197" i="13"/>
  <c r="E197" i="13"/>
  <c r="W196" i="13"/>
  <c r="N196" i="13"/>
  <c r="K196" i="13"/>
  <c r="G196" i="13"/>
  <c r="E196" i="13"/>
  <c r="W195" i="13"/>
  <c r="N195" i="13"/>
  <c r="K195" i="13"/>
  <c r="G195" i="13"/>
  <c r="E195" i="13"/>
  <c r="W194" i="13"/>
  <c r="N194" i="13"/>
  <c r="K194" i="13"/>
  <c r="G194" i="13"/>
  <c r="E194" i="13"/>
  <c r="W193" i="13"/>
  <c r="N193" i="13"/>
  <c r="K193" i="13"/>
  <c r="G193" i="13"/>
  <c r="E193" i="13"/>
  <c r="W192" i="13"/>
  <c r="N192" i="13"/>
  <c r="K192" i="13"/>
  <c r="G192" i="13"/>
  <c r="E192" i="13"/>
  <c r="W191" i="13"/>
  <c r="N191" i="13"/>
  <c r="K191" i="13"/>
  <c r="G191" i="13"/>
  <c r="E191" i="13"/>
  <c r="W190" i="13"/>
  <c r="N190" i="13"/>
  <c r="K190" i="13"/>
  <c r="G190" i="13"/>
  <c r="E190" i="13"/>
  <c r="W189" i="13"/>
  <c r="N189" i="13"/>
  <c r="K189" i="13"/>
  <c r="G189" i="13"/>
  <c r="E189" i="13"/>
  <c r="W188" i="13"/>
  <c r="N188" i="13"/>
  <c r="K188" i="13"/>
  <c r="G188" i="13"/>
  <c r="E188" i="13"/>
  <c r="W187" i="13"/>
  <c r="N187" i="13"/>
  <c r="K187" i="13"/>
  <c r="G187" i="13"/>
  <c r="E187" i="13"/>
  <c r="W186" i="13"/>
  <c r="N186" i="13"/>
  <c r="K186" i="13"/>
  <c r="G186" i="13"/>
  <c r="E186" i="13"/>
  <c r="W185" i="13"/>
  <c r="N185" i="13"/>
  <c r="K185" i="13"/>
  <c r="G185" i="13"/>
  <c r="E185" i="13"/>
  <c r="W184" i="13"/>
  <c r="N184" i="13"/>
  <c r="K184" i="13"/>
  <c r="G184" i="13"/>
  <c r="E184" i="13"/>
  <c r="W183" i="13"/>
  <c r="N183" i="13"/>
  <c r="K183" i="13"/>
  <c r="G183" i="13"/>
  <c r="E183" i="13"/>
  <c r="W182" i="13"/>
  <c r="N182" i="13"/>
  <c r="K182" i="13"/>
  <c r="G182" i="13"/>
  <c r="E182" i="13"/>
  <c r="W181" i="13"/>
  <c r="N181" i="13"/>
  <c r="K181" i="13"/>
  <c r="G181" i="13"/>
  <c r="E181" i="13"/>
  <c r="W180" i="13"/>
  <c r="N180" i="13"/>
  <c r="K180" i="13"/>
  <c r="G180" i="13"/>
  <c r="E180" i="13"/>
  <c r="W179" i="13"/>
  <c r="N179" i="13"/>
  <c r="K179" i="13"/>
  <c r="G179" i="13"/>
  <c r="E179" i="13"/>
  <c r="W178" i="13"/>
  <c r="N178" i="13"/>
  <c r="K178" i="13"/>
  <c r="G178" i="13"/>
  <c r="E178" i="13"/>
  <c r="W177" i="13"/>
  <c r="N177" i="13"/>
  <c r="K177" i="13"/>
  <c r="G177" i="13"/>
  <c r="E177" i="13"/>
  <c r="W176" i="13"/>
  <c r="N176" i="13"/>
  <c r="K176" i="13"/>
  <c r="G176" i="13"/>
  <c r="E176" i="13"/>
  <c r="W175" i="13"/>
  <c r="N175" i="13"/>
  <c r="K175" i="13"/>
  <c r="G175" i="13"/>
  <c r="E175" i="13"/>
  <c r="W174" i="13"/>
  <c r="N174" i="13"/>
  <c r="K174" i="13"/>
  <c r="G174" i="13"/>
  <c r="E174" i="13"/>
  <c r="W173" i="13"/>
  <c r="N173" i="13"/>
  <c r="K173" i="13"/>
  <c r="G173" i="13"/>
  <c r="E173" i="13"/>
  <c r="W172" i="13"/>
  <c r="N172" i="13"/>
  <c r="K172" i="13"/>
  <c r="G172" i="13"/>
  <c r="E172" i="13"/>
  <c r="W171" i="13"/>
  <c r="N171" i="13"/>
  <c r="K171" i="13"/>
  <c r="G171" i="13"/>
  <c r="E171" i="13"/>
  <c r="W170" i="13"/>
  <c r="N170" i="13"/>
  <c r="K170" i="13"/>
  <c r="G170" i="13"/>
  <c r="E170" i="13"/>
  <c r="W169" i="13"/>
  <c r="N169" i="13"/>
  <c r="K169" i="13"/>
  <c r="G169" i="13"/>
  <c r="E169" i="13"/>
  <c r="W168" i="13"/>
  <c r="N168" i="13"/>
  <c r="K168" i="13"/>
  <c r="G168" i="13"/>
  <c r="E168" i="13"/>
  <c r="W167" i="13"/>
  <c r="N167" i="13"/>
  <c r="K167" i="13"/>
  <c r="G167" i="13"/>
  <c r="E167" i="13"/>
  <c r="W166" i="13"/>
  <c r="N166" i="13"/>
  <c r="K166" i="13"/>
  <c r="G166" i="13"/>
  <c r="E166" i="13"/>
  <c r="W165" i="13"/>
  <c r="N165" i="13"/>
  <c r="K165" i="13"/>
  <c r="G165" i="13"/>
  <c r="E165" i="13"/>
  <c r="W164" i="13"/>
  <c r="N164" i="13"/>
  <c r="K164" i="13"/>
  <c r="G164" i="13"/>
  <c r="E164" i="13"/>
  <c r="W163" i="13"/>
  <c r="N163" i="13"/>
  <c r="K163" i="13"/>
  <c r="G163" i="13"/>
  <c r="E163" i="13"/>
  <c r="W162" i="13"/>
  <c r="N162" i="13"/>
  <c r="K162" i="13"/>
  <c r="G162" i="13"/>
  <c r="E162" i="13"/>
  <c r="W161" i="13"/>
  <c r="N161" i="13"/>
  <c r="K161" i="13"/>
  <c r="G161" i="13"/>
  <c r="E161" i="13"/>
  <c r="W160" i="13"/>
  <c r="N160" i="13"/>
  <c r="K160" i="13"/>
  <c r="G160" i="13"/>
  <c r="E160" i="13"/>
  <c r="W159" i="13"/>
  <c r="N159" i="13"/>
  <c r="K159" i="13"/>
  <c r="G159" i="13"/>
  <c r="E159" i="13"/>
  <c r="W158" i="13"/>
  <c r="N158" i="13"/>
  <c r="K158" i="13"/>
  <c r="G158" i="13"/>
  <c r="E158" i="13"/>
  <c r="W157" i="13"/>
  <c r="N157" i="13"/>
  <c r="K157" i="13"/>
  <c r="G157" i="13"/>
  <c r="E157" i="13"/>
  <c r="W156" i="13"/>
  <c r="N156" i="13"/>
  <c r="K156" i="13"/>
  <c r="G156" i="13"/>
  <c r="E156" i="13"/>
  <c r="W155" i="13"/>
  <c r="N155" i="13"/>
  <c r="K155" i="13"/>
  <c r="G155" i="13"/>
  <c r="E155" i="13"/>
  <c r="W154" i="13"/>
  <c r="N154" i="13"/>
  <c r="K154" i="13"/>
  <c r="G154" i="13"/>
  <c r="E154" i="13"/>
  <c r="W153" i="13"/>
  <c r="N153" i="13"/>
  <c r="K153" i="13"/>
  <c r="G153" i="13"/>
  <c r="E153" i="13"/>
  <c r="W152" i="13"/>
  <c r="N152" i="13"/>
  <c r="K152" i="13"/>
  <c r="G152" i="13"/>
  <c r="E152" i="13"/>
  <c r="W151" i="13"/>
  <c r="N151" i="13"/>
  <c r="K151" i="13"/>
  <c r="G151" i="13"/>
  <c r="E151" i="13"/>
  <c r="W150" i="13"/>
  <c r="N150" i="13"/>
  <c r="K150" i="13"/>
  <c r="G150" i="13"/>
  <c r="E150" i="13"/>
  <c r="W149" i="13"/>
  <c r="N149" i="13"/>
  <c r="K149" i="13"/>
  <c r="G149" i="13"/>
  <c r="E149" i="13"/>
  <c r="W148" i="13"/>
  <c r="N148" i="13"/>
  <c r="K148" i="13"/>
  <c r="G148" i="13"/>
  <c r="E148" i="13"/>
  <c r="W147" i="13"/>
  <c r="N147" i="13"/>
  <c r="K147" i="13"/>
  <c r="G147" i="13"/>
  <c r="E147" i="13"/>
  <c r="W146" i="13"/>
  <c r="N146" i="13"/>
  <c r="K146" i="13"/>
  <c r="G146" i="13"/>
  <c r="E146" i="13"/>
  <c r="W145" i="13"/>
  <c r="N145" i="13"/>
  <c r="K145" i="13"/>
  <c r="G145" i="13"/>
  <c r="E145" i="13"/>
  <c r="W144" i="13"/>
  <c r="N144" i="13"/>
  <c r="K144" i="13"/>
  <c r="G144" i="13"/>
  <c r="E144" i="13"/>
  <c r="W143" i="13"/>
  <c r="N143" i="13"/>
  <c r="K143" i="13"/>
  <c r="G143" i="13"/>
  <c r="E143" i="13"/>
  <c r="W142" i="13"/>
  <c r="N142" i="13"/>
  <c r="K142" i="13"/>
  <c r="G142" i="13"/>
  <c r="E142" i="13"/>
  <c r="W141" i="13"/>
  <c r="N141" i="13"/>
  <c r="K141" i="13"/>
  <c r="G141" i="13"/>
  <c r="E141" i="13"/>
  <c r="W140" i="13"/>
  <c r="N140" i="13"/>
  <c r="K140" i="13"/>
  <c r="G140" i="13"/>
  <c r="E140" i="13"/>
  <c r="W139" i="13"/>
  <c r="N139" i="13"/>
  <c r="K139" i="13"/>
  <c r="G139" i="13"/>
  <c r="E139" i="13"/>
  <c r="W138" i="13"/>
  <c r="N138" i="13"/>
  <c r="K138" i="13"/>
  <c r="G138" i="13"/>
  <c r="E138" i="13"/>
  <c r="W137" i="13"/>
  <c r="N137" i="13"/>
  <c r="K137" i="13"/>
  <c r="G137" i="13"/>
  <c r="E137" i="13"/>
  <c r="W136" i="13"/>
  <c r="N136" i="13"/>
  <c r="K136" i="13"/>
  <c r="G136" i="13"/>
  <c r="E136" i="13"/>
  <c r="W135" i="13"/>
  <c r="N135" i="13"/>
  <c r="K135" i="13"/>
  <c r="G135" i="13"/>
  <c r="E135" i="13"/>
  <c r="W134" i="13"/>
  <c r="N134" i="13"/>
  <c r="K134" i="13"/>
  <c r="G134" i="13"/>
  <c r="E134" i="13"/>
  <c r="W133" i="13"/>
  <c r="N133" i="13"/>
  <c r="K133" i="13"/>
  <c r="G133" i="13"/>
  <c r="E133" i="13"/>
  <c r="W132" i="13"/>
  <c r="N132" i="13"/>
  <c r="K132" i="13"/>
  <c r="G132" i="13"/>
  <c r="E132" i="13"/>
  <c r="W131" i="13"/>
  <c r="N131" i="13"/>
  <c r="K131" i="13"/>
  <c r="G131" i="13"/>
  <c r="E131" i="13"/>
  <c r="W130" i="13"/>
  <c r="N130" i="13"/>
  <c r="K130" i="13"/>
  <c r="G130" i="13"/>
  <c r="E130" i="13"/>
  <c r="W129" i="13"/>
  <c r="N129" i="13"/>
  <c r="K129" i="13"/>
  <c r="G129" i="13"/>
  <c r="E129" i="13"/>
  <c r="W128" i="13"/>
  <c r="N128" i="13"/>
  <c r="K128" i="13"/>
  <c r="G128" i="13"/>
  <c r="E128" i="13"/>
  <c r="W127" i="13"/>
  <c r="N127" i="13"/>
  <c r="K127" i="13"/>
  <c r="G127" i="13"/>
  <c r="E127" i="13"/>
  <c r="W126" i="13"/>
  <c r="N126" i="13"/>
  <c r="K126" i="13"/>
  <c r="G126" i="13"/>
  <c r="E126" i="13"/>
  <c r="W125" i="13"/>
  <c r="N125" i="13"/>
  <c r="K125" i="13"/>
  <c r="G125" i="13"/>
  <c r="E125" i="13"/>
  <c r="W124" i="13"/>
  <c r="N124" i="13"/>
  <c r="K124" i="13"/>
  <c r="G124" i="13"/>
  <c r="E124" i="13"/>
  <c r="W123" i="13"/>
  <c r="N123" i="13"/>
  <c r="K123" i="13"/>
  <c r="G123" i="13"/>
  <c r="E123" i="13"/>
  <c r="W122" i="13"/>
  <c r="N122" i="13"/>
  <c r="K122" i="13"/>
  <c r="G122" i="13"/>
  <c r="E122" i="13"/>
  <c r="W121" i="13"/>
  <c r="N121" i="13"/>
  <c r="K121" i="13"/>
  <c r="G121" i="13"/>
  <c r="E121" i="13"/>
  <c r="W120" i="13"/>
  <c r="N120" i="13"/>
  <c r="K120" i="13"/>
  <c r="G120" i="13"/>
  <c r="E120" i="13"/>
  <c r="W119" i="13"/>
  <c r="N119" i="13"/>
  <c r="K119" i="13"/>
  <c r="G119" i="13"/>
  <c r="E119" i="13"/>
  <c r="W118" i="13"/>
  <c r="N118" i="13"/>
  <c r="K118" i="13"/>
  <c r="G118" i="13"/>
  <c r="E118" i="13"/>
  <c r="W117" i="13"/>
  <c r="N117" i="13"/>
  <c r="K117" i="13"/>
  <c r="G117" i="13"/>
  <c r="E117" i="13"/>
  <c r="W116" i="13"/>
  <c r="N116" i="13"/>
  <c r="K116" i="13"/>
  <c r="G116" i="13"/>
  <c r="E116" i="13"/>
  <c r="W115" i="13"/>
  <c r="N115" i="13"/>
  <c r="K115" i="13"/>
  <c r="G115" i="13"/>
  <c r="E115" i="13"/>
  <c r="W114" i="13"/>
  <c r="N114" i="13"/>
  <c r="K114" i="13"/>
  <c r="G114" i="13"/>
  <c r="E114" i="13"/>
  <c r="W113" i="13"/>
  <c r="N113" i="13"/>
  <c r="K113" i="13"/>
  <c r="G113" i="13"/>
  <c r="E113" i="13"/>
  <c r="W112" i="13"/>
  <c r="N112" i="13"/>
  <c r="K112" i="13"/>
  <c r="G112" i="13"/>
  <c r="E112" i="13"/>
  <c r="W111" i="13"/>
  <c r="N111" i="13"/>
  <c r="K111" i="13"/>
  <c r="G111" i="13"/>
  <c r="E111" i="13"/>
  <c r="W110" i="13"/>
  <c r="N110" i="13"/>
  <c r="K110" i="13"/>
  <c r="G110" i="13"/>
  <c r="E110" i="13"/>
  <c r="W109" i="13"/>
  <c r="N109" i="13"/>
  <c r="K109" i="13"/>
  <c r="G109" i="13"/>
  <c r="E109" i="13"/>
  <c r="W108" i="13"/>
  <c r="N108" i="13"/>
  <c r="K108" i="13"/>
  <c r="G108" i="13"/>
  <c r="E108" i="13"/>
  <c r="W107" i="13"/>
  <c r="N107" i="13"/>
  <c r="K107" i="13"/>
  <c r="G107" i="13"/>
  <c r="E107" i="13"/>
  <c r="W106" i="13"/>
  <c r="N106" i="13"/>
  <c r="K106" i="13"/>
  <c r="G106" i="13"/>
  <c r="E106" i="13"/>
  <c r="W105" i="13"/>
  <c r="N105" i="13"/>
  <c r="K105" i="13"/>
  <c r="G105" i="13"/>
  <c r="E105" i="13"/>
  <c r="W104" i="13"/>
  <c r="N104" i="13"/>
  <c r="K104" i="13"/>
  <c r="G104" i="13"/>
  <c r="E104" i="13"/>
  <c r="W103" i="13"/>
  <c r="N103" i="13"/>
  <c r="K103" i="13"/>
  <c r="G103" i="13"/>
  <c r="E103" i="13"/>
  <c r="W102" i="13"/>
  <c r="N102" i="13"/>
  <c r="K102" i="13"/>
  <c r="G102" i="13"/>
  <c r="E102" i="13"/>
  <c r="W101" i="13"/>
  <c r="N101" i="13"/>
  <c r="K101" i="13"/>
  <c r="G101" i="13"/>
  <c r="E101" i="13"/>
  <c r="W100" i="13"/>
  <c r="N100" i="13"/>
  <c r="K100" i="13"/>
  <c r="G100" i="13"/>
  <c r="E100" i="13"/>
  <c r="W99" i="13"/>
  <c r="N99" i="13"/>
  <c r="K99" i="13"/>
  <c r="G99" i="13"/>
  <c r="E99" i="13"/>
  <c r="W98" i="13"/>
  <c r="N98" i="13"/>
  <c r="K98" i="13"/>
  <c r="G98" i="13"/>
  <c r="E98" i="13"/>
  <c r="W97" i="13"/>
  <c r="N97" i="13"/>
  <c r="K97" i="13"/>
  <c r="G97" i="13"/>
  <c r="E97" i="13"/>
  <c r="W96" i="13"/>
  <c r="N96" i="13"/>
  <c r="K96" i="13"/>
  <c r="G96" i="13"/>
  <c r="E96" i="13"/>
  <c r="W95" i="13"/>
  <c r="N95" i="13"/>
  <c r="K95" i="13"/>
  <c r="G95" i="13"/>
  <c r="E95" i="13"/>
  <c r="W94" i="13"/>
  <c r="N94" i="13"/>
  <c r="K94" i="13"/>
  <c r="G94" i="13"/>
  <c r="E94" i="13"/>
  <c r="W93" i="13"/>
  <c r="N93" i="13"/>
  <c r="K93" i="13"/>
  <c r="G93" i="13"/>
  <c r="E93" i="13"/>
  <c r="W92" i="13"/>
  <c r="N92" i="13"/>
  <c r="K92" i="13"/>
  <c r="G92" i="13"/>
  <c r="E92" i="13"/>
  <c r="W91" i="13"/>
  <c r="N91" i="13"/>
  <c r="K91" i="13"/>
  <c r="G91" i="13"/>
  <c r="E91" i="13"/>
  <c r="W90" i="13"/>
  <c r="N90" i="13"/>
  <c r="K90" i="13"/>
  <c r="G90" i="13"/>
  <c r="E90" i="13"/>
  <c r="W89" i="13"/>
  <c r="N89" i="13"/>
  <c r="K89" i="13"/>
  <c r="G89" i="13"/>
  <c r="E89" i="13"/>
  <c r="W88" i="13"/>
  <c r="N88" i="13"/>
  <c r="K88" i="13"/>
  <c r="G88" i="13"/>
  <c r="E88" i="13"/>
  <c r="W87" i="13"/>
  <c r="N87" i="13"/>
  <c r="K87" i="13"/>
  <c r="G87" i="13"/>
  <c r="E87" i="13"/>
  <c r="W86" i="13"/>
  <c r="N86" i="13"/>
  <c r="K86" i="13"/>
  <c r="G86" i="13"/>
  <c r="E86" i="13"/>
  <c r="W85" i="13"/>
  <c r="N85" i="13"/>
  <c r="K85" i="13"/>
  <c r="G85" i="13"/>
  <c r="E85" i="13"/>
  <c r="W84" i="13"/>
  <c r="N84" i="13"/>
  <c r="K84" i="13"/>
  <c r="G84" i="13"/>
  <c r="E84" i="13"/>
  <c r="W83" i="13"/>
  <c r="N83" i="13"/>
  <c r="K83" i="13"/>
  <c r="G83" i="13"/>
  <c r="E83" i="13"/>
  <c r="W82" i="13"/>
  <c r="N82" i="13"/>
  <c r="K82" i="13"/>
  <c r="G82" i="13"/>
  <c r="E82" i="13"/>
  <c r="W81" i="13"/>
  <c r="N81" i="13"/>
  <c r="K81" i="13"/>
  <c r="G81" i="13"/>
  <c r="E81" i="13"/>
  <c r="W80" i="13"/>
  <c r="N80" i="13"/>
  <c r="K80" i="13"/>
  <c r="G80" i="13"/>
  <c r="E80" i="13"/>
  <c r="W79" i="13"/>
  <c r="N79" i="13"/>
  <c r="K79" i="13"/>
  <c r="G79" i="13"/>
  <c r="E79" i="13"/>
  <c r="W78" i="13"/>
  <c r="N78" i="13"/>
  <c r="K78" i="13"/>
  <c r="G78" i="13"/>
  <c r="E78" i="13"/>
  <c r="W77" i="13"/>
  <c r="N77" i="13"/>
  <c r="K77" i="13"/>
  <c r="G77" i="13"/>
  <c r="E77" i="13"/>
  <c r="W76" i="13"/>
  <c r="N76" i="13"/>
  <c r="K76" i="13"/>
  <c r="G76" i="13"/>
  <c r="E76" i="13"/>
  <c r="W75" i="13"/>
  <c r="N75" i="13"/>
  <c r="K75" i="13"/>
  <c r="G75" i="13"/>
  <c r="E75" i="13"/>
  <c r="W74" i="13"/>
  <c r="N74" i="13"/>
  <c r="K74" i="13"/>
  <c r="G74" i="13"/>
  <c r="E74" i="13"/>
  <c r="W73" i="13"/>
  <c r="N73" i="13"/>
  <c r="K73" i="13"/>
  <c r="G73" i="13"/>
  <c r="E73" i="13"/>
  <c r="W72" i="13"/>
  <c r="N72" i="13"/>
  <c r="K72" i="13"/>
  <c r="G72" i="13"/>
  <c r="E72" i="13"/>
  <c r="W71" i="13"/>
  <c r="N71" i="13"/>
  <c r="K71" i="13"/>
  <c r="G71" i="13"/>
  <c r="E71" i="13"/>
  <c r="W70" i="13"/>
  <c r="N70" i="13"/>
  <c r="K70" i="13"/>
  <c r="G70" i="13"/>
  <c r="E70" i="13"/>
  <c r="W69" i="13"/>
  <c r="N69" i="13"/>
  <c r="K69" i="13"/>
  <c r="G69" i="13"/>
  <c r="E69" i="13"/>
  <c r="W68" i="13"/>
  <c r="N68" i="13"/>
  <c r="K68" i="13"/>
  <c r="G68" i="13"/>
  <c r="E68" i="13"/>
  <c r="W67" i="13"/>
  <c r="N67" i="13"/>
  <c r="K67" i="13"/>
  <c r="G67" i="13"/>
  <c r="E67" i="13"/>
  <c r="W66" i="13"/>
  <c r="N66" i="13"/>
  <c r="K66" i="13"/>
  <c r="G66" i="13"/>
  <c r="E66" i="13"/>
  <c r="W65" i="13"/>
  <c r="N65" i="13"/>
  <c r="K65" i="13"/>
  <c r="G65" i="13"/>
  <c r="E65" i="13"/>
  <c r="W64" i="13"/>
  <c r="N64" i="13"/>
  <c r="K64" i="13"/>
  <c r="G64" i="13"/>
  <c r="E64" i="13"/>
  <c r="W63" i="13"/>
  <c r="N63" i="13"/>
  <c r="K63" i="13"/>
  <c r="G63" i="13"/>
  <c r="E63" i="13"/>
  <c r="W62" i="13"/>
  <c r="N62" i="13"/>
  <c r="K62" i="13"/>
  <c r="G62" i="13"/>
  <c r="E62" i="13"/>
  <c r="W61" i="13"/>
  <c r="N61" i="13"/>
  <c r="K61" i="13"/>
  <c r="G61" i="13"/>
  <c r="E61" i="13"/>
  <c r="W60" i="13"/>
  <c r="N60" i="13"/>
  <c r="K60" i="13"/>
  <c r="G60" i="13"/>
  <c r="E60" i="13"/>
  <c r="W59" i="13"/>
  <c r="N59" i="13"/>
  <c r="K59" i="13"/>
  <c r="G59" i="13"/>
  <c r="E59" i="13"/>
  <c r="W58" i="13"/>
  <c r="N58" i="13"/>
  <c r="K58" i="13"/>
  <c r="G58" i="13"/>
  <c r="E58" i="13"/>
  <c r="W57" i="13"/>
  <c r="N57" i="13"/>
  <c r="K57" i="13"/>
  <c r="G57" i="13"/>
  <c r="E57" i="13"/>
  <c r="W56" i="13"/>
  <c r="N56" i="13"/>
  <c r="K56" i="13"/>
  <c r="G56" i="13"/>
  <c r="E56" i="13"/>
  <c r="W55" i="13"/>
  <c r="N55" i="13"/>
  <c r="K55" i="13"/>
  <c r="G55" i="13"/>
  <c r="E55" i="13"/>
  <c r="W54" i="13"/>
  <c r="N54" i="13"/>
  <c r="K54" i="13"/>
  <c r="G54" i="13"/>
  <c r="E54" i="13"/>
  <c r="W53" i="13"/>
  <c r="N53" i="13"/>
  <c r="K53" i="13"/>
  <c r="G53" i="13"/>
  <c r="E53" i="13"/>
  <c r="W52" i="13"/>
  <c r="N52" i="13"/>
  <c r="K52" i="13"/>
  <c r="G52" i="13"/>
  <c r="E52" i="13"/>
  <c r="W51" i="13"/>
  <c r="N51" i="13"/>
  <c r="K51" i="13"/>
  <c r="G51" i="13"/>
  <c r="E51" i="13"/>
  <c r="W50" i="13"/>
  <c r="N50" i="13"/>
  <c r="K50" i="13"/>
  <c r="G50" i="13"/>
  <c r="E50" i="13"/>
  <c r="W49" i="13"/>
  <c r="N49" i="13"/>
  <c r="K49" i="13"/>
  <c r="G49" i="13"/>
  <c r="E49" i="13"/>
  <c r="W48" i="13"/>
  <c r="N48" i="13"/>
  <c r="K48" i="13"/>
  <c r="G48" i="13"/>
  <c r="E48" i="13"/>
  <c r="W47" i="13"/>
  <c r="N47" i="13"/>
  <c r="K47" i="13"/>
  <c r="G47" i="13"/>
  <c r="E47" i="13"/>
  <c r="W46" i="13"/>
  <c r="N46" i="13"/>
  <c r="K46" i="13"/>
  <c r="G46" i="13"/>
  <c r="E46" i="13"/>
  <c r="W45" i="13"/>
  <c r="N45" i="13"/>
  <c r="K45" i="13"/>
  <c r="G45" i="13"/>
  <c r="E45" i="13"/>
  <c r="W44" i="13"/>
  <c r="N44" i="13"/>
  <c r="K44" i="13"/>
  <c r="G44" i="13"/>
  <c r="E44" i="13"/>
  <c r="W43" i="13"/>
  <c r="N43" i="13"/>
  <c r="K43" i="13"/>
  <c r="G43" i="13"/>
  <c r="E43" i="13"/>
  <c r="W42" i="13"/>
  <c r="N42" i="13"/>
  <c r="K42" i="13"/>
  <c r="G42" i="13"/>
  <c r="E42" i="13"/>
  <c r="W41" i="13"/>
  <c r="N41" i="13"/>
  <c r="K41" i="13"/>
  <c r="G41" i="13"/>
  <c r="E41" i="13"/>
  <c r="W40" i="13"/>
  <c r="N40" i="13"/>
  <c r="K40" i="13"/>
  <c r="G40" i="13"/>
  <c r="E40" i="13"/>
  <c r="W39" i="13"/>
  <c r="N39" i="13"/>
  <c r="K39" i="13"/>
  <c r="G39" i="13"/>
  <c r="E39" i="13"/>
  <c r="W38" i="13"/>
  <c r="N38" i="13"/>
  <c r="K38" i="13"/>
  <c r="G38" i="13"/>
  <c r="E38" i="13"/>
  <c r="W37" i="13"/>
  <c r="N37" i="13"/>
  <c r="K37" i="13"/>
  <c r="G37" i="13"/>
  <c r="E37" i="13"/>
  <c r="W36" i="13"/>
  <c r="N36" i="13"/>
  <c r="K36" i="13"/>
  <c r="G36" i="13"/>
  <c r="E36" i="13"/>
  <c r="W35" i="13"/>
  <c r="N35" i="13"/>
  <c r="K35" i="13"/>
  <c r="G35" i="13"/>
  <c r="E35" i="13"/>
  <c r="W34" i="13"/>
  <c r="N34" i="13"/>
  <c r="K34" i="13"/>
  <c r="G34" i="13"/>
  <c r="E34" i="13"/>
  <c r="W33" i="13"/>
  <c r="N33" i="13"/>
  <c r="K33" i="13"/>
  <c r="G33" i="13"/>
  <c r="E33" i="13"/>
  <c r="W32" i="13"/>
  <c r="N32" i="13"/>
  <c r="K32" i="13"/>
  <c r="G32" i="13"/>
  <c r="E32" i="13"/>
  <c r="W31" i="13"/>
  <c r="N31" i="13"/>
  <c r="K31" i="13"/>
  <c r="G31" i="13"/>
  <c r="E31" i="13"/>
  <c r="W30" i="13"/>
  <c r="N30" i="13"/>
  <c r="K30" i="13"/>
  <c r="G30" i="13"/>
  <c r="E30" i="13"/>
  <c r="W29" i="13"/>
  <c r="N29" i="13"/>
  <c r="K29" i="13"/>
  <c r="G29" i="13"/>
  <c r="E29" i="13"/>
  <c r="W28" i="13"/>
  <c r="N28" i="13"/>
  <c r="K28" i="13"/>
  <c r="G28" i="13"/>
  <c r="E28" i="13"/>
  <c r="W27" i="13"/>
  <c r="N27" i="13"/>
  <c r="K27" i="13"/>
  <c r="G27" i="13"/>
  <c r="E27" i="13"/>
  <c r="W26" i="13"/>
  <c r="N26" i="13"/>
  <c r="K26" i="13"/>
  <c r="G26" i="13"/>
  <c r="E26" i="13"/>
  <c r="W25" i="13"/>
  <c r="N25" i="13"/>
  <c r="K25" i="13"/>
  <c r="G25" i="13"/>
  <c r="E25" i="13"/>
  <c r="W24" i="13"/>
  <c r="N24" i="13"/>
  <c r="K24" i="13"/>
  <c r="G24" i="13"/>
  <c r="E24" i="13"/>
  <c r="W23" i="13"/>
  <c r="N23" i="13"/>
  <c r="K23" i="13"/>
  <c r="G23" i="13"/>
  <c r="E23" i="13"/>
  <c r="W22" i="13"/>
  <c r="N22" i="13"/>
  <c r="K22" i="13"/>
  <c r="G22" i="13"/>
  <c r="E22" i="13"/>
  <c r="W21" i="13"/>
  <c r="N21" i="13"/>
  <c r="K21" i="13"/>
  <c r="G21" i="13"/>
  <c r="E21" i="13"/>
  <c r="W20" i="13"/>
  <c r="N20" i="13"/>
  <c r="K20" i="13"/>
  <c r="G20" i="13"/>
  <c r="E20" i="13"/>
  <c r="W19" i="13"/>
  <c r="N19" i="13"/>
  <c r="K19" i="13"/>
  <c r="W18" i="13"/>
  <c r="N18" i="13"/>
  <c r="K18" i="13"/>
  <c r="G18" i="13"/>
  <c r="E18" i="13"/>
  <c r="W13" i="13"/>
  <c r="N13" i="13"/>
  <c r="K13" i="13"/>
  <c r="E13" i="13"/>
  <c r="W5" i="13"/>
  <c r="N5" i="13"/>
  <c r="K5" i="13"/>
  <c r="E5" i="13"/>
</calcChain>
</file>

<file path=xl/comments1.xml><?xml version="1.0" encoding="utf-8"?>
<comments xmlns="http://schemas.openxmlformats.org/spreadsheetml/2006/main">
  <authors>
    <author>Mariana Marcatto</author>
    <author>Luana de Castro Lopes (SEPLAG)</author>
    <author>Barbara Mendes de Castro (SEPLAG)</author>
  </authors>
  <commentList>
    <comment ref="F2" authorId="0" shapeId="0">
      <text>
        <r>
          <rPr>
            <sz val="11"/>
            <color theme="1"/>
            <rFont val="Calibri"/>
            <family val="2"/>
            <scheme val="minor"/>
          </rPr>
          <t xml:space="preserve">DESCREVER O NOME DO PROGRAMA A SER LANÇADO NO NOVO PPAG
</t>
        </r>
      </text>
    </comment>
    <comment ref="H2" authorId="0" shapeId="0">
      <text>
        <r>
          <rPr>
            <sz val="11"/>
            <color theme="1"/>
            <rFont val="Calibri"/>
            <family val="2"/>
            <scheme val="minor"/>
          </rPr>
          <t>DESCREVER O NOME DA AÇÃO A SER LANÇADA NO NOVO PPAG</t>
        </r>
      </text>
    </comment>
    <comment ref="I2" authorId="0" shapeId="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text>
    </comment>
    <comment ref="K2" authorId="1" shapeId="0">
      <text>
        <r>
          <rPr>
            <sz val="11"/>
            <color theme="1"/>
            <rFont val="Calibri"/>
            <family val="2"/>
            <scheme val="minor"/>
          </rPr>
          <t>AGRUPAMENTO DE ACORDO COM A NATUREZA DO ELEMENTO ITEM</t>
        </r>
      </text>
    </comment>
    <comment ref="L2" authorId="2" shapeId="0">
      <text>
        <r>
          <rPr>
            <sz val="11"/>
            <color theme="1"/>
            <rFont val="Calibri"/>
            <family val="2"/>
            <scheme val="minor"/>
          </rPr>
          <t>Grupo em que se enquadra a despesa, sendo 3 custeio e 4 ivesntimento</t>
        </r>
      </text>
    </comment>
    <comment ref="N2" authorId="0" shapeId="0">
      <text>
        <r>
          <rPr>
            <sz val="9"/>
            <color indexed="81"/>
            <rFont val="Segoe UI"/>
            <family val="2"/>
          </rPr>
          <t>O preenchimento dessa coluna é opcional.  
Ela serve para auxiliar no planejamento do órgão. 
Devem ser consideradas exclusivamente fontes de recurso constantes na elaboração do DPO.
Ex: se o órgão possui uma fonte específica que só pode financiar determinada despesa, ele já deixa isso marcado para auxilá-lo.</t>
        </r>
      </text>
    </comment>
    <comment ref="O2" authorId="0" shapeId="0">
      <text>
        <r>
          <rPr>
            <sz val="11"/>
            <color theme="1"/>
            <rFont val="Calibri"/>
            <family val="2"/>
            <scheme val="minor"/>
          </rPr>
          <t>O preenchimento dessa coluna tem como objetivo auxiliar o órgão a fazer o levantamento de seus custos de forma mais assertiva, visto que alguns elementos-itens agregam diversos itens de materiais que possuem lógicas de preço e volume diferente. 
Ex: material de consumo (papel, caneta, clips, lápis, etc)
combustível (álcool, gasolina, etc)
MGS (postos de trabalho variados - administrativo ou conservação e limpeza)
Estagiário (posto de 30 ou 20 horas)</t>
        </r>
      </text>
    </comment>
    <comment ref="P2" authorId="0" shapeId="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t>
        </r>
      </text>
    </comment>
    <comment ref="Q2" authorId="0" shapeId="0">
      <text>
        <r>
          <rPr>
            <b/>
            <sz val="9"/>
            <color indexed="81"/>
            <rFont val="Segoe UI"/>
            <family val="2"/>
          </rPr>
          <t xml:space="preserve">QUAL PARÂMETRO/REFERÊNCIA FOI UTILIZADO PARA REALIZAR A VOLUMETRIA?
</t>
        </r>
        <r>
          <rPr>
            <sz val="9"/>
            <color indexed="81"/>
            <rFont val="Segoe UI"/>
            <family val="2"/>
          </rPr>
          <t>Ex: Unidade; KM; Pacote com 100 unidades; m²; etc.</t>
        </r>
      </text>
    </comment>
    <comment ref="R2" authorId="0" shapeId="0">
      <text>
        <r>
          <rPr>
            <b/>
            <sz val="9"/>
            <color indexed="81"/>
            <rFont val="Segoe UI"/>
            <family val="2"/>
          </rPr>
          <t xml:space="preserve">QUANTIFICAÇÃO DO VOLUME 
</t>
        </r>
        <r>
          <rPr>
            <sz val="9"/>
            <color indexed="81"/>
            <rFont val="Segoe UI"/>
            <family val="2"/>
          </rPr>
          <t xml:space="preserve">
Ex: se na coluna "PREMISSA DE VOLUME" foi preenchida com "unidade", na coluna "VOLUME" você deverá colocar quantas unidades precisa</t>
        </r>
      </text>
    </comment>
    <comment ref="S2" authorId="0" shapeId="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U2" authorId="0" shapeId="0">
      <text>
        <r>
          <rPr>
            <b/>
            <sz val="9"/>
            <color indexed="81"/>
            <rFont val="Segoe UI"/>
            <family val="2"/>
          </rPr>
          <t xml:space="preserve">QUANTAS VEZES O PAGAMENTO É REALIZADO AO LONGO DO ANO?
</t>
        </r>
        <r>
          <rPr>
            <sz val="9"/>
            <color indexed="81"/>
            <rFont val="Segoe UI"/>
            <family val="2"/>
          </rPr>
          <t xml:space="preserve">
IMPORTANTE: se no preço ou no volume já você considerar o valor ou montante anual, a frequência de pagamento será "1". </t>
        </r>
        <r>
          <rPr>
            <b/>
            <sz val="9"/>
            <color indexed="81"/>
            <rFont val="Segoe UI"/>
            <family val="2"/>
          </rPr>
          <t xml:space="preserve"> </t>
        </r>
      </text>
    </comment>
    <comment ref="V2" authorId="0" shapeId="0">
      <text>
        <r>
          <rPr>
            <b/>
            <sz val="9"/>
            <color indexed="81"/>
            <rFont val="Segoe UI"/>
            <family val="2"/>
          </rPr>
          <t xml:space="preserve">VALOR TOTAL ITEM = VOLUME x PREÇO UNITÁRIO x FREQUÊNCIA DE PAGAMENTO </t>
        </r>
      </text>
    </comment>
    <comment ref="W2" authorId="0" shapeId="0">
      <text>
        <r>
          <rPr>
            <b/>
            <sz val="9"/>
            <color indexed="81"/>
            <rFont val="Segoe UI"/>
            <family val="2"/>
          </rPr>
          <t>LIMIAR:</t>
        </r>
        <r>
          <rPr>
            <sz val="9"/>
            <color indexed="81"/>
            <rFont val="Segoe UI"/>
            <family val="2"/>
          </rPr>
          <t xml:space="preserve"> NÍVEL DE SERVIÇO MÍNIMO PARA GARANTIR A EXECUÇÃO DE ENTREGAS MANDATÓRIAS E/OU ESSENCIAIS DO ÓRGÃO.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 ref="X2" authorId="0" shapeId="0">
      <text>
        <r>
          <rPr>
            <sz val="11"/>
            <color theme="1"/>
            <rFont val="Calibri"/>
            <family val="2"/>
            <scheme val="minor"/>
          </rPr>
          <t xml:space="preserve">O CENÁRIO É COMPOSTO POR UM PACOTE DE ELEMENTOS ITENS, E SUA DESCRIÇÃO DEVE INDICAR O QUE SE ESTÁ ENTREGANDO COM OS ITENS DETALHADOS. 
IMPORTANTE RESSALTAR QUE CADA CENÁRIO DEVE PERTENCER A UMA MESMA AÇÃO, PODENDO HAVER MAIS DE UM CENÁRIO POR AÇÃO.
ESSE CAMPO DEVE SER PREENCHIDO TANTO PARA OS CENÁRIOS INCREMENTAIS, INDICANDO O NÍVEL DE SERVIÇO QUE SE PRETENDE ALCANÇAR, QUANTO PARA O LIMIAR, INDICANDO QUAL O MÍNIMO NECESSÁRIO PARA REALIZAÇÃO DA AÇÃO EM QUESTÃO.
</t>
        </r>
      </text>
    </comment>
    <comment ref="Y2" authorId="0" shapeId="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Z2" authorId="0" shapeId="0">
      <text>
        <r>
          <rPr>
            <sz val="11"/>
            <color theme="1"/>
            <rFont val="Calibri"/>
            <family val="2"/>
            <scheme val="minor"/>
          </rPr>
          <t xml:space="preserve">DEVE SER PREENCHIDO OBRIGATORIAMENTE NAS DESPESAS CLASSIFICADAS COMO LIMIAR E MARCADA COMO NOVA NA COLUNA R, E DESPESAS CLASSIFICADAS COMO INCREMENTAIS.  É FACULTATIVO SEU PREENCHIMENTO NAS DESPESAS CLASSIFICADAS COMO LIMIAR MARCADAS COMO NÃO NOVAS NA COLUNA R.
É ESSENCIAL QUE O RISCO DE NÃO FAZER SEJA BEM DESCRITO, UMA VEZ QUE ELE PERMITE COMPREENDER A PERDA GERADA PELA NÃO EXECUÇÃO DA DESPESA. OU SEJA, ELE É IMPORTANTE PARA UMA TOMADA DE DECISÃO ASSERTIVA E ESTRETÉGICA.
NO CASO DAS DESPESAS LIMIARES ESSA COLUNA AUXILIA O GESTOR A COMPREENDER A ENTREGA E A TER MAIS INFORMAÇÕES ACERCA DE SUA NECESSIDADE.
</t>
        </r>
      </text>
    </comment>
    <comment ref="AA2" authorId="0" shapeId="0">
      <text>
        <r>
          <rPr>
            <sz val="9"/>
            <color indexed="81"/>
            <rFont val="Segoe UI"/>
            <family val="2"/>
          </rPr>
          <t xml:space="preserve">ESSA COLUNA DEVE SER </t>
        </r>
        <r>
          <rPr>
            <b/>
            <sz val="9"/>
            <color indexed="81"/>
            <rFont val="Segoe UI"/>
            <family val="2"/>
          </rPr>
          <t>PREENCHIDA PELO N3</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PRIORIZAÇÃO</t>
        </r>
        <r>
          <rPr>
            <sz val="9"/>
            <color indexed="81"/>
            <rFont val="Segoe UI"/>
            <family val="2"/>
          </rPr>
          <t>:
LIMIAR = 0 ou deixar a célula em branco
INCREMENTAL = de 1 até o último nível de priorização 
Obs: despesas que compõem o mesmo cenário (coluna y), devem ser classificadas com o mesmo nível de priorização.</t>
        </r>
      </text>
    </comment>
    <comment ref="AB2" authorId="0" shapeId="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C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 ref="AD2" authorId="0" shapeId="0">
      <text>
        <r>
          <rPr>
            <sz val="9"/>
            <color indexed="81"/>
            <rFont val="Segoe UI"/>
            <family val="2"/>
          </rPr>
          <t xml:space="preserve">ESSA COLUNA DEVE SER </t>
        </r>
        <r>
          <rPr>
            <b/>
            <sz val="9"/>
            <color indexed="81"/>
            <rFont val="Segoe UI"/>
            <family val="2"/>
          </rPr>
          <t>PREENCHIDA PELO N2</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 xml:space="preserve">NÍVEL DE REPRIORIZAÇÃO INTERMEDIÁRIO </t>
        </r>
        <r>
          <rPr>
            <sz val="9"/>
            <color indexed="81"/>
            <rFont val="Segoe UI"/>
            <family val="2"/>
          </rPr>
          <t>partindo do levantamento feito pelos N3 a ele subordinados:
LIMIAR = 0 ou deixar a célula em branco
INCREMENTAL = de 1 até o último nível de priorização 
Obs: despesas que compõem o mesmo cenário (coluna y), devem ser classificadas com o mesmo nível de priorização.</t>
        </r>
      </text>
    </comment>
    <comment ref="AE2" authorId="0" shapeId="0">
      <text>
        <r>
          <rPr>
            <sz val="9"/>
            <color indexed="81"/>
            <rFont val="Segoe UI"/>
            <family val="2"/>
          </rPr>
          <t xml:space="preserve">ESSA COLUNA DEVE SER </t>
        </r>
        <r>
          <rPr>
            <b/>
            <sz val="9"/>
            <color indexed="81"/>
            <rFont val="Segoe UI"/>
            <family val="2"/>
          </rPr>
          <t>PREENCHIDA PELO N1</t>
        </r>
        <r>
          <rPr>
            <sz val="9"/>
            <color indexed="81"/>
            <rFont val="Segoe UI"/>
            <family val="2"/>
          </rPr>
          <t xml:space="preserve"> EM </t>
        </r>
        <r>
          <rPr>
            <b/>
            <sz val="9"/>
            <color indexed="81"/>
            <rFont val="Segoe UI"/>
            <family val="2"/>
          </rPr>
          <t>ESCALA NUMÉRICA</t>
        </r>
        <r>
          <rPr>
            <sz val="9"/>
            <color indexed="81"/>
            <rFont val="Segoe UI"/>
            <family val="2"/>
          </rPr>
          <t xml:space="preserve">, DE ACORDO COM  O </t>
        </r>
        <r>
          <rPr>
            <b/>
            <sz val="9"/>
            <color indexed="81"/>
            <rFont val="Segoe UI"/>
            <family val="2"/>
          </rPr>
          <t>NÍVEL DE REPRIORIZAÇÃO FINAL</t>
        </r>
        <r>
          <rPr>
            <sz val="9"/>
            <color indexed="81"/>
            <rFont val="Segoe UI"/>
            <family val="2"/>
          </rPr>
          <t xml:space="preserve">.
LIMIAR = 0 ou deixar a célula em branco
INCREMENTAL = de 1 até o último nível de priorização 
</t>
        </r>
        <r>
          <rPr>
            <b/>
            <u/>
            <sz val="9"/>
            <color indexed="81"/>
            <rFont val="Segoe UI"/>
            <family val="2"/>
          </rPr>
          <t>O RESULTADO DESSA PRIORIZAÇÃO FINAL É A PILHA ORÇAMENTÁRIA DO ÓRGÃO.</t>
        </r>
        <r>
          <rPr>
            <sz val="9"/>
            <color indexed="81"/>
            <rFont val="Segoe UI"/>
            <family val="2"/>
          </rPr>
          <t xml:space="preserve">
Obs: despesas que compõem o mesmo cenário (coluna y), devem ser classificadas com o mesmo nível de priorização</t>
        </r>
      </text>
    </comment>
  </commentList>
</comments>
</file>

<file path=xl/comments2.xml><?xml version="1.0" encoding="utf-8"?>
<comments xmlns="http://schemas.openxmlformats.org/spreadsheetml/2006/main">
  <authors>
    <author>Mariana Marcatto</author>
  </authors>
  <commentList>
    <comment ref="F1" authorId="0" shapeId="0">
      <text>
        <r>
          <rPr>
            <sz val="9"/>
            <color indexed="81"/>
            <rFont val="Segoe UI"/>
            <family val="2"/>
          </rPr>
          <t xml:space="preserve">PROGRAMA VINCULADO AO PPAG
</t>
        </r>
      </text>
    </comment>
    <comment ref="H1" authorId="0" shapeId="0">
      <text>
        <r>
          <rPr>
            <sz val="9"/>
            <color indexed="81"/>
            <rFont val="Segoe UI"/>
            <family val="2"/>
          </rPr>
          <t xml:space="preserve">AÇÃO VINCULADO AO PPAG
</t>
        </r>
      </text>
    </comment>
    <comment ref="I1" authorId="0" shapeId="0">
      <text>
        <r>
          <rPr>
            <b/>
            <sz val="9"/>
            <color indexed="81"/>
            <rFont val="Segoe UI"/>
            <family val="2"/>
          </rPr>
          <t xml:space="preserve">O QUE MINHA ÁREA /DEPARTAMENTO ENTREGA PARA O ESTADO/SOCIEDADE?
</t>
        </r>
        <r>
          <rPr>
            <sz val="9"/>
            <color indexed="81"/>
            <rFont val="Segoe UI"/>
            <family val="2"/>
          </rPr>
          <t xml:space="preserve">
A PARTIR DAS PRINCIPAIS ATIVIDADES REALIZADAS PELO DEPARTAMENTO, IDENTIFICAR OS PRINCIPAIS PRODUTOS GERADOS.
AS ENTREGAS SÃO </t>
        </r>
        <r>
          <rPr>
            <u/>
            <sz val="9"/>
            <color indexed="81"/>
            <rFont val="Segoe UI"/>
            <family val="2"/>
          </rPr>
          <t>MENSURÁVEIS E TANGÍVEIS</t>
        </r>
        <r>
          <rPr>
            <sz val="9"/>
            <color indexed="81"/>
            <rFont val="Segoe UI"/>
            <family val="2"/>
          </rPr>
          <t xml:space="preserve">, POIS, COSTUMAM REPRESENTAR A RAZÃO DE EXISTÊNCIA DE UMA ÁREA OU DEPARTAMENTO.
</t>
        </r>
      </text>
    </comment>
    <comment ref="J1" authorId="0" shapeId="0">
      <text>
        <r>
          <rPr>
            <b/>
            <sz val="9"/>
            <color indexed="81"/>
            <rFont val="Segoe UI"/>
            <family val="2"/>
          </rPr>
          <t xml:space="preserve">ELEMENTO EXECUTADO DA DESPESA
</t>
        </r>
        <r>
          <rPr>
            <sz val="9"/>
            <color indexed="81"/>
            <rFont val="Segoe UI"/>
            <family val="2"/>
          </rPr>
          <t>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L1" authorId="0" shapeId="0">
      <text>
        <r>
          <rPr>
            <b/>
            <sz val="9"/>
            <color indexed="81"/>
            <rFont val="Segoe UI"/>
            <family val="2"/>
          </rPr>
          <t>ELEMENTO/ITEM EXECUTADO DA DESPESA</t>
        </r>
        <r>
          <rPr>
            <sz val="9"/>
            <color indexed="81"/>
            <rFont val="Segoe UI"/>
            <family val="2"/>
          </rPr>
          <t xml:space="preserve">
OBS: EM CASO DE DÚVIDA NA CLASSIFICAÇÃO, PROCURAR A DIRETORIA DE PLANEJAMENTO E ORÇAMENTO PARA AUXILIAR NO PREENCHIMENTO. 
CLASSIFICADOR ECONÔMICO DA DESPESA DISPONÍVELPARA CONSULTA EM: http://www.planejamento.mg.gov.br/pagina/planejamento-e-orcamento/lei-orcamentaria-anual-loa/lei-orcamentaria-anual-loa</t>
        </r>
        <r>
          <rPr>
            <b/>
            <sz val="9"/>
            <color indexed="81"/>
            <rFont val="Segoe UI"/>
            <family val="2"/>
          </rPr>
          <t xml:space="preserve">
</t>
        </r>
      </text>
    </comment>
    <comment ref="O1" authorId="0" shapeId="0">
      <text>
        <r>
          <rPr>
            <sz val="9"/>
            <color indexed="81"/>
            <rFont val="Segoe UI"/>
            <family val="2"/>
          </rPr>
          <t>O PREENCHIMENTO DESSA COLUNA É OPCIONAL.  
ELA SERVE PARA AUXILIAR NO PLANEJAMENTO DO ÓRGÃO. 
Ex: o órgão possui uma fonte específica que só pode fincanciar determinada despesa e ele já deixa isso marcado para auxilia-lo.</t>
        </r>
      </text>
    </comment>
    <comment ref="Q1" authorId="0" shapeId="0">
      <text>
        <r>
          <rPr>
            <b/>
            <sz val="9"/>
            <color indexed="81"/>
            <rFont val="Segoe UI"/>
            <family val="2"/>
          </rPr>
          <t>SIM:</t>
        </r>
        <r>
          <rPr>
            <sz val="9"/>
            <color indexed="81"/>
            <rFont val="Segoe UI"/>
            <family val="2"/>
          </rPr>
          <t xml:space="preserve"> DESPESA QUE NÃO É EXECUTADA NO EXERCÍCIO CORRENTE;
</t>
        </r>
        <r>
          <rPr>
            <b/>
            <sz val="9"/>
            <color indexed="81"/>
            <rFont val="Segoe UI"/>
            <family val="2"/>
          </rPr>
          <t>NÃO:</t>
        </r>
        <r>
          <rPr>
            <sz val="9"/>
            <color indexed="81"/>
            <rFont val="Segoe UI"/>
            <family val="2"/>
          </rPr>
          <t xml:space="preserve"> DESPESA EXECUTADA NO EXERCÍCIO CORRENTE.
OBS: QUANDO A DESPESA FOR CLASSIFICADA COMO NOVA OBRIGÁTORIAMENTE O CENÁRIO TERÁ QUER SER CLASSIFICADO COMO INCREMENTAL (COLUNA P)</t>
        </r>
        <r>
          <rPr>
            <b/>
            <sz val="9"/>
            <color indexed="81"/>
            <rFont val="Segoe UI"/>
            <family val="2"/>
          </rPr>
          <t xml:space="preserve">
</t>
        </r>
      </text>
    </comment>
    <comment ref="R1" authorId="0" shapeId="0">
      <text>
        <r>
          <rPr>
            <b/>
            <sz val="9"/>
            <color indexed="81"/>
            <rFont val="Segoe UI"/>
            <family val="2"/>
          </rPr>
          <t xml:space="preserve">QUAL PARÂMETRO/REFERÊNCIA FOI UTILIZADO PARA REALIZAR A VOLUMETRIA?
</t>
        </r>
        <r>
          <rPr>
            <sz val="9"/>
            <color indexed="81"/>
            <rFont val="Segoe UI"/>
            <family val="2"/>
          </rPr>
          <t xml:space="preserve">
Esse campo deve ser utilizado para explicar como se chegou no volume apresentado.</t>
        </r>
      </text>
    </comment>
    <comment ref="T1" authorId="0" shapeId="0">
      <text>
        <r>
          <rPr>
            <b/>
            <sz val="9"/>
            <color indexed="81"/>
            <rFont val="Segoe UI"/>
            <family val="2"/>
          </rPr>
          <t xml:space="preserve">QUAL PARÂMETRO/REFERÊNCIA FOI UTILIZADO PARA REALIZAR A PRECIFICAÇÃO?
</t>
        </r>
        <r>
          <rPr>
            <sz val="9"/>
            <color indexed="81"/>
            <rFont val="Segoe UI"/>
            <family val="2"/>
          </rPr>
          <t>Ex: Preço de Referência Portal de Compras; Pesquisa na internet; Média histórica de consumo; etc.</t>
        </r>
      </text>
    </comment>
    <comment ref="W1" authorId="0" shapeId="0">
      <text>
        <r>
          <rPr>
            <b/>
            <sz val="9"/>
            <color indexed="81"/>
            <rFont val="Segoe UI"/>
            <family val="2"/>
          </rPr>
          <t xml:space="preserve">VALOR TOTAL ITEM = VOLUME x PREÇO UNITÁRIO x FREQUÊNCIA DE PAGAMENTO </t>
        </r>
      </text>
    </comment>
    <comment ref="X1" authorId="0" shapeId="0">
      <text>
        <r>
          <rPr>
            <b/>
            <sz val="9"/>
            <color indexed="81"/>
            <rFont val="Segoe UI"/>
            <family val="2"/>
          </rPr>
          <t>LIMIAR:</t>
        </r>
        <r>
          <rPr>
            <sz val="9"/>
            <color indexed="81"/>
            <rFont val="Segoe UI"/>
            <family val="2"/>
          </rPr>
          <t xml:space="preserve"> NÍVEL DE SERVIÇO MÍNIMO PARA GARANTIR A EXECUÇÃO DE ENTREGAS MANDATÓRIAS E/OU ESSENCIAIS DO ÓRGÃO. ESTÁ VINCULADO AO CUMPRIMENTO E REQUERIMENTOS LEGAIS.
</t>
        </r>
        <r>
          <rPr>
            <b/>
            <sz val="9"/>
            <color indexed="81"/>
            <rFont val="Segoe UI"/>
            <family val="2"/>
          </rPr>
          <t xml:space="preserve">INCREMENTAL: </t>
        </r>
        <r>
          <rPr>
            <sz val="9"/>
            <color indexed="81"/>
            <rFont val="Segoe UI"/>
            <family val="2"/>
          </rPr>
          <t xml:space="preserve">ENTREGAS NÃO OBRIGATÓRIAS, EM UM NÍVEL DE SERVIÇO SUPERIOR
QUE SÃO REALIZADOS PARA MELHORAR RESULTADOS, AUMENTAR A QUALIDADE E
MITIGAR RISCOS.
QUANTO MAIS ALINHADOS COM A ESTRATÉGIA, MAIS PRÓXIMOS FICAM DO CENÁRIO
LIMIAR
</t>
        </r>
      </text>
    </comment>
  </commentList>
</comments>
</file>

<file path=xl/comments3.xml><?xml version="1.0" encoding="utf-8"?>
<comments xmlns="http://schemas.openxmlformats.org/spreadsheetml/2006/main">
  <authors>
    <author>Andréa Souto Malaquias (SEAP)</author>
  </authors>
  <commentList>
    <comment ref="R370" authorId="0" shapeId="0">
      <text>
        <r>
          <rPr>
            <b/>
            <sz val="9"/>
            <color indexed="81"/>
            <rFont val="Segoe UI"/>
            <family val="2"/>
          </rPr>
          <t>Volume ajustado para chegar na média de previsão de gastos, levando em consideração a variação de valores devido e quantidade das diárias por viagem, localidas com valores diferenciados, (Capital, especial e comum).</t>
        </r>
      </text>
    </comment>
    <comment ref="R371" authorId="0" shapeId="0">
      <text>
        <r>
          <rPr>
            <b/>
            <sz val="9"/>
            <color indexed="81"/>
            <rFont val="Segoe UI"/>
            <family val="2"/>
          </rPr>
          <t>Volume ajustado para chegar na média de previsão de gastos, levando em consideração a variação de valores devido e quantidade das diárias por viagem, localidas com valores diferenciados, (Capital, especial e comum).</t>
        </r>
      </text>
    </comment>
  </commentList>
</comments>
</file>

<file path=xl/sharedStrings.xml><?xml version="1.0" encoding="utf-8"?>
<sst xmlns="http://schemas.openxmlformats.org/spreadsheetml/2006/main" count="49120" uniqueCount="5356">
  <si>
    <t>MATERIAL DE APOIO</t>
  </si>
  <si>
    <t>BASE OBZ</t>
  </si>
  <si>
    <t>CLASSIFICADOR ORÇAMENTÁRIO</t>
  </si>
  <si>
    <t>CONCEITOS METODOLÓGICOS IMPORTANTES</t>
  </si>
  <si>
    <t>DECRETO DIÁRIAS</t>
  </si>
  <si>
    <t>BASE OBZ - EXEMPLO</t>
  </si>
  <si>
    <t>INDICE</t>
  </si>
  <si>
    <t>PROJETO ORÇAMENTO BASE-ZERO</t>
  </si>
  <si>
    <t xml:space="preserve">UNIDADE ORÇAMENTÁRIA </t>
  </si>
  <si>
    <t>N2</t>
  </si>
  <si>
    <t>SUB SIGLA</t>
  </si>
  <si>
    <t>N3</t>
  </si>
  <si>
    <t>PROGRAMAUO</t>
  </si>
  <si>
    <t>PROGRAMA</t>
  </si>
  <si>
    <t>prog cod</t>
  </si>
  <si>
    <t>AÇÃO</t>
  </si>
  <si>
    <t>ELEMENTO</t>
  </si>
  <si>
    <t>ELEMENTO_ITEM</t>
  </si>
  <si>
    <t>Agrupamento</t>
  </si>
  <si>
    <t>GRUPO</t>
  </si>
  <si>
    <t>FONTEUO</t>
  </si>
  <si>
    <t xml:space="preserve">FONTE </t>
  </si>
  <si>
    <t xml:space="preserve">DESCRIÇÃO DO ITEM </t>
  </si>
  <si>
    <t>NOVO?</t>
  </si>
  <si>
    <t>PREMISSA VOLUME</t>
  </si>
  <si>
    <t>VOLUME</t>
  </si>
  <si>
    <t>PREMISSA DE PREÇO</t>
  </si>
  <si>
    <t>PREÇO UNITÁRIO</t>
  </si>
  <si>
    <t>FREQUÊNCIA PAGAMENTO</t>
  </si>
  <si>
    <t>VALOR TOTAL ITEM</t>
  </si>
  <si>
    <t>CLASSIFICAÇÃO CENÁRIO</t>
  </si>
  <si>
    <t>DESCRIÇÃO DO CENÁRIO</t>
  </si>
  <si>
    <t>RISCO DE NÃO FAZER</t>
  </si>
  <si>
    <t>BENEFICIO AO FAZER</t>
  </si>
  <si>
    <t xml:space="preserve">PRIORIDADE N3 </t>
  </si>
  <si>
    <t xml:space="preserve">PRIORIDADE N2 </t>
  </si>
  <si>
    <t xml:space="preserve">PRIORIDADE N1 </t>
  </si>
  <si>
    <t>FAOP</t>
  </si>
  <si>
    <t>Subsecretaria de Promoção Cultural</t>
  </si>
  <si>
    <t>Superintendência de artes</t>
  </si>
  <si>
    <t>060 - FORMACAO CULTURAL</t>
  </si>
  <si>
    <t>1029 - ATIVIDADES DE ENSINO, FORMACAO E QUALIFICACAO PROFISSIONAL E TECNICA EM CULTURA E PATRIMONIO</t>
  </si>
  <si>
    <t>1401 - DIÁRIAS CIVIL</t>
  </si>
  <si>
    <t>Diárias e viagens</t>
  </si>
  <si>
    <t>3 - Outras Despesas de Custeio</t>
  </si>
  <si>
    <t>DIÁRIA PARA ATENDER HOSPEDAGEM DE PROFESSOR CONVIDADO PARA LECIONAR</t>
  </si>
  <si>
    <t>NÃO</t>
  </si>
  <si>
    <t>NÚMERO DE DIÁRIAS UTILIZADAS (2) X NUMERO DE SERVIDORES FAVORECIDOS (1)</t>
  </si>
  <si>
    <t>VALOR DA DIÁRIA DE ACORDO COM DECRETO 47.045/2016 (FAIXA 1 - MUNICÍPIO ESPECIAL)</t>
  </si>
  <si>
    <t>LIMIAR</t>
  </si>
  <si>
    <t>REALIZAÇÃO DE CURSO COM APENAS UM PROFESSOR CONVIDADO</t>
  </si>
  <si>
    <t>CURSO PRECISA DE PELO MENOS UM PROFESSOR PARA SER REALIZADO</t>
  </si>
  <si>
    <t>NÃO É POSSÍVEL REALIZAR CURSO SEM PROFESSOR</t>
  </si>
  <si>
    <t>3301 - PASSAGENS - PESSOA FÍSICA</t>
  </si>
  <si>
    <t>PASSAGEM DE IDA E VOLTA PARA ATENDER DESLOCAMENTO DE PROFESSOR CONVIDADO PARA LECIONAR</t>
  </si>
  <si>
    <t>1 PASSAGEM DE IDA E VOLTA DE CONTAGEM PARA BH</t>
  </si>
  <si>
    <t>VALOR DA PASSAGEM IDA E VOLTA</t>
  </si>
  <si>
    <t>DIÁRIA PARA ATENDER HOSPEDAGEM DE PROFESSOR EXTRA CONVIDADO PARA LECIONAR</t>
  </si>
  <si>
    <t>SIM</t>
  </si>
  <si>
    <t>CURSO MINISTRADO COM UM PROFESSOR EXTRA CONVIDADO</t>
  </si>
  <si>
    <t>CURSO MENOS INTERESSANTE, MENOR CARGA HORÁRIO E POSSÍVEL MENOR ADESÃO DO PÚBLICO</t>
  </si>
  <si>
    <t>CURSO COM MAIOR QUALIDADE E ADESÃO DO PÚBLICO</t>
  </si>
  <si>
    <t>PASSAGEM DE IDA E VOLTA PARA ATENDER DESLOCAMENTO DE PROFESSOR EXTRA CONVIDADO PARA LECIONAR</t>
  </si>
  <si>
    <t>3952 - CONTRATAÇÃO DE ESTAGIÁRIOS</t>
  </si>
  <si>
    <t>Estagiários</t>
  </si>
  <si>
    <t>ESTAGIÁRIO CARGA HORÁRIA 30 HORAS SEMANAIS</t>
  </si>
  <si>
    <t>NÚMERO DE ESTAGIÁRIOS</t>
  </si>
  <si>
    <t xml:space="preserve">VALOR DA BOLSA ESTAGIÁRIO + VALE TRANSPORTE </t>
  </si>
  <si>
    <t>INCREMENTAL</t>
  </si>
  <si>
    <t>EXPANSÃO DOS CURSOS PARA A MODALIDADE EAD</t>
  </si>
  <si>
    <t>MAIOR DEMORA PARA A REALIZAÇÃO DOS PROCESSOS DE TESTE DA PLATAFORMA; CURSO MAIS DESORGANIZADO E ACÚMULO DE TAREFAS AOS SERVIDORES</t>
  </si>
  <si>
    <t>PROCESSOS MAIS ÁGEIS; CURSO MAIS ORGANIZADO E SERVIDORES MENOS SOBRECARREGADOS</t>
  </si>
  <si>
    <t>3005 - MATERIAL PARA ESCRITÓRIO</t>
  </si>
  <si>
    <t>Aquisição de material de consumo</t>
  </si>
  <si>
    <t>PACOTE DE FOLHA A4 BRANCA COM 100 UNIDADES</t>
  </si>
  <si>
    <t>MÉDIA DE CONSUMO PARA UM CURSO DE 2 DIAS</t>
  </si>
  <si>
    <t>CONSULTA DO VALOR DO ITEM NO SIAD</t>
  </si>
  <si>
    <t>ALUNOS PRECISAM DE FOLHA PARA REALIZAR AS ATIVIDADES AVALIATIVAS</t>
  </si>
  <si>
    <t>NÃO É POSSÍVEL REALIZAR AS ATIVIDADES SEM QUE OS ALUNOS TENHAM ONDE ESCREVER AS RESPOSTAS</t>
  </si>
  <si>
    <t>KIT DE MATERIAL PARA CURSO (CANETA ESFEROGRÁFICA AZUL, LÁPIS, BORRACHA)</t>
  </si>
  <si>
    <t>1 KIT POR PESSOA X MÉDIA DE INSCRIÇÕES NO CURSO (100)</t>
  </si>
  <si>
    <t>CONSULTA DO VALOR DOS ITENS QUE COMPÕES O KIT NO SIAD</t>
  </si>
  <si>
    <t>FORNECIMENTO DE ITENS DE SUPORTE AO PARTICIPANTE DOS CURSOS</t>
  </si>
  <si>
    <t>MENOR ADESÃO AO CURSO DEVIDO AO PÚBLICO ALVO NÃO POSSUIR CONDIÇÕES FINANCEIRAS DE ADQUIRIR OS MATERIAIS DO KIT</t>
  </si>
  <si>
    <t>MAIOR ADESÃO DO PÚBLICO ALVO E MELHOR DESEMPENHO DOS ALUNOS</t>
  </si>
  <si>
    <t>3903 - FORNECIMENTO DE ALIMENTAÇÃO</t>
  </si>
  <si>
    <t>Alimentação</t>
  </si>
  <si>
    <t>FORNECIMENTO DE COFFEE BREAK PARA O CURSO</t>
  </si>
  <si>
    <t>CONTRATO FIRMADO</t>
  </si>
  <si>
    <t>VALOR HISTÓRICO DOS CONTRADOS FIRMADOS</t>
  </si>
  <si>
    <t>POSSIBILIDADE DO PÚBLICO ALVO NÃO ADERIR AO CURSO POR QUESTÕES FINANCEIRAS QUE IMPOSSIBILITEM A AQUISIÇÃO DE LANCHE DURANTE O DIA; MAIOR TEMPO DE INTERVALO DURANTE O CURSO E MENOR ADESÃO DO PÚBLICO AO CURSO</t>
  </si>
  <si>
    <t>CURSO MAIS ATRATIVO, GERANDO MAIOR ADESÃO DO PÚBLICO ALVO</t>
  </si>
  <si>
    <t>4007 - AQUISIÇÃO DE SOFTWARE DESENVOLVIDOS PELA PRODEMGE</t>
  </si>
  <si>
    <t>PRODEMGE</t>
  </si>
  <si>
    <t>4 - Investimento</t>
  </si>
  <si>
    <t>DESENVOLVIMENTO DE PLATAFORMA MOODLE PARA CURSO EAD</t>
  </si>
  <si>
    <t>TABELA DE SERVIÇOS PRODEMGE</t>
  </si>
  <si>
    <t>MENOR PÚBLICO DEVIDO À OFERTA DE CURSOS SOMENTE NA MODALIDADE PRESENCIAL</t>
  </si>
  <si>
    <t>ATINGIR MAIOR PÚBLICO</t>
  </si>
  <si>
    <t>056 - FOMENTO, DEMOCRATIZACAO E ACESSO A CULTURA E AO TURISMO</t>
  </si>
  <si>
    <t>1027 - ACOES DE DIFUSAO DAS ARTES E DO PATRIMONIO CULTURAL</t>
  </si>
  <si>
    <t>3702 - LOCAÇÃO DE SERVIÇOS DE APOIO ADMINISTRATIVO</t>
  </si>
  <si>
    <t>Demais terceirizados</t>
  </si>
  <si>
    <t>POSTO DE TRABALHO DE SEGURANÇA 24H</t>
  </si>
  <si>
    <t>CONTRATATO FIRMADO COM A EMPRESA "SECURITY"</t>
  </si>
  <si>
    <t>VALOR MENSAL DO CONTRATO</t>
  </si>
  <si>
    <t>SEGURANÇA MÍNIMA NECESSÁRIA PARA ATENDER A GUARDA DO MUSEU DURANTE 12H</t>
  </si>
  <si>
    <t>AUSÊNCIA DE SEGURANÇA DO MUSEU, DEIXANDO O PRÉDIO COMPLETAMENTE VULNERÁVEL</t>
  </si>
  <si>
    <t>REDUÇÃO DO RISCO DE DEPREDAÇÃO DO MUSEU</t>
  </si>
  <si>
    <t>ADITIVO PARA SEGURANÇA 24 HORAS (ADICIONAL DE 1 SEGURANÇA)</t>
  </si>
  <si>
    <t>ADITIVO CONTRATUAL COM A EMPRESA "SECURITY"</t>
  </si>
  <si>
    <t>VALOR MENSAL DO ADITIVO (NÚMERO DE POSTOS DE TRABALHO X VALOR DO POSTO)</t>
  </si>
  <si>
    <t>AUMENTO DA SEGURANÇA DO MUSEU, VIABILIZANDO GUARDA NOS PERÍODOS DIURNO E NOTURNO</t>
  </si>
  <si>
    <t>MAIOR RISCO DE DEPREDAÇÃO, VISTO QUE SÓ HÁ SEGURANÇA NO LOCAL DURANTE UM PERÍODO DO DIA</t>
  </si>
  <si>
    <t>MAIOR SEGURANÇA NO PRÉDIO DA FUNDAÇÃO COM VIGILÂNCIA 24 HORAS</t>
  </si>
  <si>
    <t>3703 - LOCAÇÃO DE SERVIÇOS DE CONSERVAÇÃO E LIMPEZA REALIZADOS PELA MGS</t>
  </si>
  <si>
    <t>Terceirizados - MGS</t>
  </si>
  <si>
    <t>POSTO DE TRABALHO DE MANUTENÇÃO E LIMPEZA</t>
  </si>
  <si>
    <t>NÚMERO DE POSTOS DE TRABALHO PARA MANUTENÇÃO DO MUSEU</t>
  </si>
  <si>
    <t xml:space="preserve">VALOR MENSAL DO POSTO DE TRABALHO CONFORME CONTRATO </t>
  </si>
  <si>
    <t>LIMPEZA EFETUADA DE TRÊS EM TRÊS HORAS NOS SALÕES DO MUSEU</t>
  </si>
  <si>
    <t>SALÃO DO MUSEU PODE COM ACÚMULO DE SUJEIRA, GERANDO MÁ IMPRESSÃO AOS FREQUENTADORES E DINIMUINDO A VISITAÇÃO</t>
  </si>
  <si>
    <t xml:space="preserve">MUSEU MINIMAMENTE LIMPO </t>
  </si>
  <si>
    <t>LIMPEZA EFETUADA DE HORA EM HORA NOS SALÕES DO MUSEU</t>
  </si>
  <si>
    <t>SALÃO DO MUSEU PODE FICAR SUJO ENTRE UMA E OUTRA VISITA, GERANDO INSATISFAÇÃO DOS FREQUENTADORES</t>
  </si>
  <si>
    <t>MUSEU MAIS LIMPO, USUÁRIOS SATISFEITOS E MAIOR VISITAÇÃO</t>
  </si>
  <si>
    <t>UNIDADE ORÇAMENTÁRIA (NÍVEL 1)</t>
  </si>
  <si>
    <t>SUBSECRETARIA (NÍVEL 2)</t>
  </si>
  <si>
    <t>SUPERINTENDENCIA (NÍVEL 3)</t>
  </si>
  <si>
    <t>ENTREGA</t>
  </si>
  <si>
    <t>elem cod</t>
  </si>
  <si>
    <t xml:space="preserve">ELEMENTO_ITEM </t>
  </si>
  <si>
    <r>
      <t xml:space="preserve">FONTE </t>
    </r>
    <r>
      <rPr>
        <b/>
        <sz val="8"/>
        <color theme="0"/>
        <rFont val="Calibri"/>
        <family val="2"/>
        <scheme val="minor"/>
      </rPr>
      <t>(OPCIONAL)</t>
    </r>
  </si>
  <si>
    <r>
      <t xml:space="preserve">ITEM DE MATERIAL </t>
    </r>
    <r>
      <rPr>
        <b/>
        <sz val="8"/>
        <color theme="0"/>
        <rFont val="Calibri"/>
        <family val="2"/>
        <scheme val="minor"/>
      </rPr>
      <t>(OPCIONAL)</t>
    </r>
  </si>
  <si>
    <t>DESCRIÇÃO DO CENÁRIO - pacotes de despesa / gera valor agregado</t>
  </si>
  <si>
    <t xml:space="preserve">CURSO DE CAPACITAÇÃO </t>
  </si>
  <si>
    <t>30 - MATERIAL DE CONSUMO</t>
  </si>
  <si>
    <t>3012 - MEDICAMENTOS</t>
  </si>
  <si>
    <t xml:space="preserve">VALOR DA DIÁRIA </t>
  </si>
  <si>
    <t>curso com um professor</t>
  </si>
  <si>
    <t xml:space="preserve">curso precisa de pelo menos um professor </t>
  </si>
  <si>
    <t>não tem como ter curso sem professor</t>
  </si>
  <si>
    <t>33 - PASSAGENS E DESPESAS COM LOCOMOÇÃO</t>
  </si>
  <si>
    <t>1 PASSAGEM DE IDA E VOLTA DE OURO PRETO PARA BH</t>
  </si>
  <si>
    <t>14 - DIÁRIAS - CIVIL</t>
  </si>
  <si>
    <t>curso com professor convidado</t>
  </si>
  <si>
    <t>CURSO MENOS INTERESSANTE, MENOR CARGA HORÁRIO E POSSÍVEL MENOS ADESÃO DO PÚBLICO</t>
  </si>
  <si>
    <t>CURSO DE CAPACITAÇÃO EM RESTAURAÇÃO</t>
  </si>
  <si>
    <t>3004 - MATERIAL GRÁFICO E IMPRESSOS</t>
  </si>
  <si>
    <t>IMPRESSÃO DE FLYER PARA DIVULGAÇÃO (TAMANHO MEIO OFÍCIO)</t>
  </si>
  <si>
    <t>QUANTITATIVO DE FLYERS NECESSÁRIOS PARA DIVULGAÇÃO DO EVENTO</t>
  </si>
  <si>
    <t xml:space="preserve"> PESQUISA DE PREÇO NA INTERNET</t>
  </si>
  <si>
    <t>POUCAS INSCRIÇÕES NO CURSO DEVIDO A FALTA DE DIVULGAÇÃO - TER QUE DIVULGAR SOMENTE PELA INTERNET</t>
  </si>
  <si>
    <t>MAIS PESSOAS CONHECENDO O CURSO E MAIORES CHANCES DE INSCRIÇÕES</t>
  </si>
  <si>
    <t>curso com um professor e professor convidado</t>
  </si>
  <si>
    <t>POUCAS INSCRIÇÕES NO CURSO DEVIDO A FALTA DE DIVULGAÇÃO</t>
  </si>
  <si>
    <t>PACOTE DEFOLHA A4 BRANCA COM 100 UNIDADES</t>
  </si>
  <si>
    <t>curso com coffe break</t>
  </si>
  <si>
    <t>MANUTENÇÃO DO ESPAÇO DE REALIZAÇÃO DOS CURSOS</t>
  </si>
  <si>
    <t>37 - LOCAÇÃO DE MÃO-DE-OBRA</t>
  </si>
  <si>
    <t>NÚMERO DE VIGIAS NECESSÁRIOS PARA SEGURANÇA  MEIO TURNO</t>
  </si>
  <si>
    <t>NÚMERO DE VIGIAS NECESSÁRIOS PARA SEGURANÇA 24 HORAS</t>
  </si>
  <si>
    <t>NÚMERO DE FAXINEIRAS PARA MANUTENÇÃO DO ESPAÇO DOS CURSOS</t>
  </si>
  <si>
    <t>segurança 24 horas</t>
  </si>
  <si>
    <t>39 - OUTROS SERVIÇOS DE TERCEIROS - PESSOA JURÍDICA</t>
  </si>
  <si>
    <t>3912 - TARIFA DE ENERGIA ELÉTRICA</t>
  </si>
  <si>
    <t>fazer o rateio</t>
  </si>
  <si>
    <t>DER</t>
  </si>
  <si>
    <t>081 - INFRAESTRUTURA RODOVIARIA</t>
  </si>
  <si>
    <t>2039 - RECUPERACAO E MANUTENCAO DA MALHA VIARIA</t>
  </si>
  <si>
    <t>RECAPEAMENTO DE VIAS</t>
  </si>
  <si>
    <t>51 - OBRAS E INSTALAÇÕES</t>
  </si>
  <si>
    <t>5107 - EXECUÇÃO DE OBRAS POR CONTRATO DE BENS NÃO PATRIMONIÁVEIS</t>
  </si>
  <si>
    <t xml:space="preserve">KM DE RODOVIA A SEREM PAVIMENTADOS </t>
  </si>
  <si>
    <t>VALOR MÉDIO POR KM PAVIMENTADO</t>
  </si>
  <si>
    <t>35 - SERVIÇOS DE CONSULTORIA</t>
  </si>
  <si>
    <t>3502 - SERVIÇOS DE CONSULTORIA ? PESSOA JURÍDICA</t>
  </si>
  <si>
    <t>CONTRATAÇÃO DE CONSULTORIA PARA REALIZAÇÃO DE PROJETO DE ENGENHARIA</t>
  </si>
  <si>
    <t>VALOR MÉDIO DE MERCADO</t>
  </si>
  <si>
    <t xml:space="preserve">PONTOS IMPORTANTES NA ELABORAÇÃO DO OBZ </t>
  </si>
  <si>
    <r>
      <rPr>
        <b/>
        <sz val="11"/>
        <color theme="1"/>
        <rFont val="Calibri"/>
        <family val="2"/>
        <scheme val="minor"/>
      </rPr>
      <t>Cenário Limiar:</t>
    </r>
    <r>
      <rPr>
        <sz val="11"/>
        <color theme="1"/>
        <rFont val="Calibri"/>
        <family val="2"/>
        <scheme val="minor"/>
      </rPr>
      <t xml:space="preserve"> nível de serviço mínimo aceitável para garantir a execução de entregas (políticas públicas) essenciais às condições de sobrevivência do órgão</t>
    </r>
  </si>
  <si>
    <r>
      <rPr>
        <b/>
        <sz val="11"/>
        <color theme="1"/>
        <rFont val="Calibri"/>
        <family val="2"/>
        <scheme val="minor"/>
      </rPr>
      <t>Cenário Incremental:</t>
    </r>
    <r>
      <rPr>
        <sz val="11"/>
        <color theme="1"/>
        <rFont val="Calibri"/>
        <family val="2"/>
        <scheme val="minor"/>
      </rPr>
      <t xml:space="preserve"> despesas que geram nível de serviço e de qualidade superiores, realizadas para melhorar os resultados ou diminuir riscos. (Por exemplo: cenários intermediários e ótimo).</t>
    </r>
  </si>
  <si>
    <r>
      <rPr>
        <b/>
        <sz val="11"/>
        <color theme="1"/>
        <rFont val="Calibri"/>
        <family val="2"/>
        <scheme val="minor"/>
      </rPr>
      <t>O OBZ terá como foco a margem discricionária do orçamento de cada órgão:</t>
    </r>
    <r>
      <rPr>
        <sz val="11"/>
        <color theme="1"/>
        <rFont val="Calibri"/>
        <family val="2"/>
        <scheme val="minor"/>
      </rPr>
      <t xml:space="preserve"> despesas de custeio e capital sobre as quais a unidade tem liberdade de alocação. As Planilhas OBZ não conterão, portanto: Despesas com pessoal (Grupo 1) e auxílios (IPU 7); Fontes de recursos vinculadas a instrumentos jurídicos (exemplos: convênios e contrapartidas, fontes federais, recursos da Vale, etc.); Emendas parlamentares e de CPP (IPUs 8 e 4); Despesas com precatórios (IPU 9); Despesas de Recursos Recebidos para Contrapartida (IPU 3 e 6) e Despesas de Exercícios Anteriores (DEA - Elemento de despesa 92)</t>
    </r>
  </si>
  <si>
    <t>PONTOS DE ATENÇÃO – PREENCHIMENTO DA PLANILHA</t>
  </si>
  <si>
    <r>
      <t xml:space="preserve">Preencher riscos de não fazer e benefícios de fazer para:
</t>
    </r>
    <r>
      <rPr>
        <sz val="11"/>
        <color theme="1"/>
        <rFont val="Calibri"/>
        <family val="2"/>
        <scheme val="minor"/>
      </rPr>
      <t xml:space="preserve">Cenários Limiar e Incremental 
</t>
    </r>
  </si>
  <si>
    <t xml:space="preserve">Não existe prioridade entre cenários limiares de diferentes níveis N3. Todo cenário limiar será prioridade 0 (zero).
</t>
  </si>
  <si>
    <t>Se atentar ao número de cenários por ação, com intuito de viabilizar análise gerencial: o nível N1 analisará toda a planilha, portanto é necessário que a forma de construção dos cenários permita uma visão consolidada dos dados, e apresente um valor significante em relação ao orçamento do órgão.</t>
  </si>
  <si>
    <t>13 - OBRIGAÇÕES PATRONAIS</t>
  </si>
  <si>
    <t>15 - DIÁRIAS - MILITAR</t>
  </si>
  <si>
    <t>16 - OUTRAS DESPESAS VARIÁVEIS - PESSOAL CIVIL</t>
  </si>
  <si>
    <t>17 - OUTRAS DESPESAS VARIÁVEIS - PESSOAL MILITAR</t>
  </si>
  <si>
    <t>18 - AUXÍLIO FINANCEIRO A ESTUDANTES</t>
  </si>
  <si>
    <t>19 - AUXÍLIO-FARDAMENTO</t>
  </si>
  <si>
    <t>20 - AUXÍLIO FINANCEIRO A PESQUISADORES</t>
  </si>
  <si>
    <t>31 - PREMIAÇÕES CULTURAIS, ARTÍSTICAS, CIENTÍFICAS, DESPORTIVAS E OUTRAS.</t>
  </si>
  <si>
    <t>32 - MATERIAL, BEM OU SERVIÇO PARA DISTRIBUIÇÃO GRATUITA</t>
  </si>
  <si>
    <t>34 - OUTRAS DESPESAS DE PESSOAL DECORRENTES DE CONTRATOS DE TERCEIRIZAÇÃO</t>
  </si>
  <si>
    <t>36 - OUTROS SERVIÇOS DE TERCEIROS - PESSOA FÍSICA</t>
  </si>
  <si>
    <t>38 - ARRENDAMENTO MERCANTIL</t>
  </si>
  <si>
    <t>40 - SERVIÇOS DE TECNOLOGIA DA INFORMAÇÃO E COMUNICAÇÃO - PESSOA JURÍDICA</t>
  </si>
  <si>
    <t>41 - CONTRIBUIÇÕES</t>
  </si>
  <si>
    <t>42 - AUXÍLIOS</t>
  </si>
  <si>
    <t>43 - SUBVENÇÕES SOCIAIS</t>
  </si>
  <si>
    <t>45 - SUBVENÇÕES ECONÔMICAS</t>
  </si>
  <si>
    <t>47 - OBRIGAÇÕES TRIBUTÁRIAS E CONTRIBUTIVAS</t>
  </si>
  <si>
    <t>48 - OUTROS AUXÍLIOS FINANCEIROS A PESSOAS FÍSICAS</t>
  </si>
  <si>
    <t>52 - EQUIPAMENTOS E MATERIAL PERMANENTE</t>
  </si>
  <si>
    <t>61 - AQUISIÇÃO DE IMÓVEIS</t>
  </si>
  <si>
    <t>62 - AQUISIÇÃO DE PRODUTOS PARA REVENDA</t>
  </si>
  <si>
    <t>63 - AQUISIÇÃO DE TÍTULOS DE CRÉDITO</t>
  </si>
  <si>
    <t>64 - AQUISIÇÃO DE TÍTULOS REPRESENTATIVOS DE CAPITAL JÁ INTEGRALIZADO</t>
  </si>
  <si>
    <t>65 - CONSTITUIÇÃO OU AUMENTO DE CAPITAL DE EMPRESAS</t>
  </si>
  <si>
    <t>66 - CONCESSÃO DE EMPRÉSTIMOS E FINANCIAMENTOS</t>
  </si>
  <si>
    <t>67 - DEPÓSITOS COMPULSÓRIOS</t>
  </si>
  <si>
    <t>93 - INDENIZAÇÕES E RESTITUIÇÕES</t>
  </si>
  <si>
    <t>94 - INDENIZAÇÕES E RESTITUIÇÕES TRABALHISTAS</t>
  </si>
  <si>
    <t>95 - INDENIZAÇÃO PELA EXECUÇÃO DE TRABALHOS DE CAMPO</t>
  </si>
  <si>
    <t>1304 - INSS</t>
  </si>
  <si>
    <t>1501 - DIÁRIAS MILITAR</t>
  </si>
  <si>
    <t>1601 - SERVIÇO EXTRAORDINÁRIO</t>
  </si>
  <si>
    <t>1701 - OUTRAS DESPESAS VARIÁVEIS ? PESSOAL MILITAR</t>
  </si>
  <si>
    <t>1801 - AUXÍLIO FINANCEIRO A ESTUDANTES</t>
  </si>
  <si>
    <t>1901 - AUXÍLIO-FARDAMENTO</t>
  </si>
  <si>
    <t>2001 - AUXÍLIO FINANCEIRO A PESQUISADORES</t>
  </si>
  <si>
    <t>3001 - ARTIGOS PARA CONFECÇÃO E VESTUÁRIO</t>
  </si>
  <si>
    <t>3101 - PRÊMIOS, DIPLOMAS, CONDECORAÇÕES E MEDALHAS</t>
  </si>
  <si>
    <t>3201 - MATERIAL DE DISTRIBUIÇÃO GRATUITA</t>
  </si>
  <si>
    <t>3401 - OUTRAS DESPESAS DE PESSOAL DECORRENTES DE CONTRATOS DE TERCEIRIZAÇÃO</t>
  </si>
  <si>
    <t>3501 - SERVIÇOS DE CONSULTORIA ? PESSOA FÍSICA</t>
  </si>
  <si>
    <t>3601 - ESTAGIÁRIOS</t>
  </si>
  <si>
    <t>3701 - LOCAÇÃO DE SERVIÇOS DE CONSERVAÇÃO E LIMPEZA</t>
  </si>
  <si>
    <t>3801 - ARRENDAMENTO MERCANTIL</t>
  </si>
  <si>
    <t>3901 - VALE-TRANSPORTE</t>
  </si>
  <si>
    <t>4002 - SERVIÇOS DE TECNOLOGIA DA INFORMAÇÃO</t>
  </si>
  <si>
    <t>4101 - CONTRIBUIÇÕES</t>
  </si>
  <si>
    <t>4201 - AUXÍLIOS</t>
  </si>
  <si>
    <t>4301 - SUBVENÇÕES SOCIAIS</t>
  </si>
  <si>
    <t>4501 - SUBVENÇÕES ECONÔMICAS</t>
  </si>
  <si>
    <t>4702 - IMPOSTO DE RENDA - IR</t>
  </si>
  <si>
    <t>4801 - OUTROS AUXÍLIOS FINANCEIROS A PESSOAS FÍSICAS</t>
  </si>
  <si>
    <t>5101 - ESTUDOS E PROJETOS DE BENS PATRIMONIÁVEIS</t>
  </si>
  <si>
    <t>5201 - AERONAVES E COMPONENTES ESTRUTURAIS</t>
  </si>
  <si>
    <t>6101 - TERRENOS</t>
  </si>
  <si>
    <t>6201 - AQUISIÇÃO DE PRODUTOS PARA REVENDA</t>
  </si>
  <si>
    <t>6301 - AQUISIÇÃO DE TÍTULOS DE CRÉDITO</t>
  </si>
  <si>
    <t>6401 - AQUISIÇÃO DE TÍTULOS REPRESENTATIVOS DE CAPITAL JÁ INTEGRALIZADO</t>
  </si>
  <si>
    <t>6501 - CONSTITUIÇÃO OU AUMENTO DE CAPITAL DE EMPRESAS</t>
  </si>
  <si>
    <t>6601 - CONCESSÃO DE EMPRÉSTIMOS E FINANCIAMENTOS</t>
  </si>
  <si>
    <t>6701 - DEPÓSITOS COMPULSÓRIOS</t>
  </si>
  <si>
    <t>9301 - AJUDA DE CUSTO</t>
  </si>
  <si>
    <t>9401 - INDENIZAÇÕES E RESTITUIÇÕES TRABALHISTAS</t>
  </si>
  <si>
    <t>9501 - INDENIZAÇÃO PELA EXECUÇÃO DE TRABALHOS DE CAMPO</t>
  </si>
  <si>
    <t>1305 - OBRIGAÇÃO PATRONAL - PESSOAL ATIVO - PREVIDÊNCIA</t>
  </si>
  <si>
    <t>1602 - SUBSTITUIÇÃO EM CARGOS EM COMISSÃO</t>
  </si>
  <si>
    <t>1902 - ADIANTAMENTO ? FARDAMENTO</t>
  </si>
  <si>
    <t>3002 - ARTIGOS PARA ESPORTE</t>
  </si>
  <si>
    <t>3102 - PRÊMIOS LOTÉRICOS</t>
  </si>
  <si>
    <t>3202 - MATERIAL DE ASSISTÊNCIA HUMANITÁRIA</t>
  </si>
  <si>
    <t>3302 - DESPESAS COM TRANSPORTE URBANO, PEDÁGIO E ESTACIONAMENTO - PESSOA FÍSICA</t>
  </si>
  <si>
    <t>3402 - AGENTES PENITENCIÁRIOS</t>
  </si>
  <si>
    <t>3602 - MÉDICOS RESIDENTES</t>
  </si>
  <si>
    <t>3902 - VALE-REFEIÇÃO</t>
  </si>
  <si>
    <t>4003 - SERVIÇOS DE INFORMÁTICA EXECUTADOS PELA PRODEMGE</t>
  </si>
  <si>
    <t>4102 - TRANSFERÊNCIAS AO FUNDHAB</t>
  </si>
  <si>
    <t>4703 - IMPOSTO PREDIAL TERRITORIAL URBANO - IPTU</t>
  </si>
  <si>
    <t>4802 - AUXILIO FINANCEIRO ? PROGRAMA POUPANÇA JOVEM</t>
  </si>
  <si>
    <t>5102 - EXECUÇÃO DIRETA DE OBRAS DE BENS PATRIMONIÁVEIS</t>
  </si>
  <si>
    <t>5202 - ANIMAIS DE TRABALHO, PRODUÇÃO E / OU REPRODUÇÃO</t>
  </si>
  <si>
    <t>6102 - SALAS E ESCRITÓRIOS</t>
  </si>
  <si>
    <t>6502 - CONSTITUIÇÃO OU AUMENTO DE CAPITAL DE EMPRESAS ? CAPITAL INTEGRALIZADO</t>
  </si>
  <si>
    <t>6602 - EMPRÉSTIMOS E FINANCIAMENTOS ? FUNDOS DE DESENVOLVIMENTO</t>
  </si>
  <si>
    <t>9302 - AJUDA DE CUSTO ESPECIAL</t>
  </si>
  <si>
    <t>9330 - REEMBOLSO DE DESPESA REALIZADA E CONTRATOS OU CONVÊNIOS FIRMADOS EM REGIME DE PARCERIA</t>
  </si>
  <si>
    <t>1306 - OBRIGAÇÃO PATRONAL - PESSOAL INATIVO - PREVIDÊNCIA</t>
  </si>
  <si>
    <t>1603 - AULAS FACULTATIVAS</t>
  </si>
  <si>
    <t>1903 - AUXILIO FARDAMENTO PAGO A PESSOAL CONTRATADO</t>
  </si>
  <si>
    <t>303 - UTENSÍLIOS PARA COPA, REFEITÓRIO E COZINHA</t>
  </si>
  <si>
    <t>3103 - COMISSÕES LOTÉRICAS</t>
  </si>
  <si>
    <t>3303 - FRETAMENTO E LOCAÇÃO - PESSOA FÍSICA</t>
  </si>
  <si>
    <t>3403 - OBRIGAÇÃO PATRONAL – INSS</t>
  </si>
  <si>
    <t>3503 - SERVIÇOS DE CONSULTORIA ? ORGANISMO INTERNACIONAL</t>
  </si>
  <si>
    <t>3603 - SALÁRIOS DE INTERNOS</t>
  </si>
  <si>
    <t>4004 - SERVIÇO DE TELECOMUNICAÇÃO</t>
  </si>
  <si>
    <t>4103 - CONTRIBUIÇÕES AO IPLEMG</t>
  </si>
  <si>
    <t>4704 - IMPOSTO SOBRE OPERAÇÕES FINANCEIRAS - IOF</t>
  </si>
  <si>
    <t>4803 - AUXÍLIO PARA PROFISSIONAIS DE PROGRAMAS DE CAPACITAÇÃO E FORMAÇÃO</t>
  </si>
  <si>
    <t>5103 - EXECUÇÃO DE OBRAS POR CONTRATO DE BENS PATRIMONIÁVEIS</t>
  </si>
  <si>
    <t>5203 - ARMAMENTO E EQUIPAMENTO DE USO POLICIAL</t>
  </si>
  <si>
    <t>6103 - FAZENDAS</t>
  </si>
  <si>
    <t>6603 - CONCESSÃO DE FINANCIAMENTOS HABITACIONAIS</t>
  </si>
  <si>
    <t>9303 - PERDAS DECORRENTES DE APLICAÇÕES FINANCEIRAS</t>
  </si>
  <si>
    <t>1308 - OBRIGAÇÃO PATRONAL - PENSIONISTAS - PREVIDÊNCIA</t>
  </si>
  <si>
    <t>1604 - GRATIFICAÇÃO POR ENCARGOS EXTRAORDINÁRIOS</t>
  </si>
  <si>
    <t>3104 - PREMIAÇÕES</t>
  </si>
  <si>
    <t>3304 - PASSAGENS - PESSOA JURÍDICA</t>
  </si>
  <si>
    <t>3404 - OBRIGAÇÃO PATRONAL – ASSISTÊNCIA À SAÚDE</t>
  </si>
  <si>
    <t>3604 - DIÁRIAS A COLABORADORES EVENTUAIS</t>
  </si>
  <si>
    <t>3704 - LOCAÇÃO DE SERVIÇOS DE APOIO ADMINISTRATIVO REALIZADOS PELA MGS</t>
  </si>
  <si>
    <t>3904 - CONFECÇÃO EM GERAL</t>
  </si>
  <si>
    <t>4005 - REDE IP MULTISSERVIÇOS</t>
  </si>
  <si>
    <t>4104 - CONTRIBUIÇÕES DO FUNDO ESTADUAL DE SAUDE - FES - LC 141/2012</t>
  </si>
  <si>
    <t>4705 - IMPOSTO SOBRE A PROPRIEDADE DE VEÍCULOS AUTOMOTORES - IPVA</t>
  </si>
  <si>
    <t>5104 - INSTALAÇÕES PARA OBRAS EM ANDAMENTO</t>
  </si>
  <si>
    <t>5204 - MÁQUINAS, APARELHOS, UTENSÍLIOS E EQUIPAMENTOS DE USO INDUSTRIAL</t>
  </si>
  <si>
    <t>6104 - EDIFÍCIOS</t>
  </si>
  <si>
    <t>9304 - DESPESAS REFERENTES A RESSARCIMENTO PREVISTO NO PROGRAMA PRIMEIRO EMPREGO DO ESTADO DE MINA GERAIS</t>
  </si>
  <si>
    <t>1309 - OBRIGAÇÃO PATRONAL - PRECATÓRIOS - PREVIDÊNCIA</t>
  </si>
  <si>
    <t>1605 - FÉRIAS-PRÊMIO</t>
  </si>
  <si>
    <t>3305 - SERVIÇOS DE TRANSPORTES DE PASSAGEIROS, FRETAMENTO E LOCAÇÃO - PESSOA JURÍDICA</t>
  </si>
  <si>
    <t>3405 - SALÁRIO-FAMÍLIA</t>
  </si>
  <si>
    <t>3606 - FORNECIMENTO DE ALIMENTAÇÃO</t>
  </si>
  <si>
    <t>3705 - DESPESAS COM O PAGAMENTO DE ENCARGOS TRABALHISTAS À MGS</t>
  </si>
  <si>
    <t>3905 - TRANSPORTE E ACONDICIONAMENTO DE ANIMAIS</t>
  </si>
  <si>
    <t>4006 - AQUISIÇÃO DE SOFTWARE</t>
  </si>
  <si>
    <t>4105 - CONTRIBUIÇÕES À FUNDAÇÃO DE PREVIDÊNCIA COMPLEMENTAR DO ESTADO DE MINAS GERAIS -PREVCOM?MG</t>
  </si>
  <si>
    <t>4706 - CONTRIBUIÇÃO PARA A FORMAÇÃO DO PASEP/PIS</t>
  </si>
  <si>
    <t>5106 - ESTUDOS E PROJETOS DE BENS NÃO PATRIMONIÁVEIS</t>
  </si>
  <si>
    <t>5205 - EMBARCAÇÕES, PONTÕES, DIQUES, FLUTUANTES E COMPONENTES ESTRUTURAIS</t>
  </si>
  <si>
    <t>6105 - IMÓVEIS PARA FINS DE TRANSFERÊNCIA A TERCEIROS</t>
  </si>
  <si>
    <t>9305 - DESPESAS DECORRENTES DE CONTRATOS DE CONCESSÃO OU PERMISSÃO</t>
  </si>
  <si>
    <t>1310 - OBRIGAÇÃO PATRONAL - OUTRAS SENTENÇAS JUDICIAIS - PREVIDÊNCIA</t>
  </si>
  <si>
    <t>1606 - JORNADA COMPLEMENTAR DE TRABALHO</t>
  </si>
  <si>
    <t>3006 - MATERIAL DE DESENHO</t>
  </si>
  <si>
    <t>3607 - CONFECÇÃO EM GERAL</t>
  </si>
  <si>
    <t>3706 - LOCAÇÃO DE SERVIÇOS DE SAÚDE</t>
  </si>
  <si>
    <t>3906 - TRANSPORTE E ACONDICIONAMENTO DE MATERIAIS E EQUIPAMENTOS</t>
  </si>
  <si>
    <t>4106 - TRANSFERÊNCIAS PARA FINANCIAMENTO DO TRANSPORTE ESCOLAR</t>
  </si>
  <si>
    <t>4707 - TAXA DE LIMPEZA PÚBLICA E COLETA DE RESÍDUOS</t>
  </si>
  <si>
    <t>5206 - EQUIPAMENTOS DE COMUNICAÇÃO E TELEFONIA</t>
  </si>
  <si>
    <t>6106 - IMÓVEIS NECESSÁRIOS À REALIZAÇÃO DE OBRAS DE BENS PATRIMONIAVEIS</t>
  </si>
  <si>
    <t>9306 - RESTITUIÇÃO DE RECURSOS DE CONVÊNIO E DE CONTRAPARTIDA</t>
  </si>
  <si>
    <t>1314 - OBRIGAÇÃO PATRONAL - ENCARGOS POR PAGAMENTO EM ATRASO</t>
  </si>
  <si>
    <t>3007 - MATERIAL DE ENSINO</t>
  </si>
  <si>
    <t>3608 - MÉDICOS</t>
  </si>
  <si>
    <t xml:space="preserve">3707 - DESPESAS COM O PAGAMENTO DE OBRIGAÇÕES TRABALHISTAS </t>
  </si>
  <si>
    <t>3909 - PUBLICIDADE</t>
  </si>
  <si>
    <t>4107 - TRANSFERÊNCIAS ENTRE FUNDOS ESTADUAIS</t>
  </si>
  <si>
    <t>4708 - TAXA DE ILUMINAÇÃO PÚBLICA</t>
  </si>
  <si>
    <t>5109 - EXECUÇÃO DIRETA DE OBRAS DE BENS NÃO PATRIMONIÁVEIS</t>
  </si>
  <si>
    <t>5207 - EQUIPAMENTOS DE INFORMÁTICA</t>
  </si>
  <si>
    <t>6107 - IMÓVEIS NECESSÁRIOS À REALIZAÇÃO DE OBRAS DE BENS NÃO-PATRIMONIAVEIS</t>
  </si>
  <si>
    <t>9307 - RESSARCIMENTO REFERENTE  A PESSOAL REQUISITADO DA ADMINISTRAÇÃO ESTADUAL</t>
  </si>
  <si>
    <t>1315 - OBRIGAÇÃO PATRONAL - PRÊMIO DE PRODUTIVIDADE</t>
  </si>
  <si>
    <t>3008 - PRODUTOS ALIMENTÍCIOS</t>
  </si>
  <si>
    <t>3609 - DENTISTAS</t>
  </si>
  <si>
    <t>3910 - PRÊMIOS DE SEGUROS</t>
  </si>
  <si>
    <t xml:space="preserve">4108 - TRANSFERÊNCIAS ESPECIAIS A MUNICÍPIOS                 </t>
  </si>
  <si>
    <t>4709 - TAXAS AMBIENTAIS</t>
  </si>
  <si>
    <t>5110 - MATERIAL PARA OBRAS - BENS PATRIMONIÁVEIS</t>
  </si>
  <si>
    <t>5208 - EQUIPAMENTOS DE SOM, VÍDEO, FOTOGRÁFICO E CINEMATOGRÁFICO</t>
  </si>
  <si>
    <t>6108 - CASAS</t>
  </si>
  <si>
    <t>9308 - DESPESAS DE CARÁTER INDENIZATÓRIO RELATIVAS AO MANDADO PARLAMENTAR</t>
  </si>
  <si>
    <t>1317 - INSS – DEMAIS DESPESAS</t>
  </si>
  <si>
    <t>3009 - FORRAGENS E OUTROS ALIMENTOS PARA ANIMAIS</t>
  </si>
  <si>
    <t>3610 - EVENTUAL DE GABINETE</t>
  </si>
  <si>
    <t>3911 - ASSINATURAS DE JORNAIS, REVISTAS E PERIÓDICOS</t>
  </si>
  <si>
    <t>4710 - PASEP - ADESÃO AO PARCELAMENTO DECORRENTE DE LEI ESPECÍFICA</t>
  </si>
  <si>
    <t>5111 - CONTRUÇÃO DE UNIDADES HABITACIONAIS</t>
  </si>
  <si>
    <t>5209 - EQUIPAMENTOS HOSPITALARES, ODONTOLÓGICOS E DE LABORATÓRIO</t>
  </si>
  <si>
    <t>9309 - PREMIO DE PRODUTIVIDADE</t>
  </si>
  <si>
    <t>1318 - OBRIGAÇÃO PATRONAL PESSOAL INATIVO – ENTIDADES CONVENIADAS – ASSISTÊNCIA À SAÚDE</t>
  </si>
  <si>
    <t>3010 - MATERIAL MÉDICO E HOSPITALAR</t>
  </si>
  <si>
    <t>3611 - LOCAÇÃO DE BENS IMÓVEIS</t>
  </si>
  <si>
    <t>4799 - OUTROS - OBRIGAÇÕES TRIBUTÁRIAS E CONTRIBUTIVAS</t>
  </si>
  <si>
    <t>5112 - MATERIAL PARA OBRAS - BENS NÃO PATRIMONIÁVEIS</t>
  </si>
  <si>
    <t>5210 - FERRAMENTAS, EQUIPAMENTOS E INSTRUMENTOS PARA OFICINA, MEDIÇÃO E INSPEÇÃO</t>
  </si>
  <si>
    <t>9310 - RESTITUIÇÃO DE RECEITA - EXERCÍCIO ANTERIOR</t>
  </si>
  <si>
    <t>1319 - OBRIGAÇÃO PATRONAL PESSOAL MILITAR INATIVO LC 125/2012 – PREVIDÊNCIA</t>
  </si>
  <si>
    <t>3011 - MATERIAL ODONTOLÓGICO</t>
  </si>
  <si>
    <t>3612 - DESPESAS MIÚDAS DE PRONTO PAGAMENTO</t>
  </si>
  <si>
    <t>3913 - TARIFA DE ÁGUA E ESGOTO</t>
  </si>
  <si>
    <t>5113 - INSTALAÇÕES PARA INCORPORAÇÃO A BENS IMÓVEIS</t>
  </si>
  <si>
    <t>5211 - INSTRUMENTOS DE LABORATÓRIO, MÉDICOS E ODONTOLÓGICOS</t>
  </si>
  <si>
    <t>9311 - COMPENSAÇÃO FINANCEIRA DOS REGIMES DE PREVIDÊNCIA</t>
  </si>
  <si>
    <t>1320 - OBRIGAÇÃO PATRONAL PESSOAL MILITAR ATIVO LC 125/2012 - PREVIDÊNCIA</t>
  </si>
  <si>
    <t>3613 - PESSOAL DE ENFERMAGEM</t>
  </si>
  <si>
    <t>3914 - SERVIÇO DE TELEFONIA</t>
  </si>
  <si>
    <t>5114 - EXECUÇÃO DE OBRAS POR EMPRESAS CONTROLADAS</t>
  </si>
  <si>
    <t>5212 - MÁQUINAS, APARELHOS, UTENSÍLIOS E EQUIPAMENTOS DE USO ADMINISTRATIVO</t>
  </si>
  <si>
    <t>9312 - INDENIZAÇÃO POR UTILIZAÇÃO DE BENS DE TERCEIROS</t>
  </si>
  <si>
    <t>1321 - OBRIGAÇÃO PATRONAL - PESSOAL ATIVO - ASSISTÊNCIA À SAÚDE</t>
  </si>
  <si>
    <t>3013 - MATERIAIS DE LABORATÓRIO E PRODUTOS QUÍMICOS EM GERAL</t>
  </si>
  <si>
    <t>3614 - MONITORES, FISCAIS E EXAMINADORES</t>
  </si>
  <si>
    <t>3915 - SERVIÇO POSTAL-TELEGRÁFICO</t>
  </si>
  <si>
    <t>5213 - MATERIAL ESPORTIVO E RECREATIVO</t>
  </si>
  <si>
    <t>9313 - REEMBOLSO DE DESPESAS MÉDICO-HOSPITALARES</t>
  </si>
  <si>
    <t>1322 - OBRIGAÇÃO PATRONAL - PESSOAL INATIVO - ASSISTÊNCIA À SAÚDE</t>
  </si>
  <si>
    <t>3014 - MATERIAL RADIOLÓGICO</t>
  </si>
  <si>
    <t>3615 - ENCARGOS FINANCEIROS</t>
  </si>
  <si>
    <t>3916 - LOCAÇÃO DE TV POR ASSINATURA</t>
  </si>
  <si>
    <t>5214 - MOBILIÁRIO</t>
  </si>
  <si>
    <t>9314 - INDENIZAÇÕES DETERMINADAS POR DECISÕES JUDICIAIS</t>
  </si>
  <si>
    <t>1324 - OBRIGAÇÃO PATRONAL - PENSIONISTAS - ASSISTÊNCIA À SAÚDE</t>
  </si>
  <si>
    <t>3015 - MATERIAL FOTOGRÁFICO, CINEMATOGRÁFICO E DE COMUNICAÇÃO</t>
  </si>
  <si>
    <t>3616 - REPARO E MANUTENÇÃO DE VEÍCULOS</t>
  </si>
  <si>
    <t>3917 - LOCAÇÃO DE VEÍCULOS</t>
  </si>
  <si>
    <t>5215 - OBJETOS DE ARTE E ANTIGÜIDADES</t>
  </si>
  <si>
    <t>9315 - INDENIZAÇÃO DECORRENTE DE RESCISÃO UNILATERAL</t>
  </si>
  <si>
    <t>1325 - OBRIGAÇÃO PATRONAL - ADESÃO AO PARCELAMENTO DECORRENTE DE LEI ESPECÍFICA - PREVIDÊNCIA</t>
  </si>
  <si>
    <t>3016 - MATERIAL DE INFORMÁTICA</t>
  </si>
  <si>
    <t>3617 - REPAROS DE EQUIPAMENTOS, INSTALAÇÕES E MATERIAL PERMANENTE</t>
  </si>
  <si>
    <t>3918 - REPAROS DE VEÍCULOS</t>
  </si>
  <si>
    <t>5216 - TRATORES, SIMILARES E IMPLEMENTOS</t>
  </si>
  <si>
    <t>9316 - INDENIZAÇÕES DETERMINADAS POR LEI ESPECÍFICA</t>
  </si>
  <si>
    <t>1326 - OBRIGAÇÃO PATRONAL SUPLEMENTAR – PESSOAL ATIVO</t>
  </si>
  <si>
    <t>3017 - ARTIGOS PARA LIMPEZA E HIGIENE</t>
  </si>
  <si>
    <t>3618 - REPAROS DE BENS IMÓVEIS</t>
  </si>
  <si>
    <t>3919 - LOCAÇÃO DE MÁQUINAS E EQUIPAMENTOS</t>
  </si>
  <si>
    <t>5217 - VEÍCULOS</t>
  </si>
  <si>
    <t>9317 - INDENIZAÇÃO DECORRENTE DO EXERCÍCIO DO CARGO DE CONSELHEIRO-PRESIDENTE E PROCURADOR-GERAL JUNTO AO TRIBUNAL DE CONTAS</t>
  </si>
  <si>
    <t>3018 - MATÉRIAS-PRIMAS E PRODUTOS PARA MANIPULAÇÃO E INDÚSTRIAS DE TRANSFORMAÇÃO</t>
  </si>
  <si>
    <t>3619 - CONFERÊNCIAS E EXPOSIÇÕES</t>
  </si>
  <si>
    <t>3920 - LOCAÇÃO DE BENS IMÓVEIS</t>
  </si>
  <si>
    <t>5218 - COLEÇÕES E MATERIAIS BIBLIOGRÁFICOS</t>
  </si>
  <si>
    <t>9318 - DESPESAS COM AUXILIO MORADIA DE CARÁTER INDENIZATÓRIO RELATIVAS AO MANDADO PARLAMENTAR</t>
  </si>
  <si>
    <t>3019 - MATERIAL PARA MANUTENÇÃO E REPAROS DE IMÓVEIS DE PROPRIEDADE DA ADMINISTRAÇÃO PÚBLICA</t>
  </si>
  <si>
    <t>3620 - JETONS A CONSELHEIROS</t>
  </si>
  <si>
    <t>3921 - INSTALAÇÃO, REPARAÇÃO, ADAPTAÇÃO E CONSERVAÇÃO DE EQUIPAMENTO E MATERIAL PERMANENTE</t>
  </si>
  <si>
    <t>5219 - INSTRUMENTOS MUSICAIS E ARTÍSTICOS</t>
  </si>
  <si>
    <t>9319 - INDENIZAÇÕES DECORRENTES DA UTILIZAÇÃO DE LEITOS DE INSTITUIÇÕES DE SAÚDE PRIVADAS</t>
  </si>
  <si>
    <t>3020 - MATERIAL ELÉTRICO E ELETRÔNICO</t>
  </si>
  <si>
    <t>3621 - ADVOGADOS DATIVOS</t>
  </si>
  <si>
    <t>3922 - REPAROS DE BENS IMÓVEIS</t>
  </si>
  <si>
    <t>5220 - EQUIPAMENTOS DE SEGURANÇA ELETRÔNICA</t>
  </si>
  <si>
    <t>9323 - INDENIZAÇÃO DECORRENTE DE AUXÍLIO-SAÚDE</t>
  </si>
  <si>
    <t>3021 - MATERIAL PARA MANUTENÇÃO E REPAROS DE BENS DE DOMÍNIO PÚBLICO OU DE TERCEIROS</t>
  </si>
  <si>
    <t>3622 - TAXA DE CONDOMÍNIO</t>
  </si>
  <si>
    <t>3923 - RECEPÇÕES, HOSPEDAGENS, HOMENAGENS E FESTIVIDADES</t>
  </si>
  <si>
    <t>5221 - MATERIAL DIDÁTICO</t>
  </si>
  <si>
    <t>9324 - AUXÍLIO-MORADIA DE CARÁTER INDENIZATÓRIO DEVIDO A MAGISTRADO</t>
  </si>
  <si>
    <t>3022 - FERRAMENTAS, FERRAGENS E UTENSÍLIOS</t>
  </si>
  <si>
    <t>3623 - GRATIFICAÇÃO POR ENCARGO DE CURSO OU CONCURSO</t>
  </si>
  <si>
    <t>3924 - CURSOS, EXPOSIÇÕES, CONGRESSOS E CONFERÊNCIAS</t>
  </si>
  <si>
    <t>5222 - ESTRUTURAS E COMPONENTES</t>
  </si>
  <si>
    <t>9325 - AUXÍLIO-MORADIA DE CARÁTER INDENIZATÓRIO DEVIDO PELO TCE</t>
  </si>
  <si>
    <t>3023 - MATERIAL PARA MANUTENÇÃO DE VEÍCULOS AUTOMOTORES</t>
  </si>
  <si>
    <t>3624 - SERVIÇOS TÉCNICOS JUDICIAIS ? HONORÁRIOS PERICIAIS ? JUSTIÇA GRATUITA</t>
  </si>
  <si>
    <t>3925 - ENCARGOS JUDICIAIS</t>
  </si>
  <si>
    <t>5223 - MÁQUINAS E EQUIPAMENTOS GRÁFICOS</t>
  </si>
  <si>
    <t>9326 - RESTITUICAO REFERENTE A TAXA DE INSCRIÇÃO, MATERIAL E SIMILARES</t>
  </si>
  <si>
    <t>3024 - PEÇAS E ACESSÓRIOS PARA EQUIPAMENTOS E OUTROS MATERIAIS PERMANENTES</t>
  </si>
  <si>
    <t>3625 - CONTRATAÇÃO PARA PRESTAÇÃO DE SERVIÇO POR CREDENCIADOS</t>
  </si>
  <si>
    <t>3926 - ENCARGOS FINANCEIROS</t>
  </si>
  <si>
    <t>5224 - MÁQUINAS, INSTALAÇÕES E UTENSÍLIOS DE ESCRITÓRIO</t>
  </si>
  <si>
    <t>9327 - INDENIZAÇÃO DE TRANSPORTE DEVIDA AO OFICIAL DE JUSTIÇA E OFICIAL DE CARTÓRIO</t>
  </si>
  <si>
    <t>3025 - MATERIAL DE SEGURANÇA, APETRECHOS OPERACIONAIS E POLICIAIS</t>
  </si>
  <si>
    <t>3626 - SERVIÇOS DE ABASTECIMENTO E DISTRIBUIÇÃO DE ÁGUA</t>
  </si>
  <si>
    <t>3928 - SERVIÇOS DE SAÚDE EXECUTADOS COM RECURSOS DO SUS</t>
  </si>
  <si>
    <t>5225 - APARELHOS E UTENSÍLIOS DOMÉSTICOS</t>
  </si>
  <si>
    <t>9328 - PENSÃO ACIDENTÁRIA</t>
  </si>
  <si>
    <t>3026 - COMBUSTÍVEIS E LUBRIFICANTES PARA VEÍCULOS AUTOMOTORES</t>
  </si>
  <si>
    <t>3627 - JUÍZES LEIGOS</t>
  </si>
  <si>
    <t>3929 - SERVIÇOS MÉDICOS, ODONTOLÓGICOS E LABORATORIAIS</t>
  </si>
  <si>
    <t>5226 - EQUIPAMENTOS DE PROTEÇÃO, SEGURANÇA E SOCORRO</t>
  </si>
  <si>
    <t>9329 - DESPESA REFERENTE A RESSARCIMENTO SOBRE A REMUNERAÇÃO DOS PRESOS EM TRABALHO</t>
  </si>
  <si>
    <t>3027 - COMBUSTÍVEIS E LUBRIFICANTES PARA EQUIPAMENTOS E OUTROS MATERIAIS PERMANENTES</t>
  </si>
  <si>
    <t>3628 - SERVICOS TECNICOS JUDICIAIS - HONORARIOS PERICIAIS</t>
  </si>
  <si>
    <t>3930 - MULTAS DE TRÂNSITO</t>
  </si>
  <si>
    <t>5299 - OUTROS MATERIAIS PERMANENTES</t>
  </si>
  <si>
    <t>9399 - OUTRAS INDENIZAÇÕES E RESTITUIÇÕES</t>
  </si>
  <si>
    <t>3028 - ANIMAIS DESTINADOS A ESTUDOS, À PREPARAÇÃO DE PRODUTOS E AO ABATE</t>
  </si>
  <si>
    <t>3629 - DIREITOS AUTORAIS</t>
  </si>
  <si>
    <t>3931 - LOCAÇÃO DE SERVIÇOS GRÁFICOS</t>
  </si>
  <si>
    <t>3029 - - SEMENTES, MUDAS DE PLANTAS E INSUMOS</t>
  </si>
  <si>
    <t>3630 - SERVIÇOS MÉDICOS PRESTADOS POR CONTRATO</t>
  </si>
  <si>
    <t>3933 - TAXA DE ADMINISTRAÇÃO</t>
  </si>
  <si>
    <t>3030 - MATERIAIS PARA ACONDICIONAMENTO E EMBALAGEM</t>
  </si>
  <si>
    <t>3631 - SERVIÇOS DE TREINAMENTO, CAPACITAÇÃO E APERFEIÇOAMENTO DE PESSOAL</t>
  </si>
  <si>
    <t>3934 - SEGURO DE AERONAVES</t>
  </si>
  <si>
    <t>3031 - LIVROS TÉCNICOS</t>
  </si>
  <si>
    <t>3699 - OUTRAS DESPESAS PAGAS A PESSOAS FÍSICAS</t>
  </si>
  <si>
    <t>3935 - REPARO E MANUTENÇÃO DE AERONAVES</t>
  </si>
  <si>
    <t>3032 - MATERIAL CÍVICO E EDUCATIVO</t>
  </si>
  <si>
    <t>3937 - TAXA DE CONDOMÍNIO</t>
  </si>
  <si>
    <t>3033 - COMBUSTÍVEIS E LUBRIFICANTES PARA AERONAVES</t>
  </si>
  <si>
    <t>3938 - SERVIÇOS DE IMPRESSÃO E ENCADERNAÇÃO</t>
  </si>
  <si>
    <t>3034 - PEÇAS E ACESSÓRIOS PARA AERONAVES</t>
  </si>
  <si>
    <t>3939 - SERVIÇOS DE PUBLICAÇÃO E DIVULGAÇÃO</t>
  </si>
  <si>
    <t>3036 - MATERIAL BIBLIOGRÁFICO PARA BIBLIOTECAS PÚBLICAS</t>
  </si>
  <si>
    <t>3941 - ANUIDADES, CERTIFICADOS E REGISTROS</t>
  </si>
  <si>
    <t>3037 - MEDICAMENTOS ? DECISÃO JUDICIAL</t>
  </si>
  <si>
    <t>3942 - SERVIÇOS GRÁFICOS DE SEGURANÇA</t>
  </si>
  <si>
    <t>3038 - LEITE ? PROGRAMA LEITE PELA VIDA</t>
  </si>
  <si>
    <t>3943 - SERVIÇOS DE ADMINISTRAÇÃO E GERENCIAMENTO DE FROTA DE VEÍCULOS</t>
  </si>
  <si>
    <t>3039 - MATERIAL DE CONFECÇÃO EM GERAL</t>
  </si>
  <si>
    <t>3944 - SERVIÇO DE SEGURANÇA FAZENDÁRIA</t>
  </si>
  <si>
    <t>3040 - MATERIAL DE CAMA, MESA E BANHO</t>
  </si>
  <si>
    <t>3946 - TERMO DE PARCERIA COM ORGANIZAÇÃO DA SOCIEDADE CIVIL DE INTERESSE PÚBLICO - OSCIP</t>
  </si>
  <si>
    <t>3041 - MATERIAL DE PROTEÇÃO E SEGURANÇA</t>
  </si>
  <si>
    <t>3947 - TAXA DE ADMINISTRAÇÃO DE CRÉDITO DE FINANCIAMENTOS HABITACIONAIS</t>
  </si>
  <si>
    <t>3099 - OUTROS MATERIAIS</t>
  </si>
  <si>
    <t>3948 - CURSOS DE FORMAÇÃO, CAPACITAÇÃO E PÓS-GRADUAÇÃO PARA SERVIDORES</t>
  </si>
  <si>
    <t>3949 - CURSOS DE FORMAÇÃO E CAPACITAÇÃO PARA O CIDADÃO</t>
  </si>
  <si>
    <t>3950 - SERVIÇOS DE AGENCIAMENTO DE VIAGENS</t>
  </si>
  <si>
    <t>3951 - SERVIÇO DE GERENCIAMENTO, SUPERVISÃO E FISCALIZAÇÃO DE OBRAS</t>
  </si>
  <si>
    <t>3953 - CURSOS DE FORMAÇÃO E CAPACITAÇÃO PROMOVIDOS PELO ESTADO</t>
  </si>
  <si>
    <t>3954 - CONTRATO DE PARCERIA PÚBLICO-PRIVADA</t>
  </si>
  <si>
    <t>3955 - EVENTOS DE COMUNICAÇÃO INSTITUCIONAL</t>
  </si>
  <si>
    <t>3956 - SERVIÇOS DE PESQUISAS</t>
  </si>
  <si>
    <t>3957 - COMISSÃO PELA CONSTRUÇÃO DE UNIDADES HABITACIONAIS</t>
  </si>
  <si>
    <t>3958 - CONTRATAÇÃO DE PROJETOS EM PESQUISA DE CIÊNCIA, INOVAÇÃO E TECNOLOGIA</t>
  </si>
  <si>
    <t>3959 - SERVIÇOS SANITÁRIOS E TRATAMENTO DE RESÍDUOS</t>
  </si>
  <si>
    <t>3960 - SERVIÇOS DE ATENDIMENTO AO CIDADÃO</t>
  </si>
  <si>
    <t>3961 - SERVIÇOS DE CONSERVAÇÃO E LIMPEZA</t>
  </si>
  <si>
    <t>3962 - SERVIÇOS DE VIGILÂNCIA OSTENSIVA</t>
  </si>
  <si>
    <t>3963 - SERVIÇOS DE LEVANTAMENTO E CADASTRAMENTO PARA EXECUÇÃO DE POLÍTICAS PÚBLICAS</t>
  </si>
  <si>
    <t>3964 - SERVIÇOS DE MAPEAMENTO E GEORREFERENCIAMENTO</t>
  </si>
  <si>
    <t>3965 - SERVIÇOS DE PRODUÇÃO E LOGÍSTICA DE MEDICAMENTOS</t>
  </si>
  <si>
    <t>3966 - SERVIÇOS DE ABASTECIMENTO E DISTRIBUIÇÃO DE ÁGUA</t>
  </si>
  <si>
    <t>3967 - ADMINISTRAÇÃO DE BENS E DIREITOS DO ESTADO POR TERCEIROS</t>
  </si>
  <si>
    <t>3968 - SERVIÇOS DE IMPRENSA</t>
  </si>
  <si>
    <t>3969 - CONTRATOS DE ENERGIA ELÉTRICA</t>
  </si>
  <si>
    <t>3971 - SERVIÇOS TECNICOS DE IMPLANTAÇÃO, GESTÃO E ADMINISTRAÇÃO DE SISTEMAS DE VIGILÂNCIA DE OBSERVAÇÃO</t>
  </si>
  <si>
    <t>3972 - CONTRATOS DE ABASTECIMENTO DE ÁGUA E COLETA E TRATAMENTO DE ESGOTO</t>
  </si>
  <si>
    <t>3973 - SERVIÇO DE ENGENHARIA PARA  OPERAÇÃO DE BENS DE DOMÍNIO PÚBLICO</t>
  </si>
  <si>
    <t>3974 - SERVIÇO DE REALIZAÇÃO DE CONCURSO PÚBLICO E PROCESSO SELETIVO SIMPLIFICADO</t>
  </si>
  <si>
    <t>3975 - SERVIÇO DE GERENCIAMENTO, SUPERVISÃO E FISCALIZAÇÃO DE SERVIÇOS CONTRATADOS</t>
  </si>
  <si>
    <t>3976 - SERVIÇO DE REMOÇÃO E TRANSPORTE DE CADÁVERES</t>
  </si>
  <si>
    <t>3977 - PATROCÍNIO</t>
  </si>
  <si>
    <t>3978 - SERVIÇOS DE APOIO ADMINISTRATIVO</t>
  </si>
  <si>
    <t>3981 - SERVIÇOS DE ELABORAÇÃO DE ESTUDOS PRÉVIOS</t>
  </si>
  <si>
    <t>3982 - SERVIÇOS TÉCNICOS JUDICIAIS ? HONORÁRIOS JUDICIAIS</t>
  </si>
  <si>
    <t>3983 - SERVIÇOS DE REALIZAÇÃO DE PROCESSO DE CERTIFICAÇÃO OCUPACIONAL</t>
  </si>
  <si>
    <t>3984 - REMUNERAÇÃO PAGA PELO PODER EXECUTIVO AO TRIBUNAL DE JUSTIÇA DO ESTADO DE MINAS GERAIS REFERENTE AOS DEPÓSITOS JUDICIAIS LEI 21.720/2015</t>
  </si>
  <si>
    <t>3985 - SERVIÇOS DE DESLOCAMENTO OU REMOÇÃO DE POSTES E REDE ELÉTRICA</t>
  </si>
  <si>
    <t>3986 - DIREITOS AUTORAIS</t>
  </si>
  <si>
    <t>3987 - SERVIÇOS DE GERENCIAMENTO E FORNECIMENTO DE COMBUSTÍVEL</t>
  </si>
  <si>
    <t>3988 - MULTA POR ATO INFRACIONAL</t>
  </si>
  <si>
    <t>3989 - LOCAÇÃO OU FRETAMENTO DE AERONAVE</t>
  </si>
  <si>
    <t>3990 - CURSOS DE FORMAÇÃO, CAPACITAÇÃO E TREINAMENTO DE TRIPULANTES DE AERONAVES</t>
  </si>
  <si>
    <t>3991 - CONTRATAÇÃO PARA PRESTAÇÃO DE SERVIÇO POR CREDENCIADOS</t>
  </si>
  <si>
    <t>3992 - CONTRATO DE GESTÃO COM ORGANIZAÇÃO SOCIAL – OS</t>
  </si>
  <si>
    <t>3993 - APOIO A PROJETOS DE INCENTIVO À INOVAÇÃO E À PESQUISA CIENTÍFICA E TECNOLÓGICA, À CAPACITAÇÃO TECNOLÓGICA E AO ALCANCE DA AUTONOMIA TECNOLÓGICA</t>
  </si>
  <si>
    <t>3994 - CAPACITAÇÃO RELACIONADA AS ATIVIDADES DE AVIAÇÃO</t>
  </si>
  <si>
    <t>3995 - SERVIÇOS NOTARI AIS E DE REGISTRO</t>
  </si>
  <si>
    <t xml:space="preserve">3996 - TRANSFERÊNCIA ONEROSA DA POSSE DE BENS IMÓVEIS DE PROPRIEDADE DO ESTADO DE MINAS GERAIS                                                 </t>
  </si>
  <si>
    <t>3997 - HONORÁRIOS ADVOCATÍCIOS – ACORDOS EXTRAJUDICIAIS</t>
  </si>
  <si>
    <t>3998 - SERVIÇOS DE SAÚDE PRESTADOS POR CONTRATO</t>
  </si>
  <si>
    <t>3999 - OUTROS SERVIÇOS-PESSOA JURÍDICA</t>
  </si>
  <si>
    <t>AGE</t>
  </si>
  <si>
    <t>ARMBH</t>
  </si>
  <si>
    <t>ARMVA</t>
  </si>
  <si>
    <t>ARSAE</t>
  </si>
  <si>
    <t>CBMMG</t>
  </si>
  <si>
    <t>CGE</t>
  </si>
  <si>
    <t>EMATER</t>
  </si>
  <si>
    <t>EMC</t>
  </si>
  <si>
    <t>EPAMIG</t>
  </si>
  <si>
    <t>ESPMG</t>
  </si>
  <si>
    <t>FAPEMIG</t>
  </si>
  <si>
    <t>FCS</t>
  </si>
  <si>
    <t>FDM</t>
  </si>
  <si>
    <t>FEAM</t>
  </si>
  <si>
    <t>FEAS</t>
  </si>
  <si>
    <t>FES</t>
  </si>
  <si>
    <t>FHA</t>
  </si>
  <si>
    <t>FHEMIG</t>
  </si>
  <si>
    <t>FHIDRO</t>
  </si>
  <si>
    <t>FJP</t>
  </si>
  <si>
    <t>FUCAM</t>
  </si>
  <si>
    <t>FUNAPEC</t>
  </si>
  <si>
    <t>FUNED</t>
  </si>
  <si>
    <t>FUNTRANS</t>
  </si>
  <si>
    <t>GMG</t>
  </si>
  <si>
    <t>HEMOMINAS</t>
  </si>
  <si>
    <t>IDENE</t>
  </si>
  <si>
    <t>IEF</t>
  </si>
  <si>
    <t>IEPHA</t>
  </si>
  <si>
    <t>IGAM</t>
  </si>
  <si>
    <t>IMA</t>
  </si>
  <si>
    <t>IPSEMG</t>
  </si>
  <si>
    <t>IPSM</t>
  </si>
  <si>
    <t>JUCEMG</t>
  </si>
  <si>
    <t>LEMG</t>
  </si>
  <si>
    <t>OGE</t>
  </si>
  <si>
    <t>PCMG</t>
  </si>
  <si>
    <t>PMMG</t>
  </si>
  <si>
    <t>SCC</t>
  </si>
  <si>
    <t>SEAPA</t>
  </si>
  <si>
    <t>SEC.GERAL</t>
  </si>
  <si>
    <t>SECOM</t>
  </si>
  <si>
    <t>SECULT</t>
  </si>
  <si>
    <t>SEDE</t>
  </si>
  <si>
    <t>SEDESE</t>
  </si>
  <si>
    <t>SEE</t>
  </si>
  <si>
    <t>SEF</t>
  </si>
  <si>
    <t>SEGOV</t>
  </si>
  <si>
    <t>SEINFRA</t>
  </si>
  <si>
    <t>SEJUSP</t>
  </si>
  <si>
    <t>SEMAD</t>
  </si>
  <si>
    <t>SEPLAG</t>
  </si>
  <si>
    <t>TVMINAS</t>
  </si>
  <si>
    <t>UEMG</t>
  </si>
  <si>
    <t>UNIMONTES</t>
  </si>
  <si>
    <t>UTRAMIG</t>
  </si>
  <si>
    <t>SUB DE ADMINISTRAÇÃO</t>
  </si>
  <si>
    <t>dsadasdas</t>
  </si>
  <si>
    <t>DSADAA</t>
  </si>
  <si>
    <t>dsadasj</t>
  </si>
  <si>
    <t>dksadsa</t>
  </si>
  <si>
    <t>FFDSSA</t>
  </si>
  <si>
    <t>kfdsafas</t>
  </si>
  <si>
    <t>kdsasa</t>
  </si>
  <si>
    <t>DECRETO 47045, DE 14/09/2016
DISPÕE SOBRE VIAGEM A SERVIÇO E CONCESSÃO DE DIÁRIA NO ÂMBITO DA ADMINISTRAÇÃO PÚBLICA DIRETA, AUTÁRQUICA E FUNDACIONAL DO PODER EXECUTIVO E DÁ OUTRAS PROVIDÊNCIAS.</t>
  </si>
  <si>
    <t>Tabela de Valores – Viagens Nacionais</t>
  </si>
  <si>
    <t>Tabela de Valores – Viagens ao Exterior</t>
  </si>
  <si>
    <t>DESTINO</t>
  </si>
  <si>
    <t>FAIXA I (R$)</t>
  </si>
  <si>
    <t>FAIXA II (R$)</t>
  </si>
  <si>
    <t>SERVIDORES</t>
  </si>
  <si>
    <t>LOCALIDADE/VALOR (U$)</t>
  </si>
  <si>
    <t>Capitais, inclusive Belo Horizonte</t>
  </si>
  <si>
    <t>América do Sul e América Central</t>
  </si>
  <si>
    <t>Demais Localidades no exterior</t>
  </si>
  <si>
    <t>Municípios especiais e municípios de outros Estados que não sejam capitais</t>
  </si>
  <si>
    <t>Governador do Estado; Vice-Governador do Estado</t>
  </si>
  <si>
    <t>Demais municípios</t>
  </si>
  <si>
    <t>Secretário-Geral, Secretário de Estado, Secretário Adjunto de Estado</t>
  </si>
  <si>
    <r>
      <rPr>
        <b/>
        <sz val="11"/>
        <color theme="1"/>
        <rFont val="Calibri"/>
        <family val="2"/>
        <scheme val="minor"/>
      </rPr>
      <t>Faixa I:</t>
    </r>
    <r>
      <rPr>
        <sz val="11"/>
        <color theme="1"/>
        <rFont val="Calibri"/>
        <family val="2"/>
        <scheme val="minor"/>
      </rPr>
      <t xml:space="preserve"> Servidor que exerça cargo efetivo que exija até o nível médio ou superior de escolaridade, servidor investido em cargo de provimento em comissão, servidor que exerça função pública que exija até o nível médio ou superior de escolaridade, e os membros de conselhos estaduais.
</t>
    </r>
    <r>
      <rPr>
        <b/>
        <sz val="11"/>
        <color theme="1"/>
        <rFont val="Calibri"/>
        <family val="2"/>
        <scheme val="minor"/>
      </rPr>
      <t/>
    </r>
  </si>
  <si>
    <t>Demais autoridades – Subsecretário, dirigente máximo de órgão autônomo, fundação e autarquia e seus respectivos Vices e servidor investido em cargo de provimento em comissão do Grupo de Direção e Assessoramento que esteja no nível DAD-8 a DAD-12 ou DAI-26 a DAI-40 e exerça atividades inerentes à chefia de Gabinete do Vice-Governador ou de Secretaria de Estado ou de entidades ou às assessorias especiais do Governador.</t>
  </si>
  <si>
    <r>
      <rPr>
        <b/>
        <sz val="11"/>
        <color theme="1"/>
        <rFont val="Calibri"/>
        <family val="2"/>
        <scheme val="minor"/>
      </rPr>
      <t>Faixa II:</t>
    </r>
    <r>
      <rPr>
        <sz val="11"/>
        <color theme="1"/>
        <rFont val="Calibri"/>
        <family val="2"/>
        <scheme val="minor"/>
      </rPr>
      <t xml:space="preserve"> Secretário-Geral, Secretário de Estado, Secretário Adjunto, Subsecretário, dirigente máximo de órgão autônomo, fundação e autarquia e seus respectivos vices, Comandante de Aeronave, Comandante de Avião, Comandante de Avião a jato, Piloto de Helicóptero, Primeiro Oficial de Aeronave e servidor investido em cargo de provimento em comissão do Grupo de Direção e Assessoramento que esteja no nível DAD-8 a DAD-12 ou DAI-25 a DAI-40 e exerça atividades inerentes à chefia de gabinete do Vice-Governador, de Secretaria de Estado ou de entidades ou às assessorias especiais do Governador.</t>
    </r>
  </si>
  <si>
    <r>
      <rPr>
        <b/>
        <sz val="11"/>
        <color theme="1"/>
        <rFont val="Calibri"/>
        <family val="2"/>
        <scheme val="minor"/>
      </rPr>
      <t>Relação dos Municípios Especiais:</t>
    </r>
    <r>
      <rPr>
        <sz val="11"/>
        <color theme="1"/>
        <rFont val="Calibri"/>
        <family val="2"/>
        <scheme val="minor"/>
      </rPr>
      <t xml:space="preserve"> Araxá, Caxambú, Contagem, Ipatinga, Juiz de Fora, Ouro Preto, Patos de Minas, Tiradentes, Uberlândia.</t>
    </r>
  </si>
  <si>
    <t>Demais servidores</t>
  </si>
  <si>
    <t>Link para o Decreto:</t>
  </si>
  <si>
    <t>https://www.almg.gov.br/consulte/legislacao/completa/completa.html?num=47045&amp;ano=2016&amp;tipo=DEC</t>
  </si>
  <si>
    <t>Cenário</t>
  </si>
  <si>
    <t>Novo</t>
  </si>
  <si>
    <t xml:space="preserve"> </t>
  </si>
  <si>
    <t>GRUPO DE DESPESA</t>
  </si>
  <si>
    <t>5 - Inversões Financeiras</t>
  </si>
  <si>
    <t>EGE-SEF</t>
  </si>
  <si>
    <t>PART.EMPRESAS</t>
  </si>
  <si>
    <t>IPEM/MG</t>
  </si>
  <si>
    <t>FIA</t>
  </si>
  <si>
    <t>FEH</t>
  </si>
  <si>
    <t>FPE</t>
  </si>
  <si>
    <t>FUNDIF</t>
  </si>
  <si>
    <t>FEC</t>
  </si>
  <si>
    <t>FAHMEMG</t>
  </si>
  <si>
    <t>FEI</t>
  </si>
  <si>
    <t>MG INVESTE</t>
  </si>
  <si>
    <t>FPP - MG</t>
  </si>
  <si>
    <t>FESP-MG</t>
  </si>
  <si>
    <t>FET-MG</t>
  </si>
  <si>
    <t>028 - DESENVOLVIMENTO DE AÇÕES DE EDUCAÇÃO E PESQUISA PARA O SISTEMA ÚNICO DE SAÚDE</t>
  </si>
  <si>
    <t>022 - CONSTRUINDO O FUTURO POR MEIO DA CIÊNCIA, DA TECNOLOGIA E DA INOVAÇÃO</t>
  </si>
  <si>
    <t>058 - POLÍTICAS DE ATENÇÃO HOSPITALAR</t>
  </si>
  <si>
    <t>042 - DESENVOLVIMENTO DA EDUCAÇÃO BÁSICA</t>
  </si>
  <si>
    <t>019 - ATENÇÃO HOSPITALAR ESPECIALIZADA</t>
  </si>
  <si>
    <t>104 - ENFRENTAMENTO À VULNERABILIDADE NOS TERRITÓRIOS DE ATUAÇÃO DA FUCAM</t>
  </si>
  <si>
    <t>150 - UNIVERSALIZAÇÃO DO ACESSO AO CONHECIMENTO CIENTÍFICO E TECNOLÓGICO</t>
  </si>
  <si>
    <t>087 - ASSISTÊNCIA EM HEMATOLOGIA, HEMOTERAPIA,CÉLULAS E TECIDOS BIOLÓGICOS</t>
  </si>
  <si>
    <t>039 - GESTÃO DA ASSISTÊNCIA À SAÚDE</t>
  </si>
  <si>
    <t>006 - ASSISTÊNCIA À SAÚDE DOS SEGURADOS E DOS SEUS DEPENDENTES</t>
  </si>
  <si>
    <t>121 - ACESSO E ALCANCE À COMUNICAÇÃO DE INTERESSE PÚBLICO</t>
  </si>
  <si>
    <t>026 - DESENVOLVIMENTO DO ENSINO SUPERIOR NA UEMG</t>
  </si>
  <si>
    <t>007 - EDUCAÇÃO SUPERIOR</t>
  </si>
  <si>
    <t>067 - REDE DE DESENVOLVIMENTO DA EDUCAÇÃO PROFISSIONAL</t>
  </si>
  <si>
    <t>077 - CAMINHOS PARA O DESENVOLVIMENTO INTEGRADO METROPOLITANO</t>
  </si>
  <si>
    <t>010 - REGULAÇÃO E FISCALIZAÇÃO DOS SERVIÇOS DE ABASTECIMENTO DE ÁGUA E DE ESGOTAMENTO SANITÁRIO E ATENDIMENTO AOS USUÁRIOS</t>
  </si>
  <si>
    <t>047 - SUPORTE ÀS AÇÕES DE COMBATE E RESPOSTA AOS DANOS CAUSADOS PELAS CHUVAS</t>
  </si>
  <si>
    <t>102 - FOMENTO À ECONOMIA DA CRIATIVIDADE</t>
  </si>
  <si>
    <t>103 - ESPAÇOS CULTURAIS, CORPOS ARTÍSTICOS E ÓRGÃOS COLEGIADOS</t>
  </si>
  <si>
    <t>040 - RECUPERAÇÃO AMBIENTAL E GESTÃO DE BARRAGENS</t>
  </si>
  <si>
    <t>091 - APRIMORAMENTO DA GESTÃO PÚBLICA POR MEIO DE ENSINO DE EXCELÊNCIA</t>
  </si>
  <si>
    <t>056 - DESENVOLVIMENTO DA INFRAESTRUTURA DO NORTE E NORDESTE DE MINAS GERAIS</t>
  </si>
  <si>
    <t>031 - PROTEÇÃO DAS ÁREAS AMBIENTALMENTE CONSERVADAS, DA FAUNA E DA BIODIVERSIDADE FLORESTAL</t>
  </si>
  <si>
    <t>078 - DEFESA SANITÁRIA</t>
  </si>
  <si>
    <t>029 - REGISTRO PÚBLICO DE EMPRESAS MERCANTIS E ATIVIDADES AFINS</t>
  </si>
  <si>
    <t>126 - EXPLORAÇÃO DE JOGOS LOTÉRICOS E SIMILARES</t>
  </si>
  <si>
    <t>066 - POLÍTICAS DE TRABALHO E EMPREGO</t>
  </si>
  <si>
    <t>082 - PROMOÇÃO DA SEGURANÇA VIÁRIA</t>
  </si>
  <si>
    <t>071 - FORTALECIMENTO DO SISTEMA ÚNICO DE ASSISTÊNCIA SOCIAL - SUAS</t>
  </si>
  <si>
    <t>034 - SUPORTE ÀS AÇÕES DE TRANSPORTE RODOVIÁRIO</t>
  </si>
  <si>
    <t>043 - DESJUDICIALIZA MINAS</t>
  </si>
  <si>
    <t>054 - GOVERNANÇA PARA INTEGRIDADE E MELHORES RESULTADOS EM SERVIÇOS PÚBLICOS</t>
  </si>
  <si>
    <t>033 - GESTÃO DA INFORMAÇÃO COM USO DE TECNOLOGIA E COMUNICAÇÃO</t>
  </si>
  <si>
    <t>108 - ACESSO A MERCADOS</t>
  </si>
  <si>
    <t>046 - SUPORTE AÉREO AOS SERVIÇOS PÚBLICOS ESTADUAIS</t>
  </si>
  <si>
    <t>100 - MAIS TURISTAS</t>
  </si>
  <si>
    <t>021 - SANEAMENTO E RESÍDUOS ESPECIAIS</t>
  </si>
  <si>
    <t>129 - PREVENÇÃO À CRIMINALIDADE</t>
  </si>
  <si>
    <t>109 - GESTÃO DE CERIMONIAL E EVENTOS</t>
  </si>
  <si>
    <t>147 - GESTÃO DE PESSOAS</t>
  </si>
  <si>
    <t>032 - INVESTIGAÇÃO</t>
  </si>
  <si>
    <t>001 - MINAS ÍNTEGRA E TRANSPARENTE</t>
  </si>
  <si>
    <t>011 - ASSESSORAMENTO TÉCNICO E ADMINISTRATIVO AO GOVERNADOR E VICE-GOVERNADOR</t>
  </si>
  <si>
    <t>705 - APOIO ÀS POLÍTICAS PÚBLICAS</t>
  </si>
  <si>
    <t>703 - PROCESSO JUDICIÁRIO</t>
  </si>
  <si>
    <t>018 - COMUNICAÇÃO INSTITUCIONAL E DE UTILIDADE PÚBLICA</t>
  </si>
  <si>
    <t>131 - ARTICULAÇÃO INTERFEDERATIVA,  ATRAÇÃO DE INVESTIMENTOS, CAPTAÇÃO E TRANSFERÊNCIA DE RECURSOS E PARCERIAS</t>
  </si>
  <si>
    <t>160 - MELHORIA DA GESTÃO LOGÍSTICA E PATRIMONIAL</t>
  </si>
  <si>
    <t>999 - RESERVA DE CONTINGÊNCIA</t>
  </si>
  <si>
    <t>090 - ASSISTÊNCIA TECNICA E EXTENSÃO RURAL PARA O ESTADO DE MINAS GERAIS</t>
  </si>
  <si>
    <t>015 - ENSINO SUPERIOR PARA A AGRICULTURA E PECUÁRIA</t>
  </si>
  <si>
    <t>706 - PRESTAÇÃO JURISDICIONAL</t>
  </si>
  <si>
    <t>764 - ASSISTÊNCIA COMPLEMENTAR</t>
  </si>
  <si>
    <t>128 - PROGRAMA DE APOIO A AMPLIAÇÃO E A MELHORIA DOS SISTEMAS PRISIONAL E SOCIOEDUCATIVO</t>
  </si>
  <si>
    <t>113 - GARANTIA DE CONTINUIDADE DA PRODUÇÃO AGROPECUÁRIA</t>
  </si>
  <si>
    <t>141 - POLÍTICAS SOBRE DROGAS</t>
  </si>
  <si>
    <t>737 - MODERNIZAÇÃO  INSTITUCIONAL</t>
  </si>
  <si>
    <t>738 - PROTEÇÃO E DEFESA DO CONSUMIDOR</t>
  </si>
  <si>
    <t>138 - CONCESSÃO DE AUXÍLIO FINANCEIRO, SEGURO E PECÚLIO</t>
  </si>
  <si>
    <t>704 - MODERNIZAÇÃO INSTITUCIONAL</t>
  </si>
  <si>
    <t>125 - POLÍTICA DE REGULARIZAÇÃO FUNDIÁRIA E DE GESTÃO DE IMÓVEIS</t>
  </si>
  <si>
    <t>134 - GESTÃO INTEGRADA DE SEGURANÇA PÚBLICA</t>
  </si>
  <si>
    <t>133 - MINAS GERAÇÃO DE VALOR</t>
  </si>
  <si>
    <t>142 - MANUTENÇÃO DA INFRAESTRUTURA ADMINISTRATIVA E OPERACIONAL - INVEST MINAS</t>
  </si>
  <si>
    <t>143 - MG TECH - POLÍTICAS DE CIÊNCIA, TECNOLOGIA E INOVAÇÃO</t>
  </si>
  <si>
    <t>059 - APOIO À GESTÃO DO SUS</t>
  </si>
  <si>
    <t>051 - ATENDIMENTO COMUNITÁRIO E PSICOPEDAGOGICO NA FUNDACÃO HELENA ANTIPOFF</t>
  </si>
  <si>
    <t>152 - INOVAÇÃO CIENTÍFICA E TECNOLÓGICA</t>
  </si>
  <si>
    <t>088 - SERVIÇOS DE SAÚDE PRESTADOS PELO IPSEMG NA REDE PRÓPRIA</t>
  </si>
  <si>
    <t>008 - PRESTAÇÃO DE SERVIÇOS PREVIDENCIÁRIOS</t>
  </si>
  <si>
    <t>081 - DESENVOLVIMENTO SUSTENTÁVEL DA INFRAESTRUTURA RODOVIÁRIA</t>
  </si>
  <si>
    <t>105 - FORMAÇÃO E CAPACITAÇÃO TÉCNICO-CULTURAL</t>
  </si>
  <si>
    <t>041 - REGULARIZAÇÃO AMBIENTAL</t>
  </si>
  <si>
    <t>093 - PROMOÇÃO E PRESERVAÇÃO DA MEMÓRIA TÉCNICO-CIENTÍFICA DO ESTADO DE MINAS GERAIS</t>
  </si>
  <si>
    <t>124 - PROMOÇÃO DO DESENVOLVIMENTO DO NORTE E NORDESTE DE MINAS GERAIS</t>
  </si>
  <si>
    <t>065 - FORTALECIMENTO DA POLÍTICA ESTADUAL DE RECURSOS HÍDRICOS</t>
  </si>
  <si>
    <t>080 - SEGURANÇA DE ALIMENTOS</t>
  </si>
  <si>
    <t>083 - POLÍTICAS DE PROMOÇÃO AO DESENVOLVIMENTO SOCIAL NO CONTEXTO RURAL - PERCURSOS GERAIS: TRAJETÓRIA PARA AUTONOMIA</t>
  </si>
  <si>
    <t>044 - REPRESENTAÇÃO JURÍDICA DO ESTADO E ENTIDADES</t>
  </si>
  <si>
    <t>055 - CONTROLE SOCIAL ATRAVÉS DA DEFESA DOS USUÁRIOS DE SERVIÇOS PÚBLICOS</t>
  </si>
  <si>
    <t>038 - TESOURO RESPONSÁVEL E TRANSPARENTE</t>
  </si>
  <si>
    <t>110 - REGULARIZAÇÃO FUNDIÁRIA - AMPLIAÇÃO DA SEGURANÇA JURÍDICA NO CAMPO</t>
  </si>
  <si>
    <t>048 - PROTEÇÃO E DEFESA CIVIL</t>
  </si>
  <si>
    <t>025 - MONITORAMENTO, CONTROLE E FISCALIZAÇÃO AMBIENTAL</t>
  </si>
  <si>
    <t>052 - PROMOÇÃO DE DEFESA CIVIL</t>
  </si>
  <si>
    <t>130 - INFRAESTRUTURA DO SISTEMA PRISIONAL</t>
  </si>
  <si>
    <t>115 - GESTÃO DO PROCESSO LEGISLATIVO ESTADUAL SOB A RESPONSABILIDADE DO PODER EXECUTIVO</t>
  </si>
  <si>
    <t>149 - TRANSFORMAÇÃO DIGITAL E ATENDIMENTO AO CIDADÃO</t>
  </si>
  <si>
    <t>036 - IDENTIFICAÇÃO CIVIL E CRIMINAL</t>
  </si>
  <si>
    <t>002 - AUDITORIA INTERNA PARA O FUTURO</t>
  </si>
  <si>
    <t>027 - GESTÃO AMBIENTAL.</t>
  </si>
  <si>
    <t>729 - PROCESSO LEGISLATIVO</t>
  </si>
  <si>
    <t>746 - CONTROLE EXTERNO DA GESTÃO DOS RECURSOS PÚBLICOS</t>
  </si>
  <si>
    <t>734 - PRESTAÇÃO JURISDICIONAL MILITAR</t>
  </si>
  <si>
    <t>726 - ACESSO À JUSTIÇA</t>
  </si>
  <si>
    <t>766 - BENEFÍCIOS ASSISTENCIAIS</t>
  </si>
  <si>
    <t>097 - MINAS SEM FOME</t>
  </si>
  <si>
    <t>016 - INOVAÇÕES E SOLUÇÕES TECNOLÓGICAS PARA A AGROPECUÁRIA E A AGROINDÚSTRIA</t>
  </si>
  <si>
    <t>765 - APOIO HABITACIONAL</t>
  </si>
  <si>
    <t>171 - FINANCIAMENTO À INFRAESTRUTURA E AO DESENVOLVIMENTO SUSTENTÁVEL EM MG ENTRE BDMG E NEW DEVELOPMENT BANK (BDMG INFRA ODS)</t>
  </si>
  <si>
    <t>060 - ATENÇÃO PRIMÁRIA À SAÚDE</t>
  </si>
  <si>
    <t>075 - AMPLIAÇÃO E MODERNIZAÇÃO DA FUNDAÇÃO HELENA ANTIPOFF</t>
  </si>
  <si>
    <t>153 - VIGILÂNCIA LABORATORIAL EM SAÚDE PÚBLICA</t>
  </si>
  <si>
    <t>095 - ASSESSORIA E PESQUISA EM POLÍTICAS PÚBLICAS</t>
  </si>
  <si>
    <t>069 - FOMENTO AO ESPORTE, À ATIVIDADE FÍSICA E AO LAZER</t>
  </si>
  <si>
    <t>4471 - METRÓPOLE PLANEJADA</t>
  </si>
  <si>
    <t>045 - RECEITA ESTADUAL DIGITAL, EFICIENTE, MODERNIZADA E MAIS JUSTA</t>
  </si>
  <si>
    <t>132 - MINAS EMPREENDEDORA: ESTADO MAIS SIMPLES E LIVRE PARA SE EMPREENDER</t>
  </si>
  <si>
    <t>111 - DESENVOLVIMENTO DAS CADEIAS PRODUTIVAS DA AGROPECUÁRIA</t>
  </si>
  <si>
    <t>135 - PROTEÇÃO SOCIAL DOS MILITARES</t>
  </si>
  <si>
    <t>163 - ALIMENTAÇÃO ESCOLAR</t>
  </si>
  <si>
    <t>085 - PROMOÇÃO DE CONCESSÕES E PARCERIAS</t>
  </si>
  <si>
    <t>053 - ATENDIMENTO PRÉ-HOSPITALAR</t>
  </si>
  <si>
    <t>119 - APOIO AO DESENVOLVIMENTO MUNICIPAL E À COORDENAÇÃO DAS TRANSFERÊNCIAS ESTADUAIS DE RECURSOS FINANCEIROS</t>
  </si>
  <si>
    <t>151 - PROMOÇÃO DA INOVAÇÃO E DA GESTÃO ESTRATÉGICA</t>
  </si>
  <si>
    <t>037 - VALORIZAÇÃO E SAÚDE DO SERVIDOR</t>
  </si>
  <si>
    <t>003 - ENFRENTAMENTO DA CORRUPÇÃO E RECUPERAÇÃO DE ATIVOS</t>
  </si>
  <si>
    <t>760 - CAPACITAÇÃO E ORIENTAÇÃO PARA MELHORAR A GESTÃO DOS RECURSOS PÚBLICOS</t>
  </si>
  <si>
    <t>714 - AQUISIÇÃO, CONSTRUÇÃO, REPAROS DE BENS IMÓVEIS</t>
  </si>
  <si>
    <t>2049 - ENCARGOS DA ADMINISTRAÇÃO FINANCEIRA CENTRAL</t>
  </si>
  <si>
    <t>7054 - PROGRAMAÇÃO A CARGO DO ESTADO PARA A COMPANHIA DE DESENVOLVIMENTO DE MINAS GERAIS - CODEMGE</t>
  </si>
  <si>
    <t>7003 - RESTITUIÇÃO AO TJMG DOS DEPÓSITOS JUDICIAIS</t>
  </si>
  <si>
    <t>2131 - RECURSOS DE TRANSFERÊNCIAS ESPECIAIS DA UNIÃO</t>
  </si>
  <si>
    <t>9999 - RESERVA DE CONTINGÊNCIA</t>
  </si>
  <si>
    <t>2025 - GESTÃO DE SERVIÇOS DE TIC</t>
  </si>
  <si>
    <t>4411 - PROJETOS ESPECIAIS DE PROMOÇÃO E PROTEÇÃO DOS DIREITOS DE CRIANÇAS E ADOLESCENTES</t>
  </si>
  <si>
    <t>2075 - ADMINISTRAÇÃO DA CARTEIRA DE FINANCIAMENTOS NO ÂMBITO DO FUNDO ESTADUAL DE HABITAÇÃO - FEH</t>
  </si>
  <si>
    <t>4041 - FUNDESE GERAMINAS</t>
  </si>
  <si>
    <t>1046 - APOIO À ESTRUTURAÇÃO E AO REAPARELHAMENTO DE UNIDADES PRISIONAIS E SOCIOEDUCATIVAS</t>
  </si>
  <si>
    <t>4497 - APOIO FINANCEIRO AO TURISMO MINEIRO POR MEIO DO FUNDO DE ASSISTÊNCIA AO TURISMO - FASTUR</t>
  </si>
  <si>
    <t>4401 - FUNDERUR EMERGENCIAL</t>
  </si>
  <si>
    <t>4436 - APOIO ÀS AÇÕES DO FUNDO ESTADUAL DE PREVENÇÃO, FISCALIZAÇÃO E REPRESSÃO DOS ENTORPECENTES - FUNPREN</t>
  </si>
  <si>
    <t>4179 - PROJETOS ESPECIAIS DE RECUPERAÇÃO DE DANOS AOS DIREITOS DIFUSOS</t>
  </si>
  <si>
    <t>1009 - REAPARELHAMENTO E APERFEIÇOAMENTO INSTITUICIONAL</t>
  </si>
  <si>
    <t>4256 - APOIO ÀS AÇÕES DE PROTEÇÃO E DEFESA AO CONSUMIDOR</t>
  </si>
  <si>
    <t>4360 - GESTÃO DO SISTEMA DE FINANCIAMENTO À CULTURA</t>
  </si>
  <si>
    <t>4349 - FINANCIAMENTO HABITACIONAL AOS SERVIDORES MILITARES</t>
  </si>
  <si>
    <t>4180 - PROJETOS ESPECIAIS DE PROMOÇÃO E PROTEÇÃO DOS DIREITOS DE PESSOAS IDOSAS</t>
  </si>
  <si>
    <t>2056 - REAPARELHAMENTO E APERFEIÇOAMENTO INSTITUCIONAL</t>
  </si>
  <si>
    <t>4444 - MG INVESTE</t>
  </si>
  <si>
    <t>4213 - AEROPORTOS REGIONAIS</t>
  </si>
  <si>
    <t>4432 - GESTÃO E APRIMORAMENTO DO FUNDO GARANTIDOR DE PPP</t>
  </si>
  <si>
    <t>4541 - ATIVOS IMOBILIÁRIOS DE MINAS GERAIS - FAIMG</t>
  </si>
  <si>
    <t>4549 - FUNDO DE INVESTIMENTOS IMOBILIÁRIOS DE MINAS GERAIS - FIIMG</t>
  </si>
  <si>
    <t>2071 - APOIO ÀS AÇÕES DO FUNDO DE ESTADUAL DE SEGURANÇA PÚBLICA</t>
  </si>
  <si>
    <t>7001 - COBERTURA DO DÉFICIT DO REGIME PRÓPRIO DE PREVIDÊNCIA SOCIAL - RPPS</t>
  </si>
  <si>
    <t>3017 - MANUTENÇÃO E AQUISIÇÕES DA CODEMIG</t>
  </si>
  <si>
    <t>3015 - GESTÃO DE INFRAESTRUTURA, CONSÓRCIOS E EQUIPAMENTOS CULTURAIS E TURÍSTICOS</t>
  </si>
  <si>
    <t>6010 - MANUTENÇÃO E ADEQUAÇÃO DA INFRAESTRUTURA ADMINISTRATIVA - COHAB</t>
  </si>
  <si>
    <t>6009 - ADEQUAÇÃO DA INFRA-ESTRUTURA ADMINISTRATIVA E OPERACIONAL - COPASA</t>
  </si>
  <si>
    <t>3010 - INVESTIMENTOS EM PARTICIPAÇÕES SOCIETÁRIAS CEMIG HOLDING</t>
  </si>
  <si>
    <t>6008 - MANUTENÇÃO DA INFRAESTRUTURA ADMINISTRATIVA E OPERACIONAL DA INVEST MINAS</t>
  </si>
  <si>
    <t>6006 - MANUTENÇÃO DAS UNIDADES PREDIAIS</t>
  </si>
  <si>
    <t>3018 - GÁS COMPETITIVO- EXPANSÃO DA REDE DE GÁS NATURAL</t>
  </si>
  <si>
    <t>8011 - MANUTENÇÃO E ADEQUAÇÃO DA INFRA-ESTRUTURA ADMINISTRATIVA E OPERACIONAL - TRANSPORTES METROPOLITANOS</t>
  </si>
  <si>
    <t>8002 - INVESTIMENTOS EM ATIVO FIXO PARA PRESTAÇÃO DE SERVIÇO</t>
  </si>
  <si>
    <t>3002 - EXECUÇÃO DO PLANO DE DESENVOLVIMENTO DA DISTRIBUIDORA (PDD)</t>
  </si>
  <si>
    <t>6012 - ADEQUAÇÃO DA INFRAESTRUTURA ADMINISTRATIVA E OPERACIONAL DA COPANOR</t>
  </si>
  <si>
    <t>4049 - AÇÕES EDUCACIONAIS NA ÁREA DA SAÚDE</t>
  </si>
  <si>
    <t>061 - ATENÇÃO ESPECIALIZADA À SAÚDE</t>
  </si>
  <si>
    <t>076 - DESENVOLVIMENTO DA EDUCAÇÃO PROFISSIONAL TÉCNICA</t>
  </si>
  <si>
    <t>4277 - ATENDIMENTO NO ENSINO FUNDAMENTAL EM TERRITÓRIOS DE ALTA VULNERABILIDADE SOCIAL</t>
  </si>
  <si>
    <t>154 - DESENVOLVIMENTO E PRODUÇÃO DE MEDICAMENTOS PARA O SISTEMA ÚNICO DE SAÚDE (SUS)</t>
  </si>
  <si>
    <t>4212 - DESENVOLVIMENTO DO PROGRAMA DE SANGUE E HEMODERIVADOS</t>
  </si>
  <si>
    <t>4298 - DISPONIBILIZAÇÃO E MANUTENÇÃO DO SINAL DE RETRANSMISSÃO DE TV NO INTERIOR DO ESTADO E REGIÃO METROPOLITANA DE BH</t>
  </si>
  <si>
    <t>1018 - CONSTRUÇÃO, AMPLIAÇÃO E REFORMA DAS UNIDADES ACADÊMICAS E DOS CAMPI DA UEMG</t>
  </si>
  <si>
    <t>4001 - OFERTA DE CURSOS DE GRADUAÇÃO</t>
  </si>
  <si>
    <t>4300 - EDUCAÇÃO PROFISSIONAL TÉCNICA DE NÍVEL MÉDIO E QUALIFICAÇÃO PROFISSIONAL</t>
  </si>
  <si>
    <t>4446 - REGULAÇÃO DA EXPANSÃO URBANA DA REGIÃO METROPOLITANA DE BELO HORIZONTE</t>
  </si>
  <si>
    <t>4013 - REGULAÇÃO E FISCALIZAÇÃO ECONÔMICO-FINANCEIRA</t>
  </si>
  <si>
    <t>106 - PROTEÇÃO E SALVAGUARDA DE ACERVOS E BENS CULTURAIS</t>
  </si>
  <si>
    <t>096 - PRODUÇÃO DE ESTATÍSTICAS E INFORMAÇÕES</t>
  </si>
  <si>
    <t>112 - CERTIFICAÇÕES E HABILITAÇÕES DE PRODUTOS AGROPECUÁRIOS E AGROINDUSTRIAIS</t>
  </si>
  <si>
    <t>4051 - REGISTRO EMPRESARIAL</t>
  </si>
  <si>
    <t>4340 - OPERACIONALIZAÇÃO DE JOGOS</t>
  </si>
  <si>
    <t>070 - POLÍTICAS DE DIREITOS HUMANOS</t>
  </si>
  <si>
    <t>4201 - CONTROLE DE VELOCIDADE</t>
  </si>
  <si>
    <t>4518 - METRÓPOLE DIGITAL</t>
  </si>
  <si>
    <t>2074 - APRIMORAMENTO DA REDE SOCIOASSISTENCIAL</t>
  </si>
  <si>
    <t>136 - EDUCAÇÃO ESCOLAR</t>
  </si>
  <si>
    <t>164 - APOIO AO ENSINO SUPERIOR</t>
  </si>
  <si>
    <t>099 - DESENVOLVIMENTO DA INFRAESTRUTURA ESTADUAL, MUNICIPAL E REGIONAL</t>
  </si>
  <si>
    <t>120 - PRODUÇÃO E VEICULAÇÃO DO DIÁRIO OFICIAL ELETRÔNICO MINAS GERAIS</t>
  </si>
  <si>
    <t>155 - REPARAÇÃO DOS DANOS DOS ROMPIMENTOS EM BRUMADINHO E MARIANA</t>
  </si>
  <si>
    <t>004 - CGE INTEGRADA E EFICIENTE</t>
  </si>
  <si>
    <t>4007 - INFORMAÇÃO, COORDENAÇÃO E SUPORTE À GOVERNADORIA E VICE-GOVERNADORIA</t>
  </si>
  <si>
    <t>2001 - ASSESSORIA DE PUBLICIDADE</t>
  </si>
  <si>
    <t>2010 - TRANSFERÊNCIAS ESPECIAIS - CASA CIVIL</t>
  </si>
  <si>
    <t>7663 - CAPTAÇÃO DE RECURSOS PARA FORMAÇÃO DO PROGRAMA DE FORMAÇÃO DO PATRIMÔNIO DO SERVIDOR PÚBLICO - PASEP</t>
  </si>
  <si>
    <t>7541 - PROGRAMAÇÃO A CARGO DO ESTADO PARA A COMPANHIA DE DESENVOLVIMENTO DO ESTADO DE MINAS GERAIS - CODEMIG</t>
  </si>
  <si>
    <t>7030 - ENCARGOS DEVIDOS POR FINANCIAMENTO JUNTO AO INSTITUTO NACIONAL DA SEGURIDADE SOCIAL - INSS</t>
  </si>
  <si>
    <t>4488 - IMPLANTAÇÃO E OPERAÇÃO DO ALMOXARIFADO VIRTUAL</t>
  </si>
  <si>
    <t>2132 - RECURSOS PARA CONTRAPARTIDA A CONVÊNIOS E CONGÊNERES</t>
  </si>
  <si>
    <t>4024 - EXECUÇÃO DO CONTROLE METROLÓGICO NO ESTADO DE MINAS GERAIS</t>
  </si>
  <si>
    <t>2009 - DIREÇÃO ADMINISTRATIVA</t>
  </si>
  <si>
    <t>2052 - GESTÃO E OPERAÇÃO DO CENTRO DE CULTURA PRESIDENTE ITAMAR FRANCO</t>
  </si>
  <si>
    <t>2055 - AUXÍLIOS CONCEDIDOS A MAGISTRADOS E SERVIDORES</t>
  </si>
  <si>
    <t>4427 - VIABILIZAÇÃO DO ACESSO À HABITAÇAÕ DE INTERESSE SOCIAL</t>
  </si>
  <si>
    <t>4042 - FUNDESE EMPRESA MINEIRA COMPETITIVA</t>
  </si>
  <si>
    <t>4539 - ASSISTÊNCIA COMPLEMENTAR</t>
  </si>
  <si>
    <t>4402 - FUNDERUR  DIVERSIFICA</t>
  </si>
  <si>
    <t>4404 - ASSISTÊNCIA AO SEGURO E PECÚLIO DOS SERVIDORES DO ESTADO DE MINAS GERAIS</t>
  </si>
  <si>
    <t>4214 - COMPLEXO MINEIRÃO</t>
  </si>
  <si>
    <t>4502 - GESTÃO DO FUNDO ESPECIAL DE CRÉDITOS INADIMPLIDOS E DA  DÍVIDA ATIVA - FECIDAT</t>
  </si>
  <si>
    <t>4152 - FOMENTO ÀS UNIDADES DE ATENDIMENTO AO TRABALHADOR</t>
  </si>
  <si>
    <t>7005 - BENEFÍCIOS PREVIDENCIÁRIOS - SECOM</t>
  </si>
  <si>
    <t>8008 - UNIVERSALIZAÇÃO DOS SERVIÇOS DE SANEAMENTO NA ÁREA DA COPASA</t>
  </si>
  <si>
    <t>3011 - MANUTENÇÃO DA INFRAESTRUTURA DA CEMIG HOLDING</t>
  </si>
  <si>
    <t>8001 - AQUISIÇÃO DE HARDWARES E SOFTWARES PARA PRESTAÇÃO DE SERVIÇOS EM TECNOLOGIA DA INFORMAÇÃO E COMUNICAÇÃO</t>
  </si>
  <si>
    <t>6001 - INVESTIMENTOS VIA PARTICIPAÇÃO SOCIETÁRIA</t>
  </si>
  <si>
    <t>6004 - MANUTENÇÃO E ADEQUAÇÃO DA INFRA-ESTRUTURA ADMINISTRATIVA E OPERACIONAL DO BDMG</t>
  </si>
  <si>
    <t>3004 - EXPANSÃO DO SISTEMA DE TRANSMISSÃO</t>
  </si>
  <si>
    <t>3003 - MANUTENÇÃO DA INFRAESTRUTURA DA DISTRIBUIÇÃO</t>
  </si>
  <si>
    <t>8012 - UNIVERSALIZAÇÃO DOS SERVIÇOS DE SANEAMENTO NA ÁREA DE ATUAÇÃO DA COPANOR</t>
  </si>
  <si>
    <t>4050 - PRODUÇÃO CIENTÍFICA NO CAMPO DA SAÚDE</t>
  </si>
  <si>
    <t>4048 - FORMAÇÃO, CAPACITAÇÃO, ATRAÇÃO E FIXAÇÃO DE PESSOAS PARA ATUAÇÃO EM CIÊNCIA, TECNOLOGIA E INOVAÇÃO</t>
  </si>
  <si>
    <t>062 - ACESSO A SERVIÇOS DE SAÚDE</t>
  </si>
  <si>
    <t>089 - MEMÓRIA VIVA: DIFUSÃO CULTURAL, PATRIMÔNIO MATERIAL E IMATERIAL</t>
  </si>
  <si>
    <t>4282 - ATENDIMENTO NO ENSINO MÉDIO EM TERRITÓRIOS DE ALTA VULNERABILIDADE SOCIAL</t>
  </si>
  <si>
    <t>4222 - MODERNIZAÇÃO E/OU MELHORIA DA INFRAESTRUTURA FÍSICA E/OU TÉCNOLÓGICA DAS UNIDADES DA FUNDAÇÃO HEMOMINAS</t>
  </si>
  <si>
    <t>4008 - ASSISTÊNCIA À SAÚDE DOS SEGURADOS E DE SEUS DEPENDENTES</t>
  </si>
  <si>
    <t>4299 - GESTÃO E MANUTENÇÃO DOS SISTEMAS DE TRANSMISSÃO VIA SATÉLITE E OPERAÇÃO DE TV</t>
  </si>
  <si>
    <t>4086 - ATIVIDADE DE ENSINO DE GRADUAÇÃO PRESENCIAL E A DISTÂNCIA</t>
  </si>
  <si>
    <t>4002 - APOIO ÀS ATIVIDADES DE PESQUISA, INOVAÇÃO E TECNOLOGIA.</t>
  </si>
  <si>
    <t>4447 - GESTÃO METROPOLITANA</t>
  </si>
  <si>
    <t>4273 - REGULAÇÃO METROPOLITANA</t>
  </si>
  <si>
    <t>4014 - REGULAÇÃO OPERACIONAL E FISCALIZAÇÃO DA PRESTAÇÃO DE SERVIÇOS</t>
  </si>
  <si>
    <t>4417 - FOMENTO DOS ESPAÇOS CULTURAIS</t>
  </si>
  <si>
    <t>4069 - GESTÃO DE BARRAGENS</t>
  </si>
  <si>
    <t>4054 - PREVENÇÃO E COMBATE A INCÊNDIOS FLORESTAIS</t>
  </si>
  <si>
    <t>4200 - PREVENÇÃO DE EVENTOS HIDROMETEOROLÓGICOS CRÍTICOS</t>
  </si>
  <si>
    <t>118 - EDUCAÇÃO E SUCESSÃO RURAL</t>
  </si>
  <si>
    <t>4052 - REDESIM MG</t>
  </si>
  <si>
    <t>4209 - EDUCAÇÃO PARA O TRÂNSITO</t>
  </si>
  <si>
    <t>4529 - INTEGRAÇÃO DO PLANEJAMENTO NA REGIÃO METROPOLITANA DO VALE DO AÇO</t>
  </si>
  <si>
    <t>4025 - APOIO AO CENTRO DIA DE REFERÊNCIA PARA PESSOA COM DEFICIÊNCIA</t>
  </si>
  <si>
    <t>049 - ADMINISTRAÇÃO DOS PRÉDIOS GOVERNAMENTAIS</t>
  </si>
  <si>
    <t>1008 - CUMPRIMENTO ADMINISTRATIVO DE DETERMINAÇÕES JUDICIAIS DECORRENTES DO ACESSO GRATUITO À JUSTIÇA</t>
  </si>
  <si>
    <t>1016 - OUVIDORIA 4.0 - APRIMORAMENTO DE SISTEMA ELETRÔNICO</t>
  </si>
  <si>
    <t>137 - POLÍCIA OSTENSIVA</t>
  </si>
  <si>
    <t>165 - ORGANIZAÇÃO, AVALIAÇÃO E GESTÃO ESCOLAR</t>
  </si>
  <si>
    <t>117 - MOBILIDADE, TRANSPORTES E LOGÍSTICA</t>
  </si>
  <si>
    <t>146 - PROMOÇÃO DA POLÍTICA SOCIOEDUCATIVA PARA ATENDIMENTO AOS ADOLESCENTES EM CONFLITO COM A LEI</t>
  </si>
  <si>
    <t>122 - FORTALECIMENTO DA GESTÃO DAS TRANSFERÊNCIAS ESTADUAIS</t>
  </si>
  <si>
    <t>156 - GESTÃO DA CIDADE ADMINISTRATIVA</t>
  </si>
  <si>
    <t>7006 - PROVENTOS DE INATIVOS CIVIS E PENSIONISTAS</t>
  </si>
  <si>
    <t>2157 - AUXÍLIOS ALIMENTAÇÃO, CRECHE, MORADIA, SAÚDE E OUTROS AUXÍLIOS</t>
  </si>
  <si>
    <t>2002 - ASSESSORIA DE IMPRENSA</t>
  </si>
  <si>
    <t>2062 - REPRESENTAÇÃO E DEFESA DOS INTERESSES DO ESTADO DE MINAS GERAIS EM BRASILIA</t>
  </si>
  <si>
    <t>7700 - PROGRAMAÇÃO A CARGO DO ESTADO PARA A MINAS GERAIS PARTICIPAÇÕES S/A - MGI</t>
  </si>
  <si>
    <t>7043 - ENCARGOS DEVIDOS POR FINANCIAMENTO JUNTO AO PROGRAMA DE FORMAÇÃO DO PATRIMÔNIO DO SERVIDOR PÚBLICO - PASEP</t>
  </si>
  <si>
    <t>4489 - APRIMORAMENTO DA REDE DE POSTOS PRÓPRIOS QUE ATENDE A FROTA ESTADUAL</t>
  </si>
  <si>
    <t>4026 - AVALIAÇÃO DA CONFORMIDADE DE PRODUTOS E SERVIÇOS NO MERCADO MINEIRO (VISITAS)</t>
  </si>
  <si>
    <t>4016 - FORMAÇÃO SUPERIOR EM LATICÍNIOS E AGROPECUÁRIA DE PRECISÃO</t>
  </si>
  <si>
    <t>4294 - DISPONIBILIZAÇÃO E DISTRIBUIÇÃO DE CONTEÚDO MULTIPLATAFORMA EM PRODUTOS DIGITAIS ONLINE</t>
  </si>
  <si>
    <t>2091 - OBRAS E GESTÃO PREDIAL</t>
  </si>
  <si>
    <t>4043 - FUNDESE BASE TECNOLOGICA</t>
  </si>
  <si>
    <t>4215 - COMPLEXO PENAL</t>
  </si>
  <si>
    <t>7008 - BENEFÍCIO PREVIDENCIÁRIO DE PENSÃO</t>
  </si>
  <si>
    <t>8009 - PPP SISTEMA ADUTOR RIO MANSO</t>
  </si>
  <si>
    <t>3005 - REFORMAS DE SUBESTAÇÕES E LINHAS DE TRANSMISSÃO</t>
  </si>
  <si>
    <t>4362 - COMUNICAÇÃO CIENTÍFICA</t>
  </si>
  <si>
    <t>063 - VIGILÂNCIA EM SAÚDE</t>
  </si>
  <si>
    <t>4283 - EDUCAÇÃO PARA A CIDADANIA E PARA O MUNDO DO TRABALHO EM TERRITÓRIOS DE ALTA VULNERABILIDADE SOCIAL</t>
  </si>
  <si>
    <t>4237 - CENTRO DE TECIDOS BIOLÓGICOS DE MINAS GERAIS - CETEBIO</t>
  </si>
  <si>
    <t>2012 - ASSESSORAMENTO E GESTÃO DA ASSISTÊNCIA À SAÚDE</t>
  </si>
  <si>
    <t>4009 - ASSITÊNCIA ODONTOLÓGICA AOS SEGURADOS MILITARES E A SEUS DEPENDENTES</t>
  </si>
  <si>
    <t>4302 - PRODUÇÃO E VEICULAÇÃO TELEVISIVA DE PROGRAMAÇÃO DE CARÁTER CULTURAL, INFORMATIVO, EDUCATIVO E DE ENTRETENIMENTO</t>
  </si>
  <si>
    <t>4087 - ATIVIDADES DE PESQUISA CIENTÍFICA</t>
  </si>
  <si>
    <t>4004 - APOIO AOS PROGRAMAS DE PÓS-GRADUAÇÃO STRICTO SENSU.</t>
  </si>
  <si>
    <t>2500 - ASSESSORAMENTO E GERENCIAMENTO DE POLÍTICAS PÚBLICAS</t>
  </si>
  <si>
    <t>4286 - FOMENTO AO DESENVOLVIMENTO SUSTENTÁVEL DA REGIÃO METROPOLITANA DO VALE DO AÇO</t>
  </si>
  <si>
    <t>4015 - ATENDIMENTO AO INTERESSADO NA PRESTAÇÃO DE SERVIÇOS</t>
  </si>
  <si>
    <t>4421 - PRODUÇÃO DE ESPETÁCULOS DOS CORPOS ARTÍSTICOS</t>
  </si>
  <si>
    <t>4070 - GESTÃO E RECUPERAÇÃO DE ÁREAS DEGRADADAS E CONTAMINADAS</t>
  </si>
  <si>
    <t>1026 - ENERGIZAÇÃO DE POÇOS E SISTEMAS DE ABASTECIMENTO DE ÁGUA</t>
  </si>
  <si>
    <t>4055 - CONTROLE E MONITORAMENTO DE ATIVIDADES FLORESTAIS</t>
  </si>
  <si>
    <t>073 - MORADAS GERAIS</t>
  </si>
  <si>
    <t>4210 - REGULAÇÃO DO USO E OCUPAÇÃO DA FAIXA DE DOMÍNIO</t>
  </si>
  <si>
    <t>4429 - PROTEÇÃO SOCIAL ESPECIAL DE MÉDIA COMPLEXIDADE</t>
  </si>
  <si>
    <t>050 - SEGURANÇA E INTELIGÊNCIA GOVERNAMENTAL</t>
  </si>
  <si>
    <t>1010 - FOMENTO À UTILIZAÇÃO DE MÉTODOS ALTERNATIVOS DE SOLUÇÃO DE CONFLITOS</t>
  </si>
  <si>
    <t>2020 - FORMAÇÃO EM OUVIDORIA - CAPACITAR PARA MELHOR ATENDER O CIDADÃO</t>
  </si>
  <si>
    <t>1002 - DIVISA TRIBUTÁRIA SEGURA</t>
  </si>
  <si>
    <t>114 - INFRAESTRUTURA RURAL E AGRICULTURA SUSTENTÁVEL</t>
  </si>
  <si>
    <t>4028 - PROMOÇÃO DAS POLÍTICAS PÚBLICAS DE ABASTECIMENTO DE ÁGUA, ESGOTAMENTO SANITÁRIO E DRENAGEM DE ÁGUAS PLUVIAIS</t>
  </si>
  <si>
    <t>4142 - GESTÃO DO ATENDIMENTO AO PERÍODO CHUVOSO</t>
  </si>
  <si>
    <t>157 - GESTÃO DO PLANEJAMENTO ORÇAMENTÁRIO GOVERNAMENTAL</t>
  </si>
  <si>
    <t>1003 - PROCEDIMENTO DE POLÍCIA JUDICIÁRIA ELETRÔNICO - PPJ-E</t>
  </si>
  <si>
    <t>7007 - PROVENTOS DE INATIVOS MILITARES</t>
  </si>
  <si>
    <t>2028 - DIREÇÃO DA POLÍTICA INSTITUCIONAL</t>
  </si>
  <si>
    <t>2003 - ASSESSORIA DE COMUNICAÇÃO DIGITAL</t>
  </si>
  <si>
    <t>2066 - MINAS INTERNACIONAL</t>
  </si>
  <si>
    <t>7707 - PROGRAMAÇÃO A CARGO DO ESTADO PARA A MINAS GERAIS ADMINISTRAÇÃO E SERVIÇOS S/A - MGS</t>
  </si>
  <si>
    <t>7658 - ENCARGOS DEVIDOS POR FINANCIAMENTO JUNTO AOS INSTITUTOS DE PREVIDÊNCIA DOS SERVIDORES MILITARES DO ESTADO DE MINAS GERAIS - IPSM</t>
  </si>
  <si>
    <t>7208 - PROVENTOS DE INATIVOS PARLAMENTARES, OUTROS CIVIS E PENSIONISTAS</t>
  </si>
  <si>
    <t>4370 - ASSISTÊNCIA ESTUDANTIL</t>
  </si>
  <si>
    <t>4295 - ATUALIZAÇÃO DE PLATAFORMA DE STREAMING E VOD COM CONTEÚDO INÉDITO</t>
  </si>
  <si>
    <t>2109 - FORMAÇÃO, APERFEIÇOAMENTO E DESENVOLVIMENTO CONTÍNUO DE PESSOAS</t>
  </si>
  <si>
    <t>4084 - FINANCIAMENTO HABITACIONAL AOS SERVIDORES DA ASSEMBLEIA LEGISLATIVA</t>
  </si>
  <si>
    <t>4216 - RODOVIA MG 050</t>
  </si>
  <si>
    <t>7038 - APORTE FINANCEIRO PARA COBERTURA DA NECESSIDADE DE FINANCIAMENTO DA PREVIDÊNCIA DOS SERVIDORES DO ESTADO</t>
  </si>
  <si>
    <t>4159 - FORMAÇÃO E ORIENTAÇÃO PARA A INSERÇÃO DO TRABALHADOR NO MERCADO DE TRABALHO</t>
  </si>
  <si>
    <t>7009 - BENEFÍCIOS PREVIDENCIÁRIOS - CASA CIVIL</t>
  </si>
  <si>
    <t>6011 - MANUTENÇÃO E ADEQUAÇÃO DA INFRAESTRUTURA DA MGI</t>
  </si>
  <si>
    <t>8006 - FINANCIAMENTO À INFRAESTRUTURA E AO DESENVOLVIMENTO SUSTENTÁVEL EM MG ENTRE BDMG E NEW DEVELOPMENT BANK (BDMG INFRA ODS)</t>
  </si>
  <si>
    <t>3006 - MANUTENÇÃO DA INFRAESTRUTURA DA TRANSMISSÃO</t>
  </si>
  <si>
    <t>4387 - FOMENTO À INOVAÇÃO DE BASE CIENTÍFICA OU TECNOLÓGICA</t>
  </si>
  <si>
    <t>064 - ASSISTÊNCIA FARMACÊUTICA</t>
  </si>
  <si>
    <t>4285 - INCLUSÃO SOCIOPRODUTIVA EM TERRITÓRIOS DE ALTA VULNERABILIDADE SOCIAL</t>
  </si>
  <si>
    <t>4455 - POPULARIZAÇÃO DA CIÊNCIA</t>
  </si>
  <si>
    <t>4068 - REDE DE ASSISTÊNCIA À SAÚDE ODONTOLÓGICA CONTRATADA</t>
  </si>
  <si>
    <t>4088 - ATIVIDADE DE PÓS-GRADUAÇÃO</t>
  </si>
  <si>
    <t>4005 - ASSISTÊNCIA ESTUDANTIL</t>
  </si>
  <si>
    <t>4469 - IMPLANTAÇÃO DO SISTEMA DE INFORMAÇÕES REGULATÓRIAS DA ARSAE-MG</t>
  </si>
  <si>
    <t>4268 - AMPLIAÇÃO DE CAPACIDADE DA MALHA VIÁRIA</t>
  </si>
  <si>
    <t>4422 - GERENCIAMENTO DO CONTRATO DE GESTÃO</t>
  </si>
  <si>
    <t>1027 - PROMOÇÃO DO SANEAMENTO BÁSICO POR MEIO DA INSTALAÇÃO DE MÓDULOS SANITÁRIOS</t>
  </si>
  <si>
    <t>4056 - RECUPERAÇÃO AMBIENTAL</t>
  </si>
  <si>
    <t>4267 - AÇÕES DE DIFUSÃO E EDUCAÇÃO PARA O PATRIMÔNIO CULTURAL</t>
  </si>
  <si>
    <t>4187 - PLANEJAMENTO DE RECURSOS HÍDRICOS</t>
  </si>
  <si>
    <t>074 - SEGURANÇA ALIMENTAR E NUTRICIONAL SUSTENTÁVEL PARA TODOS OS POVOS DO TERRITÓRIO MINEIRO</t>
  </si>
  <si>
    <t>4430 - PROTEÇÃO SOCIAL ESPECIAL DE ALTA COMPLEXIDADE</t>
  </si>
  <si>
    <t>4104 - APRESENTAÇÃO DE RELATÓRIOS DE GESTÃO</t>
  </si>
  <si>
    <t>2004 - MODERNIZAÇÃO DE SISTEMAS FAZENDÁRIOS LEGADOS</t>
  </si>
  <si>
    <t>116 - INOVA AGRO GERAIS</t>
  </si>
  <si>
    <t>4037 - GESTÃO DE RESÍDUOS E CENTRO MINEIRO DE REFERÊNCIA EM RESÍDUOS</t>
  </si>
  <si>
    <t>159 - CENTRALIZAÇÃO DO PROCESSAMENTO DE COMPRAS PÚBLICAS</t>
  </si>
  <si>
    <t>1005 - PROJETO DELEGACIA RURAL</t>
  </si>
  <si>
    <t>4304 - PROMOÇÃO DO ACESSO À INFORMAÇÃO E DA TRANSPARÊNCIA</t>
  </si>
  <si>
    <t>4258 - APOIO À IMPLEMENTAÇÃO DE INFRAESTRUTURAS E/OU PROJETOS PARA OS SERVIÇOS DE SANEAMENTO BÁSICO</t>
  </si>
  <si>
    <t>4239 - ELABORAÇÃO LEGISLATIVA E ACOMPANHAMENTO DAS POLÍTICAS PÚBLICAS</t>
  </si>
  <si>
    <t>2053 - REMUNERAÇÃO DE MAGISTRADOS DA ATIVA E ENCARGOS SOCIAIS</t>
  </si>
  <si>
    <t>4493 - OPERACIONALIZAÇÃO DAS ATRIBUIÇÕES INSTITUCIONAIS DO MINISTÉRIO PÚBLICO - PROCURADORIA E PROMOTORIA DE JUSTIÇA</t>
  </si>
  <si>
    <t>1050 - EXPANSÃO DA DEFENSORIA PÚBLICA NO ESTADO</t>
  </si>
  <si>
    <t>2070 - COORDENAÇÃO DO PROCESSO DE CAPTAÇÃO DE RECURSOS E PARCERIAS, MONITORAMENTO DE CONVÊNIOS DE ENTRADA, INSTRUMENTOS CONGÊNERES E OPERAÇÕES DE CRÉDITO</t>
  </si>
  <si>
    <t>7723 - PROGRAMAÇÃO A CARGO DO ESTADO PARA A COMPANHIA DE TECNOLOGIA DA INFORMAÇÃO DO ESTADO DE MINAS GERAIS - PRODEMGE</t>
  </si>
  <si>
    <t>7886 - GESTÃO DA DÍVIDA FUNDADA CONTRATUAL INTERNA</t>
  </si>
  <si>
    <t>7024 - PAGAMENTOS MENSAIS DE PROVENTOS  AOS ASSISTIDOS E PENSIONISTAS DO PLANO DE PREVIDÊNCIA COMPLEMENTAR MINASCAIXA RP-2</t>
  </si>
  <si>
    <t>4235 - ASSISTÊNCIA TÉCNICA E EXTENSÃO RURAL PARA AGRICULTORES FAMILIARES E DEMAIS PÚBLICOS</t>
  </si>
  <si>
    <t>4371 - APOIO ÀS ATIVIDADES DE PESQUISA, INOVAÇÃO E TECNOLOGIA</t>
  </si>
  <si>
    <t>4296 - GESTÃO E MANUTENÇÃO DOS SISTEMAS DE TRANSMISSÃO VIA SATÉLITE E OPERAÇÃO DE TV</t>
  </si>
  <si>
    <t>4395 - PROCESSAMENTO JUDICIÁRIO</t>
  </si>
  <si>
    <t>4217 - UNIDADES DE ATENDIMENTO INTEGRAL UAI FASE I</t>
  </si>
  <si>
    <t>7011 - BENEFÍCIOS PREVIDENCIÁRIOS - ARMBH</t>
  </si>
  <si>
    <t>6002 - SUPORTE AO DESENVOLVIMENTO ESTADUAL</t>
  </si>
  <si>
    <t>4389 - FOMENTO A ESTRUTURAS PARA PESQUISA, DESENVOLVIMENTO E INOVAÇÃO</t>
  </si>
  <si>
    <t>166 - EXECUÇÃO DESCENTRALIZADA E AUTÔNOMA DAS AÇÕES E SERVIÇOS DE SAÚDE</t>
  </si>
  <si>
    <t>4515 - MANUTENÇÃO DA OPERAÇÃO DOS CENTROS EDUCACIONAIS</t>
  </si>
  <si>
    <t>4073 - REDE DE ASSISTÊNCIA À SAÚDE HOSPITALAR CONTRATADA</t>
  </si>
  <si>
    <t>4010 - AUXÍLIOS PREVIDENCIÁRIOS E ASSISTENCIAIS CONCEDIDOS AOS SEGURADOS E AOS SEUS DEPENDENTES</t>
  </si>
  <si>
    <t>4089 - AÇÃO DE EXTENSÃO UNIVERSITÁRIA</t>
  </si>
  <si>
    <t>4006 - OFERTA DE ENSINO TÉCNICO E PROFISSIONAL</t>
  </si>
  <si>
    <t>4528 - MINAS REURB ARMVA</t>
  </si>
  <si>
    <t>4423 - FOMENTO A ATIVIDADES ARTÍSTICAS E CULTURAIS DO PALÁCIO DA LIBERDADE</t>
  </si>
  <si>
    <t>4071 - LICENCIAMENTO AMBIENTAL</t>
  </si>
  <si>
    <t>4241 - DESENVOLVIMENTO DE PESSOAS NO SETOR PÚBLICO</t>
  </si>
  <si>
    <t>4057 - PARC - PROGRAMA DE CONCESSÃO DE PARQUES ESTADUAIS</t>
  </si>
  <si>
    <t>4269 - INCENTIVO À IMPLANTAÇÃO DE POLÍTICAS MUNICIPAIS DE PROTEÇÃO AO PATRIMÔNIO CULTURAL</t>
  </si>
  <si>
    <t>4188 - REGULAÇÃO DE RECURSOS HÍDRICOS</t>
  </si>
  <si>
    <t>4202 - APRIMORAMENTO DA DEFESA SANITÁRIA - VIGILÂNCIA SANITÁRIA ANIMAL</t>
  </si>
  <si>
    <t>4382 - INTERVENÇÕES DE SEGURANÇA VIÁRIA</t>
  </si>
  <si>
    <t>4431 - PISO MINEIRO DE ASSISTÊNCIA SOCIAL</t>
  </si>
  <si>
    <t>1012 - APERFEIÇOAMENTO DA GESTÃO DA AGE</t>
  </si>
  <si>
    <t>4108 - QUALIDADE TOTAL E SEGURANÇA DE DADOS</t>
  </si>
  <si>
    <t>2005 - TRANSFORMAÇÃO DIGITAL</t>
  </si>
  <si>
    <t>1100 - PROMOÇÃO DO DESENVOLVIMENTO SOCIOECONÔMICO E ACESSO À INFRAESTRUTURA DO NORTE E NORDESTE DE MINAS GERAIS</t>
  </si>
  <si>
    <t>4372 - SUPORTE AÉREO AOS SERVIÇOS DE SEGURANÇA PÚBLICA</t>
  </si>
  <si>
    <t>4324 - DIVULGAÇÃO TURÍSTICA DE MINAS GERAIS</t>
  </si>
  <si>
    <t>4044 - BOLSA RECICLAGEM</t>
  </si>
  <si>
    <t>1098 - POTENCIALIZAÇÃO DO SERVIÇO DE PREVENÇÃO E RESPOSTA CONTRA INCÊNDIO E PÂNICO</t>
  </si>
  <si>
    <t>4344 - PREVENÇÃO SOCIAL ÀS VIOLÊNCIAS E CRIMINALIDADES</t>
  </si>
  <si>
    <t>2041 - CERIMONIAL E EVENTOS</t>
  </si>
  <si>
    <t>1006 - ENFRENTAMENTO À VIOLÊNCIA CONTRA A MULHER</t>
  </si>
  <si>
    <t>4305 - FORTALECIMENTO DA INTEGRIDADE PÚBLICA E PRIVADA</t>
  </si>
  <si>
    <t>2054 - REMUNERAÇÃO DE SERVIDORES DA ATIVA E ENCARGOS SOCIAIS</t>
  </si>
  <si>
    <t>1019 - APRIMORAMENTO DE SISTEMA ELETRÕNICO</t>
  </si>
  <si>
    <t>1099 - IMPLANTAÇÃO E ESTRUTURAÇÃO DE DEFENSORIAS ESPECIALIZADAS E NÚCLEOS DA DEFENSORIA PÚBLICA</t>
  </si>
  <si>
    <t>4100 - APOIO AOS MUNICÍPIOS</t>
  </si>
  <si>
    <t>7734 - PROGRAMAÇÃO A CARGO DO ESTADO PARA COMPANHIA DE HABITAÇÃO DO ESTADO DE MINAS GERAIS - COHAB</t>
  </si>
  <si>
    <t>7896 - GESTÃO DA DÍVIDA FUNDADA CONTRATUAL EXTERNA</t>
  </si>
  <si>
    <t>7441 - PENSÕES ESPECIAIS DE RESPONSABILIDADE DO PODER EXECUTIVO ESTADUAL</t>
  </si>
  <si>
    <t>2113 - PECÚLIO, AUXÍLIO FUNERAL, SAÚDE E OUTRAS ASSISTÊNCIAS</t>
  </si>
  <si>
    <t>4297 - DISPONIBILIZAÇÃO E MANUTENÇÃO DO SINAL DE RETRANSMISSÃO DE TV NO INTERIOR DO ESTADO E REGIÃO METROPOLITANA DE BH</t>
  </si>
  <si>
    <t>4218 - UNIDADES DE ATENDIMENTO INTEGRAL UAI FASE I I</t>
  </si>
  <si>
    <t>7012 - BENEFÍCIOS PREVIDENCIÁRIOS - ESP-MG</t>
  </si>
  <si>
    <t>3001 - EXPANSÃO DO SISTEMA DE GERAÇÃO</t>
  </si>
  <si>
    <t>4513 - FOMENTO À PESQUISA CIENTÍFICA BÁSICA E APLICADA E AO DESENVOLVIMENTO TECNOLÓGICO</t>
  </si>
  <si>
    <t>4075 - FORMAÇÃO CONTINUADA DE PROFESSORES PELO NÚCLO DE FORMAÇÃO PRESENCIAL E A DISTÂNCIA</t>
  </si>
  <si>
    <t>4456 - PESQUISA E DESENVOLVIMENTO</t>
  </si>
  <si>
    <t>4074 - REDE DE ASSISTÊNCIA À SAÚDE AMBULATORIAL CONTRATADA</t>
  </si>
  <si>
    <t>4011 - AUXÍLIO RECLUSÃO CONCEDIDO AOS DEPENDENTES DO SEGURADO</t>
  </si>
  <si>
    <t>4090 - FORTALECIMENTO DAS POLÍTICAS DE ASSISTÊNCIA ESTUDANTIL</t>
  </si>
  <si>
    <t>4017 - MANUTENÇÃO DO HOSPITAL DE ENSINO</t>
  </si>
  <si>
    <t>4275 - IMPLANTAÇÃO/PAVIMENTAÇÃO DA MALHA</t>
  </si>
  <si>
    <t>1061 - PARCERIAS PARA O PATRIMÔNIO CULTURAL</t>
  </si>
  <si>
    <t>4072 - APOIO AO LICENCIAMENTO AMBIENTAL MUNICIPAL</t>
  </si>
  <si>
    <t>4242 - ESTUDOS E PESQUISAS NA ÁREA DE GESTÃO PÚBLICA</t>
  </si>
  <si>
    <t>1095 - IMPLANTAÇÃO DE BARRAGENS HIDROAGRÍCOLAS</t>
  </si>
  <si>
    <t>4058 - PROTEÇÃO E CONSERVAÇÃO DA FAUNA SILVESTRE</t>
  </si>
  <si>
    <t>4189 - COBRANÇA PELO USO DE RECURSOS HÍDRICOS</t>
  </si>
  <si>
    <t>4203 - APRIMORAMENTO DA DEFESA SANITÁRIA - VIGILÂNCIA SANITÁRIA VEGETAL</t>
  </si>
  <si>
    <t>084 - POLÍTICAS DE INTEGRAÇÃO, REGIONALIZAÇÃO E INOVAÇÃO</t>
  </si>
  <si>
    <t>4433 - GESTÃO DA POLÍTICA ESTADUAL DE ASSISTÊNCIA SOCIAL</t>
  </si>
  <si>
    <t>4341 - GESTÃO DO TRANSPORTE RODOVIÁRIO</t>
  </si>
  <si>
    <t>1013 - REPRESENTAÇÃO JUDICIAL, COBRANÇA DA DÍVIDA ATIVA E ASSESSORAMENTO JURÍDICO AO ESTADO E ENTIDADES</t>
  </si>
  <si>
    <t>5001 - GESTÃO DE RISCOS PARA BOA GOVERNANÇA</t>
  </si>
  <si>
    <t>2006 - PROPOSIÇÃO, AMPLIAÇÃO E SUSTENTAÇÃO DE SOLUÇÕES E ATENDIMENTO AOS USUÁRIOS DE TIC</t>
  </si>
  <si>
    <t>170 - MODALIDADES E TEMATICAS ESPECIAIS DE ENSINO</t>
  </si>
  <si>
    <t>4327 - MINAS FORMA, MINAS TRANSFORMA</t>
  </si>
  <si>
    <t>4266 - ASSISTENCIA EMERGENCIAL A MUNICIPIOS ATINGIDOS PELAS CHUVAS</t>
  </si>
  <si>
    <t>2021 - ASSISTÊNCIA MÉDICA, ODONTOLÓGICA, PSICOLÓGICA E FISIOTERÁPICA AOS BOMBEIROS MILITARES E SEUS DEPENDENTES</t>
  </si>
  <si>
    <t>4347 - IMPLANTAÇÃO DE UNIDADES DE PREVENÇÃO À CRIMINALIDADE</t>
  </si>
  <si>
    <t>161 - GESTÃO DE TRÂNSITO</t>
  </si>
  <si>
    <t>1007 - MODERNIZAÇÃO DA POLÍCIA JUDICIÁRIA</t>
  </si>
  <si>
    <t>4306 - FOMENTO AO CONTROLE SOCIAL</t>
  </si>
  <si>
    <t>4064 - PAGAMENTO POR SERVIÇOS AMBIENTAIS</t>
  </si>
  <si>
    <t>2047 - AUXÍLIOS CONCEDIDOS A MAGISTRADOS E SERVIDORES</t>
  </si>
  <si>
    <t>2068 - CAPACITAÇÃO DE MEMBROS, SERVIDORES E CIDADÃOS  POR MEIO DA ESCOLA SUPERIOR DA DEFENSORIA PÚBLICA</t>
  </si>
  <si>
    <t>7737 - PROGRAMAÇÃO A CARGO DO ESTADO PARA A COMPANHIA DE SANEAMENTO DE MINAS GERAIS - COPASA</t>
  </si>
  <si>
    <t>2114 - RESERVA TÉCNICA</t>
  </si>
  <si>
    <t>1034 - MELHORAMENTO GENÉTICO DE BOVINOS</t>
  </si>
  <si>
    <t>4018 - DESENVOLVIMENTO DE PESQUISA AGROPECUÁRIA E AGROINDUSTRIAL</t>
  </si>
  <si>
    <t>4315 - GESTÃO E MANUTENÇÃO DOS SISTEMAS DE TRANSMISSÃO E OPERAÇÃO DE RÁDIO</t>
  </si>
  <si>
    <t>4219 - UNIDADES DE ATENDIMENTO INTEGRAL UAI FASE I I I</t>
  </si>
  <si>
    <t>7014 - BENEFÍCIOS PREVIDENCIÁRIOS - SEJUSP</t>
  </si>
  <si>
    <t>3007 - REFORMAS, MELHORIAS E AMPLIAÇÕES DE USINAS</t>
  </si>
  <si>
    <t>4550 - FORNECIMENTO DE REFEIÇÕES NA UNIVERSIDADE</t>
  </si>
  <si>
    <t>4284 - PREVENÇÃO E MITIGAÇÃO DE DANOS AMBIENTAIS</t>
  </si>
  <si>
    <t>4425 - ATIVIDADES DE ENSINO E DE EXTENSÃO DO CENTRO DE FORMAÇÃO ARTÍSTICA E TECNOLÓGICA - CEFART</t>
  </si>
  <si>
    <t>4243 - FORMAÇÃO DE PESSOAS NO NÍVEL DE GRADUAÇÃO</t>
  </si>
  <si>
    <t>4059 - GESTÃO DE UNIDADES E CONSERVAÇÃO</t>
  </si>
  <si>
    <t>4274 - PARCERIAS PARA PROTEÇÃO E SALVAGUARDA DO PATRIMÔNIO CULTURAL</t>
  </si>
  <si>
    <t>4190 - FORTALECIMENTO DA GESTÃO PARTICIPATIVA</t>
  </si>
  <si>
    <t>4206 - FISCALIZAÇÃO DO TRÂNSITO DE ANIMAIS, VEGETAIS, INSUMOS E PRODUTOS DE ORIGEM ANIMAL.</t>
  </si>
  <si>
    <t>086 - POLÍTICA DOS DIREITOS DAS MULHERES</t>
  </si>
  <si>
    <t>4434 - FORTALECIMENTO DO CONTROLE SOCIAL DO SUAS</t>
  </si>
  <si>
    <t>1014 - REESTRUTURAÇÃO LOGÍSTICA, TECNOLÓGICA E DE COBRANÇA DA DÍVIDA ATIVA DA AGE</t>
  </si>
  <si>
    <t>5004 - PREVENÇÃO E COMBATE À CORRUPÇÃO</t>
  </si>
  <si>
    <t>2007 - SUSTENTAÇÃO DO DATA CENTER</t>
  </si>
  <si>
    <t>2065 - CAPACITAÇÃO E TREINAMENTO POLICIAL-MILITAR PARA PROTEÇÃO E DEFESA CIVIL</t>
  </si>
  <si>
    <t>4328 - ESTRUTURAÇÃO DE PRODUTOS TURÍSTICOS</t>
  </si>
  <si>
    <t>4038 - FISCALIZAÇÃO AMBIENTAL</t>
  </si>
  <si>
    <t>4112 - AMPLIAÇÃO DO SISTEMA DE TECNOLOGIA DA INFORMAÇÃO E COMUNICAÇÃO, NO CBMMG, PARA RESPOSTA A DESASTRES</t>
  </si>
  <si>
    <t>2042 - ACOMPANHAMENTO DO PROCESSO LEGISLATIVO</t>
  </si>
  <si>
    <t>1051 - IMPLEMENTAÇÃO DA CADEIA DE CUSTÓDIA DA PROVA EM MINAS GERAIS</t>
  </si>
  <si>
    <t>4445 - FISCALIZAÇÃO DA GESTÃO DE RECURSOS PÚBLICOS E OPERACIONALIZAÇÃO DAS ATRIBUIÇÕES INSTITUCIONAIS</t>
  </si>
  <si>
    <t>2077 - REMUNERAÇÃO DE MAGISTRADOS DA ATIVA E ENCARGOS SOCIAIS</t>
  </si>
  <si>
    <t>4033 - CONSTRUÇÃO E REFORMA DE UNIDADES DA DEFENSORIA PÚBLICA</t>
  </si>
  <si>
    <t>7752 - PROGRAMAÇÃO A CARGO DO ESTADO PARA O BANCO DE DESENVOLVIMENTO DE MINAS GERAIS - BDMG</t>
  </si>
  <si>
    <t>4236 - FOMENTO PARA O DESENVOLVIMENTO DO SETOR AGROPECUÁRIO</t>
  </si>
  <si>
    <t>4019 - DIVULGAÇÃO DE TECNOLOGIA AGROPECUÁRIA VIA EVENTOS TÉCNICO-CIENTÍFICOS</t>
  </si>
  <si>
    <t>4316 - PRODUÇÃO E VEICULAÇÃO DE CONTEÚDO EM ÁUDIO COM ÊNFASE NA CULTURA, EDUCAÇÃO, INFORMAÇÃO, PRESTAÇÃO DE SERVIÇO E ENTRETENIMENTO.</t>
  </si>
  <si>
    <t>4220 - RODOANEL METROPOLITANO DE BELO HORIZONTE</t>
  </si>
  <si>
    <t>7015 - BENEFÍCIOS PREVIDENCIÁRIOS - ARSAE-MG</t>
  </si>
  <si>
    <t>3008 - MANUTENÇÃO DA INFRAESTRUTURA DA GERAÇÃO</t>
  </si>
  <si>
    <t>1068 - SETOR PRODUTIVO MAIS INOVADOR</t>
  </si>
  <si>
    <t>1020 - IMPLANTAÇÃO DOS HOSPITAIS REGIONAIS</t>
  </si>
  <si>
    <t>4077 - EDUCAÇÃO BÁSICA: AMPLIAÇÃO DA JORNADA ESCOLAR</t>
  </si>
  <si>
    <t>4457 - ATENDIMENTO DE ANÁLISES LABORATORIAIS DE INTERESSE DA SAÚDE PÚBLICA</t>
  </si>
  <si>
    <t>2017 - APOIO A POLÍTICA DE SAÚDE PARA OS MILITARES</t>
  </si>
  <si>
    <t>4287 - CONSTRUÇÃO E ADEQUAÇÃO DE RODOVIAS - RIO DOCE</t>
  </si>
  <si>
    <t>4244 - FORMAÇÃO DE PESSOAS NO NÍVEL DE PÓS-GRADUAÇÃO (LATO SENSU)</t>
  </si>
  <si>
    <t>4320 - DISTRIBUIÇÃO DE LEITE ADQUIRIDO DA AGRICULTURA FAMILIAR, PARA BENEFICIÁRIOS EM INSEGURANÇA ALIMENTAR</t>
  </si>
  <si>
    <t>4191 - MONITORAMENTO HIDROMETEOROLOGICO</t>
  </si>
  <si>
    <t>4228 - FORTALECIMENTO DA ESTRUTURA E DOS PROCESSOS DO INSTITUTO MINEIRO DE AGROPECUÁRIA</t>
  </si>
  <si>
    <t>148 - APOIO ÀS POLÍTICAS DE DESENVOLVIMENTO SOCIAL</t>
  </si>
  <si>
    <t>2029 - ADMINISTRAÇÃO E OPERACIONALIZAÇÃO DA ARRECADAÇÃO DO FUNTRANS</t>
  </si>
  <si>
    <t>4435 - EDUCAÇÃO PERMANENTE DO SUAS</t>
  </si>
  <si>
    <t>4426 - GESTÃO DA AVIAÇÃO DO GABINETE MILITAR DO GOVERNADOR</t>
  </si>
  <si>
    <t>1082 - MINAS REURB SEDE</t>
  </si>
  <si>
    <t>4357 - AGROEXPORTA - PROMOÇÃO DO AGRONEGÓCIO MINEIRO PARA A EXPORTAÇÃO</t>
  </si>
  <si>
    <t>4330 - PLANEJAMENTO E MONITORAMENTO DO SETOR TURÍSTICO DO ESTADO DE MINAS GERAIS</t>
  </si>
  <si>
    <t>1037 - INTERVENÇÕES NA INFRAESTRUTURA RODOVIARIA ESTADUAL, MUNICIPAL E REGIONAL</t>
  </si>
  <si>
    <t>4039 - ATENDIMENTO DE DENÚNCIAS E DE REQUISIÇÕES</t>
  </si>
  <si>
    <t>1047 - MODERNIZAÇÃO E EXPANSÃO DO SISTEMA PRISIONAL - REPARAÇÃO BRUMADINHO</t>
  </si>
  <si>
    <t>1052 - APRIMORAMENTO DA INVESTIGAÇÃO DE HOMICÍDIOS</t>
  </si>
  <si>
    <t>4307 - FORTALECIMENTO DE SERVIÇOS DE AUDITORIA INTERNA PARA AGREGAR VALOR À GESTÃO PÚBLICA ESTADUAL</t>
  </si>
  <si>
    <t>4151 - BOLSA VERDE: CONSERVAÇÃO DA COBERTURA VEGETAL NATIVA</t>
  </si>
  <si>
    <t>2078 - REMUNERAÇÃO DE SERVIDORES DA ATIVA E ENCARGOS SOCIAIS</t>
  </si>
  <si>
    <t>4150 - OPERACIONALIZAÇÃO DAS ATRIBUIÇÕES DA DEFENSORIA PÚBLICA E DIREÇÃO ADMIINISTRATIVA</t>
  </si>
  <si>
    <t>7758 - PROGRAMAÇÃO A CARGO DO ESTADO PARA A COMPANHIA ENEGÉTICA DE MINAS GERAIS - CEMIG</t>
  </si>
  <si>
    <t>4020 - TRANSFERÊNCIA DE TECNOLOGIA VIA SEMENTES DE CULTIVARES MELHORADAS</t>
  </si>
  <si>
    <t>4333 - PRODUÇÃO E VEICULAÇÃO TELEVISIVA DE PROGRAMAÇÃO DE CARÁTER CULTURAL, INFORMATIVO, EDUCATIVO E DE ENTRETENIMENTO</t>
  </si>
  <si>
    <t>4221 - LOTES RODOVIÁRIOS</t>
  </si>
  <si>
    <t>7016 - COMPENSAÇÃO PREVIDENCIÁRIA FINANCEIRA ENTRE REGIMES DE PREVIDÊNCIA</t>
  </si>
  <si>
    <t>4121 - POLÍTICA DE ATENÇÃO HOSPITALAR E URGÊNCIA E EMERGÊNCIA</t>
  </si>
  <si>
    <t>4229 - ATENÇÃO À SAÚDE AMBULATORIAL NA REDE PRÓPRIA</t>
  </si>
  <si>
    <t>2018 - APOIO AO SISTEMA DE PROTEÇÃO SOCIAL DOS MILITARES DE MINAS GERAIS</t>
  </si>
  <si>
    <t>4245 - FORMAÇÃO DE PESSOAS NO NÍVEL DE PÓS-GRADUAÇÃO (STRICTO SENSU)</t>
  </si>
  <si>
    <t>4323 - APOIO ÀS FEIRAS LIVRES PARA AMPLIAR A GERAÇÃO DE RENDA E DESENVOLVIMENTO ECONÔMICO LOCAL</t>
  </si>
  <si>
    <t>4091 - GESTÃO DE AERONAVES DO SISEMA</t>
  </si>
  <si>
    <t>4271 - FORMAÇÃO E CAPACITAÇÃO PARA O PATRIMÔNIO CULTURAL</t>
  </si>
  <si>
    <t>4192 - SEGURANÇA DE BARRAGENS</t>
  </si>
  <si>
    <t>4238 - REESTRUTURAÇÃO DO LABORATÓRIO DE QUÍMICA AGROPECUÁRIA DO INSTITUTO MINEIRO DE AGROPECUÁRIA.</t>
  </si>
  <si>
    <t>1017 - MANUTENÇÃO, DIVERSIFICAÇÃO E EVOLUÇÃO DOS CANAIS DE ATENDIMENTO</t>
  </si>
  <si>
    <t>2016 - MODERNIZAÇÃO DA GESTÃO E INOVAÇÃO DO TESOURO ESTADUAL</t>
  </si>
  <si>
    <t>1083 - DISCRIMINAÇÃO E ARRECADAÇÃO DE TERRAS E GESTÃO DOS ARRENDAMENTOS</t>
  </si>
  <si>
    <t>4358 - CIRCUITOS DE COMERCIALIZAÇÃO</t>
  </si>
  <si>
    <t>2057 - DEMAIS ASSISTÊNCIAS</t>
  </si>
  <si>
    <t>2133 - UTILIZAÇÃO DE MÉTODOS ALTERNATIVOS DE SOLUÇÃO DE CONFLITOS DA SEE</t>
  </si>
  <si>
    <t>4479 - DESENVOLVIMENTO DA POLÍTICA DE REGIONALIZAÇÃO DO TURISMO</t>
  </si>
  <si>
    <t>4040 - AMPLIAÇÃO DA FISCALIZAÇÃO PREVENTIVA</t>
  </si>
  <si>
    <t>4114 - GESTÃO DA PREVENÇÃO, MITIGAÇÃO E PREPARAÇÃO DE DESASTRE</t>
  </si>
  <si>
    <t>1048 - MODERNIZAÇÃO E EXPANSÃO DO SISTEMA PRISIONAL</t>
  </si>
  <si>
    <t>2043 - FISCALIZAÇÃO DOS INSTRUMENTOS DE REPASSES DE RECURSOS NO ÂMBITO DO PROGRAMA DE APOIO AO DESENVOLVIMENTO MUNICIPAL</t>
  </si>
  <si>
    <t>4468 - PROVISÃO DE CARGOS POR CONCURSO PÚBLICO</t>
  </si>
  <si>
    <t>4060 - GESTÃO DAS UNIDADES POLICIAIS</t>
  </si>
  <si>
    <t>4308 - APRIMORAMENTO DA CAPACIDADE DE AUDITORIA INTERNA NOS PADRÕES INTERNACIONAIS</t>
  </si>
  <si>
    <t>2145 - CAPACITAÇÃO DE SERVIDORES E MEMBROS DO TCEMG, GESTORES E SERVIDORES PÚBLICOS DAS ENTIDADES JURISDICIONADAS E REPRESENTANTES DE ENTIDADES DA SOCIEDADE</t>
  </si>
  <si>
    <t>4003 - FORMAÇÃO, APERFEIÇOAMENTO E DESENVOLVIMENTO CONTÍNUO DE PESSOAS</t>
  </si>
  <si>
    <t>1064 - CONSTRUÇÃO, AMPLIAÇÃO E REFORMA DE SEDES PRÓPRIAS</t>
  </si>
  <si>
    <t>4193 - REMUNERAÇAO DE PESSOAL ATIVO E ENCARGOS SOCIAIS</t>
  </si>
  <si>
    <t>7759 - PROGRAMAÇÃO A CARGO DO ESTADO PARA TREM METROPOLITANO DE BELO HORIZONTE S/A</t>
  </si>
  <si>
    <t>1044 - APOIO À COMERCIALIZAÇÃO ELETRÔNICA POR MEIO DE PLATAFORMA MARKETPLACE</t>
  </si>
  <si>
    <t>4021 - TRANSFERÊNCIA DE TECNOLOGIA VIA MUDAS QUALIFICADAS</t>
  </si>
  <si>
    <t>4223 - LOTE 2: SUL DE MINAS</t>
  </si>
  <si>
    <t>7017 - BENEFÍCIOS PREVIDENCIÁRIOS - GABINETE MILITAR</t>
  </si>
  <si>
    <t>1086 - INOVA GOVERNO DE MINAS GERAIS</t>
  </si>
  <si>
    <t>4122 - POLÍTICAS PRÉ E PÓS HOSPITALARES DE URGÊNCIA E EMERGÊNCIA</t>
  </si>
  <si>
    <t>4459 - PRODUÇÃO DE VACINA, SOROS E OUTROS PRODUTOS BIOLÓGICOS</t>
  </si>
  <si>
    <t>4230 - ATENÇÃO À SAÚDE ODONTOLÓGICA NA REDE PRÓPRIA</t>
  </si>
  <si>
    <t>7002 - ENCARGOS COM PENSIONISTAS</t>
  </si>
  <si>
    <t>1066 - ACERVO OU BEM CULTURAL RESTAURADO ENTREGUE</t>
  </si>
  <si>
    <t>4246 - PARTICIPAÇÃO EM EXTENSÃO ACADÊMICA</t>
  </si>
  <si>
    <t>4325 - PROMOÇÃO DO DESENVOLVIMENTO SOCIOECONÔMICO DO NORTE E NORDESTE DE MINAS GERAIS</t>
  </si>
  <si>
    <t>4194 - PROGRAMAS PROJETOS E PESQUISAS EM RECURSOS HÍDRICOS</t>
  </si>
  <si>
    <t>4252 - REVITALIZAÇÃO DO PARQUE DE EXPOSIÇÕES BOLIVAR DE ANDRADE</t>
  </si>
  <si>
    <t>1096 - APROXIMAÇÃO SUAS</t>
  </si>
  <si>
    <t>4381 - GESTÃO DE DESASTRE CAUSADOS PELA CHUVA</t>
  </si>
  <si>
    <t>7803 - PRECATÓRIOS E SENTENÇAS JUDICIÁRIAS DA ADMINISTRAÇÃO DIRETA DO PODER EXECUTIVO</t>
  </si>
  <si>
    <t>4101 - OUVIDORIA MÓVEL</t>
  </si>
  <si>
    <t>2019 - GERENCIAMENTO E SUPORTE ÀS ATIVIDADES LIGADAS A CONTADORIA GERAL DO ESTADO DE MINAS GERAIS</t>
  </si>
  <si>
    <t>1097 - SEGURANÇA HÍDRICA NA RMBH</t>
  </si>
  <si>
    <t>4359 - COOPERAF</t>
  </si>
  <si>
    <t>2060 - ASSISTÊNCIA À SAÚDE</t>
  </si>
  <si>
    <t>4205 - ESTRUTURAÇÃO, MODELAGEM E GESTÃO DE CONCESSÕES E PARCERIAS</t>
  </si>
  <si>
    <t>4053 - PREVENÇÃO E ATENDIMENTO A ACIDENTES E EMERGÊNCIAS AMBIENTAIS</t>
  </si>
  <si>
    <t>4115 - GESTÃO DA RESPOSTA A DESASTRES</t>
  </si>
  <si>
    <t>4348 - CUSTÓDIA E RESSOCIALIZAÇÃO DE PRESOS</t>
  </si>
  <si>
    <t>2045 - EXECUÇÃO DO PROGRAMA DE APOIO AO DESENVOLVIMENTO MUNICIPAL - PADEM</t>
  </si>
  <si>
    <t>4475 - ADMINISTRAÇÃO DE PESSOAL</t>
  </si>
  <si>
    <t>4061 - PERÍCIAS TÉCNICO-CIENTÍFICAS</t>
  </si>
  <si>
    <t>4309 - ESTRUTURAÇÃO TECNOLÓGICA E INSTITUCIONALIZAÇÃO DA AUDITORIA CONTÍNUA</t>
  </si>
  <si>
    <t>4259 - APOIO À GESTÃO DE RECURSOS HÍDRICOS</t>
  </si>
  <si>
    <t>4022 - TRANSFERÊNCIA DE TECNOLOGIA VIA MATRIZES E REPRODUTORES</t>
  </si>
  <si>
    <t>4224 - MODELOS ALTERNATIVOS DE PRESTAÇÃO DA MEDIDA DE ATENDIMENTO SOCIOEDUCATIVA DE PRIVAÇÃO DE LIBERDADE</t>
  </si>
  <si>
    <t>7018 - BENEFÍCIOS PREVIDENCIÁRIOS - AGE</t>
  </si>
  <si>
    <t>4123 - ESTRUTURAÇÃO DA ATENÇÃO HOSPITALAR E DE URGÊNCIA E EMERGÊNCIA</t>
  </si>
  <si>
    <t>4232 - ASSISTÊNCIA ESTUDANTIL</t>
  </si>
  <si>
    <t>4460 - PRODUÇÃO DE MEDICAMENTOS SINTÉTICOS</t>
  </si>
  <si>
    <t>4231 - ATENÇÃO À SAÚDE HOSPITALAR NA REDE PRÓPRIA</t>
  </si>
  <si>
    <t>4293 - CONSERVAÇÃO ROTINEIRA DA MALHA&amp;#8203, VIÁRIA</t>
  </si>
  <si>
    <t>1067 - ASSESSORIA TÉCNICA EM CONSERVAÇÃO E RESTAURAÇÃO DO PATRIMÔNIO</t>
  </si>
  <si>
    <t>4247 - PROMOÇÃO DA INOVAÇÃO NO SETOR PÚBLICO</t>
  </si>
  <si>
    <t>4516 - APOIO À MECANIZAÇÃO DA PRODUÇÃO AGRÍCOLA</t>
  </si>
  <si>
    <t>4276 - SALVAGUARDA DO PATRIMÔNIO CULTURAL</t>
  </si>
  <si>
    <t>4195 - PROGRAMA ESTRATÉGICO SOMOS TODOS ÁGUA</t>
  </si>
  <si>
    <t>4153 - ASSESSORAMENTO DAS UNIDADES DE ATENDIMENTO AO TRABALHADOR</t>
  </si>
  <si>
    <t>4102 - DIVULGAÇÃO DOS CANAIS E AÇÕES DA OUVIDORIA</t>
  </si>
  <si>
    <t>2032 - GERENCIAMENTO E SUPORTE ÀS ATIVIDADES LIGADAS À GOVERNANÇA DE ATIVOS, RISCOS FISCAIS E DA DÍVIDA PÚBLICA DO ESTADO DE MINAS GERAIS</t>
  </si>
  <si>
    <t>4481 - GESTÃO DE ATIVOS IMOBILIÁRIOS ALIENÁVEIS DE MINAS GERAIS</t>
  </si>
  <si>
    <t>4361 - MERCADOS INSTITUCIONAIS</t>
  </si>
  <si>
    <t>2080 - EDUCAÇÃO INTEGRAL - ENSINO FUNDAMENTAL</t>
  </si>
  <si>
    <t>4331 - PROMOÇÃO DE ATIVIDADES ARTÍSTICO-CULTURAIS</t>
  </si>
  <si>
    <t>4116 - FORMAÇÃO E CAPACITAÇÃO TÉCNICO PROFISSIONAL PARA CIVIS</t>
  </si>
  <si>
    <t>4350 - MANUTENÇÃO E AMPLIAÇÃO DO MONITORAMENTO ELETRÔNICO</t>
  </si>
  <si>
    <t>2046 - ATENDIMENTO ÀS DEMANDAS DA PARTICIPAÇÃO CIDADÃ</t>
  </si>
  <si>
    <t>4476 - SAÚDE DO SERVIDOR</t>
  </si>
  <si>
    <t>4062 - MODERNIZAÇÃO E AMPLIAÇÃO DO BANCO DE PERFIS GENÉTICOS</t>
  </si>
  <si>
    <t>4260 - APOIO À GESTÃO DE RECURSOS HÍDRICOS, RECURSOS REEMBOLSÁVEIS</t>
  </si>
  <si>
    <t>1045 - CADASTRAMENTO DE AGRICULTORES/POSSEIROS COM FINS DE REGULARIZAÇÃO FUNDIÁRIA DE TERRAS DEVOLUTAS RURAIS.</t>
  </si>
  <si>
    <t>4023 - INFORMAÇÃO CIENTÍFICA E TECNOLÓGICA VIA PUBLICAÇÕES</t>
  </si>
  <si>
    <t>4225 - MANUTENÇÃO E REFORMA DE ESCOLAS</t>
  </si>
  <si>
    <t>7022 - BENEFÍCIOS PREVIDENCIÁRIOS - FAPEMIG</t>
  </si>
  <si>
    <t>1088 - FOMENTO A AMBIENTES E ESTRUTURAS DE APOIO À PESQUISA, DESENVOLVIMENTO E INOVAÇÃO</t>
  </si>
  <si>
    <t>4385 - REABILITAÇÃO DA MALHA VIÁRIA</t>
  </si>
  <si>
    <t>4278 - PROTEÇÃO DO PATRIMÔNIO CULTURAL</t>
  </si>
  <si>
    <t>4317 - ANÁLISE LABORATORIAL</t>
  </si>
  <si>
    <t>4154 - FOMENTO PARA ECONOMIA POPULAR SOLIDÁRIA E PROMOÇÃO DA INCLUSÃO PRODUTIVA</t>
  </si>
  <si>
    <t>1089 - PROJETO CONVIVÊNCIA COM A SECA E ESTIAGEM</t>
  </si>
  <si>
    <t>4109 - FOMENTO À PARTICIPAÇÃO SOCIAL NO ESTADO DE MINAS GERAIS</t>
  </si>
  <si>
    <t>4095 - CONTROLE E OPERAÇÕES FINANCEIRAS DOS RECURSOS ESTADUAIS.</t>
  </si>
  <si>
    <t>4482 - GESTÃO DE ATIVOS IMOBILIÁRIOS ALIENÁVEIS - SEDE</t>
  </si>
  <si>
    <t>2058 - ENSINO FUNDAMENTAL</t>
  </si>
  <si>
    <t>2081 - ENSINO FUNDAMENTAL - APOIO ADMINISTRATIVO</t>
  </si>
  <si>
    <t>4332 - APOIO A PROJETOS CULTURAIS E TURÍSTICOS REALIZADOS POR INTERMÉDIO DE PARCERIAS</t>
  </si>
  <si>
    <t>4253 - GESTÃO DE CONCESSÕES E PARCERIAS DE EQUIPAMENTOS PÚBLICOS</t>
  </si>
  <si>
    <t>4045 - GESTÃO E PLANEJAMENTO AMBIENTAL</t>
  </si>
  <si>
    <t>4117 - BOMBEIRO NAS ESCOLAS</t>
  </si>
  <si>
    <t>4351 - MANUTENÇÃO E IMPLANTAÇÃO DE METODOLOGIA DE CUSTÓDIAS ALTERNATIVAS</t>
  </si>
  <si>
    <t>2048 - TRANSFERÊNCIAS ESPECIAIS</t>
  </si>
  <si>
    <t>4477 - DESEMPENHO, DESENVOLVIMENTO E VALORIZAÇÃO DOS SERVIDORES PÚBLICOS</t>
  </si>
  <si>
    <t>4063 - CONSTRUÇÃO NÚCLEO INTEGRADO DE PERÍCIAS</t>
  </si>
  <si>
    <t>4303 - EXECUÇÃO DE AÇÕES INVESTIGATIVAS E RECUPERAÇÃO DE ATIVOS</t>
  </si>
  <si>
    <t>4263 - APOIO AOS COMITÊS DE BACIAS HIDROGRÁFICAS</t>
  </si>
  <si>
    <t>4226 - COMPLEXO DE SAÚDE (FHEMIG)</t>
  </si>
  <si>
    <t>7023 - PROVENTOS DE APOSENTADORIA E PENSÃO DE EXTINTOS CONVÊNIOS</t>
  </si>
  <si>
    <t>2023 - POLÍTICAS E AÇÕES DE TECNOLOGIAS DA INFORMAÇÃO E COMUNICAÇÃO (TIC)</t>
  </si>
  <si>
    <t>2015 - CERTIFICAÇÕES PELO NÚCLEO DE FORMAÇÃO PRESENCIAL E À DISTÂNCIA</t>
  </si>
  <si>
    <t>4248 - MANUTENÇÃO DA BIBLIOTECA DIGITAL DE MINAS GERAIS RAYMUNDO NONATO DE CASTRO</t>
  </si>
  <si>
    <t>4279 - CONSERVAÇÃO E RESTAURAÇÃO DO PATRIMÔNIO CULTURAL PROTEGIDO</t>
  </si>
  <si>
    <t>4318 - INSPEÇÃO DE PRODUTOS DE ORIGEM VEGETAL</t>
  </si>
  <si>
    <t>4157 - FOMENTO À INCLUSÃO PRODUTIVA DE MULHERES</t>
  </si>
  <si>
    <t>4356 - GESTÃO DE DESASTRE</t>
  </si>
  <si>
    <t>4110 - RECEBIMENTO, ANÁLISE E TRATAMENTO DE MANIFESTAÇÕES</t>
  </si>
  <si>
    <t>4096 - GESTÃO ESTRATÉGICA E PLANEJAMENTO FINANCEIRO</t>
  </si>
  <si>
    <t>4544 - REGULARIZAÇÃO FUNDIÁRIA DE TERRITÓRIOS COLETIVOS</t>
  </si>
  <si>
    <t>4363 - REGULARIZAÇÃO FUNDIÁRIA DE IMÓVEIS RURAIS</t>
  </si>
  <si>
    <t>2059 - ENSINO MÉDIO</t>
  </si>
  <si>
    <t>2082 - ENSINO FUNDAMENTAL - EDUCAÇÃO DE JOVENS E ADULTOS - EJA</t>
  </si>
  <si>
    <t>4343 - GESTÃO DO FOMENTO E MUNICIPALIZAÇÃO DA CULTURA</t>
  </si>
  <si>
    <t>4345 - GESTÃO DO RODOANEL METROPOLITANO</t>
  </si>
  <si>
    <t>4046 - MUDANÇAS CLIMÁTICAS E QUALIDADE AMBIENTAL</t>
  </si>
  <si>
    <t>4119 - RECRUTAMENTO, TREINAMENTO E FORMAÇÃO DE BOMBEIROS</t>
  </si>
  <si>
    <t>4353 - UNIDADES DE SAÚDE DO SISTEMA PRISIONAL</t>
  </si>
  <si>
    <t>4478 - TRANSFORMA MINAS</t>
  </si>
  <si>
    <t>4067 - IMPLANTAÇÃO DO PLANTÃO DIGITAL</t>
  </si>
  <si>
    <t>4310 - FORTALECIMENTO DA PREVENÇÃO A ILÍCITOS ADMINISTRATIVOS</t>
  </si>
  <si>
    <t>4264 - MODERNIZAÇÃO DA REDE DE MONITORAMENTO HIDROLÓGICO DO ESTADO DE MINAS GERAIS</t>
  </si>
  <si>
    <t>4227 - COMPLEXO DE SAÚDE (FUNED)</t>
  </si>
  <si>
    <t>7027 - BENEFÍCIOS PREVIDENCIÁRIOS - ALMG</t>
  </si>
  <si>
    <t>2024 - GESTÃO REGIONAL EM SAÚDE</t>
  </si>
  <si>
    <t>4092 - OFICINAS PEDAGÓGICAS : UM OLHAR AO CIDADÃO!</t>
  </si>
  <si>
    <t>4281 - VISTORIAS TÉCNICAS NO PATRIMÔNIO CULTURAL</t>
  </si>
  <si>
    <t>4319 - INSPEÇÃO E FISCALIZAÇÃO DE PRODUTOS DE ORIGEM ANIMAL</t>
  </si>
  <si>
    <t>4390 - GESTÃO DO RISCO DE DESASTRES</t>
  </si>
  <si>
    <t>5005 - PREVENÇÃO E COMBATE AO ASSÉDIO MORAL E SEXUAL</t>
  </si>
  <si>
    <t>4097 - CONTADORIA TRANSPARENTE</t>
  </si>
  <si>
    <t>2083 - ENSINO FUNDAMENTAL - EDUCAÇÃO ESPECIAL</t>
  </si>
  <si>
    <t>5002 - GESTÃO DA LEI ESTADUAL DE INCENTIVO À CULTURA</t>
  </si>
  <si>
    <t>4346 - METRÔ DA RMBH</t>
  </si>
  <si>
    <t>4047 - PROMOÇÃO DAS POLÍTICAS PÚBLICAS DE PROTEÇÃO À FAUNA DOMÉSTICA</t>
  </si>
  <si>
    <t>4120 -  MODERNIZAÇÃO E ESTRUTURAÇÃO DO CORPO DE BOMBEIROS MILITAR DE MINAS GERAIS</t>
  </si>
  <si>
    <t>2044 - PRODUÇÃO, MODERNIZAÇÃO E AMPLIAÇÃO DO ACESSO AO ACERVO DO DOMG-E</t>
  </si>
  <si>
    <t>4311 - APURAÇÃO DE RESPONSABILIDADE DE AGENTES PÚBLICOS E PESSOAS JURÍDICAS</t>
  </si>
  <si>
    <t>4334 - IMPLANTAÇÃO, RECUPERAÇÃO, MODERNIZAÇÃO, MANUTENÇÃO E OPERAÇÃO DE TERMINAIS E ESTAÇÕES DE TRANSPORTE DE PASSAGEIROS</t>
  </si>
  <si>
    <t>7028 - BENEFÍCIOS PREVIDENCIÁRIOS - TJMG</t>
  </si>
  <si>
    <t>2026 - SATISFAÇÃO, RECONHECIMENTO E EDUCAÇÃO NA SAÚDE</t>
  </si>
  <si>
    <t>4249 - ASSESSORAMENTO EM POLÍTICAS PÚBLICAS</t>
  </si>
  <si>
    <t>4158 - QUALIFICAÇÃO PROFISSIONAL</t>
  </si>
  <si>
    <t>4098 - CONTADORIA LEGAL</t>
  </si>
  <si>
    <t>1071 - MINAS LIVRE PARA CRESCER</t>
  </si>
  <si>
    <t>1053 - AGROEXTRATIVISMO</t>
  </si>
  <si>
    <t>2061 - EDUCAÇÃO PROFISSIONAL DE SEGURANÇA PÚBLICA</t>
  </si>
  <si>
    <t>2085 - ENSINO FUNDAMENTAL - PROFISSIONAIS DO MAGISTÉRIO</t>
  </si>
  <si>
    <t>4138 - SUPORTE ÀS AÇÕES DE PREVENÇÃO, MITIGAÇÃO, PREPARAÇÃO E RESPOSTA AOS INCÊNDIOS EM VEGETAÇÃO</t>
  </si>
  <si>
    <t>1054 - PRODUÇÃO DE INFORMAÇÕES E CONHECIMENTOS DE JUSTIÇA E SEGURANÇA PÚBLICA</t>
  </si>
  <si>
    <t>4448 - APRIMORAMENTO DA GOVERNANÇA DE TECNOLOGIA DA INFORMAÇÃO E COMUNICAÇÃO</t>
  </si>
  <si>
    <t>1004 - MODERNIZAÇÃO DA IDENTIFICAÇÃO CIVIL E CRIMINAL</t>
  </si>
  <si>
    <t>7031 - BENEFÍCIOS PREVIDENCIÁRIOS - MPMG</t>
  </si>
  <si>
    <t>2027 - PROGRAMA ESTADUAL DE MUNICIPALIZAÇÃO</t>
  </si>
  <si>
    <t>2039 - ASSESSORAMENTO E GESTÃO DAS UNIDADES REGIONAIS DO IPSEMG</t>
  </si>
  <si>
    <t>4250 - FOMENTO À AVALIAÇÃO DE POLÍTICAS PÚBLICAS</t>
  </si>
  <si>
    <t>4498 - APOIO À AGROINDÚSTRIA FAMILIAR</t>
  </si>
  <si>
    <t>4354 - GESTÃO DE BENS,SERVIÇOS E LOGISTICA DOS PRÉDIOS GOVERNAMENTAIS</t>
  </si>
  <si>
    <t>4103 - GOVERNANÇA DO SISTEMA INTEGRADO UTILIZADO PARA A EXECUÇÃO ORÇAMENTÁRIA, FINANCEIRA, PATRIMONIAL E CONTÁBIL</t>
  </si>
  <si>
    <t>1072 - DESENVOLVIMENTO DOS ARRANJOS PRODUTIVOS LOCAIS</t>
  </si>
  <si>
    <t>4383 - APOIO ÀS CADEIAS PRODUTIVAS DA AGROPECUÁRIA</t>
  </si>
  <si>
    <t>2063 - COMUNICAÇÕES OPERACIONAIS</t>
  </si>
  <si>
    <t>2086 - ENSINO MÉDIO - APOIO ADMINISTRATIVO</t>
  </si>
  <si>
    <t>4322 - GESTÃO, MANUTENÇÃO E MODERNIZAÇÃO DE EQUIPAMENTOS CULTURAIS PARA ATENDIMENTO AO PÚBLICO</t>
  </si>
  <si>
    <t>1035 - REQUALIFICAÇÃO URBANA E AMBIENTAL DO RIBEIRÃO ARRUDAS -  PAC ARRUDAS COMPLEMENTO</t>
  </si>
  <si>
    <t>1074 - TRANSFORMAÇÃO DIGITAL DO SISEMA</t>
  </si>
  <si>
    <t>4140 - MODERNIZAÇÃO E ESTRUTURAÇÃO DO CORPO DE BOMBEIROS MILITAR DE MINAS GERAIS - REPARAÇÃO BRUMADINHO</t>
  </si>
  <si>
    <t>4375 - ESTRUTURAÇÃO E MANUTENÇÃO DE UM SISTEMA ESTADUAL DE INTELIGÊNCIA DE SEGURANÇA PÚBLICA EM MINAS GERAIS</t>
  </si>
  <si>
    <t>2050 - GESTÃO, OTIMIZAÇÃO E MANUTENÇÃO DOS REGULAMENTOS E SISTEMAS DE COORDENAÇÃO E OPERACIONALIZAÇÃO DAS TRANSFERÊNCIAS DE RECURSOS PARA PARCEIROS ESTADUAIS</t>
  </si>
  <si>
    <t>4450 - DISPONIBILIZAÇÃO DE PROCESSOS E DOCUMENTOS DIGITAIS NO ESTADO</t>
  </si>
  <si>
    <t>4065 - IDENTIFICAÇÃO CIVIL E CRIMINAL</t>
  </si>
  <si>
    <t>4312 - FORTALECIMENTO DO CONTROLE INTERNO E DAS REDES DE CONTROLE</t>
  </si>
  <si>
    <t>7032 - BENEFÍCIOS PREVIDENCIÁRIOS - TJMMG</t>
  </si>
  <si>
    <t>4458 - PROMOÇÃO E FORTALECIMENTO DA PARTICIPAÇÃO DO CONTROLE SOCIAL NA ÁREA DA SAÚDE</t>
  </si>
  <si>
    <t>4251 - PESQUISAS EM POLÍTICAS PÚBLICAS</t>
  </si>
  <si>
    <t>4163 - PROMOÇÃO DOS JOGOS DO INTERIOR DE MINAS</t>
  </si>
  <si>
    <t>4105 - GESTÃO DE ATIVOS E HAVERES</t>
  </si>
  <si>
    <t>1073 - FOMENTO AOS PEQUENOS NEGÓCIOS</t>
  </si>
  <si>
    <t>4384 - FORTALECIMENTO E DESENVOLVIMENTO FLORESTAL</t>
  </si>
  <si>
    <t>4365 - POLICIAMENTO OSTENSIVO GERAL</t>
  </si>
  <si>
    <t>2088 - ENSINO MÉDIO - EDUCAÇÃO DE JOVENS E ADULTOS - EJA</t>
  </si>
  <si>
    <t>4326 - GESTÃO DE ÓRGÃOS COLEGIADOS</t>
  </si>
  <si>
    <t>1036 - CONTENÇÃO DE ENCOSTAS EM ÁREAS DE RISCO - PAC ENCOSTAS</t>
  </si>
  <si>
    <t>4141 - MANUTENÇÃO E AMPLIAÇÃO DO SISTEMA DE TIC PARA POTENCIALIZAÇÃO DO SERVIÇO DE SEGURANÇA CONTRA INCÊNDIO E PÂNICO - REPARAÇÃO BRUMADINHO</t>
  </si>
  <si>
    <t>4376 - INTEGRAÇÃO OPERACIONAL E AÇÕES DE COMANDO E CONTROLE NO ATENDIMENTO DE DENÚNCIAS E CHAMADAS DE EMERGÊNCIA POLICIAL E DE BOMBEIRO</t>
  </si>
  <si>
    <t>2051 - GESTÃO E OPERACIONALIZAÇÃO DE EMENDAS PARLAMENTARES ESTADUAIS</t>
  </si>
  <si>
    <t>4451 - GESTÃO DOS CANAIS DIGITAIS DE ATENDIMENTO AO CIDADÃO</t>
  </si>
  <si>
    <t>4313 - COORDENAÇÃO DAS UNIDADES DESCENTRALIZADAS DA CGE</t>
  </si>
  <si>
    <t>7033 - BENEFÍCIOS PREVIDENCIÁRIOS - TCEMG</t>
  </si>
  <si>
    <t>1024 - COMPLEXO ESPORTIVO HELENA ANTIPOFF</t>
  </si>
  <si>
    <t>4440 - CERTIFICAÇÃO DE PRODUTOS E DE PROPRIEDADES AGROPECUÁRIAS E AGROINDUSTRIAIS</t>
  </si>
  <si>
    <t>4164 - PROJETOS VIABILIZADOS PELA LEI ESTADUAL DE INCENTIVO AO ESPORTE</t>
  </si>
  <si>
    <t>4335 - SERVIÇO ESPECIAL DE SEGURANÇA GOVERNAMENTAL</t>
  </si>
  <si>
    <t>4106 - ENDIVIDAMENTO SUSTENTÁVEL</t>
  </si>
  <si>
    <t>4474 - ARTESANATO EMPREENDEDOR</t>
  </si>
  <si>
    <t>4420 - MECANIZAÇÃO NO CAMPO</t>
  </si>
  <si>
    <t>4366 - ESTRUTURAÇÃO E MODERNIZAÇÃO</t>
  </si>
  <si>
    <t>2089 - ENSINO MÉDIO - EDUCAÇÃO ESPECIAL</t>
  </si>
  <si>
    <t>4329 - ORQUESTRA FILARMÔNICA DE MINAS GERAIS</t>
  </si>
  <si>
    <t>1038 - REQUALIFICAÇÃO URBANA E AMBIENTAL DO RIBEIRÃO ARRUDAS -  PAC FNHIS</t>
  </si>
  <si>
    <t>4377 - MANUTENÇÃO DE MORADIAS FUNCIONAIS PARA SERVIDORES EM SITUAÇÃO DE RISCO</t>
  </si>
  <si>
    <t>2138 - RESERVA PARA ATENDIMENTO DAS EMENDAS PARLAMENTARES INDIVIDUAIS E DE BLOCOS E BANCADAS</t>
  </si>
  <si>
    <t>4452 - GESTÃO DAS UNIDADES DE ATENDIMENTO INTEGRADO - UAI</t>
  </si>
  <si>
    <t>2008 - SAÚDE DO SERVIDOR</t>
  </si>
  <si>
    <t>4314 - GOVERNANÇA TIC PARA O CONTROLE INTERNO</t>
  </si>
  <si>
    <t>7034 - BENEFÍCIOS PREVIDENCIÁRIOS - DEF PUB</t>
  </si>
  <si>
    <t>1022 - SAÚDE EM REDE</t>
  </si>
  <si>
    <t>4254 - MANUTENÇÃO DA DIVISÃO TERRITORIAL, CONSTRUÇÃO DE MAPEAMENTO DE MINAS GERAIS E GESTÃO DA IEDE</t>
  </si>
  <si>
    <t>4165 - GESTÃO DO ICMS ESPORTIVO</t>
  </si>
  <si>
    <t>4107 - GERENCIAMENTO DE RISCOS FISCAIS</t>
  </si>
  <si>
    <t>4373 - POLICIAMENTO DE PROXIMIDADE</t>
  </si>
  <si>
    <t>2090 - ENSINO MÉDIO - PROFISSIONAIS DO MAGISTÉRIO</t>
  </si>
  <si>
    <t>1039 - REQUALIFICAÇÃO URBANA E AMBIENTAL E CONTROLE DE CHEIAS DO CÓRREGO FERRUGEM - PAC FERRUGEM</t>
  </si>
  <si>
    <t>4094 - SUPORTE BÁSICO E AVANÇADO DE VIDA</t>
  </si>
  <si>
    <t>4378 - OPERACIONALIZAÇÃO DA POLÍTICA DE INTEGRAÇÃO DA SEGURANÇA PÚBLICA DE MINAS GERAIS</t>
  </si>
  <si>
    <t>5003 - ALÔ, MINAS! - IMPLANTAÇÃO DE SINAL DE TELEFONIA CELULAR NAS LOCALIDADES E DISTRITOS DOS MUNICÍPIOS MINEIROS</t>
  </si>
  <si>
    <t>2011 - COLÉGIO ORDEM E PROGRESSO</t>
  </si>
  <si>
    <t>7037 - BENEFÍCIOS PREVIDENCIÁRIOS - SEF</t>
  </si>
  <si>
    <t>4125 - FORTALECIMENTO DA ATENÇÃO PRIMÁRIA À SAÚDE</t>
  </si>
  <si>
    <t>4198 - ATENDIMENTO NO ENSINO TECNICO PROFISSIONALIZANTE</t>
  </si>
  <si>
    <t>4255 - SISTEMATIZAÇÃO DAS INFORMAÇÕES ESTATÍSTICAS E GEOINFORMAÇÕES DE MG</t>
  </si>
  <si>
    <t>4439 - EDUCAÇÃO SANITÁRIA</t>
  </si>
  <si>
    <t>4166 - PROMOÇÃO DO ESPORTE EDUCACIONAL COMO INSTRUMENTO DE DESENVOLVIMENTO SOCIAL</t>
  </si>
  <si>
    <t>1075 - FONTES RENOVÁVEIS DE ENERGIA</t>
  </si>
  <si>
    <t>4397 - CERTIFICA MINAS</t>
  </si>
  <si>
    <t>4374 - POLICIAMENTO ESPECIALIZADO</t>
  </si>
  <si>
    <t>2092 - EDUCAÇÃO INFANTIL</t>
  </si>
  <si>
    <t>4336 - ASSESSORIAS TÉCNICAS PARA GESTÃO DE BIBLIOTECAS E MUSEUS</t>
  </si>
  <si>
    <t>1040 - REQUALIFICAÇÃO URBANA E AMBIENTAL E CONTROLE DE CHEIAS DO CÓRREGO FERRUGEM - PAC FERRUGEM (VALE)</t>
  </si>
  <si>
    <t>4379 - RECRUTAMENTO, SELEÇÃO, FORMAÇÃO, CAPACITAÇÃO E TREINAMENTO DOS PROFISSIONAIS DO SISTEMA DE JUSTIÇA E SEGURANÇA PÚBLICA</t>
  </si>
  <si>
    <t>4066 - FORMAÇÃO E CAPACITAÇÃO</t>
  </si>
  <si>
    <t>7039 - BENEFÍCIOS PREVIDENCIÁRIOS - ARMVA</t>
  </si>
  <si>
    <t>4126 - PROMOÇÃO À SAÚDE E POLÍTICAS DE EQUIDADE</t>
  </si>
  <si>
    <t>4199 - ENSINO MÉDIO EM TEMPO INTEGRAL - EMTI</t>
  </si>
  <si>
    <t>4257 - TRANSFORMAÇÃO DIGITAL</t>
  </si>
  <si>
    <t>4167 - APOIO À GESTÃO ESPORTIVA</t>
  </si>
  <si>
    <t>1015 - REVITALIZAÇÃO DAS UNIDADES FAZENDÁRIAS</t>
  </si>
  <si>
    <t>1076 - REGULAÇÃO DO GÁS NATURAL E DERIVADOS</t>
  </si>
  <si>
    <t>4403 - PLANO QUEIJO MINAS LEGAL</t>
  </si>
  <si>
    <t>2093 - EDUCAÇÃO INTEGRAL - ENSINO MÉDIO</t>
  </si>
  <si>
    <t>4337 - CAPACITAÇÕES TÉCNICO-CULTURAIS</t>
  </si>
  <si>
    <t>1041 - REQUALIFICAÇÃO URBANA E AMBIENTAL E DE CONTROLE DE CHEIAS DO CÓRREGO RIACHO DAS PEDRAS - PAC RIACHO</t>
  </si>
  <si>
    <t>7040 - BENEFÍCIOS PREVIDENCIÁRIOS - SEC GERAL</t>
  </si>
  <si>
    <t>4127 - ESTRUTURAÇÃO DA ATENÇÃO PRIMÁRIA</t>
  </si>
  <si>
    <t>4168 - PROMOÇÃO DOS JOGOS ESCOLARES DE MINAS GERAIS</t>
  </si>
  <si>
    <t>4079 - GESTÃO EFICENTE E TRANSPARÊNCIA DO CONTENCIOSO ADMINISTRATIVO TRIBUTÁRIO</t>
  </si>
  <si>
    <t>1077 - GESTÃO DA POLÍTICA MINERÁRIA</t>
  </si>
  <si>
    <t>4406 - PROMOÇÃO DA CACHAÇA DE ALAMBIQUE</t>
  </si>
  <si>
    <t>2094 - EDUCAÇÃO PROFISSIONAL</t>
  </si>
  <si>
    <t>1042 - REQUALIFICAÇÃO URBANA E AMBIENTAL E DE CONTROLE DE CHEIAS DO CÓRREGO RIACHO DAS PEDRAS (VALE)</t>
  </si>
  <si>
    <t>4556 - AMPLIAÇÃO DE POSTOS DE ABASTECIMENTO PRÓPRIOS DO ESTADO - CBMMG</t>
  </si>
  <si>
    <t>4437 - APOIO À REDE COMPLEMENTAR DE SUPORTE SOCIAL NA ATENÇÃO AO DEPENDENTE QUÍMICO</t>
  </si>
  <si>
    <t>4454 - GESTÃO DOS PROJETOS ESTRATÉGICOS</t>
  </si>
  <si>
    <t>7044 - BENEFÍCIOS PREVIDENCIÁRIOS - CGE</t>
  </si>
  <si>
    <t>4233 - MUSEU HELENA ANTIPOFF</t>
  </si>
  <si>
    <t>4169 - BOLSA ATLETA E BOLSA TÉCNICO</t>
  </si>
  <si>
    <t>4081 - RECEITA ESTADUAL MAIS JUSTA</t>
  </si>
  <si>
    <t>1078 - LOGÍSTICA E MOBILIDADE DO FUTURO</t>
  </si>
  <si>
    <t>4407 - DIGA SIM AO SERVIÇO DE INSPEÇÃO MUNICIPAL - SIM</t>
  </si>
  <si>
    <t>4338 - CONSERVAÇÃO PREVENTIVA E CURATIVA, RESTAURAÇÃO, AQUISIÇÃO E GESTÃO TÉCNICA DE ACERVOS</t>
  </si>
  <si>
    <t>4261 - DESENVOLVIMENTO DA INFRAESTRUTURA PÚBLICA NO ESTADO DE MINAS GERAIS</t>
  </si>
  <si>
    <t>4438 - DESCENTRALIZAÇÃO DA POLÍTICA SOBRE DROGAS</t>
  </si>
  <si>
    <t>7010 - BENEFÍCIOS ASSISTENCIAIS</t>
  </si>
  <si>
    <t>7046 - BENEFÍCIOS PREVIDENCIÁRIOS - UNIMONTES</t>
  </si>
  <si>
    <t>4129 - APOIO E FORTALECIMENTO DA REDE DE CUIDADO À PESSOA COM DEFICIÊNCIA</t>
  </si>
  <si>
    <t>4234 - FORMAÇÃO NA PERSPECTIVA ANTIPOFFIANA</t>
  </si>
  <si>
    <t>4170 - APOIO À REALIZAÇÃO DE AÇÕES ESPORTIVAS</t>
  </si>
  <si>
    <t>4082 - RECEITA ESTADUAL EFICIENTE</t>
  </si>
  <si>
    <t>1079 - PROMOÇÃO DO COMÉRCIO EXTERIOR MINEIRO</t>
  </si>
  <si>
    <t>4408 - MINAS + VERDE</t>
  </si>
  <si>
    <t>2096 - PROFISSIONAIS DO ÓRGÃO CENTRAL</t>
  </si>
  <si>
    <t>4339 - ORGANIZAÇÃO, DESCRIÇÃO E PRESERVAÇÃO DE ACERVOS ARQUIVÍSTICOS</t>
  </si>
  <si>
    <t>4262 - FOMENTO À INFRAESTRUTURA PÚBLICA MUNICIPAL</t>
  </si>
  <si>
    <t>4461 - RECUPERAÇÃO E COMPENSAÇÃO DOS DANOS EM FUNÇÃO DO DESASTRE MINERÁRIO DA SAMARCO EM MARIANA</t>
  </si>
  <si>
    <t>7047 - BENEFÍCIOS PREVIDENCIÁRIOS - IPEM/MG</t>
  </si>
  <si>
    <t>4130 - APOIO E FORTALECIMENTO DA REDE DE ATENÇÃO PSICOSSOCIAL</t>
  </si>
  <si>
    <t>4514 - PROMOÇÃO DO ESPORTE DE PARTICIPAÇÃO E RENDIMENTO COMO INSTRUMENTO DE DESENVOLVIMENTO SOCIAL</t>
  </si>
  <si>
    <t>4083 - RECEITA ESTADUAL DIGITAL</t>
  </si>
  <si>
    <t>1081 - INVISTA EM MINAS - PROMOÇÃO DE INVESTIMENTOS</t>
  </si>
  <si>
    <t>2097 - PROFISSIONAIS DAS SUPERINTENDÊNCIAS REGIONAIS DE ENSINO - SRE</t>
  </si>
  <si>
    <t>4342 - ASSESSORIAS TÉCNICAS EM GESTÃO DE DOCUMENTOS, CRIAÇÃO E MANUTENÇÃO DE ARQUIVOS PÚBLICOS</t>
  </si>
  <si>
    <t>4265 - DESENVOLVIMENTO DA INFRAESTRUTURA GOVERNAMENTAL</t>
  </si>
  <si>
    <t>4441 - ADEQUAÇÃO, MANUTENÇÃO E DESENVOLVIMENTO DO ATENDIMENTO SOCIOEDUCATIVO</t>
  </si>
  <si>
    <t>4462 - RECUPERAÇÃO E COMPENSAÇÃO DOS DANOS EM FUNÇÃO DO DESASTRE MINERÁRIO DA VALE S.A EM BRUMADINHO</t>
  </si>
  <si>
    <t>7048 - BENEFÍCIOS PREVIDENCIÁRIOS - PCMG</t>
  </si>
  <si>
    <t>4131 - ATENÇÃO ESPECIALIZADA AMBULATORIAL</t>
  </si>
  <si>
    <t>2130 - MELHORIA NA ALIMENTAÇÃO</t>
  </si>
  <si>
    <t>4085 - RECEITA ESTADUAL MODERNIZADA</t>
  </si>
  <si>
    <t>1090 - IMPLEMENTAÇÃO DA POLÍTICA DE DESESTATIZAÇÃO</t>
  </si>
  <si>
    <t>4399 - GARANTIA SAFRA</t>
  </si>
  <si>
    <t>2098 - PROFISSIONAIS DO CONSELHO ESTADUAL DE EDUCAÇÃO</t>
  </si>
  <si>
    <t>4442 - FORMAÇÃO EDUCACIONAL E PROFISSIONAL DO ADOLESCENTE EM CUMPRIMENTO DE MEDIDA SOCIOEDUCATIVA</t>
  </si>
  <si>
    <t>7049 - BENEFÍCIOS PREVIDENCIÁRIOS - SEPLAG</t>
  </si>
  <si>
    <t>4132 - APOIO E FORTALECIMENTO DA REDE DE ATENÇÃO À SAÚDE BUCAL</t>
  </si>
  <si>
    <t>4171 - IMPLEMENTAÇÃO E MANUTENÇÃO DOS CENTROS DE REFERÊNCIA EM DIREITOS HUMANOS</t>
  </si>
  <si>
    <t>1091 - INTEGRAÇÃO DAS CADEIAS PRODUTIVAS</t>
  </si>
  <si>
    <t>2099 - TRILHAS DE FUTURO - EDUCADORES</t>
  </si>
  <si>
    <t>4290 - MELHORIA DA MOBILIDADE E INFRAESTRUTURA DE TRANSPORTES EM MINAS GERAIS</t>
  </si>
  <si>
    <t>4443 - ATENDIMENTO À SAÚDE DO ADOLESCENTE EM CONFLITO COM A LEI</t>
  </si>
  <si>
    <t>1085 - ABRIGOS E CAMINHOS NA CA</t>
  </si>
  <si>
    <t>7051 - BENEFÍCIOS PREVIDENCIÁRIOS - SEGOV</t>
  </si>
  <si>
    <t>4173 - PROGRAMA DE PROTEÇÃO A VÍTIMAS E TESTEMUNHAS AMEAÇADAS - PROVITA</t>
  </si>
  <si>
    <t>4499 - GOVERNANÇA DAS EMPRESAS ESTATAIS</t>
  </si>
  <si>
    <t>4291 - PESQUISA E DESENVOLVIMENTO TECNOLÓGICO EM TRANSPORTES, LOGÍSTICA E MOBILIDADE</t>
  </si>
  <si>
    <t>4465 - GESTÃO DA INFRAESTRUTURA DA CIDADE ADMINISTRATIVA</t>
  </si>
  <si>
    <t>7052 - BENEFÍCIOS PREVIDENCIÁRIOS - SEDESE</t>
  </si>
  <si>
    <t>4133 - ATENDIMENTO ÀS MEDIDAS JUDICIAIS</t>
  </si>
  <si>
    <t>4174 - PROMOÇÃO, PROTEÇÃO E REPARAÇÃO DE DIREITOS HUMANOS</t>
  </si>
  <si>
    <t>4393 - GESTÃO DE BARRAGENS</t>
  </si>
  <si>
    <t>2100 - APOIO AOS PROGRAMAS DE ALIMENTAÇÃO ESCOLAR</t>
  </si>
  <si>
    <t>4292 - GESTÃO DE AEROPORTOS REGIONAIS EM MINAS GERAIS</t>
  </si>
  <si>
    <t>4466 - GESTÃO DE TECNOLOGIA DA INFORMAÇÃO E COMUNICAÇÃO (TIC) DA CIDADE ADMINISTRATIVA</t>
  </si>
  <si>
    <t>7055 - BENEFÍCIOS PREVIDENCIÁRIOS - OGE</t>
  </si>
  <si>
    <t>4134 - ACESSO DE URGÊNCIA E EMERGÊNCIA</t>
  </si>
  <si>
    <t>4176 - PROGRAMA DE PROTEÇÃO AOS DEFENSORES DE DIREITOS HUMANOS - PPDDH</t>
  </si>
  <si>
    <t>4449 - APOIO À GESTÃO DE PROJETOS DE INOVAÇÃO TECNOLÓGICA</t>
  </si>
  <si>
    <t>4394 - PROJETO JAÍBA</t>
  </si>
  <si>
    <t>2101 - PROGRAMA ESTADUAL DE ALIMENTAÇÃO ESCOLAR - PEAE</t>
  </si>
  <si>
    <t>4467 - GESTÃO DOS SERVIÇOS OPERACIONAIS E LOGÍSTICOS DA CIDADE ADMINISTRATIVA</t>
  </si>
  <si>
    <t>7056 - BENEFÍCIOS PREVIDENCIÁRIOS - SEDE</t>
  </si>
  <si>
    <t>4135 - ACESSO ELETIVO</t>
  </si>
  <si>
    <t>4177 - PROGRAMA DE PROTEÇÃO A CRIANÇAS E ADOLESCENTES AMEAÇADOS DE MORTE - PPCAAM</t>
  </si>
  <si>
    <t>4472 - APOIO À GESTÃO DE PROJETOS DE PESQUISA E TECNOLOGIA</t>
  </si>
  <si>
    <t>4396 - RECUPERAÇÃO INTEGRADA DA CAPACIDADE PRODUTIVA DAS BACIAS</t>
  </si>
  <si>
    <t>2102 - PROGRAMA NACIONAL DE ALIMENTAÇÃO ESCOLAR - PNAE</t>
  </si>
  <si>
    <t>1055 - PROJETOS, CONSTRUÇÕES, REFORMAS E AMPLIAÇÕES DE UNIDADES DE SEGURANÇA PÚBLICA</t>
  </si>
  <si>
    <t>7058 - BENEFÍCIOS PREVIDENCIÁRIOS - SEAPA</t>
  </si>
  <si>
    <t>4136 - SERVIÇOS MÓVEIS DE URGÊNCIA E EMERGÊNCIA</t>
  </si>
  <si>
    <t>4178 - MANUTENÇÃO E APOIO AOS ÓRGÃOS COLEGIADOS DE DIREITOS HUMANOS</t>
  </si>
  <si>
    <t>4398 - IRRIGA MINAS - AGRICULTURA IRRIGADA SUSTENTÁVEL</t>
  </si>
  <si>
    <t>7059 - BENEFÍCIOS PREVIDENCIÁRIOS - SECULT</t>
  </si>
  <si>
    <t>4137 - PROGRAMAÇÃO, CONTRATAÇÃO E PROCESSAMENTO DE SERVIÇOS DE SAÚDE</t>
  </si>
  <si>
    <t>4181 - OPERACIONALIZAÇÃO DOS SERVIÇOS DE TRADUÇÃO E INTERPRETAÇÃO DE LIBRAS</t>
  </si>
  <si>
    <t>4419 - ESTRADAS E INFRAESTRUTURA RURAL</t>
  </si>
  <si>
    <t>2104 - ATENDIMENTO AS INSTITUIÇÕES PÚBLICAS DE ENSINO SUPERIOR</t>
  </si>
  <si>
    <t>7060 - BENEFÍCIOS PREVIDENCIÁRIOS - UEMG</t>
  </si>
  <si>
    <t>7061 - BENEFÍCIOS PREVIDENCIÁRIOS - SEINFRA</t>
  </si>
  <si>
    <t>1021 - VACINA MAIS MINAS</t>
  </si>
  <si>
    <t>4386 - AGRODADOS</t>
  </si>
  <si>
    <t>1094 - GESTAO PELA APRENDIZAGEM</t>
  </si>
  <si>
    <t>4470 - AMPLIAÇÃO DA CENTRALIZAÇÃO DAS COMPRAS E CONTRATAÇÕES</t>
  </si>
  <si>
    <t>7063 - BENEFÍCIOS PREVIDENCIÁRIOS - SEMAD</t>
  </si>
  <si>
    <t>4143 - ASSESSORAMENTO E GERENCIAMENTO DE POLÍTICAS DE VIGILÂNCIA EM SAÚDE</t>
  </si>
  <si>
    <t>2134 - ASSESSORAMENTO À POLÍTICA ESTADUAL DE ASSISTÊNCIA SOCIAL</t>
  </si>
  <si>
    <t>4391 - AGRITECH</t>
  </si>
  <si>
    <t>2105 - PROJETO SOMAR</t>
  </si>
  <si>
    <t>4473 - MODERNIZAÇÃO EM GESTÃO DE COMPRAS</t>
  </si>
  <si>
    <t>7064 - BENEFÍCIOS PREVIDENCIÁRIOS - PMMG</t>
  </si>
  <si>
    <t>4144 - VIGILÂNCIA DE CONDIÇÕES CRÔNICAS</t>
  </si>
  <si>
    <t>2107 - AVALIAÇÕES EDUCACIONAIS</t>
  </si>
  <si>
    <t>7065 - BENEFÍCIOS PREVIDENCIÁRIOS - CBMMG</t>
  </si>
  <si>
    <t>4145 - VIGILÂNCIA DE DOENÇAS TRANSMISSÍVEIS E IMUNIZAÇÃO</t>
  </si>
  <si>
    <t>4184 - APOIO AOS MUNICÍPIOS NA IMPLEMENTAÇÃO DA POLÍTICA HABITACIONAL E NA ELABORAÇÃO E REVISÃO DE PLANOS LOCAIS DE HABITAÇÃO DE INTERESSE SOCIAL (PLHIS)</t>
  </si>
  <si>
    <t>4405 - APOIO AO JOVEM RURAL</t>
  </si>
  <si>
    <t>2127 - ORGANIZAÇÃO E FUNCIONAMENTO ESCOLAR</t>
  </si>
  <si>
    <t>1084 - MODERNIZAÇÃO DA GESTÃO DOS IMÓVEIS DO ESTADO DE MINAS GERAIS</t>
  </si>
  <si>
    <t>7088 - BENEFÍCIOS PREVIDENCIÁRIOS - IMA</t>
  </si>
  <si>
    <t>4146 - VIGILÂNCIA EM SAÚDE AMBIENTAL E SAÚDE DO TRABALHADOR</t>
  </si>
  <si>
    <t>4185 - APOIO À PRODUÇÃO E À AQUISIÇÃO DE UNIDADES HABITACIONAIS</t>
  </si>
  <si>
    <t>4485 - GESTÃO DOS PROCESSOS DE LOGÍSTICA CORPORATIVA</t>
  </si>
  <si>
    <t>7089 - BENEFÍCIOS PREVIDENCIÁRIOS - FHA</t>
  </si>
  <si>
    <t>4147 - VIGILÂNCIA SANITÁRIA</t>
  </si>
  <si>
    <t>1092 - DESENVOLVIMENTO DO ESPORTE ESCOLAR</t>
  </si>
  <si>
    <t>4486 - GESTÃO DA DESTINAÇÃO DE IMÓVEIS</t>
  </si>
  <si>
    <t>7091 - BENEFÍCIOS PREVIDENCIÁRIOS - FUCAM</t>
  </si>
  <si>
    <t>2033 - DESENVOLVIMENTO DO SISTEMA DE SEGURANÇA ALIMENTAR E NUTRICIONAL EM MINAS GERAIS - SISAN MG</t>
  </si>
  <si>
    <t>1093 - PLANO DE RECOMPOSIÇAO DAS APRENDIZAGENS - PRA</t>
  </si>
  <si>
    <t>4487 - GESTÃO E DISPONIBILIZAÇÃO DOS SISTEMAS CORPORATIVOS DE GESTÃO LOGÍSTICA E PATRIMONIAL</t>
  </si>
  <si>
    <t>7094 - BENEFÍCIOS PREVIDENCIÁRIOS - FAOP</t>
  </si>
  <si>
    <t>4148 - ABASTECIMENTO DE MEDICAMENTOS</t>
  </si>
  <si>
    <t>4196 - APOIO, FOMENTO E ARTICULAÇÃO DE AÇÕES, PROJETOS E PROGRAMAS RELATIVOS À TEMÁTICA DE SEGURANÇA ALIMENTAR E NUTRICIONAL SUSTENTÁVEL</t>
  </si>
  <si>
    <t>2116 - PROJETO SAÚDE NA ESCOLA</t>
  </si>
  <si>
    <t>7096 - BENEFÍCIOS PREVIDENCIÁRIOS - FCS</t>
  </si>
  <si>
    <t>4149 - POLÍTICAS DE ASSISTÊNCIA FARMACÊUTICA</t>
  </si>
  <si>
    <t>2117 - PROJETO SAÚDE EM CICLO</t>
  </si>
  <si>
    <t>4491 - APREENSÃO E LIBERAÇÃO DE VEÍCULOS</t>
  </si>
  <si>
    <t>7104 - BENEFÍCIOS PREVIDENCIÁRIOS - IEPHA</t>
  </si>
  <si>
    <t>2118 - TRILHAS DE FUTURO - ESTUDANTES</t>
  </si>
  <si>
    <t>4492 - FISCALIZAÇÃO, PREVENÇÃO E CONTROLE DE INFRAÇÕES DE TRÂNSITO</t>
  </si>
  <si>
    <t>7105 - BENEFÍCIOS PREVIDENCIÁRIOS - TV MINAS</t>
  </si>
  <si>
    <t>2110 - DESENVOLVIMENTO DAS AÇÕES DE SAÚDE NO ÂMBITO DA ESCOLA DE SAÚDE PÚBLICA DO ESTADO DE MINAS GERAIS- ESP</t>
  </si>
  <si>
    <t>2035 - APOIO E COORDENAÇÃO DE POLÍTICAS INTERSETORIAIS DE DESENVOLVIMENTO SOCIAL NO CONTEXTO DO PROGRAMA PERCURSOS GERAIS: TRAJETÓRIA PARA AUTONOMIA</t>
  </si>
  <si>
    <t>2119 - DESENVOLVIMENTO DA EDUCAÇÃO DE JOVENS E ADULTOS - EJA</t>
  </si>
  <si>
    <t>4494 - REGISTRO DE CONDUTORES</t>
  </si>
  <si>
    <t>7205 - BENEFÍCIOS PREVIDENCIÁRIOS - DEER</t>
  </si>
  <si>
    <t>2111 - DESENVOLVIMENTO DAS AÇÕES DE SAÚDE NO ÂMBITO DA FUNDAÇÃO HOSPITALAR DO ESTADO DE MINAS GERAIS- FHEMIG</t>
  </si>
  <si>
    <t>4412 - ACESSO AO TRABALHO E À RENDA</t>
  </si>
  <si>
    <t>2120 - DESENVOLVIMENTO DA EDUCAÇÃO ESPECIAL</t>
  </si>
  <si>
    <t>4495 - REGISTRO DE VEÍCULOS</t>
  </si>
  <si>
    <t>7209 - BENEFÍCIOS PREVIDENCIÁRIOS - FUNED</t>
  </si>
  <si>
    <t>2112 - DESENVOLVIMENTO DAS AÇÕES DE SAÚDE NO ÂMBITO DA SECRETARIA DE ESTADO DE JUSTIÇA E SEGURANÇA PÚBLICA - SEJUSP</t>
  </si>
  <si>
    <t>4416 - RAÍZES DE MINAS</t>
  </si>
  <si>
    <t>2122 - DESENVOLVIMENTO DO ENSINO FUNDAMENTAL</t>
  </si>
  <si>
    <t>4496 - ATENDIMENTO E TRANSFORMAÇÃO DE SERVIÇOS DE TRÂNSITO</t>
  </si>
  <si>
    <t>7225 - BENEFÍCIOS PREVIDENCIÁRIOS - FHEMIG</t>
  </si>
  <si>
    <t>2115 - DESENVOLVIMENTO DAS AÇÕES DE SAÚDE NO ÂMBITO DO CORPO DE BOMBEIROS MILITAR DO ESTADO DE MINAS GERAIS</t>
  </si>
  <si>
    <t>4418 - REFORMA E MELHORIAS DE UNIDADES HABITACIONAIS</t>
  </si>
  <si>
    <t>2123 - ESCOLA DE FORMAÇÃO PROFISSIONAL</t>
  </si>
  <si>
    <t>7312 - BENEFÍCIOS PREVIDENCIÁRIOS - HEMOMINAS</t>
  </si>
  <si>
    <t>2135 - DESENVOLVIMENTO DAS AÇÕES DE SAÚDE NO ÂMBITO DA FUNDAÇÃO CENTRO DE HEMATOLOGIA E HEMOTERAPIA DE MINAS GERAIS- HEMOMINAS</t>
  </si>
  <si>
    <t>7428 - BENEFÍCIOS PREVIDENCIÁRIOS - FEAM</t>
  </si>
  <si>
    <t>2136 - DESENVOLVIMENTO DAS AÇÕES DE SAÚDE NO ÂMBITO DA FUNDAÇÃO EZEQUIEL DIAS- FUNED</t>
  </si>
  <si>
    <t>4511 - DESENVOLVIMENTO DO ENSINO MEDIO</t>
  </si>
  <si>
    <t>7473 - BENEFÍCIOS PREVIDENCIÁRIOS - IEF</t>
  </si>
  <si>
    <t>2137 - DESENVOLVIMENTO DAS AÇÕES DE SAÚDE NO ÂMBITO DA ADMINISTRAÇÃO PÚBLICA ESTADUAL</t>
  </si>
  <si>
    <t>2037 - FOMENTO A INOVAÇÃO E APRIMORAMENTO DE PROJETOS DE DESENVOLVIMENTO SOCIAL</t>
  </si>
  <si>
    <t>4512 - DESENVOLVIMENTO DA EDUCAÇÃO PROFISSIONAL</t>
  </si>
  <si>
    <t>7484 - BENEFÍCIOS PREVIDENCIÁRIOS - IGAM</t>
  </si>
  <si>
    <t>4204 - APOIO TÉCNICO AOS MUNICÍPIOS PARA PROMOÇÃO DO DESENVOLVIMENTO REGIONAL</t>
  </si>
  <si>
    <t>7529 - BENEFÍCIOS PREVIDENCIÁRIOS - JUCEMG</t>
  </si>
  <si>
    <t>2087 - RESERVA PARA ATENDIMENTO DAS EMENDAS PARLAMENTARES INDIVIDUAIS VINCULADAS ÀS AÇÕES E SERVIÇOS PÚBLICOS DE SAÚDE</t>
  </si>
  <si>
    <t>2124 - PREVENÇÃO À VIOLÊNCIA E SEGURANÇA NAS ESCOLAS</t>
  </si>
  <si>
    <t>7586 - BENEFÍCIOS PREVIDENCIÁRIOS - UTRAMIG</t>
  </si>
  <si>
    <t>4414 - ENFRENTAMENTO À VIOLÊNCIA DOMÉSTICA E INTRAFAMILIAR CONTRA AS MULHERES</t>
  </si>
  <si>
    <t>2125 - PREVENÇÃO ÀS CHUVAS</t>
  </si>
  <si>
    <t>7617 - BENEFÍCIOS PREVIDENCIÁRIOS - LEMG</t>
  </si>
  <si>
    <t>4415 - PROMOÇÃO, DEFESA E GARANTIA DOS DIREITOS DAS MULHERES</t>
  </si>
  <si>
    <t>2126 - RENOVAÇÃO DE MOBILIÁRIO E/OU EQUIPAMENTO</t>
  </si>
  <si>
    <t>7722 - BENEFÍCIOS PREVIDENCIÁRIOS - FJP</t>
  </si>
  <si>
    <t>4517 - ACESSIBILIDADE E IMPLEMENTAÇÃO DE PROJETOS DE INCÊNDIO NAS UNIDADES ESCOLARES</t>
  </si>
  <si>
    <t>7725 - BENEFÍCIOS PREVIDENCIÁRIOS - IPSEMG</t>
  </si>
  <si>
    <t>2076 - GESTÃO E MONITORAMENTO DE CONVÊNIOS E PARCERIAS</t>
  </si>
  <si>
    <t>4519 - MÃOS À OBRA</t>
  </si>
  <si>
    <t>7840 - BENEFÍCIOS PREVIDENCIÁRIOS - IPSM</t>
  </si>
  <si>
    <t>2079 - APOIO FINANCEIRO E MATERIAL ÀS INSTITUIÇÕES NA PROMOÇÃO DO DESENVOLVIMENTO SOCIAL</t>
  </si>
  <si>
    <t>4520 - APOIO A GESTÃO DE INFRAESTRUTURA EDUCACIONAL</t>
  </si>
  <si>
    <t>7939 - BENEFÍCIOS PREVIDENCIÁRIOS - IDENE</t>
  </si>
  <si>
    <t>4521 - CONECTIVIDADE ESCOLAR</t>
  </si>
  <si>
    <t>7957 - BENEFÍCIOS PREVIDENCIÁRIOS - SEE</t>
  </si>
  <si>
    <t>4522 - RENOVAÇÃO DA REDE LÓGICA E ELÉTRICA E IMPLEMENTAÇÃO DE ENERGIA ALTERNATIVA</t>
  </si>
  <si>
    <t>7959 - BENEFÍCIOS PREVIDENCIÁRIOS - SES</t>
  </si>
  <si>
    <t>4523 - REALIZAÇÃO DE OBRAS ESTRUTURAIS</t>
  </si>
  <si>
    <t>4524 - MANUTENÇÃO PREDIAL</t>
  </si>
  <si>
    <t>2129 - OPERACIONALIZAÇÃO DAS AÇÕES DOS CONSELHOS</t>
  </si>
  <si>
    <t>4099 - FORMAÇÃO CIDADÃ</t>
  </si>
  <si>
    <t>4531 - EDUCAÇÃO QUILOMBOLA</t>
  </si>
  <si>
    <t>4532 - EDUCAÇÃO INDIGENA</t>
  </si>
  <si>
    <t>4533 - EDUCAÇÃO DO CAMPO</t>
  </si>
  <si>
    <t>4534 - EDUCAÇÃO DAS RELAÇÕES ÉTNICO-RACIAIS</t>
  </si>
  <si>
    <t>4536 - MOBILIZAÇÃO DAS JUVENTUDES</t>
  </si>
  <si>
    <t>4537 - ENSINO DO SISTEMA PRISIONAL E SOCIOEDUCATIVO</t>
  </si>
  <si>
    <t>4538 - ATENDIMENTO ÀS ESCOLAS FAMÍLIA AGRÍCOLA</t>
  </si>
  <si>
    <t>4540 - PROGRAMA CONVIVÊNCIA DEMOCRÁTICA</t>
  </si>
  <si>
    <t>4543 - PROGRAMA MÃOS DADAS</t>
  </si>
  <si>
    <t>4545 - PROGRAMA DE FORTALECIMENTO DAS ESCOLAS MUNICIPAIS</t>
  </si>
  <si>
    <t>4546 - APOIO AO TRANSPORTE ESCOLAR</t>
  </si>
  <si>
    <t>4547 - PROGRAMA ESTADUAL DO TRANSPORTE ESCOLAR - PTE/MG</t>
  </si>
  <si>
    <t>4548 - REGIME DE COLABORAÇÃO ESTADO-MUNICÍPIO NA ÁREA EDUCACIONAL</t>
  </si>
  <si>
    <t>UO_COD</t>
  </si>
  <si>
    <t>nome</t>
  </si>
  <si>
    <t>EI</t>
  </si>
  <si>
    <t>concatagrup</t>
  </si>
  <si>
    <t>AGRUPAMENTO</t>
  </si>
  <si>
    <t>0810 - SALÁRIO-FAMÍLIA</t>
  </si>
  <si>
    <t>Auxílios diversos (transp alim funeral e etc)</t>
  </si>
  <si>
    <t>1401 - DIARIAS CIVIL</t>
  </si>
  <si>
    <t>1501 - DIARIAS MILITAR</t>
  </si>
  <si>
    <t>3001 - ARTIGOS PARA CONFECCAO E VESTUARIO</t>
  </si>
  <si>
    <t>Material de consumo</t>
  </si>
  <si>
    <t>3003 - UTENSILIOS PARA COPA, REFEITORIO E COZINHA</t>
  </si>
  <si>
    <t>3004 - MATERIAL GRAFICO E IMPRESSOS</t>
  </si>
  <si>
    <t>3005 - MATERIAL PARA ESCRITORIO</t>
  </si>
  <si>
    <t>3008 - PRODUTOS ALIMENTICIOS</t>
  </si>
  <si>
    <t>3010 - MATERIAL MEDICO E HOSPITALAR</t>
  </si>
  <si>
    <t>Serviços de saúde e medicamentos</t>
  </si>
  <si>
    <t>3013 - MATERIAIS DE LABORATORIO E PRODUTOS QUIMICOS EM GERAL</t>
  </si>
  <si>
    <t>3015 - MATERIAL FOTOGRAFICO, CINEMATOGRAFICO E DE COMUNICACAO</t>
  </si>
  <si>
    <t>3016 - MATERIAL DE INFORMATICA</t>
  </si>
  <si>
    <t>3019 - MATERIAL PARA MANUTENCAO E REPAROS DE IMOVEIS DE PROPRIEDADE DA ADMINISTRACAO PUBLICA</t>
  </si>
  <si>
    <t>Reparo de imóveis</t>
  </si>
  <si>
    <t>3020 - MATERIAL ELETRICO E ELETRONICO</t>
  </si>
  <si>
    <t>3021 - MATERIAL PARA MANUTENCAO E REPAROS DE BENS DE DOMINIO PUBLICO OU DE TERCEIROS</t>
  </si>
  <si>
    <t>3023 - MATERIAL PARA MANUTENCAO DE VEICULOS AUTOMOTORES</t>
  </si>
  <si>
    <t>Frota</t>
  </si>
  <si>
    <t>3025 - MATERIAL DE SEGURANCA, APETRECHOS OPERACIONAIS E POLICIAIS</t>
  </si>
  <si>
    <t>3026 - COMBUSTIVEIS E LUBRIFICANTES PARA VEICULOS AUTOMOTORES</t>
  </si>
  <si>
    <t>3027 - COMBUSTIVEIS E LUBRIFICANTES PARA EQUIPAMENTOS E OUTROS MATERIAIS PERMANENTES</t>
  </si>
  <si>
    <t>3032 - MATERIAL CIVICO E EDUCATIVO</t>
  </si>
  <si>
    <t>3033 - COMBUSTIVEIS E LUBRIFICANTES PARA AERONAVES</t>
  </si>
  <si>
    <t>Despesas com aeronaves</t>
  </si>
  <si>
    <t>3101 - PREMIOS, DIPLOMAS, CONDECORACOES E MEDALHAS</t>
  </si>
  <si>
    <t>Demais despesas de custeio</t>
  </si>
  <si>
    <t>3202 - MATERIAL DE ASSISTENCIA HUMANITARIA</t>
  </si>
  <si>
    <t>Ajuda Humanitária</t>
  </si>
  <si>
    <t>3302 - DESPESAS COM TRANSPORTE URBANO, PEDAGIO E ESTACIONAMENTO - PESSOA FISICA</t>
  </si>
  <si>
    <t>3304 - PASSAGENS - PESSOA JURIDICA</t>
  </si>
  <si>
    <t>3612 - DESPESAS MIUDAS DE PRONTO PAGAMENTO</t>
  </si>
  <si>
    <t>3701 - LOCACAO DE SERVICOS DE CONSERVACAO E LIMPEZA</t>
  </si>
  <si>
    <t>Terceirizados - Demais empresas</t>
  </si>
  <si>
    <t>3703 - LOCACAO DE SERVICOS DE CONSERVACAO E LIMPEZA REALIZADOS PELA MGS</t>
  </si>
  <si>
    <t>3704 - LOCACAO DE SERVICOS DE APOIO ADMINISTRATIVO REALIZADOS PELA MGS</t>
  </si>
  <si>
    <t>3705 - DESPESAS COM O PAGAMENTO DE ENCARGOS TRABALHISTAS A MGS</t>
  </si>
  <si>
    <t>3903 - FORNECIMENTO DE ALIMENTACAO</t>
  </si>
  <si>
    <t>3908 - PUBLICAÇÃO E DIVULGAÇÃO</t>
  </si>
  <si>
    <t>3912 - TARIFA DE ENERGIA ELETRICA</t>
  </si>
  <si>
    <t>Utilidade Pública</t>
  </si>
  <si>
    <t>3913 - TARIFA DE AGUA E ESGOTO</t>
  </si>
  <si>
    <t>3917 - LOCACAO DE VEICULOS</t>
  </si>
  <si>
    <t>3918 - REPAROS DE VEICULOS</t>
  </si>
  <si>
    <t>3919 - LOCACAO DE MAQUINAS E EQUIPAMENTOS</t>
  </si>
  <si>
    <t>3921 - INSTALACAO, REPARACAO, ADAPTACAO E CONSERVACAO DE EQUIPAMENTO E MATERIAL PERMANENTE</t>
  </si>
  <si>
    <t>3922 - REPAROS DE BENS IMOVEIS</t>
  </si>
  <si>
    <t>3924 - CURSOS, EXPOSICOES, CONGRESSOS E CONFERENCIAS</t>
  </si>
  <si>
    <t>Cursos de formação e capacitações</t>
  </si>
  <si>
    <t>Encargos e Multas</t>
  </si>
  <si>
    <t>3927 - SERVIÇOS DE TECNOLOGIA DA INFORMAÇÃO</t>
  </si>
  <si>
    <t>Serviços de TIC</t>
  </si>
  <si>
    <t>3929 - SERVICOS MEDICOS, ODONTOLOGICOS E LABORATORIAIS</t>
  </si>
  <si>
    <t>3931 - LOCACAO DE SERVICOS GRAFICOS</t>
  </si>
  <si>
    <t>3935 - REPARO E MANUTENCAO DE AERONAVES</t>
  </si>
  <si>
    <t>3936 - SERVIÇOS DE INFORMÁTICA EXECUTADOS PELA PRODEMGE</t>
  </si>
  <si>
    <t>3940 - SERVIÇO DE TELECOMUNICAÇÃO</t>
  </si>
  <si>
    <t>3943 - SERVICOS DE ADMINISTRACAO E GERENCIAMENTO DE FROTA DE VEICULOS</t>
  </si>
  <si>
    <t>3950 - SERVICOS DE AGENCIAMENTO DE VIAGENS</t>
  </si>
  <si>
    <t>3959 - SERVICOS SANITARIOS E TRATAMENTO DE RESIDUOS</t>
  </si>
  <si>
    <t>3961 - SERVICOS DE CONSERVACAO E LIMPEZA</t>
  </si>
  <si>
    <t>3966 - SERVICOS DE ABASTECIMENTO E DISTRIBUICAO DE AGUA</t>
  </si>
  <si>
    <t>3969 - CONTRATOS DE ENERGIA ELETRICA</t>
  </si>
  <si>
    <t>3970 - REDE IP MULTISSERVIÇOS</t>
  </si>
  <si>
    <t>3987 - SERVICOS DE GERENCIAMENTO E FORNECIMENTO DE COMBUSTIVEL</t>
  </si>
  <si>
    <t>3994 - CAPACITACAO RELACIONADA AS ATIVIDADES DE AVIACAO</t>
  </si>
  <si>
    <t>3999 - OUTROS SERVICOS-PESSOA JURIDICA</t>
  </si>
  <si>
    <t>4002 - SERVICOS DE TECNOLOGIA DA INFORMACAO</t>
  </si>
  <si>
    <t>4003 - SERVICOS DE INFORMATICA EXECUTADOS PELA PRODEMGE</t>
  </si>
  <si>
    <t>4004 - SERVICO DE TELECOMUNICACAO</t>
  </si>
  <si>
    <t>4005 - REDE IP MULTISSERVICOS</t>
  </si>
  <si>
    <t>4701 - OBRIGAÇÕES TRIBUTÁRIAS E CONTRIBUTIVAS</t>
  </si>
  <si>
    <t>Obrigações tributárias</t>
  </si>
  <si>
    <t>5101 - ESTUDOS E PROJETOS DE BENS PATRIMONIAVEIS</t>
  </si>
  <si>
    <t>Obras e projetos de obras</t>
  </si>
  <si>
    <t>5103 - EXECUCAO DE OBRAS POR CONTRATO DE BENS PATRIMONIAVEIS</t>
  </si>
  <si>
    <t>5204 - MAQUINAS, APARELHOS, UTENSILIOS E EQUIPAMENTOS DE USO INDUSTRIAL</t>
  </si>
  <si>
    <t>Demais despesas de capital</t>
  </si>
  <si>
    <t>Aquisições de itens de TIC</t>
  </si>
  <si>
    <t>5207 - EQUIPAMENTOS DE INFORMATICA</t>
  </si>
  <si>
    <t>5208 - EQUIPAMENTOS DE SOM, VIDEO, FOTOGRAFICO E CINEMATOGRAFICO</t>
  </si>
  <si>
    <t>5210 - FERRAMENTAS, EQUIPAMENTOS E INSTRUMENTOS PARA OFICINA, MEDICAO E INSPECAO</t>
  </si>
  <si>
    <t>5212 - MAQUINAS, APARELHOS, UTENSILIOS E EQUIPAMENTOS DE USO ADMINISTRATIVO</t>
  </si>
  <si>
    <t>Aquisição de Veículos</t>
  </si>
  <si>
    <t>5220 - EQUIPAMENTOS DE SEGURANCA ELETRONICA</t>
  </si>
  <si>
    <t>5226 - EQUIPAMENTOS DE PROTECAO, SEGURANCA E SOCORRO</t>
  </si>
  <si>
    <t>5227 - PEÇAS NÃO INCORPORÁVEIS A IMÓVEIS</t>
  </si>
  <si>
    <t>9202 - DESPESAS DE EXERCÍCIOS ANTERIORES ? OUTRAS DESPESAS</t>
  </si>
  <si>
    <t>DEAs</t>
  </si>
  <si>
    <t>Restituição de convênios</t>
  </si>
  <si>
    <t>9399 - OUTRAS INDENIZACOES E RESTITUICOES</t>
  </si>
  <si>
    <t>1317 - INSS - DEMAIS DESPESAS</t>
  </si>
  <si>
    <t>INSS e Obrigações patronais</t>
  </si>
  <si>
    <t>3601 - ESTAGIARIOS</t>
  </si>
  <si>
    <t>Advogados Dativos</t>
  </si>
  <si>
    <t>Aluguéis e condomínios</t>
  </si>
  <si>
    <t>3702 - LOCACAO DE SERVICOS DE APOIO ADMINISTRATIVO</t>
  </si>
  <si>
    <t>3920 - LOCACAO DE BENS IMOVEIS</t>
  </si>
  <si>
    <t>3937 - TAXA DE CONDOMINIO</t>
  </si>
  <si>
    <t>3962 - SERVICOS DE VIGILANCIA OSTENSIVA</t>
  </si>
  <si>
    <t>Concurso público</t>
  </si>
  <si>
    <t>4006 - AQUISICAO DE SOFTWARE</t>
  </si>
  <si>
    <t>4007 - AQUISICAO DE SOFTWARE DESENVOLVIDOS PELA PRODEMGE</t>
  </si>
  <si>
    <t>5230 - MÁQUINAS E EQUIPAMENTOS ENERGÉTICOS</t>
  </si>
  <si>
    <t>3952 - CONTRATACAO DE ESTAGIARIOS</t>
  </si>
  <si>
    <t>3029 - SEMENTES, MUDAS DE PLANTAS E INSUMOS</t>
  </si>
  <si>
    <t>3041 - MATERIAL DE PROTECAO E SEGURANCA</t>
  </si>
  <si>
    <t>3303 - FRETAMENTO E LOCACAO - PESSOA FISICA</t>
  </si>
  <si>
    <t>3502 - SERVICOS DE CONSULTORIA ? PESSOA JURIDICA</t>
  </si>
  <si>
    <t>Consultoria</t>
  </si>
  <si>
    <t>3611 - LOCACAO DE BENS IMOVEIS</t>
  </si>
  <si>
    <t>3938 - SERVICOS DE IMPRESSAO E ENCADERNACAO</t>
  </si>
  <si>
    <t>3960 - SERVICOS DE ATENDIMENTO AO CIDADAO</t>
  </si>
  <si>
    <t>3995 - SERVIÇOS NOTARIAIS E DE REGISTRO</t>
  </si>
  <si>
    <t>3996 - TRANSFERÊNCIA ONEROSA DA POSSE DE BENS IMÓVEIS DE PROPRIEDADE DO ESTADO DE MINAS GERAIS</t>
  </si>
  <si>
    <t>4905 - AUXILIO-TRANSPORTE PAGO A ESTAGIARIOS - PECUNIA</t>
  </si>
  <si>
    <t>5211 - INSTRUMENTOS DE LABORATORIO, MEDICOS E ODONTOLOGICOS</t>
  </si>
  <si>
    <t>3939 - SERVICOS DE PUBLICACAO E DIVULGACAO</t>
  </si>
  <si>
    <t>3949 - CURSOS DE FORMACAO E CAPACITACAO PARA O CIDADAO</t>
  </si>
  <si>
    <t>3963 - SERVICOS DE LEVANTAMENTO E CADASTRAMENTO PARA EXECUCAO DE POL PUBLICAS</t>
  </si>
  <si>
    <t>Cadastramento para regularização fundiária</t>
  </si>
  <si>
    <t>3964 - SERVICOS DE MAPEAMENTO E GEORREFERENCIAMENTO</t>
  </si>
  <si>
    <t>4101 - CONTRIBUICOES</t>
  </si>
  <si>
    <t>Contribuições</t>
  </si>
  <si>
    <t>5114 - EXECUCAO DE OBRAS POR EMPRESAS CONTROLADAS JURIDICA</t>
  </si>
  <si>
    <t>Execução de obra por empresa controlada</t>
  </si>
  <si>
    <t>9108 - OUTRAS DECISÕES JUDICIAIS - DEPÓSITO EM CONTA CORRENTE OU À DISPOSIÇÃO</t>
  </si>
  <si>
    <t>Precatórios</t>
  </si>
  <si>
    <t>3973 - SERVICO DE ENGENHARIA PARA OPERACAO DE BENS DE DOMINIO PUBLICO</t>
  </si>
  <si>
    <t>3980 - ADESÃO AO PARCELAMENTO DECORRENTE DA LEI FEDERAL N.11.941/2009</t>
  </si>
  <si>
    <t>3989 - LOCACAO OU FRETAMENTO DE AERONAVE</t>
  </si>
  <si>
    <t>Instrumentos de Saída</t>
  </si>
  <si>
    <t>9201 - DESPESAS DE EXERCÍCIOS ANTERIORES - PESSOAL</t>
  </si>
  <si>
    <t>1313 - OBRIGAÇÃO PATRONAL – MÉDICOS RESIDENTES</t>
  </si>
  <si>
    <t>1502 - DIÁRIAS MILITAR – SCDP</t>
  </si>
  <si>
    <t>3932 - MONITORAMENTO E RASTREAMENTO VEICULAR</t>
  </si>
  <si>
    <t>3990 - CURSOS DE FORMACAO, CAPACITACAO E TREINAMENTO DE TRIPULANTES DE AERONAVES</t>
  </si>
  <si>
    <t>Capacitação Aeronave</t>
  </si>
  <si>
    <t>3998 - SERVICOS DE SAUDE PRESTADOS POR CONTRATO</t>
  </si>
  <si>
    <t>Ajuda de Custo</t>
  </si>
  <si>
    <t>1307 - OBRIGAÇÃO PATRONAL – CONTRATOS DE TERCEIRIZAÇÃO</t>
  </si>
  <si>
    <t>Bolsas de estudos</t>
  </si>
  <si>
    <t>Contratos Administrativos</t>
  </si>
  <si>
    <t>3405 - SALÁRIO - FAMÍLIA</t>
  </si>
  <si>
    <t>3501 - SERVICOS DE CONSULTORIA ? PESSOA FISICA</t>
  </si>
  <si>
    <t>3605 - LOCAÇÃO DE SERVIÇOS TÉCNICOS E ESPECIALIZADOS ? PESSOA FÍSICA</t>
  </si>
  <si>
    <t>3616 - REPARO E MANUTENCAO DE VEICULOS</t>
  </si>
  <si>
    <t>Termos de parceria e contratos de gestão</t>
  </si>
  <si>
    <t>3983 - SERVICOS DE REALIZACAO DE PROCESSO DE CERTIFICACAO OCUPACIONAL</t>
  </si>
  <si>
    <t>3992 - CONTRATO DE GESTAO COM ORGANIZACAO SOCIAL - OS</t>
  </si>
  <si>
    <t>4106 - TRANSFERENCIAS PARA FINANCIAMENTO DO TRANSPORTE ESCOLAR</t>
  </si>
  <si>
    <t>Transporte escolar</t>
  </si>
  <si>
    <t>4201 - AUXILIOS</t>
  </si>
  <si>
    <t>4301 - SUBVENCOES SOCIAIS</t>
  </si>
  <si>
    <t>SUBVENÇÕES SOCIAIS</t>
  </si>
  <si>
    <t>4904 - AUXÍLIO-TRANSPORTE ? BILHETE OU CARTÃO MAGNÉTICO</t>
  </si>
  <si>
    <t>5218 - COLECOES E MATERIAIS BIBLIOGRAFICOS</t>
  </si>
  <si>
    <t>Aquisição de Imóveis</t>
  </si>
  <si>
    <t>6102 - SALAS E ESCRITORIOS</t>
  </si>
  <si>
    <t>3036 - MATERIAL BIBLIOGRAFICO PARA BIBLIOTECAS PUBLICAS</t>
  </si>
  <si>
    <t>Subvenções econômicas</t>
  </si>
  <si>
    <t>8501 - CONTRATO DE GESTÃO COM ORGANIZAÇÃO SOCIAL - OS</t>
  </si>
  <si>
    <t>0899 - AUXÍLIOS DIVERSOS</t>
  </si>
  <si>
    <t>2701 - ENCARGOS PELA HONRA DE AVAIS, GARANTIAS, SEGUROS E SIMILARES</t>
  </si>
  <si>
    <t>3975 - SERVICO DE GERENCIAMENTO, SUPERVISAO E FISCALIZACAO DE SERVICOS CONTRATADOS</t>
  </si>
  <si>
    <t>Fiscalização de serviços</t>
  </si>
  <si>
    <t>Elaboração de estudos prévios</t>
  </si>
  <si>
    <t>3993 - APOIO A PROJETOS DE INCENTIVO A INOVACAO E A PESQUISA CIENTIFICA E TECNOLOGICA, A CAPACITACAO TECNOLOGICA E AO ALCANCE DA AUTONOMIA TECNOLOGICA</t>
  </si>
  <si>
    <t>Subvenções Econômicas - Colchão Metrô</t>
  </si>
  <si>
    <t>4502 - SUBVENÇÃO ECONÔMICA - TRANSPORTE PÚBLICO COLETIVO</t>
  </si>
  <si>
    <t>Subvenção econômica</t>
  </si>
  <si>
    <t>5112 - MATERIAL PARA OBRAS - BENS NAO PATRIMONIAVEIS</t>
  </si>
  <si>
    <t>5115 - EXECUÇÃO DE OBRAS - METRÔ RMBH</t>
  </si>
  <si>
    <t>0409 - OBRIGAÇÃO PATRONAL – CONTRATOS POR TEMPO DETERMINADO – ENCARGOS POR PAGAMENTO EM ATRASO</t>
  </si>
  <si>
    <t>PREMIOS, DIPLOMAS, CONDECORACOES E MEDALHAS</t>
  </si>
  <si>
    <t>LOCAÇÃO DE SERVIÇOS TÉCNICOS E ESPECIALIZADOS ? PESSOA FÍSICA</t>
  </si>
  <si>
    <t>EVENTUAL DE GABINETE</t>
  </si>
  <si>
    <t>DESPESAS MIÚDAS DE PRONTO PAGAMENTO</t>
  </si>
  <si>
    <t>REPAROS DE EQUIPAMENTOS, INSTALAÇÕES E MATERIAL PERMANENTE</t>
  </si>
  <si>
    <t>OUTRAS DESPESAS PAGAS A PESSOAS FÍSICAS</t>
  </si>
  <si>
    <t>CONFECÇÃO EM GERAL</t>
  </si>
  <si>
    <t>TRANSPORTE E ACONDICIONAMENTO DE MATERIAIS E EQUIPAMENTOS</t>
  </si>
  <si>
    <t>LOCACAO DE SERVICOS GRAFICOS</t>
  </si>
  <si>
    <t>SERVIÇOS DE IMPRESSÃO E ENCADERNAÇÃO</t>
  </si>
  <si>
    <t>SERVIÇOS DE PUBLICAÇÃO E DIVULGAÇÃO</t>
  </si>
  <si>
    <t>ANUIDADES, CERTIFICADOS E REGISTROS</t>
  </si>
  <si>
    <t>EVENTOS DE COMUNICAÇÃO INSTITUCIONAL</t>
  </si>
  <si>
    <t>SERVICOS DE ATENDIMENTO AO CIDADAO</t>
  </si>
  <si>
    <t>SERVIÇO DE ENGENHARIA PARA OPERAÇÃO DE BENS DE DOMÍNIO PÚBLICO</t>
  </si>
  <si>
    <t>SERVIÇOS DE ELABORAÇÃO DE ESTUDOS PRÉVIOS</t>
  </si>
  <si>
    <t>MULTA POR ATO INFRACIONAL</t>
  </si>
  <si>
    <t>TRANSFERENCIA ONEROSA DA POSSE DE BENS IMOVEIS DE PROPRIEDADE DO ESTADO DE MINAS GERAIS</t>
  </si>
  <si>
    <t>OUTROS SERVICOS-PESSOA JURIDICA</t>
  </si>
  <si>
    <t>INDENIZAÇÃO POR UTILIZAÇÃO DE BENS DE TERCEIROS</t>
  </si>
  <si>
    <t>OUTRAS INDENIZAÇÕES E RESTITUIÇÕES</t>
  </si>
  <si>
    <t>Prêmios, diplomas, condecorações e medalhas</t>
  </si>
  <si>
    <t>3607 - CONFECCAO EM GERAL</t>
  </si>
  <si>
    <t>4602 - AUXILIO ALIMENTACAO POR BILHETE OU CARTAO MAGNETICO</t>
  </si>
  <si>
    <t>0805 - AUXÍLIO NATALIDADE</t>
  </si>
  <si>
    <t>1323 - OBRIGAÇÃO PATRONAL -  CONTRATOS DE TERCEIRIZAÇÃO - DESPESAS COM ASSISTÊNCIA À SAÚDE</t>
  </si>
  <si>
    <t>Pronto Pagamento</t>
  </si>
  <si>
    <t>5102 - EXECUCAO DIRETA DE OBRAS DE BENS PATRIMONIAVEIS</t>
  </si>
  <si>
    <t>6106 - IMOVEIS NECESSARIOS A REALIZACAO DE OBRAS DE BENS PATRIMONIAVEIS</t>
  </si>
  <si>
    <t>9113 - INDENIZAÇÕES DETERMINADAS POR DECISÕES JUDICIAIS</t>
  </si>
  <si>
    <t>5109 - EXECUCAO DIRETA DE OBRAS DE BENS NAO PATRIMONIAVEIS</t>
  </si>
  <si>
    <t>5224 - MAQUINAS, INSTALACOES E UTENSILIOS DE ESCRITORIO</t>
  </si>
  <si>
    <t>4109 - TRANSFERÊNCIAS ESPECIAIS A MUNICÍPIOS - OUTRAS</t>
  </si>
  <si>
    <t>Transferência Especial</t>
  </si>
  <si>
    <t>9117 - ACORDOS ADMINISTRATIVOS OU JUDICIAIS FIRMADOS COM A CONCILIAÇÃO E MEDIAÇÃO DA CPRAC OU COMPOR</t>
  </si>
  <si>
    <t>9316 - INDENIZACOES DETERMINADAS POR LEI ESPECIFICA</t>
  </si>
  <si>
    <t>2001 - AUXILIO FINANCEIRO A PESQUISADORES</t>
  </si>
  <si>
    <t>Outros</t>
  </si>
  <si>
    <t>Publicidade</t>
  </si>
  <si>
    <t>Remuneraçao TJMG</t>
  </si>
  <si>
    <t>9333 - RESTITUIÇÃO DE RECURSOS – LC 151/2015</t>
  </si>
  <si>
    <t>9334 - RECOMPOSIÇÃO DOS DEPÓSITOS JUDICIAIS – LC 151/2015</t>
  </si>
  <si>
    <t>9335 - RESTITUIÇÃO DE RECURSOS DE DEPÓSITOS ADMINISTRATIVOS E JUDICIAIS</t>
  </si>
  <si>
    <t>9701 - APORTE PARA COBERTURA DO DÉFICIT ATUARIAL DO RPPS</t>
  </si>
  <si>
    <t>5908 - PENSÕES DECORRENTES DA LEI Nº 21.527/2014</t>
  </si>
  <si>
    <t>0802 - AUXILIO-FUNERAL</t>
  </si>
  <si>
    <t>3608 - MEDICOS</t>
  </si>
  <si>
    <t>3624 - SERVICOS TECNICOS JUDICIAIS ? HONORARIOS PERICIAIS ? JUSTICA GRATUITA</t>
  </si>
  <si>
    <t>3632 - SERVIÇOS DE SAÚDE – DECISÃO JUDICIAL</t>
  </si>
  <si>
    <t>3965 - SERVICOS DE PRODUCAO E LOGISTICA DE MEDICAMENTOS</t>
  </si>
  <si>
    <t>3982 - SERVICOS TECNICOS JUDICIAIS ? HONORARIOS JUDICIAIS</t>
  </si>
  <si>
    <t>5905 - PENSAO DECORRENTE DE SENTENCA JUDICIAL - TERCEIROS</t>
  </si>
  <si>
    <t>9110 - SERVICOS DE SAUDE PRESTADO POR PESSOA FISICA - DECISAO JUDICIAL</t>
  </si>
  <si>
    <t>9111 - SERVICOS DE SAUDE PRESTADO POR PESSOA JURIDICA - DECISAO JUDICIAL</t>
  </si>
  <si>
    <t>9112 - MEDICAMENTOS  E  MATERIAL  MÉDICO HOSPITALAR – DECISÃO JUDICIAL</t>
  </si>
  <si>
    <t>Constituição ou aumento de capital de empresas</t>
  </si>
  <si>
    <t>6502 - CONSTITUICAO OU AUMENTO DE CAPITAL DE EMPRESAS ? CAPITAL INTEGRALIZADO</t>
  </si>
  <si>
    <t>DESPESAS MIUDAS DE PRONTO PAGAMENTO</t>
  </si>
  <si>
    <t>REPAROS DE EQUIPAMENTOS, INSTALACOES E MATERIAL PERMANENTE</t>
  </si>
  <si>
    <t>3902 - VALE-REFEICAO</t>
  </si>
  <si>
    <t>CONFECCAO EM GERAL</t>
  </si>
  <si>
    <t>PUBLICAÇÃO E DIVULGAÇÃO</t>
  </si>
  <si>
    <t>ASSINATURAS DE JORNAIS, REVISTAS E PERIÓDICOS</t>
  </si>
  <si>
    <t>ENCARGOS JUDICIAIS</t>
  </si>
  <si>
    <t>SERVICOS GRAFICOS DE SEGURANCA</t>
  </si>
  <si>
    <t>CONTRATAÇÃO DE PROJETOS EM PESQUISA DE CIÊNCIA, INOVAÇÃO E TECNOLOGIA</t>
  </si>
  <si>
    <t>APORTE PARA COBERTURA DO DÉFICIT ATUARIAL DO RPPS</t>
  </si>
  <si>
    <t>MATERIAL DE PROTECAO E SEGURANCA</t>
  </si>
  <si>
    <t>CONFERÊNCIAS E EXPOSIÇÕES</t>
  </si>
  <si>
    <t>LOCAÇÃO DE SERVIÇOS GRÁFICOS</t>
  </si>
  <si>
    <t>Serviços de Mapeamento e Georreferenciamento</t>
  </si>
  <si>
    <t>APOIO A PROJETOS DE INCENTIVO A INOVACAO E A PESQUISA CIENTIFICA E TECNOLOGICA, A CAPACITACAO TECNOLOGICA E AO ALCANCE DA AUTONOMIA TECNOLOGICA</t>
  </si>
  <si>
    <t>0501 - AUXÍLIO-RECLUSÃO</t>
  </si>
  <si>
    <t>0505 - PECÚLIO E SEGURO COLETIVO</t>
  </si>
  <si>
    <t>0809 - AUXILIO-RECLUSAO</t>
  </si>
  <si>
    <t>0811 - PECULIO E SEGURO COLETIVO</t>
  </si>
  <si>
    <t>3037 - MEDICAMENTOS - DECISAO JUDICIAL</t>
  </si>
  <si>
    <t>4906 - AUXILIO-TRANSPORTE PAGO A ESTAGIARIOS - BILHETE OU CARTAO MAGNETICO</t>
  </si>
  <si>
    <t>3606 - FORNECIMENTO DE ALIMENTACAO</t>
  </si>
  <si>
    <t>3707 - DESPESAS COM O PAGAMENTO DE OBRIGAÇÕES TRABALHISTAS</t>
  </si>
  <si>
    <t>9203 - DESPESAS DE EXERCÍCIOS ANTERIORES – OBRIGAÇÕES PATRONAIS</t>
  </si>
  <si>
    <t>Mapeamento e georreferenciamento</t>
  </si>
  <si>
    <t>0702 - CONTRIBUIÇÃO A ENTIDADES FECHADAS DE PREVIDÊNCIA - ENCARGOS POR PAGAMENTO EM ATRASO</t>
  </si>
  <si>
    <t>CONTRATACAO PARA PRESTACAO DE SERVICO POR CREDENCIADOS</t>
  </si>
  <si>
    <t>TAXA DE ADMINISTRAÇÃO</t>
  </si>
  <si>
    <t>SERVICOS DE PUBLICACAO E DIVULGACAO</t>
  </si>
  <si>
    <t>Outros serviços PJ</t>
  </si>
  <si>
    <t>Contribuições aos Comitês de Bacia</t>
  </si>
  <si>
    <t>RESTITUIÇÃO DE RECEITA - EXERCÍCIO ANTERIOR</t>
  </si>
  <si>
    <t>0803 - AUXILIO-CRECHE ASSISTENCIA PRE-ESCOLAR</t>
  </si>
  <si>
    <t>4601 - AUXÍLIO ALIMENTAÇÃO - PECÚNIA</t>
  </si>
  <si>
    <t>3928 - SERVICOS DE SAUDE EXECUTADOS COM RECURSOS DO SUS</t>
  </si>
  <si>
    <t>3976 - SERVICO DE REMOCAO E TRANSPORTE DE CADAVERES</t>
  </si>
  <si>
    <t>4903 - DESPESA DE TRANSPORTE DEVIDA A SERVIDORES DOS PODERES DO ESTADO</t>
  </si>
  <si>
    <t>Auxílio para profissionais de programas de capacitação e formação</t>
  </si>
  <si>
    <t>9330 - REEMBOLSO DE DESPESA REALIZADA EM CONTRATOS OU CONVÊNIOS FIRMADOS EM REGIME DE PARCERIA COM O PODER EXECUTIVO</t>
  </si>
  <si>
    <t>5223 - MAQUINAS E EQUIPAMENTOS GRAFICOS</t>
  </si>
  <si>
    <t>Particição em feiras</t>
  </si>
  <si>
    <t>ARSAE-MG</t>
  </si>
  <si>
    <t>4901 - AUXILIO - TRANSPORTE - PECUNIA</t>
  </si>
  <si>
    <t>4104 - CONTRIBUICOES DO FUNDO ESTADUAL DE SAUDE - FES - LC 141/2012</t>
  </si>
  <si>
    <t>9319 - INDENIZACOES DECORRENTES DA UTILIZACAO DE LEITOS DE INSTITUICOES DE SAUDE PRIVADAS</t>
  </si>
  <si>
    <t>SERVIÇOS DE CONSULTORIA ? PESSOA JURÍDICA</t>
  </si>
  <si>
    <t>CONTRATAÇÃO DE SERVIÇO DE TERCEIROS PARA EXECUTAR E MONITORAR O PROGRAMA ESTADUAL DE PSA</t>
  </si>
  <si>
    <t>CONTRIBUICOES</t>
  </si>
  <si>
    <t>Bolsa Verde</t>
  </si>
  <si>
    <t>8201 - APORTE DE RECURSOS PELO PARCEIRO PÚBLICO EM FAVOR DO PARCEIRO PRIVADO DECORRENTE DE CONTRATO DE PARCERIA PÚBLICO-PRIVADA - PPP</t>
  </si>
  <si>
    <t>Aporte de recursos pelo PPP</t>
  </si>
  <si>
    <t>8301 - PARCELAS DAS CONTRAPRESTAÇÕES REFERENTES À REMUNERAÇÃO DO PARCEIRO PRIVADO POR SERVIÇOS EM CONCESSÕES ADMINISTRATIVAS</t>
  </si>
  <si>
    <t>Despesas de contrato de PPP</t>
  </si>
  <si>
    <t>8303 - OUTRAS DESPESAS DECORRENTES DE CONTRATO DE PARCERIA PÚBLICO-PRIVADA - PPP, EXCETO SUBVENÇÕES ECONÔMICAS, APORTE E FUNDO GARANTIDOR</t>
  </si>
  <si>
    <t>9109 - SENTENÇA ARBITRAL</t>
  </si>
  <si>
    <t>1 - RECURSOS DO TESOURO</t>
  </si>
  <si>
    <t>2 - RECURSOS PRÓPRIOS</t>
  </si>
  <si>
    <t>DER-MG</t>
  </si>
  <si>
    <t>10.1</t>
  </si>
  <si>
    <t>59.1</t>
  </si>
  <si>
    <t>83.1</t>
  </si>
  <si>
    <t>52.1</t>
  </si>
  <si>
    <t>71.1</t>
  </si>
  <si>
    <t>26.1</t>
  </si>
  <si>
    <t>31.1</t>
  </si>
  <si>
    <t>60.1</t>
  </si>
  <si>
    <t>45.1</t>
  </si>
  <si>
    <t>99.1</t>
  </si>
  <si>
    <t>91.1</t>
  </si>
  <si>
    <t>38.1</t>
  </si>
  <si>
    <t>56.1</t>
  </si>
  <si>
    <t>83.2</t>
  </si>
  <si>
    <t>72.1</t>
  </si>
  <si>
    <t>61.1</t>
  </si>
  <si>
    <t>47.1</t>
  </si>
  <si>
    <t>32.1</t>
  </si>
  <si>
    <t>33.1</t>
  </si>
  <si>
    <t>54.2</t>
  </si>
  <si>
    <t>60.2</t>
  </si>
  <si>
    <t>AGÊNCIA DE PROMOÇÃO DE INVESTIMENTOS DE MINAS GERAIS</t>
  </si>
  <si>
    <t>ASSEMBLEIA LEGISLATIVA DO ESTADO DE MINAS GERAIS</t>
  </si>
  <si>
    <t>BANCO DE DESENVOLVIMENTO DE MINAS GERAIS S.A</t>
  </si>
  <si>
    <t>CEMIG DISTRIBUIÇÃO S.A</t>
  </si>
  <si>
    <t>CEMIG GERAÇÃO E TRANSMISSÃO S.A</t>
  </si>
  <si>
    <t>COMPANHIA DE DESENVOLVIMENTO DE MINAS GERAIS</t>
  </si>
  <si>
    <t>COMPANHIA DE DESENVOLVIMENTO ECONÔMICO DE MINAS GERAIS</t>
  </si>
  <si>
    <t>COMPANHIA DE GÁS DE MINAS GERAIS</t>
  </si>
  <si>
    <t>COMPANHIA DE HABITAÇÃO DO ESTADO DE MINAS GERAIS</t>
  </si>
  <si>
    <t>COMPANHIA DE SANEAMENTO DE MINAS GERAIS</t>
  </si>
  <si>
    <t>COMPANHIA DE TECNOLOGIA DA INFORMAÇÃO DO ESTADO DE MINAS GERAIS</t>
  </si>
  <si>
    <t>COMPANHIA ENERGÉTICA DE MINAS GERAIS</t>
  </si>
  <si>
    <t>COPASA - SERVIÇOS DE SANEAMENTO INTEGRADO DO NORTE E NORDESTE DE MINAS GERAIS S/A</t>
  </si>
  <si>
    <t>DEFENSORIA PUBLICA DO ESTADO DE MINAS GERAIS</t>
  </si>
  <si>
    <t>EGE SEC.FAZENDA-ENCARGOS DIVERSOS</t>
  </si>
  <si>
    <t>EGE-SECRETARIA DE ESTADO DE PLANEJAMENTO E GESTÃO</t>
  </si>
  <si>
    <t>ENCARGOS GERAIS DO ESTADO - INSTRUMENTOS DE ENTRADA DE RECURSOS</t>
  </si>
  <si>
    <t>FUNDO DE APOIO HABITACIONAL AOS MILITARES DO ESTADO DE MINAS GERAIS</t>
  </si>
  <si>
    <t>FUNDO DE APOIO HABITACIONAL DA ASSEMBLEIA LEGISLATIVA DE MINAS GERAIS</t>
  </si>
  <si>
    <t>FUNDO DE ASSISTÊNCIA AO TURISMO</t>
  </si>
  <si>
    <t>FUNDO DE ATIVOS IMOBILIÁRIOS DE MINAS GERAIS</t>
  </si>
  <si>
    <t>FUNDO DE FOMENTO E DESENVOLVIMENTO SOCIOECONÔMICO DO ESTADO DE MINAS GERAIS</t>
  </si>
  <si>
    <t>FUNDO DE GARANTIAS DE PARCERIAS PÚBLICO - PRIVADAS DE MINAS GERAIS</t>
  </si>
  <si>
    <t>FUNDO DE INVESTIMENTO DO ESTADO DE MINAS GERAIS</t>
  </si>
  <si>
    <t>FUNDO DE INVESTIMENTOS IMOBILIÁRIOS DE MINAS GERAIS</t>
  </si>
  <si>
    <t>FUNDO DE PAGAMENTO DE PARCERIAS PÚBLICO - PRIVADAS DE MINAS GERAIS</t>
  </si>
  <si>
    <t>FUNDO DO TRIBUNAL DE CONTAS DO ESTADO DE MINAS GERAIS</t>
  </si>
  <si>
    <t>FUNDO ESPECIAL DE CRÉDITOS INADIMPLIDOS E DÍVIDA ATIVA</t>
  </si>
  <si>
    <t>FUNDO ESPECIAL DO MINISTÉRIO PÚBLICO DO ESTADO DE MINAS GERAIS</t>
  </si>
  <si>
    <t>FUNDO ESPECIAL DO PODER JUDICIÁRIO DO ESTADO DE MINAS GERAIS</t>
  </si>
  <si>
    <t>FUNDO ESTADUAL DE CULTURA</t>
  </si>
  <si>
    <t>FUNDO ESTADUAL DE DEFESA DE DIREITOS DIFUSOS</t>
  </si>
  <si>
    <t>FUNDO ESTADUAL DE DESENVOLVIMENTO RURAL</t>
  </si>
  <si>
    <t>FUNDO ESTADUAL DE HABITAÇÃO</t>
  </si>
  <si>
    <t>FUNDO ESTADUAL DE PREVENÇÃO, FISCALIZAÇÃO E REPRESSÃO DE ENTORPECENTES</t>
  </si>
  <si>
    <t>FUNDO ESTADUAL DE PREVIDÊNCIA DO ESTADO DE MINAS GERAIS</t>
  </si>
  <si>
    <t>FUNDO ESTADUAL DE PROTEÇÃO E DEFESA DO CONSUMIDOR</t>
  </si>
  <si>
    <t>FUNDO ESTADUAL DE SEGURANÇA PÚBLICA DE MINAS GERAIS</t>
  </si>
  <si>
    <t>FUNDO ESTADUAL DO TRABALHO DE MINAS GERAIS</t>
  </si>
  <si>
    <t>FUNDO ESTADUAL DOS DIREITOS DO IDOSO</t>
  </si>
  <si>
    <t>FUNDO FINANCEIRO DE PREVIDÊNCIA DO ESTADO DE MINAS GERAIS</t>
  </si>
  <si>
    <t>FUNDO PARA A INFÂNCIA E A ADOLESCÊNCIA</t>
  </si>
  <si>
    <t>FUNDO PENITENCIÁRIO ESTADUAL</t>
  </si>
  <si>
    <t>GESTÃO DA DÍVIDA PÚBLICA ESTADUAL</t>
  </si>
  <si>
    <t>INSTITUTO DE METROLOGIA E QUALIDADE DO ESTADO DE MINAS GERAIS</t>
  </si>
  <si>
    <t>INSTITUTO DE PREVIDÊNCIA DO LEGISLATIVO DO ESTADO DE MINAS GERAIS</t>
  </si>
  <si>
    <t>MINAS GERAIS ADMINISTRAÇÃO E SERVIÇOS S.A</t>
  </si>
  <si>
    <t>MINAS GERAIS PARTICIPAÇÕES S.A</t>
  </si>
  <si>
    <t>PARTICIPAÇÃO NO AUMENTO DO CAPITAL SOCIAL DE EMPRESAS</t>
  </si>
  <si>
    <t>PROCURADORIA GERAL DE JUSTIÇA</t>
  </si>
  <si>
    <t>RESERVA DE CONTINGÊNCIA</t>
  </si>
  <si>
    <t>TREM METROPOLITANO DE BELO HORIZONTE S.A</t>
  </si>
  <si>
    <t>TRIBUNAL DE CONTAS DO ESTADO DE MINAS GERAIS</t>
  </si>
  <si>
    <t>TRIBUNAL DE JUSTIÇA DO ESTADO DE MINAS GERAIS</t>
  </si>
  <si>
    <t>TRIBUNAL DE JUSTIÇA MILITAR DO ESTADO DE MINAS GERAIS</t>
  </si>
  <si>
    <t>014 - FINANCIAMENTO À DESCARBONIZAÇÃO E RESILIÊNCIA CLIMÁTICA ENTRE BDMG E BANCO INTERAMERICANO DE DESENVOLVIMENTO (BDMG PBR)</t>
  </si>
  <si>
    <t>072 - DISTRIBUIÇÃO DE ENERGIA ELÉTRICA</t>
  </si>
  <si>
    <t>092 - TRANSMISSÃO DE ENERGIA ELÉTRICA</t>
  </si>
  <si>
    <t>030 - SOLUÇÕES EM TECNOLOGIA DA INFORMAÇÃO E COMUNICAÇÃO</t>
  </si>
  <si>
    <t>035 - INVESTIMENTOS CEMIG</t>
  </si>
  <si>
    <t>005 - PROGRAMA MINEIRO DE ACESSIBILIDADE, INCLUSÃO E SAÚDE (PROMAIS)</t>
  </si>
  <si>
    <t>009 - PROGRAMA DE APOIO HABITACIONAL AOS MILITARES DO ESTADO DE MINAS GERAIS</t>
  </si>
  <si>
    <t>024 - DESENVOLVIMENTO SOCIOECONÔMICO</t>
  </si>
  <si>
    <t>020 - FOMENTO E INCENTIVO DE INVESTIMENTOS</t>
  </si>
  <si>
    <t>023 - POLÍTICAS PARA CRIANÇAS E ADOLESCENTES</t>
  </si>
  <si>
    <t>012 - POLÍTICA PÚBLICA DE METROLOGIA E AVALIAÇÃO DA CONFORMIDADE</t>
  </si>
  <si>
    <t>057 - SOLUÇÕES EM SERVIÇOS DE APOIO TÉCNICO-OPERACIONAL</t>
  </si>
  <si>
    <t>013 - APORTE DE CAPITAL E MANUTENÇÃO DA INFRAESTRUTURA DA MGI</t>
  </si>
  <si>
    <t>017 - INVESTIMENTO NA INFRAESTRUTURA ADMINISTRATIVA E OPERACIONAL  DO BDMG</t>
  </si>
  <si>
    <t>094 - GERAÇÃO DE ENERGIA ELÉTRICA</t>
  </si>
  <si>
    <t>068 - PRIMEIRA INFÂNCIA MINAS</t>
  </si>
  <si>
    <t>2013 - CONCESSÕES DE TRANSPORTES NAS MODALIDADES RODOVIÁRIAS, FERROVIÁRIAS, AEROVIÁRIA, AQUAVIÁRIA E HIDROVIÁRIA</t>
  </si>
  <si>
    <t>7004 - PRECATÓRIOS E SENTENÇAS JUDICIÁRIAS</t>
  </si>
  <si>
    <t>767 - RESERVA DE BENEFÍCIOS</t>
  </si>
  <si>
    <t>162 - PROGRAMA DE DESENVOLVIMENTO E GESTÃO DE PESSOAS DA REDE ESTADUAL DE ENSINO</t>
  </si>
  <si>
    <t>2417 - REMUNERAÇÃO DE PESSOAL ATIVO E ENCARGOS SOCIAIS</t>
  </si>
  <si>
    <t>4029 - ATENÇÃO  AO SISTEMA ESTADUAL DE TRANSPLANTES</t>
  </si>
  <si>
    <t>4128 - LOTE OURO PRETO</t>
  </si>
  <si>
    <t>7013 - GESTÃO DE GARANTIA E/OU CONTRAGARANTIA EM OPERAÇÕES DE TERCEIROS</t>
  </si>
  <si>
    <t>8003 - FINANCIAMENTO À DESCARBONIZAÇÃO E RESILIÊNCIA CLIMÁTICA ENTRE BDMG E BANCO INTERAMERICANO DE DESENVOLVIMENTO (BDMG PBR)</t>
  </si>
  <si>
    <t>4280 - MITIGAÇÃO DE DANOS PONTUAIS NAS RODOVIAS</t>
  </si>
  <si>
    <t>4424 - FOMENTO AO DESENVOLVIMENTO E À DIFUSÃO DO AUDIOVISUAL MINEIRO</t>
  </si>
  <si>
    <t>1011 - CAPACITAÇÃO DOS PROFISSIONAIS DA FUCAM PARA ATENDIMENTO ADEQUADO A PESSOAS COM DEFICIÊNCIAS</t>
  </si>
  <si>
    <t>4030 - ATENÇÃO À SAÚDE NAS UNIDADES ASSISTENCIAIS DE REABILITAÇÃO E CUIDADOS INTEGRADOS</t>
  </si>
  <si>
    <t>4139 - CONCESSÕES DE TRANSPORTES NAS MODALIDADES RODOVIÁRIAS, FERROVIÁRIAS, AEROVIÁRIAS, AQUAVIÁRIAS E HIDROVIÁRIAS</t>
  </si>
  <si>
    <t>4207 - PROJETOS ESPECIAIS DE PROMOÇÃO E PROTEÇÃO DE CRIANÇAS E ADOLESCENTES</t>
  </si>
  <si>
    <t>7019 - GESTÃO DE GARANTIA E/OU CONTRAGARANTIA EM OPERAÇÕES DE TERCEIROS</t>
  </si>
  <si>
    <t>1025 - PROMOÇÃO DO ACESSO A EQUIPAMENTOS DE ARMAZENAGEM E DISTRIBUIÇÃO DE RECURSOS HÍDRICOS NO NORTE E NORDESTE DE MINAS GERAIS</t>
  </si>
  <si>
    <t>4111 - COORDENAÇÃO, GOVERNANÇA E COMUNICAÇÃO DO PROMAIS</t>
  </si>
  <si>
    <t>1029 - REALIZAÇÃO DE INTERVENÇÕES DE MELHORIA DA ACESSIBILIDADE NOS ESPAÇOS DA FUCAM</t>
  </si>
  <si>
    <t>4031 - ATENÇÃO À SAÚDE NAS UNIDADES ASSISTENCIAIS DE REFERÊNCIA</t>
  </si>
  <si>
    <t>2030 - CUMPRIMENTO ADMINISTRATIVO DE DETERMINAÇÕES JUDICIAIS DECORRENTES DO ACESSO GRATUITO À JUSTIÇA</t>
  </si>
  <si>
    <t>3009 - INVESTIMENTOS PARTICIPAÇÕES SOCIETÁRIAS DA TRANSMISSÃO</t>
  </si>
  <si>
    <t>4162 - SUPORTE À GESTÃO DOS ATIVOS RODOVIÁRIOS</t>
  </si>
  <si>
    <t>2031 - GESTÃO DE PROJETOS E AÇÕES DE PUBLICIDADE E PROPAGANDA</t>
  </si>
  <si>
    <t>4369 - PALÁCIO PARA TODOS</t>
  </si>
  <si>
    <t>1001 - GESTÃO DO SISTEMA DE FINANCIAMENTO A CULTURA</t>
  </si>
  <si>
    <t>1030 - REALIZAÇÃO DE INTERVENÇÕES DE MELHORIA DA ACESSIBILIDADE NOS ESPAÇOS DA FUCAM</t>
  </si>
  <si>
    <t>4032 - ATENÇÃO À SAÚDE NAS UNIDADES ASSISTENCIAIS DE SAÚDE MENTAL</t>
  </si>
  <si>
    <t>4240 - FORMAÇÃO CONTINUADA E EXECUTIVA</t>
  </si>
  <si>
    <t>4211 - SERVIÇO DE APOIO INTEGRADO AO USUÁRIO</t>
  </si>
  <si>
    <t>4428 - PROJETOS ESPECIAIS DE PROMOÇÃO E PROTEÇÃO DA PRIMEIRA INFÂNCIA</t>
  </si>
  <si>
    <t>4027 - GESTÃO DO FOMENTO E DO SISTEMA DE FINANCIAMENTO À CULTURA</t>
  </si>
  <si>
    <t>167 - PROGRAMA ESTADUAL DE DESENVOLVIMENTO DA EDUCAÇÃO BÁSICA</t>
  </si>
  <si>
    <t>1058 - FORMAÇÃO CULTURAL</t>
  </si>
  <si>
    <t>4034 - ATENÇÃO À SAÚDE NO COMPLEXO HOSPITALAR DE BARBACENA</t>
  </si>
  <si>
    <t>1028 - PROMOÇÃO DE INFRAESTRUTURA HÍDRICA DE PEQUENO PORTE NO NORTE E NORDESTE DE MINAS GERAIS</t>
  </si>
  <si>
    <t>168 - GESTÃO DA REDE FÍSICA ESTADUAL DE ENSINO</t>
  </si>
  <si>
    <t>4272 - IMPLANTAÇÃO E RESTAURAÇÃO DE OBRAS DE ARTES ESPECIAIS</t>
  </si>
  <si>
    <t>4172 - GESTÃO DO FOMENTO E DO SISTEMA DE FINANCIAMENTO À CULTURA</t>
  </si>
  <si>
    <t>4035 - ATENÇÃO À SAÚDE NO COMPLEXO HOSPITALAR DE ESPECIALIDADES</t>
  </si>
  <si>
    <t>169 - GESTÃO DO SISTEMA ESTADUAL DE EDUCAÇÃO</t>
  </si>
  <si>
    <t>4076 - PASSAPORTE MINEIRO DO CONHECIMENTO</t>
  </si>
  <si>
    <t>4036 - ATENÇÃO À SAÚDE NO COMPLEXO HOSPITALAR DE URGÊNCIA E EMERGÊNCIA</t>
  </si>
  <si>
    <t>4392 - APOIO À GESTÃO DE RECURSOS HÍDRICOS</t>
  </si>
  <si>
    <t>4484 - GESTÃO DO FOMENTO E DO SISTEMA DE FINANCIAMENTO À CULTURA</t>
  </si>
  <si>
    <t>6003 - SUPORTE AO DESENVOLVIMENTO ESTADUAL</t>
  </si>
  <si>
    <t>4113 - MANUTENÇÃO E AMPLIAÇÃO DA INFRAESTRUTURA E SISTEMA DE TECNOLOGIA DA INFORMAÇÃO E COMUNICAÇÃO</t>
  </si>
  <si>
    <t>4413 - APOIO À GESTÃO DE RECURSOS HÍDRICOS, RECURSOS REEMBOLSÁVEIS</t>
  </si>
  <si>
    <t>4500 - REGULARIZAÇÃO FUNDIÁRIA DE UNIDADES DE CONSERVAÇÃO</t>
  </si>
  <si>
    <t>5006 - QUALIDADE TOTAL E SEGURANÇA DE DADOS</t>
  </si>
  <si>
    <t>172 - PROGRAMA ESTADUAL DE COOPERACAO ESTADO-MUNICIPIO NA AREA EDUCACIONAL</t>
  </si>
  <si>
    <t>3014 - INVESTIMENTOS EM PARTICIPAÇÕES SOCIETÁRIAS DA GERAÇÃO</t>
  </si>
  <si>
    <t>1069 - FORMAÇÃO E RETENÇÃO DE TALENTOS EM ÁREAS TECNOLÓGICAS</t>
  </si>
  <si>
    <t>1062 - QUALIFICAÇÃO PROFFISSIONAL E CURSOS COMPLEMENTARES, LIVRES, DE FORMAÇÃO INICIAL E CONTINUADA</t>
  </si>
  <si>
    <t>4078 - ENSINO FUNDAMENTAL</t>
  </si>
  <si>
    <t>4535 - PISO MINEIRO DE PROTEÇÃO SOCIAL ESPECIAL</t>
  </si>
  <si>
    <t>1031 - REMUNERAÇÃO DE PESSOAL ATIVO E ENCARGOS SOCIAIS</t>
  </si>
  <si>
    <t>4288 - RECUPERAÇÃO E MANUTENÇÃO DA MALHA VIÁRIA - RECUPERAÇÃO BRUMADINHO</t>
  </si>
  <si>
    <t>4080 - ENSINO MÉDIO REGULAR</t>
  </si>
  <si>
    <t>2067 - DESENVOLVIMENTO DA EDUCAÇÃO ESPECIAL</t>
  </si>
  <si>
    <t>4118 - LOTE OURO PRETO</t>
  </si>
  <si>
    <t>4355 - PROCESSAMENTO JUDICIÁRIO MILITAR, AÇÕES DE COMUNICAÇÃO INSTITUCIONAL E PRIORIZAÇÃO DO 1º GRAU</t>
  </si>
  <si>
    <t>4289 - CONSTRUÇÃO E ADEQUAÇÃO DE RODOVIAS - RECUPERAÇÃO BRUMADINHO</t>
  </si>
  <si>
    <t>1087 - FOMENTO À CIÊNCIA, PESQUISA, DESENVOLVIMENTO, INOVAÇÃO E À TRANSFERÊNCIA DE TECNOLOGIA</t>
  </si>
  <si>
    <t>4175 - PLUG MINAS</t>
  </si>
  <si>
    <t>4012 - PREVENÇÃO E COMBATE AO ASSÉDIO MORAL E SEXUAL</t>
  </si>
  <si>
    <t>4124 - LOTE OURO PRETO</t>
  </si>
  <si>
    <t>4156 - GESTÃO DOS PROJETOS ESTRUTURANTES DE MOBILIDADE</t>
  </si>
  <si>
    <t>4155 - MODERNIZAÇÃO, ESTRUTURAÇÃO, CAPACITAÇÃO EM DEFESA CIVIL</t>
  </si>
  <si>
    <t>4160 - REGULAÇÃO DE CONCESSÕES E PPPS</t>
  </si>
  <si>
    <t>4530 - OPERAÇÃO VIÁRIA E FISCALIZAÇÃO DE TRANSPORTE E TRÂNSITO</t>
  </si>
  <si>
    <t>2022 - REMUNERAÇÃO DE PESSOAL ATIVO E ENCARGOS SOCIAIS</t>
  </si>
  <si>
    <t>4480 - FOMENTO À INCLUSÃO SOCIAL, ACESSIBILIDADE E GARANTIA DE DIREITOS PARA PESSOAS COM DEFICIÊNCIA - PROMAIS</t>
  </si>
  <si>
    <t>2038 - SUPORTE FUNCIONAL PARA ÁREA EDUCACIONAL</t>
  </si>
  <si>
    <t>4161 - REGULAÇÃO DE CONCESSÕES E PPPS</t>
  </si>
  <si>
    <t>4551 - POLÍTICA DE APOIO E AUXÍLIO BIOPSICOSSOCIAL AOS CUIDADORES EXCLUSIVOS DE PESSOAS COM DEFICIÊNCIA E TRANSTORNOS DO NEURODESENVOLVIVEMENTO</t>
  </si>
  <si>
    <t>2040 - RECRUTAMENTO E SELEÇÃO DE PESSOAL</t>
  </si>
  <si>
    <t>4093 - ATENDIMENTO NA CLÍNICA PSICOPEDAGÓGICA ÉDOUARD CLAPARÉDE</t>
  </si>
  <si>
    <t>4208 - REGULAÇÃO DE CONCESSÕES E PPPS</t>
  </si>
  <si>
    <t>4186 - PROGRAMA DE PROTEÇÃO A CRIANÇAS E ADOLESCENTES AMEAÇADOS DE MORTE - PPCAAM</t>
  </si>
  <si>
    <t>1023 - CENTRO DE PESQUISA AMBIENTAL E INOVAÇÃO TECNOLÓGICA</t>
  </si>
  <si>
    <t>4270 - FORMAÇÃO E CAPACITAÇÃO DO SISTEMA DE GARANTIA DE DIREITOS</t>
  </si>
  <si>
    <t>4301 - APOIO AOS ÓRGÃOS COLEGIADOS DE CRIANÇAS E ADOLESCENTES</t>
  </si>
  <si>
    <t>4483 - APRIMORAMENTO DA GOVERNANÇA DE TECNOLOGIA DA INFORMAÇÃO E COMUNICAÇÃO</t>
  </si>
  <si>
    <t>4321 - ARTICULAÇÃO INSTITUCIONAL E APOIO A SISTEMA DE GARANTIA DE DIREITOS</t>
  </si>
  <si>
    <t>4503 - GESTÃO DE CONCESSÕES DO TRANSPORTE COLETIVO E TERMINAIS</t>
  </si>
  <si>
    <t>4352 - PREVENÇÃO, MONITORAMENTO E ENFRENTAMENTO DAS VIOLÊNCIAS E VIOLAÇÕES CONTRA CRIANÇAS E ADOLESCENTES.</t>
  </si>
  <si>
    <t>4380 - AUTOMATIZA.MG</t>
  </si>
  <si>
    <t>4453 - PROMOÇÃO DA INOVAÇÃO NA GESTÃO PÚBLICA</t>
  </si>
  <si>
    <t>4400 - AGRO SEGURO</t>
  </si>
  <si>
    <t>2095 - DESENVOLVIMENTO E CAPACITAÇÃO DE PESSOAL</t>
  </si>
  <si>
    <t>4364 - ALIMENTAÇÃO COMPLEMENTAR NA PRIMEIRA INFÂNCIA</t>
  </si>
  <si>
    <t>4367 - CAPACITA MINAS PRIMEIRA INFÂNCIA</t>
  </si>
  <si>
    <t>4368 - POLÍTICA ESTADUAL PARA REGISTRO CIVIL DE NASCIMENTO</t>
  </si>
  <si>
    <t>4504 - RECRUTAMENTO E SELEÇÃO DE PESSOAL</t>
  </si>
  <si>
    <t>4463 - PARCERIAS COM ORGANIZAÇÕES DA SOCIEDADE CIVIL DE INTERESSE PÚBLICO - OSCIP E ORGANIZAÇÕES SOCIAIS - OS.</t>
  </si>
  <si>
    <t>4464 - GESTÃO DO PROCESSO DE ELABORAÇÃO E ACOMPANHAMENTO DO PLANEJAMENTO E ORÇAMENTO ESTADUAL</t>
  </si>
  <si>
    <t>4501 - TRANSPORTE FERROVIÁRIO</t>
  </si>
  <si>
    <t>4490 - FILHOS DE MINAS</t>
  </si>
  <si>
    <t>1032 - MODALLIDADES E TEMÁTICAS ESPECIAIS</t>
  </si>
  <si>
    <t>1033 - MODALIDADES E TEMÁTICAS ESPECIAIS</t>
  </si>
  <si>
    <t>4182 - ARTICULAÇÃO INSTITUCIONAL, MANUTENÇÃO DE EQUIPAMENTOS E POLÍTICAS DE DIREITOS HUMANOS</t>
  </si>
  <si>
    <t>4183 - FOMENTO À INCLUSÃO SOCIAL, ACESSIBILIDADE E GARANTIA DE DIREITOS PARA PESSOAS COM DEFICIÊNCIA</t>
  </si>
  <si>
    <t>2034 - REMUNERAÇÃO DE PESSOAL ATIVO E ENCARGOS SOCIAIS</t>
  </si>
  <si>
    <t>4388 - REFORMA E MELHORIAS DE UNIDADES HABITACIONAIS</t>
  </si>
  <si>
    <t>4505 - DESENVOLVIMENTO DA EDUCAÇÃO QUILOMBOLA</t>
  </si>
  <si>
    <t>4506 - DESENVOLVIMENTO DA EDUCAÇÃO INDIGENA</t>
  </si>
  <si>
    <t>4507 - DESENVOLVIMENTO DA EDUCAÇÃO DO CAMPO</t>
  </si>
  <si>
    <t>4508 - DESENVOLVIMENTO DA EDUCAÇÃO INTEGRAL</t>
  </si>
  <si>
    <t>4197 - APOIO ÀS AÇÕES DESENVOLVIDAS PELO CONSELHO DE SEGURANÇA ALIMENTAR E NUTRICIONAL SUSTENTÁVEL DE MINAS GERAIS (CONSEA-MG)</t>
  </si>
  <si>
    <t>4509 - DESENVOLVIMENTO DA EDUCAÇÃO PRISIONAL E SOCIOEDUCATIVA</t>
  </si>
  <si>
    <t>2036 - DESENVOLVIMENTO DE ESTUDOS, PESQUISAS, FERRAMENTAS DE MONITORAMENTO E AVALIAÇÃO EM DESENVOLVIMENTO SOCIAL E DE PREVENÇÃO E RESPOSTA À SITUAÇÕES DE CALAMIDADE PÚBLICA E DESASTRE</t>
  </si>
  <si>
    <t>4510 - ATENDIMENTO ÀS ESCOLAS FAMÍLIA AGRÍCOLA</t>
  </si>
  <si>
    <t>4542 - ENFRENTAMENTO À VIOLÊNCIA POLÍTICA CONTRA AS MULHERES</t>
  </si>
  <si>
    <t>4525 - ATENDIMENTO AS INSTITUICOES PUBLICAS DE ENSINO SUPERIOR</t>
  </si>
  <si>
    <t>4527 - CUSTEIO DAS UNIDADES ESCOLARES</t>
  </si>
  <si>
    <t>2064 - GESTÃO DAS SUPERINTENDÊNCIAS REGIONAIS DE ENSINO</t>
  </si>
  <si>
    <t>2128 - GESTÃO DO ÓRGÃO CENTRAL</t>
  </si>
  <si>
    <t>4526 - CONTROLE DE CARGAS</t>
  </si>
  <si>
    <t>4410 - ATENDIMENTO DE ORDENS JUDICIAIS PARA ASSISTÊNCIA À SAÚDE</t>
  </si>
  <si>
    <t>4409 - AUXÍLIO FINANCEIRO AO SEGURADO</t>
  </si>
  <si>
    <t>2014 - ASSESSORAMENTO E GESTÃO PREVIDENCIÁRIA</t>
  </si>
  <si>
    <t>ARTEMIG</t>
  </si>
  <si>
    <t>9323 - INDENIZACAO DECORRENTE DE AUXILIO SAUDE</t>
  </si>
  <si>
    <t>Gestão de equipamentos</t>
  </si>
  <si>
    <t>Serviços de vigilância</t>
  </si>
  <si>
    <t>Encargos judiciais</t>
  </si>
  <si>
    <t>Indenizações e restituições</t>
  </si>
  <si>
    <t>Material de distribuição gratuita</t>
  </si>
  <si>
    <t>Serviços de engenharia</t>
  </si>
  <si>
    <t>Garantias</t>
  </si>
  <si>
    <t>Seguros</t>
  </si>
  <si>
    <t>Pesquisas</t>
  </si>
  <si>
    <t>Premiações</t>
  </si>
  <si>
    <t>Credenciados</t>
  </si>
  <si>
    <t>Indenizações</t>
  </si>
  <si>
    <t>Serviços gráficos</t>
  </si>
  <si>
    <t>Transporte de materiais e equipamentos</t>
  </si>
  <si>
    <t>Demais aquisições</t>
  </si>
  <si>
    <t>3502 - -SERVICOS DE CONSULTORIA - PESSOA JURIDICA</t>
  </si>
  <si>
    <t>3951 - -SERVICOS DE GERENCIAMENTO, SUPERVISAO E FISCALIZACAO DE OBRAS</t>
  </si>
  <si>
    <t>3975 - -SERVICO DE GERENCIAMENTO, SUPERVISAO E FISCALIZACAO DE SERVICOS</t>
  </si>
  <si>
    <t>3981 - -SERVICO DE ELABORACAO DE ESTUDOS PREVIOS</t>
  </si>
  <si>
    <t>4601 - -AUXILIO-ALIMENTACAO - PECUNIA</t>
  </si>
  <si>
    <t>4901 - -AUXILIO-TRANSPORTE - PECUNIA</t>
  </si>
  <si>
    <t>5103 - -EXECUCAO DE OBRAS POR CONTRATO DE BENS PATRIMONIAVEIS</t>
  </si>
  <si>
    <t>5115 - -EXECUCAO DE OBRAS - METRO RMBH</t>
  </si>
  <si>
    <t>0803 - AUXILIO-CRECHE OU ASSISTENCIA PRE-ESCOLAR</t>
  </si>
  <si>
    <t>0805 - AUXILIO-NATALIDADE</t>
  </si>
  <si>
    <t>0809 - AUXILIO RECLUSAO</t>
  </si>
  <si>
    <t>0810 - SALARIO FAMILIA</t>
  </si>
  <si>
    <t>0899 - AUXILIOS DIVERSOS</t>
  </si>
  <si>
    <t>1314 - OBRIGACAO PATRONAL - ENCARGOS POR PAGAMENTO EM ATRASO</t>
  </si>
  <si>
    <t>1401 - DIARIAS - CIVIL</t>
  </si>
  <si>
    <t>1501 - DIARIAS - MILITAR</t>
  </si>
  <si>
    <t>1502 - DIARIAS MILITAR - SCDP</t>
  </si>
  <si>
    <t>1801 - AUXILIO FINANCEIRO A ESTUDANTES</t>
  </si>
  <si>
    <t>3011 - MATERIAL ODONTOLOGICO</t>
  </si>
  <si>
    <t>3014 - MATERIAL RADIOLOGICO</t>
  </si>
  <si>
    <t>3018 - MATERIA-PRIMA E PROD. P/ MANIPULACAO E INDUSTRIAS DE TRANSFORMACAO</t>
  </si>
  <si>
    <t>3019 - MATERIAL P/ MANUT. E REPAROS DE IMOVEIS DE PROPRIEDADE DA ADM. PUBLICA</t>
  </si>
  <si>
    <t>3020 - MATERIAL ELETRICO</t>
  </si>
  <si>
    <t>3021 - MATERIAL P/ MANUT. E REPAROS DE BENS DE DOMINIO PUB. OU DE TERCEIROS</t>
  </si>
  <si>
    <t>3022 - FERRAMENTAS, FERRAGENS E UTENSILIOS</t>
  </si>
  <si>
    <t>3024 - PECAS E ACESSORIOS P/ EQUIP.  E OUTROS MATERIAIS PERMANENTES</t>
  </si>
  <si>
    <t>3027 - COMBUSTIVEIS E LUBRIFICANTES P/ EQUIP. E OUTROS MAT.  PERMANENTES</t>
  </si>
  <si>
    <t>3031 - LIVROS TECNICOS</t>
  </si>
  <si>
    <t>3034 - PECAS E ACESSORIOS PARA AERONAVES</t>
  </si>
  <si>
    <t>3104 - PREMIACOES</t>
  </si>
  <si>
    <t>3105 - PREMIACAO - NOTA FISCAL MINEIRA</t>
  </si>
  <si>
    <t>3201 - MATERIAL DE DISTRIBUICAO GRATUITA</t>
  </si>
  <si>
    <t>3301 - PASSAGENS - PESSOA FISICA</t>
  </si>
  <si>
    <t>3302 - DESPESAS COM TRANSPORTE URBANO, PEDAGIO E ESTACIONAMETO PESSOA FISICA</t>
  </si>
  <si>
    <t>3305 - SERVICOS DE TRANSPORTES DE PASSAGEIROS, FRETAMENTO E LOCACAO PES JURID</t>
  </si>
  <si>
    <t>3501 - SERVICOS DE CONSULTORIA - PESSOA FISICA</t>
  </si>
  <si>
    <t>3502 - SERVICOS DE CONSULTORIA - PESSOA JURIDICA</t>
  </si>
  <si>
    <t>3602 - MEDICOS RESIDENTES</t>
  </si>
  <si>
    <t>3603 - SALARIOS DE INTERNOS</t>
  </si>
  <si>
    <t>3604 - DIARIAS A COLABORADORES EVENTUAIS</t>
  </si>
  <si>
    <t>3617 - REPAROS DE EQUIPAMENTOS, INSTALACOES E MATERIAL PERMANENTE</t>
  </si>
  <si>
    <t>3618 - REPAROS DE BENS IMOVEIS</t>
  </si>
  <si>
    <t>3619 - CONFERENCIAS E EXPOSICOES</t>
  </si>
  <si>
    <t>3622 - TAXA DE CONDOMINIO</t>
  </si>
  <si>
    <t>3623 - GRATIFICACAO POR ENCARGO DE CURSO OU CONCURSO</t>
  </si>
  <si>
    <t>3624 - SERVICOS TECNICOS JUDICIAIS - HONORARIOS JUSTICA GRATUITA</t>
  </si>
  <si>
    <t>3625 - CONTRATACAO PARA PRESTACAO DE SERVIÇO POR CREDENCIADOS</t>
  </si>
  <si>
    <t>3626 - SERVICOS DE ABASTECIMENTO E DISTRIBUICAO DE AGUA</t>
  </si>
  <si>
    <t>3627 - JUIZES LEIGOS</t>
  </si>
  <si>
    <t>3630 - SERVICOS MEDICOS PRESTADOS POR CONTRATO</t>
  </si>
  <si>
    <t>3631 - SERVICOS DE TREINAMENTO, CAPACITACAO E APERFEICOAMENTO DE PESSOAL</t>
  </si>
  <si>
    <t>3699 - OUTRAS DESPESAS PAGAS A PESSOAS FISICAS</t>
  </si>
  <si>
    <t>3904 - CONFECCAO EM GERAL</t>
  </si>
  <si>
    <t>3906 - TRANSPORTE E ACONDICIONAMENTO DE MATERIAIS</t>
  </si>
  <si>
    <t>3908 - PUBLICACAO E DIVULGACAO</t>
  </si>
  <si>
    <t>3910 - PREMIOS DE SEGUROS</t>
  </si>
  <si>
    <t>3911 - ASSINATURAS DE JORNAIS, REVISTAS E PERIODICOS</t>
  </si>
  <si>
    <t>3914 - SERVICO DE TELEFONIA</t>
  </si>
  <si>
    <t>3915 - SERVICO POSTAL-TELEGRAFICO</t>
  </si>
  <si>
    <t>3916 - LOCACAO DE TV POR ASSINATURA</t>
  </si>
  <si>
    <t>3921 - REPAROS DE EQUIPAMENTOS, INSTALACOES E MATERIAL PERMANENTE</t>
  </si>
  <si>
    <t>3923 - RECEPCOES, HOSPEDAGENS, HOMENAGENS E FESTIVIDADES</t>
  </si>
  <si>
    <t>3929 - SERVICOS DE SAUDE PRESTADOS POR PESSOA JURIDICA</t>
  </si>
  <si>
    <t>3930 - MULTAS DE TRANSITO</t>
  </si>
  <si>
    <t>3933 - TAXA DE ADMINISTRACAO</t>
  </si>
  <si>
    <t>3934 - SEGUROS DE AERONAVES</t>
  </si>
  <si>
    <t>3935 - REPARO, MANUTENCAO, E SERVICOS AEROPORTUARIOS PARA AERONAVES</t>
  </si>
  <si>
    <t>3941 - ANUIDADES</t>
  </si>
  <si>
    <t>3942 - SERVICOS GRAFICOS DE SEGURANCA</t>
  </si>
  <si>
    <t>3943 - SERVICO DE ADMINISTRACAO E GERENCIAMENTO DE FROTA DE VEICULOS</t>
  </si>
  <si>
    <t>3946 - TERMO DE PARCERIA COM ORGANIZACAO DA SOCIEDADE CIVIL DE INTERESSE PUBL</t>
  </si>
  <si>
    <t>3947 - TAXA DE ADMINISTRACAO DE CREDITO DE FINANCIAMENTOS HABITACIONAIS</t>
  </si>
  <si>
    <t>3948 - CURSOS DE FORMACAO, CAPACITACAO E POS-GRADUACAO PARA SERVIDORES</t>
  </si>
  <si>
    <t>3951 - SERVICOS DE GERENCIAMENTO, SUPERVISAO E FISCALIZACAO DE OBRAS</t>
  </si>
  <si>
    <t>3953 - CURSOS DE FORMACAO E CAPACITACAO PROMOVIDOS PELO ESTADO</t>
  </si>
  <si>
    <t>3955 - EVENTOS DE COMUNICACAO INSTITUCIONAL</t>
  </si>
  <si>
    <t>3956 - SERVICOS DE PESQUISAS</t>
  </si>
  <si>
    <t>3968 - SERVICO DE IMPRENSA</t>
  </si>
  <si>
    <t>3971 - SERVICOS TECN DE IMPLANTACAO GESTAO E ADM DO SIST DE OBSERV ELETRONICA</t>
  </si>
  <si>
    <t>3972 - CONTRATOS DE ABASTECIMENTO DE AGUA E COLETA E TRATAMENTO DE ESGOTO</t>
  </si>
  <si>
    <t>3974 - SERVICO DE REALIZACAO DE CONCURSO PUBLICO E PROCESSO SIMPLIFICADO</t>
  </si>
  <si>
    <t>3975 - SERVICO DE GERENCIAMENTO, SUPERVISAO E FISCALIZACAO DE SERVICOS</t>
  </si>
  <si>
    <t>3978 - SERVICO DE APOIO ADMINISTRATIVO</t>
  </si>
  <si>
    <t>3981 - SERVICO DE ELABORACAO DE ESTUDOS PREVIOS</t>
  </si>
  <si>
    <t>3982 - SERVICOS TECNICOS JUDICIAIS - HONORARIOS JUSTICA GRATUITA</t>
  </si>
  <si>
    <t>3993 - APOIO A PROJETOS DE INCENTIVO E INOVAÇAO E A PESQUISA CIENTIFICA E TEC</t>
  </si>
  <si>
    <t>3996 - TRANSFERENCIA ONEROSA DA POSSE DE IMOVEIS DE PROPRIEDADE DO ESTADO</t>
  </si>
  <si>
    <t>3998 - SERVICOS DE SAUDE PRESTADOS CONTRATUALMENTE POR PESSOA JURIDICA</t>
  </si>
  <si>
    <t>3999 - OUTROS SERVICOS PESSOA JURIDICA</t>
  </si>
  <si>
    <t>4002 - SERVICO DE TECNOLOGIA DA INFORMACAO</t>
  </si>
  <si>
    <t>4003 - SERVICO DE INFORMATICA EXECUTADO PELA PRODEMGE</t>
  </si>
  <si>
    <t>4007 - AQUISICAO DE SOFTWARE DESENVOLVIDO PELA PRODEMGE</t>
  </si>
  <si>
    <t>4103 - CONTRIBUICOES AO IPLEMG</t>
  </si>
  <si>
    <t>4106 - TRANSFERENCIA PARA FINANCIAMENTO DO TRANSPORTE ESCOLAR</t>
  </si>
  <si>
    <t>4504 - SUBVENCAO ECONOMICA - CULTURA</t>
  </si>
  <si>
    <t>4602 - AUXILIO ALIMENTACAO BILHETE OU CARTAO MAGNETICO</t>
  </si>
  <si>
    <t>4704 - IMPOSTO SOBRE OPERACOES FINANCEIRAS - IOF</t>
  </si>
  <si>
    <t>4706 - CONTRIBUICAO PARA A FORMACAO DO PASEP/PIS</t>
  </si>
  <si>
    <t>4707 - TAXA DE LIMPEZA PUBLICA E COLETA DE RESIDUOS</t>
  </si>
  <si>
    <t>4708 - TAXA DE ILUMINACAO PUBLICA</t>
  </si>
  <si>
    <t>4710 - PASEP - ADESAO AO PARCELAMENTO DECORRENTE DE LEI ESPECIFICA</t>
  </si>
  <si>
    <t>4799 - OUTROS - OBRIGACOES TRIBUTARIAS E CONTRIBUTIVAS</t>
  </si>
  <si>
    <t>4801 - OUTROS AUXILIOS FINANCEIROS A PESSOAS FISICAS</t>
  </si>
  <si>
    <t>4803 - AUXILIO PARA PROFISSIONAIS DE PROGRAMAS DE CAPACITACAO E FORMACAO</t>
  </si>
  <si>
    <t>4904 - AUXILIO TRANSPORTE BILHETE OU CARTAO MAGNETICO</t>
  </si>
  <si>
    <t>4905 - AUXILIO TRANSPORTE PAGO A ESTAGIARIOS PECUNIA</t>
  </si>
  <si>
    <t>4906 - AUXILIO TRANSPORTE PAGO A ESTAGIARIO BILHETE OU CARTAO MAGNETICO</t>
  </si>
  <si>
    <t>5106 - ESTUDOS E PROJETOS DE BENS NAO PATRIMONIAVEIS</t>
  </si>
  <si>
    <t>5107 - EXECUCAO DE OBRAS POR CONTRATO DE BENS NAO PATRIMONIAVEIS</t>
  </si>
  <si>
    <t>5113 - INSTALACAO PARA INCORPORACAO A BENS IMOVEIS</t>
  </si>
  <si>
    <t>5114 - EXECUCAO DE OBRAS POR EMPRESAS CONTROLADAS</t>
  </si>
  <si>
    <t>5206 - EQUIPAMENTOS DE COMUNICACAO E TELEFONIA</t>
  </si>
  <si>
    <t>5209 - EQUIPAMENTOS HOSPITALARES, ODONTOLOGICOS E DE LABORATORIO</t>
  </si>
  <si>
    <t>5210 - FERRAMENTAS, EQUIP. E INSTRUMENTOS P/ OFICINA, MEDICAO E INSPECAO</t>
  </si>
  <si>
    <t>5212 - MAQUINAS, APARELHOS, UTENSILIOS E EQUIPAMENTOS  USO ADMINISTRATIVO</t>
  </si>
  <si>
    <t>5214 - MOBILIARIO</t>
  </si>
  <si>
    <t>5217 - VEICULOS</t>
  </si>
  <si>
    <t>5218 - COLECAO E MATERIAIS BIBLIOGRAFICOS</t>
  </si>
  <si>
    <t>5219 - INSTRUMENTOS MUSICAIS E ARTISTICOS</t>
  </si>
  <si>
    <t>5221 - MATERIAL DIDATICO</t>
  </si>
  <si>
    <t>5225 - APARELHOS E UTENSILIOS DOMESTICOS</t>
  </si>
  <si>
    <t>5227 - PECAS NAO INCORPORAVEIS A IMOVEIS</t>
  </si>
  <si>
    <t>6107 - IMOVEIS NECESSARIOS A REALIZACAO DE OBRAS DE BENS NAO-PATRIMONIAVEIS</t>
  </si>
  <si>
    <t>6501 - CONSTITUICAO OU AUMENTO DE CAPITAL DE EMPRESAS-CAPITAL A INTEGRALIZAR</t>
  </si>
  <si>
    <t>6502 - CONSTITUICAO OU AUMENTO DE CAPITAL DE EMPRESAS-CAPITAL INTEGRALIZADO</t>
  </si>
  <si>
    <t>6603 - CONCESSAO DE FINANCIAMENTOS HABITACIONAIS</t>
  </si>
  <si>
    <t>8301 - PARCELAS DAS CONTRAPRESTACOES REFERENTES A REMUNERACAO DO PARCEIRO</t>
  </si>
  <si>
    <t>8303 - OUTRAS DESPESAS DECORRENTES DE CONTRATO DE PARCERIA PUBLICO-PRIVADA</t>
  </si>
  <si>
    <t>8501 - CONTRATO DE GESTAO COM ORGANIZACAO SOCIAL - OS</t>
  </si>
  <si>
    <t>8502 - CONTRATO DE GESTAO COM SERVICO SOCIAL AUTONOMO - SSA</t>
  </si>
  <si>
    <t>8601 - COMPENSACAO FINANCEIRA DOS REGIMES DE PREVIDENCIA</t>
  </si>
  <si>
    <t>9108 - OUTRAS DECISOES JUDICIAIS - DEPOSITO EM CONTA CORRENTE OU A DISPOSICAO</t>
  </si>
  <si>
    <t>9112 - MEDICAMENTOS E MATERIAL MEDICO HOSPITALAR - DECISAO JUDICIAL</t>
  </si>
  <si>
    <t>9113 - INDENIZACOES DETERMINADAS POR DECISOES JUDICIAIS</t>
  </si>
  <si>
    <t>9117 - ACORDOS ADM. OU JUDICIAIS FIRMADOS COM A CONCILIACAO E MEDIACAO DA CPR</t>
  </si>
  <si>
    <t>9201 - DESPESAS DE EXERCICIOS ANTERIORES - PESSOAL</t>
  </si>
  <si>
    <t>9202 - DESPESAS DE EXERCICIOS ANTERIORES - OUTRAS DESPESAS</t>
  </si>
  <si>
    <t>9203 - DESPESA DE EXERCICIOS ANTERIORES - OBRIGACOES PATRONAIS</t>
  </si>
  <si>
    <t>9305 - DESPESAS DECORRENTES DE CONTRATOS DE CONCESSAO OU PERMISSAO</t>
  </si>
  <si>
    <t>9306 - REST DE REC DE CONVENIOS, DE CONTRAPARTIDAS E INSTRUMENTOS CONGENERES</t>
  </si>
  <si>
    <t>9308 - DESPESAS DE CARATER INDENIZATORIO RELATIVAS AO MANDATO PARLAMENTAR</t>
  </si>
  <si>
    <t>9310 - RESTITUICAO DE RECEITA - EXERCICIO ANTERIOR</t>
  </si>
  <si>
    <t>9312 - INDENIZACAO POR UTILIZACAO DE BENS DE TERCEIROS</t>
  </si>
  <si>
    <t>9313 - REEMBOLSO DE DESPESAS MEDICO-HOSPITALARES</t>
  </si>
  <si>
    <t>9318 - AUXILIO MORADIA DE CARATER INDENIZATORIO RELATIVO AO MANDATO PARLAMENT</t>
  </si>
  <si>
    <t>9319 - IND.DECORRENTES DA UTILZ. DE LEITOS DE INSTITUICOES DE SAUDE PRIVADAS</t>
  </si>
  <si>
    <t>9326 - RESTITUICAO REFERENTE A TAXA DE INSCRICAO, MATERIAL E SIMILARES</t>
  </si>
  <si>
    <t>9327 - INDENIZACAO DE TRANSPORTE DEVIDA AO OFICIAL DE JUSTICA</t>
  </si>
  <si>
    <t>9329 - RESSARCIMENTO SOBRE A REMUNERACAO DOS PRESOS EM TRABALHO</t>
  </si>
  <si>
    <t>Elementos itens</t>
  </si>
  <si>
    <t>ORÇAMENTO BASE ZERO (OBZ) 2026</t>
  </si>
  <si>
    <t>SUPEC</t>
  </si>
  <si>
    <t>DEPEN</t>
  </si>
  <si>
    <t>SULOT</t>
  </si>
  <si>
    <t>SUASE</t>
  </si>
  <si>
    <t>SUINT</t>
  </si>
  <si>
    <t>SUPOD</t>
  </si>
  <si>
    <t>Superintendência de Políticas de Prevenção Social à Criminalidade</t>
  </si>
  <si>
    <t xml:space="preserve">SUPERINTENDÊNCIA DE SEGURANÇA </t>
  </si>
  <si>
    <t>SIEL - Superintendência de Infraestrutura e Logística</t>
  </si>
  <si>
    <t>Gabinete da Subsecretaria de Prevenção Social à Criminalidade</t>
  </si>
  <si>
    <t>Superintendência de Recursos Humanos - SRHU</t>
  </si>
  <si>
    <t>SAGA</t>
  </si>
  <si>
    <t>Controladoria Setorial</t>
  </si>
  <si>
    <t>Assessoria de Gestão de PPP</t>
  </si>
  <si>
    <t>Gabinete Adjunto</t>
  </si>
  <si>
    <t>Assessoria de Acompanhamento Administrativo</t>
  </si>
  <si>
    <t>Assessoria de Comunicação Social</t>
  </si>
  <si>
    <t>SPOF</t>
  </si>
  <si>
    <t>ACI – Agência Central de Inteligência</t>
  </si>
  <si>
    <t>ASSESSORIA DE RELAÇÕES INSTITUCIONAIS</t>
  </si>
  <si>
    <t>DIN</t>
  </si>
  <si>
    <t>SGES - Superintendência de Gestão Socioeducativa</t>
  </si>
  <si>
    <t>SUPERINTENDÊNCIA DE INTEGRAÇÃO E PLANEJAMENTO OPERACIONAL - SIPO</t>
  </si>
  <si>
    <t>NÚCLEO DE INTELIGÊNCIA E CONHECIMENTO ESTRATÉGICO</t>
  </si>
  <si>
    <t>SUPERINTENDÊNCIA DE GESTÃO INTEGRADA DE FUNDOS E ATIVOS - SGIFA</t>
  </si>
  <si>
    <t>Academia Estadual de Segurança Pública</t>
  </si>
  <si>
    <t>Superintendência de Políticas sobre Drogas</t>
  </si>
  <si>
    <t>Centro de Referência Estadual em Alcool e outras Drogas</t>
  </si>
  <si>
    <t>SUPERINTENDÊNCIA DE GESTÃO DE VAGAS</t>
  </si>
  <si>
    <t>SUPERINTENDÊNCIA DE INFORMAÇÃO E INTELIGÊNCIA</t>
  </si>
  <si>
    <t>Diretorias Regionais</t>
  </si>
  <si>
    <t>NGDV</t>
  </si>
  <si>
    <t>Superintendência de Humanização do Atendimento - SHUA</t>
  </si>
  <si>
    <t>STIC</t>
  </si>
  <si>
    <t>SAAD - SUPERINTENDENCIA DE ATENDIMENTO AO ADOLESCENTE</t>
  </si>
  <si>
    <t>Superintendência de Políticas Sobre Drogas</t>
  </si>
  <si>
    <t>GABINETE</t>
  </si>
  <si>
    <t>Gabinete SUASE</t>
  </si>
  <si>
    <t>4442 - ADEQUAÇÃO, MANUTENÇÃO E DESENVOLVIMENTO DO ATENDIMENTO SOCIOEDUCATIVO</t>
  </si>
  <si>
    <t>4443 – ATENDIMENTO À SAÚDE DO ADOLESCENTE EM CONFLITO COM A LEI</t>
  </si>
  <si>
    <t>3987 - SERVIÇOS DE GERENCIAMENTO E FORNECIEMNTO DE COMBUSTÍVEL</t>
  </si>
  <si>
    <t>Contrato de Gestão 02/2019 com Instituto Elo, para co-execução da Política Estadual de Prevenção Social à Criminalidade</t>
  </si>
  <si>
    <t>AQUISIÇÃO DE VIATURA PARA TRANSPORTE DA TROPA DO GRUPO DE INTERVERNÇÃO RÁPIDA  (GIR) EQUIPAMENTO DE PROTEÇÃO IMNDIVIDUAL E COLETIVA</t>
  </si>
  <si>
    <t>SERVICOS DE OPERACAO LOGISTICA INTEGRADA,INCLUINDO ARMAZENA GEM, GESTAO DE ESTOQUE, DISTRIBUICAO E GESTAO DE TRANSPORTE CDM</t>
  </si>
  <si>
    <t>Diárias de viagens para acompanhamento da execução da Política Estadual de Prevenção Social à Criminalidade</t>
  </si>
  <si>
    <t>Despesa com transporte urbano para execução da Política Estadual de Prevenção Social à Criminalidade</t>
  </si>
  <si>
    <t>Despesas muídas de pronto pagamento, para apoio às atividades realizadas pelos Programas de Prevenção Social à Criminalidade</t>
  </si>
  <si>
    <t>Despesa de energia elétrica das Unidades de Prevenção à Criminalidade</t>
  </si>
  <si>
    <t>Despesa de água e esgoto das Unidades de Prevenção à Criminalidade</t>
  </si>
  <si>
    <t>Despesa de taxa de condomínio das Unidades de Prevenção à Criminalidade</t>
  </si>
  <si>
    <t>Despesa de IPTU das Unidades de Prevenção à Criminalidade</t>
  </si>
  <si>
    <t>Despesa de condomínio do Centro de Atenção Biopsicossocial DAS Belo Horizonte</t>
  </si>
  <si>
    <t>Viagens de servidores da DAS</t>
  </si>
  <si>
    <t>Serviço de fornecimento de água</t>
  </si>
  <si>
    <t>Despesa miúda SIPO</t>
  </si>
  <si>
    <t>Despesas de IPTU</t>
  </si>
  <si>
    <t>Nº do contrato portal de compras: 9275521​​/2021 - Pregão: 295/2020 - Unidade: CENTRO DE APOIO MEDICO E PERICIAL - Comensal: IPL</t>
  </si>
  <si>
    <t>Nº do contrato portal de compras: 9337104/2022 - Pregão: 020/2022 - Unidade: CENTRO DE REFERENCIA A GESTANTE PRIVADA DE LIBERDADE - Comensal: IPL</t>
  </si>
  <si>
    <t>Nº do contrato portal de compras: 9441322/2024 - Pregão: 238/2024 - Unidade: HOSPITAL PSIQUATRICO JUDICIARIO JORGE VAZ - Comensal: IPL</t>
  </si>
  <si>
    <t>Nº do contrato no portal de compras 9445204 - PREGÃO 354/2024 - Unidade Centro de Internação Provisória Dom Bosco - Comensal: Adolescente</t>
  </si>
  <si>
    <t>Nº do contrato no portal de compras 9445204 - PREGÃO 354/2024 - Unidade Centro Integrado de Atendimento ao Adolescente Autor de Ato Infracional - Comensal: Adolescente</t>
  </si>
  <si>
    <t>Nº do contrato no portal de compras 9441309 - PREGÃO 147/2024 - Unidade Centro Socioeducativo Horto - Comensal: Adolescente</t>
  </si>
  <si>
    <t>Nº do contrato no portal de compras 9445204 - PREGÃO 354/2024 - Unidade Centro Socioeducativo Ribeirão das Neves (Antigo CSE Justinópolis) - Comensal: Adolescente</t>
  </si>
  <si>
    <t>Nº do contrato no portal de compras - - PREGÃO 081/2025 - Unidade Centro Socioeducativo de Juiz de Fora - Comensal: Adolescente</t>
  </si>
  <si>
    <t>Nº do contrato no portal de compras - - PREGÃO 138/2025 - Unidade Centro Socioeducativo de Divinópolis - Comensal: Adolescente</t>
  </si>
  <si>
    <t>Nº do contrato no portal de compras 9389637 - PREGÃO 80/2023 - Unidade Centro Socioeducativo Governador Valadares - Comensal: Adolescente</t>
  </si>
  <si>
    <t>Nº do contrato no portal de compras 9401841 - PREGÃO 179/2023​ - Unidade Centro Socioeducativo de Uberlândia - Comensal: Adolescente</t>
  </si>
  <si>
    <t>Nº do contrato no portal de compras - - PREGÃO 103/2025 - Unidade Centro Socioeducativo Montes Claros (Antigo CSE Nossa Senhora Aparecida) - Comensal: Adolescente</t>
  </si>
  <si>
    <t>Nº do contrato no portal de compras 9463054 - PREGÃO 77/2025 - Unidade Centro Socioeducativo de Pirapora - Comensal: Adolescente</t>
  </si>
  <si>
    <t>Nº do contrato no portal de compras 9283149 - PREGÃO 63/2021 - Unidade Centro Socioeducativo Teófilo Otoni (Antigo CSE São Cosme) - Comensal: Adolescente</t>
  </si>
  <si>
    <t>Nº do contrato no portal de compras 9447515 - PREGÃO 48/2024 - Unidade Centro Socioeducativo de Sete Lagoas - Comensal: Adolescente</t>
  </si>
  <si>
    <t>Nº do contrato portal de compras: - - Pregão: - - Unidade: CARCERAGEM FÓRUM CONTAGEM - Comensal: IPL</t>
  </si>
  <si>
    <t>Nº do contrato portal de compras: - - Pregão: - - Unidade: CARCERAGEM FÓRUM LAFAYETTE - Comensal: IPL</t>
  </si>
  <si>
    <t>Nº do contrato portal de compras: 9429176/2024 - Pregão: 295/2023 - Unidade: CASA DO ALBERGADO JOSE ALENCAR DO ROGEDO - Comensal: IPL</t>
  </si>
  <si>
    <t>Nº do contrato portal de compras: 9413752/2024 - Pregão: 276/2023 - Unidade: CASA DO ALBERGADO PRESIDENTE JOAO PESSOA - Comensal: IPL</t>
  </si>
  <si>
    <t>Nº do contrato portal de compras: 9413752/2024 - Pregão: 276/2023 - Unidade: CERESP - BETIM - Comensal: IPL</t>
  </si>
  <si>
    <t>Nº do contrato portal de compras: - - Pregão: - - Unidade: CERESP - CONTAGEM - Comensal: IPL</t>
  </si>
  <si>
    <t>Nº do contrato portal de compras:  9392814/2023 - Pregão: 116/2023 - Unidade: CERESP - GAMELEIRA - Comensal: IPL</t>
  </si>
  <si>
    <t>Nº do contrato portal de compras: 9402075/2023 - Pregão: 177/2023​ - Unidade: CERESP - IPATINGA - Comensal: IPL</t>
  </si>
  <si>
    <t>Nº do contrato portal de compras: 9429176/2024 - Pregão: 295/2023 - Unidade: CERESP - JUIZ DE FORA - Comensal: IPL</t>
  </si>
  <si>
    <t>Nº do contrato portal de compras: 9437608/2024 - Pregão: 169/2024 - Unidade: COMPLEXO PENITENCIARIO DE PONTE NOVA - Comensal: IPL</t>
  </si>
  <si>
    <t>Nº do contrato portal de compras: 9288175/2021 - Pregão: 102/2021 - Unidade: COMPLEXO PENITENCIARIO DOUTOR PIO CANEDO - Comensal: IPL</t>
  </si>
  <si>
    <t>Nº do contrato portal de compras: 9391453/2023 - Pregão: 49/2022 - Unidade: COMPLEXO PENITENCIARIO FEMININO ESTEVAO PINTO - Comensal: IPL</t>
  </si>
  <si>
    <t>Nº do contrato portal de compras: - - Pregão: - - Unidade: COMPLEXO PENITENCIARIO NELSON HUNGRIA - Comensal: IPL</t>
  </si>
  <si>
    <t>Nº do contrato portal de compras: 9428074/2024 - Pregão: 308/2023​ - Unidade: COMPLEXO PENITENCIARIO NOSSA SENHORA DO CARMO - Comensal: IPL</t>
  </si>
  <si>
    <t>Nº do contrato portal de compras: - - Pregão: 088/2025 - Unidade: PENITENCIARIA AGOSTINHO DE OLIVEIRA JUNIOR - Comensal: IPL</t>
  </si>
  <si>
    <t>Nº do contrato portal de compras: 9418603/2024 - Pregão: 313/2023 - Unidade: PENITENCIARIA DE FORMIGA - Comensal: IPL</t>
  </si>
  <si>
    <t>Nº do contrato portal de compras: 9429040/2024 - Pregão: 312/2023 - Unidade: PENITENCIARIA DE FRANCISCO SA - Comensal: IPL</t>
  </si>
  <si>
    <t>Nº do contrato portal de compras: 9319014/2022 - Pregão: 251/2021 - Unidade: PENITENCIARIA DE TEOFILO OTONI - Comensal: IPL</t>
  </si>
  <si>
    <t>Nº do contrato portal de compras: - - Pregão: 107/2025 - Unidade: PENITENCIARIA DE TRES CORACOES - Comensal: IPL</t>
  </si>
  <si>
    <t>Nº do contrato portal de compras: 9402075/2023 - Pregão: 177/2023​ - Unidade: PENITENCIARIA DENIO MOREIRA DE CARVALHO - Comensal: IPL</t>
  </si>
  <si>
    <t>Nº do contrato portal de compras: - - Pregão: - - Unidade: PENITENCIARIA DEPUTADO EXPEDITO DE FARIA TAVARES - Comensal: IPL</t>
  </si>
  <si>
    <t>Nº do contrato portal de compras: - - Pregão: 098/2025 - Unidade: PENITENCIARIA DOUTOR MANOEL MARTINS LISBOA JUNIOR - Comensal: IPL</t>
  </si>
  <si>
    <t>Nº do contrato portal de compras: 9440722/2024 - Pregão: 184/2024 - Unidade: PENITENCIARIA FRANCISCO FLORIANO DE PAULA - Comensal: IPL</t>
  </si>
  <si>
    <t>Nº do contrato portal de compras: 9429176/2024 - Pregão: 295/2023 - Unidade: PENITENCIARIA JOSE EDSON CAVALIERI - Comensal: IPL</t>
  </si>
  <si>
    <t>Nº do contrato portal de compras: 9275521​​/2021 - Pregão: 295/2020 - Unidade: PENITENCIARIA JOSE MARIA ALKIMIN - Comensal: IPL</t>
  </si>
  <si>
    <t>Nº do contrato portal de compras: 9400477/2023 - Pregão: 165/2023 - Unidade: PENITENCIARIA PROFESSOR ALOIZIO IGNACIO DE OLIVEIRA - Comensal: IPL</t>
  </si>
  <si>
    <t>Nº do contrato portal de compras: 9429176/2024 - Pregão: 295/2023 - Unidade: PENITENCIARIA PROFESSOR ARIOSVALDO DE CAMPOS PIRES - Comensal: IPL</t>
  </si>
  <si>
    <t>Nº do contrato portal de compras: - - Pregão: - - Unidade: PENITENCIARIA PROFESSOR JASON SOARES DE ALBERGARIA - Comensal: IPL</t>
  </si>
  <si>
    <t>Nº do contrato portal de compras: 9425234/2024 - Pregão: 282/2023 - Unidade: PENITENCIARIA PROFESSOR JOAO PIMENTA DA VEIGA - Comensal: IPL</t>
  </si>
  <si>
    <t>Nº do contrato portal de compras: - - Pregão: - - Unidade: PRESIDIO ALVORADA - Comensal: IPL</t>
  </si>
  <si>
    <t>Nº do contrato portal de compras: 9275521​​/2021 - Pregão: 295/2020 - Unidade: PRESIDIO ANTONIO DUTRA LADEIRA - Comensal: IPL</t>
  </si>
  <si>
    <t>Nº do contrato portal de compras: 9444070/2024 - Pregão: 186/2024 - Unidade: PRESIDIO DE ABAETE - Comensal: IPL</t>
  </si>
  <si>
    <t>Nº do contrato portal de compras: 9293685/2021 - Pregão: 130/2021 - Unidade: PRESIDIO DE ABRE CAMPO - Comensal: IPL</t>
  </si>
  <si>
    <t>Nº do contrato portal de compras: 9447231/2024 - Pregão: 294/2024 - Unidade: PRESIDIO DE ACUCENA - Comensal: IPL</t>
  </si>
  <si>
    <t>Nº do contrato portal de compras: 9344713/2022 - Pregão: 206/2022 - Unidade: PRESIDIO DE AGUAS FORMOSAS - Comensal: IPL</t>
  </si>
  <si>
    <t>Nº do contrato portal de compras: 9318937/2022 - Pregão: 245/2021 - Unidade: PRESIDIO DE AIMORES - Comensal: IPL</t>
  </si>
  <si>
    <t>Nº do contrato portal de compras:  9441034/2024 - Pregão: 156/2024 - Unidade: PRESIDIO DE ALEM PARAIBA - Comensal: IPL</t>
  </si>
  <si>
    <t>Nº do contrato portal de compras: - - Pregão: 119/2025 - Unidade: PRESIDIO DE ALFENAS - Comensal: IPL</t>
  </si>
  <si>
    <t>Nº do contrato portal de compras: 9437858/2024 - Pregão: 62/2024 - Unidade: PRESIDIO DE ALMENARA - Comensal: IPL</t>
  </si>
  <si>
    <t>Nº do contrato portal de compras: 9406187/2023 - Pregão: 236/2023​ - Unidade: PRESIDIO DE ANDRADAS - Comensal: IPL</t>
  </si>
  <si>
    <t>Nº do contrato portal de compras: 9425234/2024 - Pregão: 282/2023 - Unidade: PRESIDIO DE ARAGUARI - Comensal: IPL</t>
  </si>
  <si>
    <t>Nº do contrato portal de compras: 9447748/2025 - Pregão: 330/2024 - Unidade: PRESIDIO DE ARAXA - Comensal: IPL</t>
  </si>
  <si>
    <t>Nº do contrato portal de compras: 9418603/2024 - Pregão: 313/2023 - Unidade: PRESIDIO DE ARCOS - Comensal: IPL</t>
  </si>
  <si>
    <t>Nº do contrato portal de compras:  9408087/2024 - Pregão: 239/2023​ - Unidade: PRESIDIO DE BARAO DE COCAIS - Comensal: IPL</t>
  </si>
  <si>
    <t>Nº do contrato portal de compras: 9441322/2024 - Pregão: 238/2024 - Unidade: PRESIDIO DE BARBACENA - Comensal: IPL</t>
  </si>
  <si>
    <t>Nº do contrato portal de compras: 9429176/2024 - Pregão: 295/2023 - Unidade: PRESIDIO DE BICAS - Comensal: IPL</t>
  </si>
  <si>
    <t>Nº do contrato portal de compras: 9337574/2022 - Pregão: 07/2022 - Unidade: PRESIDIO DE BOA ESPERANCA - Comensal: IPL</t>
  </si>
  <si>
    <t>Nº do contrato portal de compras: - - Pregão: 131/2025 - Unidade: PRESIDIO DE BOCAIUVA - Comensal: IPL</t>
  </si>
  <si>
    <t>Nº do contrato portal de compras: - - Pregão: 125/2025 - Unidade: PRESIDIO DE BOM DESPACHO - Comensal: IPL</t>
  </si>
  <si>
    <t>Nº do contrato portal de compras: - - Pregão: 091/2025 - Unidade: PRESIDIO DE BURITIS - Comensal: IPL</t>
  </si>
  <si>
    <t>Nº do contrato portal de compras:  9408087/2024 - Pregão: 239/2023​ - Unidade: PRESIDIO DE CAETE - Comensal: IPL</t>
  </si>
  <si>
    <t>Nº do contrato portal de compras: 9337574/2022 - Pregão: 07/2022 - Unidade: PRESIDIO DE CAMPO BELO - Comensal: IPL</t>
  </si>
  <si>
    <t>Nº do contrato portal de compras: 9429043/2024 - Pregão: 310/2023​ - Unidade: PRESIDIO DE CAMPOS GERAIS - Comensal: IPL</t>
  </si>
  <si>
    <t>Nº do contrato portal de compras: 9346193/2022 - Pregão: 217/2022 - Unidade: PRESIDIO DE CANAPOLIS - Comensal: IPL</t>
  </si>
  <si>
    <t>Nº do contrato portal de compras: - - Pregão: 109/2025 - Unidade: PRESIDIO DE CAPELINHA - Comensal: IPL</t>
  </si>
  <si>
    <t>Nº do contrato portal de compras: 9319064/2022 - Pregão: 272/2021 - Unidade: PRESIDIO DE CARANGOLA - Comensal: IPL</t>
  </si>
  <si>
    <t>Nº do contrato portal de compras: - - Pregão: 108/2025 - Unidade: PRESIDIO DE CARATINGA - Comensal: IPL</t>
  </si>
  <si>
    <t>Nº do contrato portal de compras: - - Pregão: 105/2025 - Unidade: PRESIDIO DE CARLOS CHAGAS - Comensal: IPL</t>
  </si>
  <si>
    <t>Nº do contrato portal de compras:  9441034/2024 - Pregão: 156/2024 - Unidade: PRESIDIO DE CATAGUASES - Comensal: IPL</t>
  </si>
  <si>
    <t>Nº do contrato portal de compras: 9458854/2025 - Pregão: 340/2024 - Unidade: PRESIDIO DE CONGONHAS - Comensal: IPL</t>
  </si>
  <si>
    <t>Nº do contrato portal de compras: 9275409/2021 - Pregão: 07/2021 - Unidade: PRESIDIO DE CONSELHEIRO LAFAIETE - Comensal: IPL</t>
  </si>
  <si>
    <t>Nº do contrato portal de compras: 9318937/2022 - Pregão: 245/2021 - Unidade: PRESIDIO DE CONSELHEIRO PENA - Comensal: IPL</t>
  </si>
  <si>
    <t>Nº do contrato portal de compras:  9290289/2021 - Pregão: 112/2021 - Unidade: PRESIDIO DE CORINTO - Comensal: IPL</t>
  </si>
  <si>
    <t>Nº do contrato portal de compras: 9402075/2023 - Pregão: 177/2023​ - Unidade: PRESIDIO DE CORONEL FABRICIANO - Comensal: IPL</t>
  </si>
  <si>
    <t>Nº do contrato portal de compras:  9290289/2021 - Pregão: 112/2021 - Unidade: PRESIDIO DE CURVELO - Comensal: IPL</t>
  </si>
  <si>
    <t>Nº do contrato portal de compras: 9346125/2022 - Pregão: 198/2022 - Unidade: PRESIDIO DE DIAMANTINA - Comensal: IPL</t>
  </si>
  <si>
    <t>Nº do contrato portal de compras: - - Pregão: 100/2025 - Unidade: PRESIDIO DE ERVALIA - Comensal: IPL</t>
  </si>
  <si>
    <t>Nº do contrato portal de compras: - - Pregão: 098/2025 - Unidade: PRESIDIO DE EUGENOPOLIS - Comensal: IPL</t>
  </si>
  <si>
    <t>Nº do contrato portal de compras: 9390604/2023 - Pregão: 103/2023 - Unidade: PRESIDIO DE EXTREMA - Comensal: IPL</t>
  </si>
  <si>
    <t>Nº do contrato portal de compras: 9371997/2023 - Pregão: 315/2022 - Unidade: PRESIDIO DE FRUTAL - Comensal: IPL</t>
  </si>
  <si>
    <t>Nº do contrato portal de compras: - - Pregão: 080/2025 - Unidade: PRESIDIO DE GOVERNADOR VALADARES - Comensal: IPL</t>
  </si>
  <si>
    <t>Nº do contrato portal de compras: - - Pregão: 087/2025 - Unidade: PRESIDIO DE GUANHAES - Comensal: IPL</t>
  </si>
  <si>
    <t>Nº do contrato portal de compras: 9293764/2021 - Pregão: 184/2021 - Unidade: PRESIDIO DE GUARANESIA - Comensal: IPL</t>
  </si>
  <si>
    <t>Nº do contrato portal de compras: 9391216/2023 - Pregão: 81/2023 - Unidade: PRESIDIO DE IBIRITE - Comensal: IPL</t>
  </si>
  <si>
    <t>Nº do contrato portal de compras: - - Pregão: 108/2025 - Unidade: PRESIDIO DE INHAPIM - Comensal: IPL</t>
  </si>
  <si>
    <t>Nº do contrato portal de compras: 9386316/2023 - Pregão: 28/2023 - Unidade: PRESIDIO DE ITACARAMBI - Comensal: IPL</t>
  </si>
  <si>
    <t>Nº do contrato portal de compras: 9294655/2021 - Pregão: 187/2021 - Unidade: PRESIDIO DE ITAJUBA - Comensal: IPL</t>
  </si>
  <si>
    <t>Nº do contrato portal de compras: - - Pregão: 109/2025 - Unidade: PRESIDIO DE ITAMARANDIBA - Comensal: IPL</t>
  </si>
  <si>
    <t>Nº do contrato portal de compras: 9319014/2022 - Pregão: 251/2021 - Unidade: PRESIDIO DE ITAMBACURI - Comensal: IPL</t>
  </si>
  <si>
    <t>Nº do contrato portal de compras: 9447687/2025 - Pregão: 329/2024 - Unidade: PRESIDIO DE ITAOBIM - Comensal: IPL</t>
  </si>
  <si>
    <t>Nº do contrato portal de compras: 9371997/2023 - Pregão: 315/2022 - Unidade: PRESIDIO DE ITAPAGIPE - Comensal: IPL</t>
  </si>
  <si>
    <t>Nº do contrato portal de compras: 9460418/2025 - Pregão: 010/2025 - Unidade: PRESIDIO DE ITAUNA - Comensal: IPL</t>
  </si>
  <si>
    <t>Nº do contrato portal de compras: 9346193/2022 - Pregão: 217/2022 - Unidade: PRESIDIO DE ITUIUTABA - Comensal: IPL</t>
  </si>
  <si>
    <t>Nº do contrato portal de compras: 9406716/2023 - Pregão: 202/2023 - Unidade: PRESIDIO DE JABOTICATUBAS - Comensal: IPL</t>
  </si>
  <si>
    <t>Nº do contrato portal de compras: 9437858/2024 - Pregão: 62/2024 - Unidade: PRESIDIO DE JACINTO - Comensal: IPL</t>
  </si>
  <si>
    <t>Nº do contrato portal de compras: 9388878/2023 - Pregão: 60/2023 - Unidade: PRESIDIO DE JANAUBA - Comensal: IPL</t>
  </si>
  <si>
    <t>Nº do contrato portal de compras: 9439967/2024 - Pregão: 187/2024 - Unidade: PRESIDIO DE JANUARIA - Comensal: IPL</t>
  </si>
  <si>
    <t>Nº do contrato portal de compras: 9437858/2024 - Pregão: 62/2024 - Unidade: PRESIDIO DE JEQUITINHONHA - Comensal: IPL</t>
  </si>
  <si>
    <t>Nº do contrato portal de compras: - - Pregão: 115/2025 - Unidade: PRESIDIO DE JOAO MONLEVADE - Comensal: IPL</t>
  </si>
  <si>
    <t>Nº do contrato portal de compras: 9408760/2024 - Pregão: 316/2023​ - Unidade: PRESIDIO DE JOAO PINHEIRO - Comensal: IPL</t>
  </si>
  <si>
    <t>Nº do contrato portal de compras: - - Pregão: - - Unidade: PRESIDIO DE JUATUBA - Comensal: IPL</t>
  </si>
  <si>
    <t>Nº do contrato portal de compras: 9418603/2024 - Pregão: 313/2023 - Unidade: PRESIDIO DE LAGOA DA PRATA - Comensal: IPL</t>
  </si>
  <si>
    <t>Nº do contrato portal de compras: 9406716/2023 - Pregão: 202/2023 - Unidade: PRESIDIO DE LAGOA SANTA - Comensal: IPL</t>
  </si>
  <si>
    <t>Nº do contrato portal de compras: 9429047/2024 - Pregão: 317/2023​ - Unidade: PRESIDIO DE LAVRAS - Comensal: IPL</t>
  </si>
  <si>
    <t>Nº do contrato portal de compras:  9441034/2024 - Pregão: 156/2024 - Unidade: PRESIDIO DE LEOPOLDINA - Comensal: IPL</t>
  </si>
  <si>
    <t>Nº do contrato portal de compras: - - Pregão: 114/2025 - Unidade: PRESIDIO DE LUZ - Comensal: IPL</t>
  </si>
  <si>
    <t>Nº do contrato portal de compras: 9413309/2024 - Pregão: 259/2023 - Unidade: PRESIDIO DE MACHADO - Comensal: IPL</t>
  </si>
  <si>
    <t>Nº do contrato portal de compras: 9459555/2025 - Pregão: 403/2024 - Unidade: PRESIDIO DE MALACACHETA - Comensal: IPL</t>
  </si>
  <si>
    <t>Nº do contrato portal de compras: 9386316/2023 - Pregão: 28/2023 - Unidade: PRESIDIO DE MANGA - Comensal: IPL</t>
  </si>
  <si>
    <t>Nº do contrato portal de compras: 9292321/2021 - Pregão: 132/2021 - Unidade: PRESIDIO DE MANHUACU - Comensal: IPL</t>
  </si>
  <si>
    <t>Nº do contrato portal de compras: 9319064/2022 - Pregão: 272/2021 - Unidade: PRESIDIO DE MANHUMIRIM - Comensal: IPL</t>
  </si>
  <si>
    <t>Nº do contrato portal de compras: 9429182/2024 - Pregão: 315/2023 - Unidade: PRESIDIO DE MANTENA - Comensal: IPL</t>
  </si>
  <si>
    <t>Nº do contrato portal de compras: 9468078/2025 - Pregão: 435/2024 - Unidade: PRESIDIO DE MARIANA - Comensal: IPL</t>
  </si>
  <si>
    <t>Nº do contrato portal de compras: 9429176/2024 - Pregão: 295/2023 - Unidade: PRESIDIO DE MATIAS BARBOSA - Comensal: IPL</t>
  </si>
  <si>
    <t>Nº do contrato portal de compras: 9406716/2023 - Pregão: 202/2023 - Unidade: PRESIDIO DE MATOZINHOS - Comensal: IPL</t>
  </si>
  <si>
    <t>Nº do contrato portal de compras: - - Pregão: 090/2025 - Unidade: PRESIDIO DE MONTE AZUL - Comensal: IPL</t>
  </si>
  <si>
    <t>Nº do contrato portal de compras: 9408633/2024 - Pregão: 233/2023 - Unidade: PRESIDIO DE MONTE CARMELO - Comensal: IPL</t>
  </si>
  <si>
    <t>Nº do contrato portal de compras: 9293764/2021 - Pregão: 184/2021 - Unidade: PRESIDIO DE MONTE SANTO DE MINAS - Comensal: IPL</t>
  </si>
  <si>
    <t>Nº do contrato portal de compras: - - Pregão: 131/2025 - Unidade: PRESIDIO DE MONTES CLAROS - Comensal: IPL</t>
  </si>
  <si>
    <t>Nº do contrato portal de compras: - - Pregão: 098/2025 - Unidade: PRESIDIO DE MURIAE - Comensal: IPL</t>
  </si>
  <si>
    <t>Nº do contrato portal de compras: - - Pregão: 105/2025 - Unidade: PRESIDIO DE NANUQUE - Comensal: IPL</t>
  </si>
  <si>
    <t>Nº do contrato portal de compras: - - Pregão: 115/2025 - Unidade: PRESIDIO DE NOVA ERA - Comensal: IPL</t>
  </si>
  <si>
    <t>Nº do contrato portal de compras: 9447962/2025 - Pregão: 259/2024 - Unidade: PRESIDIO DE NOVA LIMA - Comensal: IPL</t>
  </si>
  <si>
    <t>Nº do contrato portal de compras: - - Pregão: 125/2025 - Unidade: PRESIDIO DE NOVA SERRANA - Comensal: IPL</t>
  </si>
  <si>
    <t>Nº do contrato portal de compras: 9385655/2023 - Pregão: 24/2023 - Unidade: PRESIDIO DE NOVO CRUZEIRO - Comensal: IPL</t>
  </si>
  <si>
    <t>Nº do contrato portal de compras: 9468078/2025 - Pregão: 435/2024 - Unidade: PRESIDIO DE OURO PRETO - Comensal: IPL</t>
  </si>
  <si>
    <t>Nº do contrato portal de compras: - - Pregão: 112/2025 - Unidade: PRESIDIO DE PARACATU - Comensal: IPL</t>
  </si>
  <si>
    <t>Nº do contrato portal de compras: 9442072/2024 - Pregão: 251/2024 - Unidade: PRESIDIO DE PASSOS - Comensal: IPL</t>
  </si>
  <si>
    <t>Nº do contrato portal de compras: 9280490​/2021 - Pregão: 35/2021 - Unidade: PRESIDIO DE PEÇANHA - Comensal: IPL</t>
  </si>
  <si>
    <t>Nº do contrato portal de compras: 9368831/2022 - Pregão: 277/2022 - Unidade: PRESIDIO DE PEDRA AZUL - Comensal: IPL</t>
  </si>
  <si>
    <t>Nº do contrato portal de compras: 9406716/2023 - Pregão: 202/2023 - Unidade: PRESIDIO DE PEDRO LEOPOLDO - Comensal: IPL</t>
  </si>
  <si>
    <t>Nº do contrato portal de compras: 9447648/2025 - Pregão: 387/2024 - Unidade: PRESIDIO DE PERDIZES - Comensal: IPL</t>
  </si>
  <si>
    <t>Nº do contrato portal de compras:  9429181/2024 - Pregão: 314/2023 - Unidade: PRESIDIO DE PIRAPORA - Comensal: IPL</t>
  </si>
  <si>
    <t>Nº do contrato portal de compras: 9445947/2024 - Pregão: 286/2024 - Unidade: PRESIDIO DE PIUMHI - Comensal: IPL</t>
  </si>
  <si>
    <t>Nº do contrato portal de compras: 9406187/2023 - Pregão: 236/2023​ - Unidade: PRESIDIO DE POCOS DE CALDAS - Comensal: IPL</t>
  </si>
  <si>
    <t>Nº do contrato portal de compras: 9388878/2023 - Pregão: 60/2023 - Unidade: PRESIDIO DE PORTEIRINHA - Comensal: IPL</t>
  </si>
  <si>
    <t>Nº do contrato portal de compras: - - Pregão: 101/2025 - Unidade: PRESIDIO DE POUSO ALEGRE - Comensal: IPL</t>
  </si>
  <si>
    <t>Nº do contrato portal de compras: 9325317/2022 - Pregão: 04/2022 - Unidade: PRESIDIO DE PRATA - Comensal: IPL</t>
  </si>
  <si>
    <t>Nº do contrato portal de compras: 9418602/2024 - Pregão: 272/2023 - Unidade: PRESIDIO DE PRESIDENTE OLEGARIO - Comensal: IPL</t>
  </si>
  <si>
    <t>Nº do contrato portal de compras: 9402111/2023 - Pregão: 181/2023​ - Unidade: PRESIDIO DE RESENDE COSTA - Comensal: IPL</t>
  </si>
  <si>
    <t>Nº do contrato portal de compras: 9470017/2025 - Pregão: 38/2025 - Unidade: PRESIDIO DE RIO POMBA - Comensal: IPL</t>
  </si>
  <si>
    <t>Nº do contrato portal de compras: 9437051/2024 - Pregão: 236/2024 - Unidade: PRESIDIO DE SACRAMENTO - Comensal: IPL</t>
  </si>
  <si>
    <t>Nº do contrato portal de compras: 9451493/2025 - Pregão: 390/2024 - Unidade: PRESIDIO DE SALINAS - Comensal: IPL</t>
  </si>
  <si>
    <t>Nº do contrato portal de compras: 9406716/2023 - Pregão: 202/2023 - Unidade: PRESIDIO DE SANTA LUZIA - Comensal: IPL</t>
  </si>
  <si>
    <t>Nº do contrato portal de compras: 9294655/2021 - Pregão: 187/2021 - Unidade: PRESIDIO DE SANTA RITA DO SAPUCAI - Comensal: IPL</t>
  </si>
  <si>
    <t>Nº do contrato portal de compras: 9346193/2022 - Pregão: 217/2022 - Unidade: PRESIDIO DE SANTA VITORIA - Comensal: IPL</t>
  </si>
  <si>
    <t>Nº do contrato portal de compras: 9441322/2024 - Pregão: 238/2024 - Unidade: PRESIDIO DE SANTOS DUMONT - Comensal: IPL</t>
  </si>
  <si>
    <t>Nº do contrato portal de compras: 9423630/2024 - Pregão: 271/2023 - Unidade: PRESIDIO DE SAO FRANCISCO - Comensal: IPL</t>
  </si>
  <si>
    <t>Nº do contrato portal de compras: 9437440/2024 - Pregão: 183/2024 - Unidade: PRESIDIO DE SAO JOAO DA PONTE - Comensal: IPL</t>
  </si>
  <si>
    <t>Nº do contrato portal de compras: 9402111/2023 - Pregão: 181/2023​ - Unidade: PRESIDIO DE SAO JOAO DEL REY - Comensal: IPL</t>
  </si>
  <si>
    <t>Nº do contrato portal de compras: 9280490​/2021 - Pregão: 35/2021 - Unidade: PRESIDIO DE SAO JOAO EVANGELISTA - Comensal: IPL</t>
  </si>
  <si>
    <t>Nº do contrato portal de compras: - - Pregão: - - Unidade: PRESIDIO DE SAO JOAQUIM DE BICAS I - Comensal: IPL</t>
  </si>
  <si>
    <t>Nº do contrato portal de compras: - - Pregão: - - Unidade: PRESIDIO DE SAO JOAQUIM DE BICAS II - Comensal: IPL</t>
  </si>
  <si>
    <t>Nº do contrato portal de compras: 9456503/2025 - Pregão: 413/2024 - Unidade: PRESIDIO DE SAO LOURENCO - Comensal: IPL</t>
  </si>
  <si>
    <t>Nº do contrato portal de compras: 9293764/2021 - Pregão: 184/2021 - Unidade: PRESIDIO DE SAO SEBASTIAO DO PARAISO - Comensal: IPL</t>
  </si>
  <si>
    <t>Nº do contrato portal de compras: 9396044/2023 - Pregão: 151/2023 - Unidade: PRESIDIO DE SERRO - Comensal: IPL</t>
  </si>
  <si>
    <t>Nº do contrato portal de compras: 9451493/2025 - Pregão: 390/2024 - Unidade: PRESIDIO DE TAIOBEIRAS - Comensal: IPL</t>
  </si>
  <si>
    <t>Nº do contrato portal de compras: 9426810/2024 - Pregão: 285/2023 - Unidade: PRESIDIO DE TARUMIRIM - Comensal: IPL</t>
  </si>
  <si>
    <t>Nº do contrato portal de compras: 9319014/2022 - Pregão: 251/2021 - Unidade: PRESIDIO DE TEOFILO OTONI - Comensal: IPL</t>
  </si>
  <si>
    <t>Nº do contrato portal de compras: 9402075/2023 - Pregão: 177/2023​ - Unidade: PRESIDIO DE TIMOTEO - Comensal: IPL</t>
  </si>
  <si>
    <t>Nº do contrato portal de compras: 9289869/2021 - Pregão: 106/2021 - Unidade: PRESIDIO DE TRES MARIAS - Comensal: IPL</t>
  </si>
  <si>
    <t>Nº do contrato portal de compras: - - Pregão: 107/2025 - Unidade: PRESIDIO DE TRES PONTAS - Comensal: IPL</t>
  </si>
  <si>
    <t>Nº do contrato portal de compras: 9442082/2024 - Pregão: 242/2024 - Unidade: PRESIDIO DE TUPACIGUARA - Comensal: IPL</t>
  </si>
  <si>
    <t>Nº do contrato portal de compras: - - Pregão: 109/2025 - Unidade: PRESIDIO DE TURMALINA - Comensal: IPL</t>
  </si>
  <si>
    <t>Nº do contrato portal de compras: 9444021/2024 - Pregão: 213/2024 - Unidade: PRESIDIO DE UBA - Comensal: IPL</t>
  </si>
  <si>
    <t>Nº do contrato portal de compras: - - Pregão: 088/2025 - Unidade: PRESIDIO DE UNAI - Comensal: IPL</t>
  </si>
  <si>
    <t>Nº do contrato portal de compras: 9411200/2024 - Pregão: 258/2023 - Unidade: PRESIDIO DE VARGINHA - Comensal: IPL</t>
  </si>
  <si>
    <t>Nº do contrato portal de compras:  9429181/2024 - Pregão: 314/2023 - Unidade: PRESIDIO DE VARZEA DA PALMA - Comensal: IPL</t>
  </si>
  <si>
    <t>Nº do contrato portal de compras: 9406716/2023 - Pregão: 202/2023 - Unidade: PRESIDIO DE VESPASIANO - Comensal: IPL</t>
  </si>
  <si>
    <t>Nº do contrato portal de compras: - - Pregão: 100/2025 - Unidade: PRESIDIO DE VICOSA - Comensal: IPL</t>
  </si>
  <si>
    <t>Nº do contrato portal de compras: 9470017/2025 - Pregão: 38/2025 - Unidade: PRESIDIO DE VISCONDE DO RIO BRANCO - Comensal: IPL</t>
  </si>
  <si>
    <t>Nº do contrato portal de compras: 9325942/2022 - Pregão: 9/2022 - Unidade: PRESIDIO DOUTOR CARLOS VITORIANO - Comensal: IPL</t>
  </si>
  <si>
    <t>Nº do contrato portal de compras: - - Pregão: 095/2025 - Unidade: PRESIDIO DR NELSON PIRES - Comensal: IPL</t>
  </si>
  <si>
    <t>Nº do contrato portal de compras: 9275521​​/2021 - Pregão: 295/2020 - Unidade: PRESIDIO FEMININO JOSÉ ABRANCHES GONÇALVES - Comensal: IPL</t>
  </si>
  <si>
    <t>Nº do contrato portal de compras: 9447649/2025 - Pregão: 306/2024 - Unidade: PRESIDIO FLORAMAR - Comensal: IPL</t>
  </si>
  <si>
    <t>Nº do contrato portal de compras: 9275521​​/2021 - Pregão: 295/2020 - Unidade: PRESIDIO INSPETOR JOSE MARTIN DRUMOND - Comensal: IPL</t>
  </si>
  <si>
    <t>Nº do contrato portal de compras: 9425234/2024 - Pregão: 282/2023 - Unidade: PRESIDIO PROFESSOR JACY DE ASSIS - Comensal: IPL</t>
  </si>
  <si>
    <t>Nº do contrato portal de compras: 9460653/2025 - Pregão: 417/2024 - Unidade: PRESIDIO PROMOTOR JOSÉ COSTA - Comensal: IPL</t>
  </si>
  <si>
    <t>Nº do contrato portal de compras: 9408633/2024 - Pregão: 233/2023 - Unidade: PRESIDIO SARGENTO JORGE - Comensal: IPL</t>
  </si>
  <si>
    <t>Nº do contrato portal de compras: 9418602/2024 - Pregão: 272/2023 - Unidade: PRESIDIO SEBASTIAO SATIRO - Comensal: IPL</t>
  </si>
  <si>
    <t>Nº do contrato portal de compras: 9447940/2025 - Pregão: 275/2024 - Unidade: PRESIDIO DE ITURAMA - Comensal: IPL</t>
  </si>
  <si>
    <t>SERVICOS DE OPERACAO LOGISTICA INTEGRADA,INCLUINDO ARMAZENA GEM, GESTAO DE ESTOQUE, DISTRIBUICAO E GESTAO DE TRANSPORTE CAF</t>
  </si>
  <si>
    <t>Diárias para viagens de fiscalização amostral dos atos de gestão das Unidades descentrazalizadas</t>
  </si>
  <si>
    <t xml:space="preserve">Diárias para execução das atividades de correição administrativa, prevenção de ilícitos, realização de investigações e fiscalizações. </t>
  </si>
  <si>
    <t>Serviço de Verificador Independente</t>
  </si>
  <si>
    <t>Seerviço de Verificador Independente</t>
  </si>
  <si>
    <t>Passagem de ida e volta para deslocamento de servidores</t>
  </si>
  <si>
    <t>Diária para atender hospedagem de servidor</t>
  </si>
  <si>
    <t>Despesa miúda</t>
  </si>
  <si>
    <r>
      <t xml:space="preserve">Pagamento de diárias para cobrir gastos com hospedagem e alimentação em viagem a serviço pelo Secretário Adjunto.
Viagens para reuniões dos </t>
    </r>
    <r>
      <rPr>
        <b/>
        <u/>
        <sz val="11"/>
        <color theme="1"/>
        <rFont val="Calibri"/>
        <family val="2"/>
        <scheme val="minor"/>
      </rPr>
      <t>Consesp e Consej</t>
    </r>
    <r>
      <rPr>
        <sz val="11"/>
        <color theme="1"/>
        <rFont val="Calibri"/>
        <family val="2"/>
        <scheme val="minor"/>
      </rPr>
      <t>, representando e/ou acompanhando o Secretário.</t>
    </r>
  </si>
  <si>
    <t>Pagamento de diárias para cobrir gastos com hospedagem e alimentação em que o Secretário Adjunto  visitará as unidades prisionais e socioeducativas de Regiões do Estado (a serem definidas).</t>
  </si>
  <si>
    <r>
      <t xml:space="preserve">Pagamento de diárias para cobrir gastos com hospedagem e alimentação em que a </t>
    </r>
    <r>
      <rPr>
        <b/>
        <u/>
        <sz val="11"/>
        <color theme="1"/>
        <rFont val="Calibri"/>
        <family val="2"/>
        <scheme val="minor"/>
      </rPr>
      <t>assessora-chefe acompanhará o Secretário Adjunto nas visitas às unidades prisionais e socioeducativas de Regiões do Estado</t>
    </r>
    <r>
      <rPr>
        <sz val="11"/>
        <color theme="1"/>
        <rFont val="Calibri"/>
        <family val="2"/>
        <scheme val="minor"/>
      </rPr>
      <t xml:space="preserve"> (a serem definidas).</t>
    </r>
  </si>
  <si>
    <r>
      <t xml:space="preserve">Pagamento de diárias para cobrir gastos com hospedagem e alimentação em que o </t>
    </r>
    <r>
      <rPr>
        <b/>
        <u/>
        <sz val="11"/>
        <color theme="1"/>
        <rFont val="Calibri"/>
        <family val="2"/>
        <scheme val="minor"/>
      </rPr>
      <t xml:space="preserve">Segurança do Secretário Adjunto auxiliará nos deslocamentos da comitiva para as visitas às unidades prisionais e socioeducativas de Regiões do Estado </t>
    </r>
    <r>
      <rPr>
        <sz val="11"/>
        <color theme="1"/>
        <rFont val="Calibri"/>
        <family val="2"/>
        <scheme val="minor"/>
      </rPr>
      <t>(a serem definidas).</t>
    </r>
  </si>
  <si>
    <t>HOSPEDAGEM PARA INSPEÇÃO DO CONSELHO PENITENCIÁRIO DE MINAS GERAIS EM UNIDADES PRISIONAIS DO ESTADO</t>
  </si>
  <si>
    <t>HOSPEDAGEM PARA INSPEÇÃO DO CONSELHO DE CRIMINOLOGIA E POLÍTICA CRIMINAL DE MINAS GERAIS EM UNIDADES PRISIONAIS DO ESTADO</t>
  </si>
  <si>
    <t>Representação institucional da Sejusp</t>
  </si>
  <si>
    <t>Programa Lares Geraes - Segurança Pública</t>
  </si>
  <si>
    <t>Diárias para cobertura jornalistica e audiovisual de eventos</t>
  </si>
  <si>
    <t>Encargos financeiros gerais da secretaria.</t>
  </si>
  <si>
    <t>Diárias de Viagem Gerais</t>
  </si>
  <si>
    <t>Estimativa passagens aéreas</t>
  </si>
  <si>
    <t>Estimativa com locomoção, pedágio e estacionamento</t>
  </si>
  <si>
    <t>DIÁRIA PARA ATENDER VIAGEM DA COORDENAÇÃO DE RELAÇÕES COM O SISTEMA DE JUSTIÇA</t>
  </si>
  <si>
    <t>DIÁRIA PARA ATENDER VIAGEM DA COMISSÃO DE ÉTICA</t>
  </si>
  <si>
    <t>DIÁRIA PARA ATENDER VIAGEM PARA BRASÍLIA DA COORDENAÇÃO DE ASSUNTOS PARLAMENTARES</t>
  </si>
  <si>
    <t>PASSAGEM PARA ATENDER VIAGEM PARA BRASÍLIA DA COORDENAÇÃO DE ASSUNTOS PARLAMENTARES</t>
  </si>
  <si>
    <t>Projeto de Extensão da rede de abastecimento de água e esgoto do Presídio de Itaúna</t>
  </si>
  <si>
    <t>Obra de Extensão da rede de abastecimento de água e esgoto do Presídio de Itaúna</t>
  </si>
  <si>
    <t xml:space="preserve"> Reforma e Ampliação do prédio - Construção de anexo no CERESP de Governador Valadares</t>
  </si>
  <si>
    <t>Projeto de Reforma e Reforço Estrutural da 11ª RISP Montes Claros</t>
  </si>
  <si>
    <t>Projeto de Extensão da rede de abastecimento de água e esgoto na Penitenciária Doutor Manoel Martins Lisoba Júnior - Muriaé</t>
  </si>
  <si>
    <t>Obra de Extensão da rede de abastecimento de água e esgoto na Penitenciária Doutor Manoel Martins Lisoba Júnior - Muriaé</t>
  </si>
  <si>
    <t>Projeto de reforma e PSCIP Presídio de São Lourenço</t>
  </si>
  <si>
    <t>Contrato de Manutenção das ETEs : Penitenciária de Francisco Sá, Presídio de Teófilo Otoni, Penitenciária de Unaí, Penitenciária Francisco Floriano de Paula, Penitenciária Professor João Pimenta da Veiga,Penitenciária de Muriaé, Presídio de Barão de Cocais, Presídio de Caratinga, Presídio Dr. Nelson Pires, Penitenciária de Três Corações, Presídio de Guaranésia/Guaxupé, Penitenciária de Deputado Expedito de Faria Tavares,  Itauna.</t>
  </si>
  <si>
    <t>Contrato de construção ou reforma das ETEs conforme diagnostico elaborado das Unidades: Penitenciária de Francisco Sá, Presídio de Teófilo Otoni, Penitenciária de Unaí, Penitenciária Francisco Floriano de Paula, Penitenciária Professor João Pimenta da Veiga,Penitenciária de Muriaé, Presídio de Barão de Cocais, Presídio de Caratinga, Presídio Dr. Nelson Pires, Penitenciária de Três Corações, Presídio de Guaranésia/Guaxupé, Penitenciária de Deputado Expedito de Faria Tavares,  Itauna.</t>
  </si>
  <si>
    <t>Contrato de automação - Francisco Sá</t>
  </si>
  <si>
    <t>Reforma de pelo menos 03 RISPs - incluindo reformas para atendimento/expansão do CIAD - Montes Claros e Uberlandia.</t>
  </si>
  <si>
    <t>MANUTENÇÃO em geral  - recurso TJ - Pelo menos 19 unidades prisionais</t>
  </si>
  <si>
    <t>Reforma prevista para 15 unidades prisionais - recurso TJ - Dênio Moreira de Carvalho, Antonio Dutra Ladeira, Ceresp Betim, José Maria Alkimin, Francisco Floriano de Paula, Nelson Hungria, Uberaba, Jacy de Assis, Penit. e Presídio de Teófilo Otorni, Ponte Nova, Conselheiro Pena, Doutor Nelson Pires e Ariosvaldo Campos Pires</t>
  </si>
  <si>
    <t>Obra de Reforma e Reforço Estrutural da 11ª RISP Montes Claros</t>
  </si>
  <si>
    <t xml:space="preserve">Contrato de Prestação de serviço de Consultoria </t>
  </si>
  <si>
    <t>Padronização e revitalização dos CFTVs das unidades - CSE Horto</t>
  </si>
  <si>
    <t>Padronização e revitalização dos CFTVs das unidades - CIA BH</t>
  </si>
  <si>
    <t>Padronização e revitalização dos CFTVs das unidades - CSE Ribeirão das Neves</t>
  </si>
  <si>
    <t>Construção de cozinha no Complexo Penitenciário de Juiz de Fora</t>
  </si>
  <si>
    <t>Padronização e revitalização dos CFTVs das unidades - CEIP Dom Bosco</t>
  </si>
  <si>
    <t>Contrato de Manutenção das ETEs : São Joaquim de Bicas, Ubá e Iturama</t>
  </si>
  <si>
    <t>Elaboração de Projetos de Segurança Contra Incêndio para mais 16 Unidades prisionais prioritárias</t>
  </si>
  <si>
    <t>Obra de reforma e PSCIP Presídio de São Lourenço</t>
  </si>
  <si>
    <t>Contrato de Manutenção de 7 poços de abastecimento de água, neste processo inclui manutenção das bombas</t>
  </si>
  <si>
    <t>Contrato de MANUTENÇÃO E OPERAÇÃO DA ETA INSTALADO NA PENITENCIARIA FRANCISCO FLORIANO DE PAULA EM GOVERNADOR VALADARES</t>
  </si>
  <si>
    <t>DESPESA MIÚDA DDU</t>
  </si>
  <si>
    <t>DESPESA MIÚDA CIAD</t>
  </si>
  <si>
    <t>DESPESA MIÚDA DCI</t>
  </si>
  <si>
    <t>DESPESA MIÚDA SIPO</t>
  </si>
  <si>
    <t>SUPORTE TECNOLÓGICO EM SOLUÇÃO DE TIC</t>
  </si>
  <si>
    <t>VIAGENS DE 4 DIAS PARA 3 SERVIDORES</t>
  </si>
  <si>
    <t>SERVIÇO DE AFERIÇÃO DE ETILÔMETROS</t>
  </si>
  <si>
    <t>PRÊMIOS, DIPLOMAS, CONDECORAÇÕES E MEDALHAS</t>
  </si>
  <si>
    <t>DESPESA MIÚDA DPI</t>
  </si>
  <si>
    <t>DIÁRIA PARA ATENDER HOSPEDAGEM E DESLOCAMENTO DE SERVIDOR DESIGNADO</t>
  </si>
  <si>
    <t>Contratação de empresa para elaboração de Projeto de Segurança contra incêndio das 17 unidades de segurança pública.</t>
  </si>
  <si>
    <t>Contratação de empresa para execução de projeto de prevenção e combate à incêndio e pânico das 19 unidades de segurança pública.</t>
  </si>
  <si>
    <t>Despesas de pronto pagamento para manutenção emergencial/evental de sedes de áreas e regiões integradas de segurança pública</t>
  </si>
  <si>
    <t>Diárias de viagem para visitas técnicas às sedes de áreas e regiões integradas de segurança pública</t>
  </si>
  <si>
    <t>Contratação de empresa para manutenção de elevadores das unidades de segurança pública.</t>
  </si>
  <si>
    <t>Manuteção de Gerador</t>
  </si>
  <si>
    <t>Manutenção/Limpeza de Caixa D'água</t>
  </si>
  <si>
    <t>Manutenção de Bebedouros</t>
  </si>
  <si>
    <t xml:space="preserve">Implementação da Metodologia Igesp para o Corpo de Bombeiros  Militar em municípios fora da RMBH. A implementação da Metodologia se dá através de reuniões de solução de problemas e de articulação de rede local visando a redução dos índices de criminalidade. </t>
  </si>
  <si>
    <t>Diárias de Viagem para condução das reuniões da Metodologia Igesp Focal em Juiz de Fora ou em outro  município a ser definido de acordo com o avalição da Superintendência do Observatório de Segurança Pública.</t>
  </si>
  <si>
    <t>Diárias de Viagem para condução das reuniões da Metodologia Igesp Focal em Uberlândia/MG ou em outro  município a ser definido de acordo com o avalição da Superintendência do Observatório de Segurança Pública.</t>
  </si>
  <si>
    <t xml:space="preserve">Diárias de Viagem para condução das reuniões da Metodologia Igesp Focal em município indicado de acordo com diagnóstico da Superintendência do  Observatório de Segurança Pública </t>
  </si>
  <si>
    <t>Aprimoramento da Metodologia Igesp através de Benchmarking com Estados de referência em políticas de justiça e segurança pública.</t>
  </si>
  <si>
    <t xml:space="preserve">Diárias de Viagem para condução das reuniões da Metodologia Igesp Tratamento em município indicado de acordo com diagnóstico da Superintendência do  Observatório de Segurança Pública </t>
  </si>
  <si>
    <t xml:space="preserve">Diárias de Viagem para condução das reuniões da Metodologia Igesp Intervenção em município indicado de acordo com diagnóstico da Superintendência do  Observatório de Segurança Pública </t>
  </si>
  <si>
    <t xml:space="preserve">Diárias para aplicação de cursos, treinamentos, Visitas Técnicas,  Transportes de itens,  Eventos acadêmicos e científicos </t>
  </si>
  <si>
    <t>Diárias para participação em eventos acadêmicos e científicos internacionais</t>
  </si>
  <si>
    <t>Padronização e revitalização dos CFTVs das unidades - CSE Montes Claros</t>
  </si>
  <si>
    <t>Padronização e revitalização dos CFTVs das unidades - Teófilo Otoni</t>
  </si>
  <si>
    <t>Munição Treina - CBC                        Calibre 12</t>
  </si>
  <si>
    <t xml:space="preserve">Munição Calibre 12                      Menos letal         </t>
  </si>
  <si>
    <t>Munição Calibre .40</t>
  </si>
  <si>
    <t>Munição Calibre 9mm</t>
  </si>
  <si>
    <t>Munição Calibre 5.56 x 45mm NATO</t>
  </si>
  <si>
    <t>Munição Calibre 7,62 X 51mm NATO</t>
  </si>
  <si>
    <t>Espargidores de IMPO</t>
  </si>
  <si>
    <t xml:space="preserve">Granadas de IMPO </t>
  </si>
  <si>
    <t xml:space="preserve">Alvos </t>
  </si>
  <si>
    <t xml:space="preserve">Estantes em aço para serem utilizadas guardando material bélico </t>
  </si>
  <si>
    <t xml:space="preserve">Mesas de escritório com gaveteiros </t>
  </si>
  <si>
    <t xml:space="preserve">Armário Guarda Volume </t>
  </si>
  <si>
    <t xml:space="preserve">Aquisição de equipamentos e insumos de airsoft (pistolas, rifles) para treinamentos simulados que reproduzam atividades de risco desempenhadas por servidores do Departamento Penitenciário, como forma de capacitação continuada. </t>
  </si>
  <si>
    <t xml:space="preserve">munições - Ball Bering - 0,20 g , munições Bell Bearing - 0,25 g - e máscaras de proteção) para treinamentos simulados com uso de airsofts </t>
  </si>
  <si>
    <t xml:space="preserve">Tourniquete de Treinamento </t>
  </si>
  <si>
    <t>Glicerina líquida</t>
  </si>
  <si>
    <t xml:space="preserve">Gaze de Metro </t>
  </si>
  <si>
    <t xml:space="preserve">Rolo de Papel Contact </t>
  </si>
  <si>
    <t>Considerando a necessidade de manutenção das atividades de treinamentos e operacionais da Escola Estadual de Serviços Penais, parte integrante da Academia Estadual de Segurança Pública, faz-se necessário um recurso que seja destinado somente para a EESP, desmembrado do custeio total da Academia, que será destinado a cobrir o custeio das despesas miúdas, de caráter eventual e/ou emergencial, tendo em vista as especificidades e alto custo com os cursos operacionais realizados na Escola Estadual de Serviços Penais, localizada em Ribeirão das Neves/MG.</t>
  </si>
  <si>
    <t>Despesa miúda da Academia Estadual de Segurança Pública</t>
  </si>
  <si>
    <t>Considerando o disposto no Decreto nº 48.659, de 28 de julho de 2023, que dispõe sobre a organização da Secretaria de Estado de Justiça e Segurança Pública (Sejusp), e em especial o que prevê o Art. 13, inciso X, que atribui à Academia Estadual de Segurança Pública a competência de “planejar, apoiar e promover seminários, congressos, encontros e outros eventos sobre segurança pública”, solicita-se a disponibilização de coffee break para os eventos a serem realizados pela Academia Estadual de Segurança Pública.</t>
  </si>
  <si>
    <t>Curso de Capacitação em Inteligência Artificial avançado.</t>
  </si>
  <si>
    <t xml:space="preserve">Licença para uso de biblioteca digital </t>
  </si>
  <si>
    <t>AUXÍLIO FINANCEIRO PARA OS DISCENTES APROVADOS PARA O CURSO DE FORMAÇÃO TÉCNICO PROFISSIONAL, 6ª ETAPA CLASSIFICATÓRIA E ELIMINATÓRIA PARA A CARREIRA DE AGENTE PENITENCIÁRIO/ POLICIAL PENAL</t>
  </si>
  <si>
    <t>Padronização e revitalização dos CFTVs das unidades - Governador Valadares</t>
  </si>
  <si>
    <t xml:space="preserve">Passagens  para participação em eventos acadêmicos e científicos </t>
  </si>
  <si>
    <t>CURSO DE FORMAÇÃO TÉCNICO PROFISSIONAL COMO ETAPA CLASSIFICATÓRIA E ELIMINATÓRIA PARA A CARREIRA DE AGENTE PENITENCIÁRIO/ POLICIAL PENAL</t>
  </si>
  <si>
    <t>Concurso Público para a Carreira de Assistente Executivo de Defesa Social - Auxiliar Educacional</t>
  </si>
  <si>
    <t>Padronização e revitalização dos CFTVs das unidades - Sete Lagoas</t>
  </si>
  <si>
    <t>Padronização e revitalização dos CFTVs das unidades - Divinópolis</t>
  </si>
  <si>
    <t>Padronização e revitalização dos CFTVs das unidades - Juiz de Fora</t>
  </si>
  <si>
    <t>Padronização e revitalização dos CFTVs das unidades - Uberlândia</t>
  </si>
  <si>
    <t>Kit Equipe de Facilitação Local (Metodologia e material didático de apio)</t>
  </si>
  <si>
    <t>PREVISÃO DE PASSAGENS AÉREAS PARA ESCOLTAS DE PRESOS, EXERCÍCIO ANO 2026</t>
  </si>
  <si>
    <r>
      <t xml:space="preserve">Aditivo ao Contrato de Gestão com OS, cujo objeto é a descentralização da Política Sobre Drogas, por meio da oferta de atendimento territorializados, além do aprimoramento do monitoramento das parcerias celebradas no âmbito do Programa Rede Complementar de Suporte Social na Atenção ao Dependente Químico </t>
    </r>
    <r>
      <rPr>
        <b/>
        <sz val="11"/>
        <color theme="1"/>
        <rFont val="Calibri"/>
        <family val="2"/>
        <scheme val="minor"/>
      </rPr>
      <t>(CREAD - Unidade Risp 15/Vale do Lítio)</t>
    </r>
  </si>
  <si>
    <r>
      <t xml:space="preserve">Aditivo ao Contrato de Gestão com OS, cujo objeto é a descentralização da Política Sobre Drogas, por meio da oferta de atendimento territorializados, além do aprimoramento do monitoramento das parcerias celebradas no âmbito do Programa Rede Complementar de Suporte Social na Atenção ao Dependente Químico </t>
    </r>
    <r>
      <rPr>
        <b/>
        <sz val="11"/>
        <color theme="1"/>
        <rFont val="Calibri"/>
        <family val="2"/>
        <scheme val="minor"/>
      </rPr>
      <t>(CREAD - Unidade Vale do Aço)</t>
    </r>
  </si>
  <si>
    <t>PREVISAÕ DE AQUISIÇÃO DE VEÍCULOS CELA/ VAN BIPARTIDA PARA ESCOLTAS DE PRESOS, EXERCÍCIO ANO 2026</t>
  </si>
  <si>
    <t>ALGEMA DE PUNHO DE TORNOZELO</t>
  </si>
  <si>
    <t>Tornozeleiras</t>
  </si>
  <si>
    <t xml:space="preserve">APAC ALFENAS                             
 APAC DE ALMENARA 
APAC ARAXÁ  
APAC ARCOS 
APAC BELO HORIZONTE   
APAC BETIM  
APAC CAMPO BELO 
 APAC CARATINGA 
APAC CONCEIÇÃO DAS ALAGOAS 
APAC CONS. LAFAIETE – FEM. 
APAC CONS. LAFAIETE – MASC.  
APAC DIVINOPOLIS                  
APAC FRUTAL - FEM. 
APAC FRUTAL - MASC.                              
APAC GUANHÃES  
APAC GOV. VALADARES - FEM.      
APAC INHAPIM 
APAC ITABIRA 
APAC ITABIRITO 
APAC ITAÚNA – FEM. 
APAC ITAÚNA – MASC.  
APAC ITUIUTABA                     
APAC JAÍBA                                                         APAC JANAÚBA                                                APAC JANUÁRIA 
APAC LAGOA DA PRATA 
APAC MANHUAÇU 
APAC MANHUMIRIM 
APAC NEPOMUCENO      
APAC NOVA LIMA 
APAC PARACATU 
APAC PASSOS 
APAC PATOS DE MINAS  
APAC PATROCÍNIO  
APAC PEDRA AZUL  
APAC PERDÕES  
APAC PIRAPORA  
APAC POUSO ALEGRE – FEM. 
APAC POUSO ALEGRE – MASC.
APAC RIO PIRACICABA – FEM. 
APAC SALINAS 
APAC SANTA BÁRBARA 
APAC SANTA LUZIA  
APAC SANTA MARIA SUAÇUÍ 
APAC SÃO JOÃO DEL REI - FEM. 
APAC SÃO JOÃO DEL REI - MASC. 
APAC SETE LAGOAS  
APAC TEÓFILO OTONI  
APAC VARGINHA
APAC VISCONDE DO RIO BRANCO 
APAC VIÇOSA 
FBAC 
</t>
  </si>
  <si>
    <t>CCT</t>
  </si>
  <si>
    <t>IPCA</t>
  </si>
  <si>
    <t>Instalação de paineis solares e boiler no Centro Socioeducativo de Governador Valadares</t>
  </si>
  <si>
    <t>Instalação de paineis solares e boiler no Centro Socioeducativo de Montes Claros</t>
  </si>
  <si>
    <t>Material de consumo para manutenção da Superintendência de Informação e Inteligência</t>
  </si>
  <si>
    <t>Licença dE Software que realiza análise de vínculos e formula organogramas</t>
  </si>
  <si>
    <t>Instalação de paineis solares e boiler no Centro Socioeducativo de Uberlândia</t>
  </si>
  <si>
    <t>Instalação de paineis solares e boiler no Centro Socioeducativo de Teófilo Otoni</t>
  </si>
  <si>
    <t>verba destina a aquisições de materiais de consumo para manutenção das unidades prisionais</t>
  </si>
  <si>
    <t>Diárias a Escoltas de Audiências judiciais, hospitalares, tranferências de IPLs em UP</t>
  </si>
  <si>
    <t>COPE:  Diárias para Escoltas prisionais;  ministração de cursos, apoios operacionais.</t>
  </si>
  <si>
    <t>Diárias administrativas,  para manutenção do Sistema Prisional, tais como, busca de insumos para Unidades, visitas técnicas, reuniões de alinhamento,  reunião Gerencial com os diretores Regionais das 19ª risp's, apoio operacional, Palestras , cursos, dentre outros.</t>
  </si>
  <si>
    <t>Adipômetro</t>
  </si>
  <si>
    <t>Cadeira de rodas - Tipo adulto</t>
  </si>
  <si>
    <t>Cadeira de rodas - Tipo obeso</t>
  </si>
  <si>
    <t xml:space="preserve">Computador portátil (notebook) </t>
  </si>
  <si>
    <t xml:space="preserve">Andador fisioterápico </t>
  </si>
  <si>
    <t xml:space="preserve">Aquecedor Portátil de Ambientes </t>
  </si>
  <si>
    <t xml:space="preserve">Ar condicionado </t>
  </si>
  <si>
    <t xml:space="preserve">Armário - aço </t>
  </si>
  <si>
    <t xml:space="preserve">Armário - madeira </t>
  </si>
  <si>
    <t xml:space="preserve">Autoclave </t>
  </si>
  <si>
    <t xml:space="preserve">Balança antropométrica adulto </t>
  </si>
  <si>
    <t xml:space="preserve">Balança Digital Portátil </t>
  </si>
  <si>
    <t xml:space="preserve">Bengala tipo T </t>
  </si>
  <si>
    <t xml:space="preserve">Câmera fotográfica </t>
  </si>
  <si>
    <t xml:space="preserve">Câmera Webcam </t>
  </si>
  <si>
    <t xml:space="preserve">Carrinho para bebê </t>
  </si>
  <si>
    <t xml:space="preserve">Compressor Odontológico </t>
  </si>
  <si>
    <t>Computador - Modelo: Tipo 1 - Padrão</t>
  </si>
  <si>
    <t xml:space="preserve">Eletrocardiógrafo </t>
  </si>
  <si>
    <t xml:space="preserve">Escada com 2 degraus </t>
  </si>
  <si>
    <t xml:space="preserve">Escrivaninha Uso Hospitalar </t>
  </si>
  <si>
    <t xml:space="preserve">Fita de medidas antropométricas </t>
  </si>
  <si>
    <t xml:space="preserve">Foco refletor ambulatorial </t>
  </si>
  <si>
    <t xml:space="preserve">Mesa auxiliar odontológica </t>
  </si>
  <si>
    <t>Mesa de exames clínicos</t>
  </si>
  <si>
    <t xml:space="preserve">Mocho </t>
  </si>
  <si>
    <t xml:space="preserve">Nebulizador portátil </t>
  </si>
  <si>
    <t xml:space="preserve">Oftalmoscópio </t>
  </si>
  <si>
    <t xml:space="preserve">Ordenhadeira Elétrica </t>
  </si>
  <si>
    <t xml:space="preserve">Régua antropométrica </t>
  </si>
  <si>
    <t xml:space="preserve">Seladora </t>
  </si>
  <si>
    <t xml:space="preserve">Termo higrômetro </t>
  </si>
  <si>
    <t xml:space="preserve">Bebê conforto </t>
  </si>
  <si>
    <t xml:space="preserve">Bebedouro/ purificador refrigerado </t>
  </si>
  <si>
    <t xml:space="preserve">Carro de Emergência </t>
  </si>
  <si>
    <t xml:space="preserve">Circulador de ar </t>
  </si>
  <si>
    <t xml:space="preserve">Eletrodo para desfibrilador - adulto </t>
  </si>
  <si>
    <t xml:space="preserve">Eletrodo para desfibrilador - infantil </t>
  </si>
  <si>
    <t xml:space="preserve">Esfigmomanômetro adulto </t>
  </si>
  <si>
    <t xml:space="preserve">Estetoscópio adulto </t>
  </si>
  <si>
    <t xml:space="preserve">Esfigmomanômetro infantil </t>
  </si>
  <si>
    <t>Estetoscópio infantil</t>
  </si>
  <si>
    <t xml:space="preserve">Fórceps adulto nº 65 em aço inox </t>
  </si>
  <si>
    <t xml:space="preserve">Lanternas clínicas para exame </t>
  </si>
  <si>
    <t xml:space="preserve">Laringoscópio adulto </t>
  </si>
  <si>
    <t xml:space="preserve">Maca de remoção </t>
  </si>
  <si>
    <t xml:space="preserve">Máquina de cortar cabelo - 110V </t>
  </si>
  <si>
    <t>Máquina de cortar cabelo - 220V</t>
  </si>
  <si>
    <t xml:space="preserve">Medidor de Temperatura Digital para sistema de refrigeração </t>
  </si>
  <si>
    <t xml:space="preserve">Oxímetro de dedo </t>
  </si>
  <si>
    <t xml:space="preserve">Quadro branco </t>
  </si>
  <si>
    <t xml:space="preserve">Sonar Portátil - Detector Fetal </t>
  </si>
  <si>
    <t xml:space="preserve">Ultrassom Odontológico </t>
  </si>
  <si>
    <t xml:space="preserve">Aparelho Fotopolimerizador </t>
  </si>
  <si>
    <t xml:space="preserve">Negatoscópio </t>
  </si>
  <si>
    <t xml:space="preserve">Pinça odonto auxiliar de sutura 15 cm </t>
  </si>
  <si>
    <t xml:space="preserve">Alavanca médica reta </t>
  </si>
  <si>
    <t xml:space="preserve">Alavanca uso odonto seldin 4 L </t>
  </si>
  <si>
    <t xml:space="preserve">Alavanca uso odonto seldin 4 R </t>
  </si>
  <si>
    <t xml:space="preserve">Alavanca uso odonto tipo Apical nº 301 </t>
  </si>
  <si>
    <t xml:space="preserve">Alavanca uso odonto tipo Apical nº 302 </t>
  </si>
  <si>
    <t>Alavanca medica - tipo: seldin; curva: reta; materia-prima: aco inox</t>
  </si>
  <si>
    <t>Alavanca uso odonto - materia prima: aco inox; tipo: seldin/1r; numero: 1r; lado: direito</t>
  </si>
  <si>
    <t xml:space="preserve">Alavanca uso odonto tipo Apical nº 303 </t>
  </si>
  <si>
    <t xml:space="preserve">Alveolótomo curvo </t>
  </si>
  <si>
    <t xml:space="preserve">Alveolotomo uso odonto - tipo: ponta reta; tamanho: 16,5cm; materia-prima: aco inox   </t>
  </si>
  <si>
    <t xml:space="preserve">Aplicador p/ cimento (duplo) </t>
  </si>
  <si>
    <t xml:space="preserve">Bacia inox hospitalar </t>
  </si>
  <si>
    <t>Bacia inox para uso hospitalar - materia-prima: aco inoxidavel; diametro: 35 cm; capacidade: 4.700 ml;</t>
  </si>
  <si>
    <t xml:space="preserve">Bandeja clínica 20x30x1,5cm em aço inox </t>
  </si>
  <si>
    <t xml:space="preserve">Bomba a vácuo odontológica </t>
  </si>
  <si>
    <t xml:space="preserve">Brunidor odontológico, em aço inox ref. 29 </t>
  </si>
  <si>
    <t xml:space="preserve">Brunidor odontológico, em aço inox ref. 33 </t>
  </si>
  <si>
    <t xml:space="preserve">Cabo p/ bisturi nº 3 </t>
  </si>
  <si>
    <t xml:space="preserve">Cabo p/ espelho bucal em aço inox tam. 25 </t>
  </si>
  <si>
    <t xml:space="preserve">Comadre </t>
  </si>
  <si>
    <t xml:space="preserve">Condensador uso odonto Hollemback 01 </t>
  </si>
  <si>
    <t>Condensador uso odonto Hollemback 02</t>
  </si>
  <si>
    <t xml:space="preserve">Condensador uso odonto Hollemback 03 </t>
  </si>
  <si>
    <t xml:space="preserve">Condensador uso odonto Hollemback 04 </t>
  </si>
  <si>
    <t xml:space="preserve">Condensador uso odonto Hollemback 05 </t>
  </si>
  <si>
    <t xml:space="preserve">Condensador uso odonto Hollemback 06 </t>
  </si>
  <si>
    <t xml:space="preserve">Condensador uso odonto Ward 01 </t>
  </si>
  <si>
    <t xml:space="preserve">Condensador uso odonto Ward 02 </t>
  </si>
  <si>
    <t>Condensador uso odonto Ward 03</t>
  </si>
  <si>
    <t xml:space="preserve">Condensador uso odonto Ward 04 </t>
  </si>
  <si>
    <t xml:space="preserve">Condensador uso odonto Ward 05 </t>
  </si>
  <si>
    <t xml:space="preserve">Cubas inox retangulares 25x16x3 cm </t>
  </si>
  <si>
    <t xml:space="preserve">Cubas redondas 14 cm p/ solução </t>
  </si>
  <si>
    <t xml:space="preserve">Cubas redondas p/ assepsia 10cm </t>
  </si>
  <si>
    <t xml:space="preserve">Cubas rim 26 cm </t>
  </si>
  <si>
    <t xml:space="preserve">Cureta periodontal 1/2 em aço inox </t>
  </si>
  <si>
    <t xml:space="preserve">Cureta periodontal 3/4 em aço inox </t>
  </si>
  <si>
    <t>Cureta periodontal 11/12 em aço inox</t>
  </si>
  <si>
    <t xml:space="preserve">Cureta periodontal 13/14 em aço inox </t>
  </si>
  <si>
    <t xml:space="preserve">Cureta periodontal 9/10 em aço inox </t>
  </si>
  <si>
    <t xml:space="preserve">Cureta SIMS Nº 02 </t>
  </si>
  <si>
    <t xml:space="preserve">Cureta periodontal 7/8 em aço inox </t>
  </si>
  <si>
    <t xml:space="preserve">Escavador uso odonto nº 05 </t>
  </si>
  <si>
    <t xml:space="preserve">Escavador uso odonto nº 11 </t>
  </si>
  <si>
    <t xml:space="preserve">Escavador uso odonto nº 14 </t>
  </si>
  <si>
    <t xml:space="preserve">Escavador uso odonto nº 18 </t>
  </si>
  <si>
    <t xml:space="preserve">Escavador uso odonto nº 19 </t>
  </si>
  <si>
    <t xml:space="preserve">Escavador uso odonto nº 20 </t>
  </si>
  <si>
    <t>Esculpidor Hollemback tam. 3S</t>
  </si>
  <si>
    <t xml:space="preserve">Estojo de inox c/ tampa 26x12x6cm comum </t>
  </si>
  <si>
    <t xml:space="preserve">Estojo Inox c/ tampa 26x12x6cm perfurado </t>
  </si>
  <si>
    <t xml:space="preserve">Fórceps adulto nº 150 em aço inox </t>
  </si>
  <si>
    <t xml:space="preserve">Fórceps adulto nº 151 em aço inox </t>
  </si>
  <si>
    <t xml:space="preserve">Fórceps adulto nº 17 em aço inox </t>
  </si>
  <si>
    <t xml:space="preserve">Fórceps adulto nº 18 L em aço inox </t>
  </si>
  <si>
    <t xml:space="preserve">Fórceps adulto nº 18 R em aço inox </t>
  </si>
  <si>
    <t xml:space="preserve">Fórceps adulto nº 68 em aço inox </t>
  </si>
  <si>
    <t xml:space="preserve">Fórceps adulto nº 69 em aço inox </t>
  </si>
  <si>
    <t xml:space="preserve">Kit Suctor de 6 mm de diâmetro </t>
  </si>
  <si>
    <t xml:space="preserve">Lima óssea em aço inox tipo Müller nº 1 </t>
  </si>
  <si>
    <t xml:space="preserve">Marreco </t>
  </si>
  <si>
    <t xml:space="preserve">Pinça HALSTEAD mosquito 12 cm curva </t>
  </si>
  <si>
    <t xml:space="preserve">Pinça HALSTEAD mosquito 12 cm reta </t>
  </si>
  <si>
    <t xml:space="preserve">Pinça hemostática curva Foester 18 cm </t>
  </si>
  <si>
    <t xml:space="preserve">Pinça hemostáticas reta Cheron 25 cm </t>
  </si>
  <si>
    <t xml:space="preserve">Pinça hemostáticas reta Kelly 14 cm </t>
  </si>
  <si>
    <t xml:space="preserve">Pinça odontológica em aço inox tipo algodão </t>
  </si>
  <si>
    <t xml:space="preserve">Porta agulha MAYO HEGAR 14 cm </t>
  </si>
  <si>
    <t>Porta matriz tipo Toffemeire, uso odontológico</t>
  </si>
  <si>
    <t xml:space="preserve">Seringa metal cromado 1,80ml, reutilizável </t>
  </si>
  <si>
    <t xml:space="preserve">Sindesmótomo, uso odontológico nº 02 </t>
  </si>
  <si>
    <t xml:space="preserve">Sonda exploradora, aço inox nº 5 cilíndrica </t>
  </si>
  <si>
    <t xml:space="preserve">Tambor Inox 16x 14 cm </t>
  </si>
  <si>
    <t xml:space="preserve">Tesoura cirúrgica curva 17 cm Romba </t>
  </si>
  <si>
    <t xml:space="preserve">Tesoura cirúrgica reta 15 cm Romba Fina </t>
  </si>
  <si>
    <t xml:space="preserve">Tesoura curva 14 cm aço inox Metzembaum </t>
  </si>
  <si>
    <t xml:space="preserve">Tesoura iris reta 10,5cm aço inox </t>
  </si>
  <si>
    <t xml:space="preserve">Tesoura MAYO reta 15 cm </t>
  </si>
  <si>
    <t xml:space="preserve">Tesoura reta 15 cm aço inox Metzembaum </t>
  </si>
  <si>
    <t xml:space="preserve">Tesoura reta retirada de pontos 11 cm spencer </t>
  </si>
  <si>
    <t xml:space="preserve">Armário vitrine </t>
  </si>
  <si>
    <t xml:space="preserve">Arquivo </t>
  </si>
  <si>
    <t xml:space="preserve">Balde a pedal para lixeira </t>
  </si>
  <si>
    <t xml:space="preserve">Biombo </t>
  </si>
  <si>
    <t xml:space="preserve">Cadeira de banho </t>
  </si>
  <si>
    <t xml:space="preserve">Cadeira escritório - Tipo fixa </t>
  </si>
  <si>
    <t xml:space="preserve">Cadeira escritório - Tipo giratória </t>
  </si>
  <si>
    <t xml:space="preserve">Cadeira para coleta de sangue </t>
  </si>
  <si>
    <t xml:space="preserve">Cama hospitalar </t>
  </si>
  <si>
    <t xml:space="preserve">Carro de Curativos </t>
  </si>
  <si>
    <t xml:space="preserve">Carro maca simples </t>
  </si>
  <si>
    <t xml:space="preserve">Carro para material de Limpeza </t>
  </si>
  <si>
    <t xml:space="preserve">Consultório odontológico completo </t>
  </si>
  <si>
    <t xml:space="preserve">Contra Ângulo </t>
  </si>
  <si>
    <t xml:space="preserve">Destilador de Água </t>
  </si>
  <si>
    <t xml:space="preserve">Estante </t>
  </si>
  <si>
    <t xml:space="preserve">Gaveteiro 2 gavetas </t>
  </si>
  <si>
    <t xml:space="preserve">Gaveteiro 4 gavetas </t>
  </si>
  <si>
    <t xml:space="preserve">Geladeira/ refrigerador </t>
  </si>
  <si>
    <t xml:space="preserve">Longarina </t>
  </si>
  <si>
    <t xml:space="preserve">Mesa auxiliar </t>
  </si>
  <si>
    <t xml:space="preserve">Mesa de Mayo Inox </t>
  </si>
  <si>
    <t xml:space="preserve">Mesa ginecológica com leito inox porta coxa </t>
  </si>
  <si>
    <t xml:space="preserve">Mesa para impressora </t>
  </si>
  <si>
    <t xml:space="preserve">Muleta </t>
  </si>
  <si>
    <t xml:space="preserve">Otoscópio </t>
  </si>
  <si>
    <t xml:space="preserve">Prancha rígida </t>
  </si>
  <si>
    <t xml:space="preserve">Quadro de aviso cortiça </t>
  </si>
  <si>
    <t xml:space="preserve">Suporte soro </t>
  </si>
  <si>
    <t>Aparelho de raio-x uso odonto - tipo: coluna movel</t>
  </si>
  <si>
    <t>Avental de protecao contra raio-x</t>
  </si>
  <si>
    <t>Colgadura para raio x - materia prima: aco inox; tamanho: para 01(um) grampo; tipo: de grampo; finalidade: auxiliar na revelacao de filmes radiologicos; aplicacao: odontologia;</t>
  </si>
  <si>
    <t>Espatula odontologica modelo: simples; numero: 24f; dimensoes: nao aplicavel; material ponta: aco inoxidavel autoclavavel; material corpo: aco inoxidavel autoclavavel;</t>
  </si>
  <si>
    <t>Kit academico uso odonto - componentes (1): caneta de alta rotacao; componentes (2): micromotor; componente (3): ponta reta com sistema intra; componente (4): contra angulo com sistema intra;</t>
  </si>
  <si>
    <t>Peca de mao uso odonto - sistema de encaixe:: universal intra; transmissao: 1:1; refrigeracao: spray externo; esterilizacao: autoclave/oxido de etileno;</t>
  </si>
  <si>
    <t>Pinca porta-agulha uso odonto - materia prima: aco inox; tipo: mathieu; medida: 20cm;</t>
  </si>
  <si>
    <t>Pinca uso odontologico tipo: aco inoxidavel autoclavavel; tamanho: anatomica disseccao; materia-prima: 14 cm;</t>
  </si>
  <si>
    <t>Pinca uso odontologico tipo: aco inoxidavel autoclavavel; tamanho: clinica universal 317 c; materia-prima: 16 cm;</t>
  </si>
  <si>
    <t>Sindesmotomo materia-prima: aco inoxidadvel; numero: 01;</t>
  </si>
  <si>
    <t>Tesoura cirurgica, uso odonto - materia prima: aco inox; tipo: metzenbaum/reta; medida: 15cm;</t>
  </si>
  <si>
    <t>Tesoura instrumental modelo: cirurgica; ponta: aco inoxidavel autoclavavel; tamanho: 15 cm; materia-prima: f/f reta;</t>
  </si>
  <si>
    <t>Tesoura instrumental modelo: iris; ponta: curva; tamanho: 12 cm; materia-prima: aco inoxidavel autoclavavel;</t>
  </si>
  <si>
    <t>Tesoura instrumental modelo: iris; ponta: reta; tamanho: 12 cm; materia-prima: aco inoxidavel autoclavavel;</t>
  </si>
  <si>
    <t>Prestação de Serviços de Manutenção Preventiva, Calibração, Teste de Segurança Elétrica e Manutenção Corretiva em Eletrocardiógrafos da marca Mindray</t>
  </si>
  <si>
    <t>Contratação de serviços para execução de recarga de cilindros de oxigênio gasoso medicinal e eventual realização/revalidação de teste hidrostático, pintura de cilindro e manutenção (troca) de válvula e manômetro (regulador) por empresa especializada</t>
  </si>
  <si>
    <t>Contratação de empresa especializada em manutenção preventiva e corretiva de Desfibrilador Externo Automático</t>
  </si>
  <si>
    <t>Diárias</t>
  </si>
  <si>
    <t>Monitor Multiparamétrico ECG + BPM + PNI + ST + SpO² + 2 Temperaturas para as unidades prisionais médico-penais do estado de MG</t>
  </si>
  <si>
    <t>Oxímetro de Pulso de Mesa para as unidades prisionais médico-penais do estado de MG</t>
  </si>
  <si>
    <t>Câmara de Conservação Uso Médico Hospitalar - Finalidade Conservação de Medicamentos; Tipo Vertical; Volume 340 Litros; Isolamento Poliuretano Injetado; Controle Temperatura por Comando Eletrônico Microprocessado para as unidades prisionais médico-penais do estado de MG</t>
  </si>
  <si>
    <t>Automóvel tipo sedan compacto para as unidades prisionais médico-penais do estado de MG</t>
  </si>
  <si>
    <t>Maca hospitalar tubular com encosto de cabeça regulável para as unidades prisionais médico-penais do estado de MG</t>
  </si>
  <si>
    <t>Mesa com gaveta para as unidades prisionais médico-penais do estado de MG</t>
  </si>
  <si>
    <t>Armário de madeira com 2 portas e chave para as unidades prisionais médico-penais do estado de MG</t>
  </si>
  <si>
    <t xml:space="preserve"> Material para aplicação teste psicológico - Título: Teste Projetivo de Personalidade - Palográfico; Tipo: Roteiro de Avaliação  para as unidades prisionais médico-penais do estado de MG</t>
  </si>
  <si>
    <t>Material para aplicação teste psicológico - Título: Inventário de Habilidades Sociais – IHS Del Prette; Tipo: Folha de respostas - 25 folhas por bloco para as unidades prisionais médico-penais do estado de MG</t>
  </si>
  <si>
    <t>Material para aplicação teste psicológico - Título: Inventário de Habilidades Sociais – IHS Del Prette; Tipo: Bloco de apuração - Masculino para as unidades prisionais médico-penais do estado de MG</t>
  </si>
  <si>
    <t>Material para aplicação teste psicológico - Título: Inventário de Habilidades Sociais – IHS Del Prette; Tipo: Crivo para as unidades prisionais médico-penais do estado de MG</t>
  </si>
  <si>
    <t>Material para aplicação teste psicológico - Título: Wisconsin de Classificação de Cartas - WCST; Tipo:Manual para as unidades prisionais médico-penais do estado de MG</t>
  </si>
  <si>
    <t>Material para aplicação teste psicológico - Título: Teste Wisconsin de Classificação de Cartas - Teste WCST; Tipo: Bloco de respostas com 25 folhas para as unidades prisionais médico-penais do estado de MG</t>
  </si>
  <si>
    <t>Material para aplicação teste psicológico - Título: Teste Wisconsin de Classificação de Cartas - Teste WCST; Tipo: Conjunto de cartões importados para as unidades prisionais médico-penais do estado de MG</t>
  </si>
  <si>
    <t>Material para aplicação teste psicológico - Título: Escala Hare - PCL -R; Tipo: Caderno de Protocolo para as unidades prisionais médico-penais do estado de MG</t>
  </si>
  <si>
    <t>Material para aplicação teste psicológico - Título: Escala Hare - PCL -R; Tipo: Roteiro para entrevista e pontuação  para as unidades prisionais médico-penais do estado de MG</t>
  </si>
  <si>
    <t>Material para aplicação teste psicológico - Título: TTC - Teste Trilhas Coloridas; Tipo: Bloco de folha de resposta - Forma 1 com 25 folhas para as unidades prisionais médico-penais do estado de MG</t>
  </si>
  <si>
    <t>Material para aplicação teste psicológico - Título: TTC - Teste Trilhas Coloridas; Tipo: Bloco folha de resposta - Forma 2 com 25 folhas para as unidades prisionais médico-penais do estado de MG</t>
  </si>
  <si>
    <t>Material para aplicação teste psicológico - Título: TTC - Teste Trilhas Coloridas; Tipo: Kit Completo composto por 1 Manual, 1 Bloco Protocolo de Registro (25 folhas), 1 Bloco de folha de resposta - Forma 1 (25 folhas), 1 Bloco folha de resposta - Forma 2 (25 folhas) para as unidades prisionais médico-penais do estado de MG</t>
  </si>
  <si>
    <t>Material para aplicação teste psicológico - Título: TTC - Teste Trilhas Coloridas; Tipo: Protocolo de Registro bloco com 25 folhas para as unidades prisionais médico-penais do estado de MG</t>
  </si>
  <si>
    <t>Material para aplicação teste psicológico - Título: Teste dos Cinco Dígitos - FDT; Tipo: Bloco de respostas com 25 folhas para as unidades prisionais médico-penais do estado de MG</t>
  </si>
  <si>
    <t>Material para aplicação teste psicológico - Título: Teste dos Cinco Dígitos - FDT; Tipo: Manual para as unidades prisionais médico-penais do estado de MG</t>
  </si>
  <si>
    <t>Material para aplicação teste psicológico - Título: Teste dos Cinco Dígitos - FDT; Tipo: Caderno de estímulos para as unidades prisionais médico-penais do estado de MG</t>
  </si>
  <si>
    <t>Material para aplicação teste psicológico - Título: Teste Matrizes de Viena - WMT-2; Tipo: Manual de instrução para as unidades prisionais médico-penais do estado de MG</t>
  </si>
  <si>
    <t>Borrachas</t>
  </si>
  <si>
    <t>Material para aplicação teste psicológico - Título: Teste Matrizes de Viena - WMT-2; Tipo: Caderno de aplicação para as unidades prisionais médico-penais do estado de MG</t>
  </si>
  <si>
    <t>Material para aplicação teste psicológico - Título: Bloco de resposta  para as unidades prisionais médico-penais do estado de MG</t>
  </si>
  <si>
    <t>Material para aplicação teste psicológico - Título: Teste HTP; Tipo: Livro de instruções (manual) para as unidades prisionais médico-penais do estado de MG</t>
  </si>
  <si>
    <t>Material para aplicação teste psicológico - Título: Teste HTP; Tipo: Protocolo de interpretação  para as unidades prisionais médico-penais do estado de MG</t>
  </si>
  <si>
    <t>Material para correção de Teste Psicológico - Impressora; Tipo: Impressora Multifuncional - Sistema de Impressão: laser colorida/LED; Resolução Impressão: 600x600 DPI; Velocidade Impressão: 25 PPM; Tamanho de Impressão: A4, carta e ofício; Resolução do Fax/Modem: conforme fabricante; Resolução do Sacnner: 600x600 DPI; Profundidade de cores: mínimo 24 bits; Área de digitação: mínimo de 216x297 MM; Redução/ampliação cópia: 25% a 400%; Número de cópias: mínimo 100 cópias; Interface: Ethernet e USB 2.0 ou superior; Memória: mínimo 500MB; Alimentação: bivolt para as unidades prisionais médico-penais do estado de MG</t>
  </si>
  <si>
    <t>Cronômetro</t>
  </si>
  <si>
    <t>Lousa Branca com tamanho acerca de 54cm COMP. x 74cm LARG, acompanhada de caneta e apagador</t>
  </si>
  <si>
    <t>Cxs Lápis grafite nº02 com 2 unidades</t>
  </si>
  <si>
    <t>Cxs Lápis de colorir</t>
  </si>
  <si>
    <t>Cxs Giz branco</t>
  </si>
  <si>
    <t>Apontadores</t>
  </si>
  <si>
    <t>NOTEBOOK,NETBOOK E/OU ULTRAFINO - IDENTIFICACAO: NOTEBOOK BASICO; SOFTWARE: WINDOWS 10 PROFESSIONAL 64 BITS; CLOCK: CONFORME FABRICANTE; DISCO RIGIDO: SSD 256 GB; MEMORIA: 8GB DDR4-2400 MHZ; TELA: 14 POLEGADAS; DISPOSITIVO: WEBCAM 720P; ACESSORIOS: MOUSE OPTICO, MALETA, CABO COM TRAVA DE SEGURANCA (+)</t>
  </si>
  <si>
    <t>Novo processo de seleção de Organização Social parceira para celebração de Contrato de Gestão para co-execução dos programas de abrangência regional, a saber Selo Prevenção Minas e Proteja Minas</t>
  </si>
  <si>
    <t>Kit Equipe de Formação Local (Metodologia e material didático de apio)</t>
  </si>
  <si>
    <t>VADE MECUM JUSPODIVM – LEGISLAÇÃO COMPLEMENTAR (2025.1) – ATUALIZADO ATÉ 04/01/2025</t>
  </si>
  <si>
    <t>Kit Equipe de Apoiadoeres Locais (Metodologia e material didático de apio)</t>
  </si>
  <si>
    <t>Material para crianças (caderno de atividades)</t>
  </si>
  <si>
    <t>AR CONDICIONADO 24 MIL BTUS</t>
  </si>
  <si>
    <t>ARADO - ESTRUTURA: VIGAS TUBULARES DE ALTA RESISTENCIA; DISCOS: 3 DISCOS DE 28" DIAMETRO, CUBO DE ROLAMENTO CONICO; TIPO ENGATE: HIDRAULICO; REGULAGEM</t>
  </si>
  <si>
    <t>ARADO SUBSOLADOR(SULCADOR PARA TRATOR)</t>
  </si>
  <si>
    <t>ARMÁRIO ALTO MADEIRA</t>
  </si>
  <si>
    <t>Diárias dentro do território mineiro</t>
  </si>
  <si>
    <t>ARMÁRIO DE AÇO COM CHAVE</t>
  </si>
  <si>
    <t>ARMARIO DE USO GERAL - TIPO: PARA PROTOCOLO, C/FUROS TOMADAS ELETRICAS E DADOS; MATERIA-PRIMA: MDP; ESTRUTURA: MDP, REVESTIMENTO MELAMINICO EM AMBOS OS</t>
  </si>
  <si>
    <t>ARMARIO-CABIDEIRO</t>
  </si>
  <si>
    <t>ARQUIVO DE AÇO</t>
  </si>
  <si>
    <t>BANCADA - TAMPO: MADEIRA; ESTRUTURA: METAL; COMPOSICAO: 02 GAVETAS ABAIXO DO TAMPO; DIMENSOES: 200(COMPRIMENTO )X 60 (LARGURA) X 92 (ALTURA); BANCADA DE MADEIRA PARA USO EM OFICINA; COM ESTRUTURA DE METAL COM TAMPO EM MADEIRA DE 40 MM DE ESPESSURA; BASE COM TAMPO NFERIOR EM METALROXIMO AO SOLO.</t>
  </si>
  <si>
    <t>BEBEDOURO REFRIGERADO - TIPO: PRESSAO/INDUSTRIAL; CAPACIDADE REFRIGERACAO: 40 LITROS/HORA; CAPACIDADE RESERVATORIO: 200 LITROS; GABINETE: ACO INOX; TORNEIRA: 04 TORNEIRAS, SENDO 03 DE ROSCA E 01 JATO; VAZAO: CONFORME FABRICANTE; TENSAO: 127V;</t>
  </si>
  <si>
    <t>BOMBA COSTAL, PULVERIZACAO, MANUAL - TANQUE DO EQUIPAMENTO: POLIETILENO; COMPONENTES: PONTA 8002E (LEQUE/80° GRAUS); CAPACIDADE: ENTRE 10 E 15 LITROS;</t>
  </si>
  <si>
    <t>BOMBA DAGUA PARA LAVAJATO - TENSAO MOTOR: 220V/TRIFASICO; POTENCIA MOTOR: MININO 2CV; PRESSAO: MINIMA DE 500 LIBRAS POR POLEGADA QUADRADA; VAZAO: MINIM</t>
  </si>
  <si>
    <t>CADEIRA GIRATÓRIA</t>
  </si>
  <si>
    <t>APONTADOR PARA LAPIS - MATERIA-PRIMA:: PLASTICO; COR: CORES SORTIDAS; FURO: 01 FURO; LAMINA: ACO INOX; TIPO:: SEM DEPOSITO</t>
  </si>
  <si>
    <t>REGUA TIPO ESCRITORIO - MATERIA PRIMA: POLIESTIRENO RIGIDO; MEDIDA: 30CM X 3,5CM X 3,0MM (C X L X E) MINIMO; COR: TRANSPARENTE;</t>
  </si>
  <si>
    <t>TESOURA - TIPO: ESCOLAR; LAMINAS: ACO INOX; CABO: PLASTICO; COMPRIMENTO TOTAL CORPO: COM APROXIMADAMENTE 13CM, SEM PONTA</t>
  </si>
  <si>
    <t>COLA BRANCA - COMPOSICAO: PVA - POLIACETATO DE VINILA, TEOR DE SOLIDOS 25%; CARACTERISTICA: SOLUVEL EM AGUA, LAVAVEL E NAO TOXICA; APRESENTACAO: FRASCO 90 G, COM BICO APLICADOR;</t>
  </si>
  <si>
    <t>FITA ADESIVA ESCRITORIO - TIPO: UMA FACE; MATERIA-PRIMA: POLIPROPILENO; MEDIDAS: 12MM X 30M; COR: TRANSPARENTE;</t>
  </si>
  <si>
    <t>LAPIS - TIPO DE USO: ESCOLAR/ESCRITORIO; GRADUACAO: HB2; MODELO: SEM BORRACHA E APONTADO; FORMATO CORPO: REDONDO OU SEXTAVADO; MATERIA-PRIMA: MADEIRA REFLORESTADA; COMPRIMENTO: 17,5 CM APROXIMADAMENTE;</t>
  </si>
  <si>
    <t>BORRACHA ESCRITORIO - COR: BRANCA; MATERIA-PRIMA: BORRACHA PLASTICA LIVRE DE PVC; APLICACAO: LAPIS E LAPISEIRA; FORMATO: RETANGULAR; DIMENSOES (C X L X E): 40-45 MM X 20-30 MM X 10-15 MM; CAPA: COM CAPA; NORMA APLICAVEL: CERTIFICACAO COMPULSORIA DO INMETRO VIGENTE;</t>
  </si>
  <si>
    <t>CADERNO - APRESENTACAO: BROCHURAO, SELO FSC OU DE QUALIDADE SIMILAR; CAPA: FLEXIVEL; FOLHAS: 60 FOLHAS PAPEL RECICLADO BRANQUEADO SEM CLORO; TAMANHO: GRANDE; TIPO: COM PAUTA; NUMERO DE MATERIAS: 01 MATERIA;</t>
  </si>
  <si>
    <t>"LAPIS DE COR - TAMANHO: GRANDE; CORPO: REDONDO; COR: CORES VARIADAS;
CAIXA COM 24 CORES"</t>
  </si>
  <si>
    <t>"Lápis de cera: cores variadas
caixa com 12"</t>
  </si>
  <si>
    <t>CARTOLINA - COR:: BRANCA; MEDIDAS: 96 X 66CM; GRAMATURA: 240 G/M2</t>
  </si>
  <si>
    <t>PINCEL PARA QUADRO BRANCO - COR: AZUL; PONTA: REDONDA DE 4MM, COM ESPESSURA DA ESCRITA DE 2MM;</t>
  </si>
  <si>
    <t>PINCEL PARA QUADRO BRANCO - COR: PRETO; PONTA: REDONDA DE 4MM, COM ESPESSURA DA ESCRITA DE 2MM;</t>
  </si>
  <si>
    <t>PINCEL PARA QUADRO BRANCO - COR: VERMELHO; PONTA: REDONDA DE 4MM, COM ESPESSURA DA ESCRITA DE 2MM;</t>
  </si>
  <si>
    <t>PINCEL ATOMICO - ENTINTAMENTO: AZUL; PONTA: FELTRO; TIPO: DESCARTAVEL;</t>
  </si>
  <si>
    <t>PINCEL ATOMICO - ENTINTAMENTO: PRETA; PONTA: FELTRO; TIPO: DESCARTAVEL;</t>
  </si>
  <si>
    <t>PINCEL ATOMICO - ENTINTAMENTO: VERMELHA; PONTA: FELTRO; TIPO: DESCARTAVEL;</t>
  </si>
  <si>
    <t>CANETA ESFEROGRAFICA - COR: AZUL; ESCRITA: FINA; MATERIAL CORPO: PLASTICO RIGIDO; PONTA: ESFERA DE TUNGSTENIO,; FORMATO CORPO: HEXAGONAL; COR DO CORPO: TRANSPARENTE; CARGA DA CANETA: REMOVIVEL; ACIONAMENTO CARGA: SEM ACIONAMENTO, TAMPA VENTILADA,; COMPRIMENTO APROXIMADO: 15 CM;</t>
  </si>
  <si>
    <t>CANETA ESFEROGRAFICA - COR: PRETA; ESCRITA: MEDIA; MATERIAL CORPO: PLASTICO RIGIDO; PONTA: ESFERA DE TUNGSTENIO,; FORMATO CORPO: HEXAGONAL; COR DO CORPO: TRANSPARENTE; CARGA DA CANETA: REMOVIVEL; ACIONAMENTO CARGA: SEM ACIONAMENTO, TAMPA VENTILADA,; COMPRIMENTO APROXIMADO: 15 CM;</t>
  </si>
  <si>
    <t>CANETA ESFEROGRAFICA - COR: VERMELHA; ESCRITA: MEDIA; MATERIAL CORPO: PLASTICO RIGIDO; PONTA: ESFERA DE TUNGSTENIO,; FORMATO CORPO: HEXAGONAL; COR DO CORPO: TRANSPARENTE; CARGA DA CANETA: REMOVIVEL; ACIONAMENTO CARGA: SEM ACIONAMENTO, TAMPA VENTILADA,; COMPRIMENTO APROXIMADO: 15 CM;</t>
  </si>
  <si>
    <t>PAPEL PARA ESCRITORIO - FORMATO: A4 - 210 MM X 297 MM; GRAMATURA PAPEL: 120 G/M2; COR: BRANCO; PROCESSO FABRICACAO: BRANQUEAMENTO ISENTO DE CLORO ELEMENTAR; APRESENTACAO: PACOTE 50 FOLHAS;</t>
  </si>
  <si>
    <t>CAIXA DE FERRAMENTAS COM 5 GAVETAS</t>
  </si>
  <si>
    <t>CAMERA DE SEGURANCA (CFTV) - TIPO: FULL HD 2 MEGAPIXEL (1080P); SISTEMA: DIGITAL; TIPO TRANSMISSAO: COM CABO; ANGULO VISAO: CONFORME FABRICANTE; SENSIBILIDADE: COLOR 0,1 LUX / MONOCROMATICO (0,0 LUX IR ON); ACESSORIOS: SEM ACESSORIOS;</t>
  </si>
  <si>
    <t>CAMERA FOTOGRAFICA</t>
  </si>
  <si>
    <t>CAVALETE OFICINA MECANICA VEICULAR - MATERIA-PRIMA: ACO; UTILIZACAO: VEICULO ATE 2 TONELADAS;</t>
  </si>
  <si>
    <t>CILINDRO PARA GAS - FINALIDADE: SOLDA TIG / MIG / MAG; DIMENSÕES: COM 220 MM DE DIÂMETRO X 790 MM DE COMPRIMENTO; CAPACIDADE ÁGUA: CAPACIDADE DE 20,5 LITROS; PRESSÃO: PRESSÃO DE 200 BAR; VOLUME: VOLUME DE GÁS DE 03 METROS CÚBICOS; CONEXÃO: CONEXÃO COM ROSCA; CARREGADO COM GÁS ARGÔNIO. ACOMPANHA VÁLVULA DE REGULAÇÃO DE PRESSÃO EMANGUEIRA COM 05 (CINCO) METROS DE COMPRIMENTO.</t>
  </si>
  <si>
    <t>COMPRESSOR DE AR - PRESSAO: 500 LB/FT2; PRODUCAO DE AR: 50 PCM; POTENCIA DO COMPRESSOR: 2 HP; POTENCIA DO MOTOR: 3 CV; ROTACAO DO MOTOR: E ROTACAO DE 3</t>
  </si>
  <si>
    <t>Livros de literatura</t>
  </si>
  <si>
    <t>COMPUTADOR - MODELO: PADRAO - ULTRACOMPACTO; SISTEMA OPERACIONAL: WINDOWS 11 PROF. 64 BITS (PT-BR); MEMORIA: 16GB DDR4-3200 MHZ; PROCESSADOR: ARQUITETURA X86 CORPORATIVA; ARMAZENAMENTO: SSD 1 TB; MONITOR: 23"POLEGADAS</t>
  </si>
  <si>
    <t>CONJUNTO DE FERRAMENTAS - APLICACAO: REPARO ELETRONICO; NUMERO DE PECAS: 38 PECAS; ESTOJO: COM ESTOJO; KIT DE FERRAMENTAS DE REPARO ELETRONICO CONTENDO PARAFUSO BITS: PHILLIP: PH0 PH1 PH2 SLOTTED: 3.0 5.0 6.0 TRIWING: Y2 Y3 HEX: H3 H4 H5 H6 U-FORMA: U4.0 U6.0 TORX: T6 T10 T15 T25 T30 TRIANGULO: 2.3 POZIDRIV: 2 PZ3 MINI SOQUETES: M5 M6 M7 M8 M9 M10 M12 M13 M14RATCHET DIRETO: 2 WAYBITS TAMANHO: 6,32 * 25MMITEM TAMANHO: 165 * 110 * 50MM; 1 CHAVE DE FENDA CATRACA; 1 CHAVE DE CATRACA BAR; 1 EXTENSÃO DA MOLA BAR; 10 EXTENSOES DO EIXO JOYSTICK.</t>
  </si>
  <si>
    <t>CORTADOR DE AZULEJO - MATERIA-PRIMA: ACO; TAMANHO: 125 CM; COMPRIMENTO MAXIMO DE CORTE: 125CM; ESPESSURA MAXIMA: 12MM; TAMANHO MAXIMO DE PISO PARA CORTE DIAGONAL: 88X88 CM; RODEL: 100MM UNIVERSAL / TITANIO; BASE: ACO CARBONO ; GUIAS: ACO CARBONO NIQUELADO; CARRO-GUIA, SUPORTES: ALUMINIO; SISTEMA DE AMORTECIMENTO: MOLA E ACO;</t>
  </si>
  <si>
    <t>DATADOR MANUAL 110V</t>
  </si>
  <si>
    <t>KIT P/COLETA DE IMPRESSOES DIGITAIS EM CAMPO</t>
  </si>
  <si>
    <t>ROLO DE TINTA PARA IMPRESSAO DIGITAL</t>
  </si>
  <si>
    <t>TINTA PARA IMPRESSAO GRAFICA - CORES: PRETA; EQUIPAMENTO: IMPRESSORA OFF-SET</t>
  </si>
  <si>
    <t>Webcam Full HD 1080 – 30FPS Usb Wb-100bk Preto</t>
  </si>
  <si>
    <t>ENXADA ROTATIVA ENCANTEIRADORA</t>
  </si>
  <si>
    <t>ESCADA EXTENSIVA COM DEGRAUS</t>
  </si>
  <si>
    <t>ESCANINHOS 16 PORTAS</t>
  </si>
  <si>
    <t>ESTAÇÃO DE TRABALHO COM GAVETEIRO</t>
  </si>
  <si>
    <t>ESTANTE COM 30 GAVETAS</t>
  </si>
  <si>
    <t>ESTANTE COM 64 GAVETAS</t>
  </si>
  <si>
    <t>ESTANTE PARA ALMOXARIFADO</t>
  </si>
  <si>
    <t>FOGÃO</t>
  </si>
  <si>
    <t>FORNO TURBO ELÉTRICO FTE-480 G.PANIZ PARA 16 ESTEIRAS - CARRINHO 58X70 - TRIFÁSICO</t>
  </si>
  <si>
    <t>FRIGOBAR</t>
  </si>
  <si>
    <t>FURADEIRA - TIPO: SEM IMPACTO; REVERSIVEL: SIM; MANDRIL: 3/8 POLEGADA; CAPACIDADE DE PERFURACAO: 25MM (MADEIRA), 13MM(ACO); ROTACAO DA BROCA: 2.800RPM</t>
  </si>
  <si>
    <t>FURADEIRA DE BANCADA 500W.</t>
  </si>
  <si>
    <t>FURADEIRA/PARAFUSADEIRA MANUAL - IDENTIFICACAO: FURADEIRA/PARAFUSADEIRA; FUNCIONAMENTO: BATERIA; TORQUE: MAX 27NM; ROTACAO: REVERSIVEL, 0 - 400/1200 RP</t>
  </si>
  <si>
    <t>GAVETEIRO VOLANTE</t>
  </si>
  <si>
    <t>GAVETEIRO VOLANTE PASTA SUSPENSA</t>
  </si>
  <si>
    <t>GELADEIRA</t>
  </si>
  <si>
    <t>KIT PISTOLA DE PINTURA HVLP 600ML COM 3 JOGOS DE REPARO E BICOS - 1.4, 1.7 E 2.0MM, MANÔMETRO</t>
  </si>
  <si>
    <t>LAVADORA DE PECAS - MATERIA-PRIMA: CHAPA GALVANIZADA; BASE: PES NIVELADORES; CAPACIDADE: VAZAO DA BOMBA 20 L/MIN A 1MCA; RESERVATORIO: 22 LITROS;MEDIDA: 980X855X450; DIMENSOES: 980X855X450</t>
  </si>
  <si>
    <t>CARRINHO DE MAO - MATERIA-PRIMA: CHAPA DE ACO 20 ; CAPACIDADE: CACAMBA PARA 60 LITROS; NUMERO RODAS: 01 RODA DE BORRACHA MACICA</t>
  </si>
  <si>
    <t>CARRINHO DE MAO - MATERIA-PRIMA: FERRO, CHAPA 16; CAPACIDADE: CACAMBA PARA 90 LITROS; NUMERO RODAS: 01 RODA DE PNEU E CAMARA;</t>
  </si>
  <si>
    <t>LONGARINA 2 LUGARES</t>
  </si>
  <si>
    <t>LONGARINA 3 LUGARES</t>
  </si>
  <si>
    <t>MACACO HIDRAULICO SOBRE RODAS - MODELO: TELESCOPIO PARA CAMBIO VEICULAR; CAPACIDADE: 600 KG;</t>
  </si>
  <si>
    <t>MANGUEIRA COMPRESSOR DE AR</t>
  </si>
  <si>
    <t>MANOMETRO DIGITAL - APLICACAO: MEDIR PRESSAO ; MATERIA-PRIMA: ACO INOX; FAIXA PRESSAO: 0,0 BAR ATE 1000 BAR; EQUIPAMENTO/MARCA/MODELO: HOMOGENEIZADOR APV 1000; REFERENCIA: J04010078;</t>
  </si>
  <si>
    <t>MAQUINA DE CORTE MANUAL - APLICACAO: CORTE E VINCO; DISCO: NAO APLICAVEL; ESPESSURA CORTE: IDEAL PARA TRABALHAR COM FOLHAS DE ATE 40 X 80 CM; MOTOR: NAO APLICAVEL - FUNCIONAMENTO MANUAL; DIMENSOES: 50 CM;</t>
  </si>
  <si>
    <t>MAQUINA DE FRALDAS - IDENTIFICACAO: MOTORIZADA; MEDIDA: 170 CM X 125 CM X 106 CM (A X C X L); PRODUCAO: ATE 1000 FRALDAS POR DIA; TAMANHO: GRANDE; PESO: APROXIMADAMENTE 80 KG;</t>
  </si>
  <si>
    <t>MAQUINA DE FRALDAS - IDENTIFICACAO: MOTORIZADA; MEDIDA: 170 CM X 125 CM X 106 CM (A X C X L); PRODUCAO: ATE 1000 FRALDAS POR DIA; TAMANHO: GRANDE; PESO: APROXIMADAMENTE 80 KG; TRIPLA FUNCAO; COM APLICADOR DE BARREIRA; TECNOLOGIA SMART PARA FIXACAO DA MANTA AO FILTRANTE; 110 V. ACOMPANHA MAQUINA SELADORA, CONJUNTO COMPLETO DE MOLDES PARA ACABAMENTO, CURSO EM VIDEO, RELACAO DE FORNECEDORES E KIT DE APRENDIZAGEM.</t>
  </si>
  <si>
    <t>MÁSCARA DE SOLDA ELETRÔNICA</t>
  </si>
  <si>
    <t>MEDIDOR DE COMPRESSAO - APLICACAO: DOS CILINDROS, PARA MOTORES ALCOOL/GASOLINA; VALVULA DE ALIVIO: VALVULA DE ALIVIO TIPO AGULHA; FAIXA DE MEDICAO: 0 A 400LBF/POL QUADRADA E DE 0 A 28KGF/CM QUADRADO; CARACTERISTICAS-1: MEDIDOR COM HASTE RIGIDA E BOTAO DE APOIO; CARACTERISTICAS-2: FLEXIVEL COM 400MM, REVESTIDO POR MALHA SINTETICA; CARACTERISTICAS-3: ENGATE RAPIDO, ADAPTADORES ROSQUEAVEIS; CARACTERISTICAS-4: CONTROLE ELETRICO DE PARTIDA MANUAL</t>
  </si>
  <si>
    <t>ESMERILHADEIRA - QUANTIDADE DE REBOLOS: 2 REBOLOS; MEDIDAS DO REBOLO: COM REBOLO DE 4 1/2 POLEGADAS; ROTACAO DO MOTOR: 11000 RPM; POTENCIA MOTOR: 750 W</t>
  </si>
  <si>
    <t>MESA DE REUNIÃO REDONDA</t>
  </si>
  <si>
    <t>MESA PARA MICROCOMPUTADOR - ESTRUTURA: ACO, PINTADA EM EPOXI; TAMPO: MADEIRA AGLOMERADA REVESTIDA EM MELAMINICO; BASE DO TECLADO: COM ALTURA REGULAVEL,</t>
  </si>
  <si>
    <t>MICRO TRATOR MOTOCULTIVADOR 12.5 HP DIESEL COM ENXADA ROTATIVA MOTOR PARTIDA ELÉTRICA TIPO TOBATA</t>
  </si>
  <si>
    <t>MICROFONE</t>
  </si>
  <si>
    <t>MICROONDAS</t>
  </si>
  <si>
    <t>MULTIMETRO COM PRECISAO BASICA DE MEDICAO DE 3 POR CENTO; COM SISTEMA TAUT-BAND E AS SEGUINTES ESPECIFICACOES COMPLEMENTARES: CAPACIDADES MINIMAS DE MEDICAO: CORRENTE DC: 10 AMPERES; RESISTENCIA: 200 MEGA OHMS; TENSAO DE CORREN-TE ALTERNADA: 1000 VOLTS; TENSAO DE CORRENTE CONTINUA: 1000 VOLTS; TESTE DE BATERIA: DE 1,5 A 9 VOLTS; DECIBEIS: -10 A -62DB; SENSIBILIDADES: CORRENTE DC: 20 KOHMS/VOLT; CORRENTE AC: 9 KOHMS/VOLT;</t>
  </si>
  <si>
    <t>NIVEL ELETRONICO - ALCANCE: ATE 15 METROS; PRECISAO: +/- 3MM A CADA 9M; NIVELAMENTO: - DE 5 SEGUNDOS, AMPLITUDE DE +/- 5° HOR E VERT; PILHA: 3 PILHAS AA; DIMENSOES: 22.00 X 21.00 X 11.00 (C X L X A); LASER: CLASSE II; APLICACAO: ARMADURAS DE CONCRETO ARMADO, PISOS, AZULEJOS ETC;</t>
  </si>
  <si>
    <t>FURADEIRA - TIPO: DE IMPACTO; REVERSIVEL: REVERSIVEL; MANDRIL: 1/2 POLEGADA; CAPACIDADE DE PERFURACAO: 16MM CONCRETO X 30MM MADEIRA X 13MM ACO; ROTACAO</t>
  </si>
  <si>
    <t>NOBREAK - POTENCIA SAIDA: 600 VA; FATOR POTENCIA: CONFORME FABRICANTE; TENSAO ENTRADA: 115/220 VOLTS; FREQUENCIA: 60 HZ + / - 5 HZ; TENSAO SAIDA: MONOVOLT 115V OU BIVOLT 115/220V; BATERIA: AUTONOMIA MINIMA 15 MINUTOS?COM 50% DE CARGA; TOMADAS/BORNES: 4 TOMADAS/BORNES</t>
  </si>
  <si>
    <t>NOTEBOOK,NETBOOK E/OU ULTRAFINO - IDENTIFICACAO: NOTEBOOK PADRAO; SOFTWARE: WINDOWS 10 PROFESSIONAL 64 BITS; CLOCK: CONFORME LINHA DE PRODUCAO; DISCO RIGIDO: SSD 256 GB; MEMORIA: SDRAM 16 GB (DDR4-3200); TELA: 14 POLEGADAS; DISPOSITIVO: WEBCAM 720P; ACESSORIOS: MOUSE OPTICO, MALETA, CABO COM TRAVA D UL154 Modelo vencedor Multilaser (Processador i5-1155G7)</t>
  </si>
  <si>
    <t>PIROGRAFO</t>
  </si>
  <si>
    <t>PLAINA DESENGROSSADEIRA</t>
  </si>
  <si>
    <t>PLAINA ELETRICA - USO: INDUSTRIAL; NUMERO LAMINA: 02 LAMINAS; LARGURA DO DESBASTE: 82 MM; PROFUNDIDADE CORTE: 2,6 MM; POTENCIA MOTOR: 710 WATTS; TENSAO: 110VOLTS;</t>
  </si>
  <si>
    <t>PLANTADEIRA ADUBADEIRA</t>
  </si>
  <si>
    <t>POLITRIZ - TIPO: HORIZONTAL; ROTACAO: DE 700 A 2500RPM; EIXO: M14; TENSAO/POTENCIA: 110 VOLTS E POTENCIA MINIMA DE 1400 WATTS; DISCOS-1: 1 BONE DE PELE</t>
  </si>
  <si>
    <t>JOGO CHAVE TIPO TORX - MATERIA-PRIMA: ACO CROMO VANADIO; TIPO: L; NUMERO DE PECAS: 10 PECAS; COMPOSICAO: T9, T10, T15, T20, T25, T27, T30, T40, T45 E T50; JOGO DE CHAVE TORX LONGA, TIPO EM L, MATERIA PRIMA ACO CROMO VANADIO,NUMERO DE PECAS 10 PECAS, COMPOSICAO T9, T10, T15, T20, T25, T27, T30, T40, T45 E T50.</t>
  </si>
  <si>
    <t>JOGO CHAVES DE ESTRIA - MATERIA-PRIMA: ACO CROMO VANADIO; NUMERO DE CHAVES: 12 CHAVES; BITOLA: 6; 7; 8; 9; 10; 11; 12; 13; 14; 17; 19; 22 MM;</t>
  </si>
  <si>
    <t>JOGO DE ACESSÓRIOS PARA FURADEIRA E PARAFUSADEIRA COM 100 PEÇAS</t>
  </si>
  <si>
    <t>JOGO DE ALICATES - NUMERO DE ALICATES: 5 ALICATES PARA ELETRICISTA;</t>
  </si>
  <si>
    <t>JOGO DE BROCA PARA FERRO</t>
  </si>
  <si>
    <t>JOGO DE BROCAS DE MADEIRA</t>
  </si>
  <si>
    <t>JOGO DE BROCAS DE VIDEA</t>
  </si>
  <si>
    <t>JOGO DE CHAVE DE FENDA E PHILIPS - QUANTIDADE CHAVES: 07 PECAS; CARACTERISTICAS-1: HASTE CROMO-MOLIBDENIO ACAB ESCURECIDO,MAGNETIZADO; CARACTERISTICAS</t>
  </si>
  <si>
    <t>JOGO DE CHAVES COMBINADAS - BOCA X ESTRIA - MATERIA-PRIMA: ACO CROMO VANADIO; COMPOSICAO: 17 PECAS; UNIDADE DE MEDIDA: 6 A 22 MM</t>
  </si>
  <si>
    <t>JOGO DE CHAVES FIXAS - MATERIA-PRIMA: ACO CROMO VANADIO; NUMERO DE CHAVES: 12 CHAVES; UNIDADE DE MEDIA: 6 A 32 MM; JOGO DE CHAVES DE BOCA FIXA; 6 X 7MM; 8 x 9MM; 10 x 11MM; 12 x 13MM; 14 x 15MM; 16 x 17MM; 18 x 19MM; 20 x 22MM; 21 x 23MM; 24 x 27MM; 25 x 28MM; 30 x 32MM.</t>
  </si>
  <si>
    <t>JOGO DE FRESA - MATERIA-PRIMA: ACO; TIPO: TOPO DE METAL DURO; NUMERO DE FRESAS: 8; UNIDADE DE MEDIDA: 2, 3, 4, 5, 6, 8,10 E 12 MM; CORTE: 4 CORTES;</t>
  </si>
  <si>
    <t>JOGO DE PONTAS PARA PARAFUSADEIRA</t>
  </si>
  <si>
    <t>JOGO DE PONTAS PARA PARAFUSADEIRA - NUMERO DE PECAS: 43 PECAS; TIPO DA PONTA: PHILLIPS, POZIDRIV, FENDA, ALLEN, TORK; MATERIA-PRIMA: ACO; JOGO DE PONTAS PARA PARAFUSADEIRAS, COMPOSTO POR 43 PECAS, SENDO: 32 BITS 25MM: 4 PHILLIPS: PH1, PH2 (X2) E PH3; 4 POZIDRIV: PZ1, PZ2 (X2) E PZ3; 4 FENDA: 3, 4, 5 E 6 MM; 4 ALLEN: 3, 4, 5 E 6 MM; 8 TORK: 10, 15, 20 (X2), 25, 27, 30 E 40; 8 TORK COM GUIA: 10, 15, 20 (X2), 25, 27, 30 E 40; 6 BITS 75MM: 3 TORK: T15, T20 E T25; 1 PHILLIPS: PH2; 1 POZIDRIV: PZ2; 1 FENDA: 5MM; 3 BITA CANHAO: 6, 8 E 10 MM; 1 SUPORTE MAGNETICO UNIVERSAL DE APERTO RAPIDO; 1 ADAPTADOR MAGNETICO PARA BITS.</t>
  </si>
  <si>
    <t>JOGO DE SERRA-COPO - MATERIA-PRIMA: BIMETAL; COMPOSICAO: 6 PECAS; BITOLA: 16 MM, 20 MM, 25 MM, 32 MM, 40 MM E 51 MM; INCLUI 2 ADAPTADORES COM BROCA PILOTO; MOLA EXPULSORA; MALETA PLASTICA.</t>
  </si>
  <si>
    <t>JOGO DE SOQUETES - TIPO: ESTRIADOS; ENCAIXE: 1/2 POLEGADA; NUMERO DE SOQUETES: 18 SOQUETES / 22 PECAS NO TOTAL; MATERIA-PRIMA: ACO; UNIDADE DE MEDIDA: 10 MM A 32 MM; ACESSORIOS (1): CATRACA REVERSIVEL 1/2 POLEGADA; ACESSORIOS (2): CABO T 10 POLEGADAS; ACESSORIOS (3): EXTENSAO 5 POLEGADAS, EXTENSAO 10 POLEGADAS; ACOMPANHA MALETA.</t>
  </si>
  <si>
    <t>JOGO EXTRATOR DE PARAFUSOS - NUMERO DE PECAS: 6 PECAS; DIMENSOES: 51 MM / TAMANHOS: 0 , 1 , 2 , 2 , 3 , 4; APLICACAO: REMOVER PARAFUSOS E BROCAS;</t>
  </si>
  <si>
    <t>PRENSA HIDRAULICA - CAPACIDADE: 15 TONELADAS; DISTANCIA FUNCIONAMENTO: DISTANCIA DA MESA AO PISTAO: MINIMA DE 115MM E MAXIMA DE 720MM; CURSO DO PISTAO: 130MM; SISTEMA DE INJECAO: 1 INJETOR; OPCIONAIS: COM MANOMETRO;</t>
  </si>
  <si>
    <t>PROJETOR</t>
  </si>
  <si>
    <t>LIXADEIRA - TIPO: ANGULAR, ORBITAL, DE MAO; POTENCIA: 2200W; VELOCIDADE: 6600RPM; ALIMENTACAO: BIVOLT</t>
  </si>
  <si>
    <t>LIXADEIRA - TIPO: DE DISCO; DIAMETRO DA PLACA LIXADORA: 180 MM; POTENCIA: 2200 WATTS; VELOCIDADE: MINIMA E MAXIMA DE 6600 RPM; ALIMENTACAO: 220 VOLTS; COM INTERRUPTOR A PO.</t>
  </si>
  <si>
    <t>LIXADEIRA DE FITA SUPERIOR</t>
  </si>
  <si>
    <t>QUADRO BRANCO</t>
  </si>
  <si>
    <t>ROÇADEIRA PARA TRATOR</t>
  </si>
  <si>
    <t>SANDUICHEIRA</t>
  </si>
  <si>
    <t>MALETA PARA FERRAMENTAS - MATERIA-PRIMA: ALUMINIO; COR: NATURAL; MEDIDAS: 45 X 30 X 15 CM;</t>
  </si>
  <si>
    <t>SANGRADOR DE FREIOS VEICULAR - TIPO: ELETRICO; ALIMENTACAO: TENSAO DE ALIMENTACAO 12 VOLTS; ACIONAMENTO: ACIONAMENTO E CONTROLE MANUAL - FIO DE 7 METROS; RESERVATORIO: COM RECIPIENTE INTERNO, CAPACIDADE DE 9 LITROS;</t>
  </si>
  <si>
    <t>SERRA CIRCULAR DE BANCADA PROFISSIONAL 8 POL. 1200W</t>
  </si>
  <si>
    <t>SERRA DE MESA 1800W DISCO DE 254MM 127V</t>
  </si>
  <si>
    <t>SISTEMA DE TESTE DE INJECAO ELETRONICA - FINALIDADE: MAQUINA PARA TESTE E LIMPEZA DE INJETORES GDI 193;</t>
  </si>
  <si>
    <t>SUPORTE TV</t>
  </si>
  <si>
    <t>MAQUINA DE SOLDA ELETRONICA - FINALIDADE: SOLDAGEM DE ACO CARBONO; POTENCIA: POTENCIA NOMINAL DE 7 KVA 50/60HZ - 200A; ALIMENTACAO: 110/220/60HZ; TIPO: FONTE INVERSORA PORTATEIL (INVERSOR MOSFET); MATERIA-PRIMA: CHAPA DE ACO;</t>
  </si>
  <si>
    <t>MAQUINA INDUSTRIAL DE COSTURA - IDENTIFICACAO: COSTURA SEMI-INDUSTRIAL ZIGUEZAGUE</t>
  </si>
  <si>
    <t>MAQUINA INDUSTRIAL DE COSTURA - IDENTIFICACAO: GALONEIRA;</t>
  </si>
  <si>
    <t>MAQUINA INDUSTRIAL DE COSTURA - IDENTIFICACAO: OVERLOCK;</t>
  </si>
  <si>
    <t>MAQUINA INDUSTRIAL DE COSTURA - IDENTIFICACAO: PARA CASEAR;</t>
  </si>
  <si>
    <t>MAQUINA INDUSTRIAL DE COSTURA - IDENTIFICACAO: PARA COSTURA RETA;</t>
  </si>
  <si>
    <t>MAQUINA INDUSTRIAL DE COSTURA - IDENTIFICACAO: PARA PREGAR BOTOES;</t>
  </si>
  <si>
    <t>MAQUINA INDUSTRIAL DE COSTURA - IDENTIFICACAO: PESPONTADEIRA</t>
  </si>
  <si>
    <t>MAQUINA INDUSTRIAL DE COSTURA - IDENTIFICACAO: PREGADORA DE ELASTICO;</t>
  </si>
  <si>
    <t>MARTELETE - TIPO: ELETRICO; POTENCIA: 900 WATS; CAPACIDADE DE PERFURACAO: DIAMETRO DE 32 MM EM CONCRETO; IMPACTOS POR MINUTO: 3600/MINUTO; ROTACAO: DE</t>
  </si>
  <si>
    <t>TELEVISAO TIPO: SMART TV ULTRA HD 4K; TAMANHO TELA EM POLEGADA: 55; TIPO DA TELA: LED; OPCIONAIS: SEM OPCIONAIS; TENSAO: 110/240 VOLTS; ACESSORIOS: CONTROLE REMOTO;</t>
  </si>
  <si>
    <t>TORQUIMETRO - TIPO: COM RELOGIO; EM ACO CROMO VANADIO NIQUELADO; MATERIA-PRIMA DO CABO: BORRACHA; CAPACIDADE DE TORQUE DE ATE 34KGF.M; TIPO DE OPERACAO: OPERADO MECANICAMENTE; COM ENCAIXE DE 1/2 POLEGADA;</t>
  </si>
  <si>
    <t>TRATOR AGRICOLA - SISTEMA DE DESLOCAMENTO: SOBRE PNEUS; MODELO: CAFEEIRO, COM CAPOTA; POTENCIA MOTOR: MINIMA 75 CV; NUMERO DE CILINDROS: 3 A 4; TRACAO: 4X4; CAPACIDADE TANQUE: CONFORME FABRICANTE; COMBUSTIVEL: DIESEL;</t>
  </si>
  <si>
    <t>TUPIA LAMINADORA 500W + JOGO DE FRESAS VERMELHAS COM 12 PEÇAS PARA MADEIRA</t>
  </si>
  <si>
    <t>SERVIDOR DE REDE - TIPO: HIPERCONVERGENTE; PROCESSADOR: INTEL XEON GOLD OU SUPERIOR,MIN 2 PROC, 28 NUCLEOS; ARQUITETURA: IA64; TIPO DE MEMORIA: DDR4 ECC; CAPACIDADE MEMORIA: NO MINIMO 1,5 TB; FREQUENCIA DA MEMORIA: MINIMO 2.933 MHZ; DISCO RIGIDO: MIN 20 DISCOS SSD COM CAP MIN 3,84 TB CADA; EXPANSAO: SEM EXPANSAO; INTERFACE: 4 PORTAS DE REDE 25GbE COM TRANSCEPTORES SFP28; SISTEMA OPERACIONAL: CONFORME PADRAO DE FABRICA; ACESSORIOS: 2U (DUAS UNIDADES DE RACK);</t>
  </si>
  <si>
    <t>Aquisição de equipamentos Firewall do tipo "Next-Generation Firewall" (NGFW), incluindo fonte redundante, contemplando serviço de instalação, configuração, suporte e garantia</t>
  </si>
  <si>
    <t xml:space="preserve">Serviços de Instalação, Transição e Configuração / Parametrização de Software </t>
  </si>
  <si>
    <t xml:space="preserve">SUBSCRICAO DE LICENCA DE SOFTWARE DE BACKUP </t>
  </si>
  <si>
    <t>MOTO ESMERIL DE BANCADAAMPERAGEM 5 / 2.5A
 POTENCIA 550W
 VELOCIDADE 3450RMP</t>
  </si>
  <si>
    <t>MOTOSSERRA - POTENCIA MOTOR: 4,5 KW / 6,03 HP; ROTACAO: 12.500 RPM; TANQUE DE COMBUSTIVEL: 0,9 LITROS; TANQUE DE OLEO: 0,5 LITROS; SABRE: 38-71 CM / 15"-28";</t>
  </si>
  <si>
    <t>SUBSCRICAO DE LICENCA DE SOFTWARE OFFICE 365 ENTERPRISE F3</t>
  </si>
  <si>
    <t>Aquisição de Viaturas equipadas para realização de transporte humanizado em customização específica aos parâmetros e necessidades da política socioeducativo, conforme estudo e protótipo desenvolvido e validado pela Suase apresentado ao Sistema de Justiça em Inquérito Civil- necessidade de substituição de frota de veículos operacionais, com média de uso acima de 10 anos</t>
  </si>
  <si>
    <t>Kit Equipe de Formação Local</t>
  </si>
  <si>
    <t>Kit Equipe de Apoiadoeres Locais  (Metodologia e material didático de apio)</t>
  </si>
  <si>
    <t>CAMINHAO - CARROCERIA: FECHADA TIPO BAU; CAPACIDADE CARGA: MINIMA DE 8.540 KG; PTB - PESO TOTAL BRUTO: MINIMO DE 13.200 KG; POTENCIA: MINIMA DE 136 CV; FAIXA CILINDRADA: MIN DE 4.462 E MAX 4800CC; DIRECAO: HIDRAULICA; TRACAO: 4X2; COMBUSTIVEL: DIESEL; ACESSORIOS: SEM ACESSORIOS;</t>
  </si>
  <si>
    <t>CAMIONETA - CARROCERIA: ABERTA; CABINE: SIMPLES; CAPACIDADE CARGA MINIMA: 0,7 TONELADAS; NUMERO LUGARES: 2 LUGARES; NUMERO PORTA: 2 PORTAS; POTENCIA MINIMA: 80CV; CILINDRADA MINIMA: 1368CC; DIRECAO: ELETRICA OU HIDRAULICA; TRACAO: 4 X 2; SUSPENSAO: CONFORME LINHA DE PRODUCAO; COMBUSTIVEL: BICOMBUSTIVEL (ETANOL/GASOLINA); ACESSORIOS INCLUSOS: AR CONDICIONADO,CACAMBA COM PROTETOR P/ TRANSPORTE</t>
  </si>
  <si>
    <t>MICROÔNIBUS</t>
  </si>
  <si>
    <t>VEÍCULO ADMINISTRATIVO</t>
  </si>
  <si>
    <t>COLETES BALÍSTICOS</t>
  </si>
  <si>
    <t>Aquisição de veículos administrativos para as unidades de Gestão Direta em Minas Gerais</t>
  </si>
  <si>
    <t>Estagiário nível Superior 30H- AGIEL</t>
  </si>
  <si>
    <t>ROCADEIRA - MOTOR: 2 TEMPOS, 35,2CC, POTENCIA DE 1,7 KW, 12500 RPM; IGNICAO: ELETRONICA; CARBURADOR: CARBURADOR COM MEMBRANA + DIAFRAGMA; COMBUSTIVEL: COMBUSTAO A GASOLINA OU OLEO; CAPACIDADE TANQUE: 580CC;</t>
  </si>
  <si>
    <t xml:space="preserve">APAC ARCOS                                       APAC DIVINOPOLIS                              APAC ITABIRA                                   APAC ITUIUTABA                                     APAC PEDRA AZUL                             APAC SETE LAGOAS                            APAC TEÓFILO OTONI                           APAC VARGINHA                                                         </t>
  </si>
  <si>
    <t>LOCAÇÃO DE VIATURA CAMINHONETE - Locação de 20 caminhonetes cela humanizada</t>
  </si>
  <si>
    <t>LOCAÇÃO DE VIATURA CAMINHONETE - Locação de 150 caminhonetes cela humanizada</t>
  </si>
  <si>
    <t>SERRA CIRCULAR - TIPO: PORTATIL; TAMANHO DO DISCO: 185MM (71/4 X 5/8); ANGULACAO: COM AJUSTE DE 45°; POTENCIA: 1600W; ROTACAO: 5900RPM; TENSAO: 127V; C</t>
  </si>
  <si>
    <t>Contratação de empresa especializada em consultoria para realização de diagnóstico técnico das ações gerenciais implementadas no âmbito do plano Decenal de Atendimento Socioeducativo 2016-2026 com vistas à avaliação de sua execução, resultados e alinhamento estratégico. O diagnóstico deverá subsidiar, com base em evidências, a formulação de um novo plano estratégico para a política pública em questão, contribuindo para o aprimoramento da gestão, da eficiência e da efetividade das ações governamentais.</t>
  </si>
  <si>
    <t>Diaria para servidor público</t>
  </si>
  <si>
    <t>SERRA MARMORE - CAPACIDADE DE CORTE: 34MM; DIAMETRO DO FURO: 20MM; DIAMETRO DO DISCO: 110MM; ROTACAO: 13000RPM; POTENCIA: 1300 WATTS; TENSAO: 110/220 V</t>
  </si>
  <si>
    <t>SERRA TICO-TICO - GOLPES POR MINUTO: 3100GPM; POTENCIA: 450 WATTS; TENSAO: 110/220 VOLTS; CAPACIDADE DE CORTE: 50MM PARA MADEIRA;</t>
  </si>
  <si>
    <t>Licença de Software de Reconhecimento facial</t>
  </si>
  <si>
    <t>SOPRADOR - TIPO: TERMICO; POTENCIA: 1500 WATTS; VAZAO DE AR: 800 A 925 LITROS POR MINUTO; TEMPERATURA: MAXIMO 600 GRAUS CELCIUS; ALIMENTACAO: 127 VOLTS</t>
  </si>
  <si>
    <t>SWITCH - TIPO: GERENCIAVEL; INSTALACAO: PARA RACK 19 POLEGADAS; PORTA: 24 PORTAS 1000 RJ45 - 4 PORTAS SFP 1000; TAXA TRANSFERENCIA: COMUTACAO 56 GBPS E ENCAMINHAMENTO 41,66 MPPS; MEMORIA: CONFORME FABRICANTE; ENDERECOS MAC: 16000 ENDERECOS MAC; SLOTS DE EXPANSAO: SEM SLOTS DE EXPANSAO; PROTOCOLO: IEEE 802.1D/P/Q/S/W/X/AB, 802.3X/AD; TECNOLOGIA COMPATIVEL: QOS L2+ E IGMP SNOOPING;  </t>
  </si>
  <si>
    <t xml:space="preserve">Insumos de Informatica </t>
  </si>
  <si>
    <t>TORNO - FINALIDADE: BENEFICIAMENTO DE MADEIRA</t>
  </si>
  <si>
    <t>TORNO PARALELO UNIVERSAL DE BANCADA, NODULAR - APLICACAO: FERRAMENTARIAS E OFICINAS; LARGURA DO MORDENTE: 76MM; ABERTURA MAXIMA: 90MM; PESO: 3,6KG;</t>
  </si>
  <si>
    <t>Seminário Estadual Conexão Socioeducativa: contratação de empresa de eventos, diárias de viagem para unidades de gestão direta, contratação de palestrante, coffe break, etc.</t>
  </si>
  <si>
    <t>Despesa com aquisição de PISTOLA CAL.9MM</t>
  </si>
  <si>
    <t>Despesa com aquisição de CARABINA CAL.5.56</t>
  </si>
  <si>
    <t>Despesa com aquisição de FUZIL CAL.7.62</t>
  </si>
  <si>
    <t>Contrato de serviço bancário para pagamento de IPLs que exercem atividades laborais</t>
  </si>
  <si>
    <t>Contratação de seguro contra acidentes de trabalho para IPLs que exercem atividades laborais</t>
  </si>
  <si>
    <t>Diárias dentro do território mineiro - Demais municípios</t>
  </si>
  <si>
    <t>Diárias dentro do território mineiro - municípios especiais  e municípios de outros Estados que não sejam capitais</t>
  </si>
  <si>
    <t>Despesa com aquisição de CARABINA CAL.9MM</t>
  </si>
  <si>
    <t xml:space="preserve">Contrato de gestão com organização social para gestão do presídio de Iturama
Itens de capital </t>
  </si>
  <si>
    <t>Contrato de gestão com organização social para gestão do presídio de Iturama
Despesa de custeio</t>
  </si>
  <si>
    <t>Contrato de gestão com organização social para gestão do presídio de Iturama
Despesa de custeio</t>
  </si>
  <si>
    <t>Despesa com aquisição de ESPINGARDA CAL.12</t>
  </si>
  <si>
    <t xml:space="preserve">Despesa com aquisição de DISPOSITIVO ELÉTRICO INCAPACITANTE </t>
  </si>
  <si>
    <t>ARMAS LONGAS DE USO POLICIAL</t>
  </si>
  <si>
    <t>Aquisição de Kit informatica,  com computador, Impressora média, rádio HT com carregador e bateria, celular institucional, telefone fixo</t>
  </si>
  <si>
    <t>Aquisição de gerador de energia</t>
  </si>
  <si>
    <t>Despesa com ajuda de custo</t>
  </si>
  <si>
    <t>Despesa com Voucher</t>
  </si>
  <si>
    <t>Despesa com arquivo (Unidades desativadas e outras)</t>
  </si>
  <si>
    <t>Termo aditivo Apac aumento de 1 inspetor em todas as APACs</t>
  </si>
  <si>
    <t>INF - 4245-Prestação de serviço de emissão de DAE</t>
  </si>
  <si>
    <t xml:space="preserve">INF- 4370- Servidores hospedados em Datacenter </t>
  </si>
  <si>
    <t>Plataforma de Autenticação, Autorização e Gestão de Papeis e Sistemas (Seg ID.) Para o SIGPRI</t>
  </si>
  <si>
    <t>INF - 4553 - Manutenção de Solução de Business Intelligence</t>
  </si>
  <si>
    <t>INF 4533-Curso de Capacitação à Distância em
Armazém de Sistemas Corporativos</t>
  </si>
  <si>
    <t xml:space="preserve">INF - 4454- Produção e cessão de uso das funcionalidades do Prontuário Digital, SIGPRI </t>
  </si>
  <si>
    <t xml:space="preserve">INF- 4471- Hospedagem de Sistemas SIDS- em Datacenter </t>
  </si>
  <si>
    <t xml:space="preserve">INF- 4471- Hospedagem de Sistemas SULOT- em Datacenter </t>
  </si>
  <si>
    <t xml:space="preserve">INF- 4471- Hospedagem de Sistemas SUASE- em Datacenter </t>
  </si>
  <si>
    <t>INF 4849-Hospedagem e Sustentação de Sistemas- INFOPEN</t>
  </si>
  <si>
    <t>INF - 4709 - Produção e Acesso a solução de Bussiness Intelegence</t>
  </si>
  <si>
    <t>INF - 4697- Plataforma Data Lake (Base Integrada de Segurança Pública BISP)</t>
  </si>
  <si>
    <t>INF - 4523 - Sustentação de Sistemas de Informação das Aplicações do SIDS</t>
  </si>
  <si>
    <t xml:space="preserve"> INF - 4539- Hospedagem de Sistemas do SIDS</t>
  </si>
  <si>
    <t>Sistema SIGA de Alimentação</t>
  </si>
  <si>
    <t>token</t>
  </si>
  <si>
    <t>INF 5192 - Serviços Especializados em Inteligência de dados e sustenção</t>
  </si>
  <si>
    <t xml:space="preserve">INF 5051 - Implementação do serviço </t>
  </si>
  <si>
    <t>Aquisição de Sistema de Monitoramento de Obras para Controle de Execução Financeira - SIMOCEF</t>
  </si>
  <si>
    <t>Aquisição de software de licenças</t>
  </si>
  <si>
    <t>PREVISÃO DE AQUISIÇÃO DE DRONES PARA ATIVIDADES DE MONITORAMENTO AÉREO, VIGILÂNCIA PERIMENTAL E APOIO A OPERAÇÕES DE SEGURANÇA PÚBLICA</t>
  </si>
  <si>
    <t>Aquisição da licença de software para coleta dos dados e integração ao sistema da VALID</t>
  </si>
  <si>
    <t>Manutenção de Datacenter</t>
  </si>
  <si>
    <t>SERVICOS DA REDE IP MULTISSERVICOS.</t>
  </si>
  <si>
    <t>GERENCIAMENTO DE NIVEL DE SERVICOS DA REDE IP MULTISSERVICOS</t>
  </si>
  <si>
    <t>INTEGRACAO A REDE GOVERNO</t>
  </si>
  <si>
    <t>CONEXAO DE ALTA DISPONIBILIDADE A INTERNET -</t>
  </si>
  <si>
    <t>ASSOCIACAO DE UM ENDERECO IP DIRETAMENTE A UM TERMINAL</t>
  </si>
  <si>
    <t>LOCACAO DE IMPRESSORA MULTIFUNCIONAL MONOCROMATICA 55PPM</t>
  </si>
  <si>
    <t>LOCACAO DE IMPRESSORAS LASER MONOCROMATICA MINIMO 45 PPM/A4</t>
  </si>
  <si>
    <t>LOCACAO DE MULTIFUNCIONAL COLORIDA A4 LASER, INK JET OU LED, MINIMO 24PPM</t>
  </si>
  <si>
    <t>IMPRESSAO/COPIA MONOCROMATICA FORMATO A4 - (OUTSOURCING), PAPEL NAO INCLUSO</t>
  </si>
  <si>
    <t>IMPRESSAO COLORIDA FORMATO A4 - (OUTSOURCING), PAPEL NAO INCLUSO</t>
  </si>
  <si>
    <t>LOCACAO DE MULTIFUNCIONAL LASER MONOCROMATICA 45PPM/A4</t>
  </si>
  <si>
    <t>AQUISIÇÃO DE GERADOR</t>
  </si>
  <si>
    <t>AQUISIÇÃO DE VIATURA PARA TRANSPORTE DO GRUPAMENTO DE OPERAÇÕES COM CÂES RÁPIDA  (GOC) EQUIPAMENTO DE PROTEÇÃO INDIVIDUAL E COLETIVA</t>
  </si>
  <si>
    <t>Bloqueadores de Celular p/:  Penit. Francisco Sá;   Penit. Formiga;  Pres. Nelson Hungria, Penit de Pará de Minas, Penit. de Três Corações, Penit. de Muriaé, Penit. de Uberlândia I</t>
  </si>
  <si>
    <t>Serviços técnicos de inteligência artificial (ia), para desenvolvimento de funcionalidades para solução/sistema</t>
  </si>
  <si>
    <t>PISTOLAS 9MM DE USO POLICIAL</t>
  </si>
  <si>
    <t>Computador e monitor: H310 Express, Placa-mãe: Positivo POS-310EF, Sistema Operacional: Shell EFI, Memória RAM: Capacidade: 8 GB¹, Tipo: DDR4 SDRAM, Velocidade: 2400 MHz, Suporte ao modo Dual Channel, Um sistema operacional de 64 bits é necessário para o equipamento suportar 4 GB ou mais de memória RAM. Disco Rígido: Capacidade: 1 TB, Interface: SATA III, Tamanho: 3.5“, Rotação: 7200 RPM, Gráficos: Intel UHD, Graphics 630 integrado ao processador, Aceleração gráfica integrada de vídeos em alta definição (HD), DirectX 12, OpenGL 4.5, Áudio: Áudio de alta definição (HD Áudio) integrado de 5.1 canais, Rede: 10/100/1000 Mbps, padrão Gigabit Ethernet, Slots de Expansão: 1x PCI Express x16 v3.0, 1x PCI Express x1, Portas de Conexão: Traseira: 2x PS/2 (teclado e mouse) 2x USB 2.0 + 2x USB 3.1 Gen 1, 1x HDMI, 1x VGA, 1x RJ-45, 1x Serial DB9, 3x Áudio (2x Line in – Microfone e Auxiliar, 1x Line out – Alto-falantes), Frontal: 4x USB 2.0, 1x Line in (Microfone), 1x Line out (Fone de Ouvido), Gabinete: Formato: Torre, Cor: Preta, Baias para Expansão: Externa: 1x 5.25”, 1x 3.5”, Interna: 2x 3.5” ou 2x 2.5” ou 1x 3.5” + 1x 2.5”, Fonte: Potência: 150 W, Voltagem: 100~240 V (automática), Frequência: 50~60 Hz, Periféricos: Teclado Português Brasil, ABNT 2, Mouse Ótico, 2 botões, com scroll, Segurança: Anilha para cadeado TPM 2.0 (firmware TPM), Dimensões: Gabinete: 364 x 175 x 405 mm E Monitor AOC LED 18.5´ Widescreen, VGA - E970SWNL</t>
  </si>
  <si>
    <t>CURSO DE DIREITO PROCESSUAL PENAL (2025) Nestor Távora</t>
  </si>
  <si>
    <t>MANUAL DE DIREITO ADMINISTRATIVO (2025) Matheus Carvalho</t>
  </si>
  <si>
    <t>Elaboração de manual/cartilhas - orientar população carcerária sobre direitos e deveres, consequências quanto às faltas disciplinares na execução da pena</t>
  </si>
  <si>
    <t>CURSO DE EXECUÇÃO PENAL (2025) Guilherme de Souza Nucci</t>
  </si>
  <si>
    <t>CURSO DE EXECUÇÃO PENAL DO ZERO - Justa Pena</t>
  </si>
  <si>
    <t>CURSO SEEU DESCOMPLICADO - Justa Pena</t>
  </si>
  <si>
    <t>CURSO PRÁTICO DE INDULTO E COMUTAÇÃO - Execução Penal em Prática</t>
  </si>
  <si>
    <t>Computador e monitor: H310 Express, Placa-mãe: Positivo POS-310EF, Sistema Operacional: Shell EFI, Memória RAM: Capacidade: 8 GB¹, Tipo: DDR4 SDRAM, Velocidade: 2400 MHz, Suporte ao modo Dual Channel, Um sistema operacional de 64 bits é necessário para o equipamento suportar 4 GB ou mais de memória RAM. Disco Rígido: Capacidade: 1 TB, Interface: SATA III, Tamanho: 3.5“, Rotação: 7200 RPM, Gráficos: Intel UHD, Graphics 630 integrado ao processador, Teclado Português Brasil, ABNT 2, Mouse Ótico, 2 botões, com scroll, Segurança: Anilha para cadeado TPM 2.0 (firmware TPM), Dimensões: Gabinete: 364 x 175 x 405 mm E Monitor AOC LED 18.5´ Widescreen, VGA - E970SWNL</t>
  </si>
  <si>
    <t>Desktop - Computador de Mesa</t>
  </si>
  <si>
    <t>Webcam</t>
  </si>
  <si>
    <t xml:space="preserve">Taxa Anual Anatel </t>
  </si>
  <si>
    <t>Alctel  - Manutenção central telefônica -2500-114260</t>
  </si>
  <si>
    <t>Alctel  - Manutenção central telefônica - 4441-114260</t>
  </si>
  <si>
    <t>Alctel - Manutenção central telefônica - 4348-114260</t>
  </si>
  <si>
    <t>Alctel - Manutenção central telefônica - Alctel  -4441-114278</t>
  </si>
  <si>
    <t>Alctel - Manutenção central telefônica  -4348-114278</t>
  </si>
  <si>
    <t>Alctel - Manutenção central telefônica 2500-114286</t>
  </si>
  <si>
    <t>Alctel - Manutenção central telefônica - 4344-114286</t>
  </si>
  <si>
    <t>Alctel - Manutenção central telefônica - 4441-114286</t>
  </si>
  <si>
    <t>Alctel - Manutenção central telefônica - 4348-114286</t>
  </si>
  <si>
    <t>Alctel - Manutenção central telefônica - Alctel -4353-114286</t>
  </si>
  <si>
    <t>Alctel -Manutenção central telefônica - 2500-114340</t>
  </si>
  <si>
    <t>Alctel - Manutenção central telefônica - 4437 -114260</t>
  </si>
  <si>
    <t xml:space="preserve"> MÉTODO - Locação de central telefônica </t>
  </si>
  <si>
    <t xml:space="preserve">MÉTODO - Locação de central telefônica - </t>
  </si>
  <si>
    <t>NUCTECH Locação de equpamento de Bodyscan - 4348</t>
  </si>
  <si>
    <t>NUCTECH - Locação de equpamento de esteira de raio x 4348</t>
  </si>
  <si>
    <t xml:space="preserve">MÉTODO  - Locação de central telefônica </t>
  </si>
  <si>
    <t>NUCTECH Locação de equpamento de Bodyscan - 4441</t>
  </si>
  <si>
    <t>TIM - Disponibilização de Chip - voz e dados  -4378</t>
  </si>
  <si>
    <t>TIM - Disponibilização de Chip - voz e dados  - 4441</t>
  </si>
  <si>
    <t>TIM - Disponibilização de Chip - voz e dados -4348</t>
  </si>
  <si>
    <t>TIM Disponibilização de Chip - voz e dados - TIM -4438</t>
  </si>
  <si>
    <t>CLARO - Disponibilização de Chip - voz e dados - Claro -4378</t>
  </si>
  <si>
    <t>CLARO - Disponibilização de Chip - voz e dados - Claro -4441</t>
  </si>
  <si>
    <t>CLARO - Disponibilização de Chip - voz e dados - Claro -4348</t>
  </si>
  <si>
    <t>CLARO - Disponibilização de Chip - voz e dados - Claro -4353</t>
  </si>
  <si>
    <t>TIM - Disponibilização de Mini Modem Claro - 2500</t>
  </si>
  <si>
    <t>TIM - Disponibilização de Mini Modem - 4344</t>
  </si>
  <si>
    <t>TIM - Disponibilização de Mini Modem- 4378</t>
  </si>
  <si>
    <t>TIM - Disponibilização de Mini Modem  - 4441</t>
  </si>
  <si>
    <t>TIM - Disponibilização de Mini Modem  - 4348</t>
  </si>
  <si>
    <t xml:space="preserve">TIM - Ligações Internacionais - LDI fixo-fixo Item 121096 </t>
  </si>
  <si>
    <t xml:space="preserve"> CLARO - Local (STFC) - LDN - Tri-dígitos e 0800 - Claro </t>
  </si>
  <si>
    <t>CLARO - Tronco E1</t>
  </si>
  <si>
    <t>MÉTODO - Prestação mensal de serviço especializado de STFC, na modalidade Local, tráfego local em chamadas fixo para fixo e fixo para móvel - Triângulo Mineiro. Região 11</t>
  </si>
  <si>
    <t xml:space="preserve">OI - Prestação mensal de STFC, na modalidade Local, tráfego local em chamadas fixo para fixo e fixo para móvel, na modalidade Longa Distância Nacional, fixo para fixo e fixo para móvel, E1.    </t>
  </si>
  <si>
    <t>Mobili - Internet Carretas - Empresa especializada para prestação do serviço de fornecimento de acesso móvel a internet, por meio de rede satelital</t>
  </si>
  <si>
    <t xml:space="preserve"> NOTEBOOK BASICO; SISTEMA OPERACIONAL: WINDOWS 10 PROFESSIONAL 64 BITS; PROCESSADOR: CONFORME LINHA DE PRODUCAO; ARMAZENAMENTO: SSD 256 GB; MEMORIA: SDRAM 8GB (DDR4-3200); TELA: 14 POLEGADAS; DISPOSITIVO: WEBCAM 720P; ACESSORIOS: MOUSE OPTICO, MALETA, CABO COM TRAVA DE SEGURANCA</t>
  </si>
  <si>
    <t>TIM Disponibilização de Chip - voz e dados - TIM -2500</t>
  </si>
  <si>
    <t>PROJETOR MULTIMIDIA - INTERFACE: HDMI, SVIDEO, COMPOSITE RGB D-SUB E AUDIO RCA; COMPATIBILIDADE: MICROCOMPUTADORES E VIDEOS; AUDIO: 2W DE POTENCIA; RESOLUCAO REAL: XGA (1024 X 768); RESOLUCOES SUPORTADAS (1): VGA, SVGA, XGA ,SXGA, WXGA; RESOLUCOES SUPORTADAS (2): WXGA; CORES PROJETAVEIS:: ATE 16700 MILHÕES; TAXA DE CONTRASTE: 3000:1; LUMINOSIDADE: 3000 ANSI LUMENS; TAMANHO IMAGEM: 0,90 CM A 9,0 M NA ELA; LAMPADA DE PROJECAO: TIPO UHE 200 W; TENSAO: 100 V-240 V; ACESSORIOS: MALETA; ACESSORIOS (1): CONTROLE REMOTO COM BATERIA; ACESSORIOS (2): MANUAL EM PORTUGUES;</t>
  </si>
  <si>
    <t>WEBCAM - CONEXAO: MINIMA USB 2.0 (FULL SPEED AND HIGH SPEED); IMAGEM: COLORIDA; LENTES: AUTO-FOCO; CAPTURA IMAGEM ESTATICA: RESOLUCAO MINIMA DE 3.0 MEGAPIXELS; CAPTURA VIDEO: RESOL.MINIMA(1280X720)S/INTERPOLACAO,MINIMO 30FPS; CAPTURA VIDEO AO VIVO(1): RESOL.MINIMA(1280X720)S/INTERPOLACAO,MINIMO 30FPS;</t>
  </si>
  <si>
    <t>TELEVISAO - TIPO: SMART TV 3D; TAMANHO TELA EM POLEGADA: MINIMO 55 POLEGADAS; TIPO DA TELA: LED / WIDESCREEN; OPCIONAIS: SEM OPCIONAIS; TENSAO: BIVOLT</t>
  </si>
  <si>
    <t>NOTEBOOK</t>
  </si>
  <si>
    <t>CONCERTINA</t>
  </si>
  <si>
    <t>GALPÕES DE TRABALHO</t>
  </si>
  <si>
    <t>Carrinho de bebê com alça reclinável e reversível</t>
  </si>
  <si>
    <t>Aquisição de serviços e licenciamento de software low-code / no-code</t>
  </si>
  <si>
    <t>Bebê conforto para criança de até 13 kilos</t>
  </si>
  <si>
    <t>MATERIAIS ELÉTRICOS</t>
  </si>
  <si>
    <t>MATERIAIS DE CONSTRUÇÃO</t>
  </si>
  <si>
    <t>KIT DE FERRAMENTAS</t>
  </si>
  <si>
    <t>MATERIAIS HIDRÁULICOS</t>
  </si>
  <si>
    <t>TINTA</t>
  </si>
  <si>
    <t>Dispositivo tradutor de idiomas, tradução de voz em tempo real bidirecional, que suporte vários idiomas (minimamente inglês, português, espanhol, francês e alemão), offline, gravação precisa e tradução instantânea</t>
  </si>
  <si>
    <t>COLETA DE RESÍDUO CUMUM NAS UNIDADES DA SEJUSP</t>
  </si>
  <si>
    <r>
      <t xml:space="preserve">Pagamento de Condomínio das Salas do Ed Hércules - Local de Funcionamento do Cread  - </t>
    </r>
    <r>
      <rPr>
        <b/>
        <sz val="11"/>
        <color theme="1"/>
        <rFont val="Calibri"/>
        <family val="2"/>
        <scheme val="minor"/>
      </rPr>
      <t>Eixo atendimento ao público</t>
    </r>
  </si>
  <si>
    <r>
      <t xml:space="preserve">Pagamento de IPTU das Salas do Ed Hércules - Local de Funcionamento do Cread - </t>
    </r>
    <r>
      <rPr>
        <b/>
        <sz val="11"/>
        <color theme="1"/>
        <rFont val="Calibri"/>
        <family val="2"/>
        <scheme val="minor"/>
      </rPr>
      <t>Eixo atendimento ao público</t>
    </r>
  </si>
  <si>
    <r>
      <t xml:space="preserve">Pagamento de energia elétrica das Salas do Ed Hércules - Local de Funcionamento do Cread - </t>
    </r>
    <r>
      <rPr>
        <b/>
        <sz val="11"/>
        <color theme="1"/>
        <rFont val="Calibri"/>
        <family val="2"/>
        <scheme val="minor"/>
      </rPr>
      <t>Eixo atendimento ao público</t>
    </r>
  </si>
  <si>
    <r>
      <t xml:space="preserve">Pagamento de fornecimento de água das Salas do Ed Hércules - Local de Funcionamento do Cread - </t>
    </r>
    <r>
      <rPr>
        <b/>
        <sz val="11"/>
        <color theme="1"/>
        <rFont val="Calibri"/>
        <family val="2"/>
        <scheme val="minor"/>
      </rPr>
      <t>Eixo atendimento ao público</t>
    </r>
  </si>
  <si>
    <r>
      <t xml:space="preserve">Pagamento de verbas trabalhistas das técnicas da área de psicologia que realizam os atendimentos psicossociais do Cread - </t>
    </r>
    <r>
      <rPr>
        <b/>
        <sz val="11"/>
        <color theme="1"/>
        <rFont val="Calibri"/>
        <family val="2"/>
        <scheme val="minor"/>
      </rPr>
      <t xml:space="preserve">Eixo atendimento ao público </t>
    </r>
  </si>
  <si>
    <r>
      <t xml:space="preserve">Pagamento de verbas trabalhistas das técnicas da área de assistência social que realizam os atendimentos psicossociais do Cread  - </t>
    </r>
    <r>
      <rPr>
        <b/>
        <sz val="11"/>
        <color theme="1"/>
        <rFont val="Calibri"/>
        <family val="2"/>
        <scheme val="minor"/>
      </rPr>
      <t>Eixo atendimento ao público</t>
    </r>
  </si>
  <si>
    <r>
      <t xml:space="preserve">Pagamento de verbas trabalhistas da repecionista do Cread  - </t>
    </r>
    <r>
      <rPr>
        <b/>
        <sz val="11"/>
        <color theme="1"/>
        <rFont val="Calibri"/>
        <family val="2"/>
        <scheme val="minor"/>
      </rPr>
      <t>Eixo atendimento ao público</t>
    </r>
  </si>
  <si>
    <r>
      <t xml:space="preserve">Pagamento de verbas trabalhistas da auxiliar de serviços gerais do Cread - </t>
    </r>
    <r>
      <rPr>
        <b/>
        <sz val="11"/>
        <color theme="1"/>
        <rFont val="Calibri"/>
        <family val="2"/>
        <scheme val="minor"/>
      </rPr>
      <t xml:space="preserve">Eixo atendimento ao público </t>
    </r>
  </si>
  <si>
    <r>
      <t xml:space="preserve">Pagamento de custeio dos estagiários das áreas de direito e psicologia/assistencia social - </t>
    </r>
    <r>
      <rPr>
        <b/>
        <sz val="11"/>
        <color theme="1"/>
        <rFont val="Calibri"/>
        <family val="2"/>
        <scheme val="minor"/>
      </rPr>
      <t>Eixo atendimento ao público</t>
    </r>
  </si>
  <si>
    <r>
      <t xml:space="preserve">Manutenção das salas pertecentes à CODEMGE e cedidas para o funcionamento do CREAD - </t>
    </r>
    <r>
      <rPr>
        <b/>
        <sz val="11"/>
        <color theme="1"/>
        <rFont val="Calibri"/>
        <family val="2"/>
        <scheme val="minor"/>
      </rPr>
      <t>Eixo atendimento ao público</t>
    </r>
  </si>
  <si>
    <r>
      <t xml:space="preserve">Contrato de Gestão com OS, cujo objeto é a descentralização da Política Sobre Drogas, por meio da oferta de atendimento territorializados, além do aprimoramento do monitoramento das parcerias celebradas no âmbito do Programa Rede Complementar de Suporte Social na Atenção ao Dependente Químico </t>
    </r>
    <r>
      <rPr>
        <b/>
        <sz val="11"/>
        <color theme="1"/>
        <rFont val="Calibri"/>
        <family val="2"/>
        <scheme val="minor"/>
      </rPr>
      <t>(CREAD - Unidade BH)</t>
    </r>
  </si>
  <si>
    <t>BOLAS PARA JOGOS - MODALIDADE: BASQUETE; MATERIA PRIMA: BORRACHA; CAMARA DE AR EM BUTIL; CIRCUNFERENCIA: 75 A 78CM; PESO: 570 A 650G; MIOLO DE VALVULA REMOVIVEL;</t>
  </si>
  <si>
    <t>BOLAS PARA JOGOS - MODALIDADE: FUTSAL OFICIAL ADULTO; MATERIA PRIMA: PU, CAMARA EM BUTIL; CIRCUNFERENCIA: 61 A 64CM; PESO: 390 A 440GRAMAS</t>
  </si>
  <si>
    <t>BOMBA ENCHER BOLA ESPORTIVA/PNEU DE BICICLETA - MATERIA-PRIMA: PLASTICO; MANGUEIRA DE BORRACHA REVESTIDA EM NYLON</t>
  </si>
  <si>
    <t>MODALIDADE: BOLA PARA VOLEIBOL; MATERIA PRIMA: MICROFIBRA MATRIZADA; CIRCUFERENCIA: 65-67 CM; PESO: 260-280G;</t>
  </si>
  <si>
    <t>BOLAS PARA JOGOS - MODALIDADE: HANDEBOL; MATERIA PRIMA: PU; CIRCUNFERENCIA: 57 A 59CM; PESO: 430 A 470G;</t>
  </si>
  <si>
    <t>PETECA - MATERIA-PRIMA: BORRACHA; PESO: 40 A 42 GRAMAS; COR: PENAS BRANCAS</t>
  </si>
  <si>
    <t>JOGO EDUCATIVO/PEDAGOGICO - IDENTIFICACAO: JOGO DE TABULEIRO 4X1, DAMA, TRILHA, LUDO E DOMINO; PECAS: ACOMPANHADO DE TODAS AS PECAS ;</t>
  </si>
  <si>
    <t>Medalhas Honra ao Mérito
- Cor: Dourada/Prata/Bronze
- Diâmetro: 29mm
- Cor da fita: Azul.; Material: 
- Fundida em Liga metálica de Zamak (Zinco, Alumínio, Magnésio e Cobre)</t>
  </si>
  <si>
    <t>Calendário de mesa com tamanho de 21x15 cm com base feita em papel duplex 350 grs com folhas impressas 4x4 cores no couchê 170 grs com acabamento em wire-o.</t>
  </si>
  <si>
    <t>Aquisição de cameras</t>
  </si>
  <si>
    <t>Cavalete Quadro Branco Flip Chart com Rodízio 70 cm x 100 cm</t>
  </si>
  <si>
    <t>POSTO DE VIGIA PARA PÁTIO (COM SUBSTITUIÇÃO) - (PERICULOSIDADE) - 12X36 DIURNO</t>
  </si>
  <si>
    <t>POSTO DE VIGIA PARA PÁTIO (COM SUBSTITUIÇÃO) - (PERICULOSIDADE) - 12X36 NOTURNO</t>
  </si>
  <si>
    <t>POSTO DE AUXILAR DE LIMPEZA</t>
  </si>
  <si>
    <t>ARTIGOS DE LIMPEZA E HIGIENE PARA SERVIDORES NO PÁTIO GAMELEIRA</t>
  </si>
  <si>
    <t>PAGAMENTO DE DESPESAS INESPERADAS E EVENTUALMENTE NECESSÁRIAS</t>
  </si>
  <si>
    <t>Postos Administrativos - Contrato MGS</t>
  </si>
  <si>
    <t xml:space="preserve">Pagamento de gratificação, vale alimentação, diárias de viagem </t>
  </si>
  <si>
    <t>Pagamento de parcelas referentes aos Termos de Colaboração no Eixo Prevenção</t>
  </si>
  <si>
    <t>Contratação de empresa especializada na realização de evento (seminários)</t>
  </si>
  <si>
    <t>Manutenção do Contrato celebrado com pessoa jurídica  especializada no desenvolvimento de sistemas para acompanhamento e monitoramento das vagas disponibilizadas no campo do Cuidado/Acolhimento e Reinserção Social e Econômica para
pessoas adultas, de ambos os sexos, que usam/abusam e /ou com quadro de dependência de álcool, tabaco e outros drogas e seus familiares e da participação do público nas atividades de prevenção ao uso de álcool, tabaco e outras drogas
dependência de álcool, tabaco e outros drogas e seus familiares e da participação do público nas atividades de prevenção ao uso de álcool, tabaco e outras drogas "</t>
  </si>
  <si>
    <t>Despesas com diárias -
Despesas com diárias de viagens destinadas às visitas técnicas realizadas nas Organizações da Sociedade Civil- OSC´s parceiras por meio dos Termos de Fomento, conforme preconizado no Art. 57 do Decreto 47132/2017.</t>
  </si>
  <si>
    <t>Fornecimento de lanches destinados aos participantes de atividades de capacitação promovidas pela DRC para as Organizações da Sociedade Civil de Atenção em Álcool, Tabaco e outras Drogas</t>
  </si>
  <si>
    <t>Bloco para Flip Chart 50 Folhas San Remo Branco</t>
  </si>
  <si>
    <t>"Pagamento por número de vagas contratadas com as OSC's parceiras no Eixo Cuidado/ Acolhimento e 
e Reinserção Social e  Econômica, tal valor contempla a  expansão do número de vagas , conforme anunciado pelo Exmo. Vice Governador,  refrente à ampliação do Programa  Rede Complementar de Suporte Social na Atenção ao Dependente Químico, considerando ser projeto de grande importância estratégica o aumento do financiamento dessa política pública."</t>
  </si>
  <si>
    <t>"Pagamento por número de vagas contratadas com as OSC's parceiras no Eixo Cuidado/ Acolhimento e 
e Reinserção Social e  Econômica, tal valor contempla a  manutenção e expansão das ações previstas na Rede Complementar de Suporte Social na Atenção ao Dependente Químico, considerando ser projeto de grande importância estratégica o aumento do financiamento dessa política pública."</t>
  </si>
  <si>
    <t>Manutenção do Contrato de Gestão nº 08/2021 - Instituto Elo - Internação - Araxá, Belo Horizonte, Ipatinga, Sete Lagoas, Tupaciguara, Uberaba e Unaí</t>
  </si>
  <si>
    <t>Atendimento de demandas dos órgãos do Sistema de Justiça e de Garantia de Direitos referentes à execução do Contrato de Gestão nº 08/2021, bem como obras de adequação das unidades</t>
  </si>
  <si>
    <t>Manutenção do Contrato de Gestão nº 09/2023 - Instituto Elo - Internação - Passos, Belo Horizonte e Contagem</t>
  </si>
  <si>
    <t>Manutenção do Contrato de Gestão nº 10/2023 - Pemse - Semiliberdade - Belo Horizonte, Contagem, Juiz de Fora, Muriaé, Governador Valadares, Ipatinga, Ribeirão das Neves, Sete Lagoas, Uberlândia, Patrocínio, Uberaba, Patos de Minas, Teófilo Otoni, Lavras, Ribeirão das Neves, Sete Lagoas, Itabira</t>
  </si>
  <si>
    <t>Atendimento de demandas dos órgãos do Sistema de Justiça e de Garantia de Direitos referentes à execução do Contrato de Gestão nº 10/2023</t>
  </si>
  <si>
    <t>Manutenção do Contrato de Gestão nº 11/2024 - Avante Social - Eixo Esporte - Belo Horizonte, Ribeirão das Neves, Sete Lagoas, Divinópolis, Governador Valadares, Juiz de Fora, Montes Claros, Pirapora e Teófilo Otoni.</t>
  </si>
  <si>
    <t>Manutenção do Contrato de Gestão nº 13/2024 - Pemse - Internação - Alfenas</t>
  </si>
  <si>
    <t>Manutenção do Contrato de Gestão nº 14/2025 - Avante - Programa Se Liga</t>
  </si>
  <si>
    <t>Diárias de viagens para acompanhamento e fiscalização das unidades objeto de parceria por meio de Contratos de Gestão</t>
  </si>
  <si>
    <t>Diárias de viagens para acompanhamento e fiscalização das unidades de Gestão Direta do interior</t>
  </si>
  <si>
    <t>Diárias de viagens para acompanhamento e fiscalização das unidades do interior - projeto piloto para verificação in loco dos indicadores do Painel SUASE</t>
  </si>
  <si>
    <t>Execução de reforma estrutural no muro do Centro de Internação Provisória Dom Bosco</t>
  </si>
  <si>
    <t>Execução de reforma da cozinha do Centro de Internação Provisória Dom Bosco conforme planilha 103617134</t>
  </si>
  <si>
    <t>Execução de reforma da cozinha do Centro Socioeducativo de Ribeirão das Neves conforme planilha 103608874</t>
  </si>
  <si>
    <t>Troca do Boiler do Centro de Internação Provisória Dom Bosco</t>
  </si>
  <si>
    <t>Execução de reforma estrutural no talude e no reservatório do Centro Socioeducativo de RIbeirão das Neves</t>
  </si>
  <si>
    <t>Recuperação do Núcleo de Internação Provisória do CSE Divinópolis</t>
  </si>
  <si>
    <t>Execução de reforma hidráulica no Centro Socioeducativo Horto</t>
  </si>
  <si>
    <t>Curso de brigadista para obter o AVCB das unidades de gestão direta</t>
  </si>
  <si>
    <t>Obras para adaptação das Unidades Socioeducativas da gestão direta a fim de viabilizar a emissão do AVCB</t>
  </si>
  <si>
    <t>Aquisição das tintas para pintura das unidades socioeducativas de gestão direta</t>
  </si>
  <si>
    <t>Coleta Resíduos Recicláveis</t>
  </si>
  <si>
    <t>Contrato de manutenção de paineis solares</t>
  </si>
  <si>
    <t>MANUTENCAO E REPARO EM EQUIPAMENTOS AR CONDICIONADO DEPEN</t>
  </si>
  <si>
    <t>MANUTENCAO E REPARO EM EQUIPAMENTOS AR CONDICIONADO SUASE</t>
  </si>
  <si>
    <t>MANUTENCAO E REPARO EM EQUIPAMENTOS AR CONDICIONADO SUINT</t>
  </si>
  <si>
    <t>SUBSCRICAO DE LICENCA DE SOFTWARE DE PROTECAO DE ENDPOINT PARA WINDOWS</t>
  </si>
  <si>
    <t>SUBSCRICAO DE LICENCA DE SOFTWARE DE PROTECAO DE ENDPOINT PARA SERVIDOR WINDOWS</t>
  </si>
  <si>
    <t>SUBSCRICAO DE LICENCA DE SOFTWARE DE PROTECAO DE ENDPOINT PARA LINUX</t>
  </si>
  <si>
    <t>SUBSCRICAO DE LICENCA DE SOFTWARE DE PROTECAO DE ENDPOINT PARA MAC</t>
  </si>
  <si>
    <t>SUBSCRICAO DE LICENCA DE SOFTWARE DE PROTECAO PARA MOBILE</t>
  </si>
  <si>
    <t>SERVICO DE INSTALACAO, CONFIGURACAO E MIGRACAO DA SOLUCAO ATUALMENTE EM USO  PARA  SOLUCAO FORNECIDA</t>
  </si>
  <si>
    <t>CAPACITACAO E TREINAMENTO EM SOLUCAO DE ENDPOINT</t>
  </si>
  <si>
    <t>FORNECIMENTO DE COMBUSTÍVEL - SULOT - Necessidade de transferências de presos, adolecestes acautelados, atividades de saúde e rotinas administrativas</t>
  </si>
  <si>
    <t>Continuidade do contrato de aluguel de equipamento Bodyscam no CSE Juiz de Fora</t>
  </si>
  <si>
    <t>Continuidade do contrato de aluguel de equipamento Bodyscam no CSE Uberlândia</t>
  </si>
  <si>
    <t>Implementação de bodyscam - aluguel de equipamento - CEIP Dom Bosco</t>
  </si>
  <si>
    <t>Implementação de bodyscam - aluguel de equipamento - CSE Montes Claros</t>
  </si>
  <si>
    <t>Implementação de bodyscam - aluguel de equipamento - CSE Divinópolis</t>
  </si>
  <si>
    <t>Implementação de bodyscam - aluguel de equipamento - CSE Governador Valadares</t>
  </si>
  <si>
    <t>Implementação de bodyscam - aluguel de equipamento - CSE Horto</t>
  </si>
  <si>
    <t>Implementação de bodyscam - aluguel de equipamento - CSE Sete Lagoas</t>
  </si>
  <si>
    <t>Implementação de bodyscam - aluguel de equipamento - CSE Ribeirão das Neves</t>
  </si>
  <si>
    <t>Implementação de bodyscam - aluguel de equipamento - CSE Teófilo Otoni</t>
  </si>
  <si>
    <t>FORNECIMENTO DE COMBUSTÍVEL - SUINT - Necessidade de transferências de presos, adolecestes acautelados, atividades de saúde e rotinas administrativas</t>
  </si>
  <si>
    <t>FORNECIMENTO DE COMBUSTÍVEL - SUPEC - Necessidade de transferências de presos, adolecestes acautelados, atividades de saúde e rotinas administrativas</t>
  </si>
  <si>
    <t>FORNECIMENTO DE COMBUSTÍVEL - SUASE - Necessidade de transferências de presos, adolecestes acautelados, atividades de saúde e rotinas administrativas</t>
  </si>
  <si>
    <t>FORNECIMENTO DE COMBUSTÍVEL - DEPEN - Necessidade de transferências de presos, adolecestes acautelados, atividades de saúde e rotinas administrativas</t>
  </si>
  <si>
    <t>Despesas de pronto pagamento</t>
  </si>
  <si>
    <t>Diárias de viagens para cumprimento de agenda da Subsecretária</t>
  </si>
  <si>
    <t>Despesa com transporte urbano para cumprimento de agenda da Subsecretária</t>
  </si>
  <si>
    <t>NEOMICINA + ASSOCIAÇÕES - NEOMICINA, SULFATO + BACITRACINA, ZINCINA; 5 MG/G + 250uI/g; POMADA D</t>
  </si>
  <si>
    <t>ABAIXADOR DE LINGUA - MATERIA PRIMA: MADEIRA, DESCARTAVEL; FORMATO: ESPATULA,SUPERFICIE LISA,EXTREMIDADES ARREDONDADAS; DIMENSOES: 1,5 X 13,5CM</t>
  </si>
  <si>
    <t>ACIDO CONDICIONADOR USO ODONTO - APLICACAO: CONDICIONAMENTO DE ESMATE E DENTINA; APRESENTACAO: GEL; COMPOSICAO: SOLUCAO A BASE DE ACIDO FOSFORICO/37 PORCENTO;</t>
  </si>
  <si>
    <t>ACIDO CONDICIONADOR USO ODONTO - APLICACAO: LIQUIDO; APRESENTACAO: ACIDO POLIACRILICO A 11,5 PORCENTO; COMPOSICAO: PREPARO E LIMPEZA DA DENTINA P/TRABALHO DE RESINAS;</t>
  </si>
  <si>
    <t>ACRILICO USO ODONTO - TIPO: AUTOPOLIMERIZAVEL; LIQUIDO; COR: INCOLOR; FUNCAO: PRESA NORMAL;;</t>
  </si>
  <si>
    <t>ADESIVO ODONTOLOGICO - APLICACAO: RESTAURACOES ADESIVAS; COMPOSICAO: MONOCOMPONENTE(PRIMER+BOND); TIPO: FOTOPOLIMERIZAVEL</t>
  </si>
  <si>
    <t>AGENTE HEMOSTATICO USO ODONTO - APRESENTACAO: ESPONJA; COMPOSICAO (1): COLAGENO LIOFILIZADO ORIGEM BOVINA; COMPOSICAO (2): .; APLICACAO: HEMORRAGIAS, CAPILARES, POS OPERATORIO,ETC;</t>
  </si>
  <si>
    <t>AGENTE HEMOSTATICO USO ODONTO - APRESENTACAO: FRASCO DE LIQUIDO COM 10ML; COMPOSICAO (1): CLORETO ALUMINIO, SULFATO HIDROXIQUINOLEINA; COMPOSICAO (2): OU HIDROXIQUINOLINA, ALCOOL; APLICACAO: HEMOSTASIA E RETRACAO GENGIVAL IMEDIATA;</t>
  </si>
  <si>
    <t>ÁGUA DESTILADA</t>
  </si>
  <si>
    <t>AGULHA DESCARTAVEL - MEDIDAS: 25 MM X 8 MM; CANULA: ACO INOXIDAVEL, SILICONIZADA; BISEL: TRIFACETADO, COM PROTETOR; CANHAO: EM POLIPROPILENO, CONEXAO BICO SLIP OU LUER LOCK</t>
  </si>
  <si>
    <t>AGULHA GENGIVAL DESCARTAVEL ESTERIL MATERIA-PRIMA: ACO INOXIDAVEL E POLIPROPILENO ATOXICO; BISEL: TRIFACETADO; CANULA: SILICONIZADA, FLEXIVEL COM INDICADOR DE BISEL; CANHAO: AMARELO COM ROSCA INTERNA UNIVERSAL; CALIBRE: 30G; TAMANHO: CURTA; EMBALAGEM: PROTETOR PLASTICO INDIVIDUAL; APRESENTACAO: CAIXA 100 UNIDADES;</t>
  </si>
  <si>
    <t>AGULHA GENGIVAL DESCARTAVEL ESTERIL MATERIA-PRIMA: ACO INOXIDAVEL E POLIPROPILENO ATOXICO; BISEL: TRIFACETADO; CANULA: SILICONIZADA, FLEXIVEL COM INDICADOR DE BISEL; CANHAO: CINZA COM ROSCA INTERNA UNIVERSAL; CALIBRE: 27G; TAMANHO: LONGA; EMBALAGEM: PROTETOR PLASTICO INDIVIDUAL; APRESENTACAO: CAIXA 100 UNIDADES;</t>
  </si>
  <si>
    <t>ALCOOL - TIPO: ETILICO, EM GEL; GRADUACAO: 70 GRAUS;</t>
  </si>
  <si>
    <t>ALCOOL ETILICO HIDRATADO ASPECTO FISICO: SOLUCAO AQUOSA; GRAU INPM: 70; GRAU GL: 77; APRESENTACAO: FRASCO 1 L;</t>
  </si>
  <si>
    <t>ALGODAO - MANTA UNIFORME E CONTINUA; 100 POR CENTO ALGODAO;</t>
  </si>
  <si>
    <t>ALGODAO - TIPO: ROLINHO; MATERIA-PRIMA: 100 POR CENTO ALGODAO;</t>
  </si>
  <si>
    <t>ALGODAO HIDROFILO - FORMATO: BOLA; COMPOSICAO: 100% ALGODAO; COR: BRANCO; ESTERIL: NAO; APRESENTACAO: EMBALAGEM 100 G;</t>
  </si>
  <si>
    <t>ALMOTOLIA USO MEDICO HOSPITALAR - MATERIA-PRIMA: POLIPROPILENO; COR: AMBAR; CAPACIDADE: 250ML;</t>
  </si>
  <si>
    <t>APLICADOR DESCARTAVEL, USO ODONTO - MATERIA PRIMA: MICROFIBRAS, ISENTO DE FIAPOS E NAO ABSORVENTE; TIPO: PONTA ATIVA ESFERICA, FINA; FINALIDADE: APLICAR MATERIAL LIQUIDO OU DE BAIXA VISCOSIDADE</t>
  </si>
  <si>
    <t>ATADURA DE CREPOM - MATERIA-PRIMA: ALGODAO CRU DE ALTA TORCAO E FIBRAS SINTETICAS; NUMERO DE FIOS: 13 FIOS/CM2; DIMENSOES (L X C ): 20 CM X 1,80 M EM REPOUSO; ESTERIL: NAO; CARACTERISTICAS GERAIS: EMBALADA INDIVIDUALMENTE;</t>
  </si>
  <si>
    <t>ATADURA DE CREPOM - MATERIA-PRIMA: ALGODAO CRU DE ALTA TORCAO E FIBRAS SINTETICAS; NUMERO DE FIOS: 13 FIOS/CM2; DIMENSOES (L X C ): 30 CM X 1,80 M EM REPOUSO; ESTERIL: NAO; CARACTERISTICAS GERAIS: EMBALADA INDIVIDUALMENTE;</t>
  </si>
  <si>
    <t>AVENTAL PARA USO MEDICO/ODONTOLOGICO - TIPO: DESCARTAVEL, MANGA LONGA COM ELASTICO NO PUNHO; MATERIA-PRIMA: POLIPROPILENO; GRAMATURA/COMPOSICAO: 30 A 40 G/M2; COMPRIMENTO: 110CM APROXIMADAMENTE</t>
  </si>
  <si>
    <t>BENZOCAINA - PRINCIPIO ATIVO: BENZOCAINA; CONCENTRACAO/DOSAGEM: 200 MG/G; FORMA
 FARMACEUTICA: GEL; APRESENTACAO: POTE 12 G; COMPONENTE:</t>
  </si>
  <si>
    <t>BOLSA TERMICA USO HOSPITALAR - MATERIA PRIMA: POLIETILENO COM CAMADA NYLON LAMINADO; CAPACIDADE: DE 415ML APROXIMADAMENTE; MEDIDA: 25 X 14CM; CONTEUDO: GEL FRIO E CALOR;</t>
  </si>
  <si>
    <t>BROCA ODONTOLOGICA - MATERIA PRIMA: ACO (CARBIDE); FORMA: CONICA INVERTIDA; NUMERO: 245; TIPO: ALTA ROTACAO;</t>
  </si>
  <si>
    <t>BROCA ODONTOLOGICA - MATERIA PRIMA: ACO CARBONO; FORMA: CONICA INVERTIDA; NUMERO: 34; TIPO: BAIXA ROTACAO(CONTRA ANGULO);</t>
  </si>
  <si>
    <t>BROCA ODONTOLOGICA - MATERIA PRIMA: ACO CARBONO; FORMA: DE FORMA ESFERICA; NUMERO: 02; TIPO: BAIXA ROTACAO (CONTRA ANGULO);</t>
  </si>
  <si>
    <t>BROCA ODONTOLOGICA - MATERIA PRIMA: ACO CARBONO; FORMA: DE FORMA ESFERICA; NUMERO: 06; TIPO: BAIXA ROTACAO(CONTRA ANGULO);</t>
  </si>
  <si>
    <t>BROCA ODONTOLOGICA - MATERIA PRIMA: ACO CARBONO; FORMA: ESFERICA; NUMERO: 04; TIPO: BAIXA ROTACAO (CONTRA ANGULO)</t>
  </si>
  <si>
    <t>BROCA ODONTOLOGICA - MATERIA PRIMA: ACO CARBONO; FORMA: ESFERICA; NUMERO: 08; TIPO: BAIXA ROTACAO(CONTRA ANGULO);</t>
  </si>
  <si>
    <t>BROCA ODONTOLOGICA - MATERIA PRIMA: ACO INOX E CARBETO DE TUNGSTENIO(CARBIDE); FORMA: CONICA; NUMERO: 170; TIPO: ALTA ROTACAO;</t>
  </si>
  <si>
    <t>BROCA ODONTOLOGICA - MATERIA PRIMA: ACO INOX E CARBETO DE TUNGSTENIO(CARBIDE); FORMA: CONICA; NUMERO: 701; TIPO: ALTA ROTACAO;</t>
  </si>
  <si>
    <t>BROCA ODONTOLOGICA - MATERIA PRIMA: ACO INOX E DIAMANTES; FORMA: CHAMA; NUMERO: 3118FF; TIPO: ALTA ROTACAO;</t>
  </si>
  <si>
    <t>BROCA ODONTOLOGICA - MATERIA PRIMA: ACO INOX E DIAMANTES; FORMA: CILINDRICA; NUMERO: 4124; TIPO: ALTA ROTACAO</t>
  </si>
  <si>
    <t>BROCA ODONTOLOGICA - MATERIA PRIMA: ACO INOX E DIAMANTES; FORMA: CILINDRICA/TOPO OGIVAL; NUMERO: 3216; TIPO: ALTA ROTACAO;</t>
  </si>
  <si>
    <t>BROCA ODONTOLOGICA - MATERIA PRIMA: ACO INOX E DIAMANTES; FORMA: CONICA; NUMERO: 3195; TIPO: ALTA ROTACAO;</t>
  </si>
  <si>
    <t>BROCA ODONTOLOGICA - MATERIA PRIMA: ACO INOX E DIAMANTES; FORMA: CONICA/TOPO OGIVAL; NUMERO: 3227; TIPO: ALTA ROTACAO;</t>
  </si>
  <si>
    <t>BROCA ODONTOLOGICA - MATERIA PRIMA: ACO INOX E DIAMANTES; FORMA: DE FORMA CILINDRICA; NUMERO: 1092; TIPO: ALTA ROTACAO;</t>
  </si>
  <si>
    <t>BROCA ODONTOLOGICA - MATERIA PRIMA: ACO INOX E DIAMANTES; FORMA: DE FORMA CILINDRICA; NUMERO: 3097; TIPO: ALTA ROTACAO;</t>
  </si>
  <si>
    <t>BROCA ODONTOLOGICA - MATERIA PRIMA: ACO INOX E DIAMANTES; FORMA: DE FORMA CONICA/TOPO ARREDONDADO; NUMERO: 4138; TIPO: ALTA ROTACAO;</t>
  </si>
  <si>
    <t>BROCA ODONTOLOGICA - MATERIA PRIMA: ACO INOX E DIAMANTES; FORMA: DE FORMA ESFERICA; NUMERO: 1011; TIPO: ALTA ROTACAO;</t>
  </si>
  <si>
    <t>BROCA ODONTOLOGICA - MATERIA PRIMA: ACO INOX E DIAMANTES; FORMA: ESFERICA; NUMERO: 1014; TIPO: ALTA ROTACAO;</t>
  </si>
  <si>
    <t>BROCA ODONTOLOGICA - MATERIA PRIMA: CARBONO DE TUNGSTENIO; FORMA: CONICA LONGA; NUMERO: 23MM; TIPO: ZEKRYA (COM PONTA ATIVA) ALTA ROTACAO;</t>
  </si>
  <si>
    <t>BACIA INOX PARA USO HOSPITALAR - MATERIA-PRIMA: ACO INOX; DIAMETRO: 41CM; CAPACIDADE: 3.700ML;</t>
  </si>
  <si>
    <t>CARBONATO HIDROGENADO DE SODIO USO ODONTO - APRESENTACAO: SACHE; FINALIDADE: REMOCAO DE PLACA BACTERIANA; SABOR: NEUTRO</t>
  </si>
  <si>
    <t>CERA PARA MOLDAGEM USO ODONTO - COMPOSICAO: HIDROCARBONETO, OLEO MINERAL, CORANTE; APRESENTACAO: LAMINA; TIPO: CERA ROSA NUMERO 07;</t>
  </si>
  <si>
    <t>CETOCONAZOL - APRESENTACAO: CREME; DOSAGEM: 20 MG/GRAMA (2 POR CENTO);</t>
  </si>
  <si>
    <t>CIMENTO USO ODONTOLOGICO COMPOSICAO: HIDROXIDO DE CALCIO RADIOPACO; TIPO DE POLIMERIZACAO: AUTOPOLIMERIZAVEL; CLASSIFICACAO: TIPO 3: FORRACAO (SELANTE); TONALIDADE: MARFIM; APRESENTACAO: KIT (BASE + CATALISADOR);</t>
  </si>
  <si>
    <t>CIMENTO USO ODONTOLOGICO COMPOSICAO: IONOMERO DE VIDRO CONVENCIONAL; TIPO DE POLIMERIZACAO: AUTOPOLIMERIZAVEL; CLASSIFICACAO: TIPO 2:
 RESTAURACAO; TONALIDADE: A3; APRESENTACAO: KIT (FASE PO + FASE LIQUIDA)</t>
  </si>
  <si>
    <t>CIMENTO USO ODONTOLOGICO COMPOSICAO: OXIDO DE ZINCO + EUGENOL; TIPO DE POLIMERIZACAO: QUIMICA; CLASSIFICACAO: TIPO 2: RESTAURACAO; TONALIDADE:
 MARFIM; APRESENTACAO: KIT (FASE PO + FASE LIQUIDA);</t>
  </si>
  <si>
    <t>CLORETO DE SODIO - PRINCIPIO ATIVO: CLORETO DE SODIO; CONCENTRACAO/DOSAGEM: 0,9%; FORMA FARMACEUTICA: SOLUCAO INJETAVEL; APRESENTACAO: AMPOLA 10 ML; COMPONENTE:</t>
  </si>
  <si>
    <t>CLORETO DE SODIO PRINCIPIO ATIVO: CLORETO DE SODIO; CONCENTRACAO/DOSAGEM: 0,9%; FORMA FARMACEUTICA: SOLUCAO INJETAVEL; APRESENTACAO: BOLSA OU
 FRASCO 250 ML SISTEMA FECHADO; COMPONENTE: INJETOR LATERAL;</t>
  </si>
  <si>
    <t>CLOREXIDINA - PRINCIPIO ATIVO: CLOREXIDINA, GLUCONATO + FLUORETO DE SODIO; CONCENTRACAO/DOSAGEM: 0,12% + 0,05%; FORMA FARMACEUTICA: SOLUCAO BUCAL; APRESENTACAO: FRASCO 250 ML; COMPONENTE: .;</t>
  </si>
  <si>
    <t>COLETOR DE MATERIAL PERFUROCORTANTE - CAPACIDADE VOLUMETRICA: 13 LITROS; REVESTIMENTO: CONFECCIONADO EM PAPELAO RIGIDO; FUNCAO: PARA DESCARTE DE MATERIAL PERFURO CORTANTE; TAMPA: COM PROTECAO CONTRA VAZAMENTOS; SEGURANCA: RESISTENTE A QUEDA E TOMBAMENTO</t>
  </si>
  <si>
    <t>COMPRESSA DE GAZE HIDROFILA - MATERIA-PRIMA: 100% ALGODAO; ESTERIL: SIM; DIMENSOES (L X C ): 7,5 CM X 7,5 CM FECHADA - 15 CM X 30 CM ABERTA; NUMERO DE FIOS: 13 FIOS/CM2; DOBRAS: 5; CAMADAS: 8; APRESENTACAO: PACOTE 5 UN;</t>
  </si>
  <si>
    <t>COSMETICO REPELENTE DE INSETOS - PRINCIPIO ATIVO: DEET (DIETILTOLUAMIDA); CONCENTRACAO MAXIMA: 10%; INDICACAO: A PARTIR DE 2 ANOS DE IDADE; FORMA
 FARMACEUTICA: SOLUCAO; CARACTERISTICA ESPECIAL: HIPOALERGENICO E DERMATOLOGICAMENTE TESTADO;</t>
  </si>
  <si>
    <t>CUNHA ODONTO - TIPO: MADEIRA, ANATOMICA; FINALIDADE: RESTAURACOES AMALGAMA,IONOMERO CLASSES I,III,IV;</t>
  </si>
  <si>
    <t>CURATIVO PARA ALVEOLITE - COMPOSICAO:: PROPOLIS; IODOFORMIO; CERA DE ABELHA; ESPACANTE</t>
  </si>
  <si>
    <t>DETERGENTES ENZIMATICOS - IDENTIFICACAO: LIQUIDO; TIPO: CONCENTRADO, BIODEGRADAVEL, NAO CORROSIVO; BASE: ALCOOL ISOPROPILICO A 10 POR CENTO; COMPOSICAO (1): MINIMO 04 ENZIMAS; COMPOSICAO (2): LIPASE, AMILASE, PROTEASE, CARBOHIDRASE; APLICACAO: INSTRUMENTAL CIRURGICO;</t>
  </si>
  <si>
    <t>DEXAMETASONA - PRINCIPIO ATIVO: DEXAMETASONA; CONCENTRACAO/DOSAGEM: 1 MG/G; FORMA FARMACEUTICA: CREME DERMATOLOGICO; APRESENTACAO: BISNAGA 10 G; COMPONENTE:</t>
  </si>
  <si>
    <t>DISCO DE LIXA USO ODONTO - MATERIA PRIMA: OXIDO DE ALUMINIO E COSTADO DE POLIURETANO; TAMANHO: 1/2 POLEGADAS (DIAMETRO); COR /APRESENTAÇÃO: COR/APRESENTACAO CX COM 5O; CORES VARIADAS; INDICACAO: ACABAMENTO E POLIMENTO DE RESTAURACOES COMPOSITOS;</t>
  </si>
  <si>
    <t>DISPENSADOR DE SABONETE/ALCOOL - MODELO: PARA REFIL BOLSA; MATERIA-PRIMA: PLASTICO ABS; VALVULA: PARA SPRAY; CAPACIDADE: 800 ML; VISOR: COM VISOR; FIXACAO: DE PAREDE;</t>
  </si>
  <si>
    <t>EMBALAGEM DESCARTAVEL PARA ESTERILIZACAO - MATERIA-PRIMA: LAMINA DE POLIETILENO DE ALTA DENSIDADE; MATERIA-PRIMA 2: FILME LAMINADO PES/PE MIMINO 54 G/M2;
 DIMENSOES (L X C ): 350 MM X 70 M; TIPO ESTERILIZACAO: PEROXIDO DE HIDROGENIO; INDICADOR: QUIMICO PARA PEROXIDO DE HIDROGENIO; APRESENTACAO: ROLO 70 M;</t>
  </si>
  <si>
    <t>EMBALAGEM DESCARTAVEL PARA ESTERILIZACAO - MATERIA-PRIMA: PAPEL GRAU CIRURGICO MINIMO 60 G/M2; MATERIA-PRIMA 2: FILME LAMINADO POLIESTER OU PE/PP MINIMO 54
 G/M2; DIMENSOES (L X C ): 15 CM X 100 M; TIPO ESTERILIZACAO: VAPOR UMIDO; INDICADOR: INDICADOR QUIMICO PARA VAPOR IMPRESSO NA EMBALAGEM; APRESENTACAO: ROLO 100M;</t>
  </si>
  <si>
    <t>EMBALAGEM DESCARTAVEL PARA ESTERILIZACAO - MATERIA-PRIMA: PAPEL GRAU CIRURGICO MINIMO 60 G/M2; MATERIA-PRIMA 2: FILME LAMINADO POLIESTER OU PE/PP MINIMO 54 G/M2; DIMENSOES (L X C ): 25 CM X 100 M; TIPO ESTERILIZACAO: VAPOR UMIDO; INDICADOR: INDICADOR QUIMICO PARA VAPOR IMPRESSO NA EMBALAGEM; APRESENTACAO: ROLO 100 M;</t>
  </si>
  <si>
    <t>ESCOVA P/ASSEPSIA DE INSTRUMENTAL,BROCAS- ODONTO MATERIA PRIMA: ACO; FINALIDADE: LIMPEZA DE BROCAS E INSTRUMENTAIS CLINICOS;</t>
  </si>
  <si>
    <t>ESCOVA PARA PROFILAXIA BUCAL - MATERIA PRIMA: CORPO EM ACO CARBONO E CERDAS EM NYLON BRANCO; FORMATO: PLANO; ENGATE: CONTRA ÂNGULO</t>
  </si>
  <si>
    <t>ESPARADRAPO - COMPOSICAO: 100% ALGODAO, ISENTO DE LATEX; CARACTERISTICAS GERAIS: HIPOALERGICO, IMPERMEAVEL; DIMENSOES (L X C ): 10 CM X 4,5 M; COR: BRANCO; APRESENTACAO: ROLO 4,5 M; - ROLO</t>
  </si>
  <si>
    <t>EUGENOL, USO ODONTO - APLICACAO: UTILIZADO EM REACAO COM O OXIDO DE ZINCO EM PO; COMPOSICAO: CADA FRASCO DE 20ML CONTEM EUGENOL 16,0ML E VEICULO QSP 20,0ML; SOLUBILIDADE: MUITO POUCO SOLUVEL NA AGUA E COMPLETAMENTE SOLUVEL ETER, CLOROFORMIO,ETC;</t>
  </si>
  <si>
    <t>EVIDENCIADOR DE PLACA USO ODONTO - APLICACAO: PARA PROFILAXIA; APRESENTACAO: PASTILHA; COMPOSICAO: A BASE DE DOIS CORANTES ALIMENTICIO AZUL+VERMELHO</t>
  </si>
  <si>
    <t>EXTIRPA NERVO USO ODONTO - MATERIAL: CABO PLASTICO COM PONTA EM ACO INOX; COR: AMARELO; COMPRIMENTO: BLISTER OU EM CADERNOS;</t>
  </si>
  <si>
    <t>EXTIRPA NERVO USO ODONTO - MATERIAL: PARTE ATIVA EM ACO INOX, CABO PLASTICO; COR: CORES VARIADAS; COMPRIMENTO: 22 MM (+ OU - 1 MM);</t>
  </si>
  <si>
    <t>FIO E FITA DENTAL - IDENTIFICACAO: FIO DENTAL; TIPO: ENCERADO; MATERIA-PRIMA: POLIAMIDA; RESISTENCIA: AO DESFIAMENTO; APRESENTACAO: ROLO 100 M</t>
  </si>
  <si>
    <t>FIOS DE SUTURA USO ODONTO - TIPO: INABSORVIVEL; MATERIA-PRIMA: SEDA TRANCADA; NUMERO: 4.0; MEDIDAS: 45CM; AGULHA: COM AGULHA 1/2 CIRCULO CORTANTE TRIANGULAR,1,7CM;</t>
  </si>
  <si>
    <t>FITA CIRURGICA - TIPO: MICROPOROSA; MEDIDAS: 25MM X 10M;</t>
  </si>
  <si>
    <t>FITA TERMO-SENSIVEL - FINALIDADE: AUTOCLAVE, ADESIVA COM BOA FIXACAO; MEDIDAS: 19 MM X 30 M;</t>
  </si>
  <si>
    <t>FLUOR USO ODONTO - TIPO: NEUTRO; CONCENTRACAO: 2%; SABOR: TUTTI FRUTTI; APRESENTACAO: GEL;</t>
  </si>
  <si>
    <t>FORMOCRESOL - COMPOSICAO: FORMALDEIDO+CRESOL+GLICERINA+ALCOOL ETILICO; INDICACAO: TRATAMENTO CONSERVADOR DENTES DECIDUOS/PERMANENTES;</t>
  </si>
  <si>
    <t>GELO RECICLAVEL - FINALIDADE: CONSERVAR VACINAS, PRODUTOS QUIMICOS ETC; APRESENTACAO: EMBALAGEM COMPACTA DE 500ML; ASPECTO: GEL LIQUIDO</t>
  </si>
  <si>
    <t>GUTAPERCHA USO CURATIVO-ODONTO APRESENTACAO: EM BASTAO; COR: SORTIDAS;</t>
  </si>
  <si>
    <t>HIDROXIDO DE CALCIO - ASPECTO: PO BRANCO OU GRANULO BRANCO; FORMULA MOLECULAR: CA(OH)2; PESO MOLECULAR: 74,10; SOLUBILIDADE: LEVEMENTE SOLUVEL EM AGUA, SOLUVEL EM GLICERINA,; PROPRIEDADES: ALCALINIZANTE, ADSTRINGENTE E REMINERALIZADORA; FINALIDADE: PARA CURATIVO PULPOCTOMIA, TRAUMATISMO, PREVENCAO;</t>
  </si>
  <si>
    <t>BALDE USO HOSPITALAR - TIPO: COM ALCA; CAPACIDADE: 05 LITROS; MATERIA-PRIMA: ACO INOX;</t>
  </si>
  <si>
    <t>HIPOCLORITO DE SODIO - APLICACAO: TRATAMENTO DE AGUA PARA CONSUMO HUMANO; ASPECTO FISICO: LIQUIDO; CONCENTRACAO: 2,5 POR CENTO; FORMULA MOLECULAR: NAOCL;
 PESO MOLECULAR: 74,44;</t>
  </si>
  <si>
    <t>INDICADOR PARA CONTROLE DE ESTERILIZACAO - IDENTIFICACAO: BIOLOGICO; TIPO: A VAPOR, LEITURA EM 24 HORAS;</t>
  </si>
  <si>
    <t>INDICADOR PARA CONTROLE DE ESTERILIZACAO - IDENTIFICACAO: INDICADOR químico</t>
  </si>
  <si>
    <t>IODOFORMIO, USO ODONTO - DOSAGEM: 100 % IODOFORMIO; FINALIDADE: MATERIAL OBTURADOR INTRACANAL PROVISORIO;</t>
  </si>
  <si>
    <t>LAMINA DE BISTURI DESCARTAVEL MATERIA-PRIMA: ACO INOXIDAVEL ESTERIL; NUMERO: 15; EMBALAGEM: INDIVIDUAL, ESTERIL E COM ABERTURA EM PETALA;</t>
  </si>
  <si>
    <t>LANCETA AUTOMATICA DESCARTAVEL - TIPO: AGULHA RETRATIL; MATERIA-PRIMA: ACO INOXIDAVEL E CORPO EM PLASTICO; CORTE: NAO APLICAVEL; CALIBRE: 28 G; ESTERIL: SIM; DISPARO: GATILHO COM DISPOSITIVO SE SEGURANCA; APLICACAO: PUNCAO DIGITAL PARA AMOSTRA DE SANGUE CAPILAR;</t>
  </si>
  <si>
    <t>LENCOL DE NAO TECIDO, USO HOSPITALAR - TIPO: PAPEL CREPADO BRANCO 25 G/M2, 100% CELULOSE VIRGEM; MEDIDAS: 70CM DE LARGURA X 50 METROS;</t>
  </si>
  <si>
    <t>LIDOCAINA + ASSOCIACOES - PRINCIPIO ATIVO (1): LIDOCAINA; PRINCIPIO ATIVO (2): EPINEFRINA BASE; CONCENTRACAO/DOSAGEM: 2% + 1:100.000; FORMA FARMACEUTICA: SOLUCAO INJETAVEL; APRESENTACAO: TUBETE 1,8 ML; COMPONENTE: .;</t>
  </si>
  <si>
    <t>LIMA ENDODONTICA - MATERIA PRIMA: CABO DE PLASTICO COM HASTE EM ACO INOXIDAVEL; TIPO: K; SERIE ESPECIAL; NUMERO/TAMANHO/COR: NUMERO 06; 25MM; COR ROSA;</t>
  </si>
  <si>
    <t>LIMA ENDODONTICA - MATERIA PRIMA: CABO DE PLASTICO COM HASTE EM ACO INOXIDAVEL; TIPO: K; SERIE ESPECIAL; NUMERO/TAMANHO/COR: NUMERO 08; 25MM; COR CINZA;</t>
  </si>
  <si>
    <t>LIMA ENDODONTICA - MATERIA PRIMA: CABO DE PLASTICO COM PONTA EM ACO INOXIDAVEL; TIPO: K; PRIMEIRA SERIE; NUMERO/TAMANHO/COR: NUMERO 20; 25MM; COR AMARELA;</t>
  </si>
  <si>
    <t>LIMA ENDODONTICA - MATERIA PRIMA: CABO DE PLASTICO COM PONTA EM ACO INOXIDAVEL; TIPO: K; PRIMEIRA SERIE; NUMERO/TAMANHO/COR: NUMERO 25; 25MM; COR VERMELHA;</t>
  </si>
  <si>
    <t>LIMA ENDODONTICA - MATERIA PRIMA: CABO DE PLASTICO COM PONTA EM ACO INOXIDAVEL; TIPO: K; SERIE ESPECIAL; NUMERO/TAMANHO/COR: NUMERO 10; 25MM; COR ROXA;</t>
  </si>
  <si>
    <t>LIMA ENDODONTICA - MATERIA PRIMA: CABO PLASTICO COM PONTA EM ACO INOXIDAVEL; TIPO: K; PRIMEIRA SERIE; NUMERO/TAMANHO/COR: NUMERO 15; 25MM; COR BRANCA</t>
  </si>
  <si>
    <t>LUVA CIRURGICA DESCARTAVEL ESTERIL COMPOSICAO: LATEX DE BORRACHA NATURAL; PO: BIOABSORVIVEL; TAMANHO: 6.5; FORMATO: ANATOMICO; SUPERFICIE: TEXTURIZADA E ANTIDERRAPANTE; APRESENTACAO: PAR EMBALADO INDIVIDUALMENTE;</t>
  </si>
  <si>
    <t>LUVA CIRURGICA DESCARTAVEL ESTERIL COMPOSICAO: LATEX DE BORRACHA NATURAL; PO: BIOABSORVIVEL; TAMANHO: 7.5; FORMATO: ANATOMICO; SUPERFICIE: TEXTURIZADA E ANTIDERRAPANTE; APRESENTACAO: PAR EMBALADO INDIVIDUALMENTE</t>
  </si>
  <si>
    <t>LUVA DESCARTAVEL PROCEDIMENTOS NAO CIRURGICOS - COMPOSICAO: LATEX DE BORRACHA NATURAL; ESTERIL: NAO; TAMANHO: PP; PO: BIOABSORVIVEL; FORMATO: AMBIDESTRA; TEXTURA: LISA; APRESENTACAO: EMBALAGEM 100 UNIDADES;</t>
  </si>
  <si>
    <t>LUVA DESCARTAVEL PROCEDIMENTOS NAO CIRURGICOS - COMPOSICAO: LATEX DE BORRACHA NATURAL; TAMANHO: G; PO: ISENTA DE PO; FORMATO: AMBIDESTRA;TEXTURA: LISA; APRESENTACAO: EMBALAGEM 100 UNIDADES;</t>
  </si>
  <si>
    <t>LUVA DESCARTAVEL PROCEDIMENTOS NAO CIRURGICOS - COMPOSICAO: LATEX DE BORRACHA NATURAL; TAMANHO: M; PO: BIOABSORVIVEL; FORMATO: AMBIDESTRA; TEXTURA: LISA; APRESENTACAO: EMBALAGEM 100 UNIDADES;</t>
  </si>
  <si>
    <t>LUVA DESCARTAVEL PROCEDIMENTOS NAO CIRURGICOS - COMPOSICAO: LATEX DE BORRACHA NATURAL; TAMANHO: P; PO: BIOABSORVIVEL; FORMATO: AMBIDESTRA; TEXTURA: LISA; APRESENTACAO: EMBALAGEM 100 UNIDADES;</t>
  </si>
  <si>
    <t>LUVA PARA LIMPEZA - MATERIA-PRIMA: BORRACHA; TAMANHO: MEDIO; CANO: LONGO; TIPO: SEM FORRO;</t>
  </si>
  <si>
    <t>BANDEJA INOX PARA USO HOSPITALAR - TAMANHO: MEDINDO 22 X 09 X 1,5CM; TIPO: AUTOCLAVAVEL;</t>
  </si>
  <si>
    <t>MASCARA DESCARTAVEL - IDENTIFICACAO: CIRURGICA; FORMATO: RETANGULAR COM PREGAS; CAMADAS: 03 CAMADAS; MATERIA-PRIMA: FIBRA SINTETICA; GRAMATURA: MINIMA 40 G; FILTRO: COM FILTRO; TIPO FIXACAO: 4 TIRAS LATERAIS; AJUSTE NASAL: SIM; ESTERIL: NAO</t>
  </si>
  <si>
    <t>MASCARA DESCARTAVEL - IDENTIFICACAO: N 95; FORMATO: CONCHA OU DOBRAVEL; CAMADAS: 4 CAMADAS; MATERIA-PRIMA: FIBRA SINTETICA; GRAMATURA: NAO APLICAVEL; FILTRO: FILTRO PFF2; TIPO FIXACAO: ELASTICO; AJUSTE NASAL: SIM; ESTERIL: NAO;</t>
  </si>
  <si>
    <t>MASCARA RESSUSCITACAO CARDIO-PULMONAR - FINALIDADE: SERVICO DE BOMBEIRO; TIPO: PARA SER TRANSPORTADA NO BOLSO; MATERIA PRIMA: SILICONE, MOLDAVEL A BOCA E NARIZ, SIMULTANEAMENTE; VALVULA: DE RETENSAO DE FLUXO; ESTOJO PROTETOR MASCARA: ESTOJO PROTETOR DA MASCARA: COM VALVULA PARA ENTRADA DE OXIGENIO (POCKET MASK);</t>
  </si>
  <si>
    <t>MATRIZ USO ODONTO - ROLO 0,05 X 5 X 500 MM; ACO INOX; ISOLAMENTO DE DENTES;</t>
  </si>
  <si>
    <t>MATRIZ USO ODONTO - ROLO 0,05 X 7 X 500 MM; ACO INOX; ISOLAMENTO DE DENTES;</t>
  </si>
  <si>
    <t>MICONAZOL - PRINCIPIO ATIVO: MICONAZOL, NITRATO; CONCENTRACAO/DOSAGEM: 20 MG/G; FORMA FARMACEUTICA: LOCAO CREMOSA; APRESENTACAO: FRASCO 30 G; COMPONENTE: .;</t>
  </si>
  <si>
    <t>OCULOS DE PROTECAO USO HOSPITALAR - LENTES: ACRILICO TRANSPARENTE; APLICACAO: PROCEDIMENTO; COR: INCOLOR, TRANSPARENTE; ARMACAO: ACO REVESTIDO EM POLIPROPILENO;</t>
  </si>
  <si>
    <t>OLEO LUBRIFICANTE, USO ODONTO - APLICACAO: LUBRIFICACAO DE EQUIPAMENTOS ODONTOLOGICOS; APRESENTACAO: KIT FRASCO C/200ML + PONTAS DE APLICACAO; TIPO: ALTA E BAIXA ROTACAO DE INSTRUMENTOS; REFERENCIA:</t>
  </si>
  <si>
    <t>PAPEL DE ARTICULACAO USO ODONTO - TIPO: ARCADA PARCIAL; FINALIDADE: REGISTRO OCLUSAL APOS REALIZACAO DE RESTAURACOES; ESPESSURA: 0,01MM A 0,03MM;</t>
  </si>
  <si>
    <t>PARAMONO-CLOROFENOL CANFORADO USO ODONTO - APRESENTACAO: LIQUIDO; BASE: CLOROFENOL,CANFORA,ALC ETILICO 96 G, AGUA DEION.; FINALIDADE: LIMPEZA,DESINFECCAO DE CANAIS E CONTROLE INFECCAO;</t>
  </si>
  <si>
    <t>PASTA PROFILATICA USO ODONTO - TUBO C/ PASTA PROFILATICA DE TUTTI FRUTI OU MENTA; LAURIL SULFATO+CARBONATO +CALCIO+PEDRA POMES+FLUOR; POLIMENTO CORONARIO E PROFILAXIA DENTAL; 90 gr</t>
  </si>
  <si>
    <t>PERMETRINA - PRINCIPIO ATIVO: PERMETRINA; CONCENTRACAO/DOSAGEM: 50 MG/ML; FORMA FARMACEUTICA: LOCAO; APRESENTACAO: FRASCO 60ML; COMPONENTE: .;</t>
  </si>
  <si>
    <t>PEROXIDO DE HIDROGENIO - ASPECTO: LIQUIDO; FORMULA MOLECULAR: H2O2; PESO MOLECULAR: 34,02. (AGUA OXIGENADA 10V)</t>
  </si>
  <si>
    <t>PINCEL PARA USO ODONTOLOGICO - TAMANHO: 02; FINALIDADE: DENTISTICA; TIPO: PELO DE MARTA, CABO CURTO; FORMATO: FORMATO(DA PONTA ATIVA): CHATO;</t>
  </si>
  <si>
    <t>PLACA PARA MANIPULACAO USO ODONTO - MATERIA PRIMA: VIDRO; ESPESSURA: 10 MM; LARGURA: 08CM; COMPRIMENTO: 15CM</t>
  </si>
  <si>
    <t>PONTA ARKANSAS USO ODONTO - FUNCAO: POLIMENTO DE RESTAURACAO EM RESINA, IONOMERO; TIPO: SHOFU/ALTA ROTACAO; FORMATO: DE CHAMA;</t>
  </si>
  <si>
    <t>PONTA ARKANSAS USO ODONTO - FUNCAO: POLIMENTO DE RESTAURACES EM RESINA, IONOMEROS; TIPO: SHOFU/ALTA ROTACAO; FORMATO: CONICA;</t>
  </si>
  <si>
    <t>PONTA DE BORRACHA PARA PROFILAXIA BUCAL - ODONTO FORMATO: TACA; NUMERO E/OU COR: COR BRANCA;</t>
  </si>
  <si>
    <t>PONTA PARA POLIMENTO USO ODONTO - FORMATO: OGIVA; FINALIDADE: POLIMENTO E ACABAMENTO DE AMALGAMA; MATERIA PRIMA: BORRACHA ABRASIVA; NUMERO/COR: NR.8086 OU SIMILAR(C/ MESMO FORMATO/TAMANHO),VERDE; TIPO: BAIXA ROTACAO (CONTRA-ANGULO);</t>
  </si>
  <si>
    <t>PONTA SUGADOR USO ODONTO- PVC ATOXICO; PARA SALIVA; PCT C/ 40 UNIDADES DESCARTAVEL; FUNDIDAS AO TUBO C/ FIO GALVANIZADO; SEM MEMORIA DE POSICAO(FICA NA POSICAO COLOCADA); 135MM (+- 10MM);</t>
  </si>
  <si>
    <t>PORTA PAPEL-TOALHA - TIPO: DE PAREDE; APRESENTACAO DO PAPEL: TOALHA INTERFOLHA 2/3 DOBRAS; MATERIA-PRIMA: PLASTICO ABS, BRANCO;</t>
  </si>
  <si>
    <t>POTE DAPEN USO ODONTO - MATERIA PRIMA: SILICONE; APLICACAO: MANIPULACAO DE MATERIAIS ODONTOLOGICOS;</t>
  </si>
  <si>
    <t>PRILOCAINA, CLORIDRATO + ASSOCIACOES - PRINCIPIO ATIVO: PRILOCAINA, CLORIDRATO + FELIPRESSINA; CONCENTRACAO/DOSAGEM: 30 MG + 0,03 UI/ML; FORMA FARMACEUTICA: SOLUCAO INJETAVEL; APRESENTACAO: CARPULE 1,8 ML; COMPONENTE: .;</t>
  </si>
  <si>
    <t>REFORCO ESTRUTURAL EM FIBRA DE VIDRO USO ODONTO - MATERIA-PRIMA: FIBRAS DE VIDRO TRANCADAS E IMPREGNADAS; TIPO: RESINA COMPOSTA FOTOPOLIMERIZAVEL; APLICACAO: CONTENCAO PERIODONTAL E PROTESE FIXA DIRETA; MEDIDAS: 8,5 CM X 2,0MM;</t>
  </si>
  <si>
    <t>RESINA ODONTOLOGICA - PARTICULAS: MICRO HIBRIDAS; TIPO DE POLIMERIZACAO: FOTOPOLIMERIZAVEL; COR: B1; APRESENTACAO: SERINGA COM 4GR; COMPOSICAO
 QUIMICA 1: ZIRCONIA/SILICA(82%EM PESO E 60% EM VOLUME); COMPOSICAO QUIMICA 2: E/OU TRIFLUORETO YTERBIO E/OU PARTICULAS MICROGLAS; LIBERACAO DE FLUOR: COM LIBERACAO DE FLUOR</t>
  </si>
  <si>
    <t>RESINA ODONTOLOGICA - PARTICULAS: MICRO HIBRIDAS; TIPO DE POLIMERIZACAO: FOTOPOLIMERIZAVEL; COR: C1; APRESENTACAO: SERINGA COM 4 GRAMAS;
 COMPOSICAO QUIMICA 1: ZIRCONIA/SILICA(82%EM PESO E 60% EM VOLUME); COMPOSICAO QUIMICA 2: OU TRIFLUORETO DE YTERBIO/OU PARTICULAS MICROGLASS; LIBERACAO DE FLUOR: COM LIBERACAO DE FLUOR;</t>
  </si>
  <si>
    <t>RESINA ODONTOLOGICA - PARTICULAS: MICRO HIBRIDAS; TIPO DE POLIMERIZACAO: FOTOPOLIMERIZAVEL; COR: OA2; APRESENTACAO: SERINGA DE 4 GR; COMPOSICAO QUIMICA 1: ZIRCONIA/SILICA(82% EM PESO E 60% EM VOLUME); COMPOSICAO QUIMICA 2: E/OU TRIFLUORETO YTERBIO E/OU PA</t>
  </si>
  <si>
    <t>RESINA ODONTOLOGICA - PARTICULAS: MICROPARTICULAS OU MICROHIBRIDAS(FLUIDA); TIPO DE POLIMERIZACAO: FOTOPOLIMERIZAVEL; COR: A3; APRESENTACAO: SERINGA CONTENDO DE 1 A 2 G; COMPOSICAO QUIMICA 1: TRIFLUORETO DE ITERBIO OU ZIRCONIA/SILICA OU; COMPOSICAO QUIMICA 2: RESINAS DE DIMETACRILATO OU ESTER ACIDO METACILICO; LIBERACAO DE FLUOR: COM OU SEM LIBERACAO DE FLUOR;</t>
  </si>
  <si>
    <t>RESINA ODONTOLOGICA - PARTICULAS: NANOPARTICULA; TIPO DE POLIMERIZACAO: FOTOPOLIMERIZAVEL; COR: A3,5; APRESENTACAO: SERINGA COM 4 G; COMPOSICAO QUIMICA 1: ORGANICA:BIS-GMA,BIS-EMA,UDMA; COMPOSICAO QUIMICA 2: INORGANICA: ZIRCONIA/SILICA DE 5 A 20 NM; LIBERACAO DE FLUOR: COM OU SEM LIBERACAO DE FLUOR;</t>
  </si>
  <si>
    <t>RESINA ODONTOLOGICA - PARTICULAS: NANOPARTICULAS; TIPO DE POLIMERIZACAO: FOTOPOLIMERIZAVEL; COR: A1; APRESENTACAO: SERINGA COM 4 G; COMPOSICAO QUIMICA 1: ORGANICA: BIS-GMA, BIS-EMA, UDMA; COMPOSICAO QUIMICA 2: INORGANICA: ZIRCONIA/SILICA DE 5 A 20 NM; LIBERACAO DE FLUOR: COM OU SEM LIBERACAO DE FLUOR;</t>
  </si>
  <si>
    <t>RESINA ODONTOLOGICA - PARTICULAS: NANOPARTICULAS; TIPO DE POLIMERIZACAO: FOTOPOLIMERIZAVEL; COR: A2; APRESENTACAO: SERINGA COM 4 G; COMPOSICAO QUIMICA 1: ORGANICA:BIS- GMA,BIS-EMA,UDMA; COMPOSICAO QUIMICA 2: INORGANICA:ZIRCONIA/SILICA DE 5 A 20 NM; LIBERACAO DE FLUOR</t>
  </si>
  <si>
    <t>RESINA ODONTOLOGICA - PARTICULAS: NANOPARTICULAS; TIPO DE POLIMERIZACAO: FOTOPOLIMERIZAVEL; COR: A3; APRESENTACAO: SERINGA COM 4 G; COMPOSICAO
 QUIMICA 1: ORGANICA: BIS-GMA, BIS-EMA, UDMA; COMPOSICAO QUIMICA 2: INORGANICA: ZIRCONIA/SILICA DE 5 A 20 NM; LIBERACAO DE FLUOR: COM OU SEM LIBERACAO DE FLUOR;</t>
  </si>
  <si>
    <t>RESINA ODONTOLOGICA - PARTICULAS: NANOPARTICULAS; TIPO DE POLIMERIZACAO: FOTOPOLIMERIZAVEL; COR: OA3 (OPACA); APRESENTACAO: SERINGA COM 4 G; COMPOSICAO QUIMICA 1: ORGANICA:BIS-GMA,BIS-EMA,UDMA; COMPOSICAO QUIMICA 2: INORGANICA: ZIRCONIA/SILICA DE 5 A 20 NM; LIBERACAO DE FLUOR: COM OU SEM LIBERACAO DE FLUOR;</t>
  </si>
  <si>
    <t>SABONETE LIQUIDO - INDICACAO: HIGIENIZACAO DA PELE; BASE DO PRODUTO: PEROLADA; ASPECTO: VISCOSO; PH: FISIOLOGICO; COMPOSICAO: SEM AGENTE BACTERICIDA OU BACTERIOSTATICO; FRAGRANCIA: SEM FRAGRANCIA; APRESENTACAO: FRASCO 500 ML;</t>
  </si>
  <si>
    <t>SACO PARA COLETA DE RESIDUOS DE SAUDE - MATERIA-PRIMA: POLIETILENO VIRGEM DE ALTA DENSIDADE; COR: BRANCO LEITOSO; GRUPO: RESIDUOS INFECTANTES (GRUPO A); CAPACIDADE NOMINAL: 30 LITROS - 9 KG; DIMENSOES (L X A): 59 CM X 62 CM; APRESENTACAO: EMBALAGEM 100 UN;</t>
  </si>
  <si>
    <t>SAIS PARA REIDRATACAO ORAL - PRINCIPIO ATIVO: SAIS PARA REIDRATACAO ORAL; CONCENTRACAO/DOSAGEM: .; FORMA FARMACEUTICA: PO PARA SOLUCAO ORAL; APRESENTACAO: ENVELOPE; COMPONENTE: .;</t>
  </si>
  <si>
    <t>SERINGA DESCARTAVEL - MATERIA-PRIMA: PROLIPROPILENO; CAPACIDADE: 05 ML SEM AGULHA</t>
  </si>
  <si>
    <t>TESOURAS MULTIAPLICACAO - MATERIA PRIMA: ACO INOX; TAMANHO: MINIMO 16CM MAXIMO 20CM; CABO: PLASTICO OU PVC RESISTENTE; COMPLEMENTO: PONTA COM
 GUIA DE DIRECIONAMENTO DE CORTE; FINALIDADE: RESGATE;</t>
  </si>
  <si>
    <t>TIRA DE ACO ODONTO - LARGURA 4MM X COMPRIMENTO ENTRE 130MM E 170MM; ACABAMENTO E POLIMENTO RESTAURACOES DENTAIS; ACO INOXIDAVEL COM ABRASIVO DE OXIDO DE ALUMINIO; ARREDONDADO, LISO E SEM REBARBAS;</t>
  </si>
  <si>
    <t>TIRA DE LIXA USO ODONTO - MEDIDAS: COMPRIM:17MM(ENTRE15-19MM);LARG:4MM(ENTRE3,8-4,2MM; APLICACAO: ACABAMENTO,POLIMENTO RESTAURACOES EM RESINA,ETC.; GRAMATURA: MEDIA/FINA NA MESMA TIRA/CENTRO NEUTRO; COMPOSICAO: DORSO DE POLIESTER C/ABRASIVO DE OX.DE ALUMINIO</t>
  </si>
  <si>
    <t>TIRA DE POLIESTER USO ODONTO - AUXILIAR NA CONFECCAO DE RESTAURACOES DENTAIS; C.120MM(100 A 140 MM);L(9,5 A 11MM);ESP.0,05MM; cx 100 um</t>
  </si>
  <si>
    <t>TIRAS REAGENTES - TIPO: REAGENTES; FINALIDADE: PESQUISA DE GLICEMIA; ACCU CHECK ACTIVE</t>
  </si>
  <si>
    <t>TOUCA DESCARTAVEL - MATERIA-PRIMA: TNT (NAO TECIDO); TIPO: SANFONADA; GRAMATURA: MINIMA 10 G; MODELO: SANFONADA, COM ELASTICO; COR: BRANCA; APRESENTACAO: PACOTE 100 UN;</t>
  </si>
  <si>
    <t>BRUNIDOR USO ODONTO - MATERIA PRIMA: ACO INOX; APLICACAO: RESTAURACAO DE AMALGAMA; NUMERO: 29;</t>
  </si>
  <si>
    <t>VASELINA - TIPO: LIQUIDA; ASPECTO: TRANSPARENTE</t>
  </si>
  <si>
    <t>VASELINA - TIPO: SOLIDA; ASPECTO: BRANCO GELATINOSA;</t>
  </si>
  <si>
    <t>VERNIZ USO ODONTO - COMPONENTES: RESINA STABILTE E DIMETILCETONA; APLICACAO: FORRADOR DE CAVIDADES PARA SILICATOS, RESINAS,ETC; APRESENTACAO: FRASCO DE 10ML (+ /- 10%);</t>
  </si>
  <si>
    <t>ABRIDOR DE BOCA AUTOCLAVAVEL MATERIA-PRIMA: SILICONE ATOXICO; TAMANHO: ADULTO (G);</t>
  </si>
  <si>
    <t>ABRIDOR DE BOCA AUTOCLAVAVEL MATERIA-PRIMA: SILICONE ATOXICO; TAMANHO: INFANTIL (P);</t>
  </si>
  <si>
    <t>AFASTADOR CIRURGICO USO ODONTO - MATERIA PRIMA: ACO INOX; TIPO: MINESOTA COM ASPIRADOR; MEDIDA: PADRAO;</t>
  </si>
  <si>
    <t>ALAVANCA USO ODONTO - MATERIA PRIMA: ACO INOX; TIPO: APICAL COM PONTA AGUDA; NUMERO: 301; LADO: RETA.; FINALIDADE: RAIZES INFERIORES E SUPERIORES;</t>
  </si>
  <si>
    <t>ALAVANCA USO ODONTO - MATERIA PRIMA: ACO INOX; TIPO: APICAL COM PONTA AGUDA; NUMERO: 302; LADO: .; FINALIDADE: RAIZES INFERIORES E SUPERIORES;</t>
  </si>
  <si>
    <t>ALAVANCA USO ODONTO - MATERIA PRIMA: ACO INOX; TIPO: SELDIN; NUMERO: 4L; LADO: ESQUERDO; FINALIDADE: RAIZES INFERIORES E SUPERIORES;</t>
  </si>
  <si>
    <t>ALAVANCA USO ODONTO - MATERIA PRIMA: ACO INOX; TIPO: SELDIN; NUMERO: 4R; LADO: DIREITA; FINALIDADE: RAIZES INFERIORES E SUPERIORES;</t>
  </si>
  <si>
    <t>ALVEOLOTOMO USO ODONTO - TIPO: PONTA CURVA; TAMANHO: 16 CM; MATERIA-PRIMA: ACO INOXIDAVEL;</t>
  </si>
  <si>
    <t>ALVEOLOTOMO USO ODONTO - TIPO-: PONTA RETA; TAMANHO: 16,5CM; MATERIA PRIMA: ACO INOX;</t>
  </si>
  <si>
    <t>APARELHO DE NEBULIZACAO - COMPRESSOR: COM POTENCIA DE 1/40 HP, TENSAO 127/220V; FLUXO DE AR: REGULAVEL;</t>
  </si>
  <si>
    <t>APARELHO FOTOPOLIMERIZADOR USO ODONTO TEMPORIZADOR: PROGRAMAVEL ENTRE 10 A 90 SEGUNDOS; PONTEIRA: DIAMETRO ENTRE 7 E 11 MM; ITENSIDADE DE LUZ: 500 A 600 MW/CM2; TENSAO: 127/220VCA 60 HZ AUTOMATICO OU POR CHAVE SELETORA;</t>
  </si>
  <si>
    <t>APARELHO PARA PROFILAXIA E ULTRA-SOM BUCAL - COMPONENTES: ULTRA-SOM,JATO DE BICARBONATO; TENSAO: 110/220 VOLTS; FREQUENCIA: 28 KHZ(+/- ATE 2KHZ); APLICACAO: PROFILAXIA,PERIODONTIA,REMOCAO DE PINOS/COROAS,ETC;</t>
  </si>
  <si>
    <t>APLICADOR PARA HIDROXIDO DE CALCIO, USO ODONTO - MATERIA PRIMA: ACO INOX; APLICACAO: APLICAR FORRADOR DE CAVIDADE; TIPO: DUPLO;</t>
  </si>
  <si>
    <t>AR CONDICIONADO SPLIT - MODELO: HIGHWALL (DE PAREDE); TECNOLOGIA: CONVENCIONAL; CICLO: FRIO; CAPACIDADE TERMICA: 18.000 BTUS/H; NUMERO DE VELOCIDADES: MINIMO 3 VELOCIDADES; MODO DE OPERACAO: REFRIGERACAO E VENTILACAO; FUNCAO ESPECIAL: TEMPORIZADOR + TIMER + SWING; FILTRAGEM DE AR: FILTRO ANTIBACTERIAS, FUNGOS E ACAROS; VOLTAGEM/FREQUENCIA: 220V/60HZ; CLASSIFICACAO ENERGETICA: CLASSE A; FLUIDO REFRIGERANTE: GAS ECOLOGICO R-410A; CONTROLE REMOTO: SEM FIO COM DISPLAY DE AJUSTE DE TEMPERATURA; CONTEUDO EXTRA: MANUAL EM PORTUGUES; INSTALACAO: NAO INCLUSA;</t>
  </si>
  <si>
    <t>ARMARIO PARA ESCRITORIO - TIPO: ALTO; MATERIA-PRIMA: ACO, PINTADO EM EPOXI; PRATELEIRAS/SUPORTE: 04 PRATELEIRAS INTERNAS REGULAVEIS; GAVETAS: SEM GAVETAS; PORTAS: 02 PORTAS DE ABRIR; ESTRUTURA/BASE: ESTRUTURA EM ACO, PINTADA EM EPOXI; DIMENSOES: 90CM LARGURA X 45CM PROFUNDIDADE X 198CM ALTURA;</t>
  </si>
  <si>
    <t>ARMARIO VITRINE USO MEDICO HOSPITALAR - MATERIA-PRIMA: ARMACAO EM
 PERFILADO DE ACO; TIPO: 01 PORTA E 03 PRATELEIRAS; DIMENSOES: 150CM
 COMPRIMENTO X 50CM LARGURA X 40CM PROFUND.;</t>
  </si>
  <si>
    <t>ARQUIVO PARA ESCRITORIO - TIPO: VERTICAL; FINALIDADE: ARQUIVO DE PASTAS SUSPENSAS TAMAMNHO OFICIO; GAVETAS: 04 GAVETAS; MATERIA-PRIMA: ACO CHAPA 22;
 DIMENSOES: 133CM(ALT.) X 47CM(LARG.) X 71CM(PROF.);</t>
  </si>
  <si>
    <t>AUTOCLAVE - TIPO: HORIZONTAL DE BANCADA; CAPACIDADE: 18 A 21 LITROS; TEMPERATURA: 121ºC; ALIMENTACAO: 127 E OU 220 VAC - 60HZ; APLICACAO: ESTERILIZACAO POR VAPOR SATURADO</t>
  </si>
  <si>
    <t>BALANÇA ANTROPOMÉTRICA (BASE EM FERRO FUNDIDO; PLATAFORMA EM CHAPA DE AÇO REFORÇADO, COM TAPETE DE BORRACHA ANTI-DERRAPANTE; COLUNA EM TUBO DE AÇO; RÉGUA ANTROPOMÉTRICA DE NO MÍNIMO 190CM DE ALTURA, COM GRADUAÇÃO DE 5 EM 5CM, CONFECCIONADA EM ALUMÍNIO ANODIZADO, EMBUTIDA NA COLUNA; ESCALA DE PESAGEM SOBRE 2 BRAÇOS, EM AÇO INOX; PESO ROSQUEADO PARA REGULAGEM DA BALANÇA; NA COR BRANCA COM PINTURA COM TRATAMENTO ANTI-FERROGINOSO.)</t>
  </si>
  <si>
    <t>CADEIRA ODONTOLÓGICA (CONSULTÓRIO ODONTOLÓGICO COMPLETO REGULAGEM: AUTOMÁTICA; ACIONAMENTO DA CADEIRA: ATRAVÉS DE MOTORES REDUTORES ELÉTRICOS; REVESTIMENTO: CADEIRA REVESTIDA EM MATERIAL RESISTENTE, LISO,LAVÁVEL E SEM COSTURA; COMPONENTES (1): EQUIPO ACOPLADO À CADEIRA COM QUATRO TERMINAIS; COMPONENTES (2): UNIDADE AUXILIAR(CUSPIDEIRA) COM DOIS SUGADORES; COMPONENTES (3): REFLETOR ODONTOLÓGICO; COMPONENTES (4): MOCHO)</t>
  </si>
  <si>
    <t>CADEIRA PARA ESCRITÓRIO - FINALIDADE: PARA ATENDIMENTO; TIPO: FIXA; ESPALDAR: MÉDIO; APOIA-BRACOS: SEM APOIA BRACOS; ASSENTO/ENCOSTO: REVESTIDOS EM TECIDO RESISTENTE NA COR PRETA; ESTRUTURA: TUBOS DE AÇO DE SEÇÃO REDONDA 3/4; PES: 4 PÉS SAPATAS ARTICULADAS AJUSTÁVEIS; CONTRA-ASSENTO: REVESTIDA EM COURVIN OU VINIL NA COR PRETA; CONTRA-ENCOSTO: REVESTIDA EM COURVIN OU VINIL NA COR PRETA; REGULAGEM: SEM REGULAGEM;</t>
  </si>
  <si>
    <t>COLETOR/CONTENTOR DE LIXO - TIPO: CONTENEDOR COLETA DE RESIDUOS HOSPITALARES; RODAS: 02 RODAS EM BORRACHA MACICA; CAPACIDADE: 120 LITROS; MATERIAL: POLIETILENO DE ALTA DENSIDADE; FORMATO: RETANGULAR; COR: BRANCO, COM SIMBOLOGIA PARA RESIDUO INFECTANTE; TAMPA: TAMPA BASCULA; PEDAL: PEDAL PARA ABERTURA DA TAMPA; ALCA: ALCA POSTERIOR PARA EMPURRAR; LIXO INFECTANTE</t>
  </si>
  <si>
    <t>COMPUTADOR - PADRÃO SEJUSP (DESCRIÇÃO ORIENTADA PELA DMP)</t>
  </si>
  <si>
    <t>ESCADA PARA USO MEDICO-HOSPITALAR - MATERIA-PRIMA: ACO INOX; NUMERO DE DEGRAUS: 02 DEGRAUS, REVESTIDOS EM BORRACHA ANTIDERRAPANTE;</t>
  </si>
  <si>
    <t>ESCAVADOR USO ODONTO - MATERIA-PRIMA: ACO INOXIDAVEL; NUMERO: 20; MODELO: DUPLO;</t>
  </si>
  <si>
    <t>BRUNIDOR USO ODONTO - MATERIA PRIMA: ACO INOX; APLICACAO: RESTAURACAO DE AMALGAMA; NUMERO: 33;</t>
  </si>
  <si>
    <t>CABO INOX PARA BISTURI - TIPO BISTURI: MANUAL; NUMERO: NUMERO 03;</t>
  </si>
  <si>
    <t>CABO PARA ESPELHO USO ODONTO - MATERIA PRIMA: ACO INOX; NUMERO: 25;</t>
  </si>
  <si>
    <t>ESFIGMOMANOMETRO - TIPO: ADULTO; MANOMETRO: ANEROIDE COM VISOR GRADUADO DE 0 A 300 MM/HG;
 BRACADEIRA: EM TECIDO RESISTENTE DE ALGODAO; FECHAMENTO: VELCRO OU METAL; MANGUITO/BULBO:
 MANGUITO, PERA E TUBOS CONECTORES EM BORRACHA; VALVULA: DE METAL;</t>
  </si>
  <si>
    <t>ESPATULA ODONTOLOGICA TIPO: SIMPLES; NUMERO: 24F; PONTA: ACO INOXIDAVEL AUTOCLAVAVEL; CORPO: ACO INOXIDAVEL AUTOCLAVAVEL;</t>
  </si>
  <si>
    <t>ESPATULA ODONTOLOGICA TIPO: SIMPLES; NUMERO: 36; PONTA: ACO INOXIDAVEL AUTOCLAVAVEL; CORPO: ACO INOXIDAVEL AUTOCLAVAVEL;</t>
  </si>
  <si>
    <t>ESPELHO CLINICO BUCAL - MATERIA PRIMA: ACO INOX; TIPO: PLANO NR 05; ESTERELIZACAO: AUTOCLAVE</t>
  </si>
  <si>
    <t>ESTETOSCOPIO - TIPO: ADULTO/PEDIATRICO; AURICULAS: CONJUNTO BI-AURICULAR EM ACO INOXIDAVEL; OLIVAS: ANATOMICAS EM SILICONE; AUSCULTADOR: DUPLO EM ACO INOXIDAVEL; TUBO: CURVATURA DO TUBO Y EM PVC;</t>
  </si>
  <si>
    <t>CADEIRA DE RODAS - MODELO: HOSPITALAR; TIPO: DOBRAVEL; ESTRUTURA: TUBO DE ACO CROMADO COM TRATAMENTO ANTIFERRUGINOSO; CAPACIDADE: ADULTO ATE 120 KILOS; ASSENTO/ENCOSTO: REVESTIDOS EM COURVIM REFORCADO NA COR PRETA;</t>
  </si>
  <si>
    <t>CADEIRA PARA BANHO - MATERIA-PRIMA: TUBO DE ACO INOX COM DIAMETRO APROXIMADO DE 2/4POL; TIPO: COM ENCOSTO E ASSENTO VASADO EM CHAPA DE ACO INOX; APOIA-BRACOS: COM SUPORTE PARA ANTEBRACOS; CAPACIDADE: USUARIOS ATE 90KG;</t>
  </si>
  <si>
    <t>CARRINHO HOSPITALAR</t>
  </si>
  <si>
    <t>FORCEPS USO ODONTOLOGICO - TIPO: ADULTO; MATERIA PRIMA: ACO INOX; NUMERO: 17; FINALIDADE: ;</t>
  </si>
  <si>
    <t>COLCHAO DE USO HOSPITALAR - MATERIA-PRIMA: ESPUMA, DENSIDADE D-33; REVESTIMENTO: EM NAPA IMPERMEAVEL; MEDIDAS: 1,90M X 85CM E 15CM DE ALTURA; PARA CAMA</t>
  </si>
  <si>
    <t>FORCEPS USO ODONTOLOGICO - TIPO: ADULTO; MATERIA PRIMA: ACO INOX; NUMERO: 101; FINALIDADE: ;</t>
  </si>
  <si>
    <t>FORCEPS USO ODONTOLOGICO - TIPO: ADULTO; MATERIA PRIMA: ACO INOX; NUMERO: 69; FINALIDADE: RAIZES RESIDUAIS DE INCISIVOS,CANINOS, PRE MOLARES;</t>
  </si>
  <si>
    <t>FRIGOBAR (FRIGOBAR - VOLUME REFRIGERAÇÃO: 80 LITROS; TENSÃO: 127/220 VOLTS, SELO PROCEL A)</t>
  </si>
  <si>
    <t>GLICOSIMETRO - FINALIDADE: MEDIR A GLICEMIA SANGUINEA - ACCU CHECK; TENSAO: PILHA CR2032 - 3V</t>
  </si>
  <si>
    <t>INCUBADORA USO ODONTO- ESTERILIZACAO: ESTERELIZACAO A VAPOR; LEITURA: 24 OU 48 HORAS; INDICADOR: CAPACIDADE MINIMA 4 ATE 18 INDICADORES BIOLOGICO; AQUECIMENTO: ATE 60º GRAUS CENTIGRADOS; VOLTAGEM: AUTOMATICA</t>
  </si>
  <si>
    <t>KIT ACADEMICO USO ODONTO - COMPONENTES (1): CANETA DE ALTA ROTACAO; COMPONENTES (2): PONTA RETA; COMPONENTE (3): MICROMOTOR; COMPONENTE (4): CONTRA ANGULO;</t>
  </si>
  <si>
    <t>CUBA USO MEDICO HOSPITALAR - MATERIA-PRIMA: ACO INOX; TIPO: REDONDA; MEDIDA: 10CM;</t>
  </si>
  <si>
    <t>LIXEIRA PARA USO HOSPITALAR - MATERIA-PRIMA: POLIPROPILENO; CAPACIDADE: 20 LITROS; ACESSORIO: TAMPA, PEDAL E HASTE; COR: BRANCA;</t>
  </si>
  <si>
    <t>MAQUINA DE CORTAR CABELO (MÁQUINA DE CORTAR CABELO: PROFISSIONAL; LÂMINA:MATERIAL: AÇO INOX CROMADO. PENTES: MÍNIMO DE 04; REMOVÍVEIS E DE ALTURAS DIFERENTES COM REGULAGEM. DE COMPRIMENTO DO CORTE;COM PARAFUSO DE REGULAGEM;VOLTAGEM: 110 VOLTS; POTÊNCIA APROXIMADA:10 WATTS; 60HERTZ; COM CABO ELÉTRICO 2X0,75MM²300/300V; COM DISPLAY NO CABO PARA EVITAR AQUECIMENTO;ALIMENTAÇÃO:ENERGIA ELÉTRICA; ITENS ADICIONAIS: ÓLEO DE LUBRIFICAÇÃO; PENTE DE LIMPEZA E MANUAL DE INSTRUÇÕES;PRODUTO COM SELO DO INMETRO.)</t>
  </si>
  <si>
    <t>MESA PARA ESCRITÓRIO (MESA PARA ESCRITÓRIO - FINALIDADE: PARA FUNCIONÁRIO; ESTRUTURA: AÇO, PINTADA EM EPOXI; TAMPO: MADEIRA AGLOMERADA REVESTIDA EM MELAMINICO; TAMPA: SEM TAMPA; GAVETEIRO/GAVETAS: 01 GAVETEIRO DE 03 GAVETAS; DIMENSÕES: 140CM LARGURA X 70CM PROFUNDIDADE X 74CM ALTURA;)</t>
  </si>
  <si>
    <t>MESA PARA EXAMES CLINICOS - USO: ADULTO; ESTRUTURA: TUBULAR EM ACO INOX; LEITO: EM CHAPA DE ACO INOX; CABECEIRA: REGULAVEL EM ATE 04 POSICOES; ARMARIO: SEM ARMARIO; PES: COM PONTEIRAS EM PVC;</t>
  </si>
  <si>
    <t>MOLDEIRA USO ODONTOLOGICO - FINALIDADE: MOLDAR PROTESES ODONTOLOGICAS/KIT COM 08 UNIDADES; MATERIA PRIMA: ACO INOX; TAMANHO: SUPERIOR E INFERIOR; TIPO: LISA TOTAL/DENTADA; APLICACAO: ADULTO;</t>
  </si>
  <si>
    <t>OTOSCOPIO - TIPO: CORPO EM METAL CROMADO E CABO EM ACO INOX; ALIMENTACAO: PILHAS MEDIAS; COMPONENTES (1): CABECOTE PARA ESPECULOS; COMPONENTES (2): LAMPADA REGULADORA DE ALTA E BAIXA LUMINOSIDADE; COMPONENTES (3): ENCAIXE PARA VISOR SOBRESSALENTE; COMPONENTES (4): VISOR ARTICULADO AO CABECOTE MOVEL; COMPONENTES (5): 05 ESPECULOS ANTI-RFELEXOS C/ENCAIXE METAL CROMADO;</t>
  </si>
  <si>
    <t>PINCA HEMOSTATICA - MATERIA PRIMA: ACO INOX; FORMATO PONTA: curva; TIPO: HALSTED-MOSQUITO; MEDIDAS: 12CM;</t>
  </si>
  <si>
    <t>PINCA HEMOSTÁTICA MATERIA PRIMA AÇO INOX FORMATO PONTA RETA TIPO HALSTED MOSQUITO MEDIDAS 12 CM</t>
  </si>
  <si>
    <t>PINCA USO ODONTOLOGICO TIPO: CLINICA UNIVERSAL 317 C; TAMANHO: 16 CM; MATERIA-PRIMA: ACO INOXIDAVEL AUTOCLAVAVEL;</t>
  </si>
  <si>
    <t>PINCA ODONTO - MATERIAL: ACO INOX; TIPO: ANATOMICA/DISSECCAO; NUMERO: ;</t>
  </si>
  <si>
    <t>PINCA ODONTO - MATERIAL: ACO INOX; TIPO: DENTE DE RATO/PONTA RETA; NUMERO: 16 CM;</t>
  </si>
  <si>
    <t>PINCA USO ODONTOLOGICO TIPO: PORTA AGULHA MAYO HEGAR; TAMANHO: 14 CM; MATERIA-PRIMA: ACO INOXIDAVEL AUTOCLAVAVEL;</t>
  </si>
  <si>
    <t>PORTA-BROCA USO ODONTO - MATERIA PRIMA: PLASTICO; MEDIDAS/CAPACIDADE: 36 FUROS; TIPO: MISTA;</t>
  </si>
  <si>
    <t>PORTA MATRIZ MATERIA-PRIMA: ACO INOXIDAVEL AUTOCLAVAVEL; MODELO: ADULTO;</t>
  </si>
  <si>
    <t>SERINGA CARPULE MODELO: PARA ANESTESIA; MATERIA-PRIMA: ACO INOXIDAVEL AUTOCLAVAVEL;</t>
  </si>
  <si>
    <t>SINDESMOTOMO USO ODONTO - MATERIA PRIMA: ACO INOX; FINALIDADE: CIRURGIA ODONTOLOGICA; NUMERO: 02;</t>
  </si>
  <si>
    <t>SINDESMOTOMO USO ODONTO - MATERIA PRIMA: ACO INOX; FINALIDADE: CIRURGICA ODONTOLOGICA; NUMERO: 01;</t>
  </si>
  <si>
    <t>SONDA EXPLORADORA, USO ODONTO - MATERIA PRIMA: ACO INOX; NUMERO: 05; TIPO: DUPLA;</t>
  </si>
  <si>
    <t>SUPORTE PARA COLETOR MATERIAL PERFUROCORTANTE - MATERIA-PRIMA: EM ARAME NA MEDIDA PADRAO DO COLETOR; APLICACAO: COLETOR COM CAPACIDADE DE 13 LITROS; BASE: BASE PARA FIXACAO NA PAREDE; COR: CROMADO;</t>
  </si>
  <si>
    <t>TERMOMETRO USO CLINICO - MATERIA-PRIMA: PLASTICO INQUEBRAVEL; TIPO: DIGITAL, MOSTRADOR DE
 CRISTAL LIQUIDO; GRADUACAO: 0,1 GRAUS CENTIGRADOS;</t>
  </si>
  <si>
    <t>TESOURA CIRURGICA - MATERIA-PRIMA: ACO INOX; TIPO: IRIS; PONTA: PONTA RETA; MEDIDA: 11,5 cm</t>
  </si>
  <si>
    <t>TESOURA INSTRUMENTAL MODELO: MAYO STILLE; PONTA: RETA; TAMANHO: 15 CM; MATERIA-PRIMA: ACO INOXIDAVEL AUTOCLAVAVEL;</t>
  </si>
  <si>
    <t>TESOURA INSTRUMENTAL MODELO: IRIS; PONTA: CURVA; TAMANHO: 12 CM; MATERIA-PRIMA: ACO INOXIDAVEL AUTOCLAVAVEL;</t>
  </si>
  <si>
    <t>TESOURA INSTRUMENTAL MODELO: IRIS; PONTA: RETA; TAMANHO: 12 CM; MATERIA-PRIMA: ACO INOXIDAVEL AUTOCLAVAVEL;</t>
  </si>
  <si>
    <t>TESOURA PARA RETIRADA DE PONTOS - MATERIA PRIMA: ACO INOX; TAMANHO: 11CM; TIPO: SPENCER, RETA;</t>
  </si>
  <si>
    <t>OXIMETRO - MODELO: DEDO; ADULTO E PEDIATRICO; ALIMENTACAO: PILHAS DE USO COMUM;</t>
  </si>
  <si>
    <t>BRACADEIRA PARA COLETA DE SANGUE - MATERIA PRIMA: ACO INOX POLIDO; TIPO: COM REGULAGEM DE ALTURA</t>
  </si>
  <si>
    <t>CUBA USO MEDICO HOSPITALAR - MATERIA-PRIMA: ACO INOX; TIPO: RETANGULAR; MEDIDA: 42 X 30 X 05CM;</t>
  </si>
  <si>
    <t>CUBA USO MEDICO HOSPITALAR - MATERIA-PRIMA: ACO INOX; TIPO: RIM; MEDIDA: 26 X 12CM</t>
  </si>
  <si>
    <t>CURETA USO ODONTO - MATERIA PRIMA: ACO INOX; TIPO: GRACEY; NUMERO: G1/G2; FINALIDADE: ;</t>
  </si>
  <si>
    <t>CURETA USO ODONTO - MATERIA PRIMA: ACO INOX; TIPO: GRACEY; NUMERO: G11/G12; FINALIDADE: MESIAL DE DENTES POSTERIORES;</t>
  </si>
  <si>
    <t>CURETA USO ODONTO - MATERIA PRIMA: ACO INOX; TIPO: GRACEY; NUMERO: G13/G14; FINALIDADE: DISTAL DE DENTES POSTERIORES;</t>
  </si>
  <si>
    <t>CURETA USO ODONTO - MATERIA PRIMA: ACO INOX; TIPO: GRACEY; NUMERO: G5/G6; FINALIDADE: DENTES ANTERIORES E PRE MOLARES;</t>
  </si>
  <si>
    <t>CURETA USO ODONTO - MATERIA PRIMA: ACO INOX; TIPO: GRACEY; NUMERO: G7/G8; FINALIDADE: VESTIBULAR E LINGUAL DE DENTES POSTERIORES;</t>
  </si>
  <si>
    <t>CURETA USO ODONTO - MATERIA PRIMA: ACO INOX; TIPO: GRACEY; NUMERO: G9/G10; FINALIDADE: ;</t>
  </si>
  <si>
    <t>CURETA USO ODONTO - MATERIA PRIMA: ACO INOX; TIPO: LUCAS; NUMERO: 85; FINALIDADE: CURETAGEM DO ALVEOLO;</t>
  </si>
  <si>
    <t>CURETA USO ODONTO - MATERIA PRIMA: ACO INOX; TIPO: MCCALL; NUMERO: 13/14; FINALIDADE: REMOVER DEPOSITOS SUPRA/SUBGENGIVAL, ALISAR, ETC.;</t>
  </si>
  <si>
    <t>COMPRESSOR DE AR PARA CONSULTORIO USO ODONTO - POTENCIA DO MOTOR: 2 HP; PRESSAO MAXIMA: 120 LIBRAS; CAPACIDADE RESERVATORIO: 50 LITROS; REVESTIMENTO INTERNO: 110/220 VOLTS; SISTEMA DE LUBRIFICACAO: DOS PISTOES POR COMPONENTES AUTOLUBRIFICANTES; TENSAO: BIVOLT; NIVEL DE RUIDO: ENTRE 56 A 65 DB</t>
  </si>
  <si>
    <t>DESTILADOR DE AGUA - APLICACAO: DESTILAR AGUA PARA USO EM AUTOCLAVE; REVESTIMENTO EXTERNO: MATERIAL TERMOPLASTICO; CAPACIDADE: 1 LITRO POR HORA, APROXIMADAMENTE; TENSAO: 127 VOLTS;</t>
  </si>
  <si>
    <t>MÁQUINA DE LAVAR ROUPAS - MÁQUINA DE LAVAR ROUPAS, TIPO DOMÉSTICO - CAPACIDADE: 15 QUILOS; TENSÃO 127 VOLTS;</t>
  </si>
  <si>
    <t>MOCHO USO ODONTO - ESTRUTURA: ACO INOXIDAVEL; TIPO ASSENTO: GIRATORIO; REVESTIMENTO: PVC TEXTURIZADO SIMILAR AO COURO NATURAL; REGULAGEM: A GAS;</t>
  </si>
  <si>
    <t>NÚMERO DE DIÁRIAS PARA ATENDER SERVIDOR EM CURSO DE CAPACITAÇÃO (3) X NUMERO DE SERVIDORES FAVORECIDOS (2) X NÚMERO DE MUNICÍPIOS QUE POSSUEM UNIDADES SOCIOEDUCATIVAS(8)</t>
  </si>
  <si>
    <t>Viagem de servidores da DFP para as unidades socioeducativas de gestão direta, assim como visita dos profissionais dessas instituições a Belo Horizonte.</t>
  </si>
  <si>
    <t>Kit de Material de Escritório - Diversos</t>
  </si>
  <si>
    <t>Transporte dos adolescentes</t>
  </si>
  <si>
    <t>Kit de Material Escolar</t>
  </si>
  <si>
    <t>Viagem de servidores das unidades socioeducativas de gestão direta para Seminário do Eixo Esporte, Cultura e Lazer</t>
  </si>
  <si>
    <t>Artigos de Esportivos, materias para oficinas e ensino- Diversos</t>
  </si>
  <si>
    <t>Diárias de viagem para monitoramento das unidades socioeducativas de Minas Gerais. Conforme Decreto de Competências nº48.659 de 28/07/2023, a DOS tem como competência planejar, coordenar, orientar e fiscalizar a execução da metodologia de atendimento socioeducativo das medidas socioeducativas de intenação, internação-sanção, internação provisória e semiliberdade.</t>
  </si>
  <si>
    <t>FORNECIMENTO DE COMBUSTÍVEL - SAÚDE - Necessidade de transferências de presos, adolecestes acautelados, atividades de saúde e rotinas administrativas</t>
  </si>
  <si>
    <t>Passagens rodoviárias intermunicipais e interestaduais para famílias realizarem visitas aos adolescentes em Unidades Socioeducativas de gestão direta. Garantir ao menos uma visita mensal.</t>
  </si>
  <si>
    <t>Número de diárias para servidor em curso de capacitação (5)Número de servidores favorecidos (10)</t>
  </si>
  <si>
    <t>Diárias de viagem para monitoramento das unidades socioeducativas de Minas Gerais e seus Núcleos Locais de Práticas Restaurativas.</t>
  </si>
  <si>
    <t>LUMINARIA DE EMERGENCIA - MATERIA PRIMA: PLASTICO, POLIPROPILENO NA COR BRANCA; NUMERO DE LAMPADAS: UMA LAMPADA, POTENCIA APROX. 26W; ALIMENTACAO: BATERIA 12V; TENSAO: 127V; FUNCAO: SUPRIR ILUMINACAO EM QUEDA DE ENERGIA; AUTONOMIA: APROX. 6 HORAS;</t>
  </si>
  <si>
    <t>Lanterna portátil</t>
  </si>
  <si>
    <t>Detector de metais (prevenção)</t>
  </si>
  <si>
    <t>Cadeado - 50mm - Com tetra (isolamento)</t>
  </si>
  <si>
    <t>BATERIA MOTOROLA DE APX 900</t>
  </si>
  <si>
    <t>RADIO TRANSCEPTOR</t>
  </si>
  <si>
    <t>ALGEMAS BRASIL / Em Aço carbono - CÓDIGO 10200487</t>
  </si>
  <si>
    <t>COLETE BALISTICO PARA USO POLICIAL - CÓDIGO 10200045</t>
  </si>
  <si>
    <t>Tesoura de cortar cadeado corrente (prevenção)</t>
  </si>
  <si>
    <t>ESCUDO ANTITUMULTO PARA USO POLICIAL MATERIA PRIMA: POLICARBONATO TRANSPARENTE; FINALIDADE: PROTECAO CONTRA PROJETEIS NAO BALISTICOS; PROTECAO CONTRA PROJETEIS NAO BALISTICOS</t>
  </si>
  <si>
    <t>Espargirdor de Agente - Spray de Pimenta (OC) Irritante de Olhos , Peles, Mucosas; Mínimo de 5 metros; 450 + /- 10 gramas; Manual por pressao do atuador e Jato de spray; trava de segurança, que evite acionamento acidental; sem sistema de rastreamento; cilindirco; conforme fabricante; coldre coruo, preta, encaixe para cinturão; controle de disturbios e combate a criminilidade;</t>
  </si>
  <si>
    <t>Espargidor de Agente Pimenta - Capsaicina; Conforme fabricante; 125 gramas e peso total 175 gramas; Atuador de pressão; Tampa protetora do acionador; Com sistema de rastreamento por Chip; Cilindrico; 45MM (diametro) x 150MM (comprimento); Solução de espuma pimenta; Controle de disturbios e combate a criminalidade;</t>
  </si>
  <si>
    <t>Espargedores Maxxi uso coletivo PSI Pró Névoa 450g NC-308 - 30 Unidades.</t>
  </si>
  <si>
    <t>Espargedores Mega uso coletivo PSI Pró Névoa NC-309 - 70 gramas - 15 Unidades.</t>
  </si>
  <si>
    <t>FORNECIMENTO DE COMBUSTÍVEL - SUPOD - Necessidade de transferências de presos, adolecestes acautelados, atividades de saúde e rotinas administrativas</t>
  </si>
  <si>
    <t>Diárias para servidores das unidades do interior – ações presenciais de capacitação nos 5 eixos de acompanhamento das medidas socioeducativas e etapa de diagnóstico do Plano Decenal 2027–2037.</t>
  </si>
  <si>
    <t>MANUTEÇÃO GERADOR DAS SEDES INTEGRADAS</t>
  </si>
  <si>
    <t>Despesa anteriormente existente na ação 4414</t>
  </si>
  <si>
    <t>CFTVs para 6 Unidades  25%</t>
  </si>
  <si>
    <t xml:space="preserve">Aquisição CFTV - (NIVEL 1) Item 121134  Presídio Antônio Dutra Ladeira </t>
  </si>
  <si>
    <t xml:space="preserve"> MANUTENÇÃO DE EQUIPAMENTOS ODONTOLÓGICOS  - SUASE</t>
  </si>
  <si>
    <t>Aquisição CFTV - Ceresp Gameleira</t>
  </si>
  <si>
    <t xml:space="preserve">CAMINHÃO PIPA PARA ABASTECIMENTO DA PENITENCIÁRIA DE UNAÍ I </t>
  </si>
  <si>
    <t>CAMINHÃO PIPA PARA ABASTECIMENTO DA PENITENCIÁRIA DOUTOR MANOEL MARTINS LISBOA JUNIOR</t>
  </si>
  <si>
    <t>CAMINHÃO PIPA PARA ABASTECIMENTO DA PENITENCIÁRIA FRANCISCO FLORIANO DE PAULA</t>
  </si>
  <si>
    <t>CAMINHÃO PIPA PARA ABASTECIMENTO DO PRESÍDIO DE CARATINGA I</t>
  </si>
  <si>
    <t>CAMINHÃO PIPA PARA ABASTECIMENTO DO PRESÍDIO DE TEÓFILO OTONI</t>
  </si>
  <si>
    <t>COLETA DE RESÍDUO COMUM NAS UNIDADES PRISIONAIS DE BELO HORIZONTE.</t>
  </si>
  <si>
    <t>COLETA DE RESÍDUO COMUM NAS UNIDADES SOCIOEDUCATIVAS DE BELO HORIZONTE.</t>
  </si>
  <si>
    <t>COLETA DE RESÍDUO CUMUM EM MURIAÉ</t>
  </si>
  <si>
    <t>Aquisição CFTV - Complexo penitenciário Estevão Pinto/ PIEP</t>
  </si>
  <si>
    <t>COLETA RESÍDUO HOSPITALAR
SUASE</t>
  </si>
  <si>
    <t>COLETA RESÍDUO HOSPITALAR DEPEN</t>
  </si>
  <si>
    <t xml:space="preserve"> Locação de equpamento de Bodyscan -DEPEN </t>
  </si>
  <si>
    <t>Confecção de placas</t>
  </si>
  <si>
    <t xml:space="preserve">Confecção de placas </t>
  </si>
  <si>
    <t>CONTRATO DE ALUGUEL DA 12 RISP</t>
  </si>
  <si>
    <t>CONTRATO DE LOCAÇÃO DE IMÓVEL DESTINADO AO CENTRO DE REFERÊNCIA À GESTANTE PRIVADA DE LIBERDADE</t>
  </si>
  <si>
    <t>CONTRATO DE LOCAÇÃO DE IMÓVEL PARA A CENTRAL DE FLAGRANTES DE MINAS GERAIS</t>
  </si>
  <si>
    <t>DEDETIZAÇÃO - UNIDADES DO DEPEN</t>
  </si>
  <si>
    <t>DEDETIZAÇÃO - UNIDADES DO DEPEN (SAÚDE)</t>
  </si>
  <si>
    <t>DEDETIZAÇÃO - UNIDADES SUASE</t>
  </si>
  <si>
    <t>DEDETIZAÇÃO - UNIDADES DA SUINT</t>
  </si>
  <si>
    <t>FORNECIMENTO DE ÁGUA
SEDES INTEGRADAS</t>
  </si>
  <si>
    <t>FORNECIMENTO DE ÁGUA
UNIDADES DA SUASE</t>
  </si>
  <si>
    <t>FORNECIMENTO DE ÁGUA
UNIDADES DO DEPEN</t>
  </si>
  <si>
    <t>FORNECIMENTO DE ÁGUA
UNIDADES DO DEPEN (SAÚDE)</t>
  </si>
  <si>
    <t>FORNECIMENTO DE BILHETE SOCIAL</t>
  </si>
  <si>
    <t>FORNECIMENTO DE ENERGIA ELÉTRICA
DAS SEDES INTEGRADAS</t>
  </si>
  <si>
    <t xml:space="preserve">FORNECIMENTO DE ENERGIA ELÉTRICA
UNIDADES DA SEJUSP </t>
  </si>
  <si>
    <t>FORNECIMENTO DE ENERGIA ELÉTRICA
UNIDADES DA SUASE</t>
  </si>
  <si>
    <t>FORNECIMENTO DE ENERGIA ELÉTRICA
UNIDADES DO DEPEN</t>
  </si>
  <si>
    <t>FORNECIMENTO DE ENERGIA ELÉTRICA
UNIDADES DO DEPEN (SAÚDE)</t>
  </si>
  <si>
    <t>FORNECIMENTO DE MÉDIA TENSAO/ENERGIA ELÉTRICA
DEPEN</t>
  </si>
  <si>
    <t>FORNECIMENTO DE MÉDIA TENSAO/ENERGIA ELÉTRICA
DEPEN SAUDE</t>
  </si>
  <si>
    <t>FORNECIMENTO DE MÉDIA TENSAO/ENERGIA ELÉTRICA
SUASE</t>
  </si>
  <si>
    <t>FORNECIMENTO DE MÉDIA TENSAO/ENERGIA ELÉTRICA
SUINT</t>
  </si>
  <si>
    <t>HIGIENIZAÇÃO DE CAIXAS D'ÁGUA
DEPEN</t>
  </si>
  <si>
    <t>HIGIENIZAÇÃO DE CAIXAS D'ÁGUA
SUASE</t>
  </si>
  <si>
    <t xml:space="preserve"> Locação de equpamento de esteira de raio x - DEPEN </t>
  </si>
  <si>
    <t>IPTU UNIDADAES DE ATENDIMENTO A SAÚDE DEPEN</t>
  </si>
  <si>
    <t>IPTU UNIDADAES DE ATENDIMENTO A SUASE</t>
  </si>
  <si>
    <t>IPTU UNIDADAES DO DEPEN</t>
  </si>
  <si>
    <t xml:space="preserve">Detector de Metal Bastão </t>
  </si>
  <si>
    <t xml:space="preserve">Detector de Metal Tipo Pórtico </t>
  </si>
  <si>
    <t xml:space="preserve">Detector de Metal Tipo Banqueta </t>
  </si>
  <si>
    <t>MANUTENÇÃO DE EQUIPAMENTOS DE GERADOR DE ENERGIA - DEPEN</t>
  </si>
  <si>
    <t>MANUTENÇÃO DE EQUIPAMENTOS DE GERADOR DE ENERGIA - SUASE</t>
  </si>
  <si>
    <t>MANUTENÇÃO DE EQUIPAMENTOS DE LAVANDERIA - SUASE</t>
  </si>
  <si>
    <t>MANUTENÇÃO DE EQUIPAMENTOS ODONTOLOGICOS - DEPEN</t>
  </si>
  <si>
    <t xml:space="preserve">Manutenção de transformador </t>
  </si>
  <si>
    <t>Manutenção de transformador SUASE</t>
  </si>
  <si>
    <t>DISPOSITIVO ELÉTRICO INCAPACITANTE</t>
  </si>
  <si>
    <t>MANUTENÇÃO DE ELETROCARDIOGRAFO</t>
  </si>
  <si>
    <t xml:space="preserve">RECARGA DE CILINDROS DE OXIGÊNIO </t>
  </si>
  <si>
    <t>MANUTENCAO E REPARO EM EQUIPAMENTOS DE LAVANDERIA DEPEN</t>
  </si>
  <si>
    <t>PASSAGEM AÉREA E RODOVIÁRIA
DEPEN</t>
  </si>
  <si>
    <t>PASSAGEM AÉREA E RODOVIÁRIA
SULOT</t>
  </si>
  <si>
    <t>PASSAGEM AÉREA E RODOVIÁRIA
SUASE</t>
  </si>
  <si>
    <t>PASSAGEM AÉREA E RODOVIÁRIA
SUINT</t>
  </si>
  <si>
    <t>PASSAGEM AÉREA E RODOVIÁRIA
SUPEC</t>
  </si>
  <si>
    <t>PASSAGEM AÉREA E RODOVIÁRIA
SUPOD</t>
  </si>
  <si>
    <t>Cabeamento Estruturado - Unidades</t>
  </si>
  <si>
    <t>AQUISIÇÃO DE MEDICAMENTOS BÁSICOS PARA ATEDER O SISTEMA PRISIONAL</t>
  </si>
  <si>
    <t>SERVIÇO DE MANUTENÇÃO DE RECARGA DE EXTINTORES - DEPEN</t>
  </si>
  <si>
    <t>SERVIÇO DE MANUTENÇÃO DE RECARGA DE EXTINTORES - EXCETO DEPEN</t>
  </si>
  <si>
    <t>SERVIÇOS POSTAIS
CORREIO</t>
  </si>
  <si>
    <t>TAXA DE  IPTU
MIRAFIORI</t>
  </si>
  <si>
    <t xml:space="preserve">TAXA DE CONDOMÍNIO MIRAFIORE </t>
  </si>
  <si>
    <t>MANUTENÇÃO DE VEÍCULOS - SULOT - Serviço - Manutenção de veículos
  -Frota atual de veículos
  - Fornecedor Ticketlog;
  - Incluso mão de obra e peças;
  - Contrato de gerenciamento e manutenção.</t>
  </si>
  <si>
    <t>MANUTENÇÃO DE VEÍCULOS - SUINT - Serviço - Manutenção de veículos
  -Frota atual de veículos
  - Fornecedor Ticketlog;
  - Incluso mão de obra e peças;
  - Contrato de gerenciamento e manutenção.</t>
  </si>
  <si>
    <t>MANUTENÇÃO DE VEÍCULOS - SUPEC - Serviço - Manutenção de veículos
  -Frota atual de veículos
  - Fornecedor Ticketlog;
  - Incluso mão de obra e peças;
  - Contrato de gerenciamento e manutenção.</t>
  </si>
  <si>
    <t>MANUTENÇÃO DE VEÍCULOS - SUASE - Serviço - Manutenção de veículos
  -Frota atual de veículos
  - Fornecedor Ticketlog;
  - Incluso mão de obra e peças;
  - Contrato de gerenciamento e manutenção.</t>
  </si>
  <si>
    <t>MANUTENÇÃO DE VEÍCULOS - DEPEN - Serviço - Manutenção de veículos
  -Frota atual de veículos
  - Fornecedor Ticketlog;
  - Incluso mão de obra e peças;
  - Contrato de gerenciamento e manutenção.</t>
  </si>
  <si>
    <t>MANUTENÇÃO DE VEÍCULOS - SAÚDE - Serviço - Manutenção de veículos
  -Frota atual de veículos
  - Fornecedor Ticketlog;
  - Incluso mão de obra e peças;
  - Contrato de gerenciamento e manutenção.</t>
  </si>
  <si>
    <t>MANUTENÇÃO DE VEÍCULOS - SUPOD - Serviço - Manutenção de veículos
  -Frota atual de veículos
  - Fornecedor Ticketlog;
  - Incluso mão de obra e peças;
  - Contrato de gerenciamento e manutenção.</t>
  </si>
  <si>
    <t>GERENCIAMENTO DO ABASTECIMENTO - ABASTEK - DEPEN - Gerenciamento Sistema de abastecimento, controle e fornecimento de equipamento que possibilita ação</t>
  </si>
  <si>
    <t>GERENCIAMENTO DO ABASTECIMENTO - ABASTEK - SAÚDE - Gerenciamento Sistema de abastecimento, controle e fornecimento de equipamento que possibilita ação</t>
  </si>
  <si>
    <t>GERENCIAMENTO DO ABASTECIMENTO - ABASTEK - SUASE - Gerenciamento Sistema de abastecimento, controle e fornecimento de equipamento que possibilita ação</t>
  </si>
  <si>
    <t>GERENCIAMENTO DO ABASTECIMENTO - ABASTEK - SUPEC - Gerenciamento Sistema de abastecimento, controle e fornecimento de equipamento que possibilita ação</t>
  </si>
  <si>
    <t>GERENCIAMENTO DO ABASTECIMENTO - ABASTEK - SUINT - Gerenciamento Sistema de abastecimento, controle e fornecimento de equipamento que possibilita ação</t>
  </si>
  <si>
    <t>GERENCIAMENTO DO ABASTECIMENTO - ABASTEK - SUPOD - Gerenciamento Sistema de abastecimento, controle e fornecimento de equipamento que possibilita ação</t>
  </si>
  <si>
    <t>GERENCIAMENTO DO ABASTECIMENTO - ABASTEK - SULOT - Gerenciamento Sistema de abastecimento, controle e fornecimento de equipamento que possibilita ação</t>
  </si>
  <si>
    <t>PEÇAS DE ARMAS</t>
  </si>
  <si>
    <t>Rádio Digital Portátil DEP550e</t>
  </si>
  <si>
    <t>AQUISIÇÃO DE MATERIAIS DE SEGURANÇA PARA ATENDER AS UNIDADES SOCIOEDUCATIVAS</t>
  </si>
  <si>
    <t xml:space="preserve">LOCAÇÃO DE 17 CAMINHONETE STANDARD, CARROCERIA ABERTA - CS BRASIL </t>
  </si>
  <si>
    <t>Rádio Digital Portátil DGP8550E</t>
  </si>
  <si>
    <t>AQUISIÇÃO DE VEÍCULOS - SAÚDE</t>
  </si>
  <si>
    <t>AQUISIÇÃO DE VEÍCULOS - DEPEN</t>
  </si>
  <si>
    <t>Fornecimento de combustível com utilização de cartão - Prime (preço da bomba) - DEPEN - Necessidade de transferências de presos, adolecestes acautelados, atividades de saúde e rotinas administrativas</t>
  </si>
  <si>
    <t>Fornecimento de combustível com utilização de cartão - Prime (preço da bomba) - SAÚDE - Necessidade de transferências de presos, adolecestes acautelados, atividades de saúde e rotinas administrativas</t>
  </si>
  <si>
    <t>Fornecimento de combustível com utilização de cartão - Prime (preço da bomba)- SULOT - Necessidade de transferências de presos, adolecestes acautelados, atividades de saúde e rotinas administrativas</t>
  </si>
  <si>
    <t>Fornecimento de combustível com utilização de cartão - Prime (preço da bomba) - SUPEC - Necessidade de transferências de presos, adolecestes acautelados, atividades de saúde e rotinas administrativas</t>
  </si>
  <si>
    <t>Fornecimento de combustível com utilização de cartão- Prime (preço da bomba)- SUINT - Necessidade de transferências de presos, adolecestes acautelados, atividades de saúde e rotinas administrativas</t>
  </si>
  <si>
    <t>Fornecimento de combustível com utilização de cartão - Prime (preço da bomba) - SUASE - Necessidade de transferências de presos, adolecestes acautelados, atividades de saúde e rotinas administrativas</t>
  </si>
  <si>
    <t>Fornecimento de combustível com utilização de cartão- Prime (preço da bomba)- SUPOD - Necessidade de transferências de presos, adolecestes acautelados, atividades de saúde e rotinas administrativas</t>
  </si>
  <si>
    <t>CONFECÇÃO DE PLACAS VEICULAR PARA CARRO - substituição de placas veículos(perca e danos) no padrão Mercosul</t>
  </si>
  <si>
    <t>CONFECÇÃO DE PLACAS VEICULAR PARA MOTO- substituição de placas veículos(perca e danos) no padrão Mercosul</t>
  </si>
  <si>
    <t xml:space="preserve">LOCAÇÃO DE 02 CAMINHONETE STANDARD, CARROCERIA ABERTA - CS BRASIL </t>
  </si>
  <si>
    <t>LOCAÇÃO DE VIATURA CAMINHONETE - Locação de 80 caminhonetes cela humanizada</t>
  </si>
  <si>
    <t>AQUISIÇÃO DE VEÍCULOS  DEPEN</t>
  </si>
  <si>
    <t>Locação de 05 veículo serviços sedan - Ata RP 43/2024 - Pregão nº 393/2023</t>
  </si>
  <si>
    <t>Locação de 19 veículos serviço - Ata RP 43/2024 - Pregão nº 393/2023</t>
  </si>
  <si>
    <t>Locação de 01 veículo de representação - Ata RP 393/23</t>
  </si>
  <si>
    <t>AQUISIÇÃO DE VEÍCULOS - SUASE</t>
  </si>
  <si>
    <t xml:space="preserve">SUBSCRICAO DE LICENCA DE SOFTWARE AZURE AD PREMIUM PLANO 1
</t>
  </si>
  <si>
    <t>MULTAS DE TRÂNSITO - DEPEN - Pagamento de multas cometidas no trânsito por Servidores que se recusam a reconhecer o débito. Liberaçao do veículo para circulação regular e posterio encaminhamento para apuração de responsabilidades</t>
  </si>
  <si>
    <t>MULTAS DE TRÂNSITO - SAÚDE - Pagamento de multas cometidas no trânsito por Servidores que se recusam a reconhecer o débito. Liberaçao do veículo para circulação regular e posterio encaminhamento para apuração de responsabilidades</t>
  </si>
  <si>
    <t>MULTAS DE TRÂNSITO - SUASE - Pagamento de multas cometidas no trânsito por Servidores que se recusam a reconhecer o débito. Liberaçao do veículo para circulação regular e posterio encaminhamento para apuração de responsabilidades</t>
  </si>
  <si>
    <t>MULTAS DE TRÂNSITO - SUPEC - Pagamento de multas cometidas no trânsito por Servidores que se recusam a reconhecer o débito. Liberaçao do veículo para circulação regular e posterio encaminhamento para apuração de responsabilidades</t>
  </si>
  <si>
    <t>MULTAS DE TRÂNSITO - SUINT - Pagamento de multas cometidas no trânsito por Servidores que se recusam a reconhecer o débito. Liberaçao do veículo para circulação regular e posterio encaminhamento para apuração de responsabilidades</t>
  </si>
  <si>
    <t>MULTAS DE TRÂNSITO - SULOT - Pagamento de multas cometidas no trânsito por Servidores que se recusam a reconhecer o débito. Liberaçao do veículo para circulação regular e posterio encaminhamento para apuração de responsabilidades</t>
  </si>
  <si>
    <t>MULTAS DE TRÂNSITO - SUPOD - Pagamento de multas cometidas no trânsito por Servidores que se recusam a reconhecer o débito. Liberaçao do veículo para circulação regular e posterio encaminhamento para apuração de responsabilidades</t>
  </si>
  <si>
    <t>CARROS C/DPVAT</t>
  </si>
  <si>
    <t>CARROS/C DPVAT</t>
  </si>
  <si>
    <t>TRANSPORTE DOS AGENTES PÚBLICOS DA PENITENCIÁRIA FRANCISCO FLORIANO DE PAULA</t>
  </si>
  <si>
    <t>SERVIÇO DE TRANSPORTE DE PASSAGEIROS, EM RODOVIAS
UNAI</t>
  </si>
  <si>
    <t>TRANSPORTE DOS AGENTES PÚBLICOS DA PENITENCIÁRIA DE MURIAÉ I</t>
  </si>
  <si>
    <t>SERVIÇO DE TRANSPORTE DE PASSAGEIROS, EM RODOVIAS
PENITENCIÁRIA DE FRANCISCO SÁ</t>
  </si>
  <si>
    <t>SERVIÇO DE TRANSPORTE DE PASSAGEIROS, EM RODOVIAS
PRESÍDIO DE ANDRADAS I - PRES-ADD-I</t>
  </si>
  <si>
    <t>SERVIÇO DE TRANSPORTE DE PASSAGEIROS, EM RODOVIAS
PENITENCIÁRIA DE IPABA I - DÊNIO MOREIRA DE CARVALHO - PEN-IPB-I-DMC</t>
  </si>
  <si>
    <t>SERVIÇO DE TRANSPORTE DE PASSAGEIROS, EM RODOVIAS
PENITENCIÁRIA DE PONTE NOVA I</t>
  </si>
  <si>
    <t>SERVIÇO DE TRANSPORTE DE PASSAGEIROS, EM RODOVIAS
AGENTES PÚBLICOS DA PENITENCIÁRIA DE TRÊS CORAÇÕES.</t>
  </si>
  <si>
    <t>SERVIÇO DE TRANSPORTE DE PASSAGEIROS, EM RODOVIAS
AGENTES PÚBLICOS DA PENITENCIÁRIA JASON SOARES ALBERGARIA, PRESÍDIO DE SÃO JOAQUIM DE BICAS I, SÃO JOAQUIM DE BICAS II</t>
  </si>
  <si>
    <t>SERVIÇO DE TRANSPORTE DE PASSAGEIROS, EM RODOVIAS
AGENTES PÚBLICOS DA PRESÍDIO PROFESSOR JOÃO PIMENTA DA VEIGA                                                                                                 PRESÍDIO JACY DE ASSIS</t>
  </si>
  <si>
    <t>SERVIÇO DE TRANSPORTE DE PASSAGEIROS, EM RODOVIAS
AGENTES PÚBLICOS DO PRESÍDIO DE ALFENAS</t>
  </si>
  <si>
    <t>SERVIÇO DE TRANSPORTE DE PASSAGEIROS, EM RODOVIAS
AGENTES PÚBLICOS DO CERESP BETIM I</t>
  </si>
  <si>
    <t>SERVIÇO DE TRANSPORTE DE PASSAGEIROS, EM RODOVIAS
AGENTES PÚBLICOS  DO COMPLEXO PENITENCIÁRIO DE NELSON HUNGRIA</t>
  </si>
  <si>
    <t>SERVIÇO DE TRANSPORTE DE PASSAGEIROS, EM RODOVIAS
AGENTES PÚBLICOS DO PRESÍDIO DE CARATINGA</t>
  </si>
  <si>
    <t>SERVIÇO DE TRANSPORTE DE PASSAGEIROS, EM RODOVIAS
AGENTES PÚBLICOS DO Complexo Penitenciário Doutor Pio Canedo, em Pará de Minas-MG</t>
  </si>
  <si>
    <t>SERVIÇO DE TRANSPORTE DE PASSAGEIROS, EM RODOVIAS
AGENTES PÚBLICOS DO DE RIBEIRÃO DAS NEVES</t>
  </si>
  <si>
    <t>SERVIÇO DE TRANSPORTE DE PASSAGEIROS, EM RODOVIAS
AGENTES PÚBLICOS DA PENITENCIARIA E PRESIDIO DE TEÓFILO OTONI</t>
  </si>
  <si>
    <t>TRANSPORTE DE SERVIDORES DEPEN PARA UNIDADES DE SAUDE EM RIBEIRAO DAS NEVES</t>
  </si>
  <si>
    <t xml:space="preserve">SUBSCRICAO DE LICENCA DE SOFTWARE AZURE AD PREMIUM PLANO 2
</t>
  </si>
  <si>
    <t>AQUISIÇÃO DE VEÍCULO</t>
  </si>
  <si>
    <t>MONITORAMENTO E RASTREAMENTO VEICULAR POR GPS
(Processo SEI 1450.01.0061744/2024-10
Processo Orientação da Controladoria - 1520.01.0010466/2022-92)</t>
  </si>
  <si>
    <t>Prestação de serviços de Lavagem de veículos</t>
  </si>
  <si>
    <t>Rede WIFI - Para unidades Administrativas SEJUSP</t>
  </si>
  <si>
    <t>AQUISIÇÃO DE MATERIAIS DE LIMPEZA E HIGIENE PESSOAL QUE COMPÕEM O KIT PRESO</t>
  </si>
  <si>
    <t>AQUISIÇÃO DE MATERIAIS DE LIMPEZA E HIGIENE PESSOAL QUE COMPÕEM O KIT ENTREGUE AOS ADOLESCENTES</t>
  </si>
  <si>
    <t>LOCAÇÃO CDM</t>
  </si>
  <si>
    <t>LOCAÇÃO CAF 1</t>
  </si>
  <si>
    <t>LOCAÇÃO CAF 2</t>
  </si>
  <si>
    <t>TRANSPORTE DE CARGA CDM</t>
  </si>
  <si>
    <t>TRANSPORTE DE CARGA CAF</t>
  </si>
  <si>
    <t>LOCAÇÃO DE EMPILHADEIRAS CDM</t>
  </si>
  <si>
    <t>LOCAÇÃO DE EMPILHADEIRAS CAF</t>
  </si>
  <si>
    <t>MANUTENÇÃO DE EMPILHADEIRA CDM</t>
  </si>
  <si>
    <t>MANUTENÇÃO DE EMPILHADEIRA CAF</t>
  </si>
  <si>
    <t>VIGILÂNCIA ELETRÔNICA  CDM</t>
  </si>
  <si>
    <t>VIGILÂNCIA ELETRÔNICA  CAF</t>
  </si>
  <si>
    <t xml:space="preserve"> Bateria p/ Rádio Digital Portátil</t>
  </si>
  <si>
    <t>AQUISIÇÃO DE ITENS DE VESTUÁRIO QUE COMPÕEM O KIT PRESO</t>
  </si>
  <si>
    <t>AQUISIÇÃO DE ITENS DE VESTUÁRIO QUE COMPÕEM O KIT ENTREGUE AOS ADOLESCENTES</t>
  </si>
  <si>
    <t>RADIO TRANSCEPTOR - TIPO: MOVEL, COM GPS</t>
  </si>
  <si>
    <t>AQUISIÇÃO MUNIÇÕES LETAIS, NÃO LETAIS, MUNIÇÃO PARA AS ARMAS PLEITEADAS, CADEADO, ESPARGIDOR, MUNIÇÃO QUÍMICA, GRANADAS, ETC PARA ATENDER O SISTEMA PRISIONAL</t>
  </si>
  <si>
    <t>MOBILIÁRIOS DIVERSOS</t>
  </si>
  <si>
    <t>EQUIPÁMENTOS PARA USO NOS SETORES ADMINISTRATIVOS</t>
  </si>
  <si>
    <t>CAIXA D'AGUA</t>
  </si>
  <si>
    <t>AQUISIÇÃO DE GARRAFAS TÉRMICAS</t>
  </si>
  <si>
    <t xml:space="preserve"> Cercamento Digital  - 12 Unidades </t>
  </si>
  <si>
    <t>BOMBAS D´ÁGUA</t>
  </si>
  <si>
    <t>AQUISIÇÃO DE MATERIAIS COLCHÕES E COBERTORES QUE COMPÕEM O KIT PRESO</t>
  </si>
  <si>
    <t>AQUISIÇÃO DE MATERIAIS COLCHÕES E COBERTORES</t>
  </si>
  <si>
    <t>RAÇÃO PARA CÃES</t>
  </si>
  <si>
    <t>UTENSÍLIOS PARA CANIL TAIS COMO COLEIRAS, EQUIPAMENTO DE ADESTRAMENTO, COMEDOURO, GUIAS, DENTRE OUTROS</t>
  </si>
  <si>
    <t>MEDICAMENTO DE USO VETERINÁRIO, PARA CÃES</t>
  </si>
  <si>
    <t>AQUISIÇÃO DE CANECAS E COLHERES QUE COMPÕEM O KIT PRESO</t>
  </si>
  <si>
    <t xml:space="preserve">AQUISIÇÃO DE CANECAS E COLHERES QUE COMPÕEM O KIT ENTREGUE AOS ADOLESCENTES </t>
  </si>
  <si>
    <t>Bloquedor Móvel Veicular de Sinais Anti-Drone</t>
  </si>
  <si>
    <t>AQUISIÇÃO DE MATERIAIS DE PREVENÇÃO E COMBATE A INCÊNDIOS</t>
  </si>
  <si>
    <t>AQUISIÇÃO DE MATERIAIS DE ESCRITÓRIO PARA ATENDER O SISTEMA PRISIONAL</t>
  </si>
  <si>
    <t>AQUISIÇÃO DE INSUMOS ODONTOLÓGICOS PARA ATEDER O SISTEMA PRISIONAL</t>
  </si>
  <si>
    <t>AQUISIÇÃO DE MEDICAMENTOS BÁSICOS PARA ATENDER O SISTEMA PRISIONAL</t>
  </si>
  <si>
    <t>AQUISIÇÃO DE MATERIAIS MÉDICO HOSPITALARES PARA ATEDER O SISTEMA PRISIONAL</t>
  </si>
  <si>
    <t>AQUISIÇÃO DE MATERIAIS DE ESCRITÓRIO PARA ATENDER O SISTEMA SOCIOEDUCATIVO</t>
  </si>
  <si>
    <t>ELABORAÇÃO DOS PLANO DE RESÍDUOS SOLIDOS
DEPEN</t>
  </si>
  <si>
    <t>LOCAÇÃO DE CAÇAMBAS
DEPEN</t>
  </si>
  <si>
    <t>LOCAÇÃO DE CAÇAMBAS
SUASE</t>
  </si>
  <si>
    <t>HIGIENIZAÇÃO DE CAIXAS D'ÁGUA
SUINT</t>
  </si>
  <si>
    <t>MATERIAIS PARA TELAMENTO DO PÁTIO DAS UNIDADES</t>
  </si>
  <si>
    <t>Prestação de serviço especializado para elaboração, desenvolvimento e a implantação de nova metodologia para apuração de parâmetros de valores de referência e precificação para a contratação do serviço de produção e fornecimento alimentar às Unidades Prisionais e Socioeducativas.</t>
  </si>
  <si>
    <t>MANUTENÇÃO  em geral  - recurso SEJUSP - Custódia do Policial Penal e Agente de Segurança Socioeducativo - visita intima</t>
  </si>
  <si>
    <t>MANUTENÇÃO  da cozinha - PENITENCIÁRIA DE MURIAÉ - manutenção geral</t>
  </si>
  <si>
    <t xml:space="preserve">MANUTENÇÃO  em geral  - recurso SEJUSP - Penitenciária de Teófilo Otoni - Adequação da cozinha </t>
  </si>
  <si>
    <t>MANUTENÇÃO  em geral  - pelo menos (3) CSEs - incluindo adequação cozinha</t>
  </si>
  <si>
    <t>Pagamento de hora-aula aos professores e/ou conteúdistas que auxiliarem nos cursos e capacitações da Academia Estadual de Segurança Pública.</t>
  </si>
  <si>
    <t>Obra de reforma de salas de aula, alojamento, intendência , banheiros, captação e tratamento de água, esgoto e reestruturação elétrica do núcleo dos centros de treinamentos. Módulo operacional de acordo com reunião estabelecida no dia 23/06/2025, com o Secretário Adjunto da Sejusp, Cel. Estevo.</t>
  </si>
  <si>
    <t>BOLSA DE PÓS-GRADUAÇÃO SUBSIDIADA PELO PLANO DE DESENVOLVIMENTO DO SERVIDOR PÚBLICO</t>
  </si>
  <si>
    <t xml:space="preserve">APAC Montes Claros                                   APAC Mantena                          </t>
  </si>
  <si>
    <t xml:space="preserve">AQUISIÇÃO DE MATERIAIS MÉDICO HOSPITALARES </t>
  </si>
  <si>
    <t>AQUISIÇÃO DE MEDICAMENTOS BÁSICOS PARA ATENDER SOCIEDUCATIVO</t>
  </si>
  <si>
    <t>Não</t>
  </si>
  <si>
    <t>Sim</t>
  </si>
  <si>
    <t>não</t>
  </si>
  <si>
    <t>1 Termo Aditivo XI do Contrato de Gestão assinado para co-execução da Política Estadual de Prevenção Social à Criminalidade, com os mesmos parâmetros aprovados em 2025</t>
  </si>
  <si>
    <t>Valor aprovado em 2025 e ajustado em 7% conforme a CCT</t>
  </si>
  <si>
    <t>VALOR MÉDIO UNITÁRIO</t>
  </si>
  <si>
    <t>OPERAÇÃO LOGÍSTICA  CDM</t>
  </si>
  <si>
    <t xml:space="preserve">PRÉVIA DE PROPOSTA COMERCIAL APRESENTADA PELOS CORREIOS </t>
  </si>
  <si>
    <t>Viagens realizadas para acompanhamento de GIE, Comissões Municipais, Fiscalização de MGS e outras não agendadas</t>
  </si>
  <si>
    <t>Valor necessário para custeio das viagens dos servidores e MGS</t>
  </si>
  <si>
    <t>Voucher para apoio às viagens realizadas</t>
  </si>
  <si>
    <t>Valor necessário para custeio dos vouchers</t>
  </si>
  <si>
    <t>Pronto pagamento mensal</t>
  </si>
  <si>
    <t>Valor mínimo  mensal de pronto pagamento</t>
  </si>
  <si>
    <t>Pagamentos para a CEMIG</t>
  </si>
  <si>
    <t>Valores das faturas mensais</t>
  </si>
  <si>
    <t>Pagamentos para Copasa</t>
  </si>
  <si>
    <t>Contratos de locação dos imóveis</t>
  </si>
  <si>
    <t>Valores acordados em contratos</t>
  </si>
  <si>
    <t>Base previsão salário mínimo (2025)R$1.518,00</t>
  </si>
  <si>
    <t>Adolescente Trebalhador 10%</t>
  </si>
  <si>
    <t>Estagiário AGIEL</t>
  </si>
  <si>
    <t>Base RH reajuste TX Administrativa 10%</t>
  </si>
  <si>
    <t>Empregados de apoio MGS</t>
  </si>
  <si>
    <t>Base RH reajuste 10%</t>
  </si>
  <si>
    <t>Estimativa de meses pagos de despesa de taxa de condomínio, referente ao Centro de Atenção Biopsicossocial DAS Belo Horizonte.</t>
  </si>
  <si>
    <t>Média de valores pagos anual</t>
  </si>
  <si>
    <t>Quantidade de pagamentos realizados anual.</t>
  </si>
  <si>
    <t>Média dos valores pagos anual</t>
  </si>
  <si>
    <t>Média de viagens realizadas pela Diretoria de Atenção à Saúde do Servidor anual.</t>
  </si>
  <si>
    <t>VALOR DA MÉDIA DAS DIÁRIAS FAIXA  PARA MUNICÍPIOS ESPECIAIS E DEMAIS MUNICÍPIOS</t>
  </si>
  <si>
    <t>Estimativa de meses pagos de despesa de água, referente ao Centro de Atenção Biopsicossocial DAS Uberlândia</t>
  </si>
  <si>
    <t>Média de consumo anual</t>
  </si>
  <si>
    <t>Conforme demanda</t>
  </si>
  <si>
    <t>Valor disponibilizado  a partir de deliberação da SEJUSP para despesas urgentes e inadiáveis</t>
  </si>
  <si>
    <t>Estimativa de quantitativo de meses pagos de IPTU, referente ao Centro de Atenção Biopsicossocial DAS Belo Horizonte.</t>
  </si>
  <si>
    <t>Média dos valores pagos anual.</t>
  </si>
  <si>
    <t>Média de refeições servidas (volume servido por mês) em 2024 considerando as taxas de crescimento da população carcerária de 0,228% ao mês informada pela Diretoria de Estatística e Análise de Informações de Justiça e Parcerias (DIJ).</t>
  </si>
  <si>
    <t>Valor da diária de acordo com os dados contratuais de 2025 *já acrescidos os 3,00% do centro da meta anual do IPCA para 2025.</t>
  </si>
  <si>
    <t>Média de refeições (volume servido por mês) considerando como referência o número de refeições servidas aos adolescentes em  2024.</t>
  </si>
  <si>
    <t>OPERAÇÃO LOGÍSTICA  CAF</t>
  </si>
  <si>
    <t>NÚMERO DE DIÁRIAS UTILIZADAS (20) X NUMERO DE SERVIDORES FAVORECIDOS (4)</t>
  </si>
  <si>
    <t>VALOR DA DIÁRIA DE ACORDO COM DECRETO 47.045/2016 (FAIXA 1 - DEMAIS MUNICÍPIOS)</t>
  </si>
  <si>
    <t>NÚMERO DE DIÁRIAS UTILIZADAS (6) X NUMERO DE SERVIDORES FAVORECIDOS (42)</t>
  </si>
  <si>
    <t>03 unidades prisionais vigentes; 01 relatório de verificação por unidade penal por mês</t>
  </si>
  <si>
    <t>Maciel Assessores S/S - valor fixo por relatório: R$ 22.451,33 (unidades 1, 2, 3-RSA1) Reajuste pelo IPCA no mês de novembro</t>
  </si>
  <si>
    <t>- 02 unidades prisionais vigentes;  - 01 relatório de verificação por unidade por mês.</t>
  </si>
  <si>
    <t xml:space="preserve"> Maciel Assessores s/s
- Valor Fixo por relatório;
- R$ 12.008,85 (UN4)
- R$ 12.008,85 (UN5)
- Reajuste pelo IPCA no mês de novembro.</t>
  </si>
  <si>
    <t>Média de passagens aéreas (ida/volta) destinadas aos servidores responsáveis pela interlocução sobre o tema PPP com outros órgãos.</t>
  </si>
  <si>
    <t>3 passagens aéreas de ida e volta para deslocamento de servidores</t>
  </si>
  <si>
    <t>Viagem de 03 dias para 02 servidores</t>
  </si>
  <si>
    <t>Valor da diária de acordo com o Decreto 47.045/2016  (FAIXA I - Municípios especiais e municípios de outros Estados que não sejam capitais) 362,00</t>
  </si>
  <si>
    <t>R$ 1.000,00/mês confore decreto e demanda</t>
  </si>
  <si>
    <t>Valor previsto legalmente  para execução das despesas</t>
  </si>
  <si>
    <t>NÚMERO DE DIÁRIAS UTILIZADAS (3) X NUMERO DE SERVIDORES FAVORECIDOS (1) - Secretário Adjunto</t>
  </si>
  <si>
    <t xml:space="preserve">VALOR DA DIÁRIA DE ACORDO COM DECRETO 47.045/2016 (FAIXA II - MUNICÍPIO ESPECIAL) </t>
  </si>
  <si>
    <t>NÚMERO DE DIÁRIAS UTILIZADAS (4) X NUMERO DE SERVIDORES FAVORECIDOS (1) - Secretário Adjunto</t>
  </si>
  <si>
    <t>NÚMERO DE DIÁRIAS UTILIZADAS (4) X NUMERO DE SERVIDORES FAVORECIDOS (1) - Assessora chefe do Séc.Adjunto</t>
  </si>
  <si>
    <t>VALOR DA DIÁRIA DE ACORDO COM DECRETO 47.045/2016 (FAIXA II - MUNICÍPIO ESPECIAL) 
E EQUIPARAÇÃO COM BASE NO DECRETO 48.739/20223 
(§ 1º Quando dois ou mais servidores, que recebam diárias com valores diferenciados, viajarem para participar de uma mesma atividade, será concedida a todos diária equivalente à do servidor que estiver enquadrado na faixa superior, desde que aprovado pelo gestor da unidade administrativa responsável pela autorização da viagem e autorizado pelo ordenador de despesas.)</t>
  </si>
  <si>
    <t>NÚMERO DE DIÁRIAS UTILIZADAS (3) X NUMERO DE SERVIDORES FAVORECIDOS (1) -  Segurança do Secretário Adjunto</t>
  </si>
  <si>
    <t xml:space="preserve">NÚMERO DE DIARIAS ULTILIZADAS (2) X NÚMERO DE SERVIDORES FAVORECIDOS (6) </t>
  </si>
  <si>
    <t>Vokume de diárias solicitadas anteriormente</t>
  </si>
  <si>
    <t xml:space="preserve">Valor estabelecido no Decreto 47.405/16, correspondente ao cargo de Assessor-Chefe de Acompanhamento Administrativo </t>
  </si>
  <si>
    <t>Volume de diárias solicitadas anteriormente</t>
  </si>
  <si>
    <t xml:space="preserve">Valor estabelecido no Decreto 47.405/16, correspondente à equipe de Assesoria de Acompanhamento Administrativo </t>
  </si>
  <si>
    <t>Quantitativo de apartamentos funcionais do Programa Lares Geraes</t>
  </si>
  <si>
    <t>Valor da Taxa de Coleta de Resíduos e Taxa de Fiscalização de Aparelhos de Transporte no ano anterior (2024)</t>
  </si>
  <si>
    <t>Valor do condomíni do ano anterior, atualizado pela taxa Selic (15%)</t>
  </si>
  <si>
    <t>Quantidade de viagens realizadas pelos servidores da ASCOM no ano de 2025 mais 10%</t>
  </si>
  <si>
    <t>Media dos valores recebidos pelos servidores por viagens em 2025 mais reajuste de 10%</t>
  </si>
  <si>
    <t>Calculado com base no volume executado em 2023</t>
  </si>
  <si>
    <t>NÚMERO DE DIÁRIAS UTILIZADAS X NUMERO DE SERVIDORES FAVORECIDOS (SEGURANÇA - 1 E ASSESSOR -1)</t>
  </si>
  <si>
    <t xml:space="preserve">VALOR DA DIÁRIA DE ACORDO COM DECRETO 47.045/2016 (FAIXA 1 - MUNICÍPIO ESPECIAL) </t>
  </si>
  <si>
    <t>nr de servidores x 2 psg (ida e volta)</t>
  </si>
  <si>
    <t>Estimativa mercado/orçamento</t>
  </si>
  <si>
    <t>02 deslocamentos urbanos por dia por servidor</t>
  </si>
  <si>
    <t>NÚMERO DE DIÁRIAS UTILIZADAS (4) X NÚMERO DE SERVIDORES FAVORECIDOS (2)</t>
  </si>
  <si>
    <t>NÚMERO DE DIÁRIAS UTILIZADAS (2) X NÚMERO DE SERVIDORES FAVORECIDOS (1)</t>
  </si>
  <si>
    <t>VALOR DA DIÁRIA DE ACORDO COM DECRETO 47.045/2016 (FAIXA 1 - Capitais)</t>
  </si>
  <si>
    <t xml:space="preserve">
1 PASSAGEM DE IDA E VOLTA (BH-BRASÍLIA, BRASÍLIA-BH) PARA 1 SERVIDOR
</t>
  </si>
  <si>
    <t>MÉDIA DE GASTOS COM PASSAGENS NO PRIMEIRO SEMESTRE DE 2025</t>
  </si>
  <si>
    <t>Valor total para conclusão da intervenção</t>
  </si>
  <si>
    <t>Valor de referência de obras e proejtos da SEINFRA</t>
  </si>
  <si>
    <t>Valor restante para integralizar o recurso para execução do contrato celebrado pela SEINFRA</t>
  </si>
  <si>
    <t>Valor restante para integralizar o recurso para execução do contrato celebrado pela SEINFRA considerando reajuste</t>
  </si>
  <si>
    <t>NECESSIDADE DE MANUTENÇÃO NAS ETES DAS UNIDADES</t>
  </si>
  <si>
    <t>CONTRATO LICITADO SIMILAR</t>
  </si>
  <si>
    <t>NECESSIDADE DE CONSTRUÇÃO/REFORMA DAS ETES DAS UNIDADES</t>
  </si>
  <si>
    <t>Necessidade de uma solução de modernização eficiente para a unidade</t>
  </si>
  <si>
    <t>contrato licitado</t>
  </si>
  <si>
    <t>Média das Manutenções</t>
  </si>
  <si>
    <t>Necessidade de execução de manutenção preventiva e corretiva nas unidades prisionais com problemas estruturais que carecem de intervenção imediata</t>
  </si>
  <si>
    <t>Análise paramétrica baseada em obras similares realizadas no atual contrato de manutenção.</t>
  </si>
  <si>
    <t>Necessidade de execução de reforma geral nas unidades prisionais com problemas estruturais que carecem de intervenção imediata</t>
  </si>
  <si>
    <t>Valor de referência de obras e projetos da SEINFRA</t>
  </si>
  <si>
    <t>NECESSIDADE DE ATENDER AS DEMANDAS DE MANUTENÇÃO DAS UNIDADES</t>
  </si>
  <si>
    <t>CONTRATO LICITADO</t>
  </si>
  <si>
    <t>Unidade</t>
  </si>
  <si>
    <t>Orçamentos recebidos pela STIC</t>
  </si>
  <si>
    <t>Necessidade de construção de cozinha para promoção de alimentação administrada</t>
  </si>
  <si>
    <t>Análise paramétrica baseada em obras similares</t>
  </si>
  <si>
    <t>NECESSIDADE DE MANUTENÇÃO DOS POÇOS NAS UNIDADES</t>
  </si>
  <si>
    <t>CONTRATO EM PROCESSO DE LICITAÇÃO</t>
  </si>
  <si>
    <t>NECESSIDADE DE MANUTENÇÃO E OPERAÇÃO DA ETA INSTALADO NA PENITENCIARIA FRANCISCO FLORIANO DE PAULA EM GOVERNADOR VALADARES</t>
  </si>
  <si>
    <t>R$ 3.000/MÊS CONFORME DEMANDA</t>
  </si>
  <si>
    <t>VALOR DISPONIBILIZADO A PARTIR DE DELIBERAÇÃO DA SEJUSP PARA DESPESAS URGENTES E INADIÁVEIS</t>
  </si>
  <si>
    <t>R$ 4.000/MÊS CONFORME DEMANDA</t>
  </si>
  <si>
    <t>MENSAL</t>
  </si>
  <si>
    <t>VALOR DE CONTRATO</t>
  </si>
  <si>
    <t>VALOR DA MÉDIA DAS DIÁRIAS FAIXA I PARA MUNICIPIOS ESPECIAIS E DEMAIS MUNICÍPIOS</t>
  </si>
  <si>
    <t>AFERIÇÃO DE 50 ETILÔMETROS</t>
  </si>
  <si>
    <t>PREÇO MÉDIA DE MERCADO</t>
  </si>
  <si>
    <t>NÚMERO DE MEDALHAS E PREMIOS DISTRIBUIDOS NO PRÊMIO MÉRITO NA INTEGRAÇÃO</t>
  </si>
  <si>
    <t>CONFORME RP 5/2024</t>
  </si>
  <si>
    <t>NÚMERO DE DIÁRIAS QUE SERÃO UTILIZADAS DURANTE O ANO (20) X NÚMERO DE SERVIDORES DESIGNADOS (2)</t>
  </si>
  <si>
    <t>NÚMERO DE DIÁRIAS QUE SERÃO UTILIZADAS DURANTE O ANO (05) X NÚMERO DE SERVIDORES DESIGNADOS (2)</t>
  </si>
  <si>
    <t>VALOR DA DIÁRIA DE ACORDO COM DECRETO 47.045/2016 (FAIXA 1 - CAPITAIS)</t>
  </si>
  <si>
    <t>Projeto AVCB. Número de sedes a serem atendidas (17).</t>
  </si>
  <si>
    <t>Estimativa. Conforme valores levantados para 11ª RISP para implementação na unidade</t>
  </si>
  <si>
    <t>Número de unidades prediais integradas sob gestão desta Sejusp</t>
  </si>
  <si>
    <t>Despesa miúda. Disponibilidade de R$5.000,00, por mês, para cada sede (19 unidades)</t>
  </si>
  <si>
    <t>Estimativa. Com base nas visitas in loco e utilização dos valores.</t>
  </si>
  <si>
    <t>Trés diárias, para dois servidores, para visitas técnicas a 12 unidades</t>
  </si>
  <si>
    <t>Menor diária prevista no Decreto Estadual nº 47.045/2016</t>
  </si>
  <si>
    <t>Elevador. Número de unidades integradas com elevadores SEJUSP</t>
  </si>
  <si>
    <t>Estimativa. Valor de contrato de 01 unidade integrada com recurso de FESP</t>
  </si>
  <si>
    <t>Quantidade de geradores dispostos nas Unidades Prediais Integradas</t>
  </si>
  <si>
    <t>Valor médio obtido por meio de consulta a fornecedores</t>
  </si>
  <si>
    <t>Número de itens dispostos nas Unidades Prediais Integradas</t>
  </si>
  <si>
    <t>Estimado. Preço obtido com pequisa de fornecedores</t>
  </si>
  <si>
    <t xml:space="preserve">NÚMERO DE REUNIÕES NO CICLO (12): (5) CONDUZIDAS PELO COORDENADOR METODOLÓGICO E AS OUTRAS (5) REUNIÕES CONDUZIDAS PELO COORDENADOR METODOLÓGICO + DIRETOR DA METODOLOGIA, TOTALIZANDO 30 DIÁRIAS PARA O COORDENADOR METODOLÓGICO + 15 DIÁRIAS PARA A DIRETORA </t>
  </si>
  <si>
    <t>Diárias de Viagens, em conformidade com o DECRETO 47045, DE 14/09/2016</t>
  </si>
  <si>
    <t xml:space="preserve">NÚMERO DE REUNIÕES NO CICLO (12): (7) CONDUZIDAS PELO COORDENADOR METODOLÓGICO E AS OUTRAS (5) REUNIÕES CONDUZIDAS PELO COORDENADOR METODOLÓGICO + DIRETOR DA METODOLOGIA, TOTALIZANDO 36 DIÁRIAS PARA O COORDENADOR METODOLÓGICO + 15 DIÁRIAS PARA A DIRETORA </t>
  </si>
  <si>
    <t>NÚMERO DE PASSAGENS UTILIZADAS (2)  X NUMERO DE SERVIDORES FAVORECIDOS (1) X NÚMERO DE ESTADOS (2)</t>
  </si>
  <si>
    <t>Média de R$ 1.500,00 reais em 2025 para os deslocamentos realizados; dois trechos por pessoa, ida e volta.</t>
  </si>
  <si>
    <t>NÚMERO DE DIÁRIAS UTILIZADAS (3) X NÚMERO DE SERVIDORES FAVORECIDOS (1) X NÚMERO DE ESTADOS (2)</t>
  </si>
  <si>
    <t xml:space="preserve">NÚMERO DE REUNIÕES NO CICLO (6): (4) REUNIÕES CONDUZIDAS PELO COORDENADOR METODOLÓGICO E AS OUTRAS (2) REUNIÕES CONDUZIDAS PELO COORDENADOR METODOLÓGICO + DIRETOR DA METODOLOGIA, TOTALIZANDO 18 DIÁRIAS PARA O COORDENADOR METODOLÓGICO + 6 DIÁRIAS PARA A DIRETORA </t>
  </si>
  <si>
    <t xml:space="preserve">NÚMERO DE REUNIÕES NO CICLO (6): (4) REUNIÕES CONDUZIDAS PELO COORDENADOR METODOLÓGICO E AS OUTRAS (2) REUNIÕES CONDUZIDAS PELO COORDENADOR METODOLÓGICO + DIRETOR DA METODOLOGIA, TOTALIZANDO 12 DIÁRIAS PARA O COORDENADOR METODOLÓGICO + 6 DIÁRIAS PARA A DIRETORA </t>
  </si>
  <si>
    <t xml:space="preserve">NÚMERO DE REUNIÕES NO CICLO (4): (2) REUNIÕES ONLINE E (2) REUNIÕES CONDUZIDAS PELO COORDENADOR METODOLÓGICO + DIRETOR DA METODOLOGIA, TOTALIZANDO 6 DIÁRIAS PARA O COORDENADOR METODOLÓGICO + 6 DIÁRIAS PARA A DIRETORA </t>
  </si>
  <si>
    <t xml:space="preserve">1.  Considerando 17000 vagas em especializações que serão  no de 2025 em todo o estado ;
2. Considerando  5 modalidades de cursos fora da região metropolitana que necessitam de instrutores de BH;
3. Considerando 23 modalidades de cursos com 3 colaboradores (2 docentes e 1 coordenador) em cada curso. Considerando o envio do servidor para especialização, visita técnica ou representação em outra instituição.         4.Considerando o quantitativo 64 de servidores lotados na estrutura </t>
  </si>
  <si>
    <t>- Anexo I do Decreto Nº 48.410, de 18 de abril de 2022;                  - Preço da Capital, inclusive Belo Horizonte -'</t>
  </si>
  <si>
    <t xml:space="preserve">1.  Considerando 17000 vagas em especializações que serão  no de 2025 em todo o estado ;
2. Considerando  5 modalidades de cursos fora da região metropolitana que necessitam de instrutores de BH;
3. Considerando 23 modalidades de cursos com 3 colaboradores (2 docentes e 1 coordenador) em cada curso.4. Considerando o envio do servidor para especialização, visita técnica ou representação em outra instituição.         5.Considerando o quantitativo 64 de servidores lotados na estrutura </t>
  </si>
  <si>
    <t>Anexo II do Decreto Nº 47.893, de 24 de março de 2020;              * Preço de diária Exterior Demais servidores (considerando a cotação do valor do dólar em R$ 5,53)</t>
  </si>
  <si>
    <t>Considerando a estimativa da realização de 30 Turmas de Treinamento com Arma de Fogo</t>
  </si>
  <si>
    <t>Estimativa do valor da Munição utilizada no Treinamento</t>
  </si>
  <si>
    <t>Realização de Curso Operacional</t>
  </si>
  <si>
    <t>Adequação do quantitativo de material bélico a ser guardado na intendência.</t>
  </si>
  <si>
    <t>Estimativa de valor</t>
  </si>
  <si>
    <t xml:space="preserve"> Adequação de pessoal aos respectivos postos de trabalho, frente à possibilidade de retorno ao regime presencial</t>
  </si>
  <si>
    <t xml:space="preserve">Considerando o alojamento de servidores no centro de treinamento em treinamentos durante todo o ano </t>
  </si>
  <si>
    <t xml:space="preserve">1. Considerando que atualmente possuímos 7 capacitações em armamento; 2.Considerando que a arma de fogo é uma das ferramentas ordinárias do servidor; 3.Considerando a necessidade de evolução do treinamento das habilidades isoladas e cognitivas; 4. Considerando  o numero de 40 discentes por turma em cada capacitação; 5.Considerando a reserva de equipamentos para enventuais manutenções; </t>
  </si>
  <si>
    <t>Considerando a realização de 70 turmas por mês, 6.300 alunos por ano</t>
  </si>
  <si>
    <t>Considerando a realização de 70 turmas por mês, 7.630 alunos treinados por ano</t>
  </si>
  <si>
    <t>O valor é variável, que segue o padrão estabelecido na estrutura orgânica básica da SEJUSP instituída através Lei nº. 24.313, de 28 de abril de 2023.</t>
  </si>
  <si>
    <t>Em consonância com o valor disponibilizado no exercício financeiro de 2025. R$ 4 mil por mês para a Academia Estadual de Segurança Pública.</t>
  </si>
  <si>
    <t>Considerando a realização de 12 seminários/workshops/eventos por ano, com um total de, aproximadamente, 2 mil partipantes.</t>
  </si>
  <si>
    <t>Preço global baseado em pesquisa de mercado realizada na internet para curso avançado de IA/ obtida a partir de pesquisa com seis empresas.</t>
  </si>
  <si>
    <t>UNIDADE</t>
  </si>
  <si>
    <t>Valor baseado em cotação. Custo referente a licença de uso para utilzação de todo o acervo da biblioteca virtual corporativa (assinatura), para leitura integral em tela disponível no período de 1 meses (1 ano).</t>
  </si>
  <si>
    <t>A BOLSA É PREVISTA EM LEI, DESSA FORMA O SEU CÁLCULO É FIXADO DA SEGUINTE FORMA: 50% DO VALOR CORRESPONDE AO VALOR DO VENCIMENTO BÁSICO INICIAL DO CARGO DE POLICIAL PENAL, O QUE MULTIPLICADO PELO TOTAL DE CANDIDATOS A SEREM CONVOCADOS (1.600) CHEGA-SE AO VALOR TOTAL A SER DESPENDIDO.</t>
  </si>
  <si>
    <t xml:space="preserve">1. Considerando o envio do servidor para especialização, visita técnica ou representação em outra instituição.        2.Considerando o quantitativo 64 de servidores lotados na estrutura </t>
  </si>
  <si>
    <t>PREÇO GLOBAL BASEADO NA ÚLTIMA CONTRATAÇÃO PARA O MESMO OBJETO, QUAL SEJA, O 3º GRUPAMENTO DO CONCURSO REGIDO PELO EDITAL Nº 02/2021, NO QUAL FOI FEITO O CÁLCULO DO TOTAL DESPENDIDO DIVIDIDO PELO NÚMERO DE CANDIDATOS CONVOCADOS, RESULTANDO EM R$6.843,96 (SEIS MIL, OITOCENTOS E QUARENTA E TRÊS REAIS E NOVENTA E SEIS CENTAVOS).</t>
  </si>
  <si>
    <t xml:space="preserve">A SEPLAG REALIZOU UMA ANÁLISE DE CENÁRIOS DOS CONCURSOS PÚBLICOS DAS CARREIRAS DE POLICIAL PENAL/AGENTE DE SEGURANÇA PENITENCIÁRIO EM 17 ESTADOS DA FEDERAÇÃO, OBTENDO UMA MÉDIA DE VALOR DA INSCRIÇÃO, REFERENTE ÀS INSCRIÇÕES PARA O NÍVEL MÉDIO, R$ 95,58 (NOVENTA E CINCO REAIS E CINQUENTA E OITO CENTAVOS), CONFORME É A EXIGÊNCIA DE ESCOLARIDADE NO ESTADO DE MINAS GERAIS, MULTIPLICADO PELO NÚMERO MÁXIMO DE INSCRIÇÕES, 200.000 (DUZENTOS MIL) CANDIDATOS, QUANTITATIVO ESSE BASEADO NOS ÚLTIMOS CERTAMES REALIZADOS, PREVISÃO DE INSCRITOS PARA O CERTAME, O QUE TOTALIZA R$ 19.116.000,00 (DEZENOVE MILHÕES, CENTO E DEZESSEIS MIL REAIS). </t>
  </si>
  <si>
    <t>Custeio de 1 nova Unidade de Prevenção à Criminalidade Territorial conforme Acordo PD COMPOR 71/2022</t>
  </si>
  <si>
    <t>Valor dimensionado conforme os custos do Contrato de Gestão 02/2019 e reajuste previsto na CCT</t>
  </si>
  <si>
    <t xml:space="preserve">Nº de Kits para Facilitadores locais </t>
  </si>
  <si>
    <t xml:space="preserve">Valor do Kit para Facilitadores locais </t>
  </si>
  <si>
    <t xml:space="preserve">MÉDIA DE PROCESSOS POR MÊS </t>
  </si>
  <si>
    <t>PREÇO BASEADO NO HISTÓRICO DAS ÚLTIMAS VIAGENS</t>
  </si>
  <si>
    <t>Estimativa de custos com preços praticados  no mercado</t>
  </si>
  <si>
    <t>NÚMERO DE MATERIAIS X NÚMERO DE PRESOS</t>
  </si>
  <si>
    <t>PESQUISA DE MERCADO</t>
  </si>
  <si>
    <t>Quantitativo mensal de diárias referente a gestão e administração do programa de monitoração de condenados por meio de tornozeleira eletrônica, cuho contrato contempla atualmente 12.933 unidades.</t>
  </si>
  <si>
    <t>Custo médio mensal por tornozeleira (R$7,47 por dia x 30 dias do mês); A frequência do pagamento é mensal</t>
  </si>
  <si>
    <t>* Dar continuidade ao auxílio financeiro as unidades com termo de colaboração firmado com o Estado. **Quantitativa de vagas disponibilizada atualmente, 5.827 (cinco mil oitocentos e vinte e sete) vagas.                 ***Nesta estimativa de vagas, o cálculo foi realizado com base no custo médio mensal por recuperando de R$ 1.694,60 (um mil seiscentos e noventa e quatro reais e sessenta centavos). Cálculo custo médio é realizado com o valor previsto no orçamento dividido pelo número de vagas, dividido por 12 meses.                                                                      ****O Orçamento aprovado para o exercício 2025 foi utilizado como base de cálculo para os valores ora apresentados.</t>
  </si>
  <si>
    <t>Custo médio mensal por recuperando de R$ 1.694,60 (um mil seiscentos e noventa e quatro reais e sessenta centavos)).
Repasses trimestrais e quadrimestrais para as APACs</t>
  </si>
  <si>
    <r>
      <t xml:space="preserve">O Valores dos termos de colaboração firmados entre Estado , APACs e FBAC, no que se refere as rubrícas de despesas com pessoal, </t>
    </r>
    <r>
      <rPr>
        <b/>
        <u/>
        <sz val="11"/>
        <color theme="1"/>
        <rFont val="Calibri"/>
        <family val="2"/>
        <scheme val="minor"/>
      </rPr>
      <t>quando</t>
    </r>
    <r>
      <rPr>
        <sz val="11"/>
        <color theme="1"/>
        <rFont val="Calibri"/>
        <family val="2"/>
        <scheme val="minor"/>
      </rPr>
      <t xml:space="preserve"> são corrigidos utilizamos a CCT - Convenção Coletiva do Trabalho, conforme estabelece o decreto 47.132/2017. Seguindo orientação da</t>
    </r>
    <r>
      <rPr>
        <b/>
        <sz val="11"/>
        <color theme="1"/>
        <rFont val="Calibri"/>
        <family val="2"/>
        <scheme val="minor"/>
      </rPr>
      <t xml:space="preserve"> SPOF</t>
    </r>
    <r>
      <rPr>
        <sz val="11"/>
        <color theme="1"/>
        <rFont val="Calibri"/>
        <family val="2"/>
        <scheme val="minor"/>
      </rPr>
      <t>, o valor base para cálculo foi considerado a média dos últimos três anos, desta forma o percentual estimado para cálculo foi 6,24</t>
    </r>
    <r>
      <rPr>
        <b/>
        <u/>
        <sz val="11"/>
        <color theme="1"/>
        <rFont val="Calibri"/>
        <family val="2"/>
        <scheme val="minor"/>
      </rPr>
      <t>%.</t>
    </r>
    <r>
      <rPr>
        <sz val="11"/>
        <color theme="1"/>
        <rFont val="Calibri"/>
        <family val="2"/>
        <scheme val="minor"/>
      </rPr>
      <t xml:space="preserve">  </t>
    </r>
  </si>
  <si>
    <t>Aplicado em correção ao valor global, CONSIDERANDO APENAS A DESPESA COM PESSOAL uma vez ao ano.</t>
  </si>
  <si>
    <t xml:space="preserve">O Valores dos termos de colaboração firmados entre Estado, APACs e FBAC, no que se refere as rubrícas de custeio, quando são corrigidos utilizamos o indíce do IPCA - Índice Nacional de Preços ao Consumidor Amplo, conforme estabelece o decreto 47.132/2017. Seguindo orientação da SPOF, o valor base para cálculo foi considerado a média dos últimos três anos, desta forma o percentual estimado para cálculo foi 4,71%. </t>
  </si>
  <si>
    <t>Aplicado em correção ao valor global, PARA CUSTEIO DAS RUBRICAS uma vez ao ano.</t>
  </si>
  <si>
    <t>Valores estimados conforme pesquisa de mercado</t>
  </si>
  <si>
    <t xml:space="preserve">NÚMERO MÉDIO DE LIBERAÇÕES MENSAIS </t>
  </si>
  <si>
    <t>VALOR POR UNIDADE PRISIONAL AUTORIZADO PELA SEPLAG</t>
  </si>
  <si>
    <t xml:space="preserve">CONTRATAÇÃO ANUAL </t>
  </si>
  <si>
    <t xml:space="preserve">VALOR DA ÚLTIMA CONTRATAÇÃO REALIZADA </t>
  </si>
  <si>
    <t>Média de 22.000 processos por ano</t>
  </si>
  <si>
    <t xml:space="preserve">Valor da diária de municípios especiais, por se tratar do maior fluxo, conforme Decreto 47.045/2016 </t>
  </si>
  <si>
    <t>Média de 1500 processos por ano</t>
  </si>
  <si>
    <t>Média de 2230 processos por ano</t>
  </si>
  <si>
    <t>Portal de Compras MG</t>
  </si>
  <si>
    <t>Pesquisa em site de busca - Internet</t>
  </si>
  <si>
    <t>Estudo de Mercado (Orçamentos Fornecedores)</t>
  </si>
  <si>
    <t>Valores postos pela Administração Pública</t>
  </si>
  <si>
    <t>Demanda apresentada pelas unidades médico-penais que realizam exames periciais</t>
  </si>
  <si>
    <t>Pesquisa na internet</t>
  </si>
  <si>
    <t>Solicitação de orçamento via e-mail (apenas duas empresas fornecedores)</t>
  </si>
  <si>
    <t xml:space="preserve">20 unidades para realizar mutirões conforme Termo de Cooperação Técnica entre SEJUSP e DEFENSORIA PÚBLICA. O TCT prevê a participação da SEJUSP em 12 mutirões a serem realizados em unidades prisionais que não contam com Defensoria Pública na comarca. Ademais, são realizados mutirões em cooperação técnica com a Defensoria Pública em unidades que contam com a atuação do referido órgão. </t>
  </si>
  <si>
    <t>RP: 195/2021 - Licitação 230/2020</t>
  </si>
  <si>
    <t>Custeio de nova parceria</t>
  </si>
  <si>
    <t>A expectativa de custo atual de 1 Unidade de Prevenção à Criminalidade Regional é de R$ 985 mil/ano. Considerando que o Edital a ser lançado preverá a execução de 3 UPC, tem-se o valor estimado de R$ 2,9 milhões/ano. Além disso, prevê-se o custo da área meio da Organização Social em torno de R$ 600 mil/ano.</t>
  </si>
  <si>
    <t xml:space="preserve">Nº de Kits para Formadores locais </t>
  </si>
  <si>
    <t xml:space="preserve">Valor do Kit para Formadores locais </t>
  </si>
  <si>
    <t>Número de Analistas Técnicos Jurídicos do sistema prisional</t>
  </si>
  <si>
    <t>Pesquisa de mercado</t>
  </si>
  <si>
    <t xml:space="preserve">Nº de Kits para Apoiadores locais </t>
  </si>
  <si>
    <t xml:space="preserve">Valor do Kit para Apoiadores locais </t>
  </si>
  <si>
    <t>Nº de Material para criança</t>
  </si>
  <si>
    <t>Valor do Material para criança</t>
  </si>
  <si>
    <t>Registro de Preço</t>
  </si>
  <si>
    <t>Número de diárias utilizadas (5) X Número de servidores favorecidos (2)</t>
  </si>
  <si>
    <t>Tabela de Valores de viagens nacionais - Faixa I (Demais municípios) - DCF/SULOT</t>
  </si>
  <si>
    <t>Média do preço na internet</t>
  </si>
  <si>
    <t>Demanda levantada para atender às unidades prisionais que possuem espaços ou demanda para atividades educacionais</t>
  </si>
  <si>
    <t>Média de preço, 3 cotações via internet</t>
  </si>
  <si>
    <t>Número de diárias utilizadas(3) X Número de servidores favorecidos (2)</t>
  </si>
  <si>
    <t>Tabela de Valores de viagens nacionais - Faixa I (Municípios especiais e municípios de outros Estados que não sejam capitais)</t>
  </si>
  <si>
    <t>Número de diárias utilizadas(3) X Número de servidores favorecidos (200)</t>
  </si>
  <si>
    <t>Tabela de Valores de viagens nacionais - Faixa I (Capitais, inclusive Belo Horizonte)</t>
  </si>
  <si>
    <t>Demanda levantada  conforme pesquisa de acervos das unidades prisionais e indicativo de obras mais lidas pelos IPLs</t>
  </si>
  <si>
    <t>Unidades</t>
  </si>
  <si>
    <t>Portal de Compras</t>
  </si>
  <si>
    <t>PREGÃO</t>
  </si>
  <si>
    <t>Valor fixo estabelicido em contrato</t>
  </si>
  <si>
    <t>Previsão considerando que são 13 equipes de segurança sob Gestão da Suase</t>
  </si>
  <si>
    <t>Valor disponibilizado pela área meio</t>
  </si>
  <si>
    <t>QUANTITATIVO PARA REDUZIR O DEFICIT DA SEJUSP</t>
  </si>
  <si>
    <t>Preço obtido por estimativa indicada no Banco de Projetos de Minas Gerais para aquisição dos veículos administrativos acrescido de 4% referente ao IPCA</t>
  </si>
  <si>
    <t>QUANTIDADE NECESSÁRIA</t>
  </si>
  <si>
    <t>Contrato Celebrado Agiel</t>
  </si>
  <si>
    <r>
      <t xml:space="preserve">*Solicitação por parte da FBAC de </t>
    </r>
    <r>
      <rPr>
        <b/>
        <u/>
        <sz val="11"/>
        <color theme="1"/>
        <rFont val="Calibri"/>
        <family val="2"/>
        <scheme val="minor"/>
      </rPr>
      <t>AMPLIAÇÃO</t>
    </r>
    <r>
      <rPr>
        <sz val="11"/>
        <color theme="1"/>
        <rFont val="Calibri"/>
        <family val="2"/>
        <scheme val="minor"/>
      </rPr>
      <t xml:space="preserve"> da capacidade de APACs já em operação, ampliação de 470 (quatrocentos e setenta) novas vagas. Nesta estimativa para 2026 passaria de 5.827 (cinco mil oitocentos e vinte e sete ) para 6.297 (seis mil duzentos e noventa e sete) vagas disponibilizadas, com custo médio mensal por recuperando de R$ 1.694,60 (um mil seiscentos e noventa e quatro reais e sessenta centavos). Cálculo custo médio é realizado com o valor do orçamento aprovado para exercício 2025 dividido pelo número de vagas, dividido por 12 meses.                                                           ** O Orçamento aprovado para o exercício 2025 foi utilizado como base de cálculo para os valores ora apresentados.                                      *** Conforme processo SEI 1450.01.0129802/2021-21, Ofício FBAC novas APACs 2023 (47577649).</t>
    </r>
  </si>
  <si>
    <t>Custo médio mensal por recuperando de  R$ 1.694,60 (um mil seiscentos e noventa e quatro reais e sessenta centavos).
Repasses trimestrais e quadrimestrais para as APACs</t>
  </si>
  <si>
    <t>Aditivo (25%) ao Contrato de locação de 80 veículos caminhonete cela humanizada
  (Contrato Localiza Nº 9458916/2025) (1450.01.0241505/2024-52)</t>
  </si>
  <si>
    <t>Valor unitário (R$ 10.659,22 + 6%)</t>
  </si>
  <si>
    <t>Qtde de veículo locado -
 Projeto de locação de 150 veículos caminhonete cela humanizada</t>
  </si>
  <si>
    <t>Valor unitário (R$ R$ 10.659,22 + 25%)</t>
  </si>
  <si>
    <t>1 serviço de consultoria</t>
  </si>
  <si>
    <t>Pesquisas de mercado (portal de compras) e contratação recente de pesquisa diagnóstica</t>
  </si>
  <si>
    <t>Nº de Diárias para servidores</t>
  </si>
  <si>
    <t>Valor de diárias para servidores</t>
  </si>
  <si>
    <t>VALOR MÉDIO DO MERCADO</t>
  </si>
  <si>
    <t>RP: 26/2024</t>
  </si>
  <si>
    <t>Pregão</t>
  </si>
  <si>
    <t>Tabela de Valores de viagens nacionais - Faixa I (Demais municípios) - DFC/SULOT</t>
  </si>
  <si>
    <t xml:space="preserve">Tabela de Valores de viagens nacionais - Faixa I (Municípios especiais e municípios de outros Estados que não sejam capitais) - DFC/SULOT </t>
  </si>
  <si>
    <t>Média baseada no histórico dos contratos vigentes</t>
  </si>
  <si>
    <t>NÚMERO DE DIÁRIAS UTILIZADAS (1) X NUMERO DE SERVIDORES FAVORECIDOS (3)</t>
  </si>
  <si>
    <t>Tabela de Valores de viagens nacionais - Faixa I - Decreto nº 47.045</t>
  </si>
  <si>
    <t>Contratação de OS para cogestão de unidade prisional</t>
  </si>
  <si>
    <t>Levantamento do custo de manutenção da unidade e contratação de pessoal junto à área meio da SEJUSP</t>
  </si>
  <si>
    <t>QUANTITATIVO ESTIMADO PARA SUPRIR O DÉFICIT DE ARMAS NO SISTEMA PRISIONAL</t>
  </si>
  <si>
    <t>De acordo com necessidade</t>
  </si>
  <si>
    <t>De acordo com valor de mercado</t>
  </si>
  <si>
    <t>De acordo com histórico</t>
  </si>
  <si>
    <t>De acordo com o valor paga</t>
  </si>
  <si>
    <t>Histórico</t>
  </si>
  <si>
    <t>Média</t>
  </si>
  <si>
    <t>Estimado</t>
  </si>
  <si>
    <t>média</t>
  </si>
  <si>
    <t>Valor da guia estabelecido em contrato</t>
  </si>
  <si>
    <t>Servidor disponível 24/7
- Hospedagem de 1 servidor no Datacenter da PRODEMGE</t>
  </si>
  <si>
    <t>Valor fixo  estabelecido em contrato
- Valor referente a Hospedagem de 1 servidor no datacenter da PRODEMGE</t>
  </si>
  <si>
    <t>Site disponível 24/7
- Hospedagem de 4 stemas no Datacenter da PRODEMGE</t>
  </si>
  <si>
    <t>Valor fixo  estabelecido em contrato
- Valor referente aos sistemas hospedados:
*www.seap.mg.gov.br
*www.dac.mg.gov.br
*JJAB – Indivíduo mantido no cadastro
*JJAB – Atualização semanal – Armazém – Registro de Presos
 no datacenter da PRODEMGE</t>
  </si>
  <si>
    <t>*Processamento e Manutenção da Plataforma 700x12 *Suporte técnico Especializado ao Gestor 184x12</t>
  </si>
  <si>
    <t>Plataforma de Autenticação, Autorização e Gestão de Papeis de Sistemas</t>
  </si>
  <si>
    <t>*300 Horas Manutenção Emergencial de Sistemas de Informação.
*Produção (1 Atualização diária – Análise de dados para carga e 694,88 GB  de Ocupação Área Disco / Processamento de Dados)
*520 Horas de Suporte técnico em Business Intelligence – horário comercial</t>
  </si>
  <si>
    <t>Valor fixo estabelecido em contrato</t>
  </si>
  <si>
    <t>*1.751 horas de Manutenção de Solução de Business Intelligence</t>
  </si>
  <si>
    <t>Previsão contratual  de 40 participantes</t>
  </si>
  <si>
    <t xml:space="preserve"> Produção e cessão de uso das funcionalidades do Prontuário Digital, SIGPRI e Portal SIGPRI</t>
  </si>
  <si>
    <t>Hospedagem dos Sistemas SIDS:
* Hospedagem de Sistemas em Mainframe - Sistema SIDS -(SXA2)
*Rede INFOSEG A1IF 
*Extração de Dados - Veículos
*www.acessosids.mg.gov.br
*Hospedagem de sistemas- Camada 2.2- (www.sicods.mg.gov.br)
*www.armazemsids.mg.gov.br
*Hospedagem de Sistemas  – ISP</t>
  </si>
  <si>
    <t>Hospedagem de sistemas - Camada 2.1- (www.www.seguranca.mg.gov.br)</t>
  </si>
  <si>
    <t>Hospedagem de Sistemas  - SIAME</t>
  </si>
  <si>
    <t>Hospedagem do Site www.infopen.mg.gov.br e 5.760 Horas de Sustentação</t>
  </si>
  <si>
    <t xml:space="preserve">*29 Acesso a Solução de Business Intelligence – Modalidade Relatórios Gerenciais.
*20 Acesso Adicional a Solução de Business Intelligence – Modalidade Relatórios Gerenciais.
*1  Atualização diária – Análise de dados para carga - INFOPEN.
*18,13 GB de Ocupação Área Disco / Processamento de Dados.
</t>
  </si>
  <si>
    <t>Plataforma Data Lake - faixa 5, com memória de 512GB e armazenamento de 64TB.</t>
  </si>
  <si>
    <t xml:space="preserve">28.584 Horas de sustentação para para as aplicações do SIDS.
</t>
  </si>
  <si>
    <t>10- Sistemas Hospedados em Treinamento.
24- Sistemas Hospedados em Produção.</t>
  </si>
  <si>
    <t>*37,82 de Serviço de Desenvolvimento e manutenção de sistemas por alocação de perfis profissionais</t>
  </si>
  <si>
    <t xml:space="preserve"> 3 unidades: Emissão/Renovação de Certificado Digital, do tipo A1, na hierarquia da AC RFB da ICP-Brasil, eCNPJ, validade de 1 ano; 230 unidades: Emissão de Certificado Digital, do tipo A3, na hierarquia da AC RFB da ICP-Brasil, e-CPF, COM FORNECIMENTO DE TOKEN, validade; 6 unidades Emissão de Certificado Digital, do tipo A3, na hierarquia da AC RFB da ICP-Brasil, e-CNPJ, COM FORNECIMENTO DE TOKEN, validade de 3 anos; 80 unidades Emissão/Renovação de Certificado Digital, do tipo A3, na hierarquia da AC RFB da ICP-Brasil, eCPF, SOMENTE CERTIFICADO, validade de 3 anos; 6 unidades: Emissão/Renovação de Certificado Digital, do tipo A3, na hierarquia da AC RFB da ICP-Brasil, eCNPJ, SOMENTE CERTIFICADO, validade de 3 anos e 15 unidades: Serviço de fornecimento de certificado digital SSL A1 ICP-BRASIL.</t>
  </si>
  <si>
    <t>Serviços Especializados em Inteligência de Dados e Sustentação</t>
  </si>
  <si>
    <t>Conexão VPN-L</t>
  </si>
  <si>
    <t>Serviço de Desenvolvimento e manutenção de sistemas por alocação de perfis profissionais</t>
  </si>
  <si>
    <t>Serviço de software de licenças</t>
  </si>
  <si>
    <t>Licença Software</t>
  </si>
  <si>
    <t>Valor estabelicido em contrato</t>
  </si>
  <si>
    <t>LEVANTAMENTO DA NECESSIDADE NAS UNIDADES DA SEJUSP</t>
  </si>
  <si>
    <t>A proposta visa a instalação de sistemas de bloqueio de sinal de telefonia móvel em 7 unidades prisionais, como medida de enfrentamento ao uso indevido de aparelhos celulares por custodiados, prática que alimenta redes criminosas dentro e fora do sistema prisional.
A definição do volume considera:
Diagnóstico de unidades com maior incidência de apreensão de celulares;
Ausência ou ineficácia de sistemas já existentes;
Critérios de prioridade definidos pela SEJUSP e SENAPPEN;
Adequação à infraestrutura elétrica e arquitetônica das unidades.
Estimativa de volume:
1 sistema completo por unidade (customizado conforme porte e arquitetura);
Total: 7 sistemas de bloqueio com abrangência multibanda (2G a 5G), operando de forma controlada e legalmente regulamentada.</t>
  </si>
  <si>
    <t>Será necessária aquisição de 335 notebooks para atender a atual população carcerária do estado de Minas Gerais.
O número de equipamentos foi calculado proporcionalmente ao número da população carcerária da unidade prisional, aferida em abril/2022, conforme a seguir exposto:
Até 200 custodiados - 1 Notebook, que totaliza 113 unidades prisionais; Até 400 custodiados - 2 Notebooks, que totaliza 31 unidades prisionais; Até 600 custodiados - 3 Notebooks, que totaliza 9 unidades prisionais; Até 800 custodiados - 4 Notebooks, totalizando 7 unidades prisionais e, por fim, acima de 800 custodiados - 5 Notebooks, totalizando 21 unidades prisionais.</t>
  </si>
  <si>
    <t>Número de Analistas Técnicos Jirídicos do sistema prisional</t>
  </si>
  <si>
    <t>Número de Analistas Tecnicos Jurídicos do sistema prisional</t>
  </si>
  <si>
    <t>Média do número de custodiados do sistema prisional</t>
  </si>
  <si>
    <t>Custo da impressão de 1 cartilha</t>
  </si>
  <si>
    <t>Demanda levantada pelos Núcleos de Ensino de unidades prisionais para substituição dos computadores</t>
  </si>
  <si>
    <t>Demandas levantada de unidades priosionais que possuem núcleo de ensino (não inclusos no TDCO)</t>
  </si>
  <si>
    <t xml:space="preserve">TAXA ANUAL DE LICENCIAMENTO DE RÁDIO COMUNICAÇÃO </t>
  </si>
  <si>
    <t>Taxa Anual Anatel 2500</t>
  </si>
  <si>
    <t>CONTRATO VIGENTE</t>
  </si>
  <si>
    <t xml:space="preserve">168 unidades primeiros + 2 para a Diretoria de Classificação Técnica </t>
  </si>
  <si>
    <t>Média de preço, 03 cotações via internet</t>
  </si>
  <si>
    <t>CONTRATO VIGÊNTE</t>
  </si>
  <si>
    <t>82 Unidades que possuem comissão de classificação + 1 para a Diretoria de Classificação Técnica</t>
  </si>
  <si>
    <t>171 unidade prisionais + 7 para a Diretoria de Classificação Técnica</t>
  </si>
  <si>
    <t>Unidade da Diretoria</t>
  </si>
  <si>
    <t>Distribuição de 3 notebooks para todas as unidades prisionais sob gestão do DEPEN</t>
  </si>
  <si>
    <t>REGISTRO DE SOLICITAÇÕES DO MATERIAL</t>
  </si>
  <si>
    <t>Para a unidade materno infantil, Centro de Referência a Gestante de Liberdade</t>
  </si>
  <si>
    <t>Média de preços, 3 cotações via internet</t>
  </si>
  <si>
    <t>MÉDIA DE PREÇOS DOS ITENS NECESSÁRIOS</t>
  </si>
  <si>
    <t>19 Regiões Integradas de Segurança Pública + 1 para a Diretoria de Classificação Técnica</t>
  </si>
  <si>
    <t>Com base no valor unitário dos contratos vigentes</t>
  </si>
  <si>
    <t>QUANTIDADE DE SALAS NECESSÁRIAS À ACOMODAÇÃO DO CREAD</t>
  </si>
  <si>
    <t>VALOR MENSAL, ESTIPULADO PELA ADMINISTRAÇÃO DO CONDOMÍNIO P/ 5 SALAS</t>
  </si>
  <si>
    <t>ESTIMATIVA DE CUSTO REPSSADA PELA ADMINISTRAÇÃO DO CONDOMÍNIO</t>
  </si>
  <si>
    <t>QUANTIDADE NECESSÁRIA DE PROFISSIONAIS TÉCNICOS</t>
  </si>
  <si>
    <t>VALOR DO POSTO MGS</t>
  </si>
  <si>
    <t xml:space="preserve">QUANTIDADE NECESSÁRIA DE PROFISSIONAIS </t>
  </si>
  <si>
    <t>Mensal</t>
  </si>
  <si>
    <t>mensal</t>
  </si>
  <si>
    <t>Quantitativo mensurado para distribuição à todas as unidades prisionais, parceiros do sistema prisional, órgãos da adm. direta, RISPs, Gestão central do DEPEN.</t>
  </si>
  <si>
    <t>cameras</t>
  </si>
  <si>
    <t>VALOR ESTIMADO CONFORME PREÇO DE MERCADO PARA ITENS DE LIMPEZA E HIGIENE</t>
  </si>
  <si>
    <t>VALOR MENSAL ESTIMADO CONJUNTAMENTE AO GESTOR ANTERIOR DO PÁTIO GAMELEIRA</t>
  </si>
  <si>
    <t>* 01 posto de ASSESSOR TECNICO NIVEL II - 40H</t>
  </si>
  <si>
    <t>Contrato MGS Celebrado</t>
  </si>
  <si>
    <t xml:space="preserve">Pagamento de parcelas referentes aos Termos de Colaboração no Eixo Prevenção  </t>
  </si>
  <si>
    <t>Valor estabelecido nos Editais de Chamamento Público Sedese + aplicação de CCT2026</t>
  </si>
  <si>
    <t>Contratação de 1 (uma)  empresa especializada no desenvolvimento de sistemas x quantidade de sistemas  a serem desenvolvidos(1)</t>
  </si>
  <si>
    <t>Contrato de Prestação de Serviço</t>
  </si>
  <si>
    <t>Valor da diária de acordo com Decreto 47.045/2016 (faixa I)
 Média entre diária municípios especiais e municípios de outros Estados que não sejam capitais (R$362,00) e demais municípios (R$ 258,00)</t>
  </si>
  <si>
    <t>Disseminação das diretrizes da Política sobre Drogas junto as entidades parceiras</t>
  </si>
  <si>
    <t>Orçamentos</t>
  </si>
  <si>
    <t>02 SUPORTE ADMINISTRATIVO DIARISTA 40 HORAS</t>
  </si>
  <si>
    <t>QUANTIDADE ATUAL</t>
  </si>
  <si>
    <t>MOTORISTA 40H SEMANAIS</t>
  </si>
  <si>
    <t>Quantidade de vagas a serem contratadas em Osc´s parceiras no eixo Cuidado/ Acolhimento e 
e Reinserção Social e  Econômica
 x Valor definido no Edital de Credenciamento para o custeio por vaga</t>
  </si>
  <si>
    <t>Valor estabelecido mediante Contratos por número de vagas</t>
  </si>
  <si>
    <t>Quantidade de vagas contratadas em Osc´s parceiras no eixo Cuidado/ Acolhimento e 
e Reinserção Social e  Econômica
 x Valor definido no Edital de Credenciamento para o custeio por vaga</t>
  </si>
  <si>
    <t>Valor estabelecido mediante Contratos por número de vagas,  reajustado pelo percentual acumulado do IPCA.</t>
  </si>
  <si>
    <t>Valor previsto no OBZ 2025 x 5% de inflação</t>
  </si>
  <si>
    <t>(Valor previsto contratualmente para 2025 - Valor previsto no OBZ 2025) x 5% de inflação</t>
  </si>
  <si>
    <t>Valor estipulado para diárias de viagem durante o ano</t>
  </si>
  <si>
    <t>Valor quadrimestral estipulado para diárias de viagem durante o ano</t>
  </si>
  <si>
    <t>Planilha orçamentária da DIN + Reajuste anual</t>
  </si>
  <si>
    <t>Pesquisa de mercado (valor aproximado do Boiler + instalação)</t>
  </si>
  <si>
    <t>Valores estimados com base em outras obras executadas pela SUASE</t>
  </si>
  <si>
    <t>Pessoas capacitadas</t>
  </si>
  <si>
    <t>Preço levantado junto ao Corpo de Bombeiros Militar de Minas Gerais</t>
  </si>
  <si>
    <t>Preços estimados conforme obras recentemente executadas pela SEINFRA</t>
  </si>
  <si>
    <t>Litros</t>
  </si>
  <si>
    <t>Preço médio de mercado</t>
  </si>
  <si>
    <t>Orçamentos realizados</t>
  </si>
  <si>
    <t>Preço estimado com base em outros contratos celebrados pela DSG e pesquisa de mercado</t>
  </si>
  <si>
    <t>Novos ares condicionaidos
Valor do Contrato em fase de licitação 2024, valores utilizados com base em atas de rp
Contrato em licitação</t>
  </si>
  <si>
    <t>RP: 114/2023  -   Licitação: 287/2022</t>
  </si>
  <si>
    <t>Consumo total de litros de combustível (álcool) abastecidos, com incidência de 5%</t>
  </si>
  <si>
    <t>Valor do contrato atual Vibra Energia - Incidência de 5%</t>
  </si>
  <si>
    <t>Aluguel conforme contrato nº 9393203/2023</t>
  </si>
  <si>
    <t>1 recurso de pronto pagamento por unidade de gestão direta (x11), 1 recurso de pronto pagamento por superintendência (x2), 1 recurso de pronto pagamento para gabinete</t>
  </si>
  <si>
    <t>Valor conforme diretriz da SPOF</t>
  </si>
  <si>
    <t>Diárias de viagens realizadas durante o ano</t>
  </si>
  <si>
    <t>VALOR DA DIÁRIA DE ACORDO COM DECRETO 47.045/2016 (FAIXA II - MUNICÍPIO ESPECIAL)</t>
  </si>
  <si>
    <t>Despesas com transportes urbanos realizadas durante o ano</t>
  </si>
  <si>
    <t>Valor estipulado para transportes urbanos durante o ano</t>
  </si>
  <si>
    <t>Bisnaga 10g</t>
  </si>
  <si>
    <t>PACOTE 100 UNIDADES</t>
  </si>
  <si>
    <t>SERINGA 2,5 ml</t>
  </si>
  <si>
    <t>FRASCO 10 ml</t>
  </si>
  <si>
    <t>FRASCO COM 80 GRAMAS</t>
  </si>
  <si>
    <t>FRASCO 4 ml</t>
  </si>
  <si>
    <t>Caixa com 10 unidades</t>
  </si>
  <si>
    <t>FRASCO 10ML</t>
  </si>
  <si>
    <t>FRASCO DE 5 LITRO</t>
  </si>
  <si>
    <t>CAIXA (Pacote) 100 UNIDADES</t>
  </si>
  <si>
    <t>Frasco de 500 ml</t>
  </si>
  <si>
    <t>Frasco 1 Litro</t>
  </si>
  <si>
    <t>UNIDADE (500g)</t>
  </si>
  <si>
    <t>Pacote</t>
  </si>
  <si>
    <t>TUBO COM 100 Unidades</t>
  </si>
  <si>
    <t>Pacote com 12 rolos</t>
  </si>
  <si>
    <t>POTE 12 GRAMAS</t>
  </si>
  <si>
    <t>UNIDADE SACHÊ 40 GRAMAS</t>
  </si>
  <si>
    <t>CAIXA COM 12 LÂMINAS</t>
  </si>
  <si>
    <t>UNIDADE - Bisnaga de 30g</t>
  </si>
  <si>
    <t>UNIDADE (KIT PÓ/LÍQUIDO)</t>
  </si>
  <si>
    <t>KIT (PÓ E LÍQUIDO)</t>
  </si>
  <si>
    <t>Ampola de 10mL</t>
  </si>
  <si>
    <t>Frasco 250 ml</t>
  </si>
  <si>
    <t>FRASCO 250 ML</t>
  </si>
  <si>
    <t>Pacote com 5 Unidades</t>
  </si>
  <si>
    <t>FRASCO SPRAY 200 ML</t>
  </si>
  <si>
    <t>CAIXA 100 UNIDADES</t>
  </si>
  <si>
    <t>FRASCO 10 GRAMAS</t>
  </si>
  <si>
    <t>FRACOS 5 LITROS</t>
  </si>
  <si>
    <t>CAIXA 50 UNIDADES</t>
  </si>
  <si>
    <t>ROLO 70 M</t>
  </si>
  <si>
    <t>ROLO 100 M</t>
  </si>
  <si>
    <t>ROLO 4,5 M</t>
  </si>
  <si>
    <t>FRASCO 20 ml</t>
  </si>
  <si>
    <t>FRASCO 120 UNIDADES</t>
  </si>
  <si>
    <t>BLISTER 10 UNIDADES</t>
  </si>
  <si>
    <t>BLISTER COM 10 UNIDADES</t>
  </si>
  <si>
    <t>CAIXA 24 UNIDADES</t>
  </si>
  <si>
    <t>FRASCO 200 MILILITRO</t>
  </si>
  <si>
    <t>CAIXA 40 UNIDADES</t>
  </si>
  <si>
    <t>FRASCO DE 1 LITRO</t>
  </si>
  <si>
    <t>CAIXA C/ 10 UNIDADES</t>
  </si>
  <si>
    <t>EMBALAGEM C/ 25UNIDADES</t>
  </si>
  <si>
    <t>CAIXA COM 100 UNIDADES</t>
  </si>
  <si>
    <t>Caixa com 6 unidades</t>
  </si>
  <si>
    <t>CAIXA COM 6 UNIDADES</t>
  </si>
  <si>
    <t>Embalagem c/ 1 Par</t>
  </si>
  <si>
    <t>caixa com 100 Unidades</t>
  </si>
  <si>
    <t>Caixa com 50 Unidade</t>
  </si>
  <si>
    <t>Frasco 30 ml</t>
  </si>
  <si>
    <t>PACOTE 12 UNIDADES</t>
  </si>
  <si>
    <t>FRASCO 20 MILILITRO</t>
  </si>
  <si>
    <t>TUBO 90 GRAMAS</t>
  </si>
  <si>
    <t>FRASCO - 60ML</t>
  </si>
  <si>
    <t>FRASCO DE 100 mL</t>
  </si>
  <si>
    <t>PACOTE 40 UNIDADES</t>
  </si>
  <si>
    <t>CAIXA 50 UNIDADES
 (Carpule)</t>
  </si>
  <si>
    <t>Frasco 500 ml</t>
  </si>
  <si>
    <t>Pacote com 100 Unidade</t>
  </si>
  <si>
    <t>Envelope
 (Unidade)</t>
  </si>
  <si>
    <t>PACOTE 12,00 UNIDADE</t>
  </si>
  <si>
    <t>CAIXA 150 UNIDADES</t>
  </si>
  <si>
    <t>EMBALAGEM C/ 50 UNIDADES</t>
  </si>
  <si>
    <t>Caixa 50 Unidades</t>
  </si>
  <si>
    <t>R$ 7,20</t>
  </si>
  <si>
    <t>R$ 15,90</t>
  </si>
  <si>
    <t>Frasco de 100ml</t>
  </si>
  <si>
    <t>FRASCO COM 90g</t>
  </si>
  <si>
    <t>R$ 33,90</t>
  </si>
  <si>
    <t>R$ 10,90</t>
  </si>
  <si>
    <t>DECRETO 48410, DE 18/04/2022</t>
  </si>
  <si>
    <t>Expectativa de 26 processos (viagens) por ano; média de 2 diárias por processo, considerando 2 servidores.</t>
  </si>
  <si>
    <t>Decreto de diárias 47045 de 14/09/209</t>
  </si>
  <si>
    <t>Equipamentos para atender as unidades socioeducativas de gestão direta.</t>
  </si>
  <si>
    <t>Pesquisa na Internet</t>
  </si>
  <si>
    <t>Passagem de ida e volta dos adolescentes em cursos, atividades educacionais. culurais e esportivas</t>
  </si>
  <si>
    <t>Tarifas dos Onibus metropolitanos de BH</t>
  </si>
  <si>
    <t>Material destinado as escolas que atendem o Sistema Socioeducativo</t>
  </si>
  <si>
    <t>Capacitação de 30 servidores, em 8 encontros distintos.</t>
  </si>
  <si>
    <t>Uma viagem no ano para as unidades socioeducativas definidas em cronograma prévio junto à Superintendência.</t>
  </si>
  <si>
    <t>Decreto de diárias nº47045 de 14/09/2026</t>
  </si>
  <si>
    <t>Atualmente, temos 09 unidades de gestão direta em todo estado e não é possível prever antecipadamente quantos adolescentes admitidos nestas unidades estão fora de suas comarcas de origem e quais comarcas são, inviabilizando assim o cálculo das rotas e empresas de transporte. Em levantamento realizado em setembro de 2021 foram identificados 69 adolescentes nessa situação cuja estimativa de gasto com passagens rodoviárias foi de (total de visitantes por adolescentes e uma visita por mês): R$10.984,00</t>
  </si>
  <si>
    <t>Decreto 48410, de 18 /04/2022</t>
  </si>
  <si>
    <t>Para atender 12 unidades da Gestão Direta do Estado (média de 4 por unidade)</t>
  </si>
  <si>
    <t>Valor disponibilizado pela área meio; pesquisa de mercado</t>
  </si>
  <si>
    <t>Para atender 12 equipes da Gestão Direta do Estado (média de 4 por unidade)
 Para atender 11 Núcleos especializados (média de 2 por unidade)</t>
  </si>
  <si>
    <t>Para atender 12 unidades da Gestão Direta do Estado (média de 2 por unidade)</t>
  </si>
  <si>
    <t>Para atender 12 equipes da Gestão Direta do Estado e (média 12 por unidade) e os 11 Núcleos Especializados em instalação nas unidades de gestão em parceria (média 6 por unidade)</t>
  </si>
  <si>
    <t>Para atender 13 unidades da Gestão Direta do Estado, demanda varia conforme o porte da unidade</t>
  </si>
  <si>
    <t>- Previsão de pelo menos 4 radios por unidade, acrescido de 30% para reposição.
 - São 13 unidades de Gestão Direta</t>
  </si>
  <si>
    <t>- Previsão de pelo menos 5 algemas por unidade.
 - São 13 unidades de Gestão Direta</t>
  </si>
  <si>
    <t>Consulta ao portal de compras melhores preços</t>
  </si>
  <si>
    <t>São 13 equipes de Gestão Direta e 11 Núcleos especializados nos CSEs de Gestão em parceria, estimando: 45 - TAM - G 
 60 - TAM - M
 60 - TAM - P</t>
  </si>
  <si>
    <t>Atendimento para 13 unidades de Gestão Direta (1 por unidade )</t>
  </si>
  <si>
    <t>Para atendimento à equipe do Grupamento de Ações Rápidas - GAR.</t>
  </si>
  <si>
    <t>2 servidores por unidade do interior (gestão direta ou híbrida) por ação presencial.</t>
  </si>
  <si>
    <t>Decreto nº 47.045, de 14/09/2016</t>
  </si>
  <si>
    <t>Contrato vigente</t>
  </si>
  <si>
    <t>diária nr de servidores x nr de dias (equipe completa de 4 servidores x 5 dias)</t>
  </si>
  <si>
    <t>Anexo I do Decreto Nº 48.410, de 18 de abril de 2022</t>
  </si>
  <si>
    <t>diária nr de servidores x nr de dias (equipe de 2 servidores x 5 dias)</t>
  </si>
  <si>
    <t>Memorando SEJUSP /DCF.nº496/2022</t>
  </si>
  <si>
    <t>Abrangência e Cobertura de Áreas Críticas: considera a instalação de câmeras de segurança em todos os pontos estratégicos da unidade</t>
  </si>
  <si>
    <t xml:space="preserve">Cotação de Mercado </t>
  </si>
  <si>
    <t>Novo contrato formalizado com nova forma de execução
Cálculo do preço fora utilizado estimativa com base nas execuções anteriores</t>
  </si>
  <si>
    <t>Contrato vigente + aditivo de 25% e reajuste de 4,6%</t>
  </si>
  <si>
    <t>Contrato novo em licitação + aditivo de 25% e reajuste de 4,6%</t>
  </si>
  <si>
    <t>Novo contrato vigente com acréscimo de 10% + 4,6 % de reajuste</t>
  </si>
  <si>
    <t xml:space="preserve">Contrato vigente + aditivo 10% e reajuste 4,6% + </t>
  </si>
  <si>
    <t>COM BASE NA PLANILHA DE CUSTOS DO DEMSUR</t>
  </si>
  <si>
    <t>Executado do contrato vigente + aditivo 25% + reajuste de 4,6%</t>
  </si>
  <si>
    <t>Executado contrato vigente + acréscimo de 25% e reajuste de 4,6%</t>
  </si>
  <si>
    <t>NOVO CONTRATO DE LOCAÇÃO, PARA PREVISÃO DAS UNIDADES SEM BODYSCAN, CONFORME DETERMINAÇÃO DO STF</t>
  </si>
  <si>
    <t>LOCAÇÃO</t>
  </si>
  <si>
    <t>Contrato vigente para placas de unidades inauguradas de 2025</t>
  </si>
  <si>
    <t>Contrato continuo vigente + reajuste de 4,6%</t>
  </si>
  <si>
    <t>Contrato vigente + reajuste ipca 4,6%</t>
  </si>
  <si>
    <t>Novo contrato a ser licitado com reavaliação do imóvel</t>
  </si>
  <si>
    <t>Novo contrato de acordo com a Lei nº 25.154, de 14/01/2025 + reajuste de 4,6% + 20% de acrescimo</t>
  </si>
  <si>
    <t>Novo contrato de acordo com a Lei nº 25.154, de 14/01/2025 + reajuste de 4,6% + 10% de acrescimo</t>
  </si>
  <si>
    <t>Novo contrato de acordo com a Lei nº 25.154, de 14/01/2025 + reajuste de 4,6% + 15% de acrescimo</t>
  </si>
  <si>
    <t>Faturas recebidas até abril (62 mil reais mensal) +  reajuste Arsae 6,42% + IR</t>
  </si>
  <si>
    <t>Faturas recebidas até abril (205.132,49 mil reais mensal) +  reajuste Arsae 6,42% + 10% de acréscimo de unidade/consumo + IR</t>
  </si>
  <si>
    <t>Faturas recebidas até abril (média de 10.714.159,79) +  reajuste Arsae 6,42% + entradas de novas unidades (Frutal, Itauna) (5%) + DEAs (R$ 350.000,00) + IR</t>
  </si>
  <si>
    <t>Faturas recebidas até abril (média de 170.433,84) +  reajuste Arsae 6,42% + IR</t>
  </si>
  <si>
    <t>Contrato vigente + 
Contrato com aumento de solicitação de bilhetes pela SUASE no ano de 2025</t>
  </si>
  <si>
    <t>Faturas emitidas até abril de 2025 (média 14.953,36)  reajuste aneel 7,36% + aumento de consumo de 15%</t>
  </si>
  <si>
    <t>Faturas emitidas até abril de 2025 (média 2928,61)  reajuste aneel 7,36% + aumento de consumo de 15%</t>
  </si>
  <si>
    <t>Faturas emitidas até abril de 2025 (média 21386,28)  reajuste aneel 7,36% + aumento de consumo de 15%</t>
  </si>
  <si>
    <t>Faturas emitidas até abril de 2025 (média 558.625,74)  reajuste aneel 7,36% + aumento de consumo de 15%</t>
  </si>
  <si>
    <t>Faturas emitidas até abril de 2025 (média 3.797,94)  reajuste aneel 7,36% + aumento de consumo de 15%</t>
  </si>
  <si>
    <t>Contrato vigente +  reajuste de 7,6% aneel</t>
  </si>
  <si>
    <t>Contrato vigente + aditivo de caixas a incluir (25%) e reajuste de 4,6%</t>
  </si>
  <si>
    <t>Contrato vigente + aditivo de caixas a incluir (10%) e reajuste de 4,6%</t>
  </si>
  <si>
    <t xml:space="preserve">AQUISIÇÃO </t>
  </si>
  <si>
    <t>Faturas recebidas de taxas de coletas de unidades tanto do ano vigente quanto de DEAs</t>
  </si>
  <si>
    <t>Faturas recebidas de taxas de coletas de resíduos que vem como IPTU de unidades tanto do ano vigente quanto de DEAs</t>
  </si>
  <si>
    <t>Cobertura Mínima das Unidades Prisionais</t>
  </si>
  <si>
    <t>Estimado do executado do Contrato vigente +  aditivo de novos geradores (25%) + reajuste de 4,6%</t>
  </si>
  <si>
    <t>Estimado do executado do Contrato vigente +  aditivo de novos geradores (15%) + reajuste de 4,6%</t>
  </si>
  <si>
    <t>Contrato vigente + aditivo de  25%</t>
  </si>
  <si>
    <t>Contrato vigente + aditivo de  15%</t>
  </si>
  <si>
    <t>Contratações de órgãos públicos e orçamentos</t>
  </si>
  <si>
    <t>Contrato vigente + aditivo de 25% (para as máquinas adquiridas) e reajuste  de 4,6%</t>
  </si>
  <si>
    <t>.CONTRATO EM ADESÃO JUNTO A SEPLAG
.CONSIDERANDO AINDA ADITIVO DE 25% e reajuste de 4,6%, conforme estimado pelo boletim focus</t>
  </si>
  <si>
    <t>Novo Contrato em licitação + 25% de extintores que serão incluídos em 2024</t>
  </si>
  <si>
    <t>Contrato vigente + 25% de extintores que serão incluídos advindos da SUINT</t>
  </si>
  <si>
    <t>Contrato vigente + reajuste 4%</t>
  </si>
  <si>
    <t>Faturas recebidas + reajuste de 10%</t>
  </si>
  <si>
    <t>Número total de carros, caminhonetes, camionetas e ônibus
Retirado do relatório do BO armazém</t>
  </si>
  <si>
    <t xml:space="preserve">- Fornecedor Ticketlog;
  - Incluso mão de obra e peças;
  - Contrato de gerenciamento e manutenção.
- O valor foi estimado com base no consumo da frota de janeiro a abril/25, e para os meses de maio a dezembro/25 foi utilizado a média de gastos dos meses de jan/25 a abril/25 </t>
  </si>
  <si>
    <t>- Fornecedor Ticketlog;
  - Incluso mão de obra e peças;
  - Contrato de gerenciamento e manutenção.
 O valor foi estimado com base no consumo da frota de janeiro a abril/25, e para os meses de maio a dezembro/25 foi utilizado a média de gastos dos meses de jan/25 a abril/25 
- O valor final foi maior devido ao porte dos veículos, que acarreta maiores despesas.</t>
  </si>
  <si>
    <t xml:space="preserve">- Fornecedor Ticketlog;
  - Incluso mão de obra e peças;
  - Contrato de gerenciamento e manutenção. O valor foi estimado com base no consumo da frota de janeiro a abril/25, e para os meses de maio a dezembro/25 foi utilizado a média de gastos dos meses de jan/25 a abril/25 </t>
  </si>
  <si>
    <t>Valor unitário estipulado em contrato (nº 9436684/2024) com acréscimo de 10%</t>
  </si>
  <si>
    <t>Consumo total de litros de combustível (gasolina) abastecidos, com incidência de 5%</t>
  </si>
  <si>
    <t>Consumo total de litros de combustível (diesel) abastecidos, com incidência de 5%</t>
  </si>
  <si>
    <t>NÚMERO DE ARMAS DA CARGA SEJUSP</t>
  </si>
  <si>
    <t>Fortalecimento e modernização da comunicação operacional, com substituição de rádios HT analógicos e defeituosos por equipamentos digitais padronizados e mais seguros</t>
  </si>
  <si>
    <t>Registro de Preços nº 182/2024, decorrente da Licitação nº 341/2024</t>
  </si>
  <si>
    <t xml:space="preserve">Qtde aderida na Ata RP 43/2024 foi de 19 veículos. No entanto, já foram contratados 02 veículos por meio do CONTRATO Nº9456370/2025 - 1450.01.0232558/2024-91(vigência 15/03/25 a 15/03/28). Assim, o OBZ desta linha foi baseado no quantitativo de 17 veículos. 
</t>
  </si>
  <si>
    <t>Fornecedor: CS Brasil (Ata 43/2024- Seplag)
  Preço Unitário (R$2.078,12) + 6%</t>
  </si>
  <si>
    <t>Aquisição de rádios digitais DGP8550 para modernização e padronização da comunicação de chefias e grupos especializados, substituindo equipamentos obsoletos e garantindo maior segurança e sigilo operacional</t>
  </si>
  <si>
    <t>Aquisição de ambulância cela para aparelhamento das unidades</t>
  </si>
  <si>
    <t>Valor da média de orçamentos (dez/24 e fev/25) de Ambulância Cela (1450.01.0003900/2025-95) + 15%
Valor unitário: R$ 635.600,00</t>
  </si>
  <si>
    <t>Aquisição de novos veículos caminhonete cela humanizada</t>
  </si>
  <si>
    <t>Valor da Proposta - Lote 1 (113472461) apresentada pela empresa Manupa - RP 62/2025 - R$ 280.000,00, com incidência de 30%.</t>
  </si>
  <si>
    <t>Consumo total de litros de combustível (álcool) abastecidos</t>
  </si>
  <si>
    <t>Relatório retirado do contrato com a Prime - 
Maior valor - Incidência de 5%</t>
  </si>
  <si>
    <t>Consumo total de litros de combustível (arla) abastecidos</t>
  </si>
  <si>
    <t>Consumo total de litros de combustível (diesel S10) abastecidos</t>
  </si>
  <si>
    <t>Consumo total de litros de combustível (gasolina) abastecidos</t>
  </si>
  <si>
    <t>Será utlizada 30% da quantidade da frota de veículos por área.</t>
  </si>
  <si>
    <t>Valor unitário da placa estipulado no TERCEIRO Termo de Apostilamento AO CONTRATO Nº 9346738/2022 + 10%</t>
  </si>
  <si>
    <t xml:space="preserve">Será utlizada 30% da quantidade da frota de veículos por área. </t>
  </si>
  <si>
    <t>Qtde de veículo locado - CONTRATO Nº9456370/2025 - 1450.01.0232558/2024-91(vigência 15/03/25 a 15/03/28)</t>
  </si>
  <si>
    <t>Qtde de veículo locado -
 Contrato de locação de 80 veículos caminhonete cela humanizada
  (Contrato Localiza Nº 9458916/2025 - 09/04/25 a 09/04/30) (1450.01.0241505/2024-52)</t>
  </si>
  <si>
    <t>Aquisição de novos veículos VIATURA FURGAO - CARROCERIA: FECHADA, CABINE/COMPARTIMENTO CELA</t>
  </si>
  <si>
    <t>Valor Orçamento Estimado - Mapa de Preços nº 1451002 000010/2025 (109674411) de 18/03/25</t>
  </si>
  <si>
    <t xml:space="preserve">Qtde aderida na Ata RP 43/2024
Processo SEI 1450.01.0179315/2023-18 (Contrato CS Brasil Nº 9433676/2024 - 24/07/2025 à 24/07/2027)  </t>
  </si>
  <si>
    <t>Valor unitário vigente na Ata RP 393/23 + 6%</t>
  </si>
  <si>
    <t>Qtde aderida na Ata RP 43/2024
Processo SEI 1450.01.0193048/2024-55 (Contrato CS Brasil Nº 9443990/2024 - 04/12/2024 à 04/12/2027)</t>
  </si>
  <si>
    <t>Qtde aderida na Ata RP 43/2024
Processo SEI 1450.01.0179315/2023-18 (Contrato CS Brasil Nº 9433676/2024 - 24/07/2025 à 24/07/2027)</t>
  </si>
  <si>
    <t>Valor da Proposta de 13/05/25 - Lote 1 (113472461) apresentada pela empresa Manupa - RP 62/2025 - R$ 280.000,00, com incidência de 30%.</t>
  </si>
  <si>
    <t>Quantidade de multas da frota DEPEN</t>
  </si>
  <si>
    <t>preço médio tipos de autuação</t>
  </si>
  <si>
    <t>Quantidade de multas da frota SAÚDE</t>
  </si>
  <si>
    <t>Quantidade de multas da frota SUASE</t>
  </si>
  <si>
    <t>Quantidade de multas da frota SUPEC</t>
  </si>
  <si>
    <t>Quantidade de multas da frota SUINT</t>
  </si>
  <si>
    <t>Quantidade de multas da frota SULOT</t>
  </si>
  <si>
    <t>Quantidade de multas da frota SUPOD</t>
  </si>
  <si>
    <t>Número total de carros, caminhonetes, camionetas e ônibus</t>
  </si>
  <si>
    <t>Preço estimativo para o exercício de 2026</t>
  </si>
  <si>
    <t>Valor mensal do contrato vigente + 10% multiplicado por 12 meses</t>
  </si>
  <si>
    <t>Valor mensal do contrato vigente (Nº SEI: 102150570) + 25% referente a possíveis acréscimos no ano de 2026 + 6% IPCA</t>
  </si>
  <si>
    <t>Valor mensal do contrato vigente (Nº SEI: 108767170) + 25% referente a possíveis acréscimos no ano de 2026 + 6% IPCA</t>
  </si>
  <si>
    <t>Valor mensal do contrato vigente  (Nº SEI: 87218613) + 25% referente a possíveis acréscimos no ano de 2026 + 6% IPCA</t>
  </si>
  <si>
    <t>Valor mensal do contrato vigente (Nº SEI: 100748855) + 25% referente a possíveis acréscimos no ano de 2026 + 6% IPCA</t>
  </si>
  <si>
    <t>Valor mensal do contrato vigente (Nº SEI: 108980862) + 25% referente a possíveis acréscimos no ano de 2026 + 6% IPCA</t>
  </si>
  <si>
    <t>Valor mensal do orçamento (115570456) utilizado para nova licitação + 25% referente a possíveis acréscimos no ano de 2026 + 6% IPCA</t>
  </si>
  <si>
    <t>Valor mensal do contrato vigente + 10% referente a possíveis acréscimos + 6% IPCA</t>
  </si>
  <si>
    <t>Valor mensal do contrato vigente (SEI Nº: 112019450) + 25% referente a possíveis acréscimos no ano de 2026 + 6% IPCA</t>
  </si>
  <si>
    <t>Valor mensal do contrato vigente (SEI Nº: 109226413) + 25% referente a possíveis acréscimos no ano de 2026 + 6% IPCA</t>
  </si>
  <si>
    <t>Valor mensal do contrato vigente (SEI Nº: 82872852) + 25% referente a possíveis acréscimos no ano de 2026 + 6% IPCA</t>
  </si>
  <si>
    <t>Valor mensal do contrato vigente (SEI Nº: 99470871) + 25% referente a possíveis acréscimos no ano de 2026 + 6% IPCA</t>
  </si>
  <si>
    <t>Valor mensal do contrato vigente (SEI Nº: 103216613) + 25% referente a possíveis acréscimos no ano de 2026 + 6% IPCA</t>
  </si>
  <si>
    <t>Valor mensal do contrato vigente (terceiro TERMO ADITIVO AO CONTRATO Nº 9369155/2022) + 10% multiplicado por 12 meses</t>
  </si>
  <si>
    <t>Valor mensal do contrato vigente (SEI Nº: 104129755) + 25% referente a possíveis acréscimos no ano de 2026 + 6% IPCA</t>
  </si>
  <si>
    <t>Valor mensal do contrato vigente (SEI Nº: 111633101) + 25% referente a possíveis acréscimos do ano de 2026 + 6% IPCA</t>
  </si>
  <si>
    <t>Valor mensal do contrato vigente (SEI Nº: 114660667) + 25% referente a possíveis acréscimos no ano de 2026 + 6% IPCA</t>
  </si>
  <si>
    <t>Valor mensal do contrato vigente (SEI Nº: 95221938) + 25% referente a possíveis acréscimos no ano de 2026 + 6% IPCA</t>
  </si>
  <si>
    <t>Valor mensal do contrato vigente (SEI Nº: 108207364) + 25% referente a possíveis acréscimos no ano de 2026 + 6% IPCA</t>
  </si>
  <si>
    <t>Aquisição de veículo para logística interna na frota da SEJUSP (Caminhão Truck - Reboque)
VIATURA CAMINHAO - CARROCERIA: PRANCHA; CAPACIDADE CARGA: UTIL MAIS EQUIPAMENTO DE NO MINIMO 4.870 KG</t>
  </si>
  <si>
    <t>Valor Orçamento Estimado - Mapa de Preços nº 1451002 000010/2025 (109674411) - R$ 739.200,00 
Orçamentos dez/24 (104554446), dez/24 (104554807) jan/25 (104555005)
Incidência de 20%</t>
  </si>
  <si>
    <t>Quantidade de veículos</t>
  </si>
  <si>
    <t>Valor do Orçamento (93198857) + 30% para adequar a realidade do ano de 2026</t>
  </si>
  <si>
    <t>Quantidade de veículos do contrato no processo SEI 1450.01.0250571/2024-98
2 lavagens mensais</t>
  </si>
  <si>
    <t>Valor mensal do contrato vigente + 6% IPCA</t>
  </si>
  <si>
    <t>PREGÂO</t>
  </si>
  <si>
    <t>NÚMERO DE MATERIAIS X NÚMERO DE PRESOS ATENDIDOS</t>
  </si>
  <si>
    <t>MÉDIA DO PREÇO DOS ITENS QUE COMPÕEM O KIT</t>
  </si>
  <si>
    <t>NÚMERO DE MATERIAIS X NÚMERO DE ADOLESCENTES ATENDIDOS</t>
  </si>
  <si>
    <t>CONTRATO DE LOCAÇÃO DO IMÓVEL</t>
  </si>
  <si>
    <t>VALOR DO CONTRATO ATUAL + AJUSTE ESTRUTURAL DO GALPÃO</t>
  </si>
  <si>
    <t>VALOR DO CONTRATO ATUAL + PREVISÃO DE REAJUSTE</t>
  </si>
  <si>
    <t xml:space="preserve">CONTRATO PARA A PRESTAÇÃO DE SERVIÇO DE TRANSPORTE DE CARGA </t>
  </si>
  <si>
    <t>CONTRATO DE LOCAÇÃO DE EMPILHADEIRA</t>
  </si>
  <si>
    <t xml:space="preserve">CONTRATO DE MANUTENÇÃO DE EMPILHADEIRA </t>
  </si>
  <si>
    <t>CONTRATO DE VIGILÂNCIA ELETRÔNICA</t>
  </si>
  <si>
    <t>A aquisição de baterias reserva visa garantir a continuidade da comunicação operacional nas unidades da SEJUSP, especialmente durante turnos prolongados, operações externas, rondas, escoltas e situações emergenciais.
Considera-se a substituição de baterias com vida útil comprometida e a formação de reserva técnica mínima para atender às demandas de manutenção e falhas inesperadas.</t>
  </si>
  <si>
    <t>A proposta contempla a aquisição de rádios transceptores móveis com GPS integrados, com o objetivo de equipar viaturas operacionais das unidades prisionais e regionais da SEJUSP, garantindo comunicação contínua, rastreabilidade em tempo real e maior controle tático das ações externas.
A definição de volume considera:
O número de viaturas em uso regular em escoltas, transporte de presos e apoio logístico;
Necessidade de padronização do sistema de comunicação veicular;
Substituição de equipamentos antigos e/ou com falha de geolocalização;
Expansão de cobertura e rastreamento via GPS para reforçar segurança e logística.
Volume estimado:
1 rádio transceptor móvel com GPS por viatura ativa e em operação contínua
Inclusão de margem técnica de 10% para reserva e substituições emergenciais
Total estimado: [número exato depende da frota ativa + 10% de reserva]</t>
  </si>
  <si>
    <t>QUANTITATIVO QUE VENCERÁ ATÉ PRIMEIRO SEMESTRE DE 2027</t>
  </si>
  <si>
    <t>QUANTITATIVO ESTIMADO PARA ATENDER OS CANIS DO SISTEMA PRISIONAL QUE POSSUEM ATUALMENTE 286 CÃES.</t>
  </si>
  <si>
    <t>PESQUISA DE MERCADO (kg)</t>
  </si>
  <si>
    <t>PESQUISA DE MERCADO REALIZADA COM OS ITENS QUE SERÃO OBJETO DE RP JÁ DEMANDADO À SEPLAG/CSC</t>
  </si>
  <si>
    <t xml:space="preserve">NÚMERO DE MATERIAIS X NÚMERO DE UNIDADES ATENDIDAS </t>
  </si>
  <si>
    <t xml:space="preserve">MÉDIA DO PREÇO DOS ITENS </t>
  </si>
  <si>
    <t>Contrato vigente +  e reajuste de 4%</t>
  </si>
  <si>
    <t>QUANTITATIVO ESTIMADO DE ACORDO COM O PROJETO PILOTO DE TELAMENTO DE30</t>
  </si>
  <si>
    <t>PESQUISA DE PREÇO</t>
  </si>
  <si>
    <t>Contratação de consultoria técnica especializada.</t>
  </si>
  <si>
    <t>Foi utilizado o preço de referência para contratação de consultoria técnica especializada em realizar pesquisas quali-quatitativas, estudos teóricos e técnicos, treinamentos científico ou profissional, relacionados com as ciências econômicas, administrativas, contábeis, demográficas e afins, sondagens setoriais, geração e cálculo de índices de preços, confiança e satisfação.</t>
  </si>
  <si>
    <t>Considerando a estimativa total de 35 cursos realizados na modalidade à distância em 2024. Além de considerar 12 horas/aula por curso ( com base no curso de Inteligência Emocional e Gestão de Conflitos).</t>
  </si>
  <si>
    <t>1. Considerando problemas estruturais, elétricos, hidráulicos e de acessibilidade que não mais atendem os padrões de funcionalidades necessárias; 2. Considerando a faltade de sistemas de ventilação e climatização  adequados; 3. Considerando aprecariedade dasáreas de descanso e espaços de convívio; 4. Considerando que essas melhorias  são essenciais para garantir o tratamento adequado ao servidor.</t>
  </si>
  <si>
    <t>Estimativa do valor</t>
  </si>
  <si>
    <t>VALOR INFORMADO PELA FUNDAÇÃO JOÃO PINHEIRO</t>
  </si>
  <si>
    <t>Contratação de pequenos serviços e aquisição de pequeno valor para necessidades imediatas.</t>
  </si>
  <si>
    <r>
      <t xml:space="preserve">*Solicitação por parte da FBAC de </t>
    </r>
    <r>
      <rPr>
        <b/>
        <u/>
        <sz val="11"/>
        <color theme="1"/>
        <rFont val="Calibri"/>
        <family val="2"/>
        <scheme val="minor"/>
      </rPr>
      <t>IMPLANTAÇÃO</t>
    </r>
    <r>
      <rPr>
        <sz val="11"/>
        <color theme="1"/>
        <rFont val="Calibri"/>
        <family val="2"/>
        <scheme val="minor"/>
      </rPr>
      <t xml:space="preserve"> de novas APACs, visando aumento no atendimento. Ampliação de 160 (cento e sessenta) </t>
    </r>
    <r>
      <rPr>
        <b/>
        <u/>
        <sz val="11"/>
        <color theme="1"/>
        <rFont val="Calibri"/>
        <family val="2"/>
        <scheme val="minor"/>
      </rPr>
      <t>novas vagas.</t>
    </r>
    <r>
      <rPr>
        <sz val="11"/>
        <color theme="1"/>
        <rFont val="Calibri"/>
        <family val="2"/>
        <scheme val="minor"/>
      </rPr>
      <t xml:space="preserve"> Nesta estimativa para 2026 passaria de 5.827 (cinco mil oitocentos e vinte e sete) para 5.987 (cinco mil novecentos e oitenta e sete) vagas disponibilizadas, com custo médio mensal por recuperando de R$1.694,60 (um mil seiscentos e noventa e quatro e sessenta centavos). Cálculo custo médio é realizado com o valor do orçamento aprovado para o exercício 2025 dividido pelo número de vagas, dividido por 12 meses.                                                                                                                                                                                                                                   ** O Orçamento aprovado para o exercício 2025 foi utilizado como base de cálculo para os valores ora apresentados.                                *** Conforme processo SEI 1450.01.0129802/2021-21, Ofício FBAC novas APACs 2023 (47577649).</t>
    </r>
  </si>
  <si>
    <t>Custo médio mensal por recuperando de R$1.694,60 (um mil seiscentos e noventa e quatro e sessenta centavos).
Repasses trimestrais e quadrimestrais para as APACs</t>
  </si>
  <si>
    <t xml:space="preserve">REGISTRO DE SOLICITAÇÕES </t>
  </si>
  <si>
    <t>MÉDIA DO PREÇOS</t>
  </si>
  <si>
    <t>Entrega de 4 programas de prevenção social à criminalidade em 55 Unidades de Prevenção à Criminalidade localizadas em 21 municípios e mais de 200 territórios.
Expectativa de realização de mais de 350 mil atendimentos aos diversos públicos dos programas, contribuindo para a prevenção à criminalidade e violências e aumento da sensação de segurança em Minas Gerais</t>
  </si>
  <si>
    <t>Interrupção da implementação da Política de Prevenção Social à Criminalidade em todo o estado, com prejuízo para a entrega do serviço público</t>
  </si>
  <si>
    <t>Maior qualidade na implementação da Política Estadual de Prevenção Social à Criminalidade, aumento da sensação de segurança em MG, redução das taxas de homicídios e criminalidade violenta, atendimento ao público para acesso a direitos e superação de vulnerabilidades e responsabilização penal
Caso haja aprovação de valor incremental para novo edital de seleção de parcerias, o valor será abatido da previsão global do Contrato de Gestão 02/2019</t>
  </si>
  <si>
    <t>DEMANDA DE VIATURAS ESPECÍFICAS PARA GARANTIR A PRONTA RESPOSTA DO GIR EM SITUAÇÕES DE CRISE, INTERVENÇÕES EM UNIDADES PRISIONAIS E OPERAÇÕES DE SEGURANÇA, COM DESLOCAMENTO RÁPIDO  E ADEQUADO DO EFETIVO E EQUIPAMENTOS</t>
  </si>
  <si>
    <t>PEJUÍZO A CAPACIDADE DE RESPOSTA RÁPIDA, COMPROMETIMNETO DAS OPERAÇÕES TÀTICAS E RISCO A SEGURANÇA EM INTERVENÇÕES EMERGENCIAIS</t>
  </si>
  <si>
    <t>AUMENTO DA HABILIDADE TÁTICA, AGILIDADE NAS RESPOSTA OPERACIONAIS E FORTALECIMENTO DAS AÇÕES DO GIR EM SITUAÇÕES CRITICAS</t>
  </si>
  <si>
    <t>CONTRATAÇÃO DE SERVIÇO DE OPERADOR LOGÍSTICO</t>
  </si>
  <si>
    <t>OPERAÇÃO LOGÍSTICA NÃO ESPECIALIZADA</t>
  </si>
  <si>
    <t>OPERAÇÃO LOGÍSTICA INTEGRADA E ESPECIALIZADA</t>
  </si>
  <si>
    <t>Interrupção do acompanhamento e implementação da Política de Prevenção Social à Criminalidade no interior do estado</t>
  </si>
  <si>
    <t>Maior qualidade no acompanhamento e implementação da Política Estadual de Prevenção Social à Criminalidade no interior do estado</t>
  </si>
  <si>
    <t>Dificuldade e prejuízo no acompanhamento e implementação da Política de Prevenção Social à Criminalidade</t>
  </si>
  <si>
    <t>Contratação de Assprom</t>
  </si>
  <si>
    <t>Atraso e/ou impedimento de  realização das atividades dos setores.</t>
  </si>
  <si>
    <t>Manutenção da capacidades dos setores em realizar as atividades.</t>
  </si>
  <si>
    <t>Contratação de estagiários - AGIEL</t>
  </si>
  <si>
    <t>Contratação empregados MGS</t>
  </si>
  <si>
    <t>Prejuízo às atividades das unidades, aumentando o prazo para resolução das demandas. Risco de depredação do patrimônio público e falta de controle na entrada. Diminuição na capacidade de gestão, análise, fiscalização dos contratos da SEJSUP.</t>
  </si>
  <si>
    <t>Manutenção das atividades de apoio, às unidades de Segurança Pública de Minas Gerais.</t>
  </si>
  <si>
    <t>Despesa para pagamento de condomínio do Centro de Atenção Biopsicossocial DAS Belo Horizonte</t>
  </si>
  <si>
    <t>Multa, inscrição na dívida ativa do município e devolução do espaço.</t>
  </si>
  <si>
    <t>Dar continuidade nos atendimentos biopsicossociais aos servidores da SEJUSP.</t>
  </si>
  <si>
    <t>Despesa para pagamento condomínio do imóvel Itamaraty, sede do Centro de Atenção Biopsicossocial DAS Belo Horizonte</t>
  </si>
  <si>
    <t>Multas, juros e a perda e devolução do espaço.</t>
  </si>
  <si>
    <t>Realização de levantamento técnico de avaliação ambiental e visitas técnicas  realizadas em Unidades Prisionais, Socioeducativas e Administrativas; Visitas nos Centros de Atenção Biopsicossocial DAS Regionais para alinhamento e de equipe e visitação de imóveis para implantação dos Centros da DAS.</t>
  </si>
  <si>
    <t>Agravamento das condições ambientais do trabalho;  Ausência de ações preventivas de saúde, falta de acolhimento dos servidores adoecidos; Falta da expansão do projeto Cuidar bem de que Cuida.</t>
  </si>
  <si>
    <t>Propor medidas para a melhoria de condições no ambiente de trabalho; Visar a prevenção, promoção e proteção à saúde dos servidores da SEJUSP, Ampliar o projeto de reestruturação da DAS</t>
  </si>
  <si>
    <t>Despesa com fornecimento de água para funcionamento do Centro de Atenção Biopsicossocial DAS Uberlândia.</t>
  </si>
  <si>
    <t>Falta de saneamento básico e propagação de doenças prejudicando a saúde dos servidores e visitantes.</t>
  </si>
  <si>
    <t>Garantia de abastecimento contínuo para promover a continuidade do funcionamento do Centro.</t>
  </si>
  <si>
    <t>Atendimento das demandas urgentes e inadiáveis para reparo/manutenção dos Centos Regionais desta Diretoria de Atenção à Saúde do Servidor.</t>
  </si>
  <si>
    <t>Não proporcionar ambiente adequado para os atendimentos aos servidores da SEJUSP.</t>
  </si>
  <si>
    <t>Espaço adequado para desempenhar as atividades de saúde desta DAS.</t>
  </si>
  <si>
    <t>Despesa para pagamento de IPTU do Centro de Atenção Biopsicossocial DAS Belo Horizonte, situado no Edifício Itamaraty.</t>
  </si>
  <si>
    <t>Prestação do serviço de alimentação aos IPLs nas Unidades Prisionais.</t>
  </si>
  <si>
    <t>IPLs em cumprimento de pena sem o recebimento de refeições e risco à segurança das Unidades.</t>
  </si>
  <si>
    <t>IPLs alimentados.</t>
  </si>
  <si>
    <t>Prestação do serviço de alimentação aos Adolescentes nas Unidades Socioeducativas.</t>
  </si>
  <si>
    <t>Adolescentes alimentados.</t>
  </si>
  <si>
    <t>AMOSTRAS DE FISCALIZAÇÃO PRECISAM CONTEMPLAR OS ATOS DE GESTÃO DAS UNIDADES DESCENTRALIZADAS</t>
  </si>
  <si>
    <t>POSSÍVEIS IRREGULARIDADES NAS UNIDADES DESCENTRALIZADAS SEM FISCALIZAÇÃO, CORREÇÃO E PUNIÇÃO.</t>
  </si>
  <si>
    <t xml:space="preserve">POSSIBILIDADE DE CORREÇÃO E APRIMORAMENTO DO CONTROLE DE EVENTUAIS INCONFORMIDADES DETECTADAS. </t>
  </si>
  <si>
    <t>EXECUÇÃO DAS ATIVIDADES DE CORREIÇÃO ADMINISTRATIVA, PREVENÇÃO DE ILÍCITOS, REALIZAÇÃO DE INVESTIGAÇÕES E FISCALIZAÇÕES.</t>
  </si>
  <si>
    <t>DESCUMPRIMENTO DO DEVER LEGAL. RISCO DE COMPROMETER A ADMINISTRAÇÃO PÚBLICA, AUMENTO DE ILÍCITOS, IMPUNIDADES, VIOLAÇÕES DOS DIREITOS DOS ACAUTELADOS SOB A TUTELA ESTATAL, DENTRE OUTROS.</t>
  </si>
  <si>
    <t>CUMPRIMENTO DO DEVER LEGAL, ART.218 DA LEI 869/52, ART. 6º DO DECRETO Nº 47.795/19.</t>
  </si>
  <si>
    <t>Verificador Independente: entidade a ser contratada pelo PODER CONCEDENTE para o monitoramento permanente do processo de aferição do desempenho da CONCESSIONÁRIA, observados o SISTEMA DE MENSURAÇÃO DE DESEMPENHO  E DE DISPONIBILIDADE e o MECANISMO DE PAGAMENTO.</t>
  </si>
  <si>
    <t>Contratado paralisar aferição dos indicadores; ter que utilizar as notas da Concessionária ao invés do Verificador para as referidas unidades.</t>
  </si>
  <si>
    <t>Maior acuracidade na aferição dos indicadores de desempenho; Cumprimento dos termos de PPP estabelecidos em contrato.</t>
  </si>
  <si>
    <t xml:space="preserve">Passagens destinadas aos servidores responsáveis pela interlocução sobre o tema PPP com outros órgãos. </t>
  </si>
  <si>
    <t>Inviabilizar a representação e/ou articulação e execução de políticas públicas</t>
  </si>
  <si>
    <t>Interlocução e articulação com outras instituições relacionadas às parcerias pública-privadas.</t>
  </si>
  <si>
    <t>Pronto pagamento para despesas urgentes</t>
  </si>
  <si>
    <t>Inviabilizar a solução de imprevistos</t>
  </si>
  <si>
    <t>Cobertura de imprevistos</t>
  </si>
  <si>
    <t>Participação/representação em reuniões dos Conselhos de Segurança Pública dos Secretários de Segurança Pública (Consesp) e/ou Conselho Nacional dos Secretários de Estado da Justiça, da Cidadania, Direitos Humanos e Administração Penitenciária (CONSEJ)</t>
  </si>
  <si>
    <t>Inviabilizar representação, articulação, acordo ou execução de Políticas Públicas</t>
  </si>
  <si>
    <t>Representar os interesses da Política Pública e viabilizar sua execução.</t>
  </si>
  <si>
    <t>Participação em visitas, inspeções e/ou inaugurações de Unidades Prisionais e Socioeducativas nas diversas regiões do estado.</t>
  </si>
  <si>
    <t>Inviabilizar representação e diálogo com os gestores das regionais e das unidades.</t>
  </si>
  <si>
    <t>Participação/acompanhamento do Secretário Adjunto em reuniões, visitas, inspeções e/ou inaugurações de Unidades Prisionais e Socioeducativas nas diversas regiões do estado.</t>
  </si>
  <si>
    <t>Acompanhamento do Secretário Adjunto em reuniões, visitas, inspeções e/ou inaugurações de Unidades Prisionais e Socioeducativas nas diversas regiões do estado.</t>
  </si>
  <si>
    <t>Comprometimento da segurança do Secretário Adjunto nos deslocamentos.</t>
  </si>
  <si>
    <t>Inspeções do Conselho Penitenciario de Minas Gerais nas Unidades Prisionais do Estado</t>
  </si>
  <si>
    <t xml:space="preserve"> Inviabilizar a realização de inspeções nas unidades prisionais com problemas identificados, prejudicando, assim, o cumprimento das competências previstas no Regimento Interno e na Lei de Execução Penal.</t>
  </si>
  <si>
    <t>Garantir que, a partir das visitas, os estabelecimentos penais possam receber os relatórios produzidos e adotar medidas necessárias à efetiva execução do regime penitenciário.</t>
  </si>
  <si>
    <t>Inspeções do Conselho de Criminologia e Política Criminal de Minas Gerais nas Unidades Prisionais do Estado</t>
  </si>
  <si>
    <t>Viabilizar representações institucionais da Sejusp</t>
  </si>
  <si>
    <t>Sejusp não ter representatividade junto ao Sistema de Justiça, inviabilizando negociações e resoluções de demandas atinentes às Políticas Prisioinais, Socioeducativas, sobre Drogas, de Prevenção à Criminalidade e de Integração.</t>
  </si>
  <si>
    <t>Representação institucional da Sejusp e integração ao Sistema de Justiça</t>
  </si>
  <si>
    <t>Viabilizar/executar o Programa Lares Geraes - Segurança Pública</t>
  </si>
  <si>
    <t>Descumprimento de prerrogativa legal do artigo 7º, I, do Decreto Estadual nº 48.699, de 29 de Setembro de 2023.</t>
  </si>
  <si>
    <t>Cumprir com as obrigações financeiras advindas da titularidade de imóveis funcionais, possibilitando manutenções e realizando gestão responsável.</t>
  </si>
  <si>
    <t>Realização de 30 viagens durante o ano de 2026 para 4 servidores em média</t>
  </si>
  <si>
    <t>Não divulgação das entregas realizadas pela SEJUSP durante o ano</t>
  </si>
  <si>
    <t>Haverá repercussão na imprensa das entregas da secretaria e com isso a população terá conhecimento dos feitos da SEJUSP</t>
  </si>
  <si>
    <t>Estimativa de encargos financeiros da secretaria</t>
  </si>
  <si>
    <t>Má previsão da realidade orçamentária do órgão e desvio do recurso de políticas para acobertar esta despesa recorrente.</t>
  </si>
  <si>
    <t>Melhor previsão do orçamento e fidedignidade da peça orçamentária</t>
  </si>
  <si>
    <t xml:space="preserve">Estimativa de diárias gerais para a SEJUSP </t>
  </si>
  <si>
    <t xml:space="preserve">INVIABILIZAR REPRESENTAÇÃO, ARTICULAÇÃO, ACORDO OU EXECUÇÃO DE POLÍTICAS PÚBLICAS </t>
  </si>
  <si>
    <t xml:space="preserve">REPRESENTAR OS INTERESSES DA POLÍTICA PÚBLICA E VIABILIZAR SUA EXECUÇÃO </t>
  </si>
  <si>
    <t>A Agência Central de Inteligência necessita de recursos para deslocamento para capacitações e visitas técnicas de servidores.</t>
  </si>
  <si>
    <t>Perda da capacidade de produção de conhecimento de inteligência e no combate às ações do crime organizado.</t>
  </si>
  <si>
    <t>Integração entre o Subsistema de Inteligência de Segurança Pública e aprimoramento da qualidade técnica dos serviços prestados.</t>
  </si>
  <si>
    <t>A Agência Central de Inteligência necessita de recursos para deslocamento ( locomoção, pedágio e estacionamento) para capacitações e visitas técnicas de servidores.</t>
  </si>
  <si>
    <t xml:space="preserve">REALIZAÇÃO DE ARTICULAÇÃO COM ATORES DO SISTEMA DE JUSTIÇA  E REALIZAÇÃO DE DILIGÊNCIAS, SOB ORIENTAÇÃO DO GABINETE  </t>
  </si>
  <si>
    <t>COMPROMETIMENTO DO ALINHAMENTO ENTRE OS DIFERENTES ATORES DO SISTEMA DE JUSTIÇA E A SECRETARIA DE ESTADO DE JUSTIÇA E SEGURANÇA PÚBLICA</t>
  </si>
  <si>
    <t>APOIAR O CUMPRIMENTO DA LEI DE EXECUÇÃO PENAL</t>
  </si>
  <si>
    <t>REALIZAÇÃO VISITA IN LOCO, PARA SANEAMENTO DE DILIGÊNCIAS, ACOLHIMENTO E ORIENTAÇÃO A SERVIDORES</t>
  </si>
  <si>
    <t>DENÚNCIAS NÃO DILIGENCIADAS E SITUAÇÃO DE CONFLITO NÃO RESOLVIDA.</t>
  </si>
  <si>
    <t xml:space="preserve"> RESOLUÇÃO DE CONFLITOS E RESTAURAÇÃO DO AMBIENTE DE TRABALHO.</t>
  </si>
  <si>
    <t>REALIZAÇÃO DE ARTICULAÇÕES ACERCA DE EMENDAS PARLAMENTARES, SOB ORIENTAÇÃO DO GABINETE</t>
  </si>
  <si>
    <t xml:space="preserve">COMPROMETIMENTO DO ALINHAMENTO COM PODER LEGISLATIVO </t>
  </si>
  <si>
    <t>FACILITAR A COMUNICAÇÃO NO QUE DIZ RESPEITO  À CAPTAÇÃO E EXECUÇÃO DE RECURSO(S) FEDERAL(IS)</t>
  </si>
  <si>
    <t>Nessecidade de elaboração de projeto para extensão da rede de abastecimento de água e esgoto para funcionamento da nova unidade</t>
  </si>
  <si>
    <t>Impossibilidade de inauguração da unidade construída com sua capacidade máxima</t>
  </si>
  <si>
    <t>Inauguração total da unidade com geração de 306 vagas para o sistema prisional e atendimento a requisições judiciais para redução da taxa de ocupação das unidades prisionais</t>
  </si>
  <si>
    <t>Nessecidade de obra de extensão da rede de abastecimento de água e esgoto para funcionamento da nova unidade</t>
  </si>
  <si>
    <t xml:space="preserve">Complemento de recurso para continuidade de obra </t>
  </si>
  <si>
    <t>Paralisação de obra ou atraso de pagamento para a empresa</t>
  </si>
  <si>
    <t>Continuidade das obras para atendimento da demanda por geração de vagas da SEJUSP e atendimento a requisições judiciais para redução da taxa de ocupação das unidades prisionais</t>
  </si>
  <si>
    <t>Contratação de nova etapa para continuidade dos trabalhos envolvendo a unidade</t>
  </si>
  <si>
    <t>Paralisação de obra ou projeto já em andamento na SEJUSP</t>
  </si>
  <si>
    <t>Atendimento da demanda da Subsecretaria de Inteligência e Atuação Integrada para reforma de sua edificação que atende aos órgãos de justiça</t>
  </si>
  <si>
    <t>Nessecidade de construção da rede de abastecimento de água e esgoto para atender demandas judiciais</t>
  </si>
  <si>
    <t>Manutenção dos problemas de abastecimento de água e tratamento de esgoto, gerando prejuízos para a unidade e seu entorno</t>
  </si>
  <si>
    <t>Adequado fornecimento de água potável e tratamento de esgoto,  redução do desperdício e economia aos cofres públicos</t>
  </si>
  <si>
    <t>Continuidade de obra ou projeto de engenharia já em execução</t>
  </si>
  <si>
    <t>Atendimento das unidades prisionais às normas de segurança constra incêndio exaradas pelo Corpo de Bombeiros Militar de Minas Gerais</t>
  </si>
  <si>
    <t>Cumprimento de sentenças judiciais e execução dos diagnósticos apresentados pela empresa com contrato em andamento. Além disso, há necessitadade de manter  operação e monitoramento do correto funcionamento das ETEs para atender as normas ambientais e condições dignas dos individuos da unidade</t>
  </si>
  <si>
    <t>Multas judiciais, falta de estrutura para cumprimento da pena pelos individuos privados de liberdade, degradação ao meio ambiente, etc</t>
  </si>
  <si>
    <t>Atendimento as normas ambientais as condições  de saúde de qualidade e oferecimento de condições mínimas de trabalho e ressocialização</t>
  </si>
  <si>
    <t>Cumprimento de sentenças judiciais e execução dos diagnósticos apresentados pela empresa com contrato em andamento. Além disso, há necessitadade de manter  operação e monitoramento do correto funcionamento das ETEs para atender as normas ambientais e condições digninas dos individuos da unidade</t>
  </si>
  <si>
    <t xml:space="preserve"> Multas judiciais, falta de estrutura para cumprimento da pena pelos individuos privados de liberdade, degradação ao meio ambiente, etc</t>
  </si>
  <si>
    <t>A unidade é de segurança maxima e a muitos anos não recebe nenhum tipo de manutenção e necessita da modernização em suas estruturas.</t>
  </si>
  <si>
    <t>Aumento do numero de servidores para atender a demanda da unidade.</t>
  </si>
  <si>
    <t>Redução do numero de servidores para atender a demanda da unidade, melhoria na segurança.</t>
  </si>
  <si>
    <t>Demanda de reforma do prédio das RISPs e expansão do CIAD</t>
  </si>
  <si>
    <t>Manutenção de problemas na infraestrutura, aumento do gasto público e geração de riscos para segurança prisional</t>
  </si>
  <si>
    <t>Adequado condição de infraestrutura para trabalho das eqipes, redução do desperdício e economia aos cofres públicos</t>
  </si>
  <si>
    <t xml:space="preserve"> A maioria das unidades necessitam de reforma geral, principalmente  intervenções na redes elétricas e hidrossanitarias.</t>
  </si>
  <si>
    <t>Escassez no fornecimento de água, aumento do gasto público e geração de riscos para segurança prisional</t>
  </si>
  <si>
    <t>Adequado fornecimento de água potável e enegia elétrica,  redução do desperdício e economia aos cofres públicos</t>
  </si>
  <si>
    <t>escassez no fornecimento de água, aumento do gasto público e geração de riscos para segurança prisional</t>
  </si>
  <si>
    <t>Contrato vigente tendo em vista a necessitadade ampliar e agilizar os atendimentos das áreas de engenharia</t>
  </si>
  <si>
    <t>Encerramento do contrato e não atendimento das demandas</t>
  </si>
  <si>
    <t>ampliar e agilizar os atendimentos das áreas de engenharia</t>
  </si>
  <si>
    <t>Necessidade de aprimorar a infraestrutura do sistema de CFTV das unidades. Os equipamentos atualmente instalados são, em sua maioria, analógicos, com pouca modernização, e demandam revitalização para garantir pleno funcionamento. O monitoramento integral dos espaços das unidades proporciona maior segurança para servidores e adolescentes.</t>
  </si>
  <si>
    <t>A manutenção de um sistema de CFTV ultrapassado compromete a eficácia do monitoramento, o que pode dificultar a prevenção de incidentes, evasões, atos de violência ou outras irregularidades. Além disso, falhas na captação de imagens e na cobertura dos espaços podem impactar diretamente na segurança de servidores e adolescentes.</t>
  </si>
  <si>
    <t>A modernização do sistema de CFTV garante um monitoramento mais eficiente, com maior qualidade de imagem, maior capacidade de armazenamento e melhor cobertura dos ambientes fortalecendo todo o ambiente das unidades.</t>
  </si>
  <si>
    <t>Falta de fornecimento de alimentação adequada, aumento do gasto público e geração de riscos para segurança prisional</t>
  </si>
  <si>
    <t>Adequado fornecimento de alimentação administrada, gerando maior nutrição,  redução do desperdício e economia aos cofres públicos</t>
  </si>
  <si>
    <t>necessitadade de manter  a operação e monitoramento do correto funcionamento das ETEs para atender as normas ambientais e condições digninas dos individuos da unidade</t>
  </si>
  <si>
    <t>Contratação de nova etapa para continuidade dos trabalhos envolvendo as unidades</t>
  </si>
  <si>
    <t>Contratação em andamento para atender ordem/cronograma jurdicial e para manter a  operação e monitoramento do correto funcionamento dos poços para atender as normas ambientais e condições digninas dos individuos da unidade</t>
  </si>
  <si>
    <t>ATENDIMENTO DE DEMANDAS URGENTES E INADIÁVEIS QUE NÃO PUDERAM SER PREVIAMENTE EMPENHADAS</t>
  </si>
  <si>
    <t>NÃO REALIZAÇÃO DE PEQUENAS MANUTENÇÕES  IMPREVISTAS, SUCATEAMENTO E INDISPONIBILIDADE DO SERVIÇO</t>
  </si>
  <si>
    <t>COBERTURA DE IMPREVISTOS E MANUTENÇÃO DOS SERVIÇOS</t>
  </si>
  <si>
    <t>TRATA-SE DE RECURSO DESTINADO AO CUSTEIO DO SERVIÇO EMERGÊNCIA MG, QUE PERMITE O ACIONAMENTO DE EMERGÊNCIA DAS FORÇAS DE SEGURANÇA ATRAVÉS DE APLICATIVOS E VIA WEB</t>
  </si>
  <si>
    <t>DESCONTINUIDADE DA PRESTAÇÃO DO SERVIÇO</t>
  </si>
  <si>
    <t>PERMITE O CIDADÃO ACIONAR O SERVIÇO DE URGÊNCIA E EMERGÊNCIA VIA CANAIS DIGITAIS</t>
  </si>
  <si>
    <t>DIÁRIAS DESTINADAS A AGENTES DA SIPO/SEJUSP VISANDO SUBSIDIAR O EMPREGO DESTES EM OPERAÇÕES INTEGRADAS</t>
  </si>
  <si>
    <t>NÃO PARTICIPAÇÃO DA SEJUSP EM AÇÕES E EVENTOS DE PROMOÇÃO E FORTALECIMENTO DA INTEGRAÇÃO DAS INSTITUIÇÕES DE SEGURANÇA PÚBLICA.</t>
  </si>
  <si>
    <t>INTERLOCUÇÃO E ARTICULAÇÃO COM OUTRAS INSTITUIÇÕES DE SEGURANÇA PÚBLICA E CONSEQUENTE AUMENTO DO IMPACTO DAS AÇÕES DAS QUAIS A SUPERINTENDÊNCIA PARTICIPA.</t>
  </si>
  <si>
    <t>Manutenção dos etilômetros utilizados para realização das blitz lei seca da campanha Sou Pela Vida Dirijo sem Bebida</t>
  </si>
  <si>
    <t>DESCONTINUIDADE DA CAMPANHA SOU PELA VIDA DIRIJO SEM BEBIDA</t>
  </si>
  <si>
    <t>MANUTENÇÃO DAS BLITZ LEI SECA</t>
  </si>
  <si>
    <t>CONFORME RESOLUÇÃO SEJUSP 1773/2023 TRATA-SE DE HONRARIA PARA PROFISSIONAIS QUE CONTRIBUIRAM COM AÇÕES INTEGRADAS DE SEGURANÇA PÚBLICA</t>
  </si>
  <si>
    <t>NÃO CUMPRIMENTO DA RESOLUÇÃO</t>
  </si>
  <si>
    <t>FOMENTA A INTEGRAÇÃO DAS FORÇAS DE SEGURANÇA</t>
  </si>
  <si>
    <t xml:space="preserve">REALIZAÇÃO DE VIAGENS PARA COLETA DE DADOS DE INTELIGÊNCIA, PARTICIPAÇÃO NAS AÇÕES DA OPERAÇÃO MAR DE MINAS, EXECUÇÃO DO PROJETO COM VIVER E AÇÕES REFERENTES AO PROJETO ESTRATÉGICO VALE DO LÍTIO </t>
  </si>
  <si>
    <t>A COLETA DE DADOS DE INTELIGÊNCIA, A PARTICIPAÇÃO NAS OPERAÇÕES INTEGRADAS E O ACOMPANHAMENTO DOS PROJETOS ESTRATÉGICOS, SÃO ESSENCIAIS PARA A PREVENÇÃO DA CRIMINALIDADE E ALCANCE DOS RESULTADOS PREVISTOS PELA SEJUSP</t>
  </si>
  <si>
    <t>O DESLOCAMENTO DE SERVIDORES PARA EXECUSSÃO DAS TAREFAS DESCRITAS TORNA-SE ESSENCIAL PARA O ALCANCE DOS RESULTADOS ESTABELECIDOS PELA SEJUSP</t>
  </si>
  <si>
    <t xml:space="preserve">Atualmente, o conjunto das instalações conta com 16 unidades prediais integradas que não possuem projeto de segurança contra incêndio aprovado junto ao Corpo de Bombeiros, condição essencial para a emissão do Auto de Vistoria do Corpo de Bombeiros (AVCB). Essas edificações encontram-se em funcionamento, mas fora da conformidade legal e técnica exigida pelas normas estaduais de segurança contra incêndio e pânico. </t>
  </si>
  <si>
    <t xml:space="preserve">Risco à vida e à integridade física gerando atrasos na evacuação em caso de incêndio, colocando em risco funcionários, usuários e visitantes.
e aumento do potencial de tragédias por ausência de prevenção e controle.
Risco legal e administrativo acarretando multas e sanções aplicadas pelo Corpo de Bombeiros e por órgãos municipais/estaduais.
Risco patrimonial uma vez que edificações e equipamentos sem proteção adequada correm maior risco de perdas totais em caso de incêndio.
</t>
  </si>
  <si>
    <t>Proporciona ambientes mais seguros para funcionários, usuários, visitantes e prestadores de serviço.
Minimiza riscos de incêndios, acidentes e tragédias, com estruturas e equipamentos de prevenção adequados.
Aumenta a resiliência das edificações em situações de emergência.
Atende às exigências da legislação estadual (Decretos e Instruções Técnicas do Corpo de Bombeiros).
Evita multas, autuações, interdições e responsabilizações civis e criminais.
Facilita a obtenção e renovação de alvarás de funcionamento, licenças sanitárias e ambientais.</t>
  </si>
  <si>
    <t>As edificações não possuem projetos elaborados, aprovados ou em fase de execução, conforme as exigências técnicas das Instruções Técnicas (IT) do Corpo de Bombeiros da jurisdição.
Os sistemas de proteção contra incêndio, quando existentes, não foram validados tecnicamente e podem não estar em conformidade com as normas vigentes.
Em diversas unidades, não há documentação técnica mínima exigida, como plantas de emergência, memoriais descritivos de sistemas preventivos ou Anotações de Responsabilidade Técnica (ARTs).
Essa condição caracteriza um quadro de irregularidade institucional, gerando risco de responsabilização administrativa, jurídica e patrimonial para os gestores, além de comprometer a segurança física de ocupantes, usuários e visitantes.</t>
  </si>
  <si>
    <t>A não implementação da execução dos projetos de AVCB (Auto de Vistoria do Corpo de Bombeiros) nas unidades prediais representa uma série de riscos críticos que afetam diretamente a segurança, legalidade, funcionamento e reputação da instituição. Além do impacto direto no funcionamento dos serviços prestados, prejudicando usuários e a operação institucional.</t>
  </si>
  <si>
    <t>A implementação dos projetos de AVCB (Auto de Vistoria do Corpo de Bombeiros) nas unidades prediais traz uma série de benefícios estratégicos, legais, operacionais e sociais. Proporciona ambientes seguros para servidores, usuários, visitantes e prestadores de serviços. Em caso de sinistro, comprova que a instituição tomou as medidas técnicas exigidas, minimizando a responsabilização civil, administrativa ou criminal. Evita multas, interdições e sanções administrativas, garantindo a conformidade da instituição com os órgãos de controle.</t>
  </si>
  <si>
    <t>Atualmente, existem 19 sedes de AISP e RISP, competindo à Secretaria de Estado de Justiça e Segurança Pública os custos de manutenção estrutural das edificações. Nesse sentido,diante das inspeções a essas sedes é possível identificar diversas demandas acerca de reparo e necessárias manutenções. Esses registros deixam patente a necessidade de intervenções nas sedes integradas. Eventualmente, a manutenção pretendida não demanda execução de serviços maiores, podendo ser realizadas de forma pontual, com aquisições locais de itens de menor valor ou volume.</t>
  </si>
  <si>
    <t>Perda das condições mínimas de operação e de atendimento nas sedes integradas.</t>
  </si>
  <si>
    <t>Um espaço minimamente adequado que propicie a atuação das forças alocadas, com condições de prestarem um serviço adequado ao cidadãode, acordo com cada região do estado de Minas Gerais, além de dispor de condições que subsidie a comunicação e ações integradas de maneira alinhada e eficaz.</t>
  </si>
  <si>
    <t>Atualmente, existem 12 sedes de AISP e RISP no interor, competindo à Secretaria de Estado de Justiça e Segurança Pública a realização periódica de visitas técnicas a essas unidades para levantamento patrimonial, verificação da estrutura e apresentação de demandas para melhoria dos serviços prestados.</t>
  </si>
  <si>
    <t>A não realização de visitas técnicas periódicas às 12 sedes de AISP (Área Integrada de Segurança Pública) e RISP (Região Integrada de Segurança Pública) no interior do estado — cuja responsabilidade é da Secretaria de Estado de Justiça e Segurança Pública — pode gerar riscos significativos em diversas áreas, impactando a gestão patrimonial, a infraestrutura, a prestação de serviços e a imagem institucional. Sem visitas, há risco de desatualização do inventário patrimonial, extravio, uso indevido ou má conservação de bens públicos (móveis, equipamentos, veículos, sistemas).Ademais sem levantamento periódico, a Secretaria não dispõe de informações atualizadas para planejar melhorias, alocar recursos ou priorizar investimentos conforme a real necessidade das unidades.A ausência de visitas técnicas impede a identificação de boas práticas, necessidades específicas ou iniciativas locais que poderiam ser replicadas ou apoiadas.</t>
  </si>
  <si>
    <t xml:space="preserve">As visitas técnicas periódicas às sedes de AISP e RISP são fundamentais para garantir a boa gestão patrimonial, manter a infraestrutura pública em condições adequadas, identificar e solucionar problemas localmente, além de contribuir diretamente para a eficiência e qualidade dos serviços de segurança pública prestados à sociedade.
</t>
  </si>
  <si>
    <t>Atualmente, as unidades integradas que dispõem de elevadores destinados ao deslocamento de servidores e/ou cidadãos com dificuldade de locomoção encontram-se com sua disponibilidade comprometida, em razão da inoperância dos equipamentos.
Essa situação compromete diretamente a acessibilidade, a mobilidade interna e o atendimento adequado a pessoas com deficiência ou mobilidade reduzida, além de ferir princípios legais de acessibilidade e inclusão, previstos na legislação vigente, como a Lei Brasileira de Inclusão da Pessoa com Deficiência (Lei nº 13.146/2015).</t>
  </si>
  <si>
    <t xml:space="preserve">A não correção da inoperância dos elevadores nas unidades integradas — especialmente aquelas que atendem servidores e cidadãos com dificuldade de locomoção — representa riscos sérios de ordem legal, operacional, social e institucional. A falta de acessibilidade transmite uma imagem de negligência, descaso e falta de compromisso com a inclusão, afetando a reputação do órgão perante a sociedade. Unidades que operam em mais de um pavimento ficam parcial ou totalmente inacessíveis, dificultando deslocamentos internos e prejudicando a fluidez das atividades.
</t>
  </si>
  <si>
    <t>Além de atender às normas técnicas de acessibilidade, a reativação dos elevadores contribui diretamente para a melhoria da rotina de trabalho dos servidores e para a eficiência das atividades operacionais, especialmente em unidades com múltiplos pavimentos. A medida reduz o risco de acidentes decorrentes de acessos improvisados ou inadequados e melhora as condições de atendimento ao público, garantindo maior conforto, segurança e funcionalidade nos ambientes institucionais.</t>
  </si>
  <si>
    <t>Atualmente, diversas unidades prediais integradas que prestam serviços de caráter contínuo encontram-se desprovidas de geradores de energia operacionais. Essa condição implica que, em caso de interrupção no fornecimento da rede elétrica, essas unidades ficam vulneráveis à paralisação total de suas atividades, comprometendo a continuidade dos serviços essenciais oferecidos à população.</t>
  </si>
  <si>
    <t>A falta de geradores funcionais compromete a operação de equipamentos críticos, sistemas de segurança, comunicação e infraestrutura tecnológica, impactando diretamente na eficiência do atendimento e na segurança dos servidores e usuários. Além disso, a ausência de fonte de energia alternativa configura um risco significativo para a manutenção das condições mínimas necessárias ao funcionamento dos serviços públicos, especialmente aqueles que demandam funcionamento ininterrupto.</t>
  </si>
  <si>
    <t>Assegura a continuidade das operações mesmo diante de interrupções no fornecimento de energia elétrica pela rede pública, evitando a paralisação dos serviços essenciais prestados à população. Isso é fundamental para garantir o funcionamento ininterrupto de equipamentos críticos, sistemas de segurança, comunicação e demais infraestruturas tecnológicas, preservando a eficiência, a segurança e a qualidade do atendimento. Além disso, a presença de geradores contribui para a mitigação de riscos operacionais e institucionais, prevenindo prejuízos financeiros decorrentes de falhas e interrupções e evitando impactos negativos à imagem da instituição. Sob o ponto de vista legal e regulatório, a existência de geradores operacionais está alinhada às melhores práticas de gestão de risco e pode ser exigida em situações específicas, fortalecendo a conformidade das unidades perante órgãos fiscalizadores e de controle. Por fim, contar com uma fonte de energia alternativa robusta demonstra comprometimento com a resiliência e sustentabilidade dos serviços públicos, proporcionando maior segurança e tranquilidade para servidores, usuários e para a própria administração pública.</t>
  </si>
  <si>
    <t>Atualmente, as unidades prediais integradas não contam com a limpeza e manutenção periódica das caixas d’água responsáveis pelo abastecimento de todo o edifício. Essa situação representa um risco significativo à qualidade da água distribuída, comprometendo a saúde e o bem-estar dos servidores, usuários e demais ocupantes das instalações.</t>
  </si>
  <si>
    <t>A falta de limpeza e manutenção adequada pode acarretar o acúmulo de resíduos, proliferação de micro-organismos patogênicos, além de favorecer o surgimento de vazamentos e deterioração estrutural dos reservatórios. Tal cenário impacta diretamente na segurança hídrica, podendo resultar em contaminação da água, interrupções no abastecimento e prejuízos à imagem institucional.</t>
  </si>
  <si>
    <t>Assegurar a qualidade da água distribuída, prevenindo a contaminação por micro-organismos, sedimentos e outras impurezas que podem comprometer a saúde dos usuários e servidores. Além disso, a manutenção preventiva contribui para a preservação da integridade estrutural dos reservatórios, evitando vazamentos e desgastes que possam ocasionar desperdício de água e custos elevados com reparos emergenciais ou substituições. A adoção desse procedimento também garante a conformidade com normas técnicas e regulamentações vigentes, reduzindo riscos de sanções e fortalecendo a governança institucional. Por fim, a manutenção contínua promove a sustentabilidade dos sistemas prediais, assegurando o fornecimento ininterrupto de água em condições adequadas, o que resulta em maior confiabilidade dos serviços e valorização da imagem institucional perante a comunidade e órgãos de fiscalização.</t>
  </si>
  <si>
    <t>As unidades prediais integradas não realizam a limpeza e manutenção periódica dos bebedouros disponíveis para uso dos servidores, usuários e demais frequentadores das instalações. Essa falta de cuidado compromete a higiene e a qualidade da água fornecida, gerando riscos à saúde de todos que dependem desses equipamentos para hidratação.</t>
  </si>
  <si>
    <t>A ausência de limpeza adequada pode resultar no acúmulo de sujeiras, bactérias e outros micro-organismos nocivos, que além de causarem doenças, deterioram o funcionamento dos bebedouros. Ademais, a falta de manutenção preventiva pode acarretar falhas técnicas, vazamentos e desperdício de água, prejudicando a sustentabilidade e eficiência operacional das unidades.</t>
  </si>
  <si>
    <t>Garantir a qualidade da água consumida, prevenindo a proliferação de bactérias, fungos e outros micro-organismos que podem causar doenças e comprometer a saúde dos servidores, usuários e visitantes. Além disso, a manutenção preventiva assegura o bom funcionamento dos equipamentos, evitando falhas técnicas, vazamentos e desperdício de água, o que contribui para a sustentabilidade ambiental e a redução de custos operacionais.</t>
  </si>
  <si>
    <t>Operacionalização do Ciclo de Reuniões da Metodologia de Integração da Gestão em Segurança Pública (IGESP), com foco nas naturezas atinentes ao Corpo de Bombeiros Militar, por meio de Reuniões de Alinhamento, Reuniões de Trabalho, Reuniões de Rede, Reuniões de Avaliação do ciclo, a partir da definição dos municípios que serão abarcados pela metodologia. Na base de cálculo foram considerados os municípios de Uberlândia/MG e Juiz de Fora/MG, sendo municípios especiais, deste modo, não impactaria na previsão orçamentária deficitária para execução da metodologia.</t>
  </si>
  <si>
    <t xml:space="preserve">Elevação ou manutenção dos problemas atinentes as naturezas típicas do Corpo de Bombeiros Militar </t>
  </si>
  <si>
    <t>Proposição de ações conjuntas com vistas a solução dos problemas afetos às naturezas de atuação do Corpo de Bombeiros Militar e elevação da eficácia das políticas de integração, que são fundamentais para a redução destes índices</t>
  </si>
  <si>
    <t>Operacionalização do Ciclo de Reuniões da Metodologia de Integração da Gestão em Segurança Pública (IGESP), com foco nos Crimes contra o Patrimônio (furto, roubo, extorsão, extorsão mediante sequestro e receptação), por meio de Reuniões de Alinhamento, Reuniões de Trabalho, Reuniões de Rede, Reuniões de Avaliação do ciclo, no município de Juiz de Fora/MG, podendo haver alteração caso o diagnóstico da Superintendência do Observatório de Segurança Pública indique outro município.</t>
  </si>
  <si>
    <t>Elevação ou manutenção dos problemas de Segurança Pública, em especial aos índices de  criminalidade</t>
  </si>
  <si>
    <t>Proposição de ações conjuntas com vistas a solução dos problemas afetos à Segurança Pública e elevação da eficácia das políticas de integração, que são fundamentais para a redução dos índices de criminalidade.</t>
  </si>
  <si>
    <t>Operacionalização do Ciclo de Reuniões da Metodologia de Integração da Gestão em Segurança Pública (IGESP), com foco nos Crimes contra o Patrimônio (furto, roubo, extorsão, extorsão mediante sequestro e receptação), por meio de Reuniões de Alinhamento, Reuniões de Trabalho, Reuniões de Rede, Reuniões de Avaliação do ciclo, no município de Uberlândia/MG, podendo haver alteração caso o diagnóstico da Superintendência do Observatório de Segurança Pública indique outro município.</t>
  </si>
  <si>
    <t>Operacionalização do Ciclo de Reuniões da Metodologia de Integração da Gestão em Segurança Pública (IGESP), com foco nos Crimes contra o Patrimônio (furto, roubo, extorsão, extorsão mediante sequestro e receptação), por meio de Reuniões de Alinhamento, Reuniões de Trabalho, Reuniões de Rede, Reuniões de Avaliação do ciclo, em município indicado de acordo com diagnóstico da Superintendência do  Observatório de Segurança Pública.</t>
  </si>
  <si>
    <t>Com o avanço dos estudos na área de justiça e segurança pública, bem como o cenário vivenciado pelos Estados referências nestas temáticas, torna-se necessária a aproximação e troca de experiências visando o aprimoramento da Metodologia Igesp implementada no Estado de Minas Gerais.</t>
  </si>
  <si>
    <t>Execução de Metodologias obsoletas</t>
  </si>
  <si>
    <t>Aprimoramento da Metodologia e avanço nas áreas de Justiça e Segurança Pública</t>
  </si>
  <si>
    <t>Operacionalização do Ciclo de Reuniões da Metodologia de Integração da Gestão em Segurança Pública (IGESP), com foco nos em crimes indicados pela Superintendência do Observatório de Segurança Públuca ou por autoridades locais, por meio de Reuniões de Alinhamento e Reuniões de Rede.</t>
  </si>
  <si>
    <t xml:space="preserve">1. Considerando  a relização de cursos em outros municípios, com deslocamento de pessoal interno: 2. Considerando as visitas técnicas que serão essenciais para implantação dos trabalhos e acompanhamento dos credenciamentos iniciados para a Academia Estadual de Segurança Pública: 3. Considerando a realização  e participação de servidores em  eventos acadêmicos e científicos, </t>
  </si>
  <si>
    <t>1. Não realizar ou  compar em cursos que necessitam de deslocamento; 2. Não realização de eventos acadêmicos ou científicos de interesse da Administração. 3. Pouco ou nehuma visibilidade acerca da real dinâmica das clínicas credenciadas e baixa compreensão de funcionamento da ESPEN/DF e Escola Nacional de Socioeducação.</t>
  </si>
  <si>
    <t>1.O fortalecimento da capacitação dos docentes e modernização das ferramentas de ensino;  2. Promover o aprimoramento profissional dos servidores;3. Ofertar conhecimentos atualizados e especializados com qualidade, proporcionando uma formação mais completa e qualificada aos profissionais envolvidos, contribuindo para o desenvolvimento da excelência no âmbito da administração pública.</t>
  </si>
  <si>
    <t>1. Considerando  a relização de cursos e especializações em outros países. 2. Considerando as visitas técnicas em outros países que contribuirão para a implantação dos trabalhos e melhoria dos serviços ofertados pela Academia Estadual de Segurança Pública. 3. Considerando a realização  e participação de servidores em  eventos acadêmicos e científicos, de cunho  internacional.</t>
  </si>
  <si>
    <t>1. Não realizar ou  comparecer em cursos que necessitam de deslocamento; 2. Não participação de eventos acadêmicos ou científicos de cunho internacional, e que sejam de interesse da Administração Pública. 3. Pouca ou nehuma visibilidade acerca da real dinâmica dos outros países em relação aos cursos que são ofertados pela AESP.</t>
  </si>
  <si>
    <t xml:space="preserve">Realização de Curso Operacional e capacitações de aperfeiçoamento em Armamento, munições e Tiro. </t>
  </si>
  <si>
    <t xml:space="preserve">. Preparação inadequada dos policiais: A falta de munições para treinamento impede que os policiais adquiram e aprimorem suas habilidades de tiro e táticas operacionais. Isso resulta em uma preparação inadequada para enfrentar situações de alto risco, o que pode colocar em perigo tanto a vida dos próprios policiais quanto a segurança da comunidade que eles servem.
2. Baixa confiança e eficácia: O treinamento com munições desempenha um papel crucial no desenvolvimento da confiança dos policiais em suas habilidades e no aprimoramento de sua eficácia no uso de armas de fogo. A falta de treinamento adequado pode levar a uma diminuição da confiança dos policiais em sua capacidade de responder efetivamente a situações de perigo, resultando em hesitação e possível tomada de decisões inadequadas. 3. 3. Desatualização em relação a novas armas e tecnologias adotadas pela comissão de modernização de equipamentos da SEJUSP: A falta de munições para treinamento também impede que os policiais se familiarizem e se adaptem a novas armas de fogo e tecnologias relacionadas, limitando sua capacidade de utilizar equipamentos modernos de maneira eficiente e eficaz.
</t>
  </si>
  <si>
    <t xml:space="preserve">1. Desenvolvimento de habilidades de tiro: O treinamento regular com munições é fundamental para desenvolver e aprimorar as habilidades de tiro dos policiais. Isso inclui a familiarização com diferentes armas de fogo, práticas de tiro precisas, técnicas de mira e controle de recuo. O treinamento adequado com munições proporciona aos policiais a confiança necessária para lidar com situações de alto estresse e para tomar decisões corretas em momentos críticos. 2. Simulação de situações reais: O uso de munições durante o treinamento permite que os policiais simulem situações reais de confronto, replicando condições de campo e oferecendo uma experiência o mais próxima possível da realidade. Essas simulações ajudam os policiais a desenvolverem habilidades táticas, estratégias de resposta e a tomar decisões rápidas e efetivas em cenários complexos.
3. Prática de procedimentos de segurança: O treinamento com munições oferece aos policiais a oportunidade de praticar e reforçar os procedimentos de segurança relacionados ao manuseio de armas de fogo. Isso inclui práticas de recarregamento, verificação de armas, manutenção e limpeza adequadas, além de reforçar a importância do cumprimento dos protocolos de segurança em todas as circunstâncias. 4. Avaliação e aprimoramento do desempenho individual: Através do uso de munições durante o treinamento, os policiais podem ser avaliados em relação ao seu desempenho individual. Isso permite identificar áreas de melhoria, corrigir erros e aprimorar as habilidades técnicas e táticas necessárias para o cumprimento eficaz do trabalho policial. A avaliação contínua contribui para a profissionalização e o desenvolvimento constante dos policiais.
5. Adaptação a avanços tecnológicos: O treinamento com munições também permite que os policiais se adaptem a avanços tecnológicos em armamentos e munições. À medida que novas armas são introduzidas, é importante que os policiais se familiarizem com elas e entendam suas características e funcionamento. O treinamento contínuo com munições garante que os policiais estejam atualizados e capazes de utilizar adequadamente as armas e munições mais recentes disponíveis.
</t>
  </si>
  <si>
    <t>1. Uso excessivo de força: Sem o treinamento apropriado em técnicas de controle e contenção com instrumentos de menor potencial ofensivo, os servidores correm o risco de recorrer a métodos mais agressivos e desproporcionais no momento de lidar com situações de confronto. Isso pode resultar em uso excessivo de força física ou até mesmo no uso desnecessário de armas de fogo, levando a consequências graves, tanto para os suspeitos quanto para os servidores e para a reputação da instituição. 2. Lesões desnecessárias: A falta de capacitação em instrumentos de menor potencial ofensivo pode resultar em técnicas inadequadas de controle e contenção, aumentando o risco de lesões tanto para os servidores quanto para os envolvidos nas situações de confronto. Sem o conhecimento adequado sobre como utilizar esses instrumentos de forma segura e eficaz, os servidores podem causar danos físicos desnecessários, prejudicando a integridade física e a saúde das pessoas envolvidas. 3. Falta de opções de resposta: A não capacitação em instrumentos de menor potencial ofensivo limita as opções disponíveis para os servidores ao lidar com diferentes tipos de situações de confronto. Isso pode resultar em uma abordagem unilateral e restrita ao uso de força, o que nem sempre é apropriado ou necessário. A falta de opções adequadas pode dificultar a resolução pacífica de conflitos e aumentar a probabilidade de escalada de violência.
4. Insegurança e falta de confiança: A ausência de capacitação em instrumentos de menor potencial ofensivo pode gerar insegurança e falta de confiança nos servidores. Sem o treinamento adequado, os servidores podem se sentir despreparados para lidar com situações de confronto, resultando em hesitação, tomada de decisões inadequadas ou falta de confiança em suas próprias habilidades. Isso pode afetar negativamente o desempenho, a eficácia e a segurança das ações policiais.
5. Responsabilização legal e reputacional: A falta de capacitação em instrumentos de menor potencial ofensivo pode expor as instituições policiais a riscos legais e danos à reputação. Casos de uso indevido de força ou de falta de conhecimento sobre o uso apropriado desses instrumentos podem levar a ações legais contra os servidores e a instituição. Além disso, a falta de capacitação pode gerar desconfiança e críticas da comunidade, comprometendo a confiança nas forças policiais.</t>
  </si>
  <si>
    <t xml:space="preserve">1. Redução do risco de lesões graves: O treinamento com instrumentos de menor potencial ofensivo, como o IMPO, permite que os policiais pratiquem técnicas de controle e contenção de indivíduos sem recorrer imediatamente ao uso de armas de fogo ou técnicas mais agressivas. Esses instrumentos são projetados para minimizar o risco de lesões graves tanto para os policiais quanto para os suspeitos ou indivíduos envolvidos em situações de confronto. O treinamento adequado com esses instrumentos ajuda a desenvolver habilidades de aplicação de força controlada e a reduzir o risco de danos desnecessários. 2. Alternativa ao uso de armas de fogo: O treinamento com instrumentos de menor potencial ofensivo oferece aos policiais alternativas ao uso de armas de fogo em situações que não exigem o nível máximo de força letal. Esses instrumentos podem incluir sprays de pimenta, bastões retráteis, dispositivos de choque elétrico não letal, entre outros. O treinamento adequado com esses instrumentos permite que os policiais avaliem corretamente a situação e escolham a melhor abordagem para lidar com ela, considerando o nível apropriado de força necessário.
3. Aprimoramento de habilidades de controle e contenção: O treinamento com instrumentos de menor potencial ofensivo permite que os policiais aprimorem suas habilidades de controle e contenção de indivíduos em situações de confronto ou resistência. Isso inclui técnicas de imobilização, técnicas de uso seguro e efetivo desses instrumentos, bem como estratégias de comunicação e de gerenciamento de crises. O treinamento adequado com esses instrumentos capacita os policiais a responderem de forma mais eficaz e segura em situações de alto estresse, minimizando o risco de danos físicos para todas as partes envolvidas.
4. Conformidade com os princípios de direitos humanos: O treinamento com instrumentos de menor potencial ofensivo está alinhado com os princípios de direitos humanos e proporciona aos policiais opções menos letais para lidar com situações de confronto. Esses instrumentos visam minimizar danos desnecessários, garantindo o respeito
 pelos direitos e a dignidade das pessoas envolvidas. O treinamento adequado reforça a importância do uso proporcionado da força, respeitando os direitos humanos e os padrões éticos da aplicação da lei.
</t>
  </si>
  <si>
    <t>1. Limitação e precariedade dos treinamentos;
2. Maior probabilidade de acidentes, provocando lesões e demais danos físicos ao servidor e ao indivíduo sob tutela do Estado.</t>
  </si>
  <si>
    <t>1. Avaliação da precisão e da técnica de tiro: O alvo de papel oferece uma representação visual clara do local onde os disparos atingem, permitindo que os atiradores avaliem sua precisão e técnica de tiro. Os alvos de papel geralmente possuem áreas designadas, como círculos ou zonas numeradas, que ajudam a identificar e medir a proximidade dos tiros em relação ao ponto de mira. Isso permite que os atiradores identifiquem áreas de melhoria e façam os ajustes necessários em sua técnica. 2. Treinamento de mira e alinhamento: O alvo de papel é uma ferramenta fundamental para o treinamento de mira e alinhamento de miras. Os atiradores podem utilizar os pontos de referência no alvo para alinhar corretamente suas miras e realizar ajustes necessários para alcançar uma precisão ideal. Isso é especialmente importante para atiradores iniciantes ou em treinamento, pois ajuda a desenvolver uma base sólida de habilidades de mira e alinhamento. 3.Simulação de cenários específicos: Dependendo do design e das características do alvo de papel, é possível simular cenários específicos de treinamento. Alvos de papel podem apresentar silhuetas humanas ou formas que representam objetos ou situações reais. Isso permite que os atiradores pratiquem tiros em alvos que se assemelham a situações reais, como alvos em movimento ou com áreas específicas de interesse, proporcionando um treinamento mais realista e aplicável. 4.Registro e análise de progresso: Os alvos de papel podem ser usados para registrar o progresso dos atiradores ao longo do tempo. Ao marcar os tiros no alvo e datá-los, é possível acompanhar a evolução da precisão e do desempenho ao longo do treinamento. Isso permite que os atiradores vejam seu progresso, identifiquem áreas de melhoria e ajustem suas estratégias de treinamento de acordo. 5. São provas materias de classificação e proeficiencia do aluno.</t>
  </si>
  <si>
    <t>Atualmente não existe local apropriado para guarda de material bélico utilizados com frequencia nos treinamentos do Nucleo dos Centros de Treinamentos.</t>
  </si>
  <si>
    <t>1. Impossibilidade de aumentar a oferta de mais capacitações e o risco de ocorrências no trajeto de deslocamento de armas entre a unidade que guarda o cervo e o centro de treinamento</t>
  </si>
  <si>
    <t xml:space="preserve">1. Otimização de tempo; 2. Execução do treinamento continuado ao servidor; 3.Maior efetivo capacitado e treinando suas habilidades, conhecimentos,  de tomar decisões rápidas e precisas pautadas pela legalidade: 3. Formação de um profissional eficaz e comprometido com a segurança e o bem -estar da sociedade </t>
  </si>
  <si>
    <t>Atualmente não há estações de trabalho em número suficiente para todos os servidores</t>
  </si>
  <si>
    <t xml:space="preserve">Impossibilidade em retormar ao presencial, se for o caso e mesmo não sendo assim atualmente, ainda há revezamento de estações entree as equipes </t>
  </si>
  <si>
    <t>Adequação dos espaços de trabalho e consequente melhoria na execução dos serviços.</t>
  </si>
  <si>
    <t>Participação de servidores capacitações e treinamentos realizados pela SEJUSP</t>
  </si>
  <si>
    <t xml:space="preserve">Desorganização e condições inadequadas de alojamento </t>
  </si>
  <si>
    <t>Organização, suporte básico e condições adequadas de alojamento ao servidor</t>
  </si>
  <si>
    <t xml:space="preserve">1. Treinamentos ultrapassados. 2. Capacitação dos dicentes comprometida por falta de material adequado. 3. Formação incompleta e falha dos profissionais de segurança pública. </t>
  </si>
  <si>
    <t>1. Limitação e precariedade dos treinamentos. 2. Danos materiais e  físicos ao servidor e ou  indivíduos sob tutela do Estado.</t>
  </si>
  <si>
    <t>1.  Redução de riscos e custos: A utilização de  airsofts em treinamentos evita os riscos associados ao uso de armas de fogo reais, como acidentes, ferimentos ou danos materiais. Além disso, os airsofts não requerem munição real, o que reduz significativamente os custos associados aos treinamentos, tornando-os mais acessíveis e frequentes.  3. Realismo e simulação de situações reais: Os airsofts são projetados para serem visualmente semelhantes às armas de fogo reais, o que proporciona um treinamento mais realista para os policiais. Eles permitem simular situações de alto risco, como confrontos armados, invasões de prédios, abordagens veiculares e outras ocorrências típicas da atuação policial. Isso contribui para o desenvolvimento de estratégias eficazes, tomada de decisões rápidas e melhor preparo emocional para lidar com essas situações. 4. Treinamento em ambientes controlados: A utilização de airsofts permite a realização de treinamentos em ambientes controlados e seguros, como estandes de tiro especializados ou espaços próprios para simulações. Isso proporciona aos policiais a oportunidade de praticar em cenários específicos, replicando condições de iluminação, barulho, obstáculos e interações com outras pessoas, tornando o treinamento mais próximo da realidade.</t>
  </si>
  <si>
    <t>1.  Redução de riscos e custos: A utilização de airsofts em treinamentos evita os riscos associados ao uso de armas de fogo reais, como acidentes, ferimentos ou danos materiais. Além disso, os airsofts não requerem munição real, o que reduz significativamente os custos associados aos treinamentos, tornando-os mais acessíveis e frequentes.  3. Realismo e simulação de situações reais: Os airsofts são projetados para serem visualmente semelhantes às armas de fogo reais, o que proporciona um treinamento mais realista para os policiais. Eles permitem simular situações de alto risco, como confrontos armados, invasões de prédios, abordagens veiculares e outras ocorrências típicas da atuação policial. Isso contribui para o desenvolvimento de estratégias eficazes, tomada de decisões rápidas e melhor preparo emocional para lidar com essas situações. 4. Treinamento em ambientes controlados: A utilização de airsofts permite a realização de treinamentos em ambientes controlados e seguros, como estandes de tiro especializados ou espaços próprios para simulações. Isso proporciona aos policiais a oportunidade de praticar em cenários específicos, replicando condições de iluminação, barulho, obstáculos e interações com outras pessoas, tornando o treinamento mais próximo da realidade.</t>
  </si>
  <si>
    <t>Capacitação de todos os servidores da Polícia Penal em Atendimento Pré Hospitalar de Combate</t>
  </si>
  <si>
    <t>1.Limitação e precariedade dos treinamentos
2.Maior probabilidade de acidentes, provocando lesões e demais danos físicos</t>
  </si>
  <si>
    <t xml:space="preserve">1.Redução do numero de mortes de servidores e indivíduos sobre tutela do estado por sangramento massivo, falta de oxigênio, traumas toráxicos, e hipotermia;  2.Adequação dos treinamentos a atulidade  -  O fortalecimento da capacitação dos dicentes  e modernização das ferramentas de ensino;  3. Promover o aprimoramento profissional dos servidores; 4. Ofertar conhecimentos atualizados e especializados com qualidade, proporcionando uma formação mais completa e qualificada aos profissionais envolvidos, contribuindo para o desenvolvimento da excelência no âmbito da administração pública.
- </t>
  </si>
  <si>
    <t>A Escola Estadual de Serviços Penais possui grande extensão territorial cerca de dez mil metros quadrados, apresenta necessidade de manutenção frequentemente, onde precisa de aquisição de materiais que não são ofertados pela SEJUSP, desta forma, precisando realizar aquisições de equipamentos, para não prejudicar os treinamentos dos Discentes das diversas Instituições que realizam cursos no local em tela. Nesse sentido, a EESP também monitora e realiza os cuidados necessários, tais como, limpeza, jardinagem e reparos nas instalações no Centro de treinamento avançado (Fazenda mato Grosso) que possui cerca de 17 mil metros quadrados. A disponibilização desse recurso é essencial para a continuidade dos serviços, evitando interrupções ou atrasos nas demandas rotineiras do setor.</t>
  </si>
  <si>
    <t>A não liberação da verba solicitada pode comprometer diretamente a continuidade e a eficiência dos serviços prestados pela EESP, gerando atrasos e/ou paralisações pontuais e prejuízo aos discentes e nos treinamentos operacionais, em razão da ausência de soluções imediatas para pequenas demandas.</t>
  </si>
  <si>
    <t>Manutenção dos cursos operacionais realizados pela Escola Estadual de Serviços Penais, além de contribuir significativamente para a melhoria das condições do local onde são ofertadas as  capacitações dos servidores.</t>
  </si>
  <si>
    <t>Utilização da verba prevista para gastos com despesas miúdas e de pronto pagamento da Academia Estadual de Segurança Pública.</t>
  </si>
  <si>
    <t>Limitação, precariedade e sucateamento dos serviços ofertados, além de contribuir para a não realização das pequenas manutenções e demandas emergenciais que surgirem na Aesp.</t>
  </si>
  <si>
    <t>Cobertura dos serviços ofertados e manutenção das demandas excepcionais que surgirem.</t>
  </si>
  <si>
    <t>A oferta de apoio logístico, como o coffee break, está alinhada à missão institucional da Academia de garantir a excelência na formação continuada dos servidores da Sejusp, fortalecendo o compromisso com a promoção de eventos de alto nível técnico e formativo.</t>
  </si>
  <si>
    <t>Limitação e precariedade dos eventos ofertados pela Academia Estadual de Segurança Pública.</t>
  </si>
  <si>
    <t>O fornecimento de coffee break visa contribuir para a qualidade e o bom andamento das atividades, promovendo um ambiente mais acolhedor e favorável à troca de conhecimentos, integração dos participantes e valorização dos servidores envolvidos nos processos de formação e capacitação.</t>
  </si>
  <si>
    <t>Capacitação para os servidores da segurança pública nesta ferramenta que, atualmente, é muito utilizada</t>
  </si>
  <si>
    <t>Defasagem de conhecimento pelos servidores da Sejusp/MG.</t>
  </si>
  <si>
    <t>Utilização de ferramentas atualizadas na gestão de dados da segurança pública.</t>
  </si>
  <si>
    <t>ATUALMENTE A AESP NÃO POSSUI EM SUA ESTRUTURA UMA BIBLIOTECA, SEJA ELA FÍSICA OU VIRTUAL. OCORRE QUE, CONFORME DETERMINA O INCISO XII DO ART. 74 DA RESOLUÇÃO Nº 482, DE 08 DE JULHO DE 2021, DO CONSELHO ESTADUAL DE EDUCAÇÃO, QUE ESTABELECE AS NORMAS RELATIVAS À REGULAÇÃO DA EDUCAÇÃO SUPERIOR DO SISTEMA ESTADUAL DE ENSINO DE MINAS GERAIS, PARA AUTORIZAÇÃO DE CURSO SERÁ NECESSÁRIO, ENTRE OUTROS, BIBLIOTECA, FÍSICA OU DIGITAL, SUA ORGANIZAÇÃO, MANUTENÇÃO E INFORMATIZAÇÃO; SEU ACERVO DE LIVROS BÁSICOS E COMPLEMENTARES (3 TÍTULOS PARA A BIBLIOGRAFIA BÁSICA E 5 PARA A BIBLIOGRAFIA COMPLEMENTAR POR CURSO); OS PERIÓDICOS ESPECIALIZADOS, INDEXADOS E CORRENTES; E OS RECURSOS E FORMAS DE ACESSO A REDES E SISTEMAS DE INFORMAÇÃO.</t>
  </si>
  <si>
    <t xml:space="preserve">A NÃO ESTRUTURAÇÃO DA BIBLIOTECA FÍSICA OU VIRTUAL IMPEDIRÁ O CREDENCIAMENTO DA ACADEMIA ESTADUAL DE SEGURANÇA PÚBLICA COMO ESCOLA DE GOVERNO. </t>
  </si>
  <si>
    <t xml:space="preserve">A ESTRUTURAÇÃO DA BIBIOTECA VIRTUAL PERMITIRÁ O CREDENCIAMENTO DA ACADEMIA ESTADUAL DE SEGURANÇA PÚBLICA, ALÉM DE VIABILIZAR AOS SERVIDORES UM ESPAÇO COM MATERIAIS PARA CONSULTA, ESTUDO E CAPACITAÇÃO </t>
  </si>
  <si>
    <t>OS CANDIDATOS SELECIONADOS E MATRICULADOS NO CURSO DE FORMAÇÃO TÉCNICO-PROFISSIONAL - CFTP, 6ª ETAPA DO NOVO CONCURSO PARA CARREIRA DE POLICIAL PENAL, RECEBERÃO UM AUXÍLIO FINANCEIRO NO VALOR CORRESPONDENTE A 50% (CINQUENTA POR CENTO) DO VENCIMENTO BÁSICO INICIAL DO CARGO DE POLICIAL PENAL, A SER PAGO EM UMA ÚNICA PARCELA, QUANDO DA REALIZAÇÃO DO CFTP.</t>
  </si>
  <si>
    <t>O PAGAMENTO DA BOLSA É SALUTAR EM VIRTUDE DA NECESSIDADE DA REALIZAÇÃO DA ÚLTIMA ETAPA DO CONCURSO PÚBLICO, ALÉM DE ESTAR PREVISTO EM LEI (LEI Nº 14.695/2003). POIS SEM A ETAPA E A CONSEQUENTE PERCEPÇÃO DA BOLSA PELOS CANDIDATOS APTOS A RECEBÊ-LA NÃO PODEMOS HOMOLOGAR O CONCURSO</t>
  </si>
  <si>
    <t>O CURSO DE FORMAÇÃO TÉCNICO-PROFISSIONAL - CFTP,  6ª ETAPA DO NOVO CONCURSO PARA CARREIRA DE POLICIAL PENAL, TEM CARÁTER ELIMINATÓRIO E CLASSIFICATÓRIO, E OCORRERÁ EM HORÁRIO INTEGRAL DE SEGUNDA A SEXTA-FEIRA E MEIO PERÍODO AOS SÁBADOS, COM DEDICAÇÃO EXCLUSIVA. A BOLSA AUXÍLIO É PREVISTA NO ART. 9º DA LEI Nº 14.695/2003, QUE CRIA A SUPERINTENDÊNCIA DE COORDENAÇÃO DA GUARDA PENITENCIÁRIA, A DIRETORIA DE INTELIGÊNCIA PENITENCIÁRIA E A CARREIRA DE POLICIAL PENAL E DÁ OUTRAS PROVIDÊNCIAS: "§ 6º – OS SELECIONADOS E INSCRITOS NO CURSO DE FORMAÇÃO TÉCNICO-PROFISSIONAL RECEBERÃO UMA BOLSA NO VALOR CORRESPONDENTE A 50% (CINQUENTA POR CENTO) DO VENCIMENTO BÁSICO RELATIVO À FAIXA DE VENCIMENTO 1 – GRAU A".</t>
  </si>
  <si>
    <t>1. Não realizar ou  comparecer em cursos que necessitam de deslocamento; 2. Não realização de eventos acadêmicos ou científicos de interesse da Administração. 3. Pouco ou nehuma visibilidade acerca da real dinâmica das clínicas credenciadas e baixa compreensão de funcionamento da ESPEN/DF e Escola Nacional de Socioeducação.</t>
  </si>
  <si>
    <t>PARA A EXECUÇÃO DA 1º, 2º, 3º, 4º E 5º ETAPA JÁ SERÁ CONTRATADA UMA INSTITUIÇÃO, SENDO QUE A CONTRATAÇÃO DE INSTITUIÇÃO PARA MINISTRAR O CURSO DE FORMAÇÃO TÉCNICO PROFISSIONAL É ESSENCIAL POIS TRATA-SE DA 6ª E ÚLTIMA ETAPA PREVISTA EM LEI DE CARREIRA PARA POLICIAL PENAL E, SEM A REALIZAÇÃO DA MESMA, SERÁ IMPOSSÍVEL HOMOLOGAÇÃO DO CONCURSO.</t>
  </si>
  <si>
    <t>A PRESTAÇÃO DOS SERVIÇOS DESSE OBJETO É SALUTAR EM VIRTUDE DAS NECESSIDADES EXISTENTES. NESSE CASO, A NECESSIDADE DA REALIZAÇÃO DA ÚLTIMA ETAPA DO CONCURSO PÚBLICO TORNA-SE UMA SITUAÇÃO PROEMINENTE. POIS SEM A ETAPA NÃO PODEMOS HOMOLOGAR O CONCURSO.</t>
  </si>
  <si>
    <t>FORMAÇÃO E APROVAÇÃO DE PESSOAS QUALIFICADAS PARA EXECUÇÃO DAS ATIVIDADES PERTINENTES À CARREIRA DE POLÍCIA PENAL.</t>
  </si>
  <si>
    <t>Realização de concurso público para a contratação de auxiliares educacionais (assistentes executivos) para laborarem nas unidades socioeducativas. O valor estimado foi baseado na realização do último concurso público para a referida carreira, em 2023. Não há pagamento de bolsas e tampouco a realização de curso de formação. Destaco que o quantitativo de 211 é uma estimativa, podendo sofrer alteração.</t>
  </si>
  <si>
    <t>A prestação dos serviços desse objeto é salutar em virtude das necessidades existentes. A não realização desse concurso irá gerar uma defasagem no quadro de servidores administrativos no Estado, principalmente nas unidades socioeducativas, gerando como consequência, a precariedade dos serviços prestados à população.</t>
  </si>
  <si>
    <t>Fortalecer o quadro de servidores administrativos das unidades socioeducativas, bem como do Estado como um todo, sendo indispensável para garatinr um bom funcionamento dos serviços essenciais da segurança pública.</t>
  </si>
  <si>
    <t>Implantação de 1 Unidade de Prevenção à Criminalidade Territorial conforme Acordo PD COMPOR 71/2022</t>
  </si>
  <si>
    <t>Descumprimento do Acordo PD COMPOR 71/2022 com o Ministério Público de Minas Gerais</t>
  </si>
  <si>
    <t>Cumprir o Acordo PD COMPOR 71/2022 com o Ministério Público de Minas Gerais em todas as suas cláusulas; Redução das taxas de homicídios e criminalidade violenta e atendimento ao público para acesso a direitos e aumento da sensação de segurança</t>
  </si>
  <si>
    <t>Para seleção dos municípios, utilizou-se o diagnóstico de problemas associados ao uso e abuso de drogas em MG realizado pelo Observatório de Segurança Publica da Sejusp. Como fonte de dados observou-se: obitos relacionados ao conumo; apreensãoes de drogas em geral e registro de homicídios consumados por tráfico de drogas. Concluiu-se que as Regiões com maiores valores dos três indicadores foram: Risp 15, 8,13 e 14. Prima-se pela ampliação do Programa #Tamojunto 2.0, em 06 municípios, com maior prevalência, localizados do Vale do Aço, que integram as demais Risps vulneráveis.</t>
  </si>
  <si>
    <t>A descontinuidade da ação implica no aumento da exposição do público alvo das intervenções a fatores de risco, associados ao uso precoce de substâncias psicoativas, contribuindo para a Intensificação da Violência Escolar e desfechos negativos, precarização do impacto de ações  preventivas e corretivas diante de situações de risco, incidindo no aumento da criminalidade violenta.</t>
  </si>
  <si>
    <t>Fortalecimento de uma política de prevenção ao uso/abuso de álcool e outras drogas baseada em evidências científicas, de abrangência estadual, com capilaridade territorial, articulação integrada com as redes de segurança pública, educação e saúde, impactando na diminuição do uso precoce, da violência escolar, da vitimização por bullying e, consequentemente, na redução da criminalidade violenta associada ao público alvo da intervenção.</t>
  </si>
  <si>
    <t>CUMPRIMENTO DE DETERMINÇÃO/REQUISIÇÃO JUDICIAL PARA TRANSFERÊNCIAS DE PRESOS E/OU APRESENTAÇÃO EM AUDIÊNCIAS E TRIBUNAL DO JURI</t>
  </si>
  <si>
    <t>DESCUMPRIMENTO DE DETERMINAÇÃO JUDICIAL.</t>
  </si>
  <si>
    <t>CUMPRIR A DETERMINAÇÃO JUDICIAL, EM CASO DE TRANSFERÊNCIAS NA CONDUÇÃO DE PRESOS PARA OUTROS ESTADOS, DIMINUINDO TAMBÉM OS CUSTOS DO ESTADO DE MINAS GERAIS COM O RESPECTIVO PRESO</t>
  </si>
  <si>
    <t>Expansão da atuação do Centro de Referência Estadual em Álcool e outras Drogas e, por conseguinte, das ações de atendimento, mobilização social, formação e capacitação, pesquisa, articulação de rede, assessoramento técnico, informação científica e realização de oficinas de prevenção, para a efetivação das metas e indicadores de segurança pública, pactuadas no Planejamento Estratégico da Sejusp, que envolvem o uso de álcool e outras drogas, visando a descentralização e expansão da Política Estadual sobre Drogas</t>
  </si>
  <si>
    <t>Os impactos decorrentes do uso de álcool e outras drogas configuram uma das questões mais complexas e relevantes da contemporaneidade. Um problema de saúde pública com reflexos na educação, na justiça, na segurança pública e nos altos índices de mortalidade.
Diante desse contexto, oferecer e buscar soluções para responder a essa demanda exponencial, é uma das atribuições da Supod, que deve estar cotidianamente buscando soluções para facilitar a execução e fortalecer a Política Pública.</t>
  </si>
  <si>
    <t>Com a descentralização do Cread, é possível ofertar atendimento qualificado, diretamente na base terriotial identificada como de maior vulnerabilidade criminal e social para o uso/abuso de drogas. Assim como o aprimoramento das articulações  entre as redes locais de proteção,  promoção social e de justiça e segurança pública.
Além disso, o trabalho da equipe prevista no contrato de gestão é fundamental para o monitoramento das instituições parceiras, considerando a expansão da Rede Complementar.
As ações executadas por meio do contrato de gestão são congruentes com o Plano Mineiro de Desenvolvimento Integrado (PMDI) 2019-2030.</t>
  </si>
  <si>
    <t xml:space="preserve">AQUISIÇÃO DE VEÍCULO </t>
  </si>
  <si>
    <t>PODE COMPROMENTER DIRETAMENTE A SEGURANÇA, A LEGALIDADE E A EFICIÊNCIA NO CUMPRIMENTO DE AGENDAS JUDICIAIS, IMPACTO EM ATENDIMENTO MÉDICO , ENTRE OUTROS</t>
  </si>
  <si>
    <t>ASSEGURAR O CUMPRIMENTO REGULAR DE ORDENS JUDICIAIS, GARANTE A INTEGRIDADE FÍSICA DE SERVIDORES E CUSTODIADOS, REDUZ RISCOS DE EVASÃOES E RESGATES.</t>
  </si>
  <si>
    <t>AQUISIÇÃO DE MATERIAIS DE SEGURANÇA, ITEM EM DEFICIT NO ESTOQUE UTIMA COMPRA EM 2023</t>
  </si>
  <si>
    <t>A FALTA DOS ITENS PODE OCASIONAR RISCOS À SEGURANÇA AOS SERVIDORES</t>
  </si>
  <si>
    <t>MELHORIA NA SEGURANÇA DAS UNIDADES E DOS SERVIDORES</t>
  </si>
  <si>
    <t>Tornozeleira</t>
  </si>
  <si>
    <t>Não ampliação de medidas alternativas a custódia, não cumprimento de decisões judiciais.</t>
  </si>
  <si>
    <t>Permite o Estado de Minas Gerais cumprir decisões judiciais que determinam medidas alternativas para cumprimento de penas restritivas de liberdade, objetivando a aplicação normativa e ampliação do atendimento, bem como a promoção de humanização e consequente melhoria dos índices de ressocialização, ações alinhadas à redução dos custos para a administração pública</t>
  </si>
  <si>
    <t xml:space="preserve">Estabelecer bases de cooperação financeira (subvenção social) entre a SEJUSP - Secretaria de Estado de Justiça e Segurança Pública e as Associações de Proteção e Assistência aos Condenados, visando o atendimento das necessidades dos recuperandos assistidos pelas APACs, garantindo assim, um auxílio financeiro ao custeio da unidade conveniada, dentro de condições satisfatórias, bem como a valorização e dignificação do ser humano, com ênfase nos aspectos morais e espirituais que poderão afastá-los e tirá-los do mundo do crime. - 50 APACs e FBAC mantidas (atualmente); </t>
  </si>
  <si>
    <t>NÃO ATENDIMENTO DA PRIORIZAÇÃO DO GOVERNADOR, AUMENTO DA REINCIDÊNCIA DOS RECUPERANDOS; Inviabilizar o cumprimento da Lei de Execução Penal (LEI Nº 7.210, DE 11 DE JULHO DE 1984.); Desarticular os mecanimos de gerenciamento e controle de vagas; Inviabilizar a atuação do poder Judiciário na atividade Criminal.</t>
  </si>
  <si>
    <t>ALINHAMENTO COM AS DIRETRIZES DO GOVERNADOR, RESSOCIALIZAÇÃO DOS RECUPERANDOS, CUSTO BENEFÍCIO MAIOR COM RECUPERANDOS NAS APACS do que com a criação de novas vagas no Sistema prisional comum; Viabilizar o cumprimento da Lei de Execução Penal (LEI Nº 7.210, DE 11 DE JULHO DE 1984.); Redução da população carcerária; Viabilizar atuação do poder Judiciário na atividade Criminal. Obter maior eficiência em relação às execuções penais, maximizando a recuperação dos condenados.</t>
  </si>
  <si>
    <t>Ajuste categoria.</t>
  </si>
  <si>
    <t>Ajuste inflação.</t>
  </si>
  <si>
    <t>A unidade não possui sistema de aquecimento de água, ocasionando prejuizos à qualidade de custódia dos adolescentes que não possuem água aquecida para o banho.</t>
  </si>
  <si>
    <t>Descumprimento do SINASE e não garantia dos direitos básicos dos adolescentes.</t>
  </si>
  <si>
    <t>Garantia dos direitos dos adolescentes com o fornecimento de água aquecida para o banho.</t>
  </si>
  <si>
    <t>Manutenções e reparos emergenciais na Superintendência</t>
  </si>
  <si>
    <t>Diversos - escassez de insumos essenciais  para manutenção estrutural e aquisições complementares necessárias ao desempenho dos trabalhos.</t>
  </si>
  <si>
    <t>Manutenção da ordem pública. Cumprimento do disposto no item 5 do Decreto  nº 8.793 de 29 de junho de 2016.</t>
  </si>
  <si>
    <t>Manutenção de contrato de Licença de Software I2</t>
  </si>
  <si>
    <t>Redução da qualidade do trabalho já prestado, comprometimento da eficiência das atividades, descumpimento do Decreto  nº 8.793 de 29 de junho de 2016</t>
  </si>
  <si>
    <t>Manutenção da ordem pública, cumprimento do disposto no item 5 do Decreto nº 8.793 de 29 de junho de 2016, bem como o recomendado na Doutrina Nacional de Inteligência Penitenciária, ampliação da capacidade técnica da atividade de inteligência penal e aumento dos índices de recaptura de indivíduos foragidos do Sistema Prisional Mineiro.</t>
  </si>
  <si>
    <t>Manutenções e reparos emergenciais das unidades prisionais</t>
  </si>
  <si>
    <t>Diversos - falta de água, falta de energia, subversão a ordem, fugas.</t>
  </si>
  <si>
    <t>Manutenção da ordem pública</t>
  </si>
  <si>
    <t>REALIZAÇÃO DE ESCOLTAS PRISIONAIS.</t>
  </si>
  <si>
    <t>DESCUPRIMENTO DO ESTATUTO DO SERVIDOR QUE PREVÊ O DIREITO E CONSEQUENTEMENTE AS DEMANDAS NÃO SERÃO EXECUTADAS POR FALTA DO PAGAMENTO DE DIÁRAIS DE VIAGENS.</t>
  </si>
  <si>
    <t>CUMPRIR A OBRIGATORIEDADE DE EXECUTAR AS DEMANDAS DE VIAGENS PRISIONAIS, CONFORME LEI 869 DE 05/07/1952 E DECRETO 47.045 DE 14/09/2016.</t>
  </si>
  <si>
    <t>REALIZAÇÃO DE ESCOLTAS PRISIONAIS; MINISTRAÇÃO DE CURSOS e APOIO OPERACIONAL.</t>
  </si>
  <si>
    <t>MANUTENÇÃO DO SISTEMA PRISIONAL, TAIS COMO VISITAS TÉCNICAS, REUNIÕES, RETIRADA DE INSUMOS, APOIO OPERACIONAL.</t>
  </si>
  <si>
    <t>Proporcionar condições de trabalho aos profissionais de saúde (médicos, enfermeiros, odontólogos e etc), através da utilização de instrumentais nos procedimentos invasivos ou não</t>
  </si>
  <si>
    <t>Não execução dos procedimentos; Redução no número de atendimentos aos IPLs; Encaminhamento para atendimento externos; Aumento no número de escoltas</t>
  </si>
  <si>
    <t>Melhores condições de trabalho aos servidores que ali laboram; Humanização do atendimento aos IPLs; Redução de encaminhamentos externos de saúde; Redução do número de internações hospitalares; Redução de agravos para outros níveis de complexidade (secundária e terciária)</t>
  </si>
  <si>
    <t>Proporcionar diagnóstico precose de diversas condições cardíacas</t>
  </si>
  <si>
    <t>Proporcionar aos IPLs suporte em terapias com uso de oxigênio medicinal</t>
  </si>
  <si>
    <t>Proporcionar aos IPLs e servidores suporte em casos de parada cardíaca</t>
  </si>
  <si>
    <t>Risco de morte por para cardíaca; Encaminhamentos para atendimentos externos; Aumento no número de escoltas</t>
  </si>
  <si>
    <t>Humanização do atendimento aos IPLs; Redução de encaminhamentos externos de saúde; Redução do número de internações hospitalares; Redução de agravos para outros níveis de complexidade (secundária e terciária)</t>
  </si>
  <si>
    <t>Proporcionar realização de visitas técnicas e participação presencial em reuniões com os gestores municipais de saúde.</t>
  </si>
  <si>
    <t>Risco de diminuição da qualidade do trabalho da equipe de saúde prisional, défict de profissional</t>
  </si>
  <si>
    <t>Garantia de assistência em saúde através da fiscalização da área finalística e de estabelecimento de novas parcerias.</t>
  </si>
  <si>
    <t>Prover condições suficientes para a prestação da assistência à saúde nas unidades prisionais do estado.</t>
  </si>
  <si>
    <t>Em casos de urgência em em casos de cuidados prolongados não será possível realizar a monitoração de indicativos de saúde do paciente</t>
  </si>
  <si>
    <t xml:space="preserve">Apriomorar a assistência à saúde no Hospital Psiquiático e Judiciário Jorge Vaz </t>
  </si>
  <si>
    <t>Realização de escolta externa de pacientes em que o quadro clínico exiga a medição do nível de oxigênio no sangue.</t>
  </si>
  <si>
    <t>Medicamentos acondicionados sem controle da temperatura ambiente</t>
  </si>
  <si>
    <t>Medicamentos acondicionados em temperatura ambiente adequada</t>
  </si>
  <si>
    <t>Dotar a unidade prisional de materiais e equipamentos necessários à atuação dos profissionais das áreas técnicas, viabilizando as assistências à saúde, jurídica, ao paciente judiciário, social, religiosa, educacional, laboral e de classificação técnica e outros.</t>
  </si>
  <si>
    <t xml:space="preserve">Demandas de apoio à assistência à saúde dos pacientes podem ser prejudicadas devido indisponibilidade de veículo administrativo </t>
  </si>
  <si>
    <t>Otimização das atividades de apoio a assisência à saúde</t>
  </si>
  <si>
    <t>Aparelhar  com equipamento médico hospitalar o Centro de Apoio Médico e Pericial</t>
  </si>
  <si>
    <t>Comprometer a adequada assistência à saúde</t>
  </si>
  <si>
    <t xml:space="preserve">Humanizar a assistência à saúde no Centro de Apoio Médico e Pericial </t>
  </si>
  <si>
    <t>Comprometer a organização do ambiente de trabalho</t>
  </si>
  <si>
    <t>Oferecer melhor condição de trabalho para os servidores</t>
  </si>
  <si>
    <t>Melhor organização dos documentos e objetos do setor</t>
  </si>
  <si>
    <t>Viabilizar a realização adequada do exame criminológico na execução de pena</t>
  </si>
  <si>
    <t>Compromete o resultado do exame criminológico e o processo de progressão de regime do custodiado</t>
  </si>
  <si>
    <t>Qualificar o exame criminológico prestando maior subsídio ao juizo da execução penal</t>
  </si>
  <si>
    <t xml:space="preserve">Maior tempo gasto para correção dos testes do exame criminológico e consequentemente delonga na entrega do laudo </t>
  </si>
  <si>
    <t>Diminuir o tempo gasto na correção dos testes psicológicos do exame criminológico de forma a potencializar a entrega dos laudos</t>
  </si>
  <si>
    <t>Atendimento jurídico à pessoa privada de liberdade, por meio de mutirões previstos em Termo de Cooperação Técnica entre SEJUSP e DEFENSORIA PÚBLICA</t>
  </si>
  <si>
    <t>Prejuízo ao atendimento jurídico à pessoa privada de liberdade e comprometimento da execução das metas pactuadas no Termo de Cooperação</t>
  </si>
  <si>
    <t>Viabilizar o efetivo atendimento jurídico à pessoa privada de liberdade, que lhe é de direito, bem como a efetiva execução das metas do Termo de Cooperação</t>
  </si>
  <si>
    <t>Entrega de 2 programas de prevenção social à criminalidade em 3 Unidades de Prevenção à Criminalidade localizadas em 3 RISP. Espera-se a prevenção e redução da violência contra a mulher e a maior qualificação dos municípios na atuação em segurança pública, a partir do desenvolvimento de Planos Municipais de Prevenção à Criminalidade.
Expectativa da Supec ter um novo parceiro para a co-execução dos Programas de abrangência regional, em substituição da execução desses programas no Contrato de Gestão 02/2019.</t>
  </si>
  <si>
    <t>Descumprimento de alinhamento estratégico da Sejusp</t>
  </si>
  <si>
    <t>Abatimento do valor incremental proposto do valor limiar global do Contrato de Gestão 02/2019; Diversificação das Organizações Sociais parceiras do Estado na co-execução da Política de Prevenção</t>
  </si>
  <si>
    <t>Para seleção dos municípios, utilizou-se o diagnóstico de problemas associados ao uso e abuso de drogas em MG realizado pelo Observatório de Segurança Publica da Sejusp. Como fonte de dados observou-se: obitos relacionados ao consumo; apreensões de drogas em geral e registro de homicídios consumados por tráfico de drogas. Concluiu-se que as Regiões com maiores valores dos três indicadores foram: Risp 15, 8, 14 e 13. Prima-se pela ampliação do Programa Jogo Elos - Construindo Coletivos, em 06 municípios, com maior prevalência, localizados do Vale do Aço, que integram as demais Risps vulneráveis.</t>
  </si>
  <si>
    <t>Aquisição de livros para o Núcleo Jurídico das unidades prisionais, a fim de subsidiar decisões e análises inerentes à assitencia jurídica ao custodiado</t>
  </si>
  <si>
    <t>Prejuízo ao conhecimento técnico do Analista Jurídico</t>
  </si>
  <si>
    <t>Padronização do conhecimento, documentos fundamentados e maior qualidade da assistência jurídica prestada</t>
  </si>
  <si>
    <t>Aparelhar a unidade prisional com materiais e equipamentos necessários à atuação dos profissionais dos Núcleos de Trabalho e Produção - Aquisição de bens permanentes para a execução do trabalho nas unidades prisionais</t>
  </si>
  <si>
    <t>Ambiente de trabalho inadequado e/ou sem conforto básico</t>
  </si>
  <si>
    <t>Assegurar aos servidores um ambiente de trabalho adequado</t>
  </si>
  <si>
    <t>Redução da oferta de trabalho</t>
  </si>
  <si>
    <t>Promoção da política pública de acesso ao trabalho, com a expansão da oferta de Atividade laboral aos IPLs;
Manutenção preventiva e corretiva das unidades prisionais;
Geração de renda;
Remição de pena
Economia aos cofres públicos</t>
  </si>
  <si>
    <t>Realização das viagens da Diretoria de Ensino e Profissionalização - dentro do território mineiro a fim de cumprir com sua competência delegada de coordenar, orientar e
fiscalizar as atividades relativas à assistência educacional</t>
  </si>
  <si>
    <t>Compromete articulação técnica da DEP  junto às unidades prisionais e cumprimento de suas competências delegadas de coordenar, orientar e
fiscalizar as atividades relativas à assistência educacional.</t>
  </si>
  <si>
    <t>Promover meios de executar a política pública de assistência educacional conforme competência delegada de coordenar, orientar e
fiscalizar as atividades relativas à assistência educacional junto às unidades prisionais</t>
  </si>
  <si>
    <t>Utilização de maquinários defesados, obsoletos, ou mesmo a falta dos materiais podem impedir a execução do trabalho  de forma eficiente e/ou célere</t>
  </si>
  <si>
    <t>Eficiência e agilidade nos trabalhos desenvolvidos visando promover a política pública de acesso ao trabalho para os IPLs</t>
  </si>
  <si>
    <t>Aquisição de material de consumo para desempenho das atividades educacionais promovidas pela DEP</t>
  </si>
  <si>
    <t>Prejudicar a execução da assistência educacional nas unidades prisionais do Estado.</t>
  </si>
  <si>
    <t>Elevar os indicadores educacionais do estado ao proporcionar a manutenção bem como o aumento do número de IPLs participantes. Consequentemente, espera-se promover o amplo acesso ao ensino formal, as atividades socioculturais e demais atividades educacionais, promovidas pela DEP</t>
  </si>
  <si>
    <t>"Compromete articulação técnica da DEP  junto às unidades prisionais e cumprimento de suas competências delegadas de coordenar, orientar e
fiscalizar as atividades relativas à assistência educacional."</t>
  </si>
  <si>
    <t>"Promover meios de executar a política pública de assistência educacional conforme competência delegada de coordenar, orientar e
fiscalizar as atividades relativas à assistência educacional junto às unidades prisionais"</t>
  </si>
  <si>
    <t>Aquisição de livros para viabilizar a realização de projetos de humanização do sistema prisional e leitura, ofertados aos indivíduos privados de liberdade.</t>
  </si>
  <si>
    <t>Prejuízo da política pública de assistência educacional nas unidades prisionais  preconizados nos normativos vigentes.</t>
  </si>
  <si>
    <t>Possibilitar o cumprimento da política pública de assistêncica educacional, expecificamente atividades sociais educativas não escolares e remição de pena pela leitura, conforme Resolução 391/21 e Plano Pena Justa; e elevar os indicadores educacionais do estado, conforme Plano Estadual de Educação nas prisões de Minas Gerais (2025-2028) ao proporcionar o aumento dos projetos de remição dee pena pela leitura, bem como a promoção de leitura livre nas unidades prisionais e ampliação do número de IPLs inseridos.</t>
  </si>
  <si>
    <t>Aquisição dos kits biiométricos para coleta digital mista quando não for possível a leitura biométrica da digital de IPLS</t>
  </si>
  <si>
    <t>Leitura biométrica de IPLs não realizada e consequentemente sem Carteira de Identidade Nacional emitida</t>
  </si>
  <si>
    <t>Leitura biométrica realizada permitindo a emissão da Carteira de Identidade Nacional</t>
  </si>
  <si>
    <t>Aquisição para credenciamento de visitante de IPLs realizado  no Módulo Sigpri</t>
  </si>
  <si>
    <t>Cadastro / credenciamento de visitante não realizado</t>
  </si>
  <si>
    <t>Efetivação do cadastro / credenciamento</t>
  </si>
  <si>
    <t>Aquisição de bens permanentes para a execução do trabalho nas unidades prisionais</t>
  </si>
  <si>
    <t>Necessário para garantir a Segurança das Informações no ambiente Tecnológico da SEJUSP.</t>
  </si>
  <si>
    <t>Lentidão no desenvolvimento das atividades laborais no âmbito SEJUSP e perda do espaço de armazenamento de dados.</t>
  </si>
  <si>
    <t>Mellhoria no suporte e desempenho no ambiente de armazenamento, virtualização de processamento, virtualização de rede e gerenciamento avançado.</t>
  </si>
  <si>
    <t>Aquisição de Veículos para atender as demandas nas Unidades.</t>
  </si>
  <si>
    <t>- Não cumprimento dos exos das medidas socioeducativas;
 - Sucetivos eventos de segurança;
 - Presença constante da policia dentro das unidades socioeducativas;
 - Diminuição da rotina ou suspensão total de saidas e encaminhamentos externos
 - Déficit de servidores;
 - Superlotação das unidades socioeducativas;
 - Risco a integridade fisica dos adolescentes e/ou da comunidade socioeducativa.</t>
  </si>
  <si>
    <t>Manter a qualidade metodológica das “Medidas Socioeducativas “em suas execuções existentes no Estado e conforme o artigo 125 do ECA – “É dever do Estado zelar pela integridade física e mental dos internos, cabendo-lhe adotar as medidas adequadas de contenção e segurança”. Considerando os padrões de segurança necessários e desejáveis ao funcionamento dos Centros Socioeducativos orientados pelo disposto na Constituição Federal, no Estatuto da Criança e do Adolescente, no Sistema Nacional de Atendimento Socioeducalivo (Lei n° 12.594 de 18 de janeiro de 2012), nas Normativas Internacionais emanadas das Nações Unidas e nas Recomendações Gerais oriundas de Organismos de Defesa dos Direitos Humanos.</t>
  </si>
  <si>
    <t>Possibilitar o transporte de servidores, insumos e itens produzidos nas unidades prisionais ou IPLs em atividades laborais externas, considerando a extensa área territorial de MG</t>
  </si>
  <si>
    <t>Dificuldade na entrega/distribuição dos itens produzidos na unidades prisionais, ou na aquisição/transporte de insumos necessários a continuidade das atividades laborais</t>
  </si>
  <si>
    <t>Melhoria na logística dos itens produzidos nas unidades prisionais; Manutenção dos postos de trabalho; Auxílio ao Centro de Distribuição de Materiais (CDM)</t>
  </si>
  <si>
    <t>AQUISIÇÃO DE COLETES BALÍSTICOS PARA REDUZIR O DEFICIT NA SEJUSP E ATENDER AOS NOVOS CONCURSADOS</t>
  </si>
  <si>
    <t>DEFICIT DE COLETES E PREJUÍZOS NA SEGURANÇA DAS UNIDADES E DOS SERVIDORES</t>
  </si>
  <si>
    <t>Atualmente a SUASE possui uma frota com 86 veículos, entre administrativos e operacionais, distribuidos em 13 unidades. Essa frota tem uma idade média de 12 anos de uso, ocasionando uma maior frequência de manutenção e com custos mais altos.</t>
  </si>
  <si>
    <t>A não renovação da frota acarreta a impossibilidade de realizar escoltas de adolescentes, acesso de adolescentes à rede de saúde e encaminhamentos oriundos de determinação judicial. Além disso, será necessário arcar com o alto custo de manutenção veicular relacionado à uma frota mais obsoleta.</t>
  </si>
  <si>
    <t>Garantia dos direitos dos adolescentes em cumprimento de medida socioeducativa. Menor custo com manutenção veicular.</t>
  </si>
  <si>
    <t>Ampliação da capacidades dos setores em realizar as atividades.</t>
  </si>
  <si>
    <t>Além do cenário limiar apresentado, estima-se atendimento de mais 470 (quatrocentos e setenta) novas vagas nas APACs em AMPLIAÇÃO.</t>
  </si>
  <si>
    <t>Locação de caminhonetes cela humanizada</t>
  </si>
  <si>
    <t xml:space="preserve"> - Não cumprimento das agendas constitucionais
- Acarretará na interrupção dos serviços previstos no presente contrato, os quais são considerados essenciais para a Administração Pública, comprometendo a eficiência e a continuidade das atividades governamentais.</t>
  </si>
  <si>
    <t>- Eficiencia na mobilidade
- Redução do índice de indisponibilidade de veículos, resultando em economia de custos com manutenções preventivas e corretivas</t>
  </si>
  <si>
    <t>Impossibilidade de implementar projeto piloto na Região Metropolitana de Belo Horizonte (RMBH) para contratação de serviço de locação de veículos automotores, com gestão, manutenção e suporte da empresa contratada, para utilização desses veículos como viaturas com cela</t>
  </si>
  <si>
    <t>Substituição dos 150 veículos que estão com idade média de uso superior a 9 (nove) anos.</t>
  </si>
  <si>
    <t>A Suase tem conduzido, ao longo dos últimos anos, a implementação do que foi estabelecido pelo Plano Decenal de Atendimento Socioeducativo, cujo objetivo é emanar diretrizes para o empenho de ações de desenvolvimento à política socioeducativa em vários segmentos estratégicos. Com o encerramento do ciclo vigente e a proximidade da necessidade de revisão e reelaboração de um novo plano estratégico, torna-se fundamental a realização de um diagnóstico técnico e independente das ações gerenciais executadas até o momento.
 Esse diagnóstico permitirá uma avaliação crítica e sistematizada dos resultados alcançados, das estratégias adotadas, dos arranjos institucionais utilizados e dos principais gargalos operacionais e gerenciais identificados no período. O intuito é garantir que o novo plano seja construído com base em evidências concretas, incorporando aprendizados, corrigindo rumos e promovendo maior efetividade na gestão da política pública.
 A contratação de consultoria especializada se justifica pela necessidade de uma abordagem técnica isenta, com expertise em avaliação de políticas públicas, gestão estratégica e metodologias de diagnóstico organizacional, competências nem sempre disponíveis integralmente no corpo técnico da administração pública.</t>
  </si>
  <si>
    <t>A ausência da contratação implica riscos significativos para a continuidade qualificada da política pública, tais como:
 - Elaboração de novo plano estratégico sem embasamento técnico suficiente, pautado em percepções subjetivas ou experiências fragmentadas;
 - Repetição de falhas, ineficiências ou estratégias pouco efetivas do plano anterior;
 - Perda de oportunidade de aprendizado institucional e aprimoramento dos mecanismos de gestão;
 - Comprometimento da efetividade da política pública no novo ciclo, com impactos diretos na população atendida e no uso dos recursos públicos.</t>
  </si>
  <si>
    <t>Tomada de decisão qualificada: apoio técnico baseado em evidências para orientar escolhas estratégicas sobre o futuro da política pública.
 Alocação eficiente de recursos: direcionamento mais preciso de investimentos públicos, evitando desperdícios e aumentando o impacto.
 Aprimoramento do planejamento: formulação de um novo plano estratégico mais realista, alinhado aos aprendizados do ciclo anterior.
 Fortalecimento da gestão pública: promoção da cultura de avaliação, transparência e melhoria contínua.
 Antecipação e mitigação de riscos: identificação prévia de fragilidades que poderiam comprometer a execução futura da política.</t>
  </si>
  <si>
    <t xml:space="preserve">Diária para acompanhamento, monitoramento e avalização dos Programas: Jogo Elos e #Tamojunto 2.0, nos 06 Municpipios do Vale do Aço. </t>
  </si>
  <si>
    <t>Contratação de Licença de Software de Identificação facial</t>
  </si>
  <si>
    <t>Estagnação da atividade de inteligência penal, ausência de ferramenta para identificação de presos foragidos, descumprimento do Decreto nº 8.793 de 29 de junho de 2016.</t>
  </si>
  <si>
    <t>Equipamentos para manutenção corretiva e preventiva.</t>
  </si>
  <si>
    <t>Paralização das atividades laborais em caso de sinistro.</t>
  </si>
  <si>
    <t>Agilidade para realizar a munutenção e troca dos equipamentos no âmbito SEJUSP.</t>
  </si>
  <si>
    <t>O projeto #ConexãoSocioeducativa da Subsecretaria de Atendimento Socioeducativo - SUASE/SEJUSP tem por objetivo promover debates e discussões sobre o Sistema Socioeducativo e, principalmente, criar pontes e conexões para a construção conjunta de novas propostas para a política de atendimento em Minas Gerais. O público são profissionais que atuam nas unidades socioeducativas de internação, internação provisória e semiliberdade do Estado de Minas Gerais.</t>
  </si>
  <si>
    <t>Descontinuidade de ações de promoção à Política Socioeducativa e não participação dos profissionais que atuam nas cidades do interior do estado.</t>
  </si>
  <si>
    <t>Fortalecimento da política socioeducativa em todo o Estado. Reconhecimento perante todo o Sistema de Justiça.</t>
  </si>
  <si>
    <t>AQUISIÇÃO DE ARMAMENTO</t>
  </si>
  <si>
    <t>NÃO SUPRIR O DÉFICIT DE ARMAMENTO POLICIAL</t>
  </si>
  <si>
    <t>SUPRIR O DÉFICIT DE ARMAMENTO POLICIAL</t>
  </si>
  <si>
    <t>Viabilizar a realização de visitas às unidades prisionais e municípios com o intuito de coordenar, orientar e fiscalizar as atividades laborais, assim como fomentar novas parcerias de trabalho, elevando, consequentemente, o quantitativo de IPLs trabalhando</t>
  </si>
  <si>
    <t>Comprometer articulação técnica da DTP  junto às unidades prisionais e cumprimento de suas competências delegadas de coordenar, orientar e
fiscalizar as atividadesde trabalho; Redução na oferta de trabalho.</t>
  </si>
  <si>
    <t>Promoção da política pública com a expansão da oferta de trabalho e consequentemente, de IPLs em atividades laborais</t>
  </si>
  <si>
    <t>Contrato formalizada com o Banco do Brasil para pagamento de IPLs que exercem atividades laborais, geração de contas e cartões</t>
  </si>
  <si>
    <t>Não pagamento dos IPLs que exercem atividades laborais ou pagamento de forma morosa e com reduzida confiabilidade no processo</t>
  </si>
  <si>
    <t>Execução dos pagamento de forma célere, confiável e  e transparente</t>
  </si>
  <si>
    <t>Contratação de seguro contra acidentes de trabalho para presos em cumprimento de pena nos estabelecimentos prisionais de Minas Gerais em atendimento ao disposto no Decreto 46220/2013</t>
  </si>
  <si>
    <t>Descumprimento de obrigação prevista no Decreto 46220/2013, que estabelece normas e procedimentos para o trabalho dos IPLs em MG; Possibilidade de processos judiciais por acidentes não cobertos</t>
  </si>
  <si>
    <t>Contratação do seguro contra acidentes de trabalho em benefício do preso, em cumprimento ao previsto no  Decreto 46220/2013; Economicidade aos cofres públicos</t>
  </si>
  <si>
    <t>Necessário para o apoio às viagens da Superintendente e DA Assessoria de humanização do atendimento dentro do território mineiro</t>
  </si>
  <si>
    <t>Compromete articulação técnica e política da SHUA junto às unidades prisionais.</t>
  </si>
  <si>
    <t>Habilita a articulação técnica e política da SHUA junto às unidades prisionais</t>
  </si>
  <si>
    <t>Necessário para o apoio as viagens da Superintendente e DA Assessoria de humanização do atendimento dentro do território mineiro</t>
  </si>
  <si>
    <t>Iniciar o funcionamento do Presídio de Iturama, cuja construção finalizou-se em 2022, e inaugurar o modelo de cogestão de unidade prisional no Departamento Penitenciário</t>
  </si>
  <si>
    <t>* Manutenção do Presídio de Iturama desativado, cuja estrutura está apta para funcionamento;
* Manutenção da superlotação de unidades prisionais adjacentes enquanto o presídio permanece inutilizado;
* Descumprimento das deliberações do Ofício COFIN nº 1521.2021 -  Deliberou como alternativa a ser adotada pela SEJUSP para atendimento nas Unidades Prisionais e Socioeducativas, a contratação de empresa para prestar serviço de saúde nas Unidades Prisionais e Socioeducativas</t>
  </si>
  <si>
    <t>* Iniciar a operação do presídio de Iturama cuja estrutura já está pronta para uso 
* Reduzir a superlotação de unidades adjacentes quando da inauguração do presídio
* Cumprimento às deliperações do Ofício COFIN nº 1521.2021 -  Deliberou como alternativa a ser adotada pela SEJUSP para atendimento nas Unidades Prisionais e Socioeducativas, a contratação de empresa para prestar serviço de saúde nas Unidades Prisionais e Socioeducativas</t>
  </si>
  <si>
    <t>Manutenção do Presídio de Iturama, cuja construção finalizou-se em 2022, e inaugurar o modelo de cogestão de unidade prisional no Departamento Penitenciário</t>
  </si>
  <si>
    <t>* Manter desativado o Presídio de Iturama, cuja estrutura está apta para utilização;
* Decumprimento do Ofício COFIN nº 1521.2021 -  Deliberou como alternativa a ser adotada pela SEJUSP para atendimento nas Unidades Prisionais e Socioeducativas, a contratação de empresa para prestar serviço de saúde nas Unidades Prisionais e Socioeducativas</t>
  </si>
  <si>
    <t xml:space="preserve">
* Reduzir a superlotação de unidades adjacentes quando da inauguração do presídio
* Cumprimento às deliperações do Ofício COFIN nº 1521.2021 -  Deliberou como alternativa a ser adotada pela SEJUSP para atendimento nas Unidades Prisionais e Socioeducativas, a contratação de empresa para prestar serviço de saúde nas Unidades Prisionais e Socioeducativas</t>
  </si>
  <si>
    <t>AQUISIÇÃO DE ARMAS LONGAS TAIS COMO FUZIS, CARABINAS E ESPINGARDAS PARA USO NAS UNIDADES PRISIONAIS, CONFORME PLANEJAMENTO ESTRATÉGICO ENCAMINHADO AO EXÉRCITO BRASILEIRO</t>
  </si>
  <si>
    <t>A FALTA DOS ITENS PODE OCASIONAR RISCOS À SEGURANÇA</t>
  </si>
  <si>
    <t>O BENEFÍCIO ALCANÇADO SERÁ A MELHORIA DA SEGURANÇA NAS UNIDADES</t>
  </si>
  <si>
    <t>Realização das viagens da Diretoria de Articulação e Atendimento Jurídico dentro do território mineiro a fim de cumprir com sua competência delegada de coordenar, orientar e fiscalizar as atividades inerentes ao acompanhamento realizado pela DAJ</t>
  </si>
  <si>
    <t>Compromete articulação técnica e política da Diretoria junto às unidades prisionais.</t>
  </si>
  <si>
    <t>Habilita a articulação técnica e política da Diretoriajunto às unidades prisionais</t>
  </si>
  <si>
    <t>Realização das viagens da Diretoria de Atenção à Saúde Mental e Avaliação Pericial dentro do território mineiro a fim de cumprir com sua competência delegada de coordenar, orientar e fiscalizar as atividades inerentes ao acompanhamento realizado pela DAP</t>
  </si>
  <si>
    <t>Realização das viagens da Diretoria de Classificação Técnica dentro do território mineiro a fim de cumprir com sua competência delegada de coordenar, orientar e fiscalizar as atividades inerentes ao acompanhamento realizado pela DCT</t>
  </si>
  <si>
    <t>Realização das viagens da Diretoria de Saúde Prisional dentro do território mineiro a fim de cumprir com sua competência delegada de coordenar, orientar e fiscalizar as atividades inerentes ao acompanhamento realizado pela DSP</t>
  </si>
  <si>
    <t>Os coordenadores de segurança das unidades prisionais desempenham papel estratégico no cumprimento da missão institucional, atuando diretamente na supervisão das rotinas operacionais, na tomada de decisões em tempo real e na articulação de medidas de segurança preventiva e reativa. No entanto, as condições atualmente disponíveis para o desempenho dessas funções são limitadas, em grande parte, pela ausência ou obsolescência de equipamentos de informática e suporte.
Essa precariedade compromete o acesso e a gestão dos sistemas corporativos, a atualização de registros de custodiados, a comunicação com demais setores da unidade e com instâncias superiores, além da execução de tarefas administrativas fundamentais.</t>
  </si>
  <si>
    <t>Comprometimento das atividades administrativas e de segurança, falhas nos sistemas, perda de dados e prejuízo à comunicação interna e externa das unidades prisionais.</t>
  </si>
  <si>
    <t>Melhora a eficiência operacional, reforça a segurança, reduz falhas, cumpre normas legais, agiliza procedimentos e valoriza os servidores.</t>
  </si>
  <si>
    <t>Atender a Unidade com Gerador de Energia</t>
  </si>
  <si>
    <t>Os geradores das unidades estão muito precários, correndo o risco de não funcionarem quando ocorrer a falta de energia na unidade, deixando a Unidade totalmente sem energia elétrica, assim comprometendo a segurança da unidade.</t>
  </si>
  <si>
    <t>A certeza que mesmo com falta de energia elétrica a segurança da unidade não será comprometida.</t>
  </si>
  <si>
    <t>Despesa com ajuda de custo conforme Resolução 771/2022</t>
  </si>
  <si>
    <t>Não cumprimento do que está determinado na Resolução 771/2022</t>
  </si>
  <si>
    <t>O cumprimento do que está determinado na Resolução 771/2022</t>
  </si>
  <si>
    <t>Despesa com Voucher para as viagem realizadas</t>
  </si>
  <si>
    <t>Despesa com arquivamento da documentação das unidades desativas</t>
  </si>
  <si>
    <t>Perda da documentação e em caso necessário na haverá o histórico do IPL</t>
  </si>
  <si>
    <t>Documento arquivada e conservada de forma adequada</t>
  </si>
  <si>
    <t>Alinhamento/autorizado pelo com a Sulot e Gabinete do Secretário.
Processo 1450.01.0106524/2025-52.</t>
  </si>
  <si>
    <t>Disponibilidade de ferramente para emissão de DAEs, o nível de serviço a ser alcançado é 100% do serviço contratado. O mínimo necessário é 100% do serviço contratado.</t>
  </si>
  <si>
    <t>Indisponibilidade de ferramente para emissão de DAEs</t>
  </si>
  <si>
    <t>Disponibilidade de ferramenta para emissão de DAEs</t>
  </si>
  <si>
    <t>Disponibilidade do servidor de arquivos (Tamanho: 2U  e  Velocidade conexão da rede IP/Ethernet 1 GB), o nível de serviço a ser alcançado é 100% do serviço contratado. O mínimo necessário é 100% do serviço contratado.</t>
  </si>
  <si>
    <t>Comprometimento da disponibilidade de sistemas</t>
  </si>
  <si>
    <t>Garantia de ambiente adequado e seguro para hospedagem de sistemas em servidor</t>
  </si>
  <si>
    <t>Disponibilidade de Sistemas Hospedados no Data center da Prodemge de:*www.seap.mg.gov.br *www.dac.mg.gov.br
*JJAB – Indivíduo mantido no cadastro *JJAB – Atualização semanal – Armazém – Registro de Presos . O nível de serviço a ser alcançado é 100% do serviço contratado. O mínimo necessário é 100% do serviço contratado.</t>
  </si>
  <si>
    <t>Comprometimento da disponibilidade dos  sistemas</t>
  </si>
  <si>
    <t>Garantia de ambiente adequado e seguro para hospedagem de sistemas em Data Center</t>
  </si>
  <si>
    <t>Processamento dos acessos aos sistemas através da Plataforma de Autenticação, Autorização e Gestão de Papeis de Sistemas (Seg.ID) da Prodemge; manutenção das suas funcionalidades em operação e suporte técnico especializado ao gestor na SEJUSP</t>
  </si>
  <si>
    <t xml:space="preserve">  
Não ocorrer disponibilidade mínima do ambiente operacional de data center da Plataforma de Autenticação, Autorização e Gestão de Papeis de Sistemas (Seg.ID)</t>
  </si>
  <si>
    <t>Disponibilidade  do ambiente operacional de data center da Plataforma de Autenticação, Autorização e Gestão de Papeis de Sistemas (Seg.ID), desconsideradas as manutenções técnicas programadas</t>
  </si>
  <si>
    <t>Manutenção Emergencial, Produção e Suporte Técnico no Sistema de Business Intelligence.
 o nível de serviço a ser alcançado é 100% do serviço contratado. O mínimo necessário é 100% do serviço contratado.</t>
  </si>
  <si>
    <t>Falta de cobertura contratual em casos de necessiades de Manutenção e suporte técnico para tratativas atinentes à Solução Business Intelligence</t>
  </si>
  <si>
    <t>Garantia de resolução de problemas técnicos e/ou administrativos relacionados à Solução Business Intelligence de forma ágil e eficiente.
Produção do BI.</t>
  </si>
  <si>
    <t>Manutenção na  Solução de Business Intelligence. o nível de serviço a ser alcançado é 100% do serviço contratado. O mínimo necessário é 100% do serviço contratado.</t>
  </si>
  <si>
    <t>Falta de cobertura contratual em casos de necessiades de Manutenção na Solução Business Intelligence</t>
  </si>
  <si>
    <t>Curso de Capacitação à Distância em
Armazém de Sistemas Corporativos.  o nível de serviço a ser alcançado é 100% do serviço contratado. O mínimo necessário é 100% do serviço contratado.</t>
  </si>
  <si>
    <t>Falta de mão-de-obra especializada, impossibilidade de utilização da ferramenta BI, que só pode ser acessada por quem faz o Curso de Capacitação</t>
  </si>
  <si>
    <t>Servidores mais qualificados. Permissão de utilização da ferramenta de BI.</t>
  </si>
  <si>
    <t>Produção do Sistema SIGPRI, que irá substituir o atual INFOPEN, esta sendo desenvolvido por módulos. o nível de serviço a ser alcançado é 100% do serviço contratado. O mínimo necessário é 100% do serviço contratado.</t>
  </si>
  <si>
    <t>Comprometimento de dados e informações do SIGPRI. Falta de acesso as informações dos detentos pelos familiares e Advogados.</t>
  </si>
  <si>
    <t>Garantia de disponibilização de base dados e informações para consultas</t>
  </si>
  <si>
    <t>Hospedagem dos Sistemas da Integração. o nível de serviço a ser alcançado é 100% do serviço contratado. O mínimo necessário é 100% do serviço contratado.</t>
  </si>
  <si>
    <t>Garantia de ambiente adequado e seguro para hospedagem de sistemas do SIDS</t>
  </si>
  <si>
    <t>Hospedagem do Site da Segurança Pública. o nível de serviço a ser alcançado é 100% do serviço contratado. O mínimo necessário é 100% do serviço contratado.</t>
  </si>
  <si>
    <t>Garantia de ambiente para hospedagem de sistemas em servidor</t>
  </si>
  <si>
    <t>Hospedagem do Sistema do SIAME. o nível de serviço a ser alcançado é 100% do serviço contratado. O mínimo necessário é 100% do serviço contratado.</t>
  </si>
  <si>
    <t>Hospedagem do Site INFOPEN, disponibilidade de informações dos detentos para familiares e Advogados. O Sistema esta sendo migrado para o SIGPRI. o nível de serviço a ser alcançado é 100% do serviço contratado. O mínimo necessário é 100% do serviço contratado.</t>
  </si>
  <si>
    <t>Comprometimento dos dados e informações atinentes ao Sistema Penitenciário armazenados no INFOPEN</t>
  </si>
  <si>
    <t>Disponibilidde de dados e informações atinentes ao Sistema Penitenciário de forma ágil e eficiente.</t>
  </si>
  <si>
    <t>Serviço que permite o acesso dos servidores aos sistemas em Business Inteligence de: Custo do Preso e do Adolescente Acautelado; INFOPEN - Informações Penitenciárias; e SIDS – Sistema Integrado Defesa Social (atual SISP), além disso, faz uso de soluções geridas por outros órgão: SIAFI-MG – Sistema Integrado de Administração Financeira; SIGCON – Saída – Convênios; SIAD - Sistema Integrado de Administração de Material e Serviço; SISAD - Avaliação de Desempenho. o nível de serviço a ser alcançado é 100% do serviço contratado. O mínimo necessário é 100% do serviço contratado. o nível de serviço a ser alcançado é 100% do serviço contratado. O mínimo necessário é 100% do serviço contratado.</t>
  </si>
  <si>
    <t>Paralização e comprometimento de execução de atividades de cunho administrativo</t>
  </si>
  <si>
    <t>Garantia de acesso às ferramentas necessárias para o desenvolvimento de atividades de rotina</t>
  </si>
  <si>
    <t>prestação de serviços de registros de eventos de defesa social, emergências policiais e de bombeiros, procedimentos de investigação, informações prisionais, policiais, judiciais e dados de outras áreas.  o nível de serviço a ser alcançado é 100% do serviço contratado. O mínimo necessário é 100% do serviço contratado.</t>
  </si>
  <si>
    <t>Comprometimento na prestação de serviços de registros de eventos de defesa social, emergências policiais e de bombeiros, procedimentos de investigação, informações prisionais, policiais, judiciais e dados de outras áreas.</t>
  </si>
  <si>
    <t>Garantia de integração de dados das forças de segurança visando a excelência dos trabalhos integrados de inteligência, manutenção da ordem, produção de estatísticas e principalmente atuação preventiva das forças de segurança estadual</t>
  </si>
  <si>
    <t>Sustentação para as aplicações do SIDS: -CAD: Controle de Atendimento e Despacho, o sistema utilizado no CIAD para o controle do atendimento de chamadas dos tridígitos 190, 193 e 197, da SEJUSP, PMMG, CBMMG e PCMG.
*-SIDS-ADM: Sistema de Gestão de Usuários e Perfis do SIDS;
-ESCALA: Auxilia e otimiza o processo de elaboração de escalas operacionais e administrativas, incluindo planejamento periódico e acompanhamento diário.
-REDS: Registro de Eventos de Defesa Social, módulo do SIDS destinado ao lançamento de ocorrências via web.
-Portal SIDS: canal único (interface) para prestação de informações e serviços relativos à integração dos órgãos que compõem o Sistema Integrado de Defesa Social atendendo tanto ao público interno e externo (acessado pelo endereço www.sids.mg.gov.br);
-SIDS CONFIG: Configuração de parâmetros dos sistemas;
-Sistema DDU (Disque Denúncia Unificado): Sistema responsável pela gestão das denúncias anônimas voltadas para a segurança pública de Minas Gerais, o nível de serviço a ser alcançado é 100% do serviço contratado. O mínimo necessário é 100% do serviço contratado.</t>
  </si>
  <si>
    <t>Comprometimento de dados e informações do LabSIds</t>
  </si>
  <si>
    <t>Garantia de disponibilização de base dados e informações para tomada de decisões de cunho estratégico e operacional</t>
  </si>
  <si>
    <t xml:space="preserve">Hospedagem de Sistemas do SIDS: Treinamento: 1 SIDS Configuração 2 e Escala 2; 2 JOSSO; 3 Escala / SIDS Configuração / SIDS Eventos; 4 Solução CAD; 5 Solução REDS; 6 SIDS LDAP Autenticador de Usuários; 7 DDU; 8 SIDS ANEXOS; 9 SISP API; 10 WSO2. Produção: 1 CAD Administrativo; 2 CAD WEB; 3 Conversor de Telefonia; 4 DIAO; 5 Escala 2; 6 JOSSO; 7 LDAP Interno; 8 Portal SIDS e Conteúdo Estático; 9 Sherlock; 10 SIDS Configuração 2; 11 SIDS Help Desk e REDS Help; 12 Solução Novo CAD; 13 Solução REDS; 14 Escala e SIDS Configuração; 15 WIKI/Atas/Relatórios/Bugzilla/SSC; 16 SIDS Relatórios; 17 SIDS SIDSADM; 18 SIDS LDAP Autenticador de Usuários; 19 Integração REDS com Geolocalização; 20 EMAIL; 21 DDU; 22 SIDS ANEXOS; 23 SISP API; 24 WSO2; </t>
  </si>
  <si>
    <t>O objeto é a contratação da prestação de serviços de desenvolvimento e sustentação de sistemas do novo Sistema de Gestão Alimentar (SIGA 2.0) da SEJUSP, e visa substituir o atual Sistema de Gestão Alimentar que considerando o tempo de desenvolvimento e as manutenções realizadas pela equipe da SEJUSP já não comporta a ampliação de unidades, fluxo de informações e detalhamentos necessários à fiscalização da alimentação, sendo que para o escopo desta Ata de Registro de preços será utilizado metodologia ágil. o nível de serviço a ser alcançado é 100% do serviço contratado. O mínimo necessário é 100% do serviço contratado.</t>
  </si>
  <si>
    <t>Comprometimento da Gestão da Alimentação nas Unidades da SEJUSP.</t>
  </si>
  <si>
    <t xml:space="preserve">Visa o andamento atual do Sistema de Gestão Alimentar desta SEJUSP. </t>
  </si>
  <si>
    <t xml:space="preserve">fornecimento, sob demanda  de
serviço de certificação digital para pessoa física e/ou jurídica, conforme especificações e exigências estabelecidas por intermédio da Ata de Registros de Preços 162/2023, cujo órgão gestor é a SEPLAG. O mínimo necessário é 100% do serviço contratado, tendo em vista a alta demanda para a emissão dos certificados. </t>
  </si>
  <si>
    <t>Impossibilidade em seguir Determinação do TJMG,  para utilização do Sistema Eletrônico de Execução Unificado-SEEU, além de prejuizo em cumprir demandas administrativas concernentes à  assinatura de documentos.</t>
  </si>
  <si>
    <t>Segurança e validade jurídica em  documentos eletrônicos emitidos, que visa comprovar a identidade perante terceiros.</t>
  </si>
  <si>
    <t>Implementação dos serviços especializados em Inteligência de Dados visa otimizar a gestão da informação, auxiliando na tomada de decisões estratégicas e aprimorando a segurança pública através da análise de dados qualificada</t>
  </si>
  <si>
    <t>Comprometimento da análise eficiente de dados de Segurança Pública para fins de tomada de decisões</t>
  </si>
  <si>
    <t>Garantia de disponibilização de base dados integrada para tomada de decisões de cunho estratégico e operacional</t>
  </si>
  <si>
    <t xml:space="preserve"> Implementação de uma rede lógica para trafegar informações de forma segura, usando a técnica de tunelamento por criptografia, sobre uma conexão internet comum, esta rede será utilizada para tráfego de informações relacionadas à chamadas de emergência (tridígitos), junto à ABR Telecom</t>
  </si>
  <si>
    <t>Impossibilidade de  atendimento do convênio firmado entre a ABR telecom e os estados, que tem por objetivo a transferências de chamadas em tempo real dos tridígitos  (190: Polícia Militar, 193: Corpo de Bombeiros Militar, 181: Disque Denúncia Unificado (DDU) e 197: Polícia Civil)</t>
  </si>
  <si>
    <t>Transferências de chamadas em tempo real dos tridígitos  (190: Polícia Militar, 193: Corpo de Bombeiros Militar, 181: Disque Denúncia Unificado (DDU) e 197: Polícia Civil)</t>
  </si>
  <si>
    <t>criação de sistema de orçamento, com o objetivo de monitorar as medições de obra em andamento da SEJUSP de forma otimizada, através de sistema de planilhas.
Obs Ainda não tem contrato</t>
  </si>
  <si>
    <t>Atualmente esse acompanhamento é realizado por meio de planilhas via Google Drive, de forma não muito adequada, pois o sistema gratuito disponibilizado naquela plataforma é suscetível a erros de digitação e controle. Seno assim, destacamos que um sistema de Planejamento e Gestão de Obras, permite que as obras sejam planejadas e gerenciadas do início ao fim.</t>
  </si>
  <si>
    <t>O planejamento de uma obra não se limita à preparação do cronograma. É preciso monitorar o avanço das atividades e verificar se o cronograma é obedecido ou se há divergências entre o que foi previsto e o que está sendo realizado. O planejamento e a gestão permitem uma visão real da obra, servindo de base confiável para as tomadas de decisões. Sendo assim, com a contratação de um sistema de orçamentos é possível cadastrar e gerenciar cada etapa física e financeira da obra. Num sistema integrado é possível exatamente o quanto irá gastar, quanto já foi gasto e como foi gasto, em tempo real.</t>
  </si>
  <si>
    <t>Implementar nova solução BI da BISP, para padroizar e disseminar as informações integradas, enquanto ferramenta oficial.</t>
  </si>
  <si>
    <t>Estatisticas produzidas pelo armazem de informação do sids ficaram defasadas</t>
  </si>
  <si>
    <t>Estatisticas produzidas pelo armazem de informação do sids ficaram atualizadas conforme ocorrer as manutenções evolutivas</t>
  </si>
  <si>
    <t xml:space="preserve">NECESSIDADE DE REFORÇA A SEGURNÇA PERIMENTAL E O MONITORAMENTO AÉREO  DE UNIDADES PRISIONAIS, ALÉM DE AMPLIAR A SEGURANÇA REDUZIR RISCOS AO EFETIVO E OTIMIZAR RECURSOS </t>
  </si>
  <si>
    <t>COMPROMETIMENTO DA SEGURANÇA PERIMETRAL, MAIOR RISCO DE EVASÕES E DIFICULDADES DE MONITORAMENTODE ÁREAS DE DIFICIL ACESSO</t>
  </si>
  <si>
    <t>REFORÇO NA VIGILÂNCIA, RESPOSTA RÁPIDA A INCIDENTES, MAIOR ALCANCE DE MONITORAMENTO E REDUÇÃO DE RISCOS AO EFETIVO.</t>
  </si>
  <si>
    <t>Para aderir 100% ao projeto de modernização biométrica de maneira integrada com a PCMG, cumprindo o Acordo de Cooperação Técnica  e atendendo às frentes do programa Fazendo Justiça, é primordial a aquisição das licenças de software para coleta dos dados e integração ao sistema da VALID</t>
  </si>
  <si>
    <t xml:space="preserve">Não cumprimento do Acordo de Cooperação Técnica  com a PCMG  não atendendo às frentes do programa Fazendo Justiça </t>
  </si>
  <si>
    <t>Atender às frentes do programa Fazendo Justiça</t>
  </si>
  <si>
    <t>Necessário para prosseguimentos dos trabalhos nas SEJUSP</t>
  </si>
  <si>
    <t>Interrupção nas atividades administrativas e Unidades previsionais no âmbito SEJUSP.</t>
  </si>
  <si>
    <t>Otimização do serviços e dimunição das morosidades no âmbito do trabalho, por meio da Internet.</t>
  </si>
  <si>
    <t>AQUISIÇÃO DE GERADOR PARA ATENDER AS UNIDADES PRISIONAIS</t>
  </si>
  <si>
    <t>FALTA DE ENERGIA</t>
  </si>
  <si>
    <t>O BENEFÍCIO ALCANÇADO SERÁ MANTER A ENERGIA NAS UNIDADES</t>
  </si>
  <si>
    <t>NECESSIDADE DE VIATURA ESPECIFICA PARA TRANSPORTE SEGURO DE CÃES E CONDUÇÃO DA EQUIPE DO GOC, VISANDO APOIOAR AÇÕES DE REVISTAS, PATRULHAMENTOS E OPERAÇÕES TÁTICAS NAS UNIDADES PRISIONAIS E EM DEMANDAS EXTERNAS.</t>
  </si>
  <si>
    <t>PREJUÍZO NO TRANSPORTE ADEQUADO DE CÃES E EQUIPE, LIMITAÇÃO DA ATUAÇÃO EM OPERÇÕES DE SEGURANÇA E REVISTA NAS UNIDADES</t>
  </si>
  <si>
    <t>TRANSPORTE SEGURO E ADEQUADO  DOS CÃES E DA EQUIPE, MAIOR AGILIDADE NO DESLOCAMENTO PARA OPERAÇÕES, E FORTALECIMENTO DAS AÇÕES DE BUSCA, PATRULHAMENTO E REVISTAS NAS UNIDADES PRISIONAIS.</t>
  </si>
  <si>
    <t>As unidades prisionais enfrentam recorrentes casos de uso indevido de aparelhos celulares por custodiados, facilitando o planejamento de crimes, ameaças e articulações externas. A ausência ou ineficiência de sistemas de bloqueio compromete a integridade da segurança prisional. Torna-se imprescindível otimizar o sistema de segurança, por meio da implantação de tecnologias de bloqueio de sinal que impeçam comunicações ilícitas dentro dos estabelecimentos penais.</t>
  </si>
  <si>
    <t>A não implementação de bloqueadores de sinal de celular mantém as unidades vulneráveis à comunicação ilegal entre custodiados e o meio externo, favorecendo o comando de crimes, extorsões, ameaças e fugas. Essa falha compromete a segurança institucional, dificulta o controle interno e amplia o risco à ordem pública.</t>
  </si>
  <si>
    <t>A implantação de bloqueadores de celular fortalece a segurança institucional, impede comunicações ilícitas por parte dos custodiados e reduz a articulação de atividades criminosas a partir do interior das unidades. Isso contribui diretamente para o controle disciplinar, a proteção dos servidores e a preservação da ordem pública</t>
  </si>
  <si>
    <t>Contratação de serviços técnicos de inteligência artificial (ia), para desenvolvimento de funcionalidades para solução/sistema</t>
  </si>
  <si>
    <t>Estagnação do desenvolvimento dos trabalho prestado, comprometimento a evolução sistemática da atividade, descumpimento do Decreto  nº 8.793 de 29 de junho de 2016</t>
  </si>
  <si>
    <t>AQUISIÇÃO DE PISTOLAS PARA USO NAS UNIDADES PRISIONAIS, CONFORME PLANEJAMENTO ESTRATÉGICO ENCAMINHADO AO EXÉRCITO BRASILEIRO</t>
  </si>
  <si>
    <t>Prejuízo ao atendimento jurídico à pessoa privada de liberdade das unidades prisionais</t>
  </si>
  <si>
    <t>Viabilizar o efetivo atendimento jurídico à pessoa privada de liberdade</t>
  </si>
  <si>
    <t>Ausência de informação correta sobre execução da pena, direitos e deveres dos custodiados</t>
  </si>
  <si>
    <t>Acesso à informação, por parte dos custodiados, sobre seus direitos</t>
  </si>
  <si>
    <t>Comprometimento da execução das atividades do ANEDs/Pedagogo ou servidor responsável pela pasta na unidade prisional e consequentemente, na assistência educacional prestada ao indivíduo privado de liberdade</t>
  </si>
  <si>
    <t>Melhoria na prestação da assistência educacional do Estado</t>
  </si>
  <si>
    <t>Disponibilização de sistema de telefonia para comunicação entre o público interno e externo das unidades finalísticas da SEJUSP</t>
  </si>
  <si>
    <t>A não distribuição de ligações entre os ramais das Unidades</t>
  </si>
  <si>
    <t>Melhor atendimento à população e entre os setores das Unidades</t>
  </si>
  <si>
    <t>Necessidade de otimização do sistema de segurança no âmbito das unidades prisionais</t>
  </si>
  <si>
    <t>Redução da segurança no âmbito das unidades prisionais por meio da entrada de objetos ilícitos nos estabelecimentos supramencionados o que pode elevar os índices de atividades criminosas.</t>
  </si>
  <si>
    <t>Redução da entrada de objetos ilícitos no âmbito das unidades prisionais ensejando em melhoria nos índices de segurança prisional.</t>
  </si>
  <si>
    <t xml:space="preserve">Responsáveis pelas Unidades ficarem sem contato com setores externos </t>
  </si>
  <si>
    <t xml:space="preserve">Unidades poderem utilizar a comunicação para rotinas administrativas e para demais funções </t>
  </si>
  <si>
    <t>Empecilho à individualização da pena dos custodiados, viabilizada pela comissão de classificação técnica, redução/estagnação do número de IPLs classificados, redução da possiblidade de inserção dos custodiados em atividades educacionais e laborais</t>
  </si>
  <si>
    <t>Maior índice de elaboração de Programas Individualizados de Ressocialização, documento que materializa a individualização da pena dos custodiados, Aumento do número de custodiados inseridos em atividades laborais e educacionais</t>
  </si>
  <si>
    <t>Comprometimento e ineficiência das ações de classficação técnica</t>
  </si>
  <si>
    <t>Maior efetividade das reuniões de CTC, maior efetividade dos treinamentos e instruções técnicas realizados in loco nas unidades prisionais, realização de ações de ressocialização aos custodiados.</t>
  </si>
  <si>
    <t>Procedimentos errôneos no âmbito da classificação técnica nas unidades prisionais</t>
  </si>
  <si>
    <t>Ampliação, clareza e facilitação da interação entre os atores no processo de classificação técnica das unidaes prisionais, maior efetividade dos procedimentos de classificação técnica nas Ups.</t>
  </si>
  <si>
    <t>Dificuldade de implantação do Projeto Gestão á Vista.</t>
  </si>
  <si>
    <t>Melhor visualização de indicadores de desempenho, metas e resultados, auxiliando na gestão e tomada de decisão.</t>
  </si>
  <si>
    <t>Redução na manutenção vínculo familiar de IPL que não recebem visitação presencial; Prejuízos ao processo de classficação técnica e individualização da pena; Não inserção do IPLs em atividades educacionais; não inserção do IPL em atividades laborais; Ausência de preenchimento das informações de atendimento em sistema oficial (acarreta também a falta de confiabilidade dos dados por subnotificação;
Risco legal de responsabilização do Estado em caso inobservância da garantia de direito fundamental do custodiado.</t>
  </si>
  <si>
    <t>Fortalecimento do vínculo familiar contribuindo para o ambiente seguro nas UPs, além da efetivação da humanização do atendimento, fundamental à ressocialização do indivíduo</t>
  </si>
  <si>
    <t>AQUISIÇÃO DE TELA TIPO CONCERTINA PARA AS MURALHAS DAS UNIDADES PRISIONAIS</t>
  </si>
  <si>
    <t>VULNERABILIDADE DAS MURALHAS, PROPICIANDO INVASÕES E FUGAS</t>
  </si>
  <si>
    <t>MELHORIA NA SEGURANÇA DAS UNIDADES E DOS SERVIDORES, REDUZINDO RISCO DE INVASÕES E FUGAS</t>
  </si>
  <si>
    <t>Dotar a unidade prisional de espaço adequado para execução de atividades laborais.</t>
  </si>
  <si>
    <t>Redução da oferta de trabalho;
Necessidade de contratação de empresas e funcionários para manutenção das unidades prisionais; Ocorrência de acidente de trabalho</t>
  </si>
  <si>
    <t xml:space="preserve">Equipamento necessário para transporte externo e interno das crianças acolhidas na unidade prisional materno infantil.  </t>
  </si>
  <si>
    <t>Entraves a autonomia e a rortina das mães mães privadas de liberdade acompanhadas de seus filhos. .</t>
  </si>
  <si>
    <t xml:space="preserve">Viabilizar a autonomia e as atividades rotineiros das mães privadas de liberdade acompanhadas de seus filhos. </t>
  </si>
  <si>
    <t>Aquisição de licenciamento e serviços de desenvolvimentos de low-code para acelerar as entregas de sistemas no âmbito da Sejusp, agregando valor aos processos de trabalho.</t>
  </si>
  <si>
    <t>Crescimento da fila de sistemas aguardando o desenvolvimento</t>
  </si>
  <si>
    <t>Entregas mais rápidas de sistemas de informação</t>
  </si>
  <si>
    <t xml:space="preserve">Entraves à autonomia e as atividades rotineiras das mães privadas de liberdade acompanhadas de seus filhos e à segurança das crianças. </t>
  </si>
  <si>
    <t xml:space="preserve">Viabilizar a autonomia e as atividades rotineiras das mães privadas de liberdade acompanhadas de seus filhos, garantindo a segurança das crianças. </t>
  </si>
  <si>
    <t>AQUISIÇÃO PARA MANUTENÇÃO DAS UNIDADES</t>
  </si>
  <si>
    <t>FALTA DE ENERGIA E ESTRUTURA INADEQUADA</t>
  </si>
  <si>
    <t>REGULARIDADE DO FORNECIMENTO DE ENERGIA NAS UNIDADES</t>
  </si>
  <si>
    <t>FALTA E ESTRUTURA</t>
  </si>
  <si>
    <t>ESTRUTURA ADEQUADA</t>
  </si>
  <si>
    <t>FALTA DE ITENS NECESSÁRIOS PARA ADEQUAÇÃO DE ESTRUTURA</t>
  </si>
  <si>
    <t>DISPONIBILIDADE ITENS NECESSÁRIOS PARA ADEQUAÇÃO DE ESTRUTURA</t>
  </si>
  <si>
    <t xml:space="preserve">Estrutura </t>
  </si>
  <si>
    <t xml:space="preserve">Equipamento necessário paras as unidades prisionais que custodiam pessoas migrantes não nacionais, com vsitas a viabilizar o atendimento e comunicação com os servidores. Além disso, inclui-se um equipamento para a Diretoria de Classificação Técnica para eventual atendimento de IPLs nessa condição. </t>
  </si>
  <si>
    <t xml:space="preserve">Entraves à individualização da pena e à concretização dos atendimentos e do procedimento de classsificação técnica. </t>
  </si>
  <si>
    <t xml:space="preserve">Viabiizar a inclusão dos migrante não nacionais e a individualização da pena.  </t>
  </si>
  <si>
    <t>Coleta de resíduo cumum nas Unidades Prisionais com problemas em dívida ativa junto a prefeitura e débitos com concessionárias, devido a dificuldade de comprovação da pesagem</t>
  </si>
  <si>
    <t xml:space="preserve">-Não atendimento de normas sanitárias;
- Acumulo de resíduo infectante. </t>
  </si>
  <si>
    <t>Higiene nas dependencias da unidade;
-Não acumulo de resíduo.  
-Mitigação de débitos e encargos ao Estado</t>
  </si>
  <si>
    <t>Atualmente, o Cread funciona em 5 salas cedidas pela CODEMGE no Ed. Hércules, o que permite realizar atendimentos presenciais a população, além de grupos de mútuo ajuda e orientação qualificada</t>
  </si>
  <si>
    <t>Interrupção dos atendimentos psicossociais realizados a população</t>
  </si>
  <si>
    <t>Continuidade da infraestrutra de atendimentos existente atualmente</t>
  </si>
  <si>
    <t>Contratação de dois estagiários para auxiliar nos atendimentos psicossociais presenciais a população, além de grupos de mútuo ajuda e orientação qualificada</t>
  </si>
  <si>
    <t>Contuidade dos atendimentos realizados de forma presencial de maneira initerrupta desde 2023</t>
  </si>
  <si>
    <t>Manutenção e conservação das salas destinadas ao funcionamento do CREAD</t>
  </si>
  <si>
    <t>Degradação e perda de valor de patrimônio público</t>
  </si>
  <si>
    <t>Manutenção dos eixos de atuação do Centro de Referência Estadual em Álcool e outras Drogas (atendimento, mobilização social, formação e capacitação, pesquisa, articulação de rede, assessoramento técnico, informação científica e realização de oficinas de prevenção) para a efetivação das metas e indicadores de segurança pública, pactuadas no Planejamento Estratégico da Sejusp, que envolvem o uso de álcool e outras drogas, visando a descentralização e expansão da Política Estadual sobre Drogas</t>
  </si>
  <si>
    <t>Aquisição de itens e materiais para viabilizar a realização de projetos de humanização do sistema prisional, ofertados aos indivíduos privados de liberdade.</t>
  </si>
  <si>
    <t>Possibilitar o cumprimento da política pública de assistêncica educacional, expecificamente atividades sociais educativas não escolares conforme Resolução 391/21 e Plano Pena Justa; e elevar os indicadores educacionais do estado, conforme Plano Estadual de Educação nas prisões de Minas Gerais (2025-2028) ao proporcionar o aumento dos projetos esportivos nas unidades prisionais e ampliação do número de IPLs inseridos.</t>
  </si>
  <si>
    <t>Para selecção dos municípios, utilizou-se o diagnóstico de problemas associados ao uso e abuso de drogas em MG realizado pelo Observatório de Segurança Publica. Como fonte de dados observou-se: obitos relacionados ao conumo; apreensãoes de drogas em geral e registro de homicídios consumados por tráfico de drogas. Concluiu-se que as Regiões com maiores valores dos três indicadores foram: Risp 15, 8,12 e 4. Prima-se pela manutenção do Programa Jogo Elos - Construindo Coletivos, nos 14 municípios da Carteira Estratégicca prioritária do Vale do Lítio.</t>
  </si>
  <si>
    <t>Estruração de uma política de prevenção ao uso/abuso de álcool e outras drogas baseada em evidências científicas, de abrangência estadual, com capilaridade territorial, articulação integrada com as redes de segurança pública, educação e saúde, impactando na diminuição do uso precoce, da violência escolar, da vitimização por bullying e, consequentemente, na redução da criminalidade violenta associada ao público alvo da intervenção.</t>
  </si>
  <si>
    <t>Na selecção dos municípios, utilizou-se o diagnóstico de problemas associados ao uso e abuso de drogas em MG realizado pelo Observatório de Segurança Publica. Como fonte de dados observou-se: obitos relacionados ao conumo; apreensãoes de drogas em geral e registro de homicídios consumados por tráfico de drogas. Concluiu-se que as Regiões com maiores valores dos três indicadores foram: Risp 15, 8,12 e 4. Manutenção do Programa Jogo Elos - Construindo Coletivos, nos 14 municípios da Carteira Estratégicca prioritária do Vale do Lítio.</t>
  </si>
  <si>
    <t>Para a selecção dos municípios, utilizou-se o diagnóstico de problemas associados ao uso e abuso de drogas em MG realizado pelo Observatório de Segurança Publica. Como fonte de dados observou-se: obitos relacionados ao conumo; apreensãoes de drogas em geral e registro de homicídios consumados por tráfico de drogas. Concluiu-se que as Regiões com maiores valores dos três indicadores foram: Risp 15, 8,12 e 4. Primou-se pela manutenção do Programa, #Tamojunto 2.0, nos 14 Municpipios da Carteira Estratégiica prioritária do Vale do Lítio</t>
  </si>
  <si>
    <t>Possibilitar o cumprimento da política pública de assistêncica educacional, expecificamente atividades sociais educativas não escolares conforme Resolução 391/21 e Plano Pena Justa; e elevar os indicadores educacionais do estado, conforme Plano Estadual de Educação nas prisões de Minas Gerais (2025-2028) ao proporcionar o aumento dos projetos socioculturais nas unidades prisionais e ampliação do número de IPLs inseridos.</t>
  </si>
  <si>
    <t>Câmeras destinadas à correta identificação dos indivíduos privados de liberdade no momento do registro no sistema INFOPEN.</t>
  </si>
  <si>
    <t xml:space="preserve"> inconsistências no registro dos acautelados, em razão da obsolescência das câmeras atualmente em uso. Sempre que essas inconsistências se verificam, é necessário o retorno do indivíduo à Polícia Civil, órgão responsável pela identificação.</t>
  </si>
  <si>
    <t xml:space="preserve"> Correta identificação do individuo ao adentrar no sistema prisional, evitando assim possíveis fraudes e prisões indevidas.</t>
  </si>
  <si>
    <t>Visita Técncia de monitoramento,  acompanhamento e avaliação dos Programa Jogo Elos e Tamo junto  nos 14 Municipios da Carteira Estratégica do Vale do Lítio ( 2,5 diária para cada servidor por município)</t>
  </si>
  <si>
    <t>Contiuidade das ações da Rede de Governança Municipal de Políticas sobre Drogas, por meio de visitas técnicas, para fomento a implementação e/ou implantação dos Conselhos Municipais de Políticas sobre Drogas (Comads), sobretudo em municipios prioritários, mapeados por meio de diagnósticos de zonas quentes de criminalidade e cruzamento de inidcadores de saúde e segurança.</t>
  </si>
  <si>
    <t>A descontinuidade da Rede de Governança Municipal de Políticas sobre Drogas, no que se refere a ações de prevenção universal, seletiva e indicada,  será enfraquecida, podendo acarretar aumento dos fatores de risco e diminuição dos fatores de proteção no território</t>
  </si>
  <si>
    <t xml:space="preserve"> Promover a transversalidade das polítiacas e a intersetorialidade das ações de prevenção, atenção, cuidado e reinserção social no município, bem como, enfraqucerá a Políticapúblicas mais efetivas, estruturadas, pragmáticas, articuladas e coesas.  </t>
  </si>
  <si>
    <t>SEGURANÇA NECESSÁRIA DO PÁTIO E DOS VEÍCULOS APREENDIDOS E GUARDADOS</t>
  </si>
  <si>
    <t>SEGURANÇA DO PÁTIO COMPROMETIDA SEM O POSTO DE VIGIA PARA O PÁTIO EM PERÍODO DIURNO</t>
  </si>
  <si>
    <t>GARANTIA DE SEGURANÇA E CUIDADO DO PÁTIO, BEM COMO DOS VEÍCULOS GUARDADOS</t>
  </si>
  <si>
    <t>SEGURANÇA DO PÁTIO COMPROMETIDA SEM O POSTO DE VIGIA PARA O PÁTIO, ESPECIALMENTE EM PERÍODO NOTURNO</t>
  </si>
  <si>
    <t>AUXILIAR NECESSÁRIA PARA MANUTENÇÃO E LIMPEZA DO PÁTIO</t>
  </si>
  <si>
    <t>MANUTENÇÃO E LIMPEZA DO PÁTIO COMPROMETIDA</t>
  </si>
  <si>
    <t>GARANTIA BÁSICA DE CONDIÇÕES DE HIGIENE, LIMPEZA E ORGANIZAÇÃO DO PÁTIO</t>
  </si>
  <si>
    <t>ARTIGOS NECESSÁRIOS PARA LIMPEZA DO PÁTIO E HIGIENE DOS SERVIDORES</t>
  </si>
  <si>
    <t>MANUTENÇÃO DE LIMPEZA DO PÁTIO E HIGIENE BÁSICA DOS SERVIDORES COMPROMETIDA</t>
  </si>
  <si>
    <t>MANUTENÇÃO REGULAR DA LIMPEZA DO PÁTIO E DA HIGIENE PESSOAL DOS SERVIDORES DURANTE JORNADA DE TRABALHO</t>
  </si>
  <si>
    <t>PAGAMENTO DE EVENTUAL DESPESA NECESSÁRIA E NÃO ESTIMADA</t>
  </si>
  <si>
    <t>RISCO INESPERADO DE DESPESA NECESSÁRIA</t>
  </si>
  <si>
    <t>GARANTIA DE VALOR RESERVA PARA DESPESAS EVENTUALMENTE NECESSÁRIAS PARA O REGULAR FUNCIONAMENTO DO PÁTIO</t>
  </si>
  <si>
    <t>Manutenção das atividades da Diretoria da Rede Complementar de Suporte na Atenção ao Dependente Químico</t>
  </si>
  <si>
    <t>Perjuízo serviços técnicos e administrativos</t>
  </si>
  <si>
    <t>Garantia da continuidade dos serviços  técnicos e administrativos</t>
  </si>
  <si>
    <t>Ausência de qualificação dos serviços prestados no âmbito da  Rede Complementar de Suporte Social na Atenção ao Dependente Químico – RCSS/DQ, previstos no  Decreto Estadual nº 44.107/2005</t>
  </si>
  <si>
    <t xml:space="preserve">Qualificação  dos serviços prestados no âmbito da Rede Complementar de Suporte Social na Atenção ao Dependente Químico – RCSS/DQ, previstos no Decreto Estadual nº 44.107/2005 e  </t>
  </si>
  <si>
    <t xml:space="preserve">Manutenção das ações previstas na Rede Complementar de Suporte Social na Atenção ao Dependente Químico  </t>
  </si>
  <si>
    <t xml:space="preserve">Descontinuidade dos serviços prestados no âmbito da  Rede Complementar de Suporte Social na Atenção ao Dependente Químico – RCSS/DQ, previstos no  Decreto Estadual nº 44.107/2005 </t>
  </si>
  <si>
    <t xml:space="preserve">Garantia da continuidade dos serviços prestados no âmbito da Rede Complementar de Suporte Social na Atenção ao Dependente Químico – RCSS/DQ, previstos no Decreto Estadual nº 44.107/2005 </t>
  </si>
  <si>
    <t xml:space="preserve">Capacitação das instituições integrantes da Rede Complementar de Suporte Social na Atenção ao Dependente Químico  </t>
  </si>
  <si>
    <t xml:space="preserve">Comprometimento dos serviços prestado s no âmbito das entidades parceiras </t>
  </si>
  <si>
    <t>Qualificação  dos atendimentos  realizados pela OSC em relação ao acolhido.</t>
  </si>
  <si>
    <t xml:space="preserve">
A manutenção da gestão, em tempo real, do processo de cuidado/acolhimento (perfil das pessoas acolhidas, nas vagas disponibilizadas, por meio do edital de credenciamento, acompanhamento das metas,atividades no campo da reinserção social e econômica, indicadores) e da prevenção do uso de álcool e outras drogas (participação e qualidade das atividades) de forma a qualificar a Política Pública desenvolvida em parceria com as OSC´S.</t>
  </si>
  <si>
    <t xml:space="preserve">Alta fragilidade na capacidade de gestão em torno do cuidado/acolhimento (perfil das pessoas acolhidas, vagas disponibilizadas, metas,atividades no campo da reinserção social e econômica, indicadores) e da prevenção do uso de álcool e outras drogas (participação e qualidade das atividades) </t>
  </si>
  <si>
    <t xml:space="preserve">Maior capacidade de gestão em torno do cuidado/acolhimento (perfil das pessoas acolhidas, vagas disponibilizadas, metas,atividades no campo da reinserção social e econômica, indicadores) e da prevenção do uso de álcool e outras drogas (participação e qualidade das atividades) </t>
  </si>
  <si>
    <t xml:space="preserve">Qualificação dos serviços realizados pelas Osc´s parceiras no âmbito da Rede Complementar de Suporte Social na Atenção ao Dependente Químico  </t>
  </si>
  <si>
    <t xml:space="preserve"> Ausência de qualificação e produtividade dos serviços realizados pelas Osc´s parceiras no âmbito da Rede Complementar de Suporte Social na Atenção ao Dependente Químico  </t>
  </si>
  <si>
    <t xml:space="preserve">Garantia da qualificação dos serviços realizados pelas Osc´s parceiras no âmbito da Rede Complementar de Suporte Social na Atenção ao Dependente Químico  </t>
  </si>
  <si>
    <t xml:space="preserve"> Baixa efetividade  dos serviços ofertados pelas entidades parceiras </t>
  </si>
  <si>
    <t>Fortalecimento do corpo técnico e aprimoramento das atividades da Diretoria da Rede Complementar de Suporte na Atenção ao Dependente Químico</t>
  </si>
  <si>
    <t>Precarização dos serviços técnicos e administrativos</t>
  </si>
  <si>
    <t>Apoio logístico às demandas do CREAD Móvel, projeto financiado pelo Fundo Nacional de Segurança Pública</t>
  </si>
  <si>
    <t>Impedimento de cumprimento da finalidade do projeto</t>
  </si>
  <si>
    <t>Garantia da continuidade dos serviços  aos municípios</t>
  </si>
  <si>
    <r>
      <rPr>
        <b/>
        <sz val="11"/>
        <color theme="1"/>
        <rFont val="Calibri"/>
        <family val="2"/>
      </rPr>
      <t>Edital de Credenciamento</t>
    </r>
    <r>
      <rPr>
        <sz val="11"/>
        <color theme="1"/>
        <rFont val="Calibri"/>
        <family val="2"/>
      </rPr>
      <t xml:space="preserve"> Ampliação da abrangência do Programa Rede Complementar de Suporte Social na Atenção ao Dependente Químico, conforme o Edital 13/2025 </t>
    </r>
    <r>
      <rPr>
        <b/>
        <sz val="11"/>
        <color theme="1"/>
        <rFont val="Calibri"/>
        <family val="2"/>
      </rPr>
      <t xml:space="preserve">aprovado pelo Vice Governador </t>
    </r>
  </si>
  <si>
    <r>
      <rPr>
        <b/>
        <sz val="11"/>
        <color theme="1"/>
        <rFont val="Calibri"/>
        <family val="2"/>
      </rPr>
      <t xml:space="preserve">Descumprimento à determinação do Exmo. Vice Governador </t>
    </r>
    <r>
      <rPr>
        <sz val="11"/>
        <color theme="1"/>
        <rFont val="Calibri"/>
        <family val="2"/>
      </rPr>
      <t>e o consequente  prejuízo aos serviços prestados há mais de 20 anos no âmbito do Programa  Rede Complementar de Suporte Social na Atenção ao Dependente Químico – RCSS/DQ, previstos no  Decreto Estadual nº 44.107/2005.</t>
    </r>
  </si>
  <si>
    <t>Garantia da continuidade dos serviços prestados no âmbito da Rede Complementar de Suporte Social na Atenção ao Dependente Químico – RCSS/DQ, previstos no Decreto Estadual nº 44.107/2005.</t>
  </si>
  <si>
    <r>
      <rPr>
        <b/>
        <sz val="11"/>
        <color theme="1"/>
        <rFont val="Calibri"/>
        <family val="2"/>
      </rPr>
      <t>Edital de Credenciamento</t>
    </r>
    <r>
      <rPr>
        <sz val="11"/>
        <color theme="1"/>
        <rFont val="Calibri"/>
        <family val="2"/>
      </rPr>
      <t xml:space="preserve"> Manutenção das ações do Programa Rede Complementar de Suporte Social na Atenção ao Dependente Químico, conforme o Edital 13/2025 aprovado pelo Vice Governador</t>
    </r>
  </si>
  <si>
    <t>Descontinuidade dos serviços prestados há mais de 20 anos no âmbito do Programa  Rede Complementar de Suporte Social na Atenção ao Dependente Químico – RCSS/DQ, previstos no  Decreto Estadual nº 44.107/2005.</t>
  </si>
  <si>
    <t>Contrato de Gestão vigente desde o ano de 2021 e que deverá ser renovado.. Contempla os Centros Socioeducativos: CSE Uberaba, CSE Unaí, CSE Tupaciguara, CSE Ipatinga, CEIP Sete Lagoas, CEIP Araxá, CSE São Jerônimo, CSE Lindeia, CSE Santa Helena e CSE Santa Clara. As unidades supracitadas possuem capacidade total de atendimento de 412 (quatrocentos e doze) adolescentes em cumprimento de medida socioeducativa de internação.</t>
  </si>
  <si>
    <t>Supressão de 412 (quatrocentos e doze) vagas de atendimento socioeducativo voltadas para adolescentes em cumprimento de medida socioeducativa de internação e a consequente descontinuidade da política pública em 8 municípios. Ofensa ao princípio do não retrocesso, que pode ensejar responsabilização aos agentes públicos.</t>
  </si>
  <si>
    <t>Manutenção de 412 (quatrocentos e doze) vagas de atendimento socioeducativo voltadas para adolescentes em cumprimento de medida socioeducativa de internação.</t>
  </si>
  <si>
    <t xml:space="preserve"> Recomendações do Procedimento de Apoio à Atividade Fim (PAAF), registrado sob o nº 0024.23.005.343-1, instaurado pelo Ministério Público de Minas Gerais, que investiga supostas violações do direito humano à segurança alimentar nas unidades prisionais e centros socioeducativos do Estado de Minas Gerais. Há também a ação judicial que obrigou todas as unidades a terem equipamento Bodyscan. Além disso, há necessidade de obras de adequação das unidades para recuperação de vagas, adequações estruturais para emissão de AVCB e acessibilidade na infraestrutura dos prédios.</t>
  </si>
  <si>
    <t>Instauração de procedimentos contra o Estado de Minas Gerais, tais como ação civil pública, com a aplicação de multas, bem como déficit de vagas para o Sistema Socioeducativo em Minas Gerais.</t>
  </si>
  <si>
    <t>Atendimento aos acordos firmados juntos aos órgãos do Sistema de Justiça e do Sistema de Garantia de Direitos, bem como manutenção de 412 (quatrocentos e doze) vagas de atendimento socioeducativo voltadas para adolescentes em cumprimento de medida socioeducativa de internação.</t>
  </si>
  <si>
    <t>Contrato de Gestão vigente desde o ano de 2023. Contempla o Centro Socioeducativo Passos, o Centro de Internação Proviória São Benedito e o Centro de Internação Provisória Contagem As unidades supracitadas possuem capacidade total de atendimento de 118 (cento e dezoito) adolescentes em cumprimento de medida socioeducativa de internação.</t>
  </si>
  <si>
    <t>Supressão de 118 (cento e dezoito) vagas de atendimento socioeducativo voltadas para adolescentes em cumprimento de medida socioeducativa de internação e a consequente descontinuidade da política pública em 3 municípios. Ofensa ao princípio do não retrocesso, que pode ensejar responsabilização aos agentes públicos.</t>
  </si>
  <si>
    <t>Manutenção de 118 (centro e dozoito) vagas de atendimento socioeducativo voltadas para adolescentes em cumprimento de medida socioeducativa de internação.</t>
  </si>
  <si>
    <t>Contrato de Gestão vigente desde o ano de 2023. Contempla as casas de semiliberdade Caminheiros de Jesus, Betânia, Muriaé, Governador Valadares, Ipatinga, Teófilo Otoni, Santa Amélia, Letícia, São Luís, Venda Nova, Contagem, Lavras, Uberlândia, Feminina de Uberlândia, Patrocínio, Uberaba e Patos de Minas, além das casas Itabira, Ribeirão das Neves e Sete Lagoas. As unidades supracitadas possuem capacidade total de atendimento de 367 (trezetos e sessenta e sete) adolescentes em cumprimento de medida socioeducativa de semiliberdade.</t>
  </si>
  <si>
    <t>Supressão de 367 (trezentas e sessenta e sete) vagas de atendimento socioeducativo voltadas para adolescentes em cumprimento de medida socioeducativa de semiliberdade e a consequente descontinuidade da política pública em 13 municípios. Ofensa ao princípio do não retrocesso, que pode ensejar responsabilização aos agentes públicos.</t>
  </si>
  <si>
    <t>Manutenção de 367 (trezentas e sessenta e sete) vagas de atendimento socioeducativo voltadas para adolescentes em cumprimento de medida socioeducativa de semiliberdade.</t>
  </si>
  <si>
    <t>Cumprimento das ações referentes à 3º Pactuação de Atos Preparatórios para Adequação do Sistema Socioeducativo e ao PD COMPOR 122/2023 - Itabira, além das recomendações do Procedimento de Apoio à Atividade Fim (PAAF), registrado sob o nº 0024.23.005.343-1, instaurado pelo Ministério Público de Minas Gerais, que investiga supostas violações do direito humano à segurança alimentar nas unidades prisionais e centros socioeducativos do Estado de Minas Gerais.</t>
  </si>
  <si>
    <t>Instauração de procedimentos contra o Estado de Minas Gerais, tais como ação civil pública, com a aplicação de multas. O não cumprimento do Pacto de Adequação resulta em multa de R$ 400 milhões para o estado de Minas Gerais. Além disso, o pacto foi assinado em conjunto pela Sejusp, Seplag e Seinfra. Neste pacto, o estado se comprometeu a inaugurar mais duas unidades de semiliberdade até dezembro de 2025, sendo elas: Ribeirão das Neves e Sete Lagoas</t>
  </si>
  <si>
    <t>Atendimento aos acordos firmados juntos aos órgãos do Sistema de Justiça e do Sistema de Garantia de Direitos</t>
  </si>
  <si>
    <t>Contrato de Gestão celebrado em 2024 para cumprimento do Processo Judicial nº 0094260-57.2023.8.13.0024, no qual o MPMG impetrou ação para obrigar a contratação de profissionais de educação física nas unidades socioeducativas de Administração Direta de Minas Gerais. Não cumprimento da determinação judicial pode ensejar em multa e responsabilização aos agentes públicos.</t>
  </si>
  <si>
    <t>Responsalibização dos Agentes Públicos e do Estado por descumprimento do processo judicial.</t>
  </si>
  <si>
    <t>Manutenção das atividades esportivas nas unidades de administração direta do Estado.</t>
  </si>
  <si>
    <t>Trata-se de unidade prevista no Pacto de Adequação que inaugurará a primeira unidade socioeducativa no território Sul. Logo, a implantação da unidade no território permitirá que os adolescentes fiquem próximos de suas famílias e é uma oportunidade para alocação de adolescentes residentes ou que cometeram atos infracionais em um raio de até 400km. Além disso, a unidade foi construída com recursos oriundos de convênio de entrada. Assim, a não operação da unidade poderá ensejar na não aprovação da prestação de contas do convênio pelo não cumprimento do objeto em valores atualizados, em 2023, para R$ 16.547.948,98.</t>
  </si>
  <si>
    <t>Descumprimento do Convênio de Entrada, reprovação da Prestação de Contas do Convênio de Entrada. Descumprimento do Pacto de Expansão celebrado com MP. Ociosidade e depredação de patrimônio público; depreciação do imóvel. Desperdício de recurso público destinado às obras de construção da unidade e implantação da rede hidrossanitária da Unidade.  O não cumprimento do Pacto de Adequação resulta em multa de R$ 400 milhões para o estado de Minas Gerais. Além disso, o pacto foi assinado em conjunto pela Sejusp, Seplag e Seinfra. Neste pacto, o estado se comprometeu a inaugurar o Centro Socioeducativo de Alfenas</t>
  </si>
  <si>
    <t>Ampliação em 76 (setenta e seis) vagas no número de vagas de atendimento e capilarização do Socioeducativo no interior. Implantação de atendimento socioeducativo em região que não possui unidade socioeducativa, permitindo que os adolescentes cumpram a medida próximo às suas famílias, conforme orientado pelo SINASE.</t>
  </si>
  <si>
    <t>Contrato de Gestão celebrado em 2025 para execução do Programa Se Liga, para atendimento ao egressos do Sistema Socioeducativo, com continuidade dos atendimentos nos municípios de Belo Horizonte, Juiz de Fora, Uberlândia, Gorvernador Valadares e Montes Claros, conforme CPRAC - Acordo nº 01/2023 SEJUSP/MPMG/1080.01.0008012/2018-26 ​e ampliação, no ano de 2026, para o município de Ipatinga.</t>
  </si>
  <si>
    <t>Descontinuidade da política pública em 5 municípios e descumprimento dos acordos celebrados no âmbito do CPRAC e Compor. Ofensa ao princípio do não retrocesso, que pode ensejar responsabilização aos agentes públicos.</t>
  </si>
  <si>
    <t>Manutenção e apliação dos atendimentos aos egressos das unidades socioeducativas.</t>
  </si>
  <si>
    <t>Valor necessário para o acompanhamento e fiscalização das unidades socioeducativas em cogestão em Minas Gerais.</t>
  </si>
  <si>
    <t>Interrupção do acompanhamento e da fiscalização inloco das unidades em cogestão.</t>
  </si>
  <si>
    <t>Garantia do cumprimento das previsões legais de fiscalização das parcerias celebradas para cogestão das unidades socioeducativas; melhoria nos processos de monitoramento e avaliação das parcerias.</t>
  </si>
  <si>
    <t>Valor necessário para o acompanhamento e fiscalização das unidades socioeducativas em Gestão Direta em Minas Gerais.</t>
  </si>
  <si>
    <t>Interrupção do acompanhamento e da fiscalização inloco das unidades em Gestão Direta.</t>
  </si>
  <si>
    <t>Garantia do cumprimento das fiscalizações das unidades socioeducativas; melhoria nos processos de monitoramento e avaliação das atividades.</t>
  </si>
  <si>
    <t>Valor necessário para projeto piloto para verificação in loco dos indicadores do Painel SUASE.</t>
  </si>
  <si>
    <t>Interrupção do acompanhamento e da fiscalização in loco de todas as unidades.</t>
  </si>
  <si>
    <t>A Unidade está com o muro condenado, conforme Relatório Técnico elaborado pela Diretoria de Infraestrutura. Ademais, o relatório informa que o muro possui trincas e fissuras com aproximadamente 26m lineares, próximo aos fundos da unidade. Sendo assim, faz-se necessária a execução de obras e reformas de engenharia.</t>
  </si>
  <si>
    <t>Tendo em vista que o muro apresenta grande instabilidade, com trincas e fissuras em crescimento, a não execução da obra pode gerar desabamento do muro e comprometimento da vida dos adolescentes e dos servidores que laboram na unidade.</t>
  </si>
  <si>
    <t>Realizando a reforma, será eliminada a possibilidade de colapso parcial do muro, protegendo adolescentes e servidores da unidade, bem como a utilização integral do espaço isolado.</t>
  </si>
  <si>
    <t>Demanda do Sistema de Justiça para alteração da modalidade de alimentação das unidades socioeducativas de transportada para administrada. Desse modo, as cozinhas das unidades que necessitam de adequação devem ser reformadas para alteração do tipo de alimentação.</t>
  </si>
  <si>
    <t>Instauração de procedimentos contra o Estado de Minas Gerais.</t>
  </si>
  <si>
    <t>Atendimento às recomendações oriundas dos órgãos do Sistema de Justiça e do Sistema de Garantia de Direitos.</t>
  </si>
  <si>
    <t>A unidade está com um Boiler comprometido e irrecuperável, o que compromete o fornecimento de água aquecida para os adolescentes custodiados na Unidade e o adequado cumprimento da medida socioeducativa.</t>
  </si>
  <si>
    <t>Fornecimento de água fria para os adolescentes, comprometendo a saúde desse público, além de risco de responder ao Ministério Público com multas por violação aos direitos dos adolescentes.</t>
  </si>
  <si>
    <t>Fornecimento de água quente para os adolescentes, garantindo condições dignas e de saúde.</t>
  </si>
  <si>
    <t>A unidade necessita de contenção de talude, demolição da guarita, desativação de reservatório comprometido e construção de uma nova base para sustentação de um novo reservatório de polietileno. Ainda, destacamos que o talude comprometido por infiltração impactou a gestão de vagas da SUASE, refletindo na interdição de dois núcleos da Unidade, com redução da custódia em 30 adolescentes.</t>
  </si>
  <si>
    <t>Sem essa obra, toda a infraestrutura da unidade ficará comprometida, podendo comprometer a vida dos adolescentes e dos servidores que laboram na unidade.</t>
  </si>
  <si>
    <t>Realizando a reforma, será eliminada a possibilidade de colapso da infraestrutura da unidade, protegendo os adolescentes e servidores que laboram no local.</t>
  </si>
  <si>
    <t>O Núcleo de Internação Provisória da unidade está com estruturas danificadas e sem condições de utilização. Conforme relatório previamente elaborado pela Diretoria de Infraestrutura, foram identificadas a inexistência de duchas nos banheiros, tubulações danificadas, vazamentos, entupimentos, necessidade de manutenção em portas e grades, além da necessidade de pintura no local.</t>
  </si>
  <si>
    <t>Subutilização de 23 vagas da unidade, devido à interdição de um núcleo. Desperdício de recursos públicos, o que pode ensejar responsabilização aos agentes públicos.</t>
  </si>
  <si>
    <t>Possibilidade de recuperar a capacidade total da unidade e diminuir o valor do custo/vaga nesse centro socioeducativo. Ampliação de vagas por um baixo valor na região de Divinópolis.</t>
  </si>
  <si>
    <t>Conforme relatório técnico elaborado pela Diretoria de Infraestrutura foi constatado que os sistemas hidráulicos localizados nos fundos da unidade apresentam diversas avarias. Os reservatórios metálicos, que armazenam parte da água utilizada, estão em avançado estado de corrosão e oxidação, Os boilers responsáveis pelo aquecimento da água também apresentam falhas, tanto nos componentes internos quanto nas conexões elétricas, por fim, as tubulações metálicas apresentam vazamentos.</t>
  </si>
  <si>
    <t>A não realização das intervenções pode causar acidentes devido à oxidação avançada dos reservatórios, comprometer o abastecimento de água pela degradação das estruturas e também afetar o fornecimento de água quente na unidade, em razão dos problemas elétricos identificados nos boilers.</t>
  </si>
  <si>
    <t>A realização das obras necessárias garantirá a segurança estrutural dos reservatórios, prevenindo acidentes e interrupções no abastecimento de água. Além disso, a manutenção e substituição dos boilers e tubulações assegurarão o fornecimento contínuo e eficiente de água quente.</t>
  </si>
  <si>
    <t>O curso de brigadista é uma formação especializada para capacitar as pessoas da unidade em situações de emergência, principalmente no combate a incêndios, primeiros socorros e evacuação segura de ambientes. O curso é exigido para a obtenção do Auto de Vistoria do Corpo de Bombeiros (AVCB), que é o documento oficial que comprova que o local está em conformidade com as normas de segurança contra incêndio e pânico. Será necessário ministrar o curso para as 1.472 pessoas que comporão a população fixa das unidades de gestão direta no ano de 2026, visto que, atualmente, tem-se 1.202 servidores e serão efetivados 270 AGES com o concurso. Ademais, foi estimado pelo CBMMG o custo de 180 reais por pessoa participante do curso.</t>
  </si>
  <si>
    <t>Sem a realização do curso as unidades não estarão aptas para adquirir o Auto de Vistoria do Corpo de Bombeiros. Ademais, sem o curso a população das Unidades Socioeducativas não estarão preparadas para atuar em caso de incêndio e pânico, o que é extremamente grave considerando se tratar de um ambiente de privação de liberdade e, por isso, com características próprias em relação ao combate de incêndio e pânico.</t>
  </si>
  <si>
    <t>Realizar o curso garante que os servidores das unidades sejam preparados para agir em emergências e permite que as unidades consigam cumprir um dos requisitos para a obtenção do AVCB.</t>
  </si>
  <si>
    <t>As unidades socioeducativas tiveram seus Projetos de Segurança Contra Incêndio (PSCIP) realizados. No entanto, faz-se necessário executar as adaptações e obras requeridas pelo PSCIP para que as Unidades possam estar regulares para eventos de segurança que envolvam incêndio ou pânico, bem como para viabilizar o Alvará do Corpo de Bombeiros, denominado de Auto de Vistoria (AVCB).</t>
  </si>
  <si>
    <t>As unidades não estarão adaptadas para evacuação segura em caso de incêndio ou pãnico. Além disso, a ausência de AVCB impacta na emissão do Alvará de Funcionamento das Unidades, bem como as inscreve como edificações irregulares junto ao Corpo de Bombeiros.</t>
  </si>
  <si>
    <t>As unidades estarão adaptadas para evacuação segura em caso de incêndio ou pãnico. Além disso, poderão emitir o Alvará de Funcionamento e atestarem sua regularidade junto ao Corpo de Bombeiros.</t>
  </si>
  <si>
    <t>Há necessidade de revitalização das pinturas nas unidades socioeducativas de gestão direta, bem como de atendimento ao projeto de pinturas lúdicas, visando a padronização visual dessas unidades. Para isso, será necessária a aquisição de tintas e materiais diversos para a execução dos serviços de pintura.</t>
  </si>
  <si>
    <t>Unidades socioeducativas em desconformidade com o padrão de pintura e mal cuidadas, gerando um ambiente inadequado para o cumprimento de medidas socioeducativas.</t>
  </si>
  <si>
    <t>Revitalização das unidades e padronização das pinturas, criando um ambiente mais estético e acolhedor para os adolescentes.</t>
  </si>
  <si>
    <t>Coleta de resíduo  nas Unidades Prisionais</t>
  </si>
  <si>
    <t xml:space="preserve">- Acúmulo de resíduo nas unidades, gerando mal cheiro e aparecimento de insetos e roedores. </t>
  </si>
  <si>
    <t xml:space="preserve">- Higiene nas dependencias da unidade;
- Não acumulo de resíduo.  </t>
  </si>
  <si>
    <t>Atualmente a SUASE possui diversas Unidades com painéis solares e boilers. No entanto, estes equipamentos não estão sendo manutenidos, acelerando, assim, seu processo de deteriorização.</t>
  </si>
  <si>
    <t>A falta de manutenção especializada nos painéis solares e seus componenetes representa um risco à qualidade do fornecimento de água aquecida para os adolescentes. A ausência de inspeções regulares pode levar a falhas não identificadas, resultando em danos graves e caros, comprometendo o investimento inicial e a segurança do sistema, além do bem-estar e higiene dos adolescentes.</t>
  </si>
  <si>
    <t>A contratação de uma empresa especializada em manutenção de painéis solares é essencial para garantir a eficiência e durabilidade dos sistemas de aquecimento de água na Unidade. A manutenção regular maximiza a geração de energia térmica, assegura o fornecimento contínuo de água aquecida, prolonga a vida útil dos equipamentos e minimiza falhas. Isso resulta em maior estabilidade operacional, previsibilidade de custos e melhores condições para os adolescentes acautelados.</t>
  </si>
  <si>
    <t>Manutenção preventiva e corretiva em equipamentos de ar condicionado.</t>
  </si>
  <si>
    <t>-Deterioração mais rápida dos equipamentos.
-Possibilidade de equipamento com defeito no momento do uso.</t>
  </si>
  <si>
    <t xml:space="preserve">-Equipamento em condidições de uso nos momentos necessários. </t>
  </si>
  <si>
    <t>Garatir a Segurança das Informações no ambiente Tecnológico da SEJUSP</t>
  </si>
  <si>
    <t>Perdas de Informações e ataques cibernéticos.</t>
  </si>
  <si>
    <t>Segurança e transparência nos dados armazenados.</t>
  </si>
  <si>
    <t>Incremental</t>
  </si>
  <si>
    <t>Fornecimento de combustível - Necessidade de transferências de presos, adolecestes acautelados, atividades de saúde e rotinas administrativas</t>
  </si>
  <si>
    <t>- Maior o número de veículos parados;
- Acarretará na interrupção dos serviços previstos no presente contrato, os quais são considerados essenciais para a Administração Pública, comprometendo a eficiência e a continuidade das atividades governamentais.</t>
  </si>
  <si>
    <t>Continuidade do uso da frota pelo sistema prisional e socioeducativo</t>
  </si>
  <si>
    <t>O contrato de aluguel para utilização do equipamento de bodyscan para a unidade socioeducativa é necessárip para aprimorar os procedimentos de segurança e revista pessoal de forma mais eficaz, rápida e não invasiva.</t>
  </si>
  <si>
    <t>Descumprimento de decisões judiciais e baixa eficácia das vistorias aos visitantes que acessam as Unidades Socioeducativas.</t>
  </si>
  <si>
    <t>A implantação do bodyscan traz ganhos significativos para a segurança das unidades socioeducativas, promovendo um controle mais rigoroso e humanizado de entrada de pessoas e materiais.</t>
  </si>
  <si>
    <t>Despesa de pronto pagamento para eventual emergencia, pois as unidades estão sujeitas à intercorrências</t>
  </si>
  <si>
    <t>Emergencias não sanadas, interdição de unidades, evacuação de unidades,d escumprimento da política</t>
  </si>
  <si>
    <t>Cumprimento da polítca de forma dequado em casos de emergencia</t>
  </si>
  <si>
    <t>Rotina do gabinete da subsecretária</t>
  </si>
  <si>
    <t>Falta de articulação institucional, Falta de cumprimento da política</t>
  </si>
  <si>
    <t>Articulação da política feito com sucesso e política de maior qualidade</t>
  </si>
  <si>
    <t>Garantir medicamentos de uso tópico que possam vir a ser prescritos pelos profissionais de saúde e de uso dos adolescentes.</t>
  </si>
  <si>
    <t>Prejuízo no atendimento de enfermagem ofertado ao adolescente e prejuízo na atuação do trabalho dessas equipes nas unidades.</t>
  </si>
  <si>
    <t>Garantir a eficiência das ações de assistência de saúde no cuidado em saúde dos adolescentes durante o acautelamento, de modo a contribuir na garantia do direito à saúde conforme preconzado em legislações vigentes.</t>
  </si>
  <si>
    <t>Manutenção dos itens de consumo para o trabalho das equipes de enfermagem e de odontologia nas unidades socioeducativas.</t>
  </si>
  <si>
    <t>Prejuízo no atendimento de enfermagem e odontologia ofertado ao adolescente e prejuízo na atuação do trabalho dessas equipes nas unidades.</t>
  </si>
  <si>
    <t>Manutenção dos itens de consumo para o trabalho das equipes de odontologia.</t>
  </si>
  <si>
    <t>Prejuízo no atendimento de saúde bucal aos adolescentes e prejuízo na atuação do trabalho das equipes de odontologia.</t>
  </si>
  <si>
    <t>Prejuízo no atendimento de saúde bucal aos adolescentes e na atuação do trabalho das equipes de odontologia.</t>
  </si>
  <si>
    <t>Prejuízo no atendimento de saúdel aos adolescentes e na atuação do trabalho das equipes de enfermagem e odontologia.</t>
  </si>
  <si>
    <t>Garantir ambientes salubres e adequado das unidades socioeducativas a fim de reduzir propagação de microoorganismos.</t>
  </si>
  <si>
    <t>- Risco de propagação de agentes patogênicos; - Prejuízo na prevenção de agravos à saúde; - Risco de higienização ineficiente.</t>
  </si>
  <si>
    <t>Garantir a proteção indvidual e coletiva ; Evitar risco de contaminação e propagação de patógenos.</t>
  </si>
  <si>
    <t>Manutenção dos itens de consumo para o trabalho das equipes de enfermagem nas unidades socioeducativas.</t>
  </si>
  <si>
    <t>Aquisição de equipamento de proteção individual - EPI e de equipamento de proteção coletiva - EPC</t>
  </si>
  <si>
    <t>- Risco de propagação de agentes patogênicos; - Prejuízo na prevenção de agravos à saúde; - Risco de contaminação.</t>
  </si>
  <si>
    <t>Garantir medicamentos que possam vir a ser prescritos pelos profissionais de odontologia das unidades</t>
  </si>
  <si>
    <t>Manutenção dos itens de consumo para o trabalho das equipes de enfermagem.</t>
  </si>
  <si>
    <t>Manutenção dos itens de consumo para o trabalho das equipes de enfermagem e odontologia.</t>
  </si>
  <si>
    <t>Item de proteção contra arboirose- Dengue.</t>
  </si>
  <si>
    <t>Risco de adoecimento por Dengue.</t>
  </si>
  <si>
    <t>Garantir higiene adequada das maões a fim de reduzir propagação de microoorganismos.</t>
  </si>
  <si>
    <t>Manutenção dos itens para esterelização de materiais e instrumentais.</t>
  </si>
  <si>
    <t>Garantir insumos adequados para a higienização das mãos a fim de reduzir propagação de microoorganismos.</t>
  </si>
  <si>
    <t>Garantir a proteção indvidual e coletiva e evitar risco de contaminação.</t>
  </si>
  <si>
    <t>- Risco de propagação de agentes patogênicos; - Prejuízo na prevenção de agravos à saúde; - Risco de higienização das superfícies ineficiente.</t>
  </si>
  <si>
    <t>Prejuízo no atendimento de saúde bucal e de enfermagem aos adolescentes e na atuação do trabalho das equipes de odontologia.</t>
  </si>
  <si>
    <t>Prejuízo no atendimento das equipes aos adolescentes por falta de insumos para proteção individual. Risco de contaminação.</t>
  </si>
  <si>
    <t>Manutenção dos itens de primeiros socorros para o trabalho das equipes de enfermagem.</t>
  </si>
  <si>
    <t>Prejuízo no atendimento ofertado ao adolescente e prejuízo na atuação do trabalho das equipes nas unidades, frente às situações de urgência e emergência.</t>
  </si>
  <si>
    <t>Garantir insumo para auxiliar na higienização das mãos a fim de reduzir propagação de microoorganismos</t>
  </si>
  <si>
    <t>Garantir ambientes salubres e adequado das unidades socioeducativas a fim de reduzir propagação de microoorganismos. Insumo para acondicionamento adequado de resíduos de saúde.</t>
  </si>
  <si>
    <t>- Risco de propagação de agentes patogênicos; - Prejuízo na prevenção de agravos à saúde; - armazenamento inadequado de resíduos de saúde.</t>
  </si>
  <si>
    <t>Garantir medicamentos que possam vir a ser prescritos pelos profissionais de saúde.</t>
  </si>
  <si>
    <t>Prejuízo no atendimento de saúdel aos adolescentes e na atuação do trabalho das equipes de enfermagem.</t>
  </si>
  <si>
    <t>- Risco de propagação de agentes patogênicos; - Risco de contaminação por falta de EPIs adequados.</t>
  </si>
  <si>
    <t>Garantir a proteção indvidual do profissional durante os procedeimentos de assistência. Evitar risco de contaminação.</t>
  </si>
  <si>
    <t>Equipar as unidades para garantir os atendimentos das equipes de enfermagem e de odontologia das unidades socioeducativas.</t>
  </si>
  <si>
    <t>Prejuízo no atendimento dos adolescentes e na atuação do trabalho das equipes de odontologia e de enfermagem, devido a falta de equipamentos necessários para garantir os atendimentos.</t>
  </si>
  <si>
    <t>Ofertar assistência de qualidade e com os equipamento e materiais permanentes necessários para a atuação das equipes de enfermagem e odontologia no atendimentos ao adolescente.</t>
  </si>
  <si>
    <t>APRIMORAMENTO PROFISSIONAL E CAPACITAÇÃO DOS SERVIDORES DA EQUIPE DE ATENDIMENTO.</t>
  </si>
  <si>
    <t>FALTA DE QUALIFICAÇÃO DOS SERVIDORES; PREJUIZO DO ATENDIMENTO; FALTA DE MOTIVAÇÃO;</t>
  </si>
  <si>
    <t>Necessidade de execução da política socioeducativa.</t>
  </si>
  <si>
    <t>Não consegurir acompanhar e orientar a execussão da política socioieducativa</t>
  </si>
  <si>
    <t>Acompanhamento in locum da execussão das medidas socioeducativas.</t>
  </si>
  <si>
    <t>Aquisição de material para o trabalho das equipes técnicas junto aos adolescentes</t>
  </si>
  <si>
    <t>Ineficiência do atendimento Socieducativo</t>
  </si>
  <si>
    <t>As equipes poderão ter mais recussos para executarem trabalho</t>
  </si>
  <si>
    <t>Necessidade de execução da política socioeducativa</t>
  </si>
  <si>
    <t>Dificuldade de encaminhar adolescentes para cursos e atividades externas ao centros socioeducativos</t>
  </si>
  <si>
    <t>Não execução da política socioeducativa em sua amplitude.</t>
  </si>
  <si>
    <t>Necesidade de fornecimento de materias escolares aos adolescentes</t>
  </si>
  <si>
    <t>Descumprimento de política socieducativa</t>
  </si>
  <si>
    <t>Cumprimento da política socioeducativa e melhor assistência aos adolescentes</t>
  </si>
  <si>
    <t>Não consegurir acompanhar e orientar a execução da política socioieducativa</t>
  </si>
  <si>
    <t>Acompanhamento in loco da execução das medidas socioeducativas.</t>
  </si>
  <si>
    <t>Capaciatação de servidores como Facilitadores do Programa Jovens Aprendiz do Futuro - JPF+ (Ser Facilitador)</t>
  </si>
  <si>
    <t>Não cumprimetno do acordo de comperação tecnica com programa Descubra</t>
  </si>
  <si>
    <t>Servidores qualificados para realizarem pré qualificação profissional dentro das unidades</t>
  </si>
  <si>
    <t>Aquisição de material esportivos, para as oficinas sociedutativas.</t>
  </si>
  <si>
    <t>Não execussão da política socieducativa .</t>
  </si>
  <si>
    <t>Cumprimento da política socieducativa</t>
  </si>
  <si>
    <t>Diárias para o monitoramento das unidades socioeducativas localizadas no interior do estado.</t>
  </si>
  <si>
    <t>Prejuízos na efetividade do cumprimento de medida no que diz respeito ao acompanhamento do processo jurídico do adolescente, articulações com o judiciário, violação de direitos do adolescente - preconizados no ECA, na Lei do SINASE e Resoluções do CONANDA.</t>
  </si>
  <si>
    <t>Acompanhamento do atendimento aos adolescentes, conforme previsão do SINASE.</t>
  </si>
  <si>
    <t>Garantir o direitos à convivência familiar para os adolescentes com famílias fora do município da unidade socioeducativa e sem condições de arcarem com os custos.</t>
  </si>
  <si>
    <t>Descumprimento do Decreto a ser publicado. Tramitado via processo SEI 1690.01.0002494/2018-21. Descumprimento do eixo família, conforme previsão legal.</t>
  </si>
  <si>
    <t>Atendimento socioeducativo de qualidade. Facilitação do processo de responsabilização do adolescente, bem como sua reinserção social.</t>
  </si>
  <si>
    <t>Aprimoramento profissional e qualificação dos servidores das equipes socioeducativas</t>
  </si>
  <si>
    <t>Prejuízo no trabalho a ser desenvolvido pelos Núcleos Locais de Práticas Restaurativas</t>
  </si>
  <si>
    <t>Capacitação profissional, maiores possibilidades de atuação sociorestaurativas, motivação dos servidores</t>
  </si>
  <si>
    <t>Tem por objetivo garantir, além do funcionamento básico, a eficiência das ações de saúde, os direitos fundamentais dos adolescentes preconizados nas legislações SINASE, ECA, PNAISARI e Metodologia de Atendimento da Medida Socioeducativa de Internação.</t>
  </si>
  <si>
    <t>Assegurar o número mínimo exigido aos profissionais que viabilizará o atendimento relacionado às questões socioeducativas e ações correlatas preconizadas na Lei do SINASE, Resoluções do CONANDA, Política e Metodologia do Atendimento Socioeducativo de Minas Gerais.</t>
  </si>
  <si>
    <t>Aquisição de item para a operacionalização da comunicação interna</t>
  </si>
  <si>
    <t>Prejuízos na comunicação, dificuldades nos procedimentos de segurança rotineiros</t>
  </si>
  <si>
    <t>Manter a qualidade metodológica das “Medidas Socioeducativas “em suas execuções existentes no Estado e conforme o artigo 125 do ECA – “É dever do Estado zelar pela integridade física e mental dos internos, cabendo-lhe adotar as medidas adequadas de contenção e segurança”.</t>
  </si>
  <si>
    <t>Dificuldades nos procedimentos de segurança rotineiros</t>
  </si>
  <si>
    <t>Aprimoramento profissional e qualificação dos servidores das equipes socioeducativas.</t>
  </si>
  <si>
    <t>Prejuízo à qualificação técnica das equipes e comprometimento da construção participativa do Plano Decenal 2027–2037</t>
  </si>
  <si>
    <t>Fortalecimento técnico das equipes, promoção da equidade territorial e construção participativa e qualificada do Plano Decenal 2027–2037.</t>
  </si>
  <si>
    <t>Manutenção preventiva e corretiva em equipamentos.</t>
  </si>
  <si>
    <t>A Agência Central de Inteligência passou a integrar diretamente o Gabinete do Secretário de Estado, permitindo uma atuação mais proativa em projetos inovadores e o aumento expressivo de visitas técnicas e reuniões de trabalho, para o compartilhamento efetivo de informações e o aprimoramento de ações integradas de inteligência, visando a redução de criminalidade.</t>
  </si>
  <si>
    <t>Perda da capacidade de produção de conhecimento de inteligência e no combate às ações da criminalidade organizada com risco de perda de controle da criminalidade.</t>
  </si>
  <si>
    <t>Otimização e aprimoramento da atividade-fim da Agência Central de Inteligência e realização de ações integradas com outras forças de segurança no enfrentamento ao crime.</t>
  </si>
  <si>
    <t>Perda da capacidade de produção de conhecimento de inteligência e enfraquecimento do papel desempenhado pela Agência Central de Inteligência.</t>
  </si>
  <si>
    <t xml:space="preserve">Subsidiar as politicas de prevenção e repressão à criminalidade violenta, com a  identificação de oportunidades de ações e desencadeamento de operações de prevenção e repressão qualificada </t>
  </si>
  <si>
    <t>Suprir necessidades rotineiras e de pequeno valor (despesa miúda) para a manutenção da atividade-fim da Agência Central de Inteligência</t>
  </si>
  <si>
    <t>Condições inadequadas para execução da atividade de inteligência enquanto Agência Central do Estado</t>
  </si>
  <si>
    <t>Manutenção das atribuições da Agência Central de Inteligência do Estado em pleno atendimento.</t>
  </si>
  <si>
    <t>Não funcionamento adequado das câmeras, prejudicando o monitoramento em tempo real da unidade, tão como a verificação de filmagens quando necessário posteriormente a sua gravação.</t>
  </si>
  <si>
    <t>Melhor controle de segurança nas unidades prisionais, também como dos reclusos de liberdade</t>
  </si>
  <si>
    <t>Manutenção preventiva e corretiva em equipamentos odontologicos</t>
  </si>
  <si>
    <t>Caminhão pipa para fornecimento de água para as unidades devido a falta de abastecimento regular pela prestadora e por problemas estruturais.</t>
  </si>
  <si>
    <t>-Demora no atendimento da unidade em um momento de interrupção do fornecimento de água por parte da prestadora;
- Dificuldade na realização das atividades dentro da unidade por falta de água.</t>
  </si>
  <si>
    <t>-Garantia no forneciemento de água nas unidades atendidas.</t>
  </si>
  <si>
    <t xml:space="preserve">Coleta de resíduo cumum nas Unidades Prisionais de Belo Horizonte. </t>
  </si>
  <si>
    <t>Coleta de resídos de saúde nas Unidade Prisionais, visando atendimento de normas da vigilância sanitária.</t>
  </si>
  <si>
    <t xml:space="preserve">-Não contaminação de servidores e usuários;
 </t>
  </si>
  <si>
    <t>Necessidade de caracterização e identificação de unidades</t>
  </si>
  <si>
    <t>Falta de identificação das unidades</t>
  </si>
  <si>
    <t>Identificação e cerimônias para inauguraçãio das unidades</t>
  </si>
  <si>
    <t>Locação de imóveis</t>
  </si>
  <si>
    <t>- Falta de local adequado para os atendimentos;
- Gastos com trasnferência de local.</t>
  </si>
  <si>
    <t>-Imóvel com caracteriscas nessárias para atendiemento da demanda na qual é utilizado.</t>
  </si>
  <si>
    <t>Locação de imóvel destinado ao Centro de Referência a Gestante Privada de Liberdade.</t>
  </si>
  <si>
    <t>Locação de imóvel destinado a Central de flagrantes.</t>
  </si>
  <si>
    <t>Dedetização Das  Unidades</t>
  </si>
  <si>
    <t xml:space="preserve">-Risco de contaminação dos servidores/funcionarios
 - Proliferação de insetos e roedores; 
</t>
  </si>
  <si>
    <t>- Higiêne nas unidades;
 - Não contamitação de servidores e usuários por insetos e roedores.</t>
  </si>
  <si>
    <t>PAGAMENTO DE FATURAS ÁGUA DAS SEDES INTEGRADAS</t>
  </si>
  <si>
    <t>Cumprimento de obrigações com o pagamento do fornecimento de água.</t>
  </si>
  <si>
    <t xml:space="preserve">Interrupção do fornecimento. </t>
  </si>
  <si>
    <t>PAGAMENTO DE FATURAS ÁGUA DAS UNIDADES DA SUASE</t>
  </si>
  <si>
    <t>PAGAMENTO DE FATURAS ÁGUA DAS UNIDADES DO DEPEN</t>
  </si>
  <si>
    <t>PAGAMENTO DE FATURAS ÁGUA DAS UNIDADES DO DEPEN (SAÚDE)</t>
  </si>
  <si>
    <t>Fornecimento de Vale Social para adolescentes em cumprimento de medida socioeducativa.</t>
  </si>
  <si>
    <t>Dificuldade na realização de saídas do adolescentes para realização de cursos e outras atividades externas.</t>
  </si>
  <si>
    <t xml:space="preserve">-Atendimento ao SINASE, onde o adolescente deve realizar atividades extenas;
</t>
  </si>
  <si>
    <t>PAGAMENTO DE FATURAS ENERGIA DAS SEDES INTEGRADAS</t>
  </si>
  <si>
    <t>Cumprimento de obrigações com o pagamento do fornecimento de energia.</t>
  </si>
  <si>
    <t>PAGAMENTO DE FATURAS ENERGIA DAS UNIDADES DA SULOT</t>
  </si>
  <si>
    <t>PAGAMENTO DE FATURAS ENERGIA DAS UNIDADES DA SUASE</t>
  </si>
  <si>
    <t>PAGAMENTO DE FATURAS ENERGIA DAS UNIDADES DO DEPEN</t>
  </si>
  <si>
    <t>PAGAMENTO DE FATURAS ENERGIA DAS UNIDADES DO DEPEN (SAÚDE)</t>
  </si>
  <si>
    <t>PAGAMENTO DE FATURAS ENERGIA DAS UNIDADES DE MÉDIA TENSÃO</t>
  </si>
  <si>
    <t>Limpeza e desinfecção das caixas d'água e reservatórios da unidades .</t>
  </si>
  <si>
    <t>-Deterioração da saúde dos usuários;
 -Risco de epidemias em unidades;</t>
  </si>
  <si>
    <t>-Atendimento à legislação;
 -Manutenção da saúde dos usuários;</t>
  </si>
  <si>
    <t>Pagamento de IPTU e taxas de imóveis do DEPEN</t>
  </si>
  <si>
    <t>- Cobrança de encargos. 
 - Restrições juntos às prefeituras.</t>
  </si>
  <si>
    <t>- Manter em dia o pagamento que é de responsabilidade da SEJUSP.</t>
  </si>
  <si>
    <t>Pagamento de IPTU e taxas de imóveis da suase</t>
  </si>
  <si>
    <t xml:space="preserve">- Cobrança de encargos. 
- Restrições juntos às prefeituras.  </t>
  </si>
  <si>
    <t>AQUISIÇÃO DE PISTOLAS DE IMPULSO ELÉTRICO PARA USO NAS UNIDADES PRISIONAIS, CONFORME PLANEJAMENTO ESTRATÉGICO ENCAMINHADO AO EXÉRCITO BRASILEIRO</t>
  </si>
  <si>
    <t>Manutenção de equipamentos</t>
  </si>
  <si>
    <t>Fornecimento de passgem aéreas e rodóviarias</t>
  </si>
  <si>
    <t>-Dificuldade na realização de viagens de servidores para reuniões, congressos e visitas em outros municipios. 
- Dificuldade na transferência de detentos e menores acautelados.</t>
  </si>
  <si>
    <t>-Agilidade na locomoção de servidores para outros municipios. 
- Possibilidae na transferência de detentos e menores acautelados com segurança e maior agilidade.</t>
  </si>
  <si>
    <t>Manutenção dos serviços de comunicação interna eexetrena da unidade</t>
  </si>
  <si>
    <t>Restruturação da infraestrutura de rede interna das unidades prisionais.</t>
  </si>
  <si>
    <t>AQUISIÇÃO DE MEDICAMENTOS P1 PARA AS UNIDADES DE SAÚDE PARA O ATENDIMENTO BÁSICO AOS PRESOS</t>
  </si>
  <si>
    <t>FALTA DE MEDICAMENTOS BÁSICOS</t>
  </si>
  <si>
    <t>ATENDER A LEGISLAÇÃO E MANTER A SEGURANÇA NAS UNIDADES ALÉM DE GARANTIR A DIGNIDADE E ASSISTÊNCIA MATERIAL BÁSICA AOS PRESOS</t>
  </si>
  <si>
    <t>Envio de documentações entre as unidades da SUJUSP</t>
  </si>
  <si>
    <t>.Não tramitação de documentação física essencial para atendimento das demandas da Secretaria</t>
  </si>
  <si>
    <t>-Possibilidade de envio de documentação física entre as unidades da SEJUSP.</t>
  </si>
  <si>
    <t>PAGAMENTO DE TAXAS DE CONDOMINIO EM IMÓVEIS UTULIZADOS PELA SEJUSP.</t>
  </si>
  <si>
    <t>Cumprimento de obrigações com o pagamento do fornecimento de condominio.</t>
  </si>
  <si>
    <t>Inclusão da SEJUSP em listas de negativados.</t>
  </si>
  <si>
    <t>Serviço - Manutenção de veículos
 -Frota atual de veículos
 - - Fornecedor Ticketlog;
 - Incluso mão de obra e peças;</t>
  </si>
  <si>
    <t>Serviço - Manutenção de veículos
 -Frota atual de veículos
 - Fornecedor Ticketlog;
 - Incluso mão de obra e peças;</t>
  </si>
  <si>
    <t>Serviço - Manutenção de veículos
 -Frota atual de veículos
  - Fornecedor Ticketlog;
 - Incluso mão de obra e peças;</t>
  </si>
  <si>
    <t>Gerenciamento Sistema de abastecimento, controle e fornecimento de equipamento que possibilita ação</t>
  </si>
  <si>
    <t>- Não Gerenciamento 
- Impossibilidade de abastecimento veículos
- Acarretará na interrupção dos serviços previstos no presente contrato, os quais são considerados essenciais para a Administração Pública, comprometendo a eficiência e a continuidade das atividades governamentais.</t>
  </si>
  <si>
    <t>Otimização e controle processo de abastecimento da frota</t>
  </si>
  <si>
    <t>- Acarretará na interrupção dos serviços previstos no presente contrato, os quais são considerados essenciais para a Administração Pública, comprometendo a eficiência e a continuidade das atividades governamentais.</t>
  </si>
  <si>
    <t>AQUISIÇÃO DE PEÇAS DE ARMAS PARA MANUTENÇÃO DAS ARMAS DANIFICADAS DA SEJUSP</t>
  </si>
  <si>
    <t>ARMAS FICARÃO PARADAS NA CENTRAL DE SUPRIMENTOS E DESGUARNECERÁ AS UNIDADES PRISIONAIS, COM RISCO DE COMPROMETER A SEGURANÇA DAS MESMAS.</t>
  </si>
  <si>
    <t>UNIDADES PRISIONAIS SUPRIDAS DO MATERIAL PARA USO LABORAL. SEGURANÇA DAS U.PS REFORÇADAS.</t>
  </si>
  <si>
    <t>Grande parte das unidades prisionais enfrenta sérias limitações na comunicação via rádio, com equipamentos ultrapassados, danificados ou incompatíveis com o padrão digital atual. A aquisição de rádios digitais DEP550e é essencial para garantir comunicação eficiente entre os setores operacionais, ampliando a segurança, a coordenação de plantões e a resposta a incidentes</t>
  </si>
  <si>
    <t>A manutenção do atual cenário, sem a substituição dos rádios por modelos DEP550e, prolonga as falhas de comunicação nas rotinas prisionais. Isso acarreta lentidão na troca de informações, comprometimento da segurança interna e maior dificuldade para agir com agilidade em situações emergenciais, colocando em risco servidores e custodiados</t>
  </si>
  <si>
    <t>Fortalece a comunicação entre os agentes nas unidades prisionais, ampliando a segurança, a eficiência nas rotinas diárias e a capacidade de resposta a emergências, com equipamentos modernos, resistentes e com melhor qualidade de áudio</t>
  </si>
  <si>
    <t>AQUISIÇÃO DE MATERIAIS DE SEGURANÇA, EM ESPECIAL IMPO</t>
  </si>
  <si>
    <t>A FALTA DOS ITENS PODE OCASIONAR RISCOS À SEGURANÇA NAS UNIDADES</t>
  </si>
  <si>
    <t>Locação de veículo caminhonete Standard</t>
  </si>
  <si>
    <t>O atual sistema de radiocomunicação encontra-se defasado e insuficiente para atender à demanda de chefias e grupos táticos, com falhas frequentes, equipamentos obsoletos e sem suporte técnico. Há urgente necessidade de modernização por meio da aquisição de rádios digitais DGP8550, que oferecem maior alcance, criptografia e confiabilidade na comunicação estratégica</t>
  </si>
  <si>
    <t>A não aquisição dos rádios DGP8550 compromete diretamente a capacidade de resposta e comando das chefias e grupos especializados em situações críticas. A ausência de comunicação segura e imediata eleva o risco de falhas operacionais, retardo em tomadas de decisão e aumento da vulnerabilidade em ocorrências de alta complexidade</t>
  </si>
  <si>
    <t>Melhoria significativa na capacidade de comando e controle das chefias e grupos especializados, com aumento da segurança nas operações sensíveis e resposta mais rápida a situações críticas, por meio de um sistema de comunicação robusto, digital e confiável</t>
  </si>
  <si>
    <t>Aquisição de veículos para aparelhamentodas Unidades Prisionais</t>
  </si>
  <si>
    <t>Precarização da frota e aumento do gasto com manutenções dos veículos</t>
  </si>
  <si>
    <t>Renovar a frota da sejusp;
 Reduzir custos de manuntenção e combustivel;
 Atender a demanda de carros das unidades</t>
  </si>
  <si>
    <t>Substituição de placas veículos(perca e danos) no padrão Mercosul</t>
  </si>
  <si>
    <t>Impossibilidade de regularização de veículos oficiais junto ao órgão de Trânsito</t>
  </si>
  <si>
    <t>Circulação regular da frota devidademente identificada junto aos órgãos de trânsito</t>
  </si>
  <si>
    <t>Locação de veículos de serviço sedan</t>
  </si>
  <si>
    <t>Locação de veículos de serviço para atendimento de nutricionistas das RISP'S</t>
  </si>
  <si>
    <t>Locação de 01 Carro de representação</t>
  </si>
  <si>
    <t xml:space="preserve"> - Não cumprimento das agendas constitucionais
- Acarretará na interrupção dos serviços previstos no presente contrato, os quais são considerados essenciais para a Administração Pública, comprometendo a eficiência e a continuidade das atividades governamentais.
- Secretário exposto a vários riscos significativos: a ausência de um veículo aumenta a vulnerabilidade, possíveis ameaças à segurança, ausência de segurança do secretário durante os deslocamentos, aumento dos riscos diretos à integridade física do secretário;</t>
  </si>
  <si>
    <t>Aquisição de veículos para aparelhamentodas Unidades Socioeducativas</t>
  </si>
  <si>
    <t>Aquisição de licenças de software Microsoft 365 para modernização tecnológica na SEJUSP e unidades finalísticas.</t>
  </si>
  <si>
    <t>Aquisição do AZURE AD  proporciona uma solução completa para produtividade, colaboração e segurança, contribuindo para o sucesso das operações organizacionais.</t>
  </si>
  <si>
    <t>Pagamento de multas cometidas no trânsito por Servidores que se recusam a reconhecer o débito. Liberaçao do veículo para circulação regular e posterio encaminhamento para apuração de responsabilidades</t>
  </si>
  <si>
    <t>Irregularidade trânsito frota vias públicas</t>
  </si>
  <si>
    <t>Circulação regular da frota</t>
  </si>
  <si>
    <t>Pagamento Seguro Obrigatório regularização frota órgão</t>
  </si>
  <si>
    <t>Irregularidade não pagamento de IMPOSTOS devidos</t>
  </si>
  <si>
    <t>Regularidade da Frota do Estado junto aos orgãos de Trânsito</t>
  </si>
  <si>
    <t>Transporte de servidor para unidade em área rural. Local onde não possui transporte público para acesso.</t>
  </si>
  <si>
    <t>Dificuldade do servidor chegar na unidade, podendo gerar desfalques nas equipes de trabalho.
- Acarretará na interrupção dos serviços previstos no presente contrato, os quais são considerados essenciais para a Administração Pública, comprometendo a eficiência e a continuidade das atividades governamentais.</t>
  </si>
  <si>
    <t>Possibilita meios de acesso à unidade para servidores que não possuem veíulo próprio.</t>
  </si>
  <si>
    <t>Aquisição do AZURE AD proporciona uma solução completa para produtividade, colaboração e segurança, contribuindo para o sucesso das operações organizacionais.</t>
  </si>
  <si>
    <t>Aquisição de veículo para logística interna na frota da SEJUSP (Caminhão Truck)</t>
  </si>
  <si>
    <t>A introdução de um sistema avançado de telemetria e geolocalização veicular facilitaria significativamente essas tarefas, permitindo um monitoramento mais detalhado e eficaz da frota, o que é crucial para a segurança e a eficiência operacional.
- Atendimento ao Art. 1º da Lei Estadual nº 23.303/2019
- Atendimento a orientação da Controladoria - 1520.01.0010466/2022-92</t>
  </si>
  <si>
    <t xml:space="preserve">Dificuldade em suprir a necessidade de um controle mais efetivo das rotas realizadas durante as atividades diárias dos servidores e contratados terceirizados, como também auxiliar na identificação e prevenção de roubos, furtos, acidentes, infrações e multas de trânsito, assim como outras circunstâncias que possam acarretar perdas e/ou danos ao erário. </t>
  </si>
  <si>
    <t>Permitirá o alcance de melhor controle de custos dentro do conceito de convergência de rastreamento/localização, ampliando, assim, a produtividade, a eficiência, a economicidade e, principalmente, a fiscalização da frota da Secretaria.</t>
  </si>
  <si>
    <t xml:space="preserve">A lavagem geral em veículos leves tem como objetivo remover sujeiras, manchas e resíduos do interior e parte externa do automóvel.
</t>
  </si>
  <si>
    <t>A sujeira pode danificar a pintura do veículo e comprometer sua integridade e conservação, além de poder comprometer a saúde do motorista e dos
passageiros, tendo em vista a presença de fungos e bactérias que podem causar uma série de doença.</t>
  </si>
  <si>
    <t>A contratação tem por finalidade garantir a conservação dos veículos da frota da Secretaria de Estado de Justiça e Segurança Pública e garantir a saúde
daqueles que o utilizam.</t>
  </si>
  <si>
    <t xml:space="preserve">Equipamentos para modernização  </t>
  </si>
  <si>
    <t>dificuldades na execução das atividades laborais</t>
  </si>
  <si>
    <t>Modernização em Infraestrutura de TIC</t>
  </si>
  <si>
    <t>AQUISIÇÃO DE MATERIAIS DE LIMPEZA COMPLEMENTARES PARA AS UNIDADES DE ITENS DE HIGIENE PESSOIAL PARA OS PRESOS (CURVAS B e C)</t>
  </si>
  <si>
    <t>FALTA DE LIMPEZA ADEQUADA NOS SETORES; PROLIFERAÇÃO DE INSETOS, ROEDORES E DOENÇAS; UNIDADES COM MAU CHEIRO; RISCOS À SAÚDE DOS SERVIDORES E ATENDIDOS E FALTA DE ASSISTÊNCIA MATERIAL BÁSICA AOS PRESOS</t>
  </si>
  <si>
    <t>GARANTIR O ATENDIMENTO À LEGISLAÇÃO VIGENTE, A LIMPEZA ADEQUADA DAS UNIDADES E A ASSISTÊNCIA MATERIAL BÁSICA AOS ADOLESCENTES ALÉM DE MELHORES CONDIÇÕES NO AMBIENTE DE TRABALHO</t>
  </si>
  <si>
    <t>AQUISIÇÃO DE MATERIAIS DE LIMPEZA COMPLEMENTARES PARA AS UNIDADES DE ITENS DE HIGIENE PESSOIAL PARA OS ADOLESCENTES (CURVAS B e C)</t>
  </si>
  <si>
    <t>FALTA DE LIMPEZA ADEQUADA NOS SETORES; PROLIFERAÇÃO DE INSETOS, ROEDORES E DOENÇAS; UNIDADES COM MAU CHEIRO; RISCOS À SAÚDE DOS SERVIDORES E ATENDIDOS E FALTA DE ASSISTÊNCIA MATERIAL BÁSICA AOS ADOLESCENTES</t>
  </si>
  <si>
    <t>LOCAÇÃO DE IMÓVEL PARA CDM</t>
  </si>
  <si>
    <t>FALTA DE LOCAL ADEQUADO PARA A OPERAÇÃO LOGÍSTICA DA SEJUSP COM RISCO DE DESABASTECIMENTO DAS UNIDADES ATENDIDAS</t>
  </si>
  <si>
    <t>LOCAL ADEQUADO PARA ARMAZENAMENTO DE MATERIAIS E REALIZAÇÃO DA OPERAÇÃO LOGÍSTICA DA SEJUSP</t>
  </si>
  <si>
    <t>LOCAÇÃO DE IMÓVEL PARA CAF</t>
  </si>
  <si>
    <t>SERVIÇO DE TRANSPORTE DE CARGA VIA RODOVIA</t>
  </si>
  <si>
    <t>PARALIZAÇÃO DA OPERAÇÃO LOGÍSTICA NA CAF E CDM E DESABASTECIMENTO DAS UNIDADES ATENDIDAS PELA SEJUSP</t>
  </si>
  <si>
    <t>ENTREGA DOS MATERIAIS NOS PRAZOS ESTABELECIDOS, ATENDENDO AS UNIDADES DA SEJUSP</t>
  </si>
  <si>
    <t>PARALIZAÇÃO DA OPERAÇÃO LOGÍSTICA NA CAF E DESABASTECIMENTO DAS UNIDADES ATENDIDAS PELA SEJUSP</t>
  </si>
  <si>
    <t>PRESTAÇÃO DE SERVIÇOS DE LOCAÇÃO DE EQUIPAMENTOS DE ELEVAÇÃO E MOVIMENTAÇÃO DE CARGA (EMPILHADEIRA)</t>
  </si>
  <si>
    <t>MOVIMENTAÇÃO ADEQUADA DOS MATERIAIS PROPORCIONANDO A ADEQUADA OPERAÇÃO LOGÍSTICA NA CAF E CDM</t>
  </si>
  <si>
    <t>SERVIÇOS DE MANUTENÇÃO PREVENTIVA E CORRETIVA DE EMPILHADEIRAS, COM O FORNECIMENTO DE PEÇAS</t>
  </si>
  <si>
    <t>MOVIMENTAÇÃO INADEQUADA DOS MATERIAIS ENSEJANDO RISCOS DE PERDAS DE MATERIAIS E AFASTAMENTOS DE SAÚDE POR ESFORÇO FÍSICO EXCESSIVO</t>
  </si>
  <si>
    <t>CORRETA MOVIMENTAÇÃO DOS MATERIAIS EVITANDO PERDA POR MANUSEIO INADEQUADO E E AFASTAMENTOS POR PROBLEMAS DE SAÚDE RELACIONADOS A PESO EXCESSIVO</t>
  </si>
  <si>
    <t>SERVIÇOS DE VIGILÂNCIA E SEGURANÇA ELETRÔNICA​</t>
  </si>
  <si>
    <t>RISCO DE ENTRADA DE PESSOAS NÃO AUTORIZADAS FORA DO HORÁRIO DE FUNCIONAMENTO DOS SETORES</t>
  </si>
  <si>
    <t>MONITORAMENTO ELETRÔNICO DA CAF E CDM, EVITANDO ENTRADAS INDEVIDAS FORA DO HORÁRIO DE FUNCIONAMENTO DOS SETORES</t>
  </si>
  <si>
    <t>Grande parte das baterias utilizadas nos rádios digitais encontra-se em estado avançado de desgaste, com perda de autonomia, falhas frequentes e aumento no tempo de recarga. Esse cenário compromete a comunicação durante turnos extensos e operações prolongadas, colocando em risco a segurança e a efetividade das ações operacionais nas unidades da SEJUSP</t>
  </si>
  <si>
    <t>A não substituição das baterias desgastadas compromete a autonomia dos rádios, podendo causar falhas na comunicação durante rondas, escoltas ou emergências. Isso aumenta o risco de descoordenação entre os agentes, reduz a segurança operacional e enfraquece a capacidade de resposta das unidades prisionais da SEJUSP</t>
  </si>
  <si>
    <t>Garante a autonomia e o pleno funcionamento dos rádios durante todo o turno de trabalho, aumentando a segurança, a eficiência da comunicação e a prontidão operacional das unidades. Contribui para a continuidade do serviço mesmo em situações de longa duração, prevenindo falhas críticas na resposta a emergências</t>
  </si>
  <si>
    <t>KIT PRESO COMPLEMENTAR (CURVAS B e C)</t>
  </si>
  <si>
    <t>FALTA DE UNIFORMES E ITENS PARA CAMA E BANHO COM CONSEQUENTE FALTA DE PROTEÇÃO CONTRA O FRIO E COMPROMETIMENTO DA SEGURANÇA NAS UNIDADES</t>
  </si>
  <si>
    <t>ATENDER A LEGISLAÇÃO E MANTER A SEGURANÇA NAS UNIDADES ALÉM DE GARANTIR A DIGNIDADE E MELHORES CONDIÇÕES AOS PRESOS</t>
  </si>
  <si>
    <t>KIT ADOLESCENTE COMPLEMENTAR (CURVAS B e C)</t>
  </si>
  <si>
    <t>ATENDER A LEGISLAÇÃO E MANTER A SEGURANÇA NAS UNIDADES ALÉM DE GARANTIR A DIGNIDADE E MELHORES CONDIÇÕES AOS ADOLESCENTES</t>
  </si>
  <si>
    <t>Grande parte das viaturas operacionais utilizadas no sistema prisional encontra-se sem rádios móveis funcionais ou com equipamentos ultrapassados, sem suporte técnico e sem integração com sistemas de rastreamento. Essa deficiência compromete a comunicação em escoltas, transportes de custodiados e ações emergenciais, colocando em risco a segurança dos servidores, dos presos e da sociedade. A aquisição de rádios transceptores móveis com GPS visa restabelecer a comunicação eficiente entre viaturas e centrais, garantindo rastreabilidade, coordenação tática e resposta rápida durante o deslocamento das equipes</t>
  </si>
  <si>
    <t>A ausência de rádios móveis nas viaturas dificulta a comunicação durante escoltas e deslocamentos, comprometendo o comando e o monitoramento das ações externas. Sem rastreamento via GPS e comunicação direta com as centrais, aumenta-se o risco de falhas operacionais, atrasos no acionamento em emergências, perda de controle logístico e exposição de servidores a situações de risco sem suporte imediato</t>
  </si>
  <si>
    <t>A instalação de rádios móveis com GPS nas viaturas fortalece a comunicação entre as equipes em campo e as centrais de controle, permitindo rastreamento em tempo real, maior coordenação tática e resposta imediata em situações emergenciais. Isso resulta em mais segurança para os servidores, melhor logística nas operações externas e maior eficiência no transporte de custodiados.</t>
  </si>
  <si>
    <t>AQUISIÇÃO DE MATERIAIS DE SEGURANÇA, EM ESPECIAL IMPO E MUNIÇÕES</t>
  </si>
  <si>
    <t>AQUISIÇÃO DE COLETES BALÍSTICOS PARA SUBSTITUIR OS QUE VENCERÃO NO ANO DE 2026.</t>
  </si>
  <si>
    <t>COLETES DENTRO DA VALIDADE, QUANTITATIVO ATUAL MANTIDO E SEGURANÇA DO SERVIDOR</t>
  </si>
  <si>
    <t>AQUISIÇÃO PARA REPOSIÇÃO E INAUGURAÇÃO DE NOVAS UNIDADES</t>
  </si>
  <si>
    <t>FALTA DE ITENS PARA INAUGURAÇÕES E REPOSIÇÃO PARA UNIDADES</t>
  </si>
  <si>
    <t>ESTRUTUA ADEQUADA PARA OS SERVIDORES</t>
  </si>
  <si>
    <t>AQUISIÇÃO DE MATERIAIS DE LIMPEZA PARA AS UNIDADES DE ITENS DE HIGIENE PESSOAL PARA OS PRESOS (CURVA A)</t>
  </si>
  <si>
    <t>INTERRUPÇÃO DO FORNECEMENTO DE ÁGUA NAS UNIDADES</t>
  </si>
  <si>
    <t>REGULARIDAD DO ABASTECIMENTO DE ÁGUA NAS UNIDADES</t>
  </si>
  <si>
    <t>AQUISIÇÃO DE MATERIAIS DE LIMPEZA PARA AS UNIDADES DE ITENS DE HIGIENE PESSOIAL PARA OS ADOLESCENTES (CURVA A)</t>
  </si>
  <si>
    <t>ITENS UTILIZADOS NAS COPAS, PAVILHÕES E ATIVIDADES EXTERNAS NAS UNIDADES</t>
  </si>
  <si>
    <t>FALTA DE RECIPIENTE TÉRMICO PARA ARMAZENAMENTO, SOBRETUDO, DE ÁGUA, COM DESLOCAMENTO CONSTANTE ATÉ OS PONTO DE ÁGUA</t>
  </si>
  <si>
    <t>GARANTIR MELHORES CONDIÇÕES PARA OS SERVIDORES E PRESOS QUE EXECUTAM TRABALHOS EXTERNOS</t>
  </si>
  <si>
    <t>KIT PRESO BÁSICO (CURVA A)</t>
  </si>
  <si>
    <t>Diante da constatação de diversos situações de fragilidade identificadas pelas equipes de Segurança do DEPEN MG no entorno das Unidades prisionais, percebe-se como  fundamental a implementação de um Sistema de Videomonitoramento Analítico (Cercamento Digital)</t>
  </si>
  <si>
    <t>Vunerabilidade nas Unidades do DEPEN - Insegurança e riscos ao entorno das Unidades.</t>
  </si>
  <si>
    <t>a implementação do Sistema de Videomonitoramento Analítico (Cercamento Digital) por se tratar de solução capaz de contribuir de forma expressiva com a segurança pública do Estado possibilitando ferramentas essenciais para o reforço da segurança perimetral das unidades prisionais. </t>
  </si>
  <si>
    <t>KIT ADOLESCENTE BÁSICO (CURVA A)</t>
  </si>
  <si>
    <t>AQUISIÇÃO DE BOMBAS PARA UTILIZAÇÃO NOS POÇOS ARTESIANOS E NOS SISTEMAS DE COMBATE E PREVENÇÃO DE INCÊNDIOS DAS UNIDADES PRISIONAIS</t>
  </si>
  <si>
    <t>A FALTA DOS ITENS PODE OCASIONAR A FALTA DE ABASTECIMENTOS DE ÁGUA NAS UNIDADES QUE DEPENDEM DE POÇOS ARTESIANOS</t>
  </si>
  <si>
    <t>O BENEFÍCIO ALCANÇADO SERÁ O ABASTECIMENTOS DE ÁGUA DE MODO A ATENDER A DEMANDA DAS UNIDADES</t>
  </si>
  <si>
    <t>AQUISIÇÃO DE COLCHÕES E COBERTORES PARA ATENDIMENTO DOS PRESOS (CURVA A)</t>
  </si>
  <si>
    <t>FALTA DE COLCHÕES E COBERTORES PARA OS PRESOS COM POTENCIAL RISCOS À SAÚDE DOS PRESOS E À SEGURANÇA DAS UNIDADES</t>
  </si>
  <si>
    <t>AQUISIÇÃO DE COLCHÕES E COBERTORES PARA ATENDIMENTO DOS ADOLESCENTES (CURVA A)</t>
  </si>
  <si>
    <t>FALTA DE COLCHÕES E COBERTORES PARA OS ADOLESCENTES COM POTENCIAL RISCOS À SAÚDE DOS ADOLESCENTES E À SEGURANÇA DAS UNIDADES</t>
  </si>
  <si>
    <t>AQUISIÇÃO DE RAÇÃO PARA CÃES</t>
  </si>
  <si>
    <t>FRAGILIDADE NA SEGURANÇA DAS UNIDADES; NECESSIDADE DE CONTRATAÇÃO DE MAIS SERVIDORES PARA SUPRIR OS CÃES; ÓBITO DOS CÃES EXISTENTES; PREJUÍZO AOS COFRES PÚBLICOS, UMA VEZ QUE OS CÃES EXISTENTES SÃO PATRIMÔNIO DO ESTADO</t>
  </si>
  <si>
    <t>AUMENTO NA SEGURANÇA DOS SERVIDORES E EM GERAL NAS UNIDADES PRISIONAIS</t>
  </si>
  <si>
    <t>AQUISIÇÃOP DE ITENS REPOSIÇÃO DE UTENSÍLIOS PARA CANIL TAIS COMO COLEIRAS, EQUIPAMENTO DE ADESTRAMENTO, COMEDOURO, GUIAS, DENTRE OUTROS</t>
  </si>
  <si>
    <t>AUMENTO NA SEGURANÇA DOS SERVIDORES E EM GERAL NAS UNIDADES. INSUMOS QUE VISA ATENDER A DEMANDA DA SEJUSP ESPECIFICAMENTE NO QUE TANGE A NECESSIDADE BÁSICA DO CANIL CENTRAL E DAS UNIDADES PRISIONAIS QUE POSSUEM CÃES</t>
  </si>
  <si>
    <t>AQUISIÇÃO DE MEDICAMENTOS E VACINAS BÁSICAS PARA ATENDIMENTOS DOS CÃES DA SEJUSP</t>
  </si>
  <si>
    <t>AQUISIÇÃO DOS ITENS PARA ATENDIMENTO DOS PRESOS (CURVA A)</t>
  </si>
  <si>
    <t>FALTA DOS ITENS E NÃO ATENDIMENTO DA LEGISLAÇÃO</t>
  </si>
  <si>
    <t>ATENDER A LEGISLAÇÃO E E FORNECIMENTO DOS ITENS</t>
  </si>
  <si>
    <t>Considerando o crescente uso indevido de drones para atividades ilícitas, como espionagem, sabotagem e coleta não autorizada de informações em áreas sensíveis, justifica-se a implantação de sistemas anti-drone nas carretas de monitoramento da SEJUSP-MG</t>
  </si>
  <si>
    <t>Vulnerabilidade nas operações onde as carretas irão atuar.</t>
  </si>
  <si>
    <t>Visa garantir a segurança operacional, a proteção dos dados estratégicos e a integridade das ações de inteligência e monitoramento realizadas pela Secretaria.</t>
  </si>
  <si>
    <t>AQUISIÇÃO DE SINALIZAÇÃO, RESERVATÓRIOS, MANGUEIRA E ITENS DE PREVENÇÃO E COMBATE A INCÊNDIOS</t>
  </si>
  <si>
    <t>INSUFICIÊNCIA DE RECURSOS PARA O COMBATE AO INCÊNDIO NAS UNIDADES; AUMENTO DE RISCO DE MORTE DOS SERVIDORES E DOS SETENCIADOS; FALTA DE SINALIZAÇÃO E DESCUMPRIMENTO DA NBR 13434, A QUAL TRATA DE SINALIZAÇÃO DE SEGURANÇA CONTRA INCENDIO E PANICO. PERDA DE RECURSOS MATERIAIS CAUSADOS PELO INCÊNDIO.</t>
  </si>
  <si>
    <t>MATERIAIS DE ESCRITÓRIO BASICOS (CURVA A) - CONSUMO MUITO ELEVADO DE RESMAS DE PAPEL A4</t>
  </si>
  <si>
    <t>FALTA DE MATERIAS PARA A EXECUÇÃO DE ATIVIDADES ADMINISTRATIVAS</t>
  </si>
  <si>
    <t>CONDIÇÕES ADEQUADAS PARA A EXECUÇÃO DE ATIVIDADES ADMINISTRATIVAS</t>
  </si>
  <si>
    <t>AQUISIÇÃO DE EXTINTORES E ABRIGOS PARA MANGUEIRAS PARA PREVENÇÃO E COMBATE A INCÊNDIOS</t>
  </si>
  <si>
    <t>UNIDADE PREPARADA E SINALIZADA PARA COMBATE AO PRINCÍPIO DE INCÊNDIO; MAIOR PROTEÇÃO AOS SERVIDORES E SETENCIADOS.</t>
  </si>
  <si>
    <t>AQUISIÇÃO DE INSUMOS ODONTOLÓGICOS P1 PARA AS UNIDADES DE SAÚDE PARA O ATENDIMENTO BÁSICO AOS PRESOS</t>
  </si>
  <si>
    <t>FALTA DE MATERIAIS ODONTOLÓGICOS BÁSICOS</t>
  </si>
  <si>
    <t>AQUISIÇÃO DE MATERIAIS MÉDICO HOSPITALARES P1 PARA AS UNIDADES DE SAÚDE PARA O ATENDIMENTO BÁSICO AOS PRESOS</t>
  </si>
  <si>
    <t>FALTA DE MATERIAIS MÉDICO HOSPITALARES BÁSICOS</t>
  </si>
  <si>
    <t>MATERIAIS DE ESCRITÓRIO BASICOS (CURVA A)</t>
  </si>
  <si>
    <t>Encontra-se em tramitação um processo que visa a contratação de empresa especializada para a elaboração dos Planos de Gerenciamento de Resíduos Sólidos nas Unidades. Para a aplicação do referido PGRS será necessária algumas adequações nas unidades para atendimento a normas sanitárias.</t>
  </si>
  <si>
    <t>-Não atendimento de normais municipais para acondicionamento de resíduos; 
 -Proliferação incetos e roedores;</t>
  </si>
  <si>
    <t>-Atendimento à legislação vigente; 
 -Acondicionamneto correto dos resíduos, não gerando mau cheiro e proliferação de incetos nas unidades;</t>
  </si>
  <si>
    <t>Locação de caçambas para coleta de resíduos decorrentes de manutenções  nas unidades.</t>
  </si>
  <si>
    <t xml:space="preserve">- Acúmulo de lixo nas unidades; 
- Descarte incorreto dos resíduos. </t>
  </si>
  <si>
    <t>- Descarte do lixo produzido em manutenções nas unidades que não são coletados na prestação de reísiduo comum.</t>
  </si>
  <si>
    <t>AQUISIÇÃOP DE ITENS NECESSÁRIOS PARA A REALIZAÇÃO DE TELAMENTO NOS PÁTIOS DAS UNIDADES DA SEJUSP</t>
  </si>
  <si>
    <t>FRAGILIDADE NA SEGURANÇA DAS UNIDADES TENDO EM VISTA A POSSIBILIDADE DE ARREMESSO DE ILÍCITOS NOS PÁTIOS DAS UNIDADES</t>
  </si>
  <si>
    <t>Consolidação de termos de referência fundamentados em uma metodologia atualizada que contempla todos os custos envolvidos na prestação do serviço de alimentação às Unidades Prisionais e Socioeducativas, e que garante maior transparência dos valores aos atores envolvidos no processo.</t>
  </si>
  <si>
    <t>Manutenção de termos de referência fundamentados em uma metodologia obsoleta que pode não contemplar todos os custos tidos com a prestação do serviço de alimentação.</t>
  </si>
  <si>
    <t>Revisão e aprimoramento da metodologia utilizada para apuração de parâmetros de valores de referência e precificação do serviço de alimentação às Unidades Prisionais e Socioeducativas.</t>
  </si>
  <si>
    <t>Necessidade de reforma e adequação na cozinha da unidade</t>
  </si>
  <si>
    <t>Falta de infraestrutura adequada para as tarefas necessárias na cozinha</t>
  </si>
  <si>
    <t>Garantia da manutenção em unidade para o adequado cumprimento da pena.</t>
  </si>
  <si>
    <t xml:space="preserve"> A maioria das unidades socioeducativas necessitam de reforma geral, principalmente  intervenções na redes elétricas e hidrossanitarias. Necessidade de reforma e adequação na cozinha da unidade</t>
  </si>
  <si>
    <t>Escassez no fornecimento de água, aumento do gasto público e geração de riscos para segurança prisional. Falta de infraestrutura adequada para as tarefas necessárias na cozinha</t>
  </si>
  <si>
    <t>Adequado fornecimento de água potável e enegia elétrica,  redução do desperdício e economia aos cofres públicos. Garantia da manutenção em unidade socioeducativa para o adequado cumprimento da medida socioeducativa.</t>
  </si>
  <si>
    <t>Tutoria profissional na modalidade à distância para 35 cursos por ano (estimativa).</t>
  </si>
  <si>
    <t>* Dependência de tutores voluntários; *Tutoria realizada por pessoal não especializado; * Inadequação da quantidade de tutores para a quantidade de discentes.</t>
  </si>
  <si>
    <t>* Indepedência de tutores voluntários; * Tutoria realizada por pessoal especializado; * Adequação da quantidade de tutores para a quantidade de discentes.</t>
  </si>
  <si>
    <t xml:space="preserve">1.Atualmente, os setores existentes não têm capacidade suficiente para acomodar o número de servidores que frequentam a unidade durante as capacitações oferecidas pela Secretaria de Estado de Justiça e Segurança Pública (Sejusp). Além disso, a infraestrutura atual não consegue suprir adequadamente as necessidades de abastecimento de água quando o número de pessoas ultrapassa 100 pessoas resultando a falta d'água durante as atividades. 2. A ausência de uma intendência de material bélico, onde o transporte de grande quantidade de materiais e armamentos são executados duas vezes ao dia. </t>
  </si>
  <si>
    <t xml:space="preserve">1. Execução do treinamento continuado ao servidor; 2.Maior efetivo capacitado e treinando suas habilidades, conhecimentos,  de tomar decisões rápidas e precisas pautadas pela legalidade: 3. Formação de um profissional eficaz e comprometido com a segurança e o bem -estar da sociedade </t>
  </si>
  <si>
    <t xml:space="preserve">ATUALMENTE O CENÁRIO DAS POLÍTICAS PÚBLICAS REQUISITA ATUALIZAÇÃO E CAPACITAÇÃO CONSTANTE POR PARTE DE SEUS GESTORES E SERVIDORES DE MANEIRA A ATENDER SATISFATORIAMENTE OS OBJETIVOS COLOCADOS PELA ADMINISTRAÇÃO PÚBLICA. NESTA ESTEIRA, A COORDENAÇÃO DE PLANEJAMENTO PSICOPEDAGÓGICO INCENTIVA SEUS SERVIDORES A SE QUALIFICAREM E APERFEIÇOAREM CONTINUAMENTE, CONSIDERANDO TAMBÉM A IMPORTÂNCIA DO CONHECIMENTO PARA AS ESPECIFICIDADES DO TRABALHO DESENVOLVIDO NO SETOR. </t>
  </si>
  <si>
    <t xml:space="preserve">O BOLSA DE PÓS-GRADUAÇÃO INTEGRA UMA INICIATIVA DO PLANO DE DESENVOLVIMENTO DO SERVIDOR PÚBLICO, SENDO UMA INICIATIVA DO ESTADO PARA INCENTIVAR A QUALIFICAÇÃO DOS SERVIDORES. AO NÃO ADERIR A PROPOSTA DAS BOLSAS DE PÓS-GRADUAÇÃO SE AFASTA O FOMENTO AO CONHECIMENTO E, CONSEQUENTEMENTE SE DEIXA DE USUFRUIR DOS BENEFÍCIOS GERADOS PELO APERFEIÇOAMENTO E CAPACITAÇÃO. </t>
  </si>
  <si>
    <t xml:space="preserve">A QUALIFICAÇÃO E  APERFEIÇOAMENTO PROFISSIONAL NO ÂMBITO ESTATAL SÃO PERCEBIDOS COMO GANHOS DUPLICADOS, NOS QUAIS O PROFISSIONAL QUE SE QUALIFICA </t>
  </si>
  <si>
    <t>Projeção de manutenção de equipamentos existentes na van técnica</t>
  </si>
  <si>
    <t>O veículo não ter condições técnicas de operar na integralidade em virtude de equipamentos eletrônicos/informática sem a devida reposição e/ou manutenção.</t>
  </si>
  <si>
    <t>Equipar a van técnica de forma a mantê-la para pronto uso em todas suas funcionalidades, de forma segura para melhor realização das atividades de inteligência.</t>
  </si>
  <si>
    <t>Além do cenário limiar apresentado, estima-se atendimento de mais 160  (cento e sessenta) novas vagas nas APACs em IMPLANTAÇÃO.</t>
  </si>
  <si>
    <t>AQUISIÇÃO DE MATERIAIS MÉDICO HOSPITALARESPARA AS UNIDADES SOCIOEDUCATIVAS</t>
  </si>
  <si>
    <t xml:space="preserve">FALTA DE MATERIAIS MÉDICO HOSPITALARES BÁSICOS </t>
  </si>
  <si>
    <t xml:space="preserve">ATENDER A LEGISLAÇÃO E MANTER A SEGURANÇA NAS UNIDADES ALÉM DE GARANTIR A DIGNIDADE E  ASSISTÊNCIA MATERIAL BÁSICA </t>
  </si>
  <si>
    <t xml:space="preserve">AQUISIÇÃO DE MEDICAMENTOS  PARA AS UNIDADES DE SAÚDE PARA O ATENDIMENTO BÁSICO </t>
  </si>
  <si>
    <t xml:space="preserve">FALTA DE MEDICAMENTOS BÁSICOS </t>
  </si>
  <si>
    <t>PARECER DCMEFO</t>
  </si>
  <si>
    <t>DELIBERAÇÃO COFIN</t>
  </si>
  <si>
    <t xml:space="preserve">Locação de Máquinas e Equipamentos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</si>
</sst>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8" formatCode="&quot;R$&quot;\ #,##0.00;[Red]\-&quot;R$&quot;\ #,##0.00"/>
    <numFmt numFmtId="44" formatCode="_-&quot;R$&quot;\ * #,##0.00_-;\-&quot;R$&quot;\ * #,##0.00_-;_-&quot;R$&quot;\ * &quot;-&quot;??_-;_-@_-"/>
    <numFmt numFmtId="43" formatCode="_-* #,##0.00_-;\-* #,##0.00_-;_-* &quot;-&quot;??_-;_-@_-"/>
    <numFmt numFmtId="164" formatCode="_-&quot;R$&quot;\ * #,##0_-;\-&quot;R$&quot;\ * #,##0_-;_-&quot;R$&quot;\ * &quot;-&quot;??_-;_-@_-"/>
    <numFmt numFmtId="165" formatCode="_-* #,##0_-;\-* #,##0_-;_-* &quot;-&quot;??_-;_-@_-"/>
    <numFmt numFmtId="166" formatCode="_-[$R$-416]\ * #,##0.00_-;\-[$R$-416]\ * #,##0.00_-;_-[$R$-416]\ * &quot;-&quot;??_-;_-@_-"/>
    <numFmt numFmtId="167" formatCode="[$R$ -416]#,##0.00"/>
    <numFmt numFmtId="168" formatCode="_-[$R$-416]\ * #,##0.00_-;\-[$R$-416]\ * #,##0.00_-;_-[$R$-416]\ * &quot;-&quot;??_-;_-@"/>
    <numFmt numFmtId="169" formatCode="&quot;R$&quot;\ #,##0.00"/>
    <numFmt numFmtId="170" formatCode="_-[$R$-416]\ * #,##0.00_-;\-[$R$-416]\ * #,##0.00_-;_-[$R$-416]\ * \-??_-;_-@_-"/>
    <numFmt numFmtId="171" formatCode="&quot;R$&quot;#,##0.00"/>
  </numFmts>
  <fonts count="54" x14ac:knownFonts="1">
    <font>
      <sz val="11"/>
      <color theme="1"/>
      <name val="Calibri"/>
      <family val="2"/>
      <scheme val="minor"/>
    </font>
    <font>
      <sz val="11"/>
      <color theme="1"/>
      <name val="Calibri"/>
      <family val="2"/>
      <scheme val="minor"/>
    </font>
    <font>
      <b/>
      <sz val="11"/>
      <color theme="1"/>
      <name val="Calibri"/>
      <family val="2"/>
      <scheme val="minor"/>
    </font>
    <font>
      <sz val="10"/>
      <name val="Calibri"/>
      <family val="2"/>
      <scheme val="minor"/>
    </font>
    <font>
      <b/>
      <sz val="8"/>
      <color rgb="FFFFFFFF"/>
      <name val="Arial"/>
      <family val="2"/>
    </font>
    <font>
      <sz val="10"/>
      <name val="Arial"/>
      <family val="2"/>
    </font>
    <font>
      <sz val="10"/>
      <color rgb="FF000000"/>
      <name val="Calibri"/>
      <family val="2"/>
      <scheme val="minor"/>
    </font>
    <font>
      <sz val="8"/>
      <name val="Calibri"/>
      <family val="2"/>
      <scheme val="minor"/>
    </font>
    <font>
      <sz val="9"/>
      <color indexed="81"/>
      <name val="Segoe UI"/>
      <family val="2"/>
    </font>
    <font>
      <b/>
      <sz val="9"/>
      <color indexed="81"/>
      <name val="Segoe UI"/>
      <family val="2"/>
    </font>
    <font>
      <u/>
      <sz val="9"/>
      <color indexed="81"/>
      <name val="Segoe UI"/>
      <family val="2"/>
    </font>
    <font>
      <sz val="9"/>
      <color theme="1"/>
      <name val="Calibri"/>
      <family val="2"/>
      <scheme val="minor"/>
    </font>
    <font>
      <sz val="9"/>
      <color rgb="FF000000"/>
      <name val="Arial"/>
      <family val="2"/>
    </font>
    <font>
      <sz val="7"/>
      <color theme="1"/>
      <name val="Calibri"/>
      <family val="2"/>
      <scheme val="minor"/>
    </font>
    <font>
      <sz val="7"/>
      <name val="Calibri"/>
      <family val="2"/>
      <scheme val="minor"/>
    </font>
    <font>
      <b/>
      <sz val="8"/>
      <color theme="0"/>
      <name val="Calibri"/>
      <family val="2"/>
      <scheme val="minor"/>
    </font>
    <font>
      <b/>
      <sz val="11"/>
      <color theme="0"/>
      <name val="Calibri"/>
      <family val="2"/>
      <scheme val="minor"/>
    </font>
    <font>
      <b/>
      <sz val="11"/>
      <color rgb="FFFF0000"/>
      <name val="Calibri"/>
      <family val="2"/>
      <scheme val="minor"/>
    </font>
    <font>
      <b/>
      <u/>
      <sz val="9"/>
      <color indexed="81"/>
      <name val="Segoe UI"/>
      <family val="2"/>
    </font>
    <font>
      <b/>
      <sz val="26"/>
      <color theme="1"/>
      <name val="Calibri"/>
      <family val="2"/>
      <scheme val="minor"/>
    </font>
    <font>
      <b/>
      <u/>
      <sz val="20"/>
      <color theme="1"/>
      <name val="Calibri"/>
      <family val="2"/>
      <scheme val="minor"/>
    </font>
    <font>
      <sz val="18"/>
      <color theme="1"/>
      <name val="Calibri"/>
      <family val="2"/>
      <scheme val="minor"/>
    </font>
    <font>
      <u/>
      <sz val="11"/>
      <color theme="10"/>
      <name val="Calibri"/>
      <family val="2"/>
      <scheme val="minor"/>
    </font>
    <font>
      <sz val="18"/>
      <color theme="10"/>
      <name val="Calibri"/>
      <family val="2"/>
      <scheme val="minor"/>
    </font>
    <font>
      <b/>
      <u/>
      <sz val="11"/>
      <color rgb="FF0070C0"/>
      <name val="Calibri"/>
      <family val="2"/>
      <scheme val="minor"/>
    </font>
    <font>
      <b/>
      <sz val="18"/>
      <color theme="1"/>
      <name val="Calibri"/>
      <family val="2"/>
      <scheme val="minor"/>
    </font>
    <font>
      <b/>
      <u/>
      <sz val="11"/>
      <color theme="1"/>
      <name val="Calibri"/>
      <family val="2"/>
      <scheme val="minor"/>
    </font>
    <font>
      <sz val="12"/>
      <color rgb="FF000000"/>
      <name val="Calibri Light"/>
      <family val="2"/>
      <scheme val="major"/>
    </font>
    <font>
      <b/>
      <sz val="12"/>
      <color rgb="FF000000"/>
      <name val="Calibri Light"/>
      <family val="2"/>
      <scheme val="major"/>
    </font>
    <font>
      <b/>
      <u/>
      <sz val="11"/>
      <color theme="10"/>
      <name val="Calibri"/>
      <family val="2"/>
      <scheme val="minor"/>
    </font>
    <font>
      <b/>
      <sz val="24"/>
      <color theme="1"/>
      <name val="Calibri"/>
      <family val="2"/>
      <scheme val="minor"/>
    </font>
    <font>
      <b/>
      <sz val="20"/>
      <color theme="1"/>
      <name val="Calibri"/>
      <family val="2"/>
      <scheme val="minor"/>
    </font>
    <font>
      <sz val="11"/>
      <color theme="1"/>
      <name val="Calibri"/>
      <family val="2"/>
    </font>
    <font>
      <sz val="11"/>
      <color rgb="FF000000"/>
      <name val="Calibri"/>
      <family val="2"/>
    </font>
    <font>
      <sz val="11"/>
      <color theme="1"/>
      <name val="Calibri"/>
      <family val="2"/>
    </font>
    <font>
      <sz val="8"/>
      <color theme="1"/>
      <name val="Calibri"/>
      <family val="2"/>
      <scheme val="minor"/>
    </font>
    <font>
      <sz val="11"/>
      <color rgb="FF000000"/>
      <name val="Calibri"/>
      <family val="2"/>
      <scheme val="minor"/>
    </font>
    <font>
      <sz val="11"/>
      <name val="Calibri"/>
      <family val="2"/>
      <scheme val="minor"/>
    </font>
    <font>
      <sz val="11"/>
      <name val="Calibri"/>
      <family val="2"/>
    </font>
    <font>
      <sz val="11"/>
      <color rgb="FF000000"/>
      <name val="Calibri"/>
      <family val="2"/>
    </font>
    <font>
      <b/>
      <sz val="11"/>
      <color rgb="FF000000"/>
      <name val="Calibri"/>
      <family val="2"/>
    </font>
    <font>
      <sz val="8"/>
      <color rgb="FF000000"/>
      <name val="Calibri"/>
      <family val="2"/>
      <scheme val="minor"/>
    </font>
    <font>
      <sz val="6"/>
      <color theme="1"/>
      <name val="Calibri"/>
      <family val="2"/>
      <scheme val="minor"/>
    </font>
    <font>
      <sz val="9"/>
      <color theme="1"/>
      <name val="Arial"/>
      <family val="2"/>
    </font>
    <font>
      <sz val="11"/>
      <color theme="1"/>
      <name val="Calibri"/>
      <family val="2"/>
      <charset val="1"/>
    </font>
    <font>
      <sz val="11"/>
      <name val="Calibri"/>
      <family val="2"/>
      <charset val="1"/>
    </font>
    <font>
      <sz val="11"/>
      <color rgb="FF434343"/>
      <name val="Calibri"/>
      <family val="2"/>
    </font>
    <font>
      <sz val="11"/>
      <color rgb="FF666666"/>
      <name val="Calibri"/>
      <family val="2"/>
    </font>
    <font>
      <sz val="11"/>
      <color rgb="FF000000"/>
      <name val="Calibri"/>
      <family val="2"/>
      <scheme val="minor"/>
    </font>
    <font>
      <sz val="12"/>
      <color rgb="FF000000"/>
      <name val="Calibri"/>
      <family val="2"/>
      <scheme val="minor"/>
    </font>
    <font>
      <sz val="5"/>
      <color theme="1"/>
      <name val="Calibri"/>
      <family val="2"/>
      <scheme val="minor"/>
    </font>
    <font>
      <b/>
      <sz val="11"/>
      <color theme="1"/>
      <name val="Calibri"/>
      <family val="2"/>
    </font>
    <font>
      <sz val="12"/>
      <color rgb="FF374151"/>
      <name val="Calibri"/>
      <family val="2"/>
      <scheme val="minor"/>
    </font>
    <font>
      <sz val="12"/>
      <color rgb="FF343541"/>
      <name val="Calibri"/>
      <family val="2"/>
      <scheme val="minor"/>
    </font>
  </fonts>
  <fills count="29">
    <fill>
      <patternFill patternType="none"/>
    </fill>
    <fill>
      <patternFill patternType="gray125"/>
    </fill>
    <fill>
      <patternFill patternType="solid">
        <fgColor theme="7" tint="0.39997558519241921"/>
        <bgColor indexed="64"/>
      </patternFill>
    </fill>
    <fill>
      <patternFill patternType="solid">
        <fgColor rgb="FF003366"/>
        <bgColor rgb="FF003366"/>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rgb="FFC00000"/>
        <bgColor indexed="64"/>
      </patternFill>
    </fill>
    <fill>
      <patternFill patternType="solid">
        <fgColor theme="5"/>
        <bgColor indexed="64"/>
      </patternFill>
    </fill>
    <fill>
      <patternFill patternType="solid">
        <fgColor rgb="FFFFFFFF"/>
        <bgColor rgb="FFFFFFFF"/>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D9E1F2"/>
        <bgColor indexed="64"/>
      </patternFill>
    </fill>
    <fill>
      <patternFill patternType="solid">
        <fgColor rgb="FFFFC000"/>
        <bgColor indexed="64"/>
      </patternFill>
    </fill>
    <fill>
      <patternFill patternType="solid">
        <fgColor rgb="FFFFFFFF"/>
        <bgColor indexed="64"/>
      </patternFill>
    </fill>
    <fill>
      <patternFill patternType="solid">
        <fgColor rgb="FFFF0000"/>
        <bgColor indexed="64"/>
      </patternFill>
    </fill>
    <fill>
      <patternFill patternType="solid">
        <fgColor theme="2"/>
        <bgColor indexed="64"/>
      </patternFill>
    </fill>
    <fill>
      <patternFill patternType="solid">
        <fgColor theme="9" tint="-0.249977111117893"/>
        <bgColor indexed="64"/>
      </patternFill>
    </fill>
    <fill>
      <patternFill patternType="solid">
        <fgColor rgb="FFF2F2F2"/>
        <bgColor rgb="FFF2F2F2"/>
      </patternFill>
    </fill>
    <fill>
      <patternFill patternType="solid">
        <fgColor theme="0"/>
        <bgColor theme="0"/>
      </patternFill>
    </fill>
    <fill>
      <patternFill patternType="solid">
        <fgColor theme="0"/>
        <bgColor rgb="FFF2F2F2"/>
      </patternFill>
    </fill>
    <fill>
      <patternFill patternType="solid">
        <fgColor rgb="FFF2F2F2"/>
        <bgColor rgb="FFE7E6E6"/>
      </patternFill>
    </fill>
    <fill>
      <patternFill patternType="solid">
        <fgColor rgb="FFFFFF00"/>
        <bgColor indexed="64"/>
      </patternFill>
    </fill>
    <fill>
      <patternFill patternType="solid">
        <fgColor rgb="FFF2F2F2"/>
        <bgColor rgb="FF000000"/>
      </patternFill>
    </fill>
    <fill>
      <patternFill patternType="solid">
        <fgColor theme="0"/>
        <bgColor rgb="FF000000"/>
      </patternFill>
    </fill>
    <fill>
      <patternFill patternType="solid">
        <fgColor theme="6" tint="0.79998168889431442"/>
        <bgColor rgb="FFF2F2F2"/>
      </patternFill>
    </fill>
    <fill>
      <patternFill patternType="solid">
        <fgColor rgb="FFD9E1F2"/>
        <bgColor rgb="FF000000"/>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
      <left/>
      <right/>
      <top/>
      <bottom style="medium">
        <color indexed="64"/>
      </bottom>
      <diagonal/>
    </border>
    <border>
      <left/>
      <right/>
      <top/>
      <bottom style="medium">
        <color theme="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s>
  <cellStyleXfs count="9">
    <xf numFmtId="0" fontId="0" fillId="0" borderId="0"/>
    <xf numFmtId="44" fontId="1" fillId="0" borderId="0" applyFont="0" applyFill="0" applyBorder="0" applyAlignment="0" applyProtection="0"/>
    <xf numFmtId="0" fontId="5" fillId="0" borderId="0"/>
    <xf numFmtId="0" fontId="2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58">
    <xf numFmtId="0" fontId="0" fillId="0" borderId="0" xfId="0"/>
    <xf numFmtId="0" fontId="3" fillId="0" borderId="0" xfId="0" applyFont="1"/>
    <xf numFmtId="0" fontId="0" fillId="0" borderId="0" xfId="0"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4" fillId="3" borderId="0" xfId="0" applyFont="1" applyFill="1" applyAlignment="1">
      <alignment horizontal="center" vertical="center" wrapText="1"/>
    </xf>
    <xf numFmtId="0" fontId="0" fillId="0" borderId="0" xfId="0" applyAlignment="1">
      <alignment horizontal="center" vertical="center" wrapText="1"/>
    </xf>
    <xf numFmtId="0" fontId="2" fillId="5" borderId="0" xfId="0" applyFont="1" applyFill="1" applyAlignment="1">
      <alignment horizontal="center" vertical="center" wrapText="1"/>
    </xf>
    <xf numFmtId="0" fontId="6" fillId="0" borderId="0" xfId="2" applyFont="1" applyAlignment="1">
      <alignment horizontal="center"/>
    </xf>
    <xf numFmtId="0" fontId="6" fillId="0" borderId="0" xfId="2" applyFont="1" applyAlignment="1">
      <alignment horizontal="left"/>
    </xf>
    <xf numFmtId="0" fontId="0" fillId="10" borderId="0" xfId="0" applyFill="1" applyAlignment="1">
      <alignment horizontal="center"/>
    </xf>
    <xf numFmtId="0" fontId="2" fillId="4"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0" borderId="0" xfId="0" applyFont="1" applyAlignment="1">
      <alignment horizontal="center" vertical="center" wrapText="1"/>
    </xf>
    <xf numFmtId="0" fontId="11" fillId="8" borderId="0" xfId="0" applyFont="1" applyFill="1"/>
    <xf numFmtId="0" fontId="11" fillId="10" borderId="0" xfId="0" applyFont="1" applyFill="1"/>
    <xf numFmtId="0" fontId="12" fillId="9" borderId="0" xfId="0" applyFont="1" applyFill="1" applyAlignment="1">
      <alignment horizontal="left" vertical="top"/>
    </xf>
    <xf numFmtId="0" fontId="11" fillId="0" borderId="0" xfId="0" applyFont="1"/>
    <xf numFmtId="0" fontId="13" fillId="2" borderId="0" xfId="0" applyFont="1" applyFill="1"/>
    <xf numFmtId="0" fontId="0" fillId="11" borderId="0" xfId="0" applyFill="1" applyAlignment="1">
      <alignment horizontal="center" vertical="center" wrapText="1"/>
    </xf>
    <xf numFmtId="0" fontId="0" fillId="11" borderId="1" xfId="0" applyFill="1" applyBorder="1" applyAlignment="1">
      <alignment horizontal="center" vertical="center" wrapText="1"/>
    </xf>
    <xf numFmtId="164" fontId="0" fillId="11" borderId="1" xfId="1" applyNumberFormat="1" applyFont="1" applyFill="1" applyBorder="1" applyAlignment="1">
      <alignment horizontal="center" vertical="center" wrapText="1"/>
    </xf>
    <xf numFmtId="0" fontId="0" fillId="11" borderId="2" xfId="0" applyFill="1" applyBorder="1" applyAlignment="1">
      <alignment horizontal="center" vertical="center" wrapText="1"/>
    </xf>
    <xf numFmtId="44" fontId="0"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44" fontId="0" fillId="12" borderId="1" xfId="1" applyFont="1" applyFill="1" applyBorder="1" applyAlignment="1">
      <alignment horizontal="center" vertical="center" wrapText="1"/>
    </xf>
    <xf numFmtId="0" fontId="0" fillId="12" borderId="2" xfId="0" applyFill="1" applyBorder="1" applyAlignment="1">
      <alignment horizontal="center" vertical="center" wrapText="1"/>
    </xf>
    <xf numFmtId="164" fontId="0" fillId="12" borderId="1" xfId="1" applyNumberFormat="1" applyFont="1" applyFill="1" applyBorder="1" applyAlignment="1">
      <alignment horizontal="center" vertical="center" wrapText="1"/>
    </xf>
    <xf numFmtId="0" fontId="0" fillId="13" borderId="1" xfId="0" applyFill="1" applyBorder="1" applyAlignment="1">
      <alignment horizontal="center" vertical="center" wrapText="1"/>
    </xf>
    <xf numFmtId="44" fontId="0" fillId="13" borderId="1" xfId="1" applyFont="1" applyFill="1" applyBorder="1" applyAlignment="1">
      <alignment horizontal="center" vertical="center" wrapText="1"/>
    </xf>
    <xf numFmtId="0" fontId="0" fillId="13" borderId="2" xfId="0" applyFill="1" applyBorder="1" applyAlignment="1">
      <alignment horizontal="center" vertical="center" wrapText="1"/>
    </xf>
    <xf numFmtId="164" fontId="0" fillId="13" borderId="1" xfId="1"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6" fillId="7" borderId="0" xfId="0" applyFont="1" applyFill="1" applyAlignment="1">
      <alignment horizontal="center" vertical="center" wrapText="1"/>
    </xf>
    <xf numFmtId="44" fontId="17" fillId="13" borderId="1" xfId="1" applyFont="1" applyFill="1" applyBorder="1" applyAlignment="1">
      <alignment horizontal="center" vertical="center" wrapText="1"/>
    </xf>
    <xf numFmtId="0" fontId="17" fillId="13" borderId="2" xfId="0" applyFont="1" applyFill="1" applyBorder="1" applyAlignment="1">
      <alignment horizontal="center" vertical="center" wrapText="1"/>
    </xf>
    <xf numFmtId="164" fontId="17" fillId="13" borderId="1" xfId="1" applyNumberFormat="1" applyFont="1" applyFill="1" applyBorder="1" applyAlignment="1">
      <alignment horizontal="center" vertical="center" wrapText="1"/>
    </xf>
    <xf numFmtId="0" fontId="17" fillId="11" borderId="0" xfId="0" applyFont="1" applyFill="1" applyAlignment="1">
      <alignment horizontal="center" vertical="center" wrapText="1"/>
    </xf>
    <xf numFmtId="0" fontId="14" fillId="6" borderId="0" xfId="0" applyFont="1" applyFill="1"/>
    <xf numFmtId="0" fontId="13" fillId="6" borderId="0" xfId="0" applyFont="1" applyFill="1"/>
    <xf numFmtId="0" fontId="0" fillId="10" borderId="1" xfId="0" applyFill="1" applyBorder="1" applyAlignment="1">
      <alignment horizontal="center" vertical="center" wrapText="1"/>
    </xf>
    <xf numFmtId="0" fontId="17" fillId="10" borderId="1" xfId="0" applyFont="1" applyFill="1" applyBorder="1" applyAlignment="1">
      <alignment horizontal="center" vertical="center" wrapText="1"/>
    </xf>
    <xf numFmtId="0" fontId="0" fillId="10" borderId="0" xfId="0" applyFill="1" applyAlignment="1">
      <alignment horizontal="center" vertical="center" wrapText="1"/>
    </xf>
    <xf numFmtId="0" fontId="24" fillId="14" borderId="0" xfId="3" applyFont="1" applyFill="1" applyAlignment="1">
      <alignment horizontal="center" vertical="center" wrapText="1"/>
    </xf>
    <xf numFmtId="0" fontId="0" fillId="14" borderId="0" xfId="0" applyFill="1"/>
    <xf numFmtId="0" fontId="20" fillId="14" borderId="0" xfId="0" applyFont="1" applyFill="1"/>
    <xf numFmtId="0" fontId="23" fillId="14" borderId="3" xfId="3" applyFont="1" applyFill="1" applyBorder="1" applyAlignment="1">
      <alignment horizontal="center"/>
    </xf>
    <xf numFmtId="0" fontId="21" fillId="14" borderId="0" xfId="0" applyFont="1" applyFill="1" applyAlignment="1">
      <alignment horizontal="center"/>
    </xf>
    <xf numFmtId="0" fontId="25" fillId="14" borderId="5" xfId="3" applyFont="1" applyFill="1" applyBorder="1" applyAlignment="1">
      <alignment horizontal="center"/>
    </xf>
    <xf numFmtId="0" fontId="19" fillId="10" borderId="0" xfId="0" applyFont="1" applyFill="1" applyAlignment="1">
      <alignment horizontal="center" vertical="center" wrapText="1"/>
    </xf>
    <xf numFmtId="0" fontId="0" fillId="11" borderId="1" xfId="0" applyFill="1" applyBorder="1" applyAlignment="1" applyProtection="1">
      <alignment horizontal="center" vertical="center" wrapText="1"/>
      <protection locked="0"/>
    </xf>
    <xf numFmtId="0" fontId="0" fillId="11" borderId="2" xfId="0"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11" borderId="0" xfId="0" applyFill="1" applyAlignment="1" applyProtection="1">
      <alignment horizontal="center" vertical="center" wrapText="1"/>
      <protection locked="0"/>
    </xf>
    <xf numFmtId="0" fontId="0" fillId="10" borderId="0" xfId="0" applyFill="1" applyAlignment="1" applyProtection="1">
      <alignment horizontal="center" vertical="center" wrapText="1"/>
      <protection locked="0"/>
    </xf>
    <xf numFmtId="0" fontId="24" fillId="14" borderId="0" xfId="3" applyFont="1" applyFill="1" applyAlignment="1" applyProtection="1">
      <alignment horizontal="center" vertical="center" wrapText="1"/>
      <protection locked="0"/>
    </xf>
    <xf numFmtId="164" fontId="0" fillId="11" borderId="1" xfId="1" applyNumberFormat="1" applyFont="1" applyFill="1" applyBorder="1" applyAlignment="1" applyProtection="1">
      <alignment horizontal="center" vertical="center" wrapText="1"/>
    </xf>
    <xf numFmtId="0" fontId="13" fillId="15" borderId="0" xfId="0" applyFont="1" applyFill="1"/>
    <xf numFmtId="0" fontId="14" fillId="15" borderId="0" xfId="0" applyFont="1" applyFill="1"/>
    <xf numFmtId="0" fontId="2" fillId="0" borderId="0" xfId="0" applyFont="1" applyAlignment="1">
      <alignment horizontal="right"/>
    </xf>
    <xf numFmtId="0" fontId="0" fillId="0" borderId="0" xfId="0" applyAlignment="1">
      <alignment vertical="top" wrapText="1"/>
    </xf>
    <xf numFmtId="0" fontId="27" fillId="16" borderId="10" xfId="0" applyFont="1" applyFill="1" applyBorder="1" applyAlignment="1">
      <alignment horizontal="right" vertical="center" wrapText="1"/>
    </xf>
    <xf numFmtId="0" fontId="27" fillId="16" borderId="11" xfId="0" applyFont="1" applyFill="1" applyBorder="1" applyAlignment="1">
      <alignment horizontal="right" vertical="center" wrapText="1"/>
    </xf>
    <xf numFmtId="0" fontId="27" fillId="16" borderId="12" xfId="0" applyFont="1" applyFill="1" applyBorder="1" applyAlignment="1">
      <alignment horizontal="left" vertical="center" wrapText="1"/>
    </xf>
    <xf numFmtId="0" fontId="27" fillId="16" borderId="24" xfId="0" applyFont="1" applyFill="1" applyBorder="1" applyAlignment="1">
      <alignment horizontal="right" vertical="center" wrapText="1"/>
    </xf>
    <xf numFmtId="0" fontId="27" fillId="16" borderId="25" xfId="0" applyFont="1" applyFill="1" applyBorder="1" applyAlignment="1">
      <alignment horizontal="right" vertical="center" wrapText="1"/>
    </xf>
    <xf numFmtId="0" fontId="27" fillId="16" borderId="25" xfId="0" applyFont="1" applyFill="1" applyBorder="1" applyAlignment="1">
      <alignment horizontal="left" vertical="center" wrapText="1"/>
    </xf>
    <xf numFmtId="165" fontId="27" fillId="16" borderId="24" xfId="4" applyNumberFormat="1" applyFont="1" applyFill="1" applyBorder="1" applyAlignment="1">
      <alignment horizontal="right" vertical="center" wrapText="1"/>
    </xf>
    <xf numFmtId="165" fontId="27" fillId="16" borderId="25" xfId="4" applyNumberFormat="1" applyFont="1" applyFill="1" applyBorder="1" applyAlignment="1">
      <alignment horizontal="right" vertical="center" wrapText="1"/>
    </xf>
    <xf numFmtId="0" fontId="27" fillId="16" borderId="25" xfId="0" applyFont="1" applyFill="1" applyBorder="1" applyAlignment="1">
      <alignment horizontal="left" vertical="top" wrapText="1"/>
    </xf>
    <xf numFmtId="0" fontId="27" fillId="16" borderId="26" xfId="0" applyFont="1" applyFill="1" applyBorder="1" applyAlignment="1">
      <alignment horizontal="right" vertical="center" wrapText="1"/>
    </xf>
    <xf numFmtId="0" fontId="27" fillId="16" borderId="26" xfId="0" applyFont="1" applyFill="1" applyBorder="1" applyAlignment="1">
      <alignment horizontal="left" vertical="center" wrapText="1"/>
    </xf>
    <xf numFmtId="165" fontId="27" fillId="16" borderId="10" xfId="4" applyNumberFormat="1" applyFont="1" applyFill="1" applyBorder="1" applyAlignment="1">
      <alignment horizontal="right" vertical="center" wrapText="1"/>
    </xf>
    <xf numFmtId="165" fontId="27" fillId="16" borderId="26" xfId="4" applyNumberFormat="1" applyFont="1" applyFill="1" applyBorder="1" applyAlignment="1">
      <alignment horizontal="right" vertical="center" wrapText="1"/>
    </xf>
    <xf numFmtId="0" fontId="27" fillId="16" borderId="26" xfId="0" applyFont="1" applyFill="1" applyBorder="1" applyAlignment="1">
      <alignment horizontal="left" vertical="top" wrapText="1"/>
    </xf>
    <xf numFmtId="0" fontId="28" fillId="16" borderId="10" xfId="0" applyFont="1" applyFill="1" applyBorder="1" applyAlignment="1">
      <alignment horizontal="center" vertical="center" wrapText="1"/>
    </xf>
    <xf numFmtId="0" fontId="28" fillId="16" borderId="26" xfId="0" applyFont="1" applyFill="1" applyBorder="1" applyAlignment="1">
      <alignment horizontal="center" vertical="center" wrapText="1"/>
    </xf>
    <xf numFmtId="0" fontId="26" fillId="0" borderId="0" xfId="0" applyFont="1" applyAlignment="1">
      <alignment vertical="center" wrapText="1"/>
    </xf>
    <xf numFmtId="0" fontId="2" fillId="6" borderId="1" xfId="0" applyFont="1"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0" fillId="11" borderId="30" xfId="0" applyFill="1" applyBorder="1" applyAlignment="1" applyProtection="1">
      <alignment horizontal="center" vertical="center" wrapText="1"/>
      <protection locked="0"/>
    </xf>
    <xf numFmtId="2" fontId="0" fillId="11" borderId="1" xfId="0" applyNumberFormat="1" applyFill="1" applyBorder="1" applyAlignment="1" applyProtection="1">
      <alignment horizontal="center" vertical="center" wrapText="1"/>
      <protection locked="0"/>
    </xf>
    <xf numFmtId="166" fontId="0" fillId="11" borderId="1" xfId="0" applyNumberFormat="1" applyFill="1" applyBorder="1" applyAlignment="1" applyProtection="1">
      <alignment horizontal="center" vertical="center" wrapText="1"/>
      <protection locked="0"/>
    </xf>
    <xf numFmtId="166" fontId="0" fillId="0" borderId="0" xfId="0" applyNumberFormat="1" applyAlignment="1" applyProtection="1">
      <alignment horizontal="center" vertical="center" wrapText="1"/>
      <protection locked="0"/>
    </xf>
    <xf numFmtId="0" fontId="13" fillId="17" borderId="0" xfId="0" applyFont="1" applyFill="1"/>
    <xf numFmtId="0" fontId="30" fillId="10" borderId="0" xfId="0" applyFont="1" applyFill="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wrapText="1"/>
    </xf>
    <xf numFmtId="44" fontId="0" fillId="0" borderId="1" xfId="1" applyFont="1" applyFill="1" applyBorder="1" applyAlignment="1">
      <alignment horizontal="center" vertical="center" wrapText="1"/>
    </xf>
    <xf numFmtId="0" fontId="0" fillId="0" borderId="2" xfId="0" applyBorder="1" applyAlignment="1">
      <alignment horizontal="center" vertical="center" wrapText="1"/>
    </xf>
    <xf numFmtId="164" fontId="0" fillId="18" borderId="1" xfId="1" applyNumberFormat="1" applyFont="1" applyFill="1" applyBorder="1" applyAlignment="1">
      <alignment horizontal="center" vertical="center" wrapText="1"/>
    </xf>
    <xf numFmtId="0" fontId="2" fillId="0" borderId="0" xfId="0" applyFont="1"/>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11" borderId="6" xfId="0" applyFill="1" applyBorder="1" applyAlignment="1" applyProtection="1">
      <alignment horizontal="center" vertical="center" wrapText="1"/>
      <protection locked="0"/>
    </xf>
    <xf numFmtId="0" fontId="2" fillId="19" borderId="1" xfId="0" applyFont="1" applyFill="1" applyBorder="1" applyAlignment="1">
      <alignment horizontal="center" vertical="center" wrapText="1"/>
    </xf>
    <xf numFmtId="0" fontId="0" fillId="10" borderId="30" xfId="0" applyFill="1" applyBorder="1" applyAlignment="1" applyProtection="1">
      <alignment horizontal="center" vertical="center" wrapText="1"/>
      <protection locked="0"/>
    </xf>
    <xf numFmtId="0" fontId="33" fillId="9" borderId="30" xfId="0" applyFont="1" applyFill="1" applyBorder="1" applyAlignment="1" applyProtection="1">
      <alignment horizontal="center" vertical="center" wrapText="1"/>
      <protection locked="0"/>
    </xf>
    <xf numFmtId="0" fontId="34" fillId="20" borderId="30" xfId="0" applyFont="1" applyFill="1" applyBorder="1" applyAlignment="1" applyProtection="1">
      <alignment horizontal="center" vertical="center" wrapText="1"/>
      <protection locked="0"/>
    </xf>
    <xf numFmtId="0" fontId="34" fillId="20" borderId="1" xfId="0" applyFont="1" applyFill="1" applyBorder="1" applyAlignment="1" applyProtection="1">
      <alignment horizontal="center" vertical="center" wrapText="1"/>
      <protection locked="0"/>
    </xf>
    <xf numFmtId="0" fontId="34" fillId="20" borderId="32" xfId="0" applyFont="1" applyFill="1" applyBorder="1" applyAlignment="1" applyProtection="1">
      <alignment horizontal="center" vertical="center" wrapText="1"/>
      <protection locked="0"/>
    </xf>
    <xf numFmtId="0" fontId="0" fillId="11" borderId="32" xfId="0" applyFill="1" applyBorder="1" applyAlignment="1" applyProtection="1">
      <alignment horizontal="center" vertical="center" wrapText="1"/>
      <protection locked="0"/>
    </xf>
    <xf numFmtId="0" fontId="33" fillId="9" borderId="32" xfId="0" applyFont="1" applyFill="1" applyBorder="1" applyAlignment="1" applyProtection="1">
      <alignment horizontal="center" vertical="center" wrapText="1"/>
      <protection locked="0"/>
    </xf>
    <xf numFmtId="0" fontId="32" fillId="21" borderId="32" xfId="0" applyFont="1" applyFill="1" applyBorder="1" applyAlignment="1" applyProtection="1">
      <alignment horizontal="center" vertical="center" wrapText="1"/>
      <protection locked="0"/>
    </xf>
    <xf numFmtId="0" fontId="32" fillId="21" borderId="33" xfId="0" applyFont="1" applyFill="1" applyBorder="1" applyAlignment="1" applyProtection="1">
      <alignment horizontal="center" vertical="center" wrapText="1"/>
      <protection locked="0"/>
    </xf>
    <xf numFmtId="0" fontId="34" fillId="20" borderId="33" xfId="0" applyFont="1" applyFill="1" applyBorder="1" applyAlignment="1" applyProtection="1">
      <alignment horizontal="center" vertical="center" wrapText="1"/>
      <protection locked="0"/>
    </xf>
    <xf numFmtId="0" fontId="33" fillId="9" borderId="33" xfId="0" applyFont="1" applyFill="1" applyBorder="1" applyAlignment="1" applyProtection="1">
      <alignment horizontal="center" vertical="center" wrapText="1"/>
      <protection locked="0"/>
    </xf>
    <xf numFmtId="0" fontId="34" fillId="22" borderId="1" xfId="0" applyFont="1" applyFill="1" applyBorder="1" applyAlignment="1" applyProtection="1">
      <alignment horizontal="center" vertical="center" wrapText="1"/>
      <protection locked="0"/>
    </xf>
    <xf numFmtId="0" fontId="32" fillId="21" borderId="1" xfId="0" applyFont="1" applyFill="1" applyBorder="1" applyAlignment="1" applyProtection="1">
      <alignment horizontal="center" vertical="center" wrapText="1"/>
      <protection locked="0"/>
    </xf>
    <xf numFmtId="0" fontId="0" fillId="23" borderId="1" xfId="0" applyFill="1" applyBorder="1" applyAlignment="1" applyProtection="1">
      <alignment horizontal="center" vertical="center" wrapText="1"/>
      <protection locked="0"/>
    </xf>
    <xf numFmtId="0" fontId="33" fillId="23" borderId="1" xfId="0" applyFont="1" applyFill="1" applyBorder="1" applyAlignment="1" applyProtection="1">
      <alignment horizontal="center" vertical="center" wrapText="1"/>
      <protection locked="0"/>
    </xf>
    <xf numFmtId="0" fontId="0" fillId="10" borderId="1" xfId="0" applyFill="1" applyBorder="1" applyAlignment="1" applyProtection="1">
      <alignment horizontal="center" vertical="center" wrapText="1"/>
      <protection locked="0"/>
    </xf>
    <xf numFmtId="0" fontId="33" fillId="23" borderId="32" xfId="0" applyFont="1" applyFill="1" applyBorder="1" applyAlignment="1" applyProtection="1">
      <alignment horizontal="center" vertical="center" wrapText="1"/>
      <protection locked="0"/>
    </xf>
    <xf numFmtId="0" fontId="33" fillId="9" borderId="34" xfId="0" applyFont="1" applyFill="1" applyBorder="1" applyAlignment="1" applyProtection="1">
      <alignment horizontal="center" vertical="center" wrapText="1"/>
      <protection locked="0"/>
    </xf>
    <xf numFmtId="0" fontId="0" fillId="11" borderId="34" xfId="0" applyFill="1" applyBorder="1" applyAlignment="1" applyProtection="1">
      <alignment horizontal="center" vertical="center" wrapText="1"/>
      <protection locked="0"/>
    </xf>
    <xf numFmtId="0" fontId="32" fillId="20" borderId="32" xfId="0" applyFont="1" applyFill="1" applyBorder="1" applyAlignment="1" applyProtection="1">
      <alignment horizontal="center" vertical="center" wrapText="1"/>
      <protection locked="0"/>
    </xf>
    <xf numFmtId="0" fontId="32" fillId="20" borderId="1" xfId="0" applyFont="1" applyFill="1" applyBorder="1" applyAlignment="1" applyProtection="1">
      <alignment horizontal="center" vertical="center" wrapText="1"/>
      <protection locked="0"/>
    </xf>
    <xf numFmtId="0" fontId="33" fillId="9" borderId="1" xfId="0" applyFont="1" applyFill="1" applyBorder="1" applyAlignment="1" applyProtection="1">
      <alignment horizontal="center" vertical="center" wrapText="1"/>
      <protection locked="0"/>
    </xf>
    <xf numFmtId="0" fontId="0" fillId="23" borderId="32" xfId="0" applyFill="1" applyBorder="1" applyAlignment="1" applyProtection="1">
      <alignment horizontal="center" vertical="center" wrapText="1"/>
      <protection locked="0"/>
    </xf>
    <xf numFmtId="0" fontId="32" fillId="20" borderId="34" xfId="0" applyFont="1" applyFill="1" applyBorder="1" applyAlignment="1" applyProtection="1">
      <alignment horizontal="center" vertical="center" wrapText="1"/>
      <protection locked="0"/>
    </xf>
    <xf numFmtId="0" fontId="0" fillId="23" borderId="34" xfId="0" applyFill="1" applyBorder="1" applyAlignment="1" applyProtection="1">
      <alignment horizontal="center" vertical="center" wrapText="1"/>
      <protection locked="0"/>
    </xf>
    <xf numFmtId="0" fontId="33" fillId="0" borderId="1" xfId="0" applyFont="1" applyBorder="1" applyAlignment="1" applyProtection="1">
      <alignment wrapText="1"/>
      <protection locked="0"/>
    </xf>
    <xf numFmtId="0" fontId="33" fillId="0" borderId="30" xfId="0" applyFont="1" applyBorder="1" applyAlignment="1" applyProtection="1">
      <alignment wrapText="1"/>
      <protection locked="0"/>
    </xf>
    <xf numFmtId="0" fontId="32" fillId="20" borderId="30" xfId="0" applyFont="1" applyFill="1" applyBorder="1" applyAlignment="1" applyProtection="1">
      <alignment horizontal="center" vertical="center" wrapText="1"/>
      <protection locked="0"/>
    </xf>
    <xf numFmtId="0" fontId="0" fillId="0" borderId="30" xfId="0" applyBorder="1" applyAlignment="1" applyProtection="1">
      <alignment horizontal="center" vertical="center" wrapText="1"/>
      <protection locked="0"/>
    </xf>
    <xf numFmtId="0" fontId="0" fillId="24" borderId="1" xfId="0" applyFill="1" applyBorder="1" applyAlignment="1" applyProtection="1">
      <alignment horizontal="center" vertical="center" wrapText="1"/>
      <protection locked="0"/>
    </xf>
    <xf numFmtId="0" fontId="32" fillId="21" borderId="35" xfId="0" applyFont="1" applyFill="1" applyBorder="1" applyAlignment="1" applyProtection="1">
      <alignment horizontal="center" vertical="center" wrapText="1"/>
      <protection locked="0"/>
    </xf>
    <xf numFmtId="0" fontId="34" fillId="20" borderId="34" xfId="0" applyFont="1" applyFill="1" applyBorder="1" applyAlignment="1" applyProtection="1">
      <alignment horizontal="center" vertical="center" wrapText="1"/>
      <protection locked="0"/>
    </xf>
    <xf numFmtId="0" fontId="32" fillId="9" borderId="34" xfId="0" applyFont="1" applyFill="1" applyBorder="1" applyAlignment="1" applyProtection="1">
      <alignment horizontal="center" vertical="center" wrapText="1"/>
      <protection locked="0"/>
    </xf>
    <xf numFmtId="0" fontId="32" fillId="9" borderId="1" xfId="0" applyFont="1" applyFill="1" applyBorder="1" applyAlignment="1" applyProtection="1">
      <alignment horizontal="center" vertical="center" wrapText="1"/>
      <protection locked="0"/>
    </xf>
    <xf numFmtId="0" fontId="32" fillId="9" borderId="32" xfId="0" applyFont="1" applyFill="1"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32" fillId="21" borderId="36" xfId="0" applyFont="1" applyFill="1" applyBorder="1" applyAlignment="1" applyProtection="1">
      <alignment horizontal="center" vertical="center" wrapText="1"/>
      <protection locked="0"/>
    </xf>
    <xf numFmtId="0" fontId="0" fillId="0" borderId="34" xfId="0" applyBorder="1" applyAlignment="1" applyProtection="1">
      <alignment horizontal="center" vertical="center" wrapText="1"/>
      <protection locked="0"/>
    </xf>
    <xf numFmtId="0" fontId="32" fillId="0" borderId="32" xfId="0" applyFont="1" applyBorder="1" applyAlignment="1" applyProtection="1">
      <alignment horizontal="center" vertical="center" wrapText="1"/>
      <protection locked="0"/>
    </xf>
    <xf numFmtId="0" fontId="32" fillId="0" borderId="1" xfId="0" applyFont="1" applyBorder="1" applyAlignment="1" applyProtection="1">
      <alignment horizontal="center" vertical="center" wrapText="1"/>
      <protection locked="0"/>
    </xf>
    <xf numFmtId="0" fontId="32" fillId="9" borderId="30" xfId="0" applyFont="1" applyFill="1" applyBorder="1" applyAlignment="1" applyProtection="1">
      <alignment horizontal="center" vertical="center" wrapText="1"/>
      <protection locked="0"/>
    </xf>
    <xf numFmtId="0" fontId="34" fillId="20" borderId="32" xfId="0" applyFont="1" applyFill="1" applyBorder="1" applyAlignment="1" applyProtection="1">
      <alignment horizontal="center" wrapText="1"/>
      <protection locked="0"/>
    </xf>
    <xf numFmtId="0" fontId="35" fillId="11" borderId="1" xfId="0" applyFont="1" applyFill="1" applyBorder="1" applyAlignment="1" applyProtection="1">
      <alignment horizontal="center" vertical="center" wrapText="1"/>
      <protection locked="0"/>
    </xf>
    <xf numFmtId="0" fontId="36" fillId="25" borderId="1" xfId="0" applyFont="1" applyFill="1" applyBorder="1" applyAlignment="1" applyProtection="1">
      <alignment horizontal="center" vertical="center" wrapText="1"/>
      <protection locked="0"/>
    </xf>
    <xf numFmtId="0" fontId="0" fillId="14" borderId="1" xfId="0" applyFill="1" applyBorder="1" applyAlignment="1" applyProtection="1">
      <alignment horizontal="center" vertical="center" wrapText="1"/>
      <protection locked="0"/>
    </xf>
    <xf numFmtId="0" fontId="0" fillId="11" borderId="1" xfId="0" applyFill="1" applyBorder="1" applyAlignment="1" applyProtection="1">
      <alignment horizontal="center" vertical="center"/>
      <protection locked="0"/>
    </xf>
    <xf numFmtId="0" fontId="11" fillId="0" borderId="1" xfId="0" quotePrefix="1" applyFont="1" applyBorder="1" applyAlignment="1" applyProtection="1">
      <alignment horizontal="left" vertical="center" wrapText="1"/>
      <protection locked="0"/>
    </xf>
    <xf numFmtId="0" fontId="0" fillId="0" borderId="37" xfId="0" applyBorder="1" applyAlignment="1" applyProtection="1">
      <alignment horizontal="center" vertical="center" wrapText="1"/>
      <protection locked="0"/>
    </xf>
    <xf numFmtId="0" fontId="0" fillId="0" borderId="38" xfId="0" applyBorder="1" applyAlignment="1" applyProtection="1">
      <alignment horizontal="center" vertical="center" wrapText="1"/>
      <protection locked="0"/>
    </xf>
    <xf numFmtId="0" fontId="0" fillId="0" borderId="39" xfId="0" applyBorder="1" applyAlignment="1" applyProtection="1">
      <alignment horizontal="center" vertical="center" wrapText="1"/>
      <protection locked="0"/>
    </xf>
    <xf numFmtId="0" fontId="37" fillId="0" borderId="1" xfId="0" applyFont="1" applyBorder="1" applyAlignment="1" applyProtection="1">
      <alignment horizontal="center" vertical="center" wrapText="1"/>
      <protection locked="0"/>
    </xf>
    <xf numFmtId="0" fontId="37" fillId="0" borderId="30" xfId="0" applyFont="1" applyBorder="1" applyAlignment="1" applyProtection="1">
      <alignment horizontal="center" vertical="center" wrapText="1"/>
      <protection locked="0"/>
    </xf>
    <xf numFmtId="0" fontId="37" fillId="0" borderId="37" xfId="0" applyFont="1" applyBorder="1" applyAlignment="1" applyProtection="1">
      <alignment horizontal="center" vertical="center" wrapText="1"/>
      <protection locked="0"/>
    </xf>
    <xf numFmtId="0" fontId="37" fillId="0" borderId="39" xfId="0" applyFont="1" applyBorder="1" applyAlignment="1" applyProtection="1">
      <alignment horizontal="center" vertical="center" wrapText="1"/>
      <protection locked="0"/>
    </xf>
    <xf numFmtId="0" fontId="37" fillId="0" borderId="1" xfId="0" applyFont="1" applyBorder="1" applyAlignment="1" applyProtection="1">
      <alignment vertical="center" wrapText="1"/>
      <protection locked="0"/>
    </xf>
    <xf numFmtId="0" fontId="38" fillId="0" borderId="1" xfId="0" applyFont="1" applyBorder="1" applyAlignment="1" applyProtection="1">
      <alignment wrapText="1"/>
      <protection locked="0"/>
    </xf>
    <xf numFmtId="0" fontId="39" fillId="0" borderId="1" xfId="0" applyFont="1" applyBorder="1" applyAlignment="1" applyProtection="1">
      <alignment wrapText="1"/>
      <protection locked="0"/>
    </xf>
    <xf numFmtId="0" fontId="39" fillId="0" borderId="0" xfId="0" applyFont="1" applyAlignment="1" applyProtection="1">
      <alignment wrapText="1"/>
      <protection locked="0"/>
    </xf>
    <xf numFmtId="0" fontId="39" fillId="0" borderId="30" xfId="0" applyFont="1" applyBorder="1" applyAlignment="1" applyProtection="1">
      <alignment wrapText="1"/>
      <protection locked="0"/>
    </xf>
    <xf numFmtId="0" fontId="39" fillId="0" borderId="6" xfId="0" applyFont="1" applyBorder="1" applyAlignment="1" applyProtection="1">
      <alignment wrapText="1"/>
      <protection locked="0"/>
    </xf>
    <xf numFmtId="0" fontId="39" fillId="0" borderId="40" xfId="0" applyFont="1" applyBorder="1" applyAlignment="1" applyProtection="1">
      <alignment wrapText="1"/>
      <protection locked="0"/>
    </xf>
    <xf numFmtId="0" fontId="0" fillId="11" borderId="40" xfId="0" applyFill="1" applyBorder="1" applyAlignment="1" applyProtection="1">
      <alignment horizontal="center" vertical="center" wrapText="1"/>
      <protection locked="0"/>
    </xf>
    <xf numFmtId="0" fontId="34" fillId="20" borderId="40" xfId="0" applyFont="1" applyFill="1" applyBorder="1" applyAlignment="1" applyProtection="1">
      <alignment horizontal="center" vertical="center" wrapText="1"/>
      <protection locked="0"/>
    </xf>
    <xf numFmtId="0" fontId="32" fillId="20" borderId="40" xfId="0" applyFont="1" applyFill="1" applyBorder="1" applyAlignment="1" applyProtection="1">
      <alignment horizontal="center" vertical="center" wrapText="1"/>
      <protection locked="0"/>
    </xf>
    <xf numFmtId="0" fontId="0" fillId="0" borderId="40" xfId="0" applyBorder="1" applyAlignment="1" applyProtection="1">
      <alignment horizontal="center" vertical="center" wrapText="1"/>
      <protection locked="0"/>
    </xf>
    <xf numFmtId="0" fontId="33" fillId="9" borderId="40" xfId="0" applyFont="1" applyFill="1" applyBorder="1" applyAlignment="1" applyProtection="1">
      <alignment horizontal="center" vertical="center" wrapText="1"/>
      <protection locked="0"/>
    </xf>
    <xf numFmtId="0" fontId="33" fillId="0" borderId="34" xfId="0" applyFont="1" applyBorder="1" applyAlignment="1" applyProtection="1">
      <alignment horizontal="center" vertical="center" wrapText="1"/>
      <protection locked="0"/>
    </xf>
    <xf numFmtId="0" fontId="37" fillId="11" borderId="1" xfId="0" applyFont="1" applyFill="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37" fillId="0" borderId="1" xfId="0" applyFont="1" applyBorder="1" applyAlignment="1" applyProtection="1">
      <alignment wrapText="1"/>
      <protection locked="0"/>
    </xf>
    <xf numFmtId="167" fontId="33" fillId="9" borderId="34" xfId="0" applyNumberFormat="1" applyFont="1" applyFill="1" applyBorder="1" applyAlignment="1" applyProtection="1">
      <alignment horizontal="center" vertical="center" wrapText="1"/>
      <protection locked="0"/>
    </xf>
    <xf numFmtId="167" fontId="33" fillId="9" borderId="32" xfId="0" applyNumberFormat="1" applyFont="1" applyFill="1" applyBorder="1" applyAlignment="1" applyProtection="1">
      <alignment horizontal="center" vertical="center" wrapText="1"/>
      <protection locked="0"/>
    </xf>
    <xf numFmtId="0" fontId="36" fillId="26" borderId="32" xfId="0" applyFont="1" applyFill="1" applyBorder="1" applyAlignment="1" applyProtection="1">
      <alignment horizontal="center" vertical="center" wrapText="1"/>
      <protection locked="0"/>
    </xf>
    <xf numFmtId="0" fontId="11" fillId="10" borderId="32" xfId="0" applyFont="1" applyFill="1" applyBorder="1" applyAlignment="1" applyProtection="1">
      <alignment horizontal="center" vertical="center" wrapText="1"/>
      <protection locked="0"/>
    </xf>
    <xf numFmtId="166" fontId="0" fillId="10" borderId="1" xfId="0" applyNumberFormat="1" applyFill="1" applyBorder="1" applyAlignment="1" applyProtection="1">
      <alignment horizontal="center" vertical="center" wrapText="1"/>
      <protection locked="0"/>
    </xf>
    <xf numFmtId="0" fontId="0" fillId="10" borderId="2" xfId="0" applyFill="1" applyBorder="1" applyAlignment="1" applyProtection="1">
      <alignment horizontal="center" vertical="center" wrapText="1"/>
      <protection locked="0"/>
    </xf>
    <xf numFmtId="0" fontId="40" fillId="20" borderId="1" xfId="0" applyFont="1" applyFill="1" applyBorder="1" applyAlignment="1" applyProtection="1">
      <alignment horizontal="center" vertical="center" wrapText="1"/>
      <protection locked="0"/>
    </xf>
    <xf numFmtId="168" fontId="32" fillId="20" borderId="1" xfId="0" applyNumberFormat="1" applyFont="1" applyFill="1" applyBorder="1" applyAlignment="1" applyProtection="1">
      <alignment horizontal="center" vertical="center" wrapText="1"/>
      <protection locked="0"/>
    </xf>
    <xf numFmtId="0" fontId="32" fillId="20" borderId="2" xfId="0" applyFont="1" applyFill="1" applyBorder="1" applyAlignment="1" applyProtection="1">
      <alignment horizontal="center" vertical="center" wrapText="1"/>
      <protection locked="0"/>
    </xf>
    <xf numFmtId="169" fontId="0" fillId="11" borderId="1" xfId="0" applyNumberFormat="1" applyFill="1" applyBorder="1" applyAlignment="1" applyProtection="1">
      <alignment horizontal="center" vertical="center" wrapText="1"/>
      <protection locked="0"/>
    </xf>
    <xf numFmtId="170" fontId="0" fillId="23" borderId="1" xfId="0" applyNumberFormat="1" applyFill="1" applyBorder="1" applyAlignment="1" applyProtection="1">
      <alignment horizontal="center" vertical="center" wrapText="1"/>
      <protection locked="0"/>
    </xf>
    <xf numFmtId="0" fontId="0" fillId="23" borderId="2" xfId="0" applyFill="1" applyBorder="1" applyAlignment="1" applyProtection="1">
      <alignment horizontal="center" vertical="center" wrapText="1"/>
      <protection locked="0"/>
    </xf>
    <xf numFmtId="43" fontId="0" fillId="11" borderId="1" xfId="0" applyNumberFormat="1" applyFill="1" applyBorder="1" applyAlignment="1" applyProtection="1">
      <alignment horizontal="center" vertical="center" wrapText="1"/>
      <protection locked="0"/>
    </xf>
    <xf numFmtId="44" fontId="0" fillId="11" borderId="1" xfId="0" applyNumberFormat="1" applyFill="1" applyBorder="1" applyAlignment="1" applyProtection="1">
      <alignment horizontal="center" vertical="center" wrapText="1"/>
      <protection locked="0"/>
    </xf>
    <xf numFmtId="0" fontId="33" fillId="20" borderId="1" xfId="0" applyFont="1" applyFill="1" applyBorder="1" applyAlignment="1" applyProtection="1">
      <alignment horizontal="center" vertical="center" wrapText="1"/>
      <protection locked="0"/>
    </xf>
    <xf numFmtId="168" fontId="34" fillId="20" borderId="32" xfId="0" applyNumberFormat="1" applyFont="1" applyFill="1" applyBorder="1" applyAlignment="1" applyProtection="1">
      <alignment horizontal="center" wrapText="1"/>
      <protection locked="0"/>
    </xf>
    <xf numFmtId="0" fontId="34" fillId="20" borderId="35" xfId="0" applyFont="1" applyFill="1" applyBorder="1" applyAlignment="1" applyProtection="1">
      <alignment horizontal="center" wrapText="1"/>
      <protection locked="0"/>
    </xf>
    <xf numFmtId="168" fontId="34" fillId="20" borderId="1" xfId="0" applyNumberFormat="1" applyFont="1" applyFill="1" applyBorder="1" applyAlignment="1" applyProtection="1">
      <alignment horizontal="center" vertical="center" wrapText="1"/>
      <protection locked="0"/>
    </xf>
    <xf numFmtId="0" fontId="34" fillId="20" borderId="2" xfId="0" applyFont="1" applyFill="1" applyBorder="1" applyAlignment="1" applyProtection="1">
      <alignment horizontal="center" vertical="center" wrapText="1"/>
      <protection locked="0"/>
    </xf>
    <xf numFmtId="0" fontId="35" fillId="11" borderId="1" xfId="0" quotePrefix="1" applyFont="1" applyFill="1" applyBorder="1" applyAlignment="1" applyProtection="1">
      <alignment horizontal="center" vertical="center" wrapText="1"/>
      <protection locked="0"/>
    </xf>
    <xf numFmtId="49" fontId="41" fillId="25" borderId="1" xfId="0" applyNumberFormat="1" applyFont="1" applyFill="1" applyBorder="1" applyAlignment="1" applyProtection="1">
      <alignment horizontal="center" vertical="center" wrapText="1"/>
      <protection locked="0"/>
    </xf>
    <xf numFmtId="0" fontId="0" fillId="14" borderId="1" xfId="0" quotePrefix="1" applyFill="1" applyBorder="1" applyAlignment="1" applyProtection="1">
      <alignment horizontal="center" vertical="center" wrapText="1"/>
      <protection locked="0"/>
    </xf>
    <xf numFmtId="3" fontId="0" fillId="11" borderId="1" xfId="0" applyNumberFormat="1" applyFill="1" applyBorder="1" applyAlignment="1" applyProtection="1">
      <alignment horizontal="center" vertical="center" wrapText="1"/>
      <protection locked="0"/>
    </xf>
    <xf numFmtId="0" fontId="35" fillId="14" borderId="1" xfId="0" quotePrefix="1" applyFont="1" applyFill="1" applyBorder="1" applyAlignment="1" applyProtection="1">
      <alignment horizontal="center" vertical="center" wrapText="1"/>
      <protection locked="0"/>
    </xf>
    <xf numFmtId="44" fontId="0" fillId="11" borderId="1" xfId="1" applyFont="1" applyFill="1" applyBorder="1" applyAlignment="1" applyProtection="1">
      <alignment horizontal="center" vertical="center" wrapText="1"/>
      <protection locked="0"/>
    </xf>
    <xf numFmtId="0" fontId="11" fillId="11" borderId="1" xfId="0" quotePrefix="1" applyFont="1" applyFill="1" applyBorder="1" applyAlignment="1" applyProtection="1">
      <alignment horizontal="center" vertical="center" wrapText="1"/>
      <protection locked="0"/>
    </xf>
    <xf numFmtId="0" fontId="42" fillId="11" borderId="1" xfId="0" applyFont="1" applyFill="1" applyBorder="1" applyAlignment="1" applyProtection="1">
      <alignment horizontal="center" vertical="center" wrapText="1"/>
      <protection locked="0"/>
    </xf>
    <xf numFmtId="166" fontId="0" fillId="0" borderId="1" xfId="0" applyNumberForma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 xfId="0" quotePrefix="1" applyBorder="1" applyAlignment="1" applyProtection="1">
      <alignment horizontal="left" vertical="center" wrapText="1"/>
      <protection locked="0"/>
    </xf>
    <xf numFmtId="3" fontId="0" fillId="0" borderId="1" xfId="0" applyNumberFormat="1" applyBorder="1" applyAlignment="1" applyProtection="1">
      <alignment horizontal="center" vertical="center" wrapText="1"/>
      <protection locked="0"/>
    </xf>
    <xf numFmtId="0" fontId="43" fillId="0" borderId="1" xfId="0" applyFont="1" applyBorder="1" applyAlignment="1" applyProtection="1">
      <alignment horizontal="center" vertical="center"/>
      <protection locked="0"/>
    </xf>
    <xf numFmtId="0" fontId="0" fillId="0" borderId="41" xfId="0" applyBorder="1" applyAlignment="1" applyProtection="1">
      <alignment horizontal="center" vertical="center" wrapText="1"/>
      <protection locked="0"/>
    </xf>
    <xf numFmtId="166" fontId="0" fillId="0" borderId="37" xfId="0" applyNumberFormat="1" applyBorder="1" applyAlignment="1" applyProtection="1">
      <alignment horizontal="center" vertical="center" wrapText="1"/>
      <protection locked="0"/>
    </xf>
    <xf numFmtId="166" fontId="0" fillId="0" borderId="32" xfId="0" applyNumberFormat="1" applyBorder="1" applyAlignment="1" applyProtection="1">
      <alignment horizontal="center" vertical="center" wrapText="1"/>
      <protection locked="0"/>
    </xf>
    <xf numFmtId="166" fontId="0" fillId="0" borderId="30" xfId="0" applyNumberFormat="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39" fillId="0" borderId="1" xfId="0" applyFont="1" applyBorder="1" applyAlignment="1" applyProtection="1">
      <alignment vertical="center" wrapText="1"/>
      <protection locked="0"/>
    </xf>
    <xf numFmtId="8" fontId="39" fillId="0" borderId="1" xfId="0" applyNumberFormat="1" applyFont="1" applyBorder="1" applyAlignment="1" applyProtection="1">
      <alignment wrapText="1"/>
      <protection locked="0"/>
    </xf>
    <xf numFmtId="0" fontId="39" fillId="0" borderId="2" xfId="0" applyFont="1" applyBorder="1" applyAlignment="1" applyProtection="1">
      <alignment wrapText="1"/>
      <protection locked="0"/>
    </xf>
    <xf numFmtId="166" fontId="37" fillId="0" borderId="1" xfId="0" applyNumberFormat="1" applyFont="1" applyBorder="1" applyAlignment="1" applyProtection="1">
      <alignment horizontal="center" vertical="center" wrapText="1"/>
      <protection locked="0"/>
    </xf>
    <xf numFmtId="0" fontId="37" fillId="0" borderId="2" xfId="0" applyFont="1" applyBorder="1" applyAlignment="1" applyProtection="1">
      <alignment horizontal="center" vertical="center" wrapText="1"/>
      <protection locked="0"/>
    </xf>
    <xf numFmtId="8" fontId="39" fillId="0" borderId="6" xfId="0" applyNumberFormat="1" applyFont="1" applyBorder="1" applyAlignment="1" applyProtection="1">
      <alignment wrapText="1"/>
      <protection locked="0"/>
    </xf>
    <xf numFmtId="0" fontId="39" fillId="0" borderId="7" xfId="0" applyFont="1" applyBorder="1" applyAlignment="1" applyProtection="1">
      <alignment wrapText="1"/>
      <protection locked="0"/>
    </xf>
    <xf numFmtId="8" fontId="39" fillId="0" borderId="40" xfId="0" applyNumberFormat="1" applyFont="1" applyBorder="1" applyAlignment="1" applyProtection="1">
      <alignment wrapText="1"/>
      <protection locked="0"/>
    </xf>
    <xf numFmtId="0" fontId="39" fillId="0" borderId="31" xfId="0" applyFont="1" applyBorder="1" applyAlignment="1" applyProtection="1">
      <alignment wrapText="1"/>
      <protection locked="0"/>
    </xf>
    <xf numFmtId="166" fontId="0" fillId="11" borderId="40" xfId="0" applyNumberFormat="1" applyFill="1" applyBorder="1" applyAlignment="1" applyProtection="1">
      <alignment horizontal="center" vertical="center" wrapText="1"/>
      <protection locked="0"/>
    </xf>
    <xf numFmtId="0" fontId="0" fillId="11" borderId="31" xfId="0" applyFill="1" applyBorder="1" applyAlignment="1" applyProtection="1">
      <alignment horizontal="center" vertical="center" wrapText="1"/>
      <protection locked="0"/>
    </xf>
    <xf numFmtId="168" fontId="34" fillId="20" borderId="40" xfId="0" applyNumberFormat="1" applyFont="1" applyFill="1" applyBorder="1" applyAlignment="1" applyProtection="1">
      <alignment horizontal="center" vertical="center" wrapText="1"/>
      <protection locked="0"/>
    </xf>
    <xf numFmtId="0" fontId="34" fillId="20" borderId="31" xfId="0" applyFont="1" applyFill="1" applyBorder="1" applyAlignment="1" applyProtection="1">
      <alignment horizontal="center" vertical="center" wrapText="1"/>
      <protection locked="0"/>
    </xf>
    <xf numFmtId="0" fontId="32" fillId="0" borderId="40" xfId="0" applyFont="1" applyBorder="1" applyAlignment="1" applyProtection="1">
      <alignment horizontal="center" vertical="center" wrapText="1"/>
      <protection locked="0"/>
    </xf>
    <xf numFmtId="168" fontId="32" fillId="20" borderId="40" xfId="0" applyNumberFormat="1" applyFont="1" applyFill="1" applyBorder="1" applyAlignment="1" applyProtection="1">
      <alignment horizontal="center" vertical="center" wrapText="1"/>
      <protection locked="0"/>
    </xf>
    <xf numFmtId="0" fontId="32" fillId="20" borderId="31" xfId="0" applyFont="1" applyFill="1" applyBorder="1" applyAlignment="1" applyProtection="1">
      <alignment horizontal="center" vertical="center" wrapText="1"/>
      <protection locked="0"/>
    </xf>
    <xf numFmtId="166" fontId="0" fillId="0" borderId="40" xfId="0" applyNumberFormat="1" applyBorder="1" applyAlignment="1" applyProtection="1">
      <alignment horizontal="center" vertical="center" wrapText="1"/>
      <protection locked="0"/>
    </xf>
    <xf numFmtId="0" fontId="0" fillId="0" borderId="31" xfId="0" applyBorder="1" applyAlignment="1" applyProtection="1">
      <alignment horizontal="center" vertical="center" wrapText="1"/>
      <protection locked="0"/>
    </xf>
    <xf numFmtId="0" fontId="33" fillId="9" borderId="31" xfId="0" applyFont="1" applyFill="1" applyBorder="1" applyAlignment="1" applyProtection="1">
      <alignment horizontal="center" vertical="center" wrapText="1"/>
      <protection locked="0"/>
    </xf>
    <xf numFmtId="166" fontId="0" fillId="24" borderId="1" xfId="0" applyNumberFormat="1" applyFill="1" applyBorder="1" applyAlignment="1" applyProtection="1">
      <alignment horizontal="center" vertical="center" wrapText="1"/>
      <protection locked="0"/>
    </xf>
    <xf numFmtId="0" fontId="0" fillId="24" borderId="2" xfId="0" applyFill="1" applyBorder="1" applyAlignment="1" applyProtection="1">
      <alignment horizontal="center" vertical="center" wrapText="1"/>
      <protection locked="0"/>
    </xf>
    <xf numFmtId="166" fontId="37" fillId="11" borderId="1" xfId="0" applyNumberFormat="1" applyFont="1" applyFill="1" applyBorder="1" applyAlignment="1" applyProtection="1">
      <alignment horizontal="center" vertical="center" wrapText="1"/>
      <protection locked="0"/>
    </xf>
    <xf numFmtId="0" fontId="37" fillId="11" borderId="2" xfId="0" applyFont="1" applyFill="1" applyBorder="1" applyAlignment="1" applyProtection="1">
      <alignment horizontal="center" vertical="center" wrapText="1"/>
      <protection locked="0"/>
    </xf>
    <xf numFmtId="168" fontId="32" fillId="21" borderId="1" xfId="0" applyNumberFormat="1" applyFont="1" applyFill="1" applyBorder="1" applyAlignment="1" applyProtection="1">
      <alignment horizontal="center" vertical="center" wrapText="1"/>
      <protection locked="0"/>
    </xf>
    <xf numFmtId="0" fontId="32" fillId="21" borderId="2" xfId="0" applyFont="1" applyFill="1" applyBorder="1" applyAlignment="1" applyProtection="1">
      <alignment horizontal="center" vertical="center" wrapText="1"/>
      <protection locked="0"/>
    </xf>
    <xf numFmtId="0" fontId="44" fillId="23" borderId="1" xfId="0" applyFont="1" applyFill="1" applyBorder="1" applyAlignment="1" applyProtection="1">
      <alignment horizontal="center" vertical="center" wrapText="1"/>
      <protection locked="0"/>
    </xf>
    <xf numFmtId="170" fontId="44" fillId="23" borderId="1" xfId="0" applyNumberFormat="1" applyFont="1" applyFill="1" applyBorder="1" applyAlignment="1" applyProtection="1">
      <alignment horizontal="center" vertical="center" wrapText="1"/>
      <protection locked="0"/>
    </xf>
    <xf numFmtId="0" fontId="44" fillId="23" borderId="2" xfId="0" applyFont="1" applyFill="1" applyBorder="1" applyAlignment="1" applyProtection="1">
      <alignment horizontal="center" vertical="center" wrapText="1"/>
      <protection locked="0"/>
    </xf>
    <xf numFmtId="0" fontId="45" fillId="23" borderId="1" xfId="0" applyFont="1" applyFill="1" applyBorder="1" applyAlignment="1" applyProtection="1">
      <alignment horizontal="center" vertical="center" wrapText="1"/>
      <protection locked="0"/>
    </xf>
    <xf numFmtId="168" fontId="34" fillId="20" borderId="32" xfId="0" applyNumberFormat="1" applyFont="1" applyFill="1" applyBorder="1" applyAlignment="1" applyProtection="1">
      <alignment horizontal="center" vertical="center" wrapText="1"/>
      <protection locked="0"/>
    </xf>
    <xf numFmtId="168" fontId="32" fillId="21" borderId="32" xfId="0" applyNumberFormat="1" applyFont="1" applyFill="1" applyBorder="1" applyAlignment="1" applyProtection="1">
      <alignment horizontal="center" vertical="center" wrapText="1"/>
      <protection locked="0"/>
    </xf>
    <xf numFmtId="166" fontId="0" fillId="11" borderId="32" xfId="0" applyNumberFormat="1" applyFill="1" applyBorder="1" applyAlignment="1" applyProtection="1">
      <alignment horizontal="center" vertical="center" wrapText="1"/>
      <protection locked="0"/>
    </xf>
    <xf numFmtId="2" fontId="33" fillId="9" borderId="32" xfId="0" applyNumberFormat="1" applyFont="1" applyFill="1" applyBorder="1" applyAlignment="1" applyProtection="1">
      <alignment horizontal="center" vertical="center" wrapText="1"/>
      <protection locked="0"/>
    </xf>
    <xf numFmtId="168" fontId="32" fillId="20" borderId="32" xfId="0" applyNumberFormat="1" applyFont="1" applyFill="1" applyBorder="1" applyAlignment="1" applyProtection="1">
      <alignment horizontal="center" vertical="center" wrapText="1"/>
      <protection locked="0"/>
    </xf>
    <xf numFmtId="0" fontId="0" fillId="27" borderId="1" xfId="0" applyFill="1" applyBorder="1" applyAlignment="1" applyProtection="1">
      <alignment horizontal="center" vertical="center" wrapText="1"/>
      <protection locked="0"/>
    </xf>
    <xf numFmtId="0" fontId="0" fillId="11" borderId="35" xfId="0" applyFill="1" applyBorder="1" applyAlignment="1" applyProtection="1">
      <alignment horizontal="center" vertical="center" wrapText="1"/>
      <protection locked="0"/>
    </xf>
    <xf numFmtId="168" fontId="32" fillId="0" borderId="32" xfId="0" applyNumberFormat="1" applyFont="1" applyBorder="1" applyAlignment="1" applyProtection="1">
      <alignment horizontal="center" vertical="center" wrapText="1"/>
      <protection locked="0"/>
    </xf>
    <xf numFmtId="0" fontId="32" fillId="0" borderId="35" xfId="0" applyFont="1" applyBorder="1" applyAlignment="1" applyProtection="1">
      <alignment horizontal="center" vertical="center" wrapText="1"/>
      <protection locked="0"/>
    </xf>
    <xf numFmtId="171" fontId="32" fillId="0" borderId="0" xfId="0" applyNumberFormat="1" applyFont="1" applyAlignment="1" applyProtection="1">
      <alignment horizontal="center" vertical="center"/>
      <protection locked="0"/>
    </xf>
    <xf numFmtId="0" fontId="32" fillId="20" borderId="35" xfId="0" applyFont="1" applyFill="1" applyBorder="1" applyAlignment="1" applyProtection="1">
      <alignment horizontal="center" vertical="center" wrapText="1"/>
      <protection locked="0"/>
    </xf>
    <xf numFmtId="0" fontId="46" fillId="9" borderId="32" xfId="0" applyFont="1" applyFill="1" applyBorder="1" applyAlignment="1" applyProtection="1">
      <alignment horizontal="center" vertical="center" wrapText="1"/>
      <protection locked="0"/>
    </xf>
    <xf numFmtId="0" fontId="46" fillId="9" borderId="34" xfId="0" applyFont="1" applyFill="1" applyBorder="1" applyAlignment="1" applyProtection="1">
      <alignment horizontal="center" vertical="center" wrapText="1"/>
      <protection locked="0"/>
    </xf>
    <xf numFmtId="0" fontId="47" fillId="9" borderId="34" xfId="0" applyFont="1" applyFill="1" applyBorder="1" applyAlignment="1" applyProtection="1">
      <alignment horizontal="center" vertical="center" wrapText="1"/>
      <protection locked="0"/>
    </xf>
    <xf numFmtId="2" fontId="33" fillId="9" borderId="34" xfId="0" applyNumberFormat="1" applyFont="1" applyFill="1" applyBorder="1" applyAlignment="1" applyProtection="1">
      <alignment horizontal="center" vertical="center" wrapText="1"/>
      <protection locked="0"/>
    </xf>
    <xf numFmtId="1" fontId="33" fillId="9" borderId="34" xfId="0" applyNumberFormat="1" applyFont="1" applyFill="1" applyBorder="1" applyAlignment="1" applyProtection="1">
      <alignment horizontal="center" vertical="center" wrapText="1"/>
      <protection locked="0"/>
    </xf>
    <xf numFmtId="4" fontId="33" fillId="9" borderId="34" xfId="0" applyNumberFormat="1" applyFont="1" applyFill="1" applyBorder="1" applyAlignment="1" applyProtection="1">
      <alignment horizontal="center" vertical="center" wrapText="1"/>
      <protection locked="0"/>
    </xf>
    <xf numFmtId="168" fontId="33" fillId="0" borderId="32" xfId="0" applyNumberFormat="1" applyFont="1" applyBorder="1" applyAlignment="1" applyProtection="1">
      <alignment horizontal="center" vertical="center" wrapText="1"/>
      <protection locked="0"/>
    </xf>
    <xf numFmtId="0" fontId="33" fillId="20" borderId="32" xfId="0" applyFont="1" applyFill="1" applyBorder="1" applyAlignment="1" applyProtection="1">
      <alignment horizontal="center" vertical="center" wrapText="1"/>
      <protection locked="0"/>
    </xf>
    <xf numFmtId="0" fontId="32" fillId="10" borderId="32" xfId="0" applyFont="1" applyFill="1" applyBorder="1" applyAlignment="1" applyProtection="1">
      <alignment horizontal="center" vertical="center" wrapText="1"/>
      <protection locked="0"/>
    </xf>
    <xf numFmtId="168" fontId="32" fillId="22" borderId="32" xfId="0" applyNumberFormat="1" applyFont="1" applyFill="1" applyBorder="1" applyAlignment="1" applyProtection="1">
      <alignment horizontal="center" vertical="center" wrapText="1"/>
      <protection locked="0"/>
    </xf>
    <xf numFmtId="0" fontId="32" fillId="22" borderId="35" xfId="0" applyFont="1" applyFill="1" applyBorder="1" applyAlignment="1" applyProtection="1">
      <alignment horizontal="center" vertical="center" wrapText="1"/>
      <protection locked="0"/>
    </xf>
    <xf numFmtId="2" fontId="0" fillId="11" borderId="32" xfId="0" applyNumberFormat="1" applyFill="1" applyBorder="1" applyAlignment="1" applyProtection="1">
      <alignment horizontal="center" vertical="center" wrapText="1"/>
      <protection locked="0"/>
    </xf>
    <xf numFmtId="44" fontId="0" fillId="11" borderId="32" xfId="0" applyNumberFormat="1" applyFill="1" applyBorder="1" applyAlignment="1" applyProtection="1">
      <alignment horizontal="center" vertical="center" wrapText="1"/>
      <protection locked="0"/>
    </xf>
    <xf numFmtId="0" fontId="35" fillId="11" borderId="32" xfId="0" applyFont="1" applyFill="1" applyBorder="1" applyAlignment="1" applyProtection="1">
      <alignment horizontal="center" vertical="center" wrapText="1"/>
      <protection locked="0"/>
    </xf>
    <xf numFmtId="3" fontId="0" fillId="11" borderId="32" xfId="0" applyNumberFormat="1" applyFill="1" applyBorder="1" applyAlignment="1" applyProtection="1">
      <alignment horizontal="center" vertical="center" wrapText="1"/>
      <protection locked="0"/>
    </xf>
    <xf numFmtId="49" fontId="36" fillId="25" borderId="32" xfId="0" applyNumberFormat="1" applyFont="1" applyFill="1" applyBorder="1" applyAlignment="1" applyProtection="1">
      <alignment horizontal="center" vertical="center" wrapText="1"/>
      <protection locked="0"/>
    </xf>
    <xf numFmtId="0" fontId="11" fillId="11" borderId="32" xfId="0" applyFont="1" applyFill="1" applyBorder="1" applyAlignment="1" applyProtection="1">
      <alignment horizontal="center" vertical="center" wrapText="1"/>
      <protection locked="0"/>
    </xf>
    <xf numFmtId="0" fontId="0" fillId="27" borderId="32" xfId="0" applyFill="1" applyBorder="1" applyAlignment="1" applyProtection="1">
      <alignment horizontal="center" vertical="center" wrapText="1"/>
      <protection locked="0"/>
    </xf>
    <xf numFmtId="0" fontId="0" fillId="0" borderId="32" xfId="0" applyBorder="1" applyAlignment="1" applyProtection="1">
      <alignment horizontal="left" vertical="center" wrapText="1"/>
      <protection locked="0"/>
    </xf>
    <xf numFmtId="0" fontId="0" fillId="0" borderId="35" xfId="0" applyBorder="1" applyAlignment="1" applyProtection="1">
      <alignment horizontal="center" vertical="center" wrapText="1"/>
      <protection locked="0"/>
    </xf>
    <xf numFmtId="0" fontId="48" fillId="11" borderId="1" xfId="0" applyFont="1" applyFill="1" applyBorder="1" applyAlignment="1" applyProtection="1">
      <alignment horizontal="center" vertical="center" wrapText="1"/>
      <protection locked="0"/>
    </xf>
    <xf numFmtId="0" fontId="39" fillId="20" borderId="1" xfId="0" applyFont="1" applyFill="1" applyBorder="1" applyAlignment="1" applyProtection="1">
      <alignment horizontal="center" vertical="center" wrapText="1"/>
      <protection locked="0"/>
    </xf>
    <xf numFmtId="0" fontId="49" fillId="11" borderId="1" xfId="0" applyFont="1" applyFill="1" applyBorder="1" applyAlignment="1" applyProtection="1">
      <alignment horizontal="center" vertical="center" wrapText="1"/>
      <protection locked="0"/>
    </xf>
    <xf numFmtId="0" fontId="34" fillId="20" borderId="0" xfId="0" applyFont="1" applyFill="1" applyAlignment="1" applyProtection="1">
      <alignment horizontal="center" vertical="center" wrapText="1"/>
      <protection locked="0"/>
    </xf>
    <xf numFmtId="0" fontId="35" fillId="14" borderId="1" xfId="0" applyFont="1" applyFill="1" applyBorder="1" applyAlignment="1" applyProtection="1">
      <alignment horizontal="center" vertical="center" wrapText="1"/>
      <protection locked="0"/>
    </xf>
    <xf numFmtId="0" fontId="50" fillId="14" borderId="1" xfId="0" applyFont="1" applyFill="1" applyBorder="1" applyAlignment="1" applyProtection="1">
      <alignment horizontal="center" vertical="center" wrapText="1"/>
      <protection locked="0"/>
    </xf>
    <xf numFmtId="0" fontId="50" fillId="14" borderId="1" xfId="0" quotePrefix="1" applyFont="1" applyFill="1" applyBorder="1" applyAlignment="1" applyProtection="1">
      <alignment horizontal="center" vertical="center" wrapText="1"/>
      <protection locked="0"/>
    </xf>
    <xf numFmtId="0" fontId="36" fillId="28" borderId="1" xfId="0" applyFont="1" applyFill="1" applyBorder="1" applyAlignment="1" applyProtection="1">
      <alignment horizontal="center" vertical="center" wrapText="1"/>
      <protection locked="0"/>
    </xf>
    <xf numFmtId="0" fontId="32" fillId="25" borderId="1" xfId="0" applyFont="1" applyFill="1" applyBorder="1" applyAlignment="1" applyProtection="1">
      <alignment horizontal="center" vertical="center" wrapText="1"/>
      <protection locked="0"/>
    </xf>
    <xf numFmtId="0" fontId="38" fillId="25" borderId="1" xfId="0" applyFont="1" applyFill="1" applyBorder="1" applyAlignment="1" applyProtection="1">
      <alignment horizontal="center" vertical="center" wrapText="1"/>
      <protection locked="0"/>
    </xf>
    <xf numFmtId="0" fontId="32" fillId="25" borderId="32"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34" xfId="0" applyBorder="1" applyAlignment="1" applyProtection="1">
      <alignment horizontal="center" vertical="center" wrapText="1" readingOrder="1"/>
      <protection locked="0"/>
    </xf>
    <xf numFmtId="0" fontId="32" fillId="25" borderId="34"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wrapText="1"/>
      <protection locked="0"/>
    </xf>
    <xf numFmtId="0" fontId="33" fillId="0" borderId="34" xfId="0" applyFont="1" applyBorder="1" applyAlignment="1" applyProtection="1">
      <alignment wrapText="1"/>
      <protection locked="0"/>
    </xf>
    <xf numFmtId="0" fontId="33" fillId="0" borderId="42" xfId="0" applyFont="1" applyBorder="1" applyAlignment="1" applyProtection="1">
      <alignment wrapText="1"/>
      <protection locked="0"/>
    </xf>
    <xf numFmtId="0" fontId="33" fillId="0" borderId="2" xfId="0" applyFont="1" applyBorder="1" applyAlignment="1" applyProtection="1">
      <alignment wrapText="1"/>
      <protection locked="0"/>
    </xf>
    <xf numFmtId="0" fontId="33" fillId="0" borderId="6" xfId="0" applyFont="1" applyBorder="1" applyAlignment="1" applyProtection="1">
      <alignment wrapText="1"/>
      <protection locked="0"/>
    </xf>
    <xf numFmtId="0" fontId="33" fillId="0" borderId="6" xfId="0" applyFont="1" applyBorder="1" applyAlignment="1" applyProtection="1">
      <alignment horizontal="center" vertical="center" wrapText="1"/>
      <protection locked="0"/>
    </xf>
    <xf numFmtId="0" fontId="33" fillId="0" borderId="30" xfId="0" applyFont="1" applyBorder="1" applyAlignment="1" applyProtection="1">
      <alignment horizontal="center" vertical="center" wrapText="1"/>
      <protection locked="0"/>
    </xf>
    <xf numFmtId="0" fontId="33" fillId="0" borderId="40" xfId="0" applyFont="1" applyBorder="1" applyAlignment="1" applyProtection="1">
      <alignment wrapText="1"/>
      <protection locked="0"/>
    </xf>
    <xf numFmtId="0" fontId="33" fillId="0" borderId="40" xfId="0" applyFont="1" applyBorder="1" applyAlignment="1" applyProtection="1">
      <alignment horizontal="center" vertical="center" wrapText="1"/>
      <protection locked="0"/>
    </xf>
    <xf numFmtId="0" fontId="34" fillId="20" borderId="6" xfId="0" applyFont="1" applyFill="1" applyBorder="1" applyAlignment="1" applyProtection="1">
      <alignment horizontal="center" vertical="center" wrapText="1"/>
      <protection locked="0"/>
    </xf>
    <xf numFmtId="0" fontId="39" fillId="20" borderId="40" xfId="0" applyFont="1" applyFill="1" applyBorder="1" applyAlignment="1" applyProtection="1">
      <alignment horizontal="center" vertical="center" wrapText="1"/>
      <protection locked="0"/>
    </xf>
    <xf numFmtId="0" fontId="32" fillId="25" borderId="30" xfId="0" applyFont="1" applyFill="1" applyBorder="1" applyAlignment="1" applyProtection="1">
      <alignment horizontal="center" vertical="center" wrapText="1"/>
      <protection locked="0"/>
    </xf>
    <xf numFmtId="0" fontId="32" fillId="25" borderId="6" xfId="0" applyFont="1" applyFill="1" applyBorder="1" applyAlignment="1" applyProtection="1">
      <alignment horizontal="center" vertical="center" wrapText="1"/>
      <protection locked="0"/>
    </xf>
    <xf numFmtId="0" fontId="38" fillId="25" borderId="40" xfId="0" applyFont="1" applyFill="1" applyBorder="1" applyAlignment="1" applyProtection="1">
      <alignment horizontal="center" vertical="center" wrapText="1"/>
      <protection locked="0"/>
    </xf>
    <xf numFmtId="0" fontId="32" fillId="25" borderId="40" xfId="0" applyFont="1" applyFill="1" applyBorder="1" applyAlignment="1" applyProtection="1">
      <alignment horizontal="center" vertical="center" wrapText="1"/>
      <protection locked="0"/>
    </xf>
    <xf numFmtId="0" fontId="32" fillId="20" borderId="6" xfId="0" applyFont="1" applyFill="1" applyBorder="1" applyAlignment="1" applyProtection="1">
      <alignment horizontal="center" vertical="center" wrapText="1"/>
      <protection locked="0"/>
    </xf>
    <xf numFmtId="0" fontId="33" fillId="9" borderId="6" xfId="0" applyFont="1" applyFill="1" applyBorder="1" applyAlignment="1" applyProtection="1">
      <alignment horizontal="center" vertical="center" wrapText="1"/>
      <protection locked="0"/>
    </xf>
    <xf numFmtId="0" fontId="0" fillId="0" borderId="1" xfId="0" applyBorder="1" applyProtection="1">
      <protection locked="0"/>
    </xf>
    <xf numFmtId="0" fontId="0" fillId="0" borderId="1" xfId="0" applyBorder="1" applyAlignment="1" applyProtection="1">
      <alignment horizontal="center" vertical="center" wrapText="1" readingOrder="1"/>
      <protection locked="0"/>
    </xf>
    <xf numFmtId="0" fontId="32" fillId="23" borderId="1" xfId="0" applyFont="1" applyFill="1" applyBorder="1" applyAlignment="1" applyProtection="1">
      <alignment horizontal="center" vertical="center" wrapText="1"/>
      <protection locked="0"/>
    </xf>
    <xf numFmtId="0" fontId="39" fillId="20" borderId="32" xfId="0" applyFont="1" applyFill="1" applyBorder="1" applyAlignment="1" applyProtection="1">
      <alignment horizontal="center" vertical="center" wrapText="1"/>
      <protection locked="0"/>
    </xf>
    <xf numFmtId="0" fontId="33" fillId="9" borderId="43" xfId="0" applyFont="1" applyFill="1" applyBorder="1" applyAlignment="1" applyProtection="1">
      <alignment horizontal="center" vertical="center" wrapText="1"/>
      <protection locked="0"/>
    </xf>
    <xf numFmtId="0" fontId="0" fillId="11" borderId="43" xfId="0" applyFill="1" applyBorder="1" applyAlignment="1" applyProtection="1">
      <alignment horizontal="center" vertical="center" wrapText="1"/>
      <protection locked="0"/>
    </xf>
    <xf numFmtId="0" fontId="0" fillId="11" borderId="33" xfId="0" applyFill="1" applyBorder="1" applyAlignment="1" applyProtection="1">
      <alignment horizontal="center" vertical="center" wrapText="1"/>
      <protection locked="0"/>
    </xf>
    <xf numFmtId="0" fontId="32" fillId="9" borderId="44" xfId="0" applyFont="1" applyFill="1" applyBorder="1" applyAlignment="1" applyProtection="1">
      <alignment horizontal="center" vertical="center" wrapText="1"/>
      <protection locked="0"/>
    </xf>
    <xf numFmtId="0" fontId="33" fillId="9" borderId="44" xfId="0" applyFont="1" applyFill="1" applyBorder="1" applyAlignment="1" applyProtection="1">
      <alignment horizontal="center" vertical="center" wrapText="1"/>
      <protection locked="0"/>
    </xf>
    <xf numFmtId="0" fontId="33" fillId="9" borderId="36" xfId="0" applyFont="1" applyFill="1" applyBorder="1" applyAlignment="1" applyProtection="1">
      <alignment horizontal="center" vertical="center" wrapText="1"/>
      <protection locked="0"/>
    </xf>
    <xf numFmtId="0" fontId="33" fillId="21" borderId="32" xfId="0" applyFont="1" applyFill="1" applyBorder="1" applyAlignment="1" applyProtection="1">
      <alignment horizontal="center" vertical="center" wrapText="1"/>
      <protection locked="0"/>
    </xf>
    <xf numFmtId="0" fontId="0" fillId="14" borderId="32" xfId="0" quotePrefix="1" applyFill="1" applyBorder="1" applyAlignment="1" applyProtection="1">
      <alignment horizontal="center" vertical="center" wrapText="1"/>
      <protection locked="0"/>
    </xf>
    <xf numFmtId="0" fontId="52" fillId="0" borderId="32" xfId="0" applyFont="1" applyBorder="1" applyAlignment="1" applyProtection="1">
      <alignment horizontal="center" vertical="center" wrapText="1"/>
      <protection locked="0"/>
    </xf>
    <xf numFmtId="0" fontId="53" fillId="0" borderId="32" xfId="0" applyFont="1" applyBorder="1" applyAlignment="1" applyProtection="1">
      <alignment horizontal="center" vertical="center" wrapText="1"/>
      <protection locked="0"/>
    </xf>
    <xf numFmtId="164" fontId="0" fillId="11" borderId="0" xfId="0" applyNumberFormat="1" applyFill="1" applyAlignment="1">
      <alignment horizontal="center" vertical="center" wrapText="1"/>
    </xf>
    <xf numFmtId="0" fontId="31" fillId="10" borderId="31" xfId="0" applyFont="1" applyFill="1" applyBorder="1" applyAlignment="1" applyProtection="1">
      <alignment horizontal="center" vertical="center" wrapText="1"/>
      <protection locked="0"/>
    </xf>
    <xf numFmtId="0" fontId="2" fillId="0" borderId="2" xfId="0" applyFont="1"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top" wrapText="1"/>
    </xf>
    <xf numFmtId="0" fontId="19" fillId="10" borderId="0" xfId="0" applyFont="1" applyFill="1" applyAlignment="1">
      <alignment horizontal="center" vertical="center" wrapText="1"/>
    </xf>
    <xf numFmtId="0" fontId="26" fillId="0" borderId="0" xfId="0" applyFont="1" applyAlignment="1">
      <alignment horizontal="center" vertical="center" wrapText="1"/>
    </xf>
    <xf numFmtId="0" fontId="2" fillId="0" borderId="9"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0" fillId="0" borderId="15"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2" fillId="0" borderId="15" xfId="0" applyFont="1" applyBorder="1" applyAlignment="1">
      <alignment horizontal="center" wrapText="1"/>
    </xf>
    <xf numFmtId="0" fontId="2" fillId="0" borderId="14" xfId="0" applyFont="1" applyBorder="1" applyAlignment="1">
      <alignment horizontal="center"/>
    </xf>
    <xf numFmtId="0" fontId="2" fillId="0" borderId="13" xfId="0" applyFont="1" applyBorder="1" applyAlignment="1">
      <alignment horizontal="center"/>
    </xf>
    <xf numFmtId="0" fontId="29" fillId="14" borderId="0" xfId="3" applyFont="1" applyFill="1" applyAlignment="1">
      <alignment horizontal="center" vertical="center" wrapText="1"/>
    </xf>
    <xf numFmtId="0" fontId="29" fillId="14" borderId="4" xfId="3" applyFont="1" applyFill="1" applyBorder="1" applyAlignment="1">
      <alignment horizontal="center" vertical="center" wrapText="1"/>
    </xf>
    <xf numFmtId="0" fontId="28" fillId="16" borderId="29"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6" borderId="28" xfId="0" applyFont="1" applyFill="1" applyBorder="1" applyAlignment="1">
      <alignment horizontal="center" vertical="center" wrapText="1"/>
    </xf>
    <xf numFmtId="0" fontId="28" fillId="16" borderId="27" xfId="0" applyFont="1" applyFill="1" applyBorder="1" applyAlignment="1">
      <alignment horizontal="center" vertical="center" wrapText="1"/>
    </xf>
    <xf numFmtId="0" fontId="22" fillId="0" borderId="0" xfId="3" applyAlignment="1">
      <alignment horizontal="left"/>
    </xf>
    <xf numFmtId="0" fontId="27" fillId="16" borderId="15" xfId="0" applyFont="1" applyFill="1" applyBorder="1" applyAlignment="1">
      <alignment horizontal="left" vertical="top" wrapText="1"/>
    </xf>
    <xf numFmtId="0" fontId="27" fillId="16" borderId="21" xfId="0" applyFont="1" applyFill="1" applyBorder="1" applyAlignment="1">
      <alignment horizontal="left" vertical="top" wrapText="1"/>
    </xf>
    <xf numFmtId="0" fontId="27" fillId="16" borderId="9" xfId="0" applyFont="1" applyFill="1" applyBorder="1" applyAlignment="1">
      <alignment horizontal="left" vertical="top" wrapText="1"/>
    </xf>
    <xf numFmtId="0" fontId="27" fillId="16" borderId="23" xfId="0" applyFont="1" applyFill="1" applyBorder="1" applyAlignment="1">
      <alignment horizontal="right" vertical="center" wrapText="1"/>
    </xf>
    <xf numFmtId="0" fontId="27" fillId="16" borderId="20" xfId="0" applyFont="1" applyFill="1" applyBorder="1" applyAlignment="1">
      <alignment horizontal="right" vertical="center" wrapText="1"/>
    </xf>
    <xf numFmtId="0" fontId="27" fillId="16" borderId="16" xfId="0" applyFont="1" applyFill="1" applyBorder="1" applyAlignment="1">
      <alignment horizontal="right" vertical="center" wrapText="1"/>
    </xf>
    <xf numFmtId="0" fontId="25" fillId="10" borderId="31" xfId="0" applyFont="1" applyFill="1" applyBorder="1" applyAlignment="1" applyProtection="1">
      <alignment horizontal="center" vertical="center" wrapText="1"/>
      <protection locked="0"/>
    </xf>
  </cellXfs>
  <cellStyles count="9">
    <cellStyle name="Hiperlink" xfId="3" builtinId="8"/>
    <cellStyle name="Moeda" xfId="1" builtinId="4"/>
    <cellStyle name="Moeda 2" xfId="6"/>
    <cellStyle name="Normal" xfId="0" builtinId="0"/>
    <cellStyle name="Normal 2" xfId="2"/>
    <cellStyle name="Vírgula" xfId="4" builtinId="3"/>
    <cellStyle name="Vírgula 2" xfId="5"/>
    <cellStyle name="Vírgula 2 2" xfId="8"/>
    <cellStyle name="Vírgula 3" xfId="7"/>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523875</xdr:colOff>
      <xdr:row>0</xdr:row>
      <xdr:rowOff>38100</xdr:rowOff>
    </xdr:from>
    <xdr:to>
      <xdr:col>3</xdr:col>
      <xdr:colOff>3533301</xdr:colOff>
      <xdr:row>5</xdr:row>
      <xdr:rowOff>61017</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91075" y="38100"/>
          <a:ext cx="3009426" cy="975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116034</xdr:colOff>
      <xdr:row>0</xdr:row>
      <xdr:rowOff>34636</xdr:rowOff>
    </xdr:from>
    <xdr:to>
      <xdr:col>5</xdr:col>
      <xdr:colOff>753343</xdr:colOff>
      <xdr:row>0</xdr:row>
      <xdr:rowOff>762845</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6034" y="34636"/>
          <a:ext cx="5347854" cy="7282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xdr:colOff>
      <xdr:row>0</xdr:row>
      <xdr:rowOff>1</xdr:rowOff>
    </xdr:from>
    <xdr:ext cx="5191124" cy="706868"/>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9601" y="1"/>
          <a:ext cx="5191124" cy="7068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15239</xdr:rowOff>
    </xdr:from>
    <xdr:to>
      <xdr:col>3</xdr:col>
      <xdr:colOff>840527</xdr:colOff>
      <xdr:row>0</xdr:row>
      <xdr:rowOff>762000</xdr:rowOff>
    </xdr:to>
    <xdr:pic>
      <xdr:nvPicPr>
        <xdr:cNvPr id="2" name="Imagem 1">
          <a:extLst>
            <a:ext uri="{FF2B5EF4-FFF2-40B4-BE49-F238E27FC236}">
              <a16:creationId xmlns:a16="http://schemas.microsoft.com/office/drawing/2014/main" id="{33146FB8-2F74-495D-9871-970F1F07C828}"/>
            </a:ext>
          </a:extLst>
        </xdr:cNvPr>
        <xdr:cNvPicPr>
          <a:picLocks noChangeAspect="1"/>
        </xdr:cNvPicPr>
      </xdr:nvPicPr>
      <xdr:blipFill>
        <a:blip xmlns:r="http://schemas.openxmlformats.org/officeDocument/2006/relationships" r:embed="rId1"/>
        <a:stretch>
          <a:fillRect/>
        </a:stretch>
      </xdr:blipFill>
      <xdr:spPr>
        <a:xfrm>
          <a:off x="0" y="15239"/>
          <a:ext cx="5482536" cy="746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planejamento.mg.gov.br/pagina/planejamento-e-orcamento/lei-orcamentaria-anual-loa/lei-orcamentaria-anual-loa"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almg.gov.br/consulte/legislacao/completa/completa.html?num=47045&amp;ano=2016&amp;tipo=DEC"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16"/>
  <sheetViews>
    <sheetView showGridLines="0" zoomScale="90" zoomScaleNormal="90" workbookViewId="0">
      <selection activeCell="D11" sqref="D11"/>
    </sheetView>
  </sheetViews>
  <sheetFormatPr defaultRowHeight="15" x14ac:dyDescent="0.25"/>
  <cols>
    <col min="1" max="1" width="6.5703125" customWidth="1"/>
    <col min="2" max="2" width="51.42578125" customWidth="1"/>
    <col min="3" max="3" width="5.85546875" customWidth="1"/>
    <col min="4" max="4" width="61.42578125" bestFit="1" customWidth="1"/>
    <col min="5" max="5" width="6.140625" customWidth="1"/>
    <col min="6" max="6" width="72" customWidth="1"/>
  </cols>
  <sheetData>
    <row r="1" spans="1:21" x14ac:dyDescent="0.25">
      <c r="A1" s="46"/>
      <c r="B1" s="46"/>
      <c r="C1" s="46"/>
      <c r="D1" s="46"/>
      <c r="E1" s="46"/>
      <c r="F1" s="46"/>
      <c r="G1" s="46"/>
      <c r="H1" s="46"/>
      <c r="I1" s="46"/>
      <c r="J1" s="46"/>
      <c r="K1" s="46"/>
      <c r="L1" s="46"/>
      <c r="M1" s="46"/>
      <c r="N1" s="46"/>
      <c r="O1" s="46"/>
      <c r="P1" s="46"/>
      <c r="Q1" s="46"/>
      <c r="R1" s="46"/>
      <c r="S1" s="46"/>
      <c r="T1" s="46"/>
      <c r="U1" s="46"/>
    </row>
    <row r="2" spans="1:21" x14ac:dyDescent="0.25">
      <c r="A2" s="46"/>
      <c r="B2" s="46"/>
      <c r="C2" s="46"/>
      <c r="D2" s="46"/>
      <c r="E2" s="46"/>
      <c r="F2" s="46"/>
      <c r="G2" s="46"/>
      <c r="H2" s="46"/>
      <c r="I2" s="46"/>
      <c r="J2" s="46"/>
      <c r="K2" s="46"/>
      <c r="L2" s="46"/>
      <c r="M2" s="46"/>
      <c r="N2" s="46"/>
      <c r="O2" s="46"/>
      <c r="P2" s="46"/>
      <c r="Q2" s="46"/>
      <c r="R2" s="46"/>
      <c r="S2" s="46"/>
      <c r="T2" s="46"/>
      <c r="U2" s="46"/>
    </row>
    <row r="3" spans="1:21" x14ac:dyDescent="0.25">
      <c r="A3" s="46"/>
      <c r="B3" s="46"/>
      <c r="C3" s="46"/>
      <c r="D3" s="46"/>
      <c r="E3" s="46"/>
      <c r="F3" s="46"/>
      <c r="G3" s="46"/>
      <c r="H3" s="46"/>
      <c r="I3" s="46"/>
      <c r="J3" s="46"/>
      <c r="K3" s="46"/>
      <c r="L3" s="46"/>
      <c r="M3" s="46"/>
      <c r="N3" s="46"/>
      <c r="O3" s="46"/>
      <c r="P3" s="46"/>
      <c r="Q3" s="46"/>
      <c r="R3" s="46"/>
      <c r="S3" s="46"/>
      <c r="T3" s="46"/>
      <c r="U3" s="46"/>
    </row>
    <row r="4" spans="1:21" x14ac:dyDescent="0.25">
      <c r="A4" s="46"/>
      <c r="B4" s="46"/>
      <c r="C4" s="46"/>
      <c r="D4" s="46"/>
      <c r="E4" s="46"/>
      <c r="F4" s="46"/>
      <c r="G4" s="46"/>
      <c r="H4" s="46"/>
      <c r="I4" s="46"/>
      <c r="J4" s="46"/>
      <c r="K4" s="46"/>
      <c r="L4" s="46"/>
      <c r="M4" s="46"/>
      <c r="N4" s="46"/>
      <c r="O4" s="46"/>
      <c r="P4" s="46"/>
      <c r="Q4" s="46"/>
      <c r="R4" s="46"/>
      <c r="S4" s="46"/>
      <c r="T4" s="46"/>
      <c r="U4" s="46"/>
    </row>
    <row r="5" spans="1:21" x14ac:dyDescent="0.25">
      <c r="A5" s="46"/>
      <c r="B5" s="46"/>
      <c r="C5" s="46"/>
      <c r="D5" s="46"/>
      <c r="E5" s="46"/>
      <c r="F5" s="46"/>
      <c r="G5" s="46"/>
      <c r="H5" s="46"/>
      <c r="I5" s="46"/>
      <c r="J5" s="46"/>
      <c r="K5" s="46"/>
      <c r="L5" s="46"/>
      <c r="M5" s="46"/>
      <c r="N5" s="46"/>
      <c r="O5" s="46"/>
      <c r="P5" s="46"/>
      <c r="Q5" s="46"/>
      <c r="R5" s="46"/>
      <c r="S5" s="46"/>
      <c r="T5" s="46"/>
      <c r="U5" s="46"/>
    </row>
    <row r="6" spans="1:21" x14ac:dyDescent="0.25">
      <c r="A6" s="46"/>
      <c r="B6" s="46"/>
      <c r="C6" s="46"/>
      <c r="D6" s="46"/>
      <c r="E6" s="46"/>
      <c r="F6" s="46"/>
      <c r="G6" s="46"/>
      <c r="H6" s="46"/>
      <c r="I6" s="46"/>
      <c r="J6" s="46"/>
      <c r="K6" s="46"/>
      <c r="L6" s="46"/>
      <c r="M6" s="46"/>
      <c r="N6" s="46"/>
      <c r="O6" s="46"/>
      <c r="P6" s="46"/>
      <c r="Q6" s="46"/>
      <c r="R6" s="46"/>
      <c r="S6" s="46"/>
      <c r="T6" s="46"/>
      <c r="U6" s="46"/>
    </row>
    <row r="7" spans="1:21" ht="26.25" x14ac:dyDescent="0.4">
      <c r="A7" s="46"/>
      <c r="B7" s="46"/>
      <c r="C7" s="46"/>
      <c r="D7" s="47" t="s">
        <v>2267</v>
      </c>
      <c r="E7" s="46"/>
      <c r="F7" s="46"/>
      <c r="G7" s="46"/>
      <c r="H7" s="46"/>
      <c r="I7" s="46"/>
      <c r="J7" s="46"/>
      <c r="K7" s="46"/>
      <c r="L7" s="46"/>
      <c r="M7" s="46"/>
      <c r="N7" s="46"/>
      <c r="O7" s="46"/>
      <c r="P7" s="46"/>
      <c r="Q7" s="46"/>
      <c r="R7" s="46"/>
      <c r="S7" s="46"/>
      <c r="T7" s="46"/>
      <c r="U7" s="46"/>
    </row>
    <row r="8" spans="1:21" x14ac:dyDescent="0.25">
      <c r="A8" s="46"/>
      <c r="B8" s="46"/>
      <c r="C8" s="46"/>
      <c r="D8" s="46"/>
      <c r="E8" s="46"/>
      <c r="F8" s="46"/>
      <c r="G8" s="46"/>
      <c r="H8" s="46"/>
      <c r="I8" s="46"/>
      <c r="J8" s="46"/>
      <c r="K8" s="46"/>
      <c r="L8" s="46"/>
      <c r="M8" s="46"/>
      <c r="N8" s="46"/>
      <c r="O8" s="46"/>
      <c r="P8" s="46"/>
      <c r="Q8" s="46"/>
      <c r="R8" s="46"/>
      <c r="S8" s="46"/>
      <c r="T8" s="46"/>
      <c r="U8" s="46"/>
    </row>
    <row r="9" spans="1:21" x14ac:dyDescent="0.25">
      <c r="A9" s="46"/>
      <c r="B9" s="46"/>
      <c r="C9" s="46"/>
      <c r="D9" s="46"/>
      <c r="E9" s="46"/>
      <c r="F9" s="46"/>
      <c r="G9" s="46"/>
      <c r="H9" s="46"/>
      <c r="I9" s="46"/>
      <c r="J9" s="46"/>
      <c r="K9" s="46"/>
      <c r="L9" s="46"/>
      <c r="M9" s="46"/>
      <c r="N9" s="46"/>
      <c r="O9" s="46"/>
      <c r="P9" s="46"/>
      <c r="Q9" s="46"/>
      <c r="R9" s="46"/>
      <c r="S9" s="46"/>
      <c r="T9" s="46"/>
      <c r="U9" s="46"/>
    </row>
    <row r="10" spans="1:21" x14ac:dyDescent="0.25">
      <c r="A10" s="46"/>
      <c r="B10" s="46"/>
      <c r="C10" s="46"/>
      <c r="D10" s="46"/>
      <c r="E10" s="46"/>
      <c r="F10" s="46"/>
      <c r="G10" s="46"/>
      <c r="H10" s="46"/>
      <c r="I10" s="46"/>
      <c r="J10" s="46"/>
      <c r="K10" s="46"/>
      <c r="L10" s="46"/>
      <c r="M10" s="46"/>
      <c r="N10" s="46"/>
      <c r="O10" s="46"/>
      <c r="P10" s="46"/>
      <c r="Q10" s="46"/>
      <c r="R10" s="46"/>
      <c r="S10" s="46"/>
      <c r="T10" s="46"/>
      <c r="U10" s="46"/>
    </row>
    <row r="11" spans="1:21" ht="23.25" x14ac:dyDescent="0.35">
      <c r="A11" s="46"/>
      <c r="B11" s="50" t="s">
        <v>0</v>
      </c>
      <c r="C11" s="46"/>
      <c r="D11" s="48" t="s">
        <v>1</v>
      </c>
      <c r="E11" s="46"/>
      <c r="F11" s="50" t="s">
        <v>0</v>
      </c>
      <c r="G11" s="46"/>
      <c r="H11" s="46"/>
      <c r="I11" s="46"/>
      <c r="J11" s="46"/>
      <c r="K11" s="46"/>
      <c r="L11" s="46"/>
      <c r="M11" s="46"/>
      <c r="N11" s="46"/>
      <c r="O11" s="46"/>
      <c r="P11" s="46"/>
      <c r="Q11" s="46"/>
      <c r="R11" s="46"/>
      <c r="S11" s="46"/>
      <c r="T11" s="46"/>
      <c r="U11" s="46"/>
    </row>
    <row r="12" spans="1:21" ht="23.25" x14ac:dyDescent="0.35">
      <c r="A12" s="46"/>
      <c r="B12" s="48" t="s">
        <v>2</v>
      </c>
      <c r="C12" s="46"/>
      <c r="D12" s="49"/>
      <c r="E12" s="46"/>
      <c r="F12" s="48" t="s">
        <v>3</v>
      </c>
      <c r="G12" s="46"/>
      <c r="H12" s="46"/>
      <c r="I12" s="46"/>
      <c r="J12" s="46"/>
      <c r="K12" s="46"/>
      <c r="L12" s="46"/>
      <c r="M12" s="46"/>
      <c r="N12" s="46"/>
      <c r="O12" s="46"/>
      <c r="P12" s="46"/>
      <c r="Q12" s="46"/>
      <c r="R12" s="46"/>
      <c r="S12" s="46"/>
      <c r="T12" s="46"/>
      <c r="U12" s="46"/>
    </row>
    <row r="13" spans="1:21" ht="23.25" x14ac:dyDescent="0.35">
      <c r="A13" s="46"/>
      <c r="B13" s="48" t="s">
        <v>4</v>
      </c>
      <c r="C13" s="46"/>
      <c r="D13" s="48" t="s">
        <v>5</v>
      </c>
      <c r="E13" s="46"/>
      <c r="F13" s="46"/>
      <c r="G13" s="46"/>
      <c r="H13" s="46"/>
      <c r="I13" s="46"/>
      <c r="J13" s="46"/>
      <c r="K13" s="46"/>
      <c r="L13" s="46"/>
      <c r="M13" s="46"/>
      <c r="N13" s="46"/>
      <c r="O13" s="46"/>
      <c r="P13" s="46"/>
      <c r="Q13" s="46"/>
      <c r="R13" s="46"/>
      <c r="S13" s="46"/>
      <c r="T13" s="46"/>
      <c r="U13" s="46"/>
    </row>
    <row r="14" spans="1:21" ht="23.25" x14ac:dyDescent="0.35">
      <c r="A14" s="46"/>
      <c r="B14" s="46"/>
      <c r="C14" s="46"/>
      <c r="D14" s="49"/>
      <c r="E14" s="46"/>
      <c r="F14" s="46"/>
      <c r="G14" s="46"/>
      <c r="H14" s="46"/>
      <c r="I14" s="46"/>
      <c r="J14" s="46"/>
      <c r="K14" s="46"/>
      <c r="L14" s="46"/>
      <c r="M14" s="46"/>
      <c r="N14" s="46"/>
      <c r="O14" s="46"/>
      <c r="P14" s="46"/>
      <c r="Q14" s="46"/>
      <c r="R14" s="46"/>
      <c r="S14" s="46"/>
      <c r="T14" s="46"/>
      <c r="U14" s="46"/>
    </row>
    <row r="15" spans="1:21" ht="23.25" x14ac:dyDescent="0.35">
      <c r="A15" s="46"/>
      <c r="B15" s="46"/>
      <c r="C15" s="46"/>
      <c r="D15" s="49"/>
      <c r="E15" s="46"/>
      <c r="F15" s="46"/>
      <c r="G15" s="46"/>
      <c r="H15" s="46"/>
      <c r="I15" s="46"/>
      <c r="J15" s="46"/>
      <c r="K15" s="46"/>
      <c r="L15" s="46"/>
      <c r="M15" s="46"/>
      <c r="N15" s="46"/>
      <c r="O15" s="46"/>
      <c r="P15" s="46"/>
      <c r="Q15" s="46"/>
      <c r="R15" s="46"/>
      <c r="S15" s="46"/>
      <c r="T15" s="46"/>
      <c r="U15" s="46"/>
    </row>
    <row r="16" spans="1:21" x14ac:dyDescent="0.25">
      <c r="A16" s="46"/>
      <c r="B16" s="46"/>
      <c r="C16" s="46"/>
      <c r="D16" s="46"/>
      <c r="E16" s="46"/>
      <c r="F16" s="46"/>
      <c r="G16" s="46"/>
      <c r="H16" s="46"/>
      <c r="I16" s="46"/>
      <c r="J16" s="46"/>
      <c r="K16" s="46"/>
      <c r="L16" s="46"/>
      <c r="M16" s="46"/>
      <c r="N16" s="46"/>
      <c r="O16" s="46"/>
      <c r="P16" s="46"/>
      <c r="Q16" s="46"/>
      <c r="R16" s="46"/>
      <c r="S16" s="46"/>
      <c r="T16" s="46"/>
      <c r="U16" s="46"/>
    </row>
    <row r="17" spans="1:21" x14ac:dyDescent="0.25">
      <c r="A17" s="46"/>
      <c r="B17" s="46"/>
      <c r="C17" s="46"/>
      <c r="D17" s="46"/>
      <c r="E17" s="46"/>
      <c r="F17" s="46"/>
      <c r="G17" s="46"/>
      <c r="H17" s="46"/>
      <c r="I17" s="46"/>
      <c r="J17" s="46"/>
      <c r="K17" s="46"/>
      <c r="L17" s="46"/>
      <c r="M17" s="46"/>
      <c r="N17" s="46"/>
      <c r="O17" s="46"/>
      <c r="P17" s="46"/>
      <c r="Q17" s="46"/>
      <c r="R17" s="46"/>
      <c r="S17" s="46"/>
      <c r="T17" s="46"/>
      <c r="U17" s="46"/>
    </row>
    <row r="18" spans="1:21" x14ac:dyDescent="0.25">
      <c r="A18" s="46"/>
      <c r="B18" s="46"/>
      <c r="C18" s="46"/>
      <c r="D18" s="46"/>
      <c r="E18" s="46"/>
      <c r="F18" s="46"/>
      <c r="G18" s="46"/>
      <c r="H18" s="46"/>
      <c r="I18" s="46"/>
      <c r="J18" s="46"/>
      <c r="K18" s="46"/>
      <c r="L18" s="46"/>
      <c r="M18" s="46"/>
      <c r="N18" s="46"/>
      <c r="O18" s="46"/>
      <c r="P18" s="46"/>
      <c r="Q18" s="46"/>
      <c r="R18" s="46"/>
      <c r="S18" s="46"/>
      <c r="T18" s="46"/>
      <c r="U18" s="46"/>
    </row>
    <row r="19" spans="1:21" x14ac:dyDescent="0.25">
      <c r="A19" s="46"/>
      <c r="B19" s="46"/>
      <c r="C19" s="46"/>
      <c r="D19" s="46"/>
      <c r="E19" s="46"/>
      <c r="F19" s="46"/>
      <c r="G19" s="46"/>
      <c r="H19" s="46"/>
      <c r="I19" s="46"/>
      <c r="J19" s="46"/>
      <c r="K19" s="46"/>
      <c r="L19" s="46"/>
      <c r="M19" s="46"/>
      <c r="N19" s="46"/>
      <c r="O19" s="46"/>
      <c r="P19" s="46"/>
      <c r="Q19" s="46"/>
      <c r="R19" s="46"/>
      <c r="S19" s="46"/>
      <c r="T19" s="46"/>
      <c r="U19" s="46"/>
    </row>
    <row r="20" spans="1:21" x14ac:dyDescent="0.25">
      <c r="A20" s="46"/>
      <c r="B20" s="46"/>
      <c r="C20" s="46"/>
      <c r="D20" s="46"/>
      <c r="E20" s="46"/>
      <c r="F20" s="46"/>
      <c r="G20" s="46"/>
      <c r="H20" s="46"/>
      <c r="I20" s="46"/>
      <c r="J20" s="46"/>
      <c r="K20" s="46"/>
      <c r="L20" s="46"/>
      <c r="M20" s="46"/>
      <c r="N20" s="46"/>
      <c r="O20" s="46"/>
      <c r="P20" s="46"/>
      <c r="Q20" s="46"/>
      <c r="R20" s="46"/>
      <c r="S20" s="46"/>
      <c r="T20" s="46"/>
      <c r="U20" s="46"/>
    </row>
    <row r="21" spans="1:21" x14ac:dyDescent="0.25">
      <c r="A21" s="46"/>
      <c r="B21" s="46"/>
      <c r="C21" s="46"/>
      <c r="D21" s="46"/>
      <c r="E21" s="46"/>
      <c r="F21" s="46"/>
      <c r="G21" s="46"/>
      <c r="H21" s="46"/>
      <c r="I21" s="46"/>
      <c r="J21" s="46"/>
      <c r="K21" s="46"/>
      <c r="L21" s="46"/>
      <c r="M21" s="46"/>
      <c r="N21" s="46"/>
      <c r="O21" s="46"/>
      <c r="P21" s="46"/>
      <c r="Q21" s="46"/>
      <c r="R21" s="46"/>
      <c r="S21" s="46"/>
      <c r="T21" s="46"/>
      <c r="U21" s="46"/>
    </row>
    <row r="22" spans="1:21" x14ac:dyDescent="0.25">
      <c r="A22" s="46"/>
      <c r="B22" s="46"/>
      <c r="C22" s="46"/>
      <c r="D22" s="46"/>
      <c r="E22" s="46"/>
      <c r="F22" s="46"/>
      <c r="G22" s="46"/>
      <c r="H22" s="46"/>
      <c r="I22" s="46"/>
      <c r="J22" s="46"/>
      <c r="K22" s="46"/>
      <c r="L22" s="46"/>
      <c r="M22" s="46"/>
      <c r="N22" s="46"/>
      <c r="O22" s="46"/>
      <c r="P22" s="46"/>
      <c r="Q22" s="46"/>
      <c r="R22" s="46"/>
      <c r="S22" s="46"/>
      <c r="T22" s="46"/>
      <c r="U22" s="46"/>
    </row>
    <row r="23" spans="1:21" x14ac:dyDescent="0.25">
      <c r="A23" s="46"/>
      <c r="B23" s="46"/>
      <c r="C23" s="46"/>
      <c r="D23" s="46"/>
      <c r="E23" s="46"/>
      <c r="F23" s="46"/>
      <c r="G23" s="46"/>
      <c r="H23" s="46"/>
      <c r="I23" s="46"/>
      <c r="J23" s="46"/>
      <c r="K23" s="46"/>
      <c r="L23" s="46"/>
      <c r="M23" s="46"/>
      <c r="N23" s="46"/>
      <c r="O23" s="46"/>
      <c r="P23" s="46"/>
      <c r="Q23" s="46"/>
      <c r="R23" s="46"/>
      <c r="S23" s="46"/>
      <c r="T23" s="46"/>
      <c r="U23" s="46"/>
    </row>
    <row r="24" spans="1:21" x14ac:dyDescent="0.25">
      <c r="A24" s="46"/>
      <c r="B24" s="46"/>
      <c r="C24" s="46"/>
      <c r="D24" s="46"/>
      <c r="E24" s="46"/>
      <c r="F24" s="46"/>
      <c r="G24" s="46"/>
      <c r="H24" s="46"/>
      <c r="I24" s="46"/>
      <c r="J24" s="46"/>
      <c r="K24" s="46"/>
      <c r="L24" s="46"/>
      <c r="M24" s="46"/>
      <c r="N24" s="46"/>
      <c r="O24" s="46"/>
      <c r="P24" s="46"/>
      <c r="Q24" s="46"/>
      <c r="R24" s="46"/>
      <c r="S24" s="46"/>
      <c r="T24" s="46"/>
      <c r="U24" s="46"/>
    </row>
    <row r="25" spans="1:21" x14ac:dyDescent="0.25">
      <c r="A25" s="46"/>
      <c r="B25" s="46"/>
      <c r="C25" s="46"/>
      <c r="D25" s="46"/>
      <c r="E25" s="46"/>
      <c r="F25" s="46"/>
      <c r="G25" s="46"/>
      <c r="H25" s="46"/>
      <c r="I25" s="46"/>
      <c r="J25" s="46"/>
      <c r="K25" s="46"/>
      <c r="L25" s="46"/>
      <c r="M25" s="46"/>
      <c r="N25" s="46"/>
      <c r="O25" s="46"/>
      <c r="P25" s="46"/>
      <c r="Q25" s="46"/>
      <c r="R25" s="46"/>
      <c r="S25" s="46"/>
      <c r="T25" s="46"/>
      <c r="U25" s="46"/>
    </row>
    <row r="26" spans="1:21" x14ac:dyDescent="0.25">
      <c r="A26" s="46"/>
      <c r="B26" s="46"/>
      <c r="C26" s="46"/>
      <c r="D26" s="46"/>
      <c r="E26" s="46"/>
      <c r="F26" s="46"/>
      <c r="G26" s="46"/>
      <c r="H26" s="46"/>
      <c r="I26" s="46"/>
      <c r="J26" s="46"/>
      <c r="K26" s="46"/>
      <c r="L26" s="46"/>
      <c r="M26" s="46"/>
      <c r="N26" s="46"/>
      <c r="O26" s="46"/>
      <c r="P26" s="46"/>
      <c r="Q26" s="46"/>
      <c r="R26" s="46"/>
      <c r="S26" s="46"/>
      <c r="T26" s="46"/>
      <c r="U26" s="46"/>
    </row>
    <row r="27" spans="1:21" x14ac:dyDescent="0.25">
      <c r="A27" s="46"/>
      <c r="B27" s="46"/>
      <c r="C27" s="46"/>
      <c r="D27" s="46"/>
      <c r="E27" s="46"/>
      <c r="F27" s="46"/>
      <c r="G27" s="46"/>
      <c r="H27" s="46"/>
      <c r="I27" s="46"/>
      <c r="J27" s="46"/>
      <c r="K27" s="46"/>
      <c r="L27" s="46"/>
      <c r="M27" s="46"/>
      <c r="N27" s="46"/>
      <c r="O27" s="46"/>
      <c r="P27" s="46"/>
      <c r="Q27" s="46"/>
      <c r="R27" s="46"/>
      <c r="S27" s="46"/>
      <c r="T27" s="46"/>
      <c r="U27" s="46"/>
    </row>
    <row r="28" spans="1:21" x14ac:dyDescent="0.25">
      <c r="A28" s="46"/>
      <c r="B28" s="46"/>
      <c r="C28" s="46"/>
      <c r="D28" s="46"/>
      <c r="E28" s="46"/>
      <c r="F28" s="46"/>
      <c r="G28" s="46"/>
      <c r="H28" s="46"/>
      <c r="I28" s="46"/>
      <c r="J28" s="46"/>
      <c r="K28" s="46"/>
      <c r="L28" s="46"/>
      <c r="M28" s="46"/>
      <c r="N28" s="46"/>
      <c r="O28" s="46"/>
      <c r="P28" s="46"/>
      <c r="Q28" s="46"/>
      <c r="R28" s="46"/>
      <c r="S28" s="46"/>
      <c r="T28" s="46"/>
      <c r="U28" s="46"/>
    </row>
    <row r="29" spans="1:21" x14ac:dyDescent="0.25">
      <c r="A29" s="46"/>
      <c r="B29" s="46"/>
      <c r="C29" s="46"/>
      <c r="D29" s="46"/>
      <c r="E29" s="46"/>
      <c r="F29" s="46"/>
      <c r="G29" s="46"/>
      <c r="H29" s="46"/>
      <c r="I29" s="46"/>
      <c r="J29" s="46"/>
      <c r="K29" s="46"/>
      <c r="L29" s="46"/>
      <c r="M29" s="46"/>
      <c r="N29" s="46"/>
      <c r="O29" s="46"/>
      <c r="P29" s="46"/>
      <c r="Q29" s="46"/>
      <c r="R29" s="46"/>
      <c r="S29" s="46"/>
      <c r="T29" s="46"/>
      <c r="U29" s="46"/>
    </row>
    <row r="30" spans="1:21" x14ac:dyDescent="0.25">
      <c r="A30" s="46"/>
      <c r="B30" s="46"/>
      <c r="C30" s="46"/>
      <c r="D30" s="46"/>
      <c r="E30" s="46"/>
      <c r="F30" s="46"/>
      <c r="G30" s="46"/>
      <c r="H30" s="46"/>
      <c r="I30" s="46"/>
      <c r="J30" s="46"/>
      <c r="K30" s="46"/>
      <c r="L30" s="46"/>
      <c r="M30" s="46"/>
      <c r="N30" s="46"/>
      <c r="O30" s="46"/>
      <c r="P30" s="46"/>
      <c r="Q30" s="46"/>
      <c r="R30" s="46"/>
      <c r="S30" s="46"/>
      <c r="T30" s="46"/>
      <c r="U30" s="46"/>
    </row>
    <row r="31" spans="1:21" x14ac:dyDescent="0.25">
      <c r="A31" s="46"/>
      <c r="B31" s="46"/>
      <c r="C31" s="46"/>
      <c r="D31" s="46"/>
      <c r="E31" s="46"/>
      <c r="F31" s="46"/>
      <c r="G31" s="46"/>
      <c r="H31" s="46"/>
      <c r="I31" s="46"/>
      <c r="J31" s="46"/>
      <c r="K31" s="46"/>
      <c r="L31" s="46"/>
      <c r="M31" s="46"/>
      <c r="N31" s="46"/>
      <c r="O31" s="46"/>
      <c r="P31" s="46"/>
      <c r="Q31" s="46"/>
      <c r="R31" s="46"/>
      <c r="S31" s="46"/>
      <c r="T31" s="46"/>
      <c r="U31" s="46"/>
    </row>
    <row r="32" spans="1:21" x14ac:dyDescent="0.25">
      <c r="A32" s="46"/>
      <c r="B32" s="46"/>
      <c r="C32" s="46"/>
      <c r="D32" s="46"/>
      <c r="E32" s="46"/>
      <c r="F32" s="46"/>
      <c r="G32" s="46"/>
      <c r="H32" s="46"/>
      <c r="I32" s="46"/>
      <c r="J32" s="46"/>
      <c r="K32" s="46"/>
      <c r="L32" s="46"/>
      <c r="M32" s="46"/>
      <c r="N32" s="46"/>
      <c r="O32" s="46"/>
      <c r="P32" s="46"/>
      <c r="Q32" s="46"/>
      <c r="R32" s="46"/>
      <c r="S32" s="46"/>
      <c r="T32" s="46"/>
      <c r="U32" s="46"/>
    </row>
    <row r="33" spans="1:21" x14ac:dyDescent="0.25">
      <c r="A33" s="46"/>
      <c r="B33" s="46"/>
      <c r="C33" s="46"/>
      <c r="D33" s="46"/>
      <c r="E33" s="46"/>
      <c r="F33" s="46"/>
      <c r="G33" s="46"/>
      <c r="H33" s="46"/>
      <c r="I33" s="46"/>
      <c r="J33" s="46"/>
      <c r="K33" s="46"/>
      <c r="L33" s="46"/>
      <c r="M33" s="46"/>
      <c r="N33" s="46"/>
      <c r="O33" s="46"/>
      <c r="P33" s="46"/>
      <c r="Q33" s="46"/>
      <c r="R33" s="46"/>
      <c r="S33" s="46"/>
      <c r="T33" s="46"/>
      <c r="U33" s="46"/>
    </row>
    <row r="34" spans="1:21" x14ac:dyDescent="0.25">
      <c r="A34" s="46"/>
      <c r="B34" s="46"/>
      <c r="C34" s="46"/>
      <c r="D34" s="46"/>
      <c r="E34" s="46"/>
      <c r="F34" s="46"/>
      <c r="G34" s="46"/>
      <c r="H34" s="46"/>
      <c r="I34" s="46"/>
      <c r="J34" s="46"/>
      <c r="K34" s="46"/>
      <c r="L34" s="46"/>
      <c r="M34" s="46"/>
      <c r="N34" s="46"/>
      <c r="O34" s="46"/>
      <c r="P34" s="46"/>
      <c r="Q34" s="46"/>
      <c r="R34" s="46"/>
      <c r="S34" s="46"/>
      <c r="T34" s="46"/>
      <c r="U34" s="46"/>
    </row>
    <row r="35" spans="1:21" x14ac:dyDescent="0.25">
      <c r="A35" s="46"/>
      <c r="B35" s="46"/>
      <c r="C35" s="46"/>
      <c r="D35" s="46"/>
      <c r="E35" s="46"/>
      <c r="F35" s="46"/>
      <c r="G35" s="46"/>
      <c r="H35" s="46"/>
      <c r="I35" s="46"/>
      <c r="J35" s="46"/>
      <c r="K35" s="46"/>
      <c r="L35" s="46"/>
      <c r="M35" s="46"/>
      <c r="N35" s="46"/>
      <c r="O35" s="46"/>
      <c r="P35" s="46"/>
      <c r="Q35" s="46"/>
      <c r="R35" s="46"/>
      <c r="S35" s="46"/>
      <c r="T35" s="46"/>
      <c r="U35" s="46"/>
    </row>
    <row r="36" spans="1:21" x14ac:dyDescent="0.25">
      <c r="A36" s="46"/>
      <c r="B36" s="46"/>
      <c r="C36" s="46"/>
      <c r="D36" s="46"/>
      <c r="E36" s="46"/>
      <c r="F36" s="46"/>
      <c r="G36" s="46"/>
      <c r="H36" s="46"/>
      <c r="I36" s="46"/>
      <c r="J36" s="46"/>
      <c r="K36" s="46"/>
      <c r="L36" s="46"/>
      <c r="M36" s="46"/>
      <c r="N36" s="46"/>
      <c r="O36" s="46"/>
      <c r="P36" s="46"/>
      <c r="Q36" s="46"/>
      <c r="R36" s="46"/>
      <c r="S36" s="46"/>
      <c r="T36" s="46"/>
      <c r="U36" s="46"/>
    </row>
    <row r="37" spans="1:21" x14ac:dyDescent="0.25">
      <c r="A37" s="46"/>
      <c r="B37" s="46"/>
      <c r="C37" s="46"/>
      <c r="D37" s="46"/>
      <c r="E37" s="46"/>
      <c r="F37" s="46"/>
      <c r="G37" s="46"/>
      <c r="H37" s="46"/>
      <c r="I37" s="46"/>
      <c r="J37" s="46"/>
      <c r="K37" s="46"/>
      <c r="L37" s="46"/>
      <c r="M37" s="46"/>
      <c r="N37" s="46"/>
      <c r="O37" s="46"/>
      <c r="P37" s="46"/>
      <c r="Q37" s="46"/>
      <c r="R37" s="46"/>
      <c r="S37" s="46"/>
      <c r="T37" s="46"/>
      <c r="U37" s="46"/>
    </row>
    <row r="38" spans="1:21" x14ac:dyDescent="0.25">
      <c r="A38" s="46"/>
      <c r="B38" s="46"/>
      <c r="C38" s="46"/>
      <c r="D38" s="46"/>
      <c r="E38" s="46"/>
      <c r="F38" s="46"/>
      <c r="G38" s="46"/>
      <c r="H38" s="46"/>
      <c r="I38" s="46"/>
      <c r="J38" s="46"/>
      <c r="K38" s="46"/>
      <c r="L38" s="46"/>
      <c r="M38" s="46"/>
      <c r="N38" s="46"/>
      <c r="O38" s="46"/>
      <c r="P38" s="46"/>
      <c r="Q38" s="46"/>
      <c r="R38" s="46"/>
      <c r="S38" s="46"/>
      <c r="T38" s="46"/>
      <c r="U38" s="46"/>
    </row>
    <row r="39" spans="1:21" x14ac:dyDescent="0.25">
      <c r="A39" s="46"/>
      <c r="B39" s="46"/>
      <c r="C39" s="46"/>
      <c r="D39" s="46"/>
      <c r="E39" s="46"/>
      <c r="F39" s="46"/>
      <c r="G39" s="46"/>
      <c r="H39" s="46"/>
      <c r="I39" s="46"/>
      <c r="J39" s="46"/>
      <c r="K39" s="46"/>
      <c r="L39" s="46"/>
      <c r="M39" s="46"/>
      <c r="N39" s="46"/>
      <c r="O39" s="46"/>
      <c r="P39" s="46"/>
      <c r="Q39" s="46"/>
      <c r="R39" s="46"/>
      <c r="S39" s="46"/>
      <c r="T39" s="46"/>
      <c r="U39" s="46"/>
    </row>
    <row r="40" spans="1:21" x14ac:dyDescent="0.25">
      <c r="A40" s="46"/>
      <c r="B40" s="46"/>
      <c r="C40" s="46"/>
      <c r="D40" s="46"/>
      <c r="E40" s="46"/>
      <c r="F40" s="46"/>
      <c r="G40" s="46"/>
      <c r="H40" s="46"/>
      <c r="I40" s="46"/>
      <c r="J40" s="46"/>
      <c r="K40" s="46"/>
      <c r="L40" s="46"/>
      <c r="M40" s="46"/>
      <c r="N40" s="46"/>
      <c r="O40" s="46"/>
      <c r="P40" s="46"/>
      <c r="Q40" s="46"/>
      <c r="R40" s="46"/>
      <c r="S40" s="46"/>
      <c r="T40" s="46"/>
      <c r="U40" s="46"/>
    </row>
    <row r="41" spans="1:21" x14ac:dyDescent="0.25">
      <c r="A41" s="46"/>
      <c r="B41" s="46"/>
      <c r="C41" s="46"/>
      <c r="D41" s="46"/>
      <c r="E41" s="46"/>
      <c r="F41" s="46"/>
      <c r="G41" s="46"/>
      <c r="H41" s="46"/>
      <c r="I41" s="46"/>
      <c r="J41" s="46"/>
      <c r="K41" s="46"/>
      <c r="L41" s="46"/>
      <c r="M41" s="46"/>
      <c r="N41" s="46"/>
      <c r="O41" s="46"/>
      <c r="P41" s="46"/>
      <c r="Q41" s="46"/>
      <c r="R41" s="46"/>
      <c r="S41" s="46"/>
      <c r="T41" s="46"/>
      <c r="U41" s="46"/>
    </row>
    <row r="42" spans="1:21" x14ac:dyDescent="0.25">
      <c r="A42" s="46"/>
      <c r="B42" s="46"/>
      <c r="C42" s="46"/>
      <c r="D42" s="46"/>
      <c r="E42" s="46"/>
      <c r="F42" s="46"/>
      <c r="G42" s="46"/>
      <c r="H42" s="46"/>
      <c r="I42" s="46"/>
      <c r="J42" s="46"/>
      <c r="K42" s="46"/>
      <c r="L42" s="46"/>
      <c r="M42" s="46"/>
      <c r="N42" s="46"/>
      <c r="O42" s="46"/>
      <c r="P42" s="46"/>
      <c r="Q42" s="46"/>
      <c r="R42" s="46"/>
      <c r="S42" s="46"/>
      <c r="T42" s="46"/>
      <c r="U42" s="46"/>
    </row>
    <row r="43" spans="1:21" x14ac:dyDescent="0.25">
      <c r="A43" s="46"/>
      <c r="B43" s="46"/>
      <c r="C43" s="46"/>
      <c r="D43" s="46"/>
      <c r="E43" s="46"/>
      <c r="F43" s="46"/>
      <c r="G43" s="46"/>
      <c r="H43" s="46"/>
      <c r="I43" s="46"/>
      <c r="J43" s="46"/>
      <c r="K43" s="46"/>
      <c r="L43" s="46"/>
      <c r="M43" s="46"/>
      <c r="N43" s="46"/>
      <c r="O43" s="46"/>
      <c r="P43" s="46"/>
      <c r="Q43" s="46"/>
      <c r="R43" s="46"/>
      <c r="S43" s="46"/>
      <c r="T43" s="46"/>
      <c r="U43" s="46"/>
    </row>
    <row r="44" spans="1:21" x14ac:dyDescent="0.25">
      <c r="A44" s="46"/>
      <c r="B44" s="46"/>
      <c r="C44" s="46"/>
      <c r="D44" s="46"/>
      <c r="E44" s="46"/>
      <c r="F44" s="46"/>
      <c r="G44" s="46"/>
      <c r="H44" s="46"/>
      <c r="I44" s="46"/>
      <c r="J44" s="46"/>
      <c r="K44" s="46"/>
      <c r="L44" s="46"/>
      <c r="M44" s="46"/>
      <c r="N44" s="46"/>
      <c r="O44" s="46"/>
      <c r="P44" s="46"/>
      <c r="Q44" s="46"/>
      <c r="R44" s="46"/>
      <c r="S44" s="46"/>
      <c r="T44" s="46"/>
      <c r="U44" s="46"/>
    </row>
    <row r="45" spans="1:21" x14ac:dyDescent="0.25">
      <c r="A45" s="46"/>
      <c r="B45" s="46"/>
      <c r="C45" s="46"/>
      <c r="D45" s="46"/>
      <c r="E45" s="46"/>
      <c r="F45" s="46"/>
      <c r="G45" s="46"/>
      <c r="H45" s="46"/>
      <c r="I45" s="46"/>
      <c r="J45" s="46"/>
      <c r="K45" s="46"/>
      <c r="L45" s="46"/>
      <c r="M45" s="46"/>
      <c r="N45" s="46"/>
      <c r="O45" s="46"/>
      <c r="P45" s="46"/>
      <c r="Q45" s="46"/>
      <c r="R45" s="46"/>
      <c r="S45" s="46"/>
      <c r="T45" s="46"/>
      <c r="U45" s="46"/>
    </row>
    <row r="46" spans="1:21" x14ac:dyDescent="0.25">
      <c r="A46" s="46"/>
      <c r="B46" s="46"/>
      <c r="C46" s="46"/>
      <c r="D46" s="46"/>
      <c r="E46" s="46"/>
      <c r="F46" s="46"/>
      <c r="G46" s="46"/>
      <c r="H46" s="46"/>
      <c r="I46" s="46"/>
      <c r="J46" s="46"/>
      <c r="K46" s="46"/>
      <c r="L46" s="46"/>
      <c r="M46" s="46"/>
      <c r="N46" s="46"/>
      <c r="O46" s="46"/>
      <c r="P46" s="46"/>
      <c r="Q46" s="46"/>
      <c r="R46" s="46"/>
      <c r="S46" s="46"/>
      <c r="T46" s="46"/>
      <c r="U46" s="46"/>
    </row>
    <row r="47" spans="1:21" x14ac:dyDescent="0.25">
      <c r="A47" s="46"/>
      <c r="B47" s="46"/>
      <c r="C47" s="46"/>
      <c r="D47" s="46"/>
      <c r="E47" s="46"/>
      <c r="F47" s="46"/>
      <c r="G47" s="46"/>
      <c r="H47" s="46"/>
      <c r="I47" s="46"/>
      <c r="J47" s="46"/>
      <c r="K47" s="46"/>
      <c r="L47" s="46"/>
      <c r="M47" s="46"/>
      <c r="N47" s="46"/>
      <c r="O47" s="46"/>
      <c r="P47" s="46"/>
      <c r="Q47" s="46"/>
      <c r="R47" s="46"/>
      <c r="S47" s="46"/>
      <c r="T47" s="46"/>
      <c r="U47" s="46"/>
    </row>
    <row r="48" spans="1:21" x14ac:dyDescent="0.25">
      <c r="A48" s="46"/>
      <c r="B48" s="46"/>
      <c r="C48" s="46"/>
      <c r="D48" s="46"/>
      <c r="E48" s="46"/>
      <c r="F48" s="46"/>
      <c r="G48" s="46"/>
      <c r="H48" s="46"/>
      <c r="I48" s="46"/>
      <c r="J48" s="46"/>
      <c r="K48" s="46"/>
      <c r="L48" s="46"/>
      <c r="M48" s="46"/>
      <c r="N48" s="46"/>
      <c r="O48" s="46"/>
      <c r="P48" s="46"/>
      <c r="Q48" s="46"/>
      <c r="R48" s="46"/>
      <c r="S48" s="46"/>
      <c r="T48" s="46"/>
      <c r="U48" s="46"/>
    </row>
    <row r="49" spans="1:21" x14ac:dyDescent="0.25">
      <c r="A49" s="46"/>
      <c r="B49" s="46"/>
      <c r="C49" s="46"/>
      <c r="D49" s="46"/>
      <c r="E49" s="46"/>
      <c r="F49" s="46"/>
      <c r="G49" s="46"/>
      <c r="H49" s="46"/>
      <c r="I49" s="46"/>
      <c r="J49" s="46"/>
      <c r="K49" s="46"/>
      <c r="L49" s="46"/>
      <c r="M49" s="46"/>
      <c r="N49" s="46"/>
      <c r="O49" s="46"/>
      <c r="P49" s="46"/>
      <c r="Q49" s="46"/>
      <c r="R49" s="46"/>
      <c r="S49" s="46"/>
      <c r="T49" s="46"/>
      <c r="U49" s="46"/>
    </row>
    <row r="50" spans="1:21" x14ac:dyDescent="0.25">
      <c r="A50" s="46"/>
      <c r="B50" s="46"/>
      <c r="C50" s="46"/>
      <c r="D50" s="46"/>
      <c r="E50" s="46"/>
      <c r="F50" s="46"/>
      <c r="G50" s="46"/>
      <c r="H50" s="46"/>
      <c r="I50" s="46"/>
      <c r="J50" s="46"/>
      <c r="K50" s="46"/>
      <c r="L50" s="46"/>
      <c r="M50" s="46"/>
      <c r="N50" s="46"/>
      <c r="O50" s="46"/>
      <c r="P50" s="46"/>
      <c r="Q50" s="46"/>
      <c r="R50" s="46"/>
      <c r="S50" s="46"/>
      <c r="T50" s="46"/>
      <c r="U50" s="46"/>
    </row>
    <row r="51" spans="1:21" x14ac:dyDescent="0.25">
      <c r="A51" s="46"/>
      <c r="B51" s="46"/>
      <c r="C51" s="46"/>
      <c r="D51" s="46"/>
      <c r="E51" s="46"/>
      <c r="F51" s="46"/>
      <c r="G51" s="46"/>
      <c r="H51" s="46"/>
      <c r="I51" s="46"/>
      <c r="J51" s="46"/>
      <c r="K51" s="46"/>
      <c r="L51" s="46"/>
      <c r="M51" s="46"/>
      <c r="N51" s="46"/>
      <c r="O51" s="46"/>
      <c r="P51" s="46"/>
      <c r="Q51" s="46"/>
      <c r="R51" s="46"/>
      <c r="S51" s="46"/>
      <c r="T51" s="46"/>
      <c r="U51" s="46"/>
    </row>
    <row r="52" spans="1:21" x14ac:dyDescent="0.25">
      <c r="A52" s="46"/>
      <c r="B52" s="46"/>
      <c r="C52" s="46"/>
      <c r="D52" s="46"/>
      <c r="E52" s="46"/>
      <c r="F52" s="46"/>
      <c r="G52" s="46"/>
      <c r="H52" s="46"/>
      <c r="I52" s="46"/>
      <c r="J52" s="46"/>
      <c r="K52" s="46"/>
      <c r="L52" s="46"/>
      <c r="M52" s="46"/>
      <c r="N52" s="46"/>
      <c r="O52" s="46"/>
      <c r="P52" s="46"/>
      <c r="Q52" s="46"/>
      <c r="R52" s="46"/>
      <c r="S52" s="46"/>
      <c r="T52" s="46"/>
      <c r="U52" s="46"/>
    </row>
    <row r="53" spans="1:21" x14ac:dyDescent="0.25">
      <c r="A53" s="46"/>
      <c r="B53" s="46"/>
      <c r="C53" s="46"/>
      <c r="D53" s="46"/>
      <c r="E53" s="46"/>
      <c r="F53" s="46"/>
      <c r="G53" s="46"/>
      <c r="H53" s="46"/>
      <c r="I53" s="46"/>
      <c r="J53" s="46"/>
      <c r="K53" s="46"/>
      <c r="L53" s="46"/>
      <c r="M53" s="46"/>
      <c r="N53" s="46"/>
      <c r="O53" s="46"/>
      <c r="P53" s="46"/>
      <c r="Q53" s="46"/>
      <c r="R53" s="46"/>
      <c r="S53" s="46"/>
      <c r="T53" s="46"/>
      <c r="U53" s="46"/>
    </row>
    <row r="54" spans="1:21" x14ac:dyDescent="0.25">
      <c r="A54" s="46"/>
      <c r="B54" s="46"/>
      <c r="C54" s="46"/>
      <c r="D54" s="46"/>
      <c r="E54" s="46"/>
      <c r="F54" s="46"/>
      <c r="G54" s="46"/>
      <c r="H54" s="46"/>
      <c r="I54" s="46"/>
      <c r="J54" s="46"/>
      <c r="K54" s="46"/>
      <c r="L54" s="46"/>
      <c r="M54" s="46"/>
      <c r="N54" s="46"/>
      <c r="O54" s="46"/>
      <c r="P54" s="46"/>
      <c r="Q54" s="46"/>
      <c r="R54" s="46"/>
      <c r="S54" s="46"/>
      <c r="T54" s="46"/>
      <c r="U54" s="46"/>
    </row>
    <row r="55" spans="1:21" x14ac:dyDescent="0.25">
      <c r="A55" s="46"/>
      <c r="B55" s="46"/>
      <c r="C55" s="46"/>
      <c r="D55" s="46"/>
      <c r="E55" s="46"/>
      <c r="F55" s="46"/>
      <c r="G55" s="46"/>
      <c r="H55" s="46"/>
      <c r="I55" s="46"/>
      <c r="J55" s="46"/>
      <c r="K55" s="46"/>
      <c r="L55" s="46"/>
      <c r="M55" s="46"/>
      <c r="N55" s="46"/>
      <c r="O55" s="46"/>
      <c r="P55" s="46"/>
      <c r="Q55" s="46"/>
      <c r="R55" s="46"/>
      <c r="S55" s="46"/>
      <c r="T55" s="46"/>
      <c r="U55" s="46"/>
    </row>
    <row r="56" spans="1:21" x14ac:dyDescent="0.25">
      <c r="A56" s="46"/>
      <c r="B56" s="46"/>
      <c r="C56" s="46"/>
      <c r="D56" s="46"/>
      <c r="E56" s="46"/>
      <c r="F56" s="46"/>
      <c r="G56" s="46"/>
      <c r="H56" s="46"/>
      <c r="I56" s="46"/>
      <c r="J56" s="46"/>
      <c r="K56" s="46"/>
      <c r="L56" s="46"/>
      <c r="M56" s="46"/>
      <c r="N56" s="46"/>
      <c r="O56" s="46"/>
      <c r="P56" s="46"/>
      <c r="Q56" s="46"/>
      <c r="R56" s="46"/>
      <c r="S56" s="46"/>
      <c r="T56" s="46"/>
      <c r="U56" s="46"/>
    </row>
    <row r="57" spans="1:21" x14ac:dyDescent="0.25">
      <c r="A57" s="46"/>
      <c r="B57" s="46"/>
      <c r="C57" s="46"/>
      <c r="D57" s="46"/>
      <c r="E57" s="46"/>
      <c r="F57" s="46"/>
      <c r="G57" s="46"/>
      <c r="H57" s="46"/>
      <c r="I57" s="46"/>
      <c r="J57" s="46"/>
      <c r="K57" s="46"/>
      <c r="L57" s="46"/>
      <c r="M57" s="46"/>
      <c r="N57" s="46"/>
      <c r="O57" s="46"/>
      <c r="P57" s="46"/>
      <c r="Q57" s="46"/>
      <c r="R57" s="46"/>
      <c r="S57" s="46"/>
      <c r="T57" s="46"/>
      <c r="U57" s="46"/>
    </row>
    <row r="58" spans="1:21" x14ac:dyDescent="0.25">
      <c r="A58" s="46"/>
      <c r="B58" s="46"/>
      <c r="C58" s="46"/>
      <c r="D58" s="46"/>
      <c r="E58" s="46"/>
      <c r="F58" s="46"/>
      <c r="G58" s="46"/>
      <c r="H58" s="46"/>
      <c r="I58" s="46"/>
      <c r="J58" s="46"/>
      <c r="K58" s="46"/>
      <c r="L58" s="46"/>
      <c r="M58" s="46"/>
      <c r="N58" s="46"/>
      <c r="O58" s="46"/>
      <c r="P58" s="46"/>
      <c r="Q58" s="46"/>
      <c r="R58" s="46"/>
      <c r="S58" s="46"/>
      <c r="T58" s="46"/>
      <c r="U58" s="46"/>
    </row>
    <row r="59" spans="1:21" x14ac:dyDescent="0.25">
      <c r="A59" s="46"/>
      <c r="B59" s="46"/>
      <c r="C59" s="46"/>
      <c r="D59" s="46"/>
      <c r="E59" s="46"/>
      <c r="F59" s="46"/>
      <c r="G59" s="46"/>
      <c r="H59" s="46"/>
      <c r="I59" s="46"/>
      <c r="J59" s="46"/>
      <c r="K59" s="46"/>
      <c r="L59" s="46"/>
      <c r="M59" s="46"/>
      <c r="N59" s="46"/>
      <c r="O59" s="46"/>
      <c r="P59" s="46"/>
      <c r="Q59" s="46"/>
      <c r="R59" s="46"/>
      <c r="S59" s="46"/>
      <c r="T59" s="46"/>
      <c r="U59" s="46"/>
    </row>
    <row r="60" spans="1:21" x14ac:dyDescent="0.25">
      <c r="A60" s="46"/>
      <c r="B60" s="46"/>
      <c r="C60" s="46"/>
      <c r="D60" s="46"/>
      <c r="E60" s="46"/>
      <c r="F60" s="46"/>
      <c r="G60" s="46"/>
      <c r="H60" s="46"/>
      <c r="I60" s="46"/>
      <c r="J60" s="46"/>
      <c r="K60" s="46"/>
      <c r="L60" s="46"/>
      <c r="M60" s="46"/>
      <c r="N60" s="46"/>
      <c r="O60" s="46"/>
      <c r="P60" s="46"/>
      <c r="Q60" s="46"/>
      <c r="R60" s="46"/>
      <c r="S60" s="46"/>
      <c r="T60" s="46"/>
      <c r="U60" s="46"/>
    </row>
    <row r="61" spans="1:21" x14ac:dyDescent="0.25">
      <c r="A61" s="46"/>
      <c r="B61" s="46"/>
      <c r="C61" s="46"/>
      <c r="D61" s="46"/>
      <c r="E61" s="46"/>
      <c r="F61" s="46"/>
      <c r="G61" s="46"/>
      <c r="H61" s="46"/>
      <c r="I61" s="46"/>
      <c r="J61" s="46"/>
      <c r="K61" s="46"/>
      <c r="L61" s="46"/>
      <c r="M61" s="46"/>
      <c r="N61" s="46"/>
      <c r="O61" s="46"/>
      <c r="P61" s="46"/>
      <c r="Q61" s="46"/>
      <c r="R61" s="46"/>
      <c r="S61" s="46"/>
      <c r="T61" s="46"/>
      <c r="U61" s="46"/>
    </row>
    <row r="62" spans="1:21" x14ac:dyDescent="0.25">
      <c r="A62" s="46"/>
      <c r="B62" s="46"/>
      <c r="C62" s="46"/>
      <c r="D62" s="46"/>
      <c r="E62" s="46"/>
      <c r="F62" s="46"/>
      <c r="G62" s="46"/>
      <c r="H62" s="46"/>
      <c r="I62" s="46"/>
      <c r="J62" s="46"/>
      <c r="K62" s="46"/>
      <c r="L62" s="46"/>
      <c r="M62" s="46"/>
      <c r="N62" s="46"/>
      <c r="O62" s="46"/>
      <c r="P62" s="46"/>
      <c r="Q62" s="46"/>
      <c r="R62" s="46"/>
      <c r="S62" s="46"/>
      <c r="T62" s="46"/>
      <c r="U62" s="46"/>
    </row>
    <row r="63" spans="1:21" x14ac:dyDescent="0.25">
      <c r="A63" s="46"/>
      <c r="B63" s="46"/>
      <c r="C63" s="46"/>
      <c r="D63" s="46"/>
      <c r="E63" s="46"/>
      <c r="F63" s="46"/>
      <c r="G63" s="46"/>
      <c r="H63" s="46"/>
      <c r="I63" s="46"/>
      <c r="J63" s="46"/>
      <c r="K63" s="46"/>
      <c r="L63" s="46"/>
      <c r="M63" s="46"/>
      <c r="N63" s="46"/>
      <c r="O63" s="46"/>
      <c r="P63" s="46"/>
      <c r="Q63" s="46"/>
      <c r="R63" s="46"/>
      <c r="S63" s="46"/>
      <c r="T63" s="46"/>
      <c r="U63" s="46"/>
    </row>
    <row r="64" spans="1:21" x14ac:dyDescent="0.25">
      <c r="A64" s="46"/>
      <c r="B64" s="46"/>
      <c r="C64" s="46"/>
      <c r="D64" s="46"/>
      <c r="E64" s="46"/>
      <c r="F64" s="46"/>
      <c r="G64" s="46"/>
      <c r="H64" s="46"/>
      <c r="I64" s="46"/>
      <c r="J64" s="46"/>
      <c r="K64" s="46"/>
      <c r="L64" s="46"/>
      <c r="M64" s="46"/>
      <c r="N64" s="46"/>
      <c r="O64" s="46"/>
      <c r="P64" s="46"/>
      <c r="Q64" s="46"/>
      <c r="R64" s="46"/>
      <c r="S64" s="46"/>
      <c r="T64" s="46"/>
      <c r="U64" s="46"/>
    </row>
    <row r="65" spans="1:21" x14ac:dyDescent="0.25">
      <c r="A65" s="46"/>
      <c r="B65" s="46"/>
      <c r="C65" s="46"/>
      <c r="D65" s="46"/>
      <c r="E65" s="46"/>
      <c r="F65" s="46"/>
      <c r="G65" s="46"/>
      <c r="H65" s="46"/>
      <c r="I65" s="46"/>
      <c r="J65" s="46"/>
      <c r="K65" s="46"/>
      <c r="L65" s="46"/>
      <c r="M65" s="46"/>
      <c r="N65" s="46"/>
      <c r="O65" s="46"/>
      <c r="P65" s="46"/>
      <c r="Q65" s="46"/>
      <c r="R65" s="46"/>
      <c r="S65" s="46"/>
      <c r="T65" s="46"/>
      <c r="U65" s="46"/>
    </row>
    <row r="66" spans="1:21" x14ac:dyDescent="0.25">
      <c r="A66" s="46"/>
      <c r="B66" s="46"/>
      <c r="C66" s="46"/>
      <c r="D66" s="46"/>
      <c r="E66" s="46"/>
      <c r="F66" s="46"/>
      <c r="G66" s="46"/>
      <c r="H66" s="46"/>
      <c r="I66" s="46"/>
      <c r="J66" s="46"/>
      <c r="K66" s="46"/>
      <c r="L66" s="46"/>
      <c r="M66" s="46"/>
      <c r="N66" s="46"/>
      <c r="O66" s="46"/>
      <c r="P66" s="46"/>
      <c r="Q66" s="46"/>
      <c r="R66" s="46"/>
      <c r="S66" s="46"/>
      <c r="T66" s="46"/>
      <c r="U66" s="46"/>
    </row>
    <row r="67" spans="1:21" x14ac:dyDescent="0.25">
      <c r="A67" s="46"/>
      <c r="B67" s="46"/>
      <c r="C67" s="46"/>
      <c r="D67" s="46"/>
      <c r="E67" s="46"/>
      <c r="F67" s="46"/>
      <c r="G67" s="46"/>
      <c r="H67" s="46"/>
      <c r="I67" s="46"/>
      <c r="J67" s="46"/>
      <c r="K67" s="46"/>
      <c r="L67" s="46"/>
      <c r="M67" s="46"/>
      <c r="N67" s="46"/>
      <c r="O67" s="46"/>
      <c r="P67" s="46"/>
      <c r="Q67" s="46"/>
      <c r="R67" s="46"/>
      <c r="S67" s="46"/>
      <c r="T67" s="46"/>
      <c r="U67" s="46"/>
    </row>
    <row r="68" spans="1:21" x14ac:dyDescent="0.25">
      <c r="A68" s="46"/>
      <c r="B68" s="46"/>
      <c r="C68" s="46"/>
      <c r="D68" s="46"/>
      <c r="E68" s="46"/>
      <c r="F68" s="46"/>
      <c r="G68" s="46"/>
      <c r="H68" s="46"/>
      <c r="I68" s="46"/>
      <c r="J68" s="46"/>
      <c r="K68" s="46"/>
      <c r="L68" s="46"/>
      <c r="M68" s="46"/>
      <c r="N68" s="46"/>
      <c r="O68" s="46"/>
      <c r="P68" s="46"/>
      <c r="Q68" s="46"/>
      <c r="R68" s="46"/>
      <c r="S68" s="46"/>
      <c r="T68" s="46"/>
      <c r="U68" s="46"/>
    </row>
    <row r="69" spans="1:21" x14ac:dyDescent="0.25">
      <c r="A69" s="46"/>
      <c r="B69" s="46"/>
      <c r="C69" s="46"/>
      <c r="D69" s="46"/>
      <c r="E69" s="46"/>
      <c r="F69" s="46"/>
      <c r="G69" s="46"/>
      <c r="H69" s="46"/>
      <c r="I69" s="46"/>
      <c r="J69" s="46"/>
      <c r="K69" s="46"/>
      <c r="L69" s="46"/>
      <c r="M69" s="46"/>
      <c r="N69" s="46"/>
      <c r="O69" s="46"/>
      <c r="P69" s="46"/>
      <c r="Q69" s="46"/>
      <c r="R69" s="46"/>
      <c r="S69" s="46"/>
      <c r="T69" s="46"/>
      <c r="U69" s="46"/>
    </row>
    <row r="70" spans="1:21" x14ac:dyDescent="0.25">
      <c r="A70" s="46"/>
      <c r="B70" s="46"/>
      <c r="C70" s="46"/>
      <c r="D70" s="46"/>
      <c r="E70" s="46"/>
      <c r="F70" s="46"/>
      <c r="G70" s="46"/>
      <c r="H70" s="46"/>
      <c r="I70" s="46"/>
      <c r="J70" s="46"/>
      <c r="K70" s="46"/>
      <c r="L70" s="46"/>
      <c r="M70" s="46"/>
      <c r="N70" s="46"/>
      <c r="O70" s="46"/>
      <c r="P70" s="46"/>
      <c r="Q70" s="46"/>
      <c r="R70" s="46"/>
      <c r="S70" s="46"/>
      <c r="T70" s="46"/>
      <c r="U70" s="46"/>
    </row>
    <row r="71" spans="1:21" x14ac:dyDescent="0.25">
      <c r="A71" s="46"/>
      <c r="B71" s="46"/>
      <c r="C71" s="46"/>
      <c r="D71" s="46"/>
      <c r="E71" s="46"/>
      <c r="F71" s="46"/>
      <c r="G71" s="46"/>
      <c r="H71" s="46"/>
      <c r="I71" s="46"/>
      <c r="J71" s="46"/>
      <c r="K71" s="46"/>
      <c r="L71" s="46"/>
      <c r="M71" s="46"/>
      <c r="N71" s="46"/>
      <c r="O71" s="46"/>
      <c r="P71" s="46"/>
      <c r="Q71" s="46"/>
      <c r="R71" s="46"/>
      <c r="S71" s="46"/>
      <c r="T71" s="46"/>
      <c r="U71" s="46"/>
    </row>
    <row r="72" spans="1:21" x14ac:dyDescent="0.25">
      <c r="A72" s="46"/>
      <c r="B72" s="46"/>
      <c r="C72" s="46"/>
      <c r="D72" s="46"/>
      <c r="E72" s="46"/>
      <c r="F72" s="46"/>
      <c r="G72" s="46"/>
      <c r="H72" s="46"/>
      <c r="I72" s="46"/>
      <c r="J72" s="46"/>
      <c r="K72" s="46"/>
      <c r="L72" s="46"/>
      <c r="M72" s="46"/>
      <c r="N72" s="46"/>
      <c r="O72" s="46"/>
      <c r="P72" s="46"/>
      <c r="Q72" s="46"/>
      <c r="R72" s="46"/>
      <c r="S72" s="46"/>
      <c r="T72" s="46"/>
      <c r="U72" s="46"/>
    </row>
    <row r="73" spans="1:21" x14ac:dyDescent="0.25">
      <c r="A73" s="46"/>
      <c r="B73" s="46"/>
      <c r="C73" s="46"/>
      <c r="D73" s="46"/>
      <c r="E73" s="46"/>
      <c r="F73" s="46"/>
      <c r="G73" s="46"/>
      <c r="H73" s="46"/>
      <c r="I73" s="46"/>
      <c r="J73" s="46"/>
      <c r="K73" s="46"/>
      <c r="L73" s="46"/>
      <c r="M73" s="46"/>
      <c r="N73" s="46"/>
      <c r="O73" s="46"/>
      <c r="P73" s="46"/>
      <c r="Q73" s="46"/>
      <c r="R73" s="46"/>
      <c r="S73" s="46"/>
      <c r="T73" s="46"/>
      <c r="U73" s="46"/>
    </row>
    <row r="74" spans="1:21" x14ac:dyDescent="0.25">
      <c r="A74" s="46"/>
      <c r="B74" s="46"/>
      <c r="C74" s="46"/>
      <c r="D74" s="46"/>
      <c r="E74" s="46"/>
      <c r="F74" s="46"/>
      <c r="G74" s="46"/>
      <c r="H74" s="46"/>
      <c r="I74" s="46"/>
      <c r="J74" s="46"/>
      <c r="K74" s="46"/>
      <c r="L74" s="46"/>
      <c r="M74" s="46"/>
      <c r="N74" s="46"/>
      <c r="O74" s="46"/>
      <c r="P74" s="46"/>
      <c r="Q74" s="46"/>
      <c r="R74" s="46"/>
      <c r="S74" s="46"/>
      <c r="T74" s="46"/>
      <c r="U74" s="46"/>
    </row>
    <row r="75" spans="1:21" x14ac:dyDescent="0.25">
      <c r="A75" s="46"/>
      <c r="B75" s="46"/>
      <c r="C75" s="46"/>
      <c r="D75" s="46"/>
      <c r="E75" s="46"/>
      <c r="F75" s="46"/>
      <c r="G75" s="46"/>
      <c r="H75" s="46"/>
      <c r="I75" s="46"/>
      <c r="J75" s="46"/>
      <c r="K75" s="46"/>
      <c r="L75" s="46"/>
      <c r="M75" s="46"/>
      <c r="N75" s="46"/>
      <c r="O75" s="46"/>
      <c r="P75" s="46"/>
      <c r="Q75" s="46"/>
      <c r="R75" s="46"/>
      <c r="S75" s="46"/>
      <c r="T75" s="46"/>
      <c r="U75" s="46"/>
    </row>
    <row r="76" spans="1:21" x14ac:dyDescent="0.25">
      <c r="A76" s="46"/>
      <c r="B76" s="46"/>
      <c r="C76" s="46"/>
      <c r="D76" s="46"/>
      <c r="E76" s="46"/>
      <c r="F76" s="46"/>
      <c r="G76" s="46"/>
      <c r="H76" s="46"/>
      <c r="I76" s="46"/>
      <c r="J76" s="46"/>
      <c r="K76" s="46"/>
      <c r="L76" s="46"/>
      <c r="M76" s="46"/>
      <c r="N76" s="46"/>
      <c r="O76" s="46"/>
      <c r="P76" s="46"/>
      <c r="Q76" s="46"/>
      <c r="R76" s="46"/>
      <c r="S76" s="46"/>
      <c r="T76" s="46"/>
      <c r="U76" s="46"/>
    </row>
    <row r="77" spans="1:21" x14ac:dyDescent="0.25">
      <c r="A77" s="46"/>
      <c r="B77" s="46"/>
      <c r="C77" s="46"/>
      <c r="D77" s="46"/>
      <c r="E77" s="46"/>
      <c r="F77" s="46"/>
      <c r="G77" s="46"/>
      <c r="H77" s="46"/>
      <c r="I77" s="46"/>
      <c r="J77" s="46"/>
      <c r="K77" s="46"/>
      <c r="L77" s="46"/>
      <c r="M77" s="46"/>
      <c r="N77" s="46"/>
      <c r="O77" s="46"/>
      <c r="P77" s="46"/>
      <c r="Q77" s="46"/>
      <c r="R77" s="46"/>
      <c r="S77" s="46"/>
      <c r="T77" s="46"/>
      <c r="U77" s="46"/>
    </row>
    <row r="78" spans="1:21" x14ac:dyDescent="0.25">
      <c r="A78" s="46"/>
      <c r="B78" s="46"/>
      <c r="C78" s="46"/>
      <c r="D78" s="46"/>
      <c r="E78" s="46"/>
      <c r="F78" s="46"/>
      <c r="G78" s="46"/>
      <c r="H78" s="46"/>
      <c r="I78" s="46"/>
      <c r="J78" s="46"/>
      <c r="K78" s="46"/>
      <c r="L78" s="46"/>
      <c r="M78" s="46"/>
      <c r="N78" s="46"/>
      <c r="O78" s="46"/>
      <c r="P78" s="46"/>
      <c r="Q78" s="46"/>
      <c r="R78" s="46"/>
      <c r="S78" s="46"/>
      <c r="T78" s="46"/>
      <c r="U78" s="46"/>
    </row>
    <row r="79" spans="1:21" x14ac:dyDescent="0.25">
      <c r="A79" s="46"/>
      <c r="B79" s="46"/>
      <c r="C79" s="46"/>
      <c r="D79" s="46"/>
      <c r="E79" s="46"/>
      <c r="F79" s="46"/>
      <c r="G79" s="46"/>
      <c r="H79" s="46"/>
      <c r="I79" s="46"/>
      <c r="J79" s="46"/>
      <c r="K79" s="46"/>
      <c r="L79" s="46"/>
      <c r="M79" s="46"/>
      <c r="N79" s="46"/>
      <c r="O79" s="46"/>
      <c r="P79" s="46"/>
      <c r="Q79" s="46"/>
      <c r="R79" s="46"/>
      <c r="S79" s="46"/>
      <c r="T79" s="46"/>
      <c r="U79" s="46"/>
    </row>
    <row r="80" spans="1:21" x14ac:dyDescent="0.25">
      <c r="A80" s="46"/>
      <c r="B80" s="46"/>
      <c r="C80" s="46"/>
      <c r="D80" s="46"/>
      <c r="E80" s="46"/>
      <c r="F80" s="46"/>
      <c r="G80" s="46"/>
      <c r="H80" s="46"/>
      <c r="I80" s="46"/>
      <c r="J80" s="46"/>
      <c r="K80" s="46"/>
      <c r="L80" s="46"/>
      <c r="M80" s="46"/>
      <c r="N80" s="46"/>
      <c r="O80" s="46"/>
      <c r="P80" s="46"/>
      <c r="Q80" s="46"/>
      <c r="R80" s="46"/>
      <c r="S80" s="46"/>
      <c r="T80" s="46"/>
      <c r="U80" s="46"/>
    </row>
    <row r="81" spans="1:21" x14ac:dyDescent="0.25">
      <c r="A81" s="46"/>
      <c r="B81" s="46"/>
      <c r="C81" s="46"/>
      <c r="D81" s="46"/>
      <c r="E81" s="46"/>
      <c r="F81" s="46"/>
      <c r="G81" s="46"/>
      <c r="H81" s="46"/>
      <c r="I81" s="46"/>
      <c r="J81" s="46"/>
      <c r="K81" s="46"/>
      <c r="L81" s="46"/>
      <c r="M81" s="46"/>
      <c r="N81" s="46"/>
      <c r="O81" s="46"/>
      <c r="P81" s="46"/>
      <c r="Q81" s="46"/>
      <c r="R81" s="46"/>
      <c r="S81" s="46"/>
      <c r="T81" s="46"/>
      <c r="U81" s="46"/>
    </row>
    <row r="82" spans="1:21" x14ac:dyDescent="0.25">
      <c r="A82" s="46"/>
      <c r="B82" s="46"/>
      <c r="C82" s="46"/>
      <c r="D82" s="46"/>
      <c r="E82" s="46"/>
      <c r="F82" s="46"/>
      <c r="G82" s="46"/>
      <c r="H82" s="46"/>
      <c r="I82" s="46"/>
      <c r="J82" s="46"/>
      <c r="K82" s="46"/>
      <c r="L82" s="46"/>
      <c r="M82" s="46"/>
      <c r="N82" s="46"/>
      <c r="O82" s="46"/>
      <c r="P82" s="46"/>
      <c r="Q82" s="46"/>
      <c r="R82" s="46"/>
      <c r="S82" s="46"/>
      <c r="T82" s="46"/>
      <c r="U82" s="46"/>
    </row>
    <row r="83" spans="1:21" x14ac:dyDescent="0.25">
      <c r="A83" s="46"/>
      <c r="B83" s="46"/>
      <c r="C83" s="46"/>
      <c r="D83" s="46"/>
      <c r="E83" s="46"/>
      <c r="F83" s="46"/>
      <c r="G83" s="46"/>
      <c r="H83" s="46"/>
      <c r="I83" s="46"/>
      <c r="J83" s="46"/>
      <c r="K83" s="46"/>
      <c r="L83" s="46"/>
      <c r="M83" s="46"/>
      <c r="N83" s="46"/>
      <c r="O83" s="46"/>
      <c r="P83" s="46"/>
      <c r="Q83" s="46"/>
      <c r="R83" s="46"/>
      <c r="S83" s="46"/>
      <c r="T83" s="46"/>
      <c r="U83" s="46"/>
    </row>
    <row r="84" spans="1:21" x14ac:dyDescent="0.25">
      <c r="A84" s="46"/>
      <c r="B84" s="46"/>
      <c r="C84" s="46"/>
      <c r="D84" s="46"/>
      <c r="E84" s="46"/>
      <c r="F84" s="46"/>
      <c r="G84" s="46"/>
      <c r="H84" s="46"/>
      <c r="I84" s="46"/>
      <c r="J84" s="46"/>
      <c r="K84" s="46"/>
      <c r="L84" s="46"/>
      <c r="M84" s="46"/>
      <c r="N84" s="46"/>
      <c r="O84" s="46"/>
      <c r="P84" s="46"/>
      <c r="Q84" s="46"/>
      <c r="R84" s="46"/>
      <c r="S84" s="46"/>
      <c r="T84" s="46"/>
      <c r="U84" s="46"/>
    </row>
    <row r="85" spans="1:21" x14ac:dyDescent="0.25">
      <c r="A85" s="46"/>
      <c r="B85" s="46"/>
      <c r="C85" s="46"/>
      <c r="D85" s="46"/>
      <c r="E85" s="46"/>
      <c r="F85" s="46"/>
      <c r="G85" s="46"/>
      <c r="H85" s="46"/>
      <c r="I85" s="46"/>
      <c r="J85" s="46"/>
      <c r="K85" s="46"/>
      <c r="L85" s="46"/>
      <c r="M85" s="46"/>
      <c r="N85" s="46"/>
      <c r="O85" s="46"/>
      <c r="P85" s="46"/>
      <c r="Q85" s="46"/>
      <c r="R85" s="46"/>
      <c r="S85" s="46"/>
      <c r="T85" s="46"/>
      <c r="U85" s="46"/>
    </row>
    <row r="86" spans="1:21" x14ac:dyDescent="0.25">
      <c r="A86" s="46"/>
      <c r="B86" s="46"/>
      <c r="C86" s="46"/>
      <c r="D86" s="46"/>
      <c r="E86" s="46"/>
      <c r="F86" s="46"/>
      <c r="G86" s="46"/>
      <c r="H86" s="46"/>
      <c r="I86" s="46"/>
      <c r="J86" s="46"/>
      <c r="K86" s="46"/>
      <c r="L86" s="46"/>
      <c r="M86" s="46"/>
      <c r="N86" s="46"/>
      <c r="O86" s="46"/>
      <c r="P86" s="46"/>
      <c r="Q86" s="46"/>
      <c r="R86" s="46"/>
      <c r="S86" s="46"/>
      <c r="T86" s="46"/>
      <c r="U86" s="46"/>
    </row>
    <row r="87" spans="1:21" x14ac:dyDescent="0.25">
      <c r="A87" s="46"/>
      <c r="B87" s="46"/>
      <c r="C87" s="46"/>
      <c r="D87" s="46"/>
      <c r="E87" s="46"/>
      <c r="F87" s="46"/>
      <c r="G87" s="46"/>
      <c r="H87" s="46"/>
      <c r="I87" s="46"/>
      <c r="J87" s="46"/>
      <c r="K87" s="46"/>
      <c r="L87" s="46"/>
      <c r="M87" s="46"/>
      <c r="N87" s="46"/>
      <c r="O87" s="46"/>
      <c r="P87" s="46"/>
      <c r="Q87" s="46"/>
      <c r="R87" s="46"/>
      <c r="S87" s="46"/>
      <c r="T87" s="46"/>
      <c r="U87" s="46"/>
    </row>
    <row r="88" spans="1:21" x14ac:dyDescent="0.25">
      <c r="A88" s="46"/>
      <c r="B88" s="46"/>
      <c r="C88" s="46"/>
      <c r="D88" s="46"/>
      <c r="E88" s="46"/>
      <c r="F88" s="46"/>
      <c r="G88" s="46"/>
      <c r="H88" s="46"/>
      <c r="I88" s="46"/>
      <c r="J88" s="46"/>
      <c r="K88" s="46"/>
      <c r="L88" s="46"/>
      <c r="M88" s="46"/>
      <c r="N88" s="46"/>
      <c r="O88" s="46"/>
      <c r="P88" s="46"/>
      <c r="Q88" s="46"/>
      <c r="R88" s="46"/>
      <c r="S88" s="46"/>
      <c r="T88" s="46"/>
      <c r="U88" s="46"/>
    </row>
    <row r="89" spans="1:21" x14ac:dyDescent="0.25">
      <c r="A89" s="46"/>
      <c r="B89" s="46"/>
      <c r="C89" s="46"/>
      <c r="D89" s="46"/>
      <c r="E89" s="46"/>
      <c r="F89" s="46"/>
      <c r="G89" s="46"/>
      <c r="H89" s="46"/>
      <c r="I89" s="46"/>
      <c r="J89" s="46"/>
      <c r="K89" s="46"/>
      <c r="L89" s="46"/>
      <c r="M89" s="46"/>
      <c r="N89" s="46"/>
      <c r="O89" s="46"/>
      <c r="P89" s="46"/>
      <c r="Q89" s="46"/>
      <c r="R89" s="46"/>
      <c r="S89" s="46"/>
      <c r="T89" s="46"/>
      <c r="U89" s="46"/>
    </row>
    <row r="90" spans="1:21" x14ac:dyDescent="0.25">
      <c r="A90" s="46"/>
      <c r="B90" s="46"/>
      <c r="C90" s="46"/>
      <c r="D90" s="46"/>
      <c r="E90" s="46"/>
      <c r="F90" s="46"/>
      <c r="G90" s="46"/>
      <c r="H90" s="46"/>
      <c r="I90" s="46"/>
      <c r="J90" s="46"/>
      <c r="K90" s="46"/>
      <c r="L90" s="46"/>
      <c r="M90" s="46"/>
      <c r="N90" s="46"/>
      <c r="O90" s="46"/>
      <c r="P90" s="46"/>
      <c r="Q90" s="46"/>
      <c r="R90" s="46"/>
      <c r="S90" s="46"/>
      <c r="T90" s="46"/>
      <c r="U90" s="46"/>
    </row>
    <row r="91" spans="1:21" x14ac:dyDescent="0.25">
      <c r="A91" s="46"/>
      <c r="B91" s="46"/>
      <c r="C91" s="46"/>
      <c r="D91" s="46"/>
      <c r="E91" s="46"/>
      <c r="F91" s="46"/>
      <c r="G91" s="46"/>
      <c r="H91" s="46"/>
      <c r="I91" s="46"/>
      <c r="J91" s="46"/>
      <c r="K91" s="46"/>
      <c r="L91" s="46"/>
      <c r="M91" s="46"/>
      <c r="N91" s="46"/>
      <c r="O91" s="46"/>
      <c r="P91" s="46"/>
      <c r="Q91" s="46"/>
      <c r="R91" s="46"/>
      <c r="S91" s="46"/>
      <c r="T91" s="46"/>
      <c r="U91" s="46"/>
    </row>
    <row r="92" spans="1:21" x14ac:dyDescent="0.25">
      <c r="A92" s="46"/>
      <c r="B92" s="46"/>
      <c r="C92" s="46"/>
      <c r="D92" s="46"/>
      <c r="E92" s="46"/>
      <c r="F92" s="46"/>
      <c r="G92" s="46"/>
      <c r="H92" s="46"/>
      <c r="I92" s="46"/>
      <c r="J92" s="46"/>
      <c r="K92" s="46"/>
      <c r="L92" s="46"/>
      <c r="M92" s="46"/>
      <c r="N92" s="46"/>
      <c r="O92" s="46"/>
      <c r="P92" s="46"/>
      <c r="Q92" s="46"/>
      <c r="R92" s="46"/>
      <c r="S92" s="46"/>
      <c r="T92" s="46"/>
      <c r="U92" s="46"/>
    </row>
    <row r="93" spans="1:21" x14ac:dyDescent="0.25">
      <c r="A93" s="46"/>
      <c r="B93" s="46"/>
      <c r="C93" s="46"/>
      <c r="D93" s="46"/>
      <c r="E93" s="46"/>
      <c r="F93" s="46"/>
      <c r="G93" s="46"/>
      <c r="H93" s="46"/>
      <c r="I93" s="46"/>
      <c r="J93" s="46"/>
      <c r="K93" s="46"/>
      <c r="L93" s="46"/>
      <c r="M93" s="46"/>
      <c r="N93" s="46"/>
      <c r="O93" s="46"/>
      <c r="P93" s="46"/>
      <c r="Q93" s="46"/>
      <c r="R93" s="46"/>
      <c r="S93" s="46"/>
      <c r="T93" s="46"/>
      <c r="U93" s="46"/>
    </row>
    <row r="94" spans="1:21" x14ac:dyDescent="0.25">
      <c r="A94" s="46"/>
      <c r="B94" s="46"/>
      <c r="C94" s="46"/>
      <c r="D94" s="46"/>
      <c r="E94" s="46"/>
      <c r="F94" s="46"/>
      <c r="G94" s="46"/>
      <c r="H94" s="46"/>
      <c r="I94" s="46"/>
      <c r="J94" s="46"/>
      <c r="K94" s="46"/>
      <c r="L94" s="46"/>
      <c r="M94" s="46"/>
      <c r="N94" s="46"/>
      <c r="O94" s="46"/>
      <c r="P94" s="46"/>
      <c r="Q94" s="46"/>
      <c r="R94" s="46"/>
      <c r="S94" s="46"/>
      <c r="T94" s="46"/>
      <c r="U94" s="46"/>
    </row>
    <row r="95" spans="1:21" x14ac:dyDescent="0.25">
      <c r="A95" s="46"/>
      <c r="B95" s="46"/>
      <c r="C95" s="46"/>
      <c r="D95" s="46"/>
      <c r="E95" s="46"/>
      <c r="F95" s="46"/>
      <c r="G95" s="46"/>
      <c r="H95" s="46"/>
      <c r="I95" s="46"/>
      <c r="J95" s="46"/>
      <c r="K95" s="46"/>
      <c r="L95" s="46"/>
      <c r="M95" s="46"/>
      <c r="N95" s="46"/>
      <c r="O95" s="46"/>
      <c r="P95" s="46"/>
      <c r="Q95" s="46"/>
      <c r="R95" s="46"/>
      <c r="S95" s="46"/>
      <c r="T95" s="46"/>
      <c r="U95" s="46"/>
    </row>
    <row r="96" spans="1:21" x14ac:dyDescent="0.25">
      <c r="A96" s="46"/>
      <c r="B96" s="46"/>
      <c r="C96" s="46"/>
      <c r="D96" s="46"/>
      <c r="E96" s="46"/>
      <c r="F96" s="46"/>
      <c r="G96" s="46"/>
      <c r="H96" s="46"/>
      <c r="I96" s="46"/>
      <c r="J96" s="46"/>
      <c r="K96" s="46"/>
      <c r="L96" s="46"/>
      <c r="M96" s="46"/>
      <c r="N96" s="46"/>
      <c r="O96" s="46"/>
      <c r="P96" s="46"/>
      <c r="Q96" s="46"/>
      <c r="R96" s="46"/>
      <c r="S96" s="46"/>
      <c r="T96" s="46"/>
      <c r="U96" s="46"/>
    </row>
    <row r="97" spans="1:21" x14ac:dyDescent="0.25">
      <c r="A97" s="46"/>
      <c r="B97" s="46"/>
      <c r="C97" s="46"/>
      <c r="D97" s="46"/>
      <c r="E97" s="46"/>
      <c r="F97" s="46"/>
      <c r="G97" s="46"/>
      <c r="H97" s="46"/>
      <c r="I97" s="46"/>
      <c r="J97" s="46"/>
      <c r="K97" s="46"/>
      <c r="L97" s="46"/>
      <c r="M97" s="46"/>
      <c r="N97" s="46"/>
      <c r="O97" s="46"/>
      <c r="P97" s="46"/>
      <c r="Q97" s="46"/>
      <c r="R97" s="46"/>
      <c r="S97" s="46"/>
      <c r="T97" s="46"/>
      <c r="U97" s="46"/>
    </row>
    <row r="98" spans="1:21" x14ac:dyDescent="0.25">
      <c r="A98" s="46"/>
      <c r="B98" s="46"/>
      <c r="C98" s="46"/>
      <c r="D98" s="46"/>
      <c r="E98" s="46"/>
      <c r="F98" s="46"/>
      <c r="G98" s="46"/>
      <c r="H98" s="46"/>
      <c r="I98" s="46"/>
      <c r="J98" s="46"/>
      <c r="K98" s="46"/>
      <c r="L98" s="46"/>
      <c r="M98" s="46"/>
      <c r="N98" s="46"/>
      <c r="O98" s="46"/>
      <c r="P98" s="46"/>
      <c r="Q98" s="46"/>
      <c r="R98" s="46"/>
      <c r="S98" s="46"/>
      <c r="T98" s="46"/>
      <c r="U98" s="46"/>
    </row>
    <row r="99" spans="1:21" x14ac:dyDescent="0.25">
      <c r="A99" s="46"/>
      <c r="B99" s="46"/>
      <c r="C99" s="46"/>
      <c r="D99" s="46"/>
      <c r="E99" s="46"/>
      <c r="F99" s="46"/>
      <c r="G99" s="46"/>
      <c r="H99" s="46"/>
      <c r="I99" s="46"/>
      <c r="J99" s="46"/>
      <c r="K99" s="46"/>
      <c r="L99" s="46"/>
      <c r="M99" s="46"/>
      <c r="N99" s="46"/>
      <c r="O99" s="46"/>
      <c r="P99" s="46"/>
      <c r="Q99" s="46"/>
      <c r="R99" s="46"/>
      <c r="S99" s="46"/>
      <c r="T99" s="46"/>
      <c r="U99" s="46"/>
    </row>
    <row r="100" spans="1:21" x14ac:dyDescent="0.25">
      <c r="A100" s="46"/>
      <c r="B100" s="46"/>
      <c r="C100" s="46"/>
      <c r="D100" s="46"/>
      <c r="E100" s="46"/>
      <c r="F100" s="46"/>
      <c r="G100" s="46"/>
      <c r="H100" s="46"/>
      <c r="I100" s="46"/>
      <c r="J100" s="46"/>
      <c r="K100" s="46"/>
      <c r="L100" s="46"/>
      <c r="M100" s="46"/>
      <c r="N100" s="46"/>
      <c r="O100" s="46"/>
      <c r="P100" s="46"/>
      <c r="Q100" s="46"/>
      <c r="R100" s="46"/>
      <c r="S100" s="46"/>
      <c r="T100" s="46"/>
      <c r="U100" s="46"/>
    </row>
    <row r="101" spans="1:21" x14ac:dyDescent="0.25">
      <c r="A101" s="46"/>
      <c r="B101" s="46"/>
      <c r="C101" s="46"/>
      <c r="D101" s="46"/>
      <c r="E101" s="46"/>
      <c r="F101" s="46"/>
      <c r="G101" s="46"/>
      <c r="H101" s="46"/>
      <c r="I101" s="46"/>
      <c r="J101" s="46"/>
      <c r="K101" s="46"/>
      <c r="L101" s="46"/>
      <c r="M101" s="46"/>
      <c r="N101" s="46"/>
      <c r="O101" s="46"/>
      <c r="P101" s="46"/>
      <c r="Q101" s="46"/>
      <c r="R101" s="46"/>
      <c r="S101" s="46"/>
      <c r="T101" s="46"/>
      <c r="U101" s="46"/>
    </row>
    <row r="102" spans="1:21" x14ac:dyDescent="0.25">
      <c r="A102" s="46"/>
      <c r="B102" s="46"/>
      <c r="C102" s="46"/>
      <c r="D102" s="46"/>
      <c r="E102" s="46"/>
      <c r="F102" s="46"/>
      <c r="G102" s="46"/>
      <c r="H102" s="46"/>
      <c r="I102" s="46"/>
      <c r="J102" s="46"/>
      <c r="K102" s="46"/>
      <c r="L102" s="46"/>
      <c r="M102" s="46"/>
      <c r="N102" s="46"/>
      <c r="O102" s="46"/>
      <c r="P102" s="46"/>
      <c r="Q102" s="46"/>
      <c r="R102" s="46"/>
      <c r="S102" s="46"/>
      <c r="T102" s="46"/>
      <c r="U102" s="46"/>
    </row>
    <row r="103" spans="1:21" x14ac:dyDescent="0.25">
      <c r="A103" s="46"/>
      <c r="B103" s="46"/>
      <c r="C103" s="46"/>
      <c r="D103" s="46"/>
      <c r="E103" s="46"/>
      <c r="F103" s="46"/>
      <c r="G103" s="46"/>
      <c r="H103" s="46"/>
      <c r="I103" s="46"/>
      <c r="J103" s="46"/>
      <c r="K103" s="46"/>
      <c r="L103" s="46"/>
      <c r="M103" s="46"/>
      <c r="N103" s="46"/>
      <c r="O103" s="46"/>
      <c r="P103" s="46"/>
      <c r="Q103" s="46"/>
      <c r="R103" s="46"/>
      <c r="S103" s="46"/>
      <c r="T103" s="46"/>
      <c r="U103" s="46"/>
    </row>
    <row r="104" spans="1:21" x14ac:dyDescent="0.25">
      <c r="A104" s="46"/>
      <c r="B104" s="46"/>
      <c r="C104" s="46"/>
      <c r="D104" s="46"/>
      <c r="E104" s="46"/>
      <c r="F104" s="46"/>
      <c r="G104" s="46"/>
      <c r="H104" s="46"/>
      <c r="I104" s="46"/>
      <c r="J104" s="46"/>
      <c r="K104" s="46"/>
      <c r="L104" s="46"/>
      <c r="M104" s="46"/>
      <c r="N104" s="46"/>
      <c r="O104" s="46"/>
      <c r="P104" s="46"/>
      <c r="Q104" s="46"/>
      <c r="R104" s="46"/>
      <c r="S104" s="46"/>
      <c r="T104" s="46"/>
      <c r="U104" s="46"/>
    </row>
    <row r="105" spans="1:21" x14ac:dyDescent="0.25">
      <c r="A105" s="46"/>
      <c r="B105" s="46"/>
      <c r="C105" s="46"/>
      <c r="D105" s="46"/>
      <c r="E105" s="46"/>
      <c r="F105" s="46"/>
      <c r="G105" s="46"/>
      <c r="H105" s="46"/>
      <c r="I105" s="46"/>
      <c r="J105" s="46"/>
      <c r="K105" s="46"/>
      <c r="L105" s="46"/>
      <c r="M105" s="46"/>
      <c r="N105" s="46"/>
      <c r="O105" s="46"/>
      <c r="P105" s="46"/>
      <c r="Q105" s="46"/>
      <c r="R105" s="46"/>
      <c r="S105" s="46"/>
      <c r="T105" s="46"/>
      <c r="U105" s="46"/>
    </row>
    <row r="106" spans="1:21" x14ac:dyDescent="0.25">
      <c r="A106" s="46"/>
      <c r="B106" s="46"/>
      <c r="C106" s="46"/>
      <c r="D106" s="46"/>
      <c r="E106" s="46"/>
      <c r="F106" s="46"/>
      <c r="G106" s="46"/>
      <c r="H106" s="46"/>
      <c r="I106" s="46"/>
      <c r="J106" s="46"/>
      <c r="K106" s="46"/>
      <c r="L106" s="46"/>
      <c r="M106" s="46"/>
      <c r="N106" s="46"/>
      <c r="O106" s="46"/>
      <c r="P106" s="46"/>
      <c r="Q106" s="46"/>
      <c r="R106" s="46"/>
      <c r="S106" s="46"/>
      <c r="T106" s="46"/>
      <c r="U106" s="46"/>
    </row>
    <row r="107" spans="1:21" x14ac:dyDescent="0.25">
      <c r="A107" s="46"/>
      <c r="B107" s="46"/>
      <c r="C107" s="46"/>
      <c r="D107" s="46"/>
      <c r="E107" s="46"/>
      <c r="F107" s="46"/>
      <c r="G107" s="46"/>
      <c r="H107" s="46"/>
      <c r="I107" s="46"/>
      <c r="J107" s="46"/>
      <c r="K107" s="46"/>
      <c r="L107" s="46"/>
      <c r="M107" s="46"/>
      <c r="N107" s="46"/>
      <c r="O107" s="46"/>
      <c r="P107" s="46"/>
      <c r="Q107" s="46"/>
      <c r="R107" s="46"/>
      <c r="S107" s="46"/>
      <c r="T107" s="46"/>
      <c r="U107" s="46"/>
    </row>
    <row r="108" spans="1:21" x14ac:dyDescent="0.25">
      <c r="A108" s="46"/>
      <c r="B108" s="46"/>
      <c r="C108" s="46"/>
      <c r="D108" s="46"/>
      <c r="E108" s="46"/>
      <c r="F108" s="46"/>
      <c r="G108" s="46"/>
      <c r="H108" s="46"/>
      <c r="I108" s="46"/>
      <c r="J108" s="46"/>
      <c r="K108" s="46"/>
      <c r="L108" s="46"/>
      <c r="M108" s="46"/>
      <c r="N108" s="46"/>
      <c r="O108" s="46"/>
      <c r="P108" s="46"/>
      <c r="Q108" s="46"/>
      <c r="R108" s="46"/>
      <c r="S108" s="46"/>
      <c r="T108" s="46"/>
      <c r="U108" s="46"/>
    </row>
    <row r="109" spans="1:21" x14ac:dyDescent="0.25">
      <c r="A109" s="46"/>
      <c r="B109" s="46"/>
      <c r="C109" s="46"/>
      <c r="D109" s="46"/>
      <c r="E109" s="46"/>
      <c r="F109" s="46"/>
      <c r="G109" s="46"/>
      <c r="H109" s="46"/>
      <c r="I109" s="46"/>
      <c r="J109" s="46"/>
      <c r="K109" s="46"/>
      <c r="L109" s="46"/>
      <c r="M109" s="46"/>
      <c r="N109" s="46"/>
      <c r="O109" s="46"/>
      <c r="P109" s="46"/>
      <c r="Q109" s="46"/>
      <c r="R109" s="46"/>
      <c r="S109" s="46"/>
      <c r="T109" s="46"/>
      <c r="U109" s="46"/>
    </row>
    <row r="110" spans="1:21" x14ac:dyDescent="0.25">
      <c r="A110" s="46"/>
      <c r="B110" s="46"/>
      <c r="C110" s="46"/>
      <c r="D110" s="46"/>
      <c r="E110" s="46"/>
      <c r="F110" s="46"/>
      <c r="G110" s="46"/>
      <c r="H110" s="46"/>
      <c r="I110" s="46"/>
      <c r="J110" s="46"/>
      <c r="K110" s="46"/>
      <c r="L110" s="46"/>
      <c r="M110" s="46"/>
      <c r="N110" s="46"/>
      <c r="O110" s="46"/>
      <c r="P110" s="46"/>
      <c r="Q110" s="46"/>
      <c r="R110" s="46"/>
      <c r="S110" s="46"/>
      <c r="T110" s="46"/>
      <c r="U110" s="46"/>
    </row>
    <row r="111" spans="1:21" x14ac:dyDescent="0.25">
      <c r="A111" s="46"/>
      <c r="B111" s="46"/>
      <c r="C111" s="46"/>
      <c r="D111" s="46"/>
      <c r="E111" s="46"/>
      <c r="F111" s="46"/>
      <c r="G111" s="46"/>
      <c r="H111" s="46"/>
      <c r="I111" s="46"/>
      <c r="J111" s="46"/>
      <c r="K111" s="46"/>
      <c r="L111" s="46"/>
      <c r="M111" s="46"/>
      <c r="N111" s="46"/>
      <c r="O111" s="46"/>
      <c r="P111" s="46"/>
      <c r="Q111" s="46"/>
      <c r="R111" s="46"/>
      <c r="S111" s="46"/>
      <c r="T111" s="46"/>
      <c r="U111" s="46"/>
    </row>
    <row r="112" spans="1:21" x14ac:dyDescent="0.25">
      <c r="A112" s="46"/>
      <c r="B112" s="46"/>
      <c r="C112" s="46"/>
      <c r="D112" s="46"/>
      <c r="E112" s="46"/>
      <c r="F112" s="46"/>
      <c r="G112" s="46"/>
      <c r="H112" s="46"/>
      <c r="I112" s="46"/>
      <c r="J112" s="46"/>
      <c r="K112" s="46"/>
      <c r="L112" s="46"/>
      <c r="M112" s="46"/>
      <c r="N112" s="46"/>
      <c r="O112" s="46"/>
      <c r="P112" s="46"/>
      <c r="Q112" s="46"/>
      <c r="R112" s="46"/>
      <c r="S112" s="46"/>
      <c r="T112" s="46"/>
      <c r="U112" s="46"/>
    </row>
    <row r="113" spans="1:21" x14ac:dyDescent="0.25">
      <c r="A113" s="46"/>
      <c r="B113" s="46"/>
      <c r="C113" s="46"/>
      <c r="D113" s="46"/>
      <c r="E113" s="46"/>
      <c r="F113" s="46"/>
      <c r="G113" s="46"/>
      <c r="H113" s="46"/>
      <c r="I113" s="46"/>
      <c r="J113" s="46"/>
      <c r="K113" s="46"/>
      <c r="L113" s="46"/>
      <c r="M113" s="46"/>
      <c r="N113" s="46"/>
      <c r="O113" s="46"/>
      <c r="P113" s="46"/>
      <c r="Q113" s="46"/>
      <c r="R113" s="46"/>
      <c r="S113" s="46"/>
      <c r="T113" s="46"/>
      <c r="U113" s="46"/>
    </row>
    <row r="114" spans="1:21" x14ac:dyDescent="0.25">
      <c r="A114" s="46"/>
      <c r="B114" s="46"/>
      <c r="C114" s="46"/>
      <c r="D114" s="46"/>
      <c r="E114" s="46"/>
      <c r="F114" s="46"/>
      <c r="G114" s="46"/>
      <c r="H114" s="46"/>
      <c r="I114" s="46"/>
      <c r="J114" s="46"/>
      <c r="K114" s="46"/>
      <c r="L114" s="46"/>
      <c r="M114" s="46"/>
      <c r="N114" s="46"/>
      <c r="O114" s="46"/>
      <c r="P114" s="46"/>
      <c r="Q114" s="46"/>
      <c r="R114" s="46"/>
      <c r="S114" s="46"/>
      <c r="T114" s="46"/>
      <c r="U114" s="46"/>
    </row>
    <row r="115" spans="1:21" x14ac:dyDescent="0.25">
      <c r="A115" s="46"/>
      <c r="B115" s="46"/>
      <c r="C115" s="46"/>
      <c r="D115" s="46"/>
      <c r="E115" s="46"/>
      <c r="F115" s="46"/>
      <c r="G115" s="46"/>
      <c r="H115" s="46"/>
      <c r="I115" s="46"/>
      <c r="J115" s="46"/>
      <c r="K115" s="46"/>
      <c r="L115" s="46"/>
      <c r="M115" s="46"/>
      <c r="N115" s="46"/>
      <c r="O115" s="46"/>
      <c r="P115" s="46"/>
      <c r="Q115" s="46"/>
      <c r="R115" s="46"/>
      <c r="S115" s="46"/>
      <c r="T115" s="46"/>
      <c r="U115" s="46"/>
    </row>
    <row r="116" spans="1:21" x14ac:dyDescent="0.25">
      <c r="A116" s="46"/>
      <c r="B116" s="46"/>
      <c r="C116" s="46"/>
      <c r="D116" s="46"/>
      <c r="E116" s="46"/>
      <c r="F116" s="46"/>
      <c r="G116" s="46"/>
      <c r="H116" s="46"/>
      <c r="I116" s="46"/>
      <c r="J116" s="46"/>
      <c r="K116" s="46"/>
      <c r="L116" s="46"/>
      <c r="M116" s="46"/>
      <c r="N116" s="46"/>
      <c r="O116" s="46"/>
      <c r="P116" s="46"/>
      <c r="Q116" s="46"/>
      <c r="R116" s="46"/>
      <c r="S116" s="46"/>
      <c r="T116" s="46"/>
      <c r="U116" s="46"/>
    </row>
    <row r="117" spans="1:21" x14ac:dyDescent="0.25">
      <c r="A117" s="46"/>
      <c r="B117" s="46"/>
      <c r="C117" s="46"/>
      <c r="D117" s="46"/>
      <c r="E117" s="46"/>
      <c r="F117" s="46"/>
      <c r="G117" s="46"/>
      <c r="H117" s="46"/>
      <c r="I117" s="46"/>
      <c r="J117" s="46"/>
      <c r="K117" s="46"/>
      <c r="L117" s="46"/>
      <c r="M117" s="46"/>
      <c r="N117" s="46"/>
      <c r="O117" s="46"/>
      <c r="P117" s="46"/>
      <c r="Q117" s="46"/>
      <c r="R117" s="46"/>
      <c r="S117" s="46"/>
      <c r="T117" s="46"/>
      <c r="U117" s="46"/>
    </row>
    <row r="118" spans="1:21" x14ac:dyDescent="0.25">
      <c r="A118" s="46"/>
      <c r="B118" s="46"/>
      <c r="C118" s="46"/>
      <c r="D118" s="46"/>
      <c r="E118" s="46"/>
      <c r="F118" s="46"/>
      <c r="G118" s="46"/>
      <c r="H118" s="46"/>
      <c r="I118" s="46"/>
      <c r="J118" s="46"/>
      <c r="K118" s="46"/>
      <c r="L118" s="46"/>
      <c r="M118" s="46"/>
      <c r="N118" s="46"/>
      <c r="O118" s="46"/>
      <c r="P118" s="46"/>
      <c r="Q118" s="46"/>
      <c r="R118" s="46"/>
      <c r="S118" s="46"/>
      <c r="T118" s="46"/>
      <c r="U118" s="46"/>
    </row>
    <row r="119" spans="1:21" x14ac:dyDescent="0.25">
      <c r="A119" s="46"/>
      <c r="B119" s="46"/>
      <c r="C119" s="46"/>
      <c r="D119" s="46"/>
      <c r="E119" s="46"/>
      <c r="F119" s="46"/>
      <c r="G119" s="46"/>
      <c r="H119" s="46"/>
      <c r="I119" s="46"/>
      <c r="J119" s="46"/>
      <c r="K119" s="46"/>
      <c r="L119" s="46"/>
      <c r="M119" s="46"/>
      <c r="N119" s="46"/>
      <c r="O119" s="46"/>
      <c r="P119" s="46"/>
      <c r="Q119" s="46"/>
      <c r="R119" s="46"/>
      <c r="S119" s="46"/>
      <c r="T119" s="46"/>
      <c r="U119" s="46"/>
    </row>
    <row r="120" spans="1:21" x14ac:dyDescent="0.25">
      <c r="A120" s="46"/>
      <c r="B120" s="46"/>
      <c r="C120" s="46"/>
      <c r="D120" s="46"/>
      <c r="E120" s="46"/>
      <c r="F120" s="46"/>
      <c r="G120" s="46"/>
      <c r="H120" s="46"/>
      <c r="I120" s="46"/>
      <c r="J120" s="46"/>
      <c r="K120" s="46"/>
      <c r="L120" s="46"/>
      <c r="M120" s="46"/>
      <c r="N120" s="46"/>
      <c r="O120" s="46"/>
      <c r="P120" s="46"/>
      <c r="Q120" s="46"/>
      <c r="R120" s="46"/>
      <c r="S120" s="46"/>
      <c r="T120" s="46"/>
      <c r="U120" s="46"/>
    </row>
    <row r="121" spans="1:21" x14ac:dyDescent="0.25">
      <c r="A121" s="46"/>
      <c r="B121" s="46"/>
      <c r="C121" s="46"/>
      <c r="D121" s="46"/>
      <c r="E121" s="46"/>
      <c r="F121" s="46"/>
      <c r="G121" s="46"/>
      <c r="H121" s="46"/>
      <c r="I121" s="46"/>
      <c r="J121" s="46"/>
      <c r="K121" s="46"/>
      <c r="L121" s="46"/>
      <c r="M121" s="46"/>
      <c r="N121" s="46"/>
      <c r="O121" s="46"/>
      <c r="P121" s="46"/>
      <c r="Q121" s="46"/>
      <c r="R121" s="46"/>
      <c r="S121" s="46"/>
      <c r="T121" s="46"/>
      <c r="U121" s="46"/>
    </row>
    <row r="122" spans="1:21" x14ac:dyDescent="0.25">
      <c r="A122" s="46"/>
      <c r="B122" s="46"/>
      <c r="C122" s="46"/>
      <c r="D122" s="46"/>
      <c r="E122" s="46"/>
      <c r="F122" s="46"/>
      <c r="G122" s="46"/>
      <c r="H122" s="46"/>
      <c r="I122" s="46"/>
      <c r="J122" s="46"/>
      <c r="K122" s="46"/>
      <c r="L122" s="46"/>
      <c r="M122" s="46"/>
      <c r="N122" s="46"/>
      <c r="O122" s="46"/>
      <c r="P122" s="46"/>
      <c r="Q122" s="46"/>
      <c r="R122" s="46"/>
      <c r="S122" s="46"/>
      <c r="T122" s="46"/>
      <c r="U122" s="46"/>
    </row>
    <row r="123" spans="1:21" x14ac:dyDescent="0.25">
      <c r="A123" s="46"/>
      <c r="B123" s="46"/>
      <c r="C123" s="46"/>
      <c r="D123" s="46"/>
      <c r="E123" s="46"/>
      <c r="F123" s="46"/>
      <c r="G123" s="46"/>
      <c r="H123" s="46"/>
      <c r="I123" s="46"/>
      <c r="J123" s="46"/>
      <c r="K123" s="46"/>
      <c r="L123" s="46"/>
      <c r="M123" s="46"/>
      <c r="N123" s="46"/>
      <c r="O123" s="46"/>
      <c r="P123" s="46"/>
      <c r="Q123" s="46"/>
      <c r="R123" s="46"/>
      <c r="S123" s="46"/>
      <c r="T123" s="46"/>
      <c r="U123" s="46"/>
    </row>
    <row r="124" spans="1:21" x14ac:dyDescent="0.25">
      <c r="A124" s="46"/>
      <c r="B124" s="46"/>
      <c r="C124" s="46"/>
      <c r="D124" s="46"/>
      <c r="E124" s="46"/>
      <c r="F124" s="46"/>
      <c r="G124" s="46"/>
      <c r="H124" s="46"/>
      <c r="I124" s="46"/>
      <c r="J124" s="46"/>
      <c r="K124" s="46"/>
      <c r="L124" s="46"/>
      <c r="M124" s="46"/>
      <c r="N124" s="46"/>
      <c r="O124" s="46"/>
      <c r="P124" s="46"/>
      <c r="Q124" s="46"/>
      <c r="R124" s="46"/>
      <c r="S124" s="46"/>
      <c r="T124" s="46"/>
      <c r="U124" s="46"/>
    </row>
    <row r="125" spans="1:21" x14ac:dyDescent="0.25">
      <c r="A125" s="46"/>
      <c r="B125" s="46"/>
      <c r="C125" s="46"/>
      <c r="D125" s="46"/>
      <c r="E125" s="46"/>
      <c r="F125" s="46"/>
      <c r="G125" s="46"/>
      <c r="H125" s="46"/>
      <c r="I125" s="46"/>
      <c r="J125" s="46"/>
      <c r="K125" s="46"/>
      <c r="L125" s="46"/>
      <c r="M125" s="46"/>
      <c r="N125" s="46"/>
      <c r="O125" s="46"/>
      <c r="P125" s="46"/>
      <c r="Q125" s="46"/>
      <c r="R125" s="46"/>
      <c r="S125" s="46"/>
      <c r="T125" s="46"/>
      <c r="U125" s="46"/>
    </row>
    <row r="126" spans="1:21" x14ac:dyDescent="0.25">
      <c r="A126" s="46"/>
      <c r="B126" s="46"/>
      <c r="C126" s="46"/>
      <c r="D126" s="46"/>
      <c r="E126" s="46"/>
      <c r="F126" s="46"/>
      <c r="G126" s="46"/>
      <c r="H126" s="46"/>
      <c r="I126" s="46"/>
      <c r="J126" s="46"/>
      <c r="K126" s="46"/>
      <c r="L126" s="46"/>
      <c r="M126" s="46"/>
      <c r="N126" s="46"/>
      <c r="O126" s="46"/>
      <c r="P126" s="46"/>
      <c r="Q126" s="46"/>
      <c r="R126" s="46"/>
      <c r="S126" s="46"/>
      <c r="T126" s="46"/>
      <c r="U126" s="46"/>
    </row>
    <row r="127" spans="1:21" x14ac:dyDescent="0.25">
      <c r="A127" s="46"/>
      <c r="B127" s="46"/>
      <c r="C127" s="46"/>
      <c r="D127" s="46"/>
      <c r="E127" s="46"/>
      <c r="F127" s="46"/>
      <c r="G127" s="46"/>
      <c r="H127" s="46"/>
      <c r="I127" s="46"/>
      <c r="J127" s="46"/>
      <c r="K127" s="46"/>
      <c r="L127" s="46"/>
      <c r="M127" s="46"/>
      <c r="N127" s="46"/>
      <c r="O127" s="46"/>
      <c r="P127" s="46"/>
      <c r="Q127" s="46"/>
      <c r="R127" s="46"/>
      <c r="S127" s="46"/>
      <c r="T127" s="46"/>
      <c r="U127" s="46"/>
    </row>
    <row r="128" spans="1:21" x14ac:dyDescent="0.25">
      <c r="A128" s="46"/>
      <c r="B128" s="46"/>
      <c r="C128" s="46"/>
      <c r="D128" s="46"/>
      <c r="E128" s="46"/>
      <c r="F128" s="46"/>
      <c r="G128" s="46"/>
      <c r="H128" s="46"/>
      <c r="I128" s="46"/>
      <c r="J128" s="46"/>
      <c r="K128" s="46"/>
      <c r="L128" s="46"/>
      <c r="M128" s="46"/>
      <c r="N128" s="46"/>
      <c r="O128" s="46"/>
      <c r="P128" s="46"/>
      <c r="Q128" s="46"/>
      <c r="R128" s="46"/>
      <c r="S128" s="46"/>
      <c r="T128" s="46"/>
      <c r="U128" s="46"/>
    </row>
    <row r="129" spans="1:21" x14ac:dyDescent="0.25">
      <c r="A129" s="46"/>
      <c r="B129" s="46"/>
      <c r="C129" s="46"/>
      <c r="D129" s="46"/>
      <c r="E129" s="46"/>
      <c r="F129" s="46"/>
      <c r="G129" s="46"/>
      <c r="H129" s="46"/>
      <c r="I129" s="46"/>
      <c r="J129" s="46"/>
      <c r="K129" s="46"/>
      <c r="L129" s="46"/>
      <c r="M129" s="46"/>
      <c r="N129" s="46"/>
      <c r="O129" s="46"/>
      <c r="P129" s="46"/>
      <c r="Q129" s="46"/>
      <c r="R129" s="46"/>
      <c r="S129" s="46"/>
      <c r="T129" s="46"/>
      <c r="U129" s="46"/>
    </row>
    <row r="130" spans="1:21" x14ac:dyDescent="0.25">
      <c r="A130" s="46"/>
      <c r="B130" s="46"/>
      <c r="C130" s="46"/>
      <c r="D130" s="46"/>
      <c r="E130" s="46"/>
      <c r="F130" s="46"/>
      <c r="G130" s="46"/>
      <c r="H130" s="46"/>
      <c r="I130" s="46"/>
      <c r="J130" s="46"/>
      <c r="K130" s="46"/>
      <c r="L130" s="46"/>
      <c r="M130" s="46"/>
      <c r="N130" s="46"/>
      <c r="O130" s="46"/>
      <c r="P130" s="46"/>
      <c r="Q130" s="46"/>
      <c r="R130" s="46"/>
      <c r="S130" s="46"/>
      <c r="T130" s="46"/>
      <c r="U130" s="46"/>
    </row>
    <row r="131" spans="1:21" x14ac:dyDescent="0.25">
      <c r="A131" s="46"/>
      <c r="B131" s="46"/>
      <c r="C131" s="46"/>
      <c r="D131" s="46"/>
      <c r="E131" s="46"/>
      <c r="F131" s="46"/>
      <c r="G131" s="46"/>
      <c r="H131" s="46"/>
      <c r="I131" s="46"/>
      <c r="J131" s="46"/>
      <c r="K131" s="46"/>
      <c r="L131" s="46"/>
      <c r="M131" s="46"/>
      <c r="N131" s="46"/>
      <c r="O131" s="46"/>
      <c r="P131" s="46"/>
      <c r="Q131" s="46"/>
      <c r="R131" s="46"/>
      <c r="S131" s="46"/>
      <c r="T131" s="46"/>
      <c r="U131" s="46"/>
    </row>
    <row r="132" spans="1:21" x14ac:dyDescent="0.25">
      <c r="A132" s="46"/>
      <c r="B132" s="46"/>
      <c r="C132" s="46"/>
      <c r="D132" s="46"/>
      <c r="E132" s="46"/>
      <c r="F132" s="46"/>
      <c r="G132" s="46"/>
      <c r="H132" s="46"/>
      <c r="I132" s="46"/>
      <c r="J132" s="46"/>
      <c r="K132" s="46"/>
      <c r="L132" s="46"/>
      <c r="M132" s="46"/>
      <c r="N132" s="46"/>
      <c r="O132" s="46"/>
      <c r="P132" s="46"/>
      <c r="Q132" s="46"/>
      <c r="R132" s="46"/>
      <c r="S132" s="46"/>
      <c r="T132" s="46"/>
      <c r="U132" s="46"/>
    </row>
    <row r="133" spans="1:21" x14ac:dyDescent="0.25">
      <c r="A133" s="46"/>
      <c r="B133" s="46"/>
      <c r="C133" s="46"/>
      <c r="D133" s="46"/>
      <c r="E133" s="46"/>
      <c r="F133" s="46"/>
      <c r="G133" s="46"/>
      <c r="H133" s="46"/>
      <c r="I133" s="46"/>
      <c r="J133" s="46"/>
      <c r="K133" s="46"/>
      <c r="L133" s="46"/>
      <c r="M133" s="46"/>
      <c r="N133" s="46"/>
      <c r="O133" s="46"/>
      <c r="P133" s="46"/>
      <c r="Q133" s="46"/>
      <c r="R133" s="46"/>
      <c r="S133" s="46"/>
      <c r="T133" s="46"/>
      <c r="U133" s="46"/>
    </row>
    <row r="134" spans="1:21" x14ac:dyDescent="0.25">
      <c r="A134" s="46"/>
      <c r="B134" s="46"/>
      <c r="C134" s="46"/>
      <c r="D134" s="46"/>
      <c r="E134" s="46"/>
      <c r="F134" s="46"/>
      <c r="G134" s="46"/>
      <c r="H134" s="46"/>
      <c r="I134" s="46"/>
      <c r="J134" s="46"/>
      <c r="K134" s="46"/>
      <c r="L134" s="46"/>
      <c r="M134" s="46"/>
      <c r="N134" s="46"/>
      <c r="O134" s="46"/>
      <c r="P134" s="46"/>
      <c r="Q134" s="46"/>
      <c r="R134" s="46"/>
      <c r="S134" s="46"/>
      <c r="T134" s="46"/>
      <c r="U134" s="46"/>
    </row>
    <row r="135" spans="1:21" x14ac:dyDescent="0.25">
      <c r="A135" s="46"/>
      <c r="B135" s="46"/>
      <c r="C135" s="46"/>
      <c r="D135" s="46"/>
      <c r="E135" s="46"/>
      <c r="F135" s="46"/>
      <c r="G135" s="46"/>
      <c r="H135" s="46"/>
      <c r="I135" s="46"/>
      <c r="J135" s="46"/>
      <c r="K135" s="46"/>
      <c r="L135" s="46"/>
      <c r="M135" s="46"/>
      <c r="N135" s="46"/>
      <c r="O135" s="46"/>
      <c r="P135" s="46"/>
      <c r="Q135" s="46"/>
      <c r="R135" s="46"/>
      <c r="S135" s="46"/>
      <c r="T135" s="46"/>
      <c r="U135" s="46"/>
    </row>
    <row r="136" spans="1:21" x14ac:dyDescent="0.25">
      <c r="A136" s="46"/>
      <c r="B136" s="46"/>
      <c r="C136" s="46"/>
      <c r="D136" s="46"/>
      <c r="E136" s="46"/>
      <c r="F136" s="46"/>
      <c r="G136" s="46"/>
      <c r="H136" s="46"/>
      <c r="I136" s="46"/>
      <c r="J136" s="46"/>
      <c r="K136" s="46"/>
      <c r="L136" s="46"/>
      <c r="M136" s="46"/>
      <c r="N136" s="46"/>
      <c r="O136" s="46"/>
      <c r="P136" s="46"/>
      <c r="Q136" s="46"/>
      <c r="R136" s="46"/>
      <c r="S136" s="46"/>
      <c r="T136" s="46"/>
      <c r="U136" s="46"/>
    </row>
    <row r="137" spans="1:21" x14ac:dyDescent="0.25">
      <c r="A137" s="46"/>
      <c r="B137" s="46"/>
      <c r="C137" s="46"/>
      <c r="D137" s="46"/>
      <c r="E137" s="46"/>
      <c r="F137" s="46"/>
      <c r="G137" s="46"/>
      <c r="H137" s="46"/>
      <c r="I137" s="46"/>
      <c r="J137" s="46"/>
      <c r="K137" s="46"/>
      <c r="L137" s="46"/>
      <c r="M137" s="46"/>
      <c r="N137" s="46"/>
      <c r="O137" s="46"/>
      <c r="P137" s="46"/>
      <c r="Q137" s="46"/>
      <c r="R137" s="46"/>
      <c r="S137" s="46"/>
      <c r="T137" s="46"/>
      <c r="U137" s="46"/>
    </row>
    <row r="138" spans="1:21" x14ac:dyDescent="0.25">
      <c r="A138" s="46"/>
      <c r="B138" s="46"/>
      <c r="C138" s="46"/>
      <c r="D138" s="46"/>
      <c r="E138" s="46"/>
      <c r="F138" s="46"/>
      <c r="G138" s="46"/>
      <c r="H138" s="46"/>
      <c r="I138" s="46"/>
      <c r="J138" s="46"/>
      <c r="K138" s="46"/>
      <c r="L138" s="46"/>
      <c r="M138" s="46"/>
      <c r="N138" s="46"/>
      <c r="O138" s="46"/>
      <c r="P138" s="46"/>
      <c r="Q138" s="46"/>
      <c r="R138" s="46"/>
      <c r="S138" s="46"/>
      <c r="T138" s="46"/>
      <c r="U138" s="46"/>
    </row>
    <row r="139" spans="1:21" x14ac:dyDescent="0.25">
      <c r="A139" s="46"/>
      <c r="B139" s="46"/>
      <c r="C139" s="46"/>
      <c r="D139" s="46"/>
      <c r="E139" s="46"/>
      <c r="F139" s="46"/>
      <c r="G139" s="46"/>
      <c r="H139" s="46"/>
      <c r="I139" s="46"/>
      <c r="J139" s="46"/>
      <c r="K139" s="46"/>
      <c r="L139" s="46"/>
      <c r="M139" s="46"/>
      <c r="N139" s="46"/>
      <c r="O139" s="46"/>
      <c r="P139" s="46"/>
      <c r="Q139" s="46"/>
      <c r="R139" s="46"/>
      <c r="S139" s="46"/>
      <c r="T139" s="46"/>
      <c r="U139" s="46"/>
    </row>
    <row r="140" spans="1:21" x14ac:dyDescent="0.25">
      <c r="A140" s="46"/>
      <c r="B140" s="46"/>
      <c r="C140" s="46"/>
      <c r="D140" s="46"/>
      <c r="E140" s="46"/>
      <c r="F140" s="46"/>
      <c r="G140" s="46"/>
      <c r="H140" s="46"/>
      <c r="I140" s="46"/>
      <c r="J140" s="46"/>
      <c r="K140" s="46"/>
      <c r="L140" s="46"/>
      <c r="M140" s="46"/>
      <c r="N140" s="46"/>
      <c r="O140" s="46"/>
      <c r="P140" s="46"/>
      <c r="Q140" s="46"/>
      <c r="R140" s="46"/>
      <c r="S140" s="46"/>
      <c r="T140" s="46"/>
      <c r="U140" s="46"/>
    </row>
    <row r="141" spans="1:21" x14ac:dyDescent="0.25">
      <c r="A141" s="46"/>
      <c r="B141" s="46"/>
      <c r="C141" s="46"/>
      <c r="D141" s="46"/>
      <c r="E141" s="46"/>
      <c r="F141" s="46"/>
      <c r="G141" s="46"/>
      <c r="H141" s="46"/>
      <c r="I141" s="46"/>
      <c r="J141" s="46"/>
      <c r="K141" s="46"/>
      <c r="L141" s="46"/>
      <c r="M141" s="46"/>
      <c r="N141" s="46"/>
      <c r="O141" s="46"/>
      <c r="P141" s="46"/>
      <c r="Q141" s="46"/>
      <c r="R141" s="46"/>
      <c r="S141" s="46"/>
      <c r="T141" s="46"/>
      <c r="U141" s="46"/>
    </row>
    <row r="142" spans="1:21" x14ac:dyDescent="0.25">
      <c r="A142" s="46"/>
      <c r="B142" s="46"/>
      <c r="C142" s="46"/>
      <c r="D142" s="46"/>
      <c r="E142" s="46"/>
      <c r="F142" s="46"/>
      <c r="G142" s="46"/>
      <c r="H142" s="46"/>
      <c r="I142" s="46"/>
      <c r="J142" s="46"/>
      <c r="K142" s="46"/>
      <c r="L142" s="46"/>
      <c r="M142" s="46"/>
      <c r="N142" s="46"/>
      <c r="O142" s="46"/>
      <c r="P142" s="46"/>
      <c r="Q142" s="46"/>
      <c r="R142" s="46"/>
      <c r="S142" s="46"/>
      <c r="T142" s="46"/>
      <c r="U142" s="46"/>
    </row>
    <row r="143" spans="1:21" x14ac:dyDescent="0.25">
      <c r="A143" s="46"/>
      <c r="B143" s="46"/>
      <c r="C143" s="46"/>
      <c r="D143" s="46"/>
      <c r="E143" s="46"/>
      <c r="F143" s="46"/>
      <c r="G143" s="46"/>
      <c r="H143" s="46"/>
      <c r="I143" s="46"/>
      <c r="J143" s="46"/>
      <c r="K143" s="46"/>
      <c r="L143" s="46"/>
      <c r="M143" s="46"/>
      <c r="N143" s="46"/>
      <c r="O143" s="46"/>
      <c r="P143" s="46"/>
      <c r="Q143" s="46"/>
      <c r="R143" s="46"/>
      <c r="S143" s="46"/>
      <c r="T143" s="46"/>
      <c r="U143" s="46"/>
    </row>
    <row r="144" spans="1:21" x14ac:dyDescent="0.25">
      <c r="A144" s="46"/>
      <c r="B144" s="46"/>
      <c r="C144" s="46"/>
      <c r="D144" s="46"/>
      <c r="E144" s="46"/>
      <c r="F144" s="46"/>
      <c r="G144" s="46"/>
      <c r="H144" s="46"/>
      <c r="I144" s="46"/>
      <c r="J144" s="46"/>
      <c r="K144" s="46"/>
      <c r="L144" s="46"/>
      <c r="M144" s="46"/>
      <c r="N144" s="46"/>
      <c r="O144" s="46"/>
      <c r="P144" s="46"/>
      <c r="Q144" s="46"/>
      <c r="R144" s="46"/>
      <c r="S144" s="46"/>
      <c r="T144" s="46"/>
      <c r="U144" s="46"/>
    </row>
    <row r="145" spans="1:21" x14ac:dyDescent="0.25">
      <c r="A145" s="46"/>
      <c r="B145" s="46"/>
      <c r="C145" s="46"/>
      <c r="D145" s="46"/>
      <c r="E145" s="46"/>
      <c r="F145" s="46"/>
      <c r="G145" s="46"/>
      <c r="H145" s="46"/>
      <c r="I145" s="46"/>
      <c r="J145" s="46"/>
      <c r="K145" s="46"/>
      <c r="L145" s="46"/>
      <c r="M145" s="46"/>
      <c r="N145" s="46"/>
      <c r="O145" s="46"/>
      <c r="P145" s="46"/>
      <c r="Q145" s="46"/>
      <c r="R145" s="46"/>
      <c r="S145" s="46"/>
      <c r="T145" s="46"/>
      <c r="U145" s="46"/>
    </row>
    <row r="146" spans="1:21" x14ac:dyDescent="0.25">
      <c r="A146" s="46"/>
      <c r="B146" s="46"/>
      <c r="C146" s="46"/>
      <c r="D146" s="46"/>
      <c r="E146" s="46"/>
      <c r="F146" s="46"/>
      <c r="G146" s="46"/>
      <c r="H146" s="46"/>
      <c r="I146" s="46"/>
      <c r="J146" s="46"/>
      <c r="K146" s="46"/>
      <c r="L146" s="46"/>
      <c r="M146" s="46"/>
      <c r="N146" s="46"/>
      <c r="O146" s="46"/>
      <c r="P146" s="46"/>
      <c r="Q146" s="46"/>
      <c r="R146" s="46"/>
      <c r="S146" s="46"/>
      <c r="T146" s="46"/>
      <c r="U146" s="46"/>
    </row>
    <row r="147" spans="1:21" x14ac:dyDescent="0.25">
      <c r="A147" s="46"/>
      <c r="B147" s="46"/>
      <c r="C147" s="46"/>
      <c r="D147" s="46"/>
      <c r="E147" s="46"/>
      <c r="F147" s="46"/>
      <c r="G147" s="46"/>
      <c r="H147" s="46"/>
      <c r="I147" s="46"/>
      <c r="J147" s="46"/>
      <c r="K147" s="46"/>
      <c r="L147" s="46"/>
      <c r="M147" s="46"/>
      <c r="N147" s="46"/>
      <c r="O147" s="46"/>
      <c r="P147" s="46"/>
      <c r="Q147" s="46"/>
      <c r="R147" s="46"/>
      <c r="S147" s="46"/>
      <c r="T147" s="46"/>
      <c r="U147" s="46"/>
    </row>
    <row r="148" spans="1:21" x14ac:dyDescent="0.25">
      <c r="A148" s="46"/>
      <c r="B148" s="46"/>
      <c r="C148" s="46"/>
      <c r="D148" s="46"/>
      <c r="E148" s="46"/>
      <c r="F148" s="46"/>
      <c r="G148" s="46"/>
      <c r="H148" s="46"/>
      <c r="I148" s="46"/>
      <c r="J148" s="46"/>
      <c r="K148" s="46"/>
      <c r="L148" s="46"/>
      <c r="M148" s="46"/>
      <c r="N148" s="46"/>
      <c r="O148" s="46"/>
      <c r="P148" s="46"/>
      <c r="Q148" s="46"/>
      <c r="R148" s="46"/>
      <c r="S148" s="46"/>
      <c r="T148" s="46"/>
      <c r="U148" s="46"/>
    </row>
    <row r="149" spans="1:21" x14ac:dyDescent="0.25">
      <c r="A149" s="46"/>
      <c r="B149" s="46"/>
      <c r="C149" s="46"/>
      <c r="D149" s="46"/>
      <c r="E149" s="46"/>
      <c r="F149" s="46"/>
      <c r="G149" s="46"/>
      <c r="H149" s="46"/>
      <c r="I149" s="46"/>
      <c r="J149" s="46"/>
      <c r="K149" s="46"/>
      <c r="L149" s="46"/>
      <c r="M149" s="46"/>
      <c r="N149" s="46"/>
      <c r="O149" s="46"/>
      <c r="P149" s="46"/>
      <c r="Q149" s="46"/>
      <c r="R149" s="46"/>
      <c r="S149" s="46"/>
      <c r="T149" s="46"/>
      <c r="U149" s="46"/>
    </row>
    <row r="150" spans="1:21" x14ac:dyDescent="0.25">
      <c r="A150" s="46"/>
      <c r="B150" s="46"/>
      <c r="C150" s="46"/>
      <c r="D150" s="46"/>
      <c r="E150" s="46"/>
      <c r="F150" s="46"/>
      <c r="G150" s="46"/>
      <c r="H150" s="46"/>
      <c r="I150" s="46"/>
      <c r="J150" s="46"/>
      <c r="K150" s="46"/>
      <c r="L150" s="46"/>
      <c r="M150" s="46"/>
      <c r="N150" s="46"/>
      <c r="O150" s="46"/>
      <c r="P150" s="46"/>
      <c r="Q150" s="46"/>
      <c r="R150" s="46"/>
      <c r="S150" s="46"/>
      <c r="T150" s="46"/>
      <c r="U150" s="46"/>
    </row>
    <row r="151" spans="1:21" x14ac:dyDescent="0.25">
      <c r="A151" s="46"/>
      <c r="B151" s="46"/>
      <c r="C151" s="46"/>
      <c r="D151" s="46"/>
      <c r="E151" s="46"/>
      <c r="F151" s="46"/>
      <c r="G151" s="46"/>
      <c r="H151" s="46"/>
      <c r="I151" s="46"/>
      <c r="J151" s="46"/>
      <c r="K151" s="46"/>
      <c r="L151" s="46"/>
      <c r="M151" s="46"/>
      <c r="N151" s="46"/>
      <c r="O151" s="46"/>
      <c r="P151" s="46"/>
      <c r="Q151" s="46"/>
      <c r="R151" s="46"/>
      <c r="S151" s="46"/>
      <c r="T151" s="46"/>
      <c r="U151" s="46"/>
    </row>
    <row r="152" spans="1:21" x14ac:dyDescent="0.25">
      <c r="A152" s="46"/>
      <c r="B152" s="46"/>
      <c r="C152" s="46"/>
      <c r="D152" s="46"/>
      <c r="E152" s="46"/>
      <c r="F152" s="46"/>
      <c r="G152" s="46"/>
      <c r="H152" s="46"/>
      <c r="I152" s="46"/>
      <c r="J152" s="46"/>
      <c r="K152" s="46"/>
      <c r="L152" s="46"/>
      <c r="M152" s="46"/>
      <c r="N152" s="46"/>
      <c r="O152" s="46"/>
      <c r="P152" s="46"/>
      <c r="Q152" s="46"/>
      <c r="R152" s="46"/>
      <c r="S152" s="46"/>
      <c r="T152" s="46"/>
      <c r="U152" s="46"/>
    </row>
    <row r="153" spans="1:21" x14ac:dyDescent="0.25">
      <c r="A153" s="46"/>
      <c r="B153" s="46"/>
      <c r="C153" s="46"/>
      <c r="D153" s="46"/>
      <c r="E153" s="46"/>
      <c r="F153" s="46"/>
      <c r="G153" s="46"/>
      <c r="H153" s="46"/>
      <c r="I153" s="46"/>
      <c r="J153" s="46"/>
      <c r="K153" s="46"/>
      <c r="L153" s="46"/>
      <c r="M153" s="46"/>
      <c r="N153" s="46"/>
      <c r="O153" s="46"/>
      <c r="P153" s="46"/>
      <c r="Q153" s="46"/>
      <c r="R153" s="46"/>
      <c r="S153" s="46"/>
      <c r="T153" s="46"/>
      <c r="U153" s="46"/>
    </row>
    <row r="154" spans="1:21" x14ac:dyDescent="0.25">
      <c r="A154" s="46"/>
      <c r="B154" s="46"/>
      <c r="C154" s="46"/>
      <c r="D154" s="46"/>
      <c r="E154" s="46"/>
      <c r="F154" s="46"/>
      <c r="G154" s="46"/>
      <c r="H154" s="46"/>
      <c r="I154" s="46"/>
      <c r="J154" s="46"/>
      <c r="K154" s="46"/>
      <c r="L154" s="46"/>
      <c r="M154" s="46"/>
      <c r="N154" s="46"/>
      <c r="O154" s="46"/>
      <c r="P154" s="46"/>
      <c r="Q154" s="46"/>
      <c r="R154" s="46"/>
      <c r="S154" s="46"/>
      <c r="T154" s="46"/>
      <c r="U154" s="46"/>
    </row>
    <row r="155" spans="1:21" x14ac:dyDescent="0.25">
      <c r="A155" s="46"/>
      <c r="B155" s="46"/>
      <c r="C155" s="46"/>
      <c r="D155" s="46"/>
      <c r="E155" s="46"/>
      <c r="F155" s="46"/>
      <c r="G155" s="46"/>
      <c r="H155" s="46"/>
      <c r="I155" s="46"/>
      <c r="J155" s="46"/>
      <c r="K155" s="46"/>
      <c r="L155" s="46"/>
      <c r="M155" s="46"/>
      <c r="N155" s="46"/>
      <c r="O155" s="46"/>
      <c r="P155" s="46"/>
      <c r="Q155" s="46"/>
      <c r="R155" s="46"/>
      <c r="S155" s="46"/>
      <c r="T155" s="46"/>
      <c r="U155" s="46"/>
    </row>
    <row r="156" spans="1:21" x14ac:dyDescent="0.25">
      <c r="A156" s="46"/>
      <c r="B156" s="46"/>
      <c r="C156" s="46"/>
      <c r="D156" s="46"/>
      <c r="E156" s="46"/>
      <c r="F156" s="46"/>
      <c r="G156" s="46"/>
      <c r="H156" s="46"/>
      <c r="I156" s="46"/>
      <c r="J156" s="46"/>
      <c r="K156" s="46"/>
      <c r="L156" s="46"/>
      <c r="M156" s="46"/>
      <c r="N156" s="46"/>
      <c r="O156" s="46"/>
      <c r="P156" s="46"/>
      <c r="Q156" s="46"/>
      <c r="R156" s="46"/>
      <c r="S156" s="46"/>
      <c r="T156" s="46"/>
      <c r="U156" s="46"/>
    </row>
    <row r="157" spans="1:21" x14ac:dyDescent="0.25">
      <c r="A157" s="46"/>
      <c r="B157" s="46"/>
      <c r="C157" s="46"/>
      <c r="D157" s="46"/>
      <c r="E157" s="46"/>
      <c r="F157" s="46"/>
      <c r="G157" s="46"/>
      <c r="H157" s="46"/>
      <c r="I157" s="46"/>
      <c r="J157" s="46"/>
      <c r="K157" s="46"/>
      <c r="L157" s="46"/>
      <c r="M157" s="46"/>
      <c r="N157" s="46"/>
      <c r="O157" s="46"/>
      <c r="P157" s="46"/>
      <c r="Q157" s="46"/>
      <c r="R157" s="46"/>
      <c r="S157" s="46"/>
      <c r="T157" s="46"/>
      <c r="U157" s="46"/>
    </row>
    <row r="158" spans="1:21" x14ac:dyDescent="0.25">
      <c r="A158" s="46"/>
      <c r="B158" s="46"/>
      <c r="C158" s="46"/>
      <c r="D158" s="46"/>
      <c r="E158" s="46"/>
      <c r="F158" s="46"/>
      <c r="G158" s="46"/>
      <c r="H158" s="46"/>
      <c r="I158" s="46"/>
      <c r="J158" s="46"/>
      <c r="K158" s="46"/>
      <c r="L158" s="46"/>
      <c r="M158" s="46"/>
      <c r="N158" s="46"/>
      <c r="O158" s="46"/>
      <c r="P158" s="46"/>
      <c r="Q158" s="46"/>
      <c r="R158" s="46"/>
      <c r="S158" s="46"/>
      <c r="T158" s="46"/>
      <c r="U158" s="46"/>
    </row>
    <row r="159" spans="1:21" x14ac:dyDescent="0.25">
      <c r="A159" s="46"/>
      <c r="B159" s="46"/>
      <c r="C159" s="46"/>
      <c r="D159" s="46"/>
      <c r="E159" s="46"/>
      <c r="F159" s="46"/>
      <c r="G159" s="46"/>
      <c r="H159" s="46"/>
      <c r="I159" s="46"/>
      <c r="J159" s="46"/>
      <c r="K159" s="46"/>
      <c r="L159" s="46"/>
      <c r="M159" s="46"/>
      <c r="N159" s="46"/>
      <c r="O159" s="46"/>
      <c r="P159" s="46"/>
      <c r="Q159" s="46"/>
      <c r="R159" s="46"/>
      <c r="S159" s="46"/>
      <c r="T159" s="46"/>
      <c r="U159" s="46"/>
    </row>
    <row r="160" spans="1:21" x14ac:dyDescent="0.25">
      <c r="A160" s="46"/>
      <c r="B160" s="46"/>
      <c r="C160" s="46"/>
      <c r="D160" s="46"/>
      <c r="E160" s="46"/>
      <c r="F160" s="46"/>
      <c r="G160" s="46"/>
      <c r="H160" s="46"/>
      <c r="I160" s="46"/>
      <c r="J160" s="46"/>
      <c r="K160" s="46"/>
      <c r="L160" s="46"/>
      <c r="M160" s="46"/>
      <c r="N160" s="46"/>
      <c r="O160" s="46"/>
      <c r="P160" s="46"/>
      <c r="Q160" s="46"/>
      <c r="R160" s="46"/>
      <c r="S160" s="46"/>
      <c r="T160" s="46"/>
      <c r="U160" s="46"/>
    </row>
    <row r="161" spans="1:21" x14ac:dyDescent="0.25">
      <c r="A161" s="46"/>
      <c r="B161" s="46"/>
      <c r="C161" s="46"/>
      <c r="D161" s="46"/>
      <c r="E161" s="46"/>
      <c r="F161" s="46"/>
      <c r="G161" s="46"/>
      <c r="H161" s="46"/>
      <c r="I161" s="46"/>
      <c r="J161" s="46"/>
      <c r="K161" s="46"/>
      <c r="L161" s="46"/>
      <c r="M161" s="46"/>
      <c r="N161" s="46"/>
      <c r="O161" s="46"/>
      <c r="P161" s="46"/>
      <c r="Q161" s="46"/>
      <c r="R161" s="46"/>
      <c r="S161" s="46"/>
      <c r="T161" s="46"/>
      <c r="U161" s="46"/>
    </row>
    <row r="162" spans="1:21" x14ac:dyDescent="0.25">
      <c r="A162" s="46"/>
      <c r="B162" s="46"/>
      <c r="C162" s="46"/>
      <c r="D162" s="46"/>
      <c r="E162" s="46"/>
      <c r="F162" s="46"/>
      <c r="G162" s="46"/>
      <c r="H162" s="46"/>
      <c r="I162" s="46"/>
      <c r="J162" s="46"/>
      <c r="K162" s="46"/>
      <c r="L162" s="46"/>
      <c r="M162" s="46"/>
      <c r="N162" s="46"/>
      <c r="O162" s="46"/>
      <c r="P162" s="46"/>
      <c r="Q162" s="46"/>
      <c r="R162" s="46"/>
      <c r="S162" s="46"/>
      <c r="T162" s="46"/>
      <c r="U162" s="46"/>
    </row>
    <row r="163" spans="1:21" x14ac:dyDescent="0.25">
      <c r="A163" s="46"/>
      <c r="B163" s="46"/>
      <c r="C163" s="46"/>
      <c r="D163" s="46"/>
      <c r="E163" s="46"/>
      <c r="F163" s="46"/>
      <c r="G163" s="46"/>
      <c r="H163" s="46"/>
      <c r="I163" s="46"/>
      <c r="J163" s="46"/>
      <c r="K163" s="46"/>
      <c r="L163" s="46"/>
      <c r="M163" s="46"/>
      <c r="N163" s="46"/>
      <c r="O163" s="46"/>
      <c r="P163" s="46"/>
      <c r="Q163" s="46"/>
      <c r="R163" s="46"/>
      <c r="S163" s="46"/>
      <c r="T163" s="46"/>
      <c r="U163" s="46"/>
    </row>
    <row r="164" spans="1:21" x14ac:dyDescent="0.25">
      <c r="A164" s="46"/>
      <c r="B164" s="46"/>
      <c r="C164" s="46"/>
      <c r="D164" s="46"/>
      <c r="E164" s="46"/>
      <c r="F164" s="46"/>
      <c r="G164" s="46"/>
      <c r="H164" s="46"/>
      <c r="I164" s="46"/>
      <c r="J164" s="46"/>
      <c r="K164" s="46"/>
      <c r="L164" s="46"/>
      <c r="M164" s="46"/>
      <c r="N164" s="46"/>
      <c r="O164" s="46"/>
      <c r="P164" s="46"/>
      <c r="Q164" s="46"/>
      <c r="R164" s="46"/>
      <c r="S164" s="46"/>
      <c r="T164" s="46"/>
      <c r="U164" s="46"/>
    </row>
    <row r="165" spans="1:21" x14ac:dyDescent="0.25">
      <c r="A165" s="46"/>
      <c r="B165" s="46"/>
      <c r="C165" s="46"/>
      <c r="D165" s="46"/>
      <c r="E165" s="46"/>
      <c r="F165" s="46"/>
      <c r="G165" s="46"/>
      <c r="H165" s="46"/>
      <c r="I165" s="46"/>
      <c r="J165" s="46"/>
      <c r="K165" s="46"/>
      <c r="L165" s="46"/>
      <c r="M165" s="46"/>
      <c r="N165" s="46"/>
      <c r="O165" s="46"/>
      <c r="P165" s="46"/>
      <c r="Q165" s="46"/>
      <c r="R165" s="46"/>
      <c r="S165" s="46"/>
      <c r="T165" s="46"/>
      <c r="U165" s="46"/>
    </row>
    <row r="166" spans="1:21" x14ac:dyDescent="0.25">
      <c r="A166" s="46"/>
      <c r="B166" s="46"/>
      <c r="C166" s="46"/>
      <c r="D166" s="46"/>
      <c r="E166" s="46"/>
      <c r="F166" s="46"/>
      <c r="G166" s="46"/>
      <c r="H166" s="46"/>
      <c r="I166" s="46"/>
      <c r="J166" s="46"/>
      <c r="K166" s="46"/>
      <c r="L166" s="46"/>
      <c r="M166" s="46"/>
      <c r="N166" s="46"/>
      <c r="O166" s="46"/>
      <c r="P166" s="46"/>
      <c r="Q166" s="46"/>
      <c r="R166" s="46"/>
      <c r="S166" s="46"/>
      <c r="T166" s="46"/>
      <c r="U166" s="46"/>
    </row>
    <row r="167" spans="1:21" x14ac:dyDescent="0.25">
      <c r="A167" s="46"/>
      <c r="B167" s="46"/>
      <c r="C167" s="46"/>
      <c r="D167" s="46"/>
      <c r="E167" s="46"/>
      <c r="F167" s="46"/>
      <c r="G167" s="46"/>
      <c r="H167" s="46"/>
      <c r="I167" s="46"/>
      <c r="J167" s="46"/>
      <c r="K167" s="46"/>
      <c r="L167" s="46"/>
      <c r="M167" s="46"/>
      <c r="N167" s="46"/>
      <c r="O167" s="46"/>
      <c r="P167" s="46"/>
      <c r="Q167" s="46"/>
      <c r="R167" s="46"/>
      <c r="S167" s="46"/>
      <c r="T167" s="46"/>
      <c r="U167" s="46"/>
    </row>
    <row r="168" spans="1:21" x14ac:dyDescent="0.25">
      <c r="A168" s="46"/>
      <c r="B168" s="46"/>
      <c r="C168" s="46"/>
      <c r="D168" s="46"/>
      <c r="E168" s="46"/>
      <c r="F168" s="46"/>
      <c r="G168" s="46"/>
      <c r="H168" s="46"/>
      <c r="I168" s="46"/>
      <c r="J168" s="46"/>
      <c r="K168" s="46"/>
      <c r="L168" s="46"/>
      <c r="M168" s="46"/>
      <c r="N168" s="46"/>
      <c r="O168" s="46"/>
      <c r="P168" s="46"/>
      <c r="Q168" s="46"/>
      <c r="R168" s="46"/>
      <c r="S168" s="46"/>
      <c r="T168" s="46"/>
      <c r="U168" s="46"/>
    </row>
    <row r="169" spans="1:21" x14ac:dyDescent="0.25">
      <c r="A169" s="46"/>
      <c r="B169" s="46"/>
      <c r="C169" s="46"/>
      <c r="D169" s="46"/>
      <c r="E169" s="46"/>
      <c r="F169" s="46"/>
      <c r="G169" s="46"/>
      <c r="H169" s="46"/>
      <c r="I169" s="46"/>
      <c r="J169" s="46"/>
      <c r="K169" s="46"/>
      <c r="L169" s="46"/>
      <c r="M169" s="46"/>
      <c r="N169" s="46"/>
      <c r="O169" s="46"/>
      <c r="P169" s="46"/>
      <c r="Q169" s="46"/>
      <c r="R169" s="46"/>
      <c r="S169" s="46"/>
      <c r="T169" s="46"/>
      <c r="U169" s="46"/>
    </row>
    <row r="170" spans="1:21" x14ac:dyDescent="0.25">
      <c r="A170" s="46"/>
      <c r="B170" s="46"/>
      <c r="C170" s="46"/>
      <c r="D170" s="46"/>
      <c r="E170" s="46"/>
      <c r="F170" s="46"/>
      <c r="G170" s="46"/>
      <c r="H170" s="46"/>
      <c r="I170" s="46"/>
      <c r="J170" s="46"/>
      <c r="K170" s="46"/>
      <c r="L170" s="46"/>
      <c r="M170" s="46"/>
      <c r="N170" s="46"/>
      <c r="O170" s="46"/>
      <c r="P170" s="46"/>
      <c r="Q170" s="46"/>
      <c r="R170" s="46"/>
      <c r="S170" s="46"/>
      <c r="T170" s="46"/>
      <c r="U170" s="46"/>
    </row>
    <row r="171" spans="1:21" x14ac:dyDescent="0.25">
      <c r="A171" s="46"/>
      <c r="B171" s="46"/>
      <c r="C171" s="46"/>
      <c r="D171" s="46"/>
      <c r="E171" s="46"/>
      <c r="F171" s="46"/>
      <c r="G171" s="46"/>
      <c r="H171" s="46"/>
      <c r="I171" s="46"/>
      <c r="J171" s="46"/>
      <c r="K171" s="46"/>
      <c r="L171" s="46"/>
      <c r="M171" s="46"/>
      <c r="N171" s="46"/>
      <c r="O171" s="46"/>
      <c r="P171" s="46"/>
      <c r="Q171" s="46"/>
      <c r="R171" s="46"/>
      <c r="S171" s="46"/>
      <c r="T171" s="46"/>
      <c r="U171" s="46"/>
    </row>
    <row r="172" spans="1:21" x14ac:dyDescent="0.25">
      <c r="A172" s="46"/>
      <c r="B172" s="46"/>
      <c r="C172" s="46"/>
      <c r="D172" s="46"/>
      <c r="E172" s="46"/>
      <c r="F172" s="46"/>
      <c r="G172" s="46"/>
      <c r="H172" s="46"/>
      <c r="I172" s="46"/>
      <c r="J172" s="46"/>
      <c r="K172" s="46"/>
      <c r="L172" s="46"/>
      <c r="M172" s="46"/>
      <c r="N172" s="46"/>
      <c r="O172" s="46"/>
      <c r="P172" s="46"/>
      <c r="Q172" s="46"/>
      <c r="R172" s="46"/>
      <c r="S172" s="46"/>
      <c r="T172" s="46"/>
      <c r="U172" s="46"/>
    </row>
    <row r="173" spans="1:21" x14ac:dyDescent="0.25">
      <c r="A173" s="46"/>
      <c r="B173" s="46"/>
      <c r="C173" s="46"/>
      <c r="D173" s="46"/>
      <c r="E173" s="46"/>
      <c r="F173" s="46"/>
      <c r="G173" s="46"/>
      <c r="H173" s="46"/>
      <c r="I173" s="46"/>
      <c r="J173" s="46"/>
      <c r="K173" s="46"/>
      <c r="L173" s="46"/>
      <c r="M173" s="46"/>
      <c r="N173" s="46"/>
      <c r="O173" s="46"/>
      <c r="P173" s="46"/>
      <c r="Q173" s="46"/>
      <c r="R173" s="46"/>
      <c r="S173" s="46"/>
      <c r="T173" s="46"/>
      <c r="U173" s="46"/>
    </row>
    <row r="174" spans="1:21" x14ac:dyDescent="0.25">
      <c r="A174" s="46"/>
      <c r="B174" s="46"/>
      <c r="C174" s="46"/>
      <c r="D174" s="46"/>
      <c r="E174" s="46"/>
      <c r="F174" s="46"/>
      <c r="G174" s="46"/>
      <c r="H174" s="46"/>
      <c r="I174" s="46"/>
      <c r="J174" s="46"/>
      <c r="K174" s="46"/>
      <c r="L174" s="46"/>
      <c r="M174" s="46"/>
      <c r="N174" s="46"/>
      <c r="O174" s="46"/>
      <c r="P174" s="46"/>
      <c r="Q174" s="46"/>
      <c r="R174" s="46"/>
      <c r="S174" s="46"/>
      <c r="T174" s="46"/>
      <c r="U174" s="46"/>
    </row>
    <row r="175" spans="1:21" x14ac:dyDescent="0.25">
      <c r="A175" s="46"/>
      <c r="B175" s="46"/>
      <c r="C175" s="46"/>
      <c r="D175" s="46"/>
      <c r="E175" s="46"/>
      <c r="F175" s="46"/>
      <c r="G175" s="46"/>
      <c r="H175" s="46"/>
      <c r="I175" s="46"/>
      <c r="J175" s="46"/>
      <c r="K175" s="46"/>
      <c r="L175" s="46"/>
      <c r="M175" s="46"/>
      <c r="N175" s="46"/>
      <c r="O175" s="46"/>
      <c r="P175" s="46"/>
      <c r="Q175" s="46"/>
      <c r="R175" s="46"/>
      <c r="S175" s="46"/>
      <c r="T175" s="46"/>
      <c r="U175" s="46"/>
    </row>
    <row r="176" spans="1:21" x14ac:dyDescent="0.25">
      <c r="A176" s="46"/>
      <c r="B176" s="46"/>
      <c r="C176" s="46"/>
      <c r="D176" s="46"/>
      <c r="E176" s="46"/>
      <c r="F176" s="46"/>
      <c r="G176" s="46"/>
      <c r="H176" s="46"/>
      <c r="I176" s="46"/>
      <c r="J176" s="46"/>
      <c r="K176" s="46"/>
      <c r="L176" s="46"/>
      <c r="M176" s="46"/>
      <c r="N176" s="46"/>
      <c r="O176" s="46"/>
      <c r="P176" s="46"/>
      <c r="Q176" s="46"/>
      <c r="R176" s="46"/>
      <c r="S176" s="46"/>
      <c r="T176" s="46"/>
      <c r="U176" s="46"/>
    </row>
    <row r="177" spans="1:21" x14ac:dyDescent="0.25">
      <c r="A177" s="46"/>
      <c r="B177" s="46"/>
      <c r="C177" s="46"/>
      <c r="D177" s="46"/>
      <c r="E177" s="46"/>
      <c r="F177" s="46"/>
      <c r="G177" s="46"/>
      <c r="H177" s="46"/>
      <c r="I177" s="46"/>
      <c r="J177" s="46"/>
      <c r="K177" s="46"/>
      <c r="L177" s="46"/>
      <c r="M177" s="46"/>
      <c r="N177" s="46"/>
      <c r="O177" s="46"/>
      <c r="P177" s="46"/>
      <c r="Q177" s="46"/>
      <c r="R177" s="46"/>
      <c r="S177" s="46"/>
      <c r="T177" s="46"/>
      <c r="U177" s="46"/>
    </row>
    <row r="178" spans="1:21" x14ac:dyDescent="0.25">
      <c r="A178" s="46"/>
      <c r="B178" s="46"/>
      <c r="C178" s="46"/>
      <c r="D178" s="46"/>
      <c r="E178" s="46"/>
      <c r="F178" s="46"/>
      <c r="G178" s="46"/>
      <c r="H178" s="46"/>
      <c r="I178" s="46"/>
      <c r="J178" s="46"/>
      <c r="K178" s="46"/>
      <c r="L178" s="46"/>
      <c r="M178" s="46"/>
      <c r="N178" s="46"/>
      <c r="O178" s="46"/>
      <c r="P178" s="46"/>
      <c r="Q178" s="46"/>
      <c r="R178" s="46"/>
      <c r="S178" s="46"/>
      <c r="T178" s="46"/>
      <c r="U178" s="46"/>
    </row>
    <row r="179" spans="1:21" x14ac:dyDescent="0.25">
      <c r="A179" s="46"/>
      <c r="B179" s="46"/>
      <c r="C179" s="46"/>
      <c r="D179" s="46"/>
      <c r="E179" s="46"/>
      <c r="F179" s="46"/>
      <c r="G179" s="46"/>
      <c r="H179" s="46"/>
      <c r="I179" s="46"/>
      <c r="J179" s="46"/>
      <c r="K179" s="46"/>
      <c r="L179" s="46"/>
      <c r="M179" s="46"/>
      <c r="N179" s="46"/>
      <c r="O179" s="46"/>
      <c r="P179" s="46"/>
      <c r="Q179" s="46"/>
      <c r="R179" s="46"/>
      <c r="S179" s="46"/>
      <c r="T179" s="46"/>
      <c r="U179" s="46"/>
    </row>
    <row r="180" spans="1:21" x14ac:dyDescent="0.25">
      <c r="A180" s="46"/>
      <c r="B180" s="46"/>
      <c r="C180" s="46"/>
      <c r="D180" s="46"/>
      <c r="E180" s="46"/>
      <c r="F180" s="46"/>
      <c r="G180" s="46"/>
      <c r="H180" s="46"/>
      <c r="I180" s="46"/>
      <c r="J180" s="46"/>
      <c r="K180" s="46"/>
      <c r="L180" s="46"/>
      <c r="M180" s="46"/>
      <c r="N180" s="46"/>
      <c r="O180" s="46"/>
      <c r="P180" s="46"/>
      <c r="Q180" s="46"/>
      <c r="R180" s="46"/>
      <c r="S180" s="46"/>
      <c r="T180" s="46"/>
      <c r="U180" s="46"/>
    </row>
    <row r="181" spans="1:21" x14ac:dyDescent="0.25">
      <c r="A181" s="46"/>
      <c r="B181" s="46"/>
      <c r="C181" s="46"/>
      <c r="D181" s="46"/>
      <c r="E181" s="46"/>
      <c r="F181" s="46"/>
      <c r="G181" s="46"/>
      <c r="H181" s="46"/>
      <c r="I181" s="46"/>
      <c r="J181" s="46"/>
      <c r="K181" s="46"/>
      <c r="L181" s="46"/>
      <c r="M181" s="46"/>
      <c r="N181" s="46"/>
      <c r="O181" s="46"/>
      <c r="P181" s="46"/>
      <c r="Q181" s="46"/>
      <c r="R181" s="46"/>
      <c r="S181" s="46"/>
      <c r="T181" s="46"/>
      <c r="U181" s="46"/>
    </row>
    <row r="182" spans="1:21" x14ac:dyDescent="0.25">
      <c r="A182" s="46"/>
      <c r="B182" s="46"/>
      <c r="C182" s="46"/>
      <c r="D182" s="46"/>
      <c r="E182" s="46"/>
      <c r="F182" s="46"/>
      <c r="G182" s="46"/>
      <c r="H182" s="46"/>
      <c r="I182" s="46"/>
      <c r="J182" s="46"/>
      <c r="K182" s="46"/>
      <c r="L182" s="46"/>
      <c r="M182" s="46"/>
      <c r="N182" s="46"/>
      <c r="O182" s="46"/>
      <c r="P182" s="46"/>
      <c r="Q182" s="46"/>
      <c r="R182" s="46"/>
      <c r="S182" s="46"/>
      <c r="T182" s="46"/>
      <c r="U182" s="46"/>
    </row>
    <row r="183" spans="1:21" x14ac:dyDescent="0.25">
      <c r="A183" s="46"/>
      <c r="B183" s="46"/>
      <c r="C183" s="46"/>
      <c r="D183" s="46"/>
      <c r="E183" s="46"/>
      <c r="F183" s="46"/>
      <c r="G183" s="46"/>
      <c r="H183" s="46"/>
      <c r="I183" s="46"/>
      <c r="J183" s="46"/>
      <c r="K183" s="46"/>
      <c r="L183" s="46"/>
      <c r="M183" s="46"/>
      <c r="N183" s="46"/>
      <c r="O183" s="46"/>
      <c r="P183" s="46"/>
      <c r="Q183" s="46"/>
      <c r="R183" s="46"/>
      <c r="S183" s="46"/>
      <c r="T183" s="46"/>
      <c r="U183" s="46"/>
    </row>
    <row r="184" spans="1:21" x14ac:dyDescent="0.25">
      <c r="A184" s="46"/>
      <c r="B184" s="46"/>
      <c r="C184" s="46"/>
      <c r="D184" s="46"/>
      <c r="E184" s="46"/>
      <c r="F184" s="46"/>
      <c r="G184" s="46"/>
      <c r="H184" s="46"/>
      <c r="I184" s="46"/>
      <c r="J184" s="46"/>
      <c r="K184" s="46"/>
      <c r="L184" s="46"/>
      <c r="M184" s="46"/>
      <c r="N184" s="46"/>
      <c r="O184" s="46"/>
      <c r="P184" s="46"/>
      <c r="Q184" s="46"/>
      <c r="R184" s="46"/>
      <c r="S184" s="46"/>
      <c r="T184" s="46"/>
      <c r="U184" s="46"/>
    </row>
    <row r="185" spans="1:21" x14ac:dyDescent="0.25">
      <c r="A185" s="46"/>
      <c r="B185" s="46"/>
      <c r="C185" s="46"/>
      <c r="D185" s="46"/>
      <c r="E185" s="46"/>
      <c r="F185" s="46"/>
      <c r="G185" s="46"/>
      <c r="H185" s="46"/>
      <c r="I185" s="46"/>
      <c r="J185" s="46"/>
      <c r="K185" s="46"/>
      <c r="L185" s="46"/>
      <c r="M185" s="46"/>
      <c r="N185" s="46"/>
      <c r="O185" s="46"/>
      <c r="P185" s="46"/>
      <c r="Q185" s="46"/>
      <c r="R185" s="46"/>
      <c r="S185" s="46"/>
      <c r="T185" s="46"/>
      <c r="U185" s="46"/>
    </row>
    <row r="186" spans="1:21" x14ac:dyDescent="0.25">
      <c r="A186" s="46"/>
      <c r="B186" s="46"/>
      <c r="C186" s="46"/>
      <c r="D186" s="46"/>
      <c r="E186" s="46"/>
      <c r="F186" s="46"/>
      <c r="G186" s="46"/>
      <c r="H186" s="46"/>
      <c r="I186" s="46"/>
      <c r="J186" s="46"/>
      <c r="K186" s="46"/>
      <c r="L186" s="46"/>
      <c r="M186" s="46"/>
      <c r="N186" s="46"/>
      <c r="O186" s="46"/>
      <c r="P186" s="46"/>
      <c r="Q186" s="46"/>
      <c r="R186" s="46"/>
      <c r="S186" s="46"/>
      <c r="T186" s="46"/>
      <c r="U186" s="46"/>
    </row>
    <row r="187" spans="1:21" x14ac:dyDescent="0.25">
      <c r="A187" s="46"/>
      <c r="B187" s="46"/>
      <c r="C187" s="46"/>
      <c r="D187" s="46"/>
      <c r="E187" s="46"/>
      <c r="F187" s="46"/>
      <c r="G187" s="46"/>
      <c r="H187" s="46"/>
      <c r="I187" s="46"/>
      <c r="J187" s="46"/>
      <c r="K187" s="46"/>
      <c r="L187" s="46"/>
      <c r="M187" s="46"/>
      <c r="N187" s="46"/>
      <c r="O187" s="46"/>
      <c r="P187" s="46"/>
      <c r="Q187" s="46"/>
      <c r="R187" s="46"/>
      <c r="S187" s="46"/>
      <c r="T187" s="46"/>
      <c r="U187" s="46"/>
    </row>
    <row r="188" spans="1:21" x14ac:dyDescent="0.25">
      <c r="A188" s="46"/>
      <c r="B188" s="46"/>
      <c r="C188" s="46"/>
      <c r="D188" s="46"/>
      <c r="E188" s="46"/>
      <c r="F188" s="46"/>
      <c r="G188" s="46"/>
      <c r="H188" s="46"/>
      <c r="I188" s="46"/>
      <c r="J188" s="46"/>
      <c r="K188" s="46"/>
      <c r="L188" s="46"/>
      <c r="M188" s="46"/>
      <c r="N188" s="46"/>
      <c r="O188" s="46"/>
      <c r="P188" s="46"/>
      <c r="Q188" s="46"/>
      <c r="R188" s="46"/>
      <c r="S188" s="46"/>
      <c r="T188" s="46"/>
      <c r="U188" s="46"/>
    </row>
    <row r="189" spans="1:21" x14ac:dyDescent="0.25">
      <c r="A189" s="46"/>
      <c r="B189" s="46"/>
      <c r="C189" s="46"/>
      <c r="D189" s="46"/>
      <c r="E189" s="46"/>
      <c r="F189" s="46"/>
      <c r="G189" s="46"/>
      <c r="H189" s="46"/>
      <c r="I189" s="46"/>
      <c r="J189" s="46"/>
      <c r="K189" s="46"/>
      <c r="L189" s="46"/>
      <c r="M189" s="46"/>
      <c r="N189" s="46"/>
      <c r="O189" s="46"/>
      <c r="P189" s="46"/>
      <c r="Q189" s="46"/>
      <c r="R189" s="46"/>
      <c r="S189" s="46"/>
      <c r="T189" s="46"/>
      <c r="U189" s="46"/>
    </row>
    <row r="190" spans="1:21" x14ac:dyDescent="0.25">
      <c r="A190" s="46"/>
      <c r="B190" s="46"/>
      <c r="C190" s="46"/>
      <c r="D190" s="46"/>
      <c r="E190" s="46"/>
      <c r="F190" s="46"/>
      <c r="G190" s="46"/>
      <c r="H190" s="46"/>
      <c r="I190" s="46"/>
      <c r="J190" s="46"/>
      <c r="K190" s="46"/>
      <c r="L190" s="46"/>
      <c r="M190" s="46"/>
      <c r="N190" s="46"/>
      <c r="O190" s="46"/>
      <c r="P190" s="46"/>
      <c r="Q190" s="46"/>
      <c r="R190" s="46"/>
      <c r="S190" s="46"/>
      <c r="T190" s="46"/>
      <c r="U190" s="46"/>
    </row>
    <row r="191" spans="1:21" x14ac:dyDescent="0.25">
      <c r="A191" s="46"/>
      <c r="B191" s="46"/>
      <c r="C191" s="46"/>
      <c r="D191" s="46"/>
      <c r="E191" s="46"/>
      <c r="F191" s="46"/>
      <c r="G191" s="46"/>
      <c r="H191" s="46"/>
      <c r="I191" s="46"/>
      <c r="J191" s="46"/>
      <c r="K191" s="46"/>
      <c r="L191" s="46"/>
      <c r="M191" s="46"/>
      <c r="N191" s="46"/>
      <c r="O191" s="46"/>
      <c r="P191" s="46"/>
      <c r="Q191" s="46"/>
      <c r="R191" s="46"/>
      <c r="S191" s="46"/>
      <c r="T191" s="46"/>
      <c r="U191" s="46"/>
    </row>
    <row r="192" spans="1:21" x14ac:dyDescent="0.25">
      <c r="A192" s="46"/>
      <c r="B192" s="46"/>
      <c r="C192" s="46"/>
      <c r="D192" s="46"/>
      <c r="E192" s="46"/>
      <c r="F192" s="46"/>
      <c r="G192" s="46"/>
      <c r="H192" s="46"/>
      <c r="I192" s="46"/>
      <c r="J192" s="46"/>
      <c r="K192" s="46"/>
      <c r="L192" s="46"/>
      <c r="M192" s="46"/>
      <c r="N192" s="46"/>
      <c r="O192" s="46"/>
      <c r="P192" s="46"/>
      <c r="Q192" s="46"/>
      <c r="R192" s="46"/>
      <c r="S192" s="46"/>
      <c r="T192" s="46"/>
      <c r="U192" s="46"/>
    </row>
    <row r="193" spans="1:21" x14ac:dyDescent="0.25">
      <c r="A193" s="46"/>
      <c r="B193" s="46"/>
      <c r="C193" s="46"/>
      <c r="D193" s="46"/>
      <c r="E193" s="46"/>
      <c r="F193" s="46"/>
      <c r="G193" s="46"/>
      <c r="H193" s="46"/>
      <c r="I193" s="46"/>
      <c r="J193" s="46"/>
      <c r="K193" s="46"/>
      <c r="L193" s="46"/>
      <c r="M193" s="46"/>
      <c r="N193" s="46"/>
      <c r="O193" s="46"/>
      <c r="P193" s="46"/>
      <c r="Q193" s="46"/>
      <c r="R193" s="46"/>
      <c r="S193" s="46"/>
      <c r="T193" s="46"/>
      <c r="U193" s="46"/>
    </row>
    <row r="194" spans="1:21" x14ac:dyDescent="0.25">
      <c r="A194" s="46"/>
      <c r="B194" s="46"/>
      <c r="C194" s="46"/>
      <c r="D194" s="46"/>
      <c r="E194" s="46"/>
      <c r="F194" s="46"/>
      <c r="G194" s="46"/>
      <c r="H194" s="46"/>
      <c r="I194" s="46"/>
      <c r="J194" s="46"/>
      <c r="K194" s="46"/>
      <c r="L194" s="46"/>
      <c r="M194" s="46"/>
      <c r="N194" s="46"/>
      <c r="O194" s="46"/>
      <c r="P194" s="46"/>
      <c r="Q194" s="46"/>
      <c r="R194" s="46"/>
      <c r="S194" s="46"/>
      <c r="T194" s="46"/>
      <c r="U194" s="46"/>
    </row>
    <row r="195" spans="1:21" x14ac:dyDescent="0.25">
      <c r="A195" s="46"/>
      <c r="B195" s="46"/>
      <c r="C195" s="46"/>
      <c r="D195" s="46"/>
      <c r="E195" s="46"/>
      <c r="F195" s="46"/>
      <c r="G195" s="46"/>
      <c r="H195" s="46"/>
      <c r="I195" s="46"/>
      <c r="J195" s="46"/>
      <c r="K195" s="46"/>
      <c r="L195" s="46"/>
      <c r="M195" s="46"/>
      <c r="N195" s="46"/>
      <c r="O195" s="46"/>
      <c r="P195" s="46"/>
      <c r="Q195" s="46"/>
      <c r="R195" s="46"/>
      <c r="S195" s="46"/>
      <c r="T195" s="46"/>
      <c r="U195" s="46"/>
    </row>
    <row r="196" spans="1:21" x14ac:dyDescent="0.25">
      <c r="A196" s="46"/>
      <c r="B196" s="46"/>
      <c r="C196" s="46"/>
      <c r="D196" s="46"/>
      <c r="E196" s="46"/>
      <c r="F196" s="46"/>
      <c r="G196" s="46"/>
      <c r="H196" s="46"/>
      <c r="I196" s="46"/>
      <c r="J196" s="46"/>
      <c r="K196" s="46"/>
      <c r="L196" s="46"/>
      <c r="M196" s="46"/>
      <c r="N196" s="46"/>
      <c r="O196" s="46"/>
      <c r="P196" s="46"/>
      <c r="Q196" s="46"/>
      <c r="R196" s="46"/>
      <c r="S196" s="46"/>
      <c r="T196" s="46"/>
      <c r="U196" s="46"/>
    </row>
    <row r="197" spans="1:21" x14ac:dyDescent="0.25">
      <c r="A197" s="46"/>
      <c r="B197" s="46"/>
      <c r="C197" s="46"/>
      <c r="D197" s="46"/>
      <c r="E197" s="46"/>
      <c r="F197" s="46"/>
      <c r="G197" s="46"/>
      <c r="H197" s="46"/>
      <c r="I197" s="46"/>
      <c r="J197" s="46"/>
      <c r="K197" s="46"/>
      <c r="L197" s="46"/>
      <c r="M197" s="46"/>
      <c r="N197" s="46"/>
      <c r="O197" s="46"/>
      <c r="P197" s="46"/>
      <c r="Q197" s="46"/>
      <c r="R197" s="46"/>
      <c r="S197" s="46"/>
      <c r="T197" s="46"/>
      <c r="U197" s="46"/>
    </row>
    <row r="198" spans="1:21" x14ac:dyDescent="0.25">
      <c r="A198" s="46"/>
      <c r="B198" s="46"/>
      <c r="C198" s="46"/>
      <c r="D198" s="46"/>
      <c r="E198" s="46"/>
      <c r="F198" s="46"/>
      <c r="G198" s="46"/>
      <c r="H198" s="46"/>
      <c r="I198" s="46"/>
      <c r="J198" s="46"/>
      <c r="K198" s="46"/>
      <c r="L198" s="46"/>
      <c r="M198" s="46"/>
      <c r="N198" s="46"/>
      <c r="O198" s="46"/>
      <c r="P198" s="46"/>
      <c r="Q198" s="46"/>
      <c r="R198" s="46"/>
      <c r="S198" s="46"/>
      <c r="T198" s="46"/>
      <c r="U198" s="46"/>
    </row>
    <row r="199" spans="1:21" x14ac:dyDescent="0.25">
      <c r="A199" s="46"/>
      <c r="B199" s="46"/>
      <c r="C199" s="46"/>
      <c r="D199" s="46"/>
      <c r="E199" s="46"/>
      <c r="F199" s="46"/>
      <c r="G199" s="46"/>
      <c r="H199" s="46"/>
      <c r="I199" s="46"/>
      <c r="J199" s="46"/>
      <c r="K199" s="46"/>
      <c r="L199" s="46"/>
      <c r="M199" s="46"/>
      <c r="N199" s="46"/>
      <c r="O199" s="46"/>
      <c r="P199" s="46"/>
      <c r="Q199" s="46"/>
      <c r="R199" s="46"/>
      <c r="S199" s="46"/>
      <c r="T199" s="46"/>
      <c r="U199" s="46"/>
    </row>
    <row r="200" spans="1:21" x14ac:dyDescent="0.25">
      <c r="A200" s="46"/>
      <c r="B200" s="46"/>
      <c r="C200" s="46"/>
      <c r="D200" s="46"/>
      <c r="E200" s="46"/>
      <c r="F200" s="46"/>
      <c r="G200" s="46"/>
      <c r="H200" s="46"/>
      <c r="I200" s="46"/>
      <c r="J200" s="46"/>
      <c r="K200" s="46"/>
      <c r="L200" s="46"/>
      <c r="M200" s="46"/>
      <c r="N200" s="46"/>
      <c r="O200" s="46"/>
      <c r="P200" s="46"/>
      <c r="Q200" s="46"/>
      <c r="R200" s="46"/>
      <c r="S200" s="46"/>
      <c r="T200" s="46"/>
      <c r="U200" s="46"/>
    </row>
    <row r="201" spans="1:21" x14ac:dyDescent="0.25">
      <c r="A201" s="46"/>
      <c r="B201" s="46"/>
      <c r="C201" s="46"/>
      <c r="D201" s="46"/>
      <c r="E201" s="46"/>
      <c r="F201" s="46"/>
      <c r="G201" s="46"/>
      <c r="H201" s="46"/>
      <c r="I201" s="46"/>
      <c r="J201" s="46"/>
      <c r="K201" s="46"/>
      <c r="L201" s="46"/>
      <c r="M201" s="46"/>
      <c r="N201" s="46"/>
      <c r="O201" s="46"/>
      <c r="P201" s="46"/>
      <c r="Q201" s="46"/>
      <c r="R201" s="46"/>
      <c r="S201" s="46"/>
      <c r="T201" s="46"/>
      <c r="U201" s="46"/>
    </row>
    <row r="202" spans="1:21" x14ac:dyDescent="0.25">
      <c r="A202" s="46"/>
      <c r="B202" s="46"/>
      <c r="C202" s="46"/>
      <c r="D202" s="46"/>
      <c r="E202" s="46"/>
      <c r="F202" s="46"/>
      <c r="G202" s="46"/>
      <c r="H202" s="46"/>
      <c r="I202" s="46"/>
      <c r="J202" s="46"/>
      <c r="K202" s="46"/>
      <c r="L202" s="46"/>
      <c r="M202" s="46"/>
      <c r="N202" s="46"/>
      <c r="O202" s="46"/>
      <c r="P202" s="46"/>
      <c r="Q202" s="46"/>
      <c r="R202" s="46"/>
      <c r="S202" s="46"/>
      <c r="T202" s="46"/>
      <c r="U202" s="46"/>
    </row>
    <row r="203" spans="1:21" x14ac:dyDescent="0.25">
      <c r="A203" s="46"/>
      <c r="B203" s="46"/>
      <c r="C203" s="46"/>
      <c r="D203" s="46"/>
      <c r="E203" s="46"/>
      <c r="F203" s="46"/>
      <c r="G203" s="46"/>
      <c r="H203" s="46"/>
      <c r="I203" s="46"/>
      <c r="J203" s="46"/>
      <c r="K203" s="46"/>
      <c r="L203" s="46"/>
      <c r="M203" s="46"/>
      <c r="N203" s="46"/>
      <c r="O203" s="46"/>
      <c r="P203" s="46"/>
      <c r="Q203" s="46"/>
      <c r="R203" s="46"/>
      <c r="S203" s="46"/>
      <c r="T203" s="46"/>
      <c r="U203" s="46"/>
    </row>
    <row r="204" spans="1:21" x14ac:dyDescent="0.25">
      <c r="A204" s="46"/>
      <c r="B204" s="46"/>
      <c r="C204" s="46"/>
      <c r="D204" s="46"/>
      <c r="E204" s="46"/>
      <c r="F204" s="46"/>
      <c r="G204" s="46"/>
      <c r="H204" s="46"/>
      <c r="I204" s="46"/>
      <c r="J204" s="46"/>
      <c r="K204" s="46"/>
      <c r="L204" s="46"/>
      <c r="M204" s="46"/>
      <c r="N204" s="46"/>
      <c r="O204" s="46"/>
      <c r="P204" s="46"/>
      <c r="Q204" s="46"/>
      <c r="R204" s="46"/>
      <c r="S204" s="46"/>
      <c r="T204" s="46"/>
      <c r="U204" s="46"/>
    </row>
    <row r="205" spans="1:21" x14ac:dyDescent="0.25">
      <c r="A205" s="46"/>
      <c r="B205" s="46"/>
      <c r="C205" s="46"/>
      <c r="D205" s="46"/>
      <c r="E205" s="46"/>
      <c r="F205" s="46"/>
      <c r="G205" s="46"/>
      <c r="H205" s="46"/>
      <c r="I205" s="46"/>
      <c r="J205" s="46"/>
      <c r="K205" s="46"/>
      <c r="L205" s="46"/>
      <c r="M205" s="46"/>
      <c r="N205" s="46"/>
      <c r="O205" s="46"/>
      <c r="P205" s="46"/>
      <c r="Q205" s="46"/>
      <c r="R205" s="46"/>
      <c r="S205" s="46"/>
      <c r="T205" s="46"/>
      <c r="U205" s="46"/>
    </row>
    <row r="206" spans="1:21" x14ac:dyDescent="0.25">
      <c r="A206" s="46"/>
      <c r="B206" s="46"/>
      <c r="C206" s="46"/>
      <c r="D206" s="46"/>
      <c r="E206" s="46"/>
      <c r="F206" s="46"/>
      <c r="G206" s="46"/>
      <c r="H206" s="46"/>
      <c r="I206" s="46"/>
      <c r="J206" s="46"/>
      <c r="K206" s="46"/>
      <c r="L206" s="46"/>
      <c r="M206" s="46"/>
      <c r="N206" s="46"/>
      <c r="O206" s="46"/>
      <c r="P206" s="46"/>
      <c r="Q206" s="46"/>
      <c r="R206" s="46"/>
      <c r="S206" s="46"/>
      <c r="T206" s="46"/>
      <c r="U206" s="46"/>
    </row>
    <row r="207" spans="1:21" x14ac:dyDescent="0.25">
      <c r="A207" s="46"/>
      <c r="B207" s="46"/>
      <c r="C207" s="46"/>
      <c r="D207" s="46"/>
      <c r="E207" s="46"/>
      <c r="F207" s="46"/>
      <c r="G207" s="46"/>
      <c r="H207" s="46"/>
      <c r="I207" s="46"/>
      <c r="J207" s="46"/>
      <c r="K207" s="46"/>
      <c r="L207" s="46"/>
      <c r="M207" s="46"/>
      <c r="N207" s="46"/>
      <c r="O207" s="46"/>
      <c r="P207" s="46"/>
      <c r="Q207" s="46"/>
      <c r="R207" s="46"/>
      <c r="S207" s="46"/>
      <c r="T207" s="46"/>
      <c r="U207" s="46"/>
    </row>
    <row r="208" spans="1:21" x14ac:dyDescent="0.25">
      <c r="A208" s="46"/>
      <c r="B208" s="46"/>
      <c r="C208" s="46"/>
      <c r="D208" s="46"/>
      <c r="E208" s="46"/>
      <c r="F208" s="46"/>
      <c r="G208" s="46"/>
      <c r="H208" s="46"/>
      <c r="I208" s="46"/>
      <c r="J208" s="46"/>
      <c r="K208" s="46"/>
      <c r="L208" s="46"/>
      <c r="M208" s="46"/>
      <c r="N208" s="46"/>
      <c r="O208" s="46"/>
      <c r="P208" s="46"/>
      <c r="Q208" s="46"/>
      <c r="R208" s="46"/>
      <c r="S208" s="46"/>
      <c r="T208" s="46"/>
      <c r="U208" s="46"/>
    </row>
    <row r="209" spans="1:21" x14ac:dyDescent="0.25">
      <c r="A209" s="46"/>
      <c r="B209" s="46"/>
      <c r="C209" s="46"/>
      <c r="D209" s="46"/>
      <c r="E209" s="46"/>
      <c r="F209" s="46"/>
      <c r="G209" s="46"/>
      <c r="H209" s="46"/>
      <c r="I209" s="46"/>
      <c r="J209" s="46"/>
      <c r="K209" s="46"/>
      <c r="L209" s="46"/>
      <c r="M209" s="46"/>
      <c r="N209" s="46"/>
      <c r="O209" s="46"/>
      <c r="P209" s="46"/>
      <c r="Q209" s="46"/>
      <c r="R209" s="46"/>
      <c r="S209" s="46"/>
      <c r="T209" s="46"/>
      <c r="U209" s="46"/>
    </row>
    <row r="210" spans="1:21" x14ac:dyDescent="0.25">
      <c r="A210" s="46"/>
      <c r="B210" s="46"/>
      <c r="C210" s="46"/>
      <c r="D210" s="46"/>
      <c r="E210" s="46"/>
      <c r="F210" s="46"/>
      <c r="G210" s="46"/>
      <c r="H210" s="46"/>
      <c r="I210" s="46"/>
      <c r="J210" s="46"/>
      <c r="K210" s="46"/>
      <c r="L210" s="46"/>
      <c r="M210" s="46"/>
      <c r="N210" s="46"/>
      <c r="O210" s="46"/>
      <c r="P210" s="46"/>
      <c r="Q210" s="46"/>
      <c r="R210" s="46"/>
      <c r="S210" s="46"/>
      <c r="T210" s="46"/>
      <c r="U210" s="46"/>
    </row>
    <row r="211" spans="1:21" x14ac:dyDescent="0.25">
      <c r="A211" s="46"/>
      <c r="B211" s="46"/>
      <c r="C211" s="46"/>
      <c r="D211" s="46"/>
      <c r="E211" s="46"/>
      <c r="F211" s="46"/>
      <c r="G211" s="46"/>
      <c r="H211" s="46"/>
      <c r="I211" s="46"/>
      <c r="J211" s="46"/>
      <c r="K211" s="46"/>
      <c r="L211" s="46"/>
      <c r="M211" s="46"/>
      <c r="N211" s="46"/>
      <c r="O211" s="46"/>
      <c r="P211" s="46"/>
      <c r="Q211" s="46"/>
      <c r="R211" s="46"/>
      <c r="S211" s="46"/>
      <c r="T211" s="46"/>
      <c r="U211" s="46"/>
    </row>
    <row r="212" spans="1:21" x14ac:dyDescent="0.25">
      <c r="A212" s="46"/>
      <c r="B212" s="46"/>
      <c r="C212" s="46"/>
      <c r="D212" s="46"/>
      <c r="E212" s="46"/>
      <c r="F212" s="46"/>
      <c r="G212" s="46"/>
      <c r="H212" s="46"/>
      <c r="I212" s="46"/>
      <c r="J212" s="46"/>
      <c r="K212" s="46"/>
      <c r="L212" s="46"/>
      <c r="M212" s="46"/>
      <c r="N212" s="46"/>
      <c r="O212" s="46"/>
      <c r="P212" s="46"/>
      <c r="Q212" s="46"/>
      <c r="R212" s="46"/>
      <c r="S212" s="46"/>
      <c r="T212" s="46"/>
      <c r="U212" s="46"/>
    </row>
    <row r="213" spans="1:21" x14ac:dyDescent="0.25">
      <c r="A213" s="46"/>
      <c r="B213" s="46"/>
      <c r="C213" s="46"/>
      <c r="D213" s="46"/>
      <c r="E213" s="46"/>
      <c r="F213" s="46"/>
      <c r="G213" s="46"/>
      <c r="H213" s="46"/>
      <c r="I213" s="46"/>
      <c r="J213" s="46"/>
      <c r="K213" s="46"/>
      <c r="L213" s="46"/>
      <c r="M213" s="46"/>
      <c r="N213" s="46"/>
      <c r="O213" s="46"/>
      <c r="P213" s="46"/>
      <c r="Q213" s="46"/>
      <c r="R213" s="46"/>
      <c r="S213" s="46"/>
      <c r="T213" s="46"/>
      <c r="U213" s="46"/>
    </row>
    <row r="214" spans="1:21" x14ac:dyDescent="0.25">
      <c r="A214" s="46"/>
      <c r="B214" s="46"/>
      <c r="C214" s="46"/>
      <c r="D214" s="46"/>
      <c r="E214" s="46"/>
      <c r="F214" s="46"/>
      <c r="G214" s="46"/>
      <c r="H214" s="46"/>
      <c r="I214" s="46"/>
      <c r="J214" s="46"/>
      <c r="K214" s="46"/>
      <c r="L214" s="46"/>
      <c r="M214" s="46"/>
      <c r="N214" s="46"/>
      <c r="O214" s="46"/>
      <c r="P214" s="46"/>
      <c r="Q214" s="46"/>
      <c r="R214" s="46"/>
      <c r="S214" s="46"/>
      <c r="T214" s="46"/>
      <c r="U214" s="46"/>
    </row>
    <row r="215" spans="1:21" x14ac:dyDescent="0.25">
      <c r="A215" s="46"/>
      <c r="B215" s="46"/>
      <c r="C215" s="46"/>
      <c r="D215" s="46"/>
      <c r="E215" s="46"/>
      <c r="F215" s="46"/>
      <c r="G215" s="46"/>
      <c r="H215" s="46"/>
      <c r="I215" s="46"/>
      <c r="J215" s="46"/>
      <c r="K215" s="46"/>
      <c r="L215" s="46"/>
      <c r="M215" s="46"/>
      <c r="N215" s="46"/>
      <c r="O215" s="46"/>
      <c r="P215" s="46"/>
      <c r="Q215" s="46"/>
      <c r="R215" s="46"/>
      <c r="S215" s="46"/>
      <c r="T215" s="46"/>
      <c r="U215" s="46"/>
    </row>
    <row r="216" spans="1:21" x14ac:dyDescent="0.25">
      <c r="A216" s="46"/>
      <c r="B216" s="46"/>
      <c r="C216" s="46"/>
      <c r="D216" s="46"/>
      <c r="E216" s="46"/>
      <c r="F216" s="46"/>
      <c r="G216" s="46"/>
      <c r="H216" s="46"/>
      <c r="I216" s="46"/>
      <c r="J216" s="46"/>
      <c r="K216" s="46"/>
      <c r="L216" s="46"/>
      <c r="M216" s="46"/>
      <c r="N216" s="46"/>
      <c r="O216" s="46"/>
      <c r="P216" s="46"/>
      <c r="Q216" s="46"/>
      <c r="R216" s="46"/>
      <c r="S216" s="46"/>
      <c r="T216" s="46"/>
      <c r="U216" s="46"/>
    </row>
    <row r="217" spans="1:21" x14ac:dyDescent="0.25">
      <c r="A217" s="46"/>
      <c r="B217" s="46"/>
      <c r="C217" s="46"/>
      <c r="D217" s="46"/>
      <c r="E217" s="46"/>
      <c r="F217" s="46"/>
      <c r="G217" s="46"/>
      <c r="H217" s="46"/>
      <c r="I217" s="46"/>
      <c r="J217" s="46"/>
      <c r="K217" s="46"/>
      <c r="L217" s="46"/>
      <c r="M217" s="46"/>
      <c r="N217" s="46"/>
      <c r="O217" s="46"/>
      <c r="P217" s="46"/>
      <c r="Q217" s="46"/>
      <c r="R217" s="46"/>
      <c r="S217" s="46"/>
      <c r="T217" s="46"/>
      <c r="U217" s="46"/>
    </row>
    <row r="218" spans="1:21" x14ac:dyDescent="0.25">
      <c r="A218" s="46"/>
      <c r="B218" s="46"/>
      <c r="C218" s="46"/>
      <c r="D218" s="46"/>
      <c r="E218" s="46"/>
      <c r="F218" s="46"/>
      <c r="G218" s="46"/>
      <c r="H218" s="46"/>
      <c r="I218" s="46"/>
      <c r="J218" s="46"/>
      <c r="K218" s="46"/>
      <c r="L218" s="46"/>
      <c r="M218" s="46"/>
      <c r="N218" s="46"/>
      <c r="O218" s="46"/>
      <c r="P218" s="46"/>
      <c r="Q218" s="46"/>
      <c r="R218" s="46"/>
      <c r="S218" s="46"/>
      <c r="T218" s="46"/>
      <c r="U218" s="46"/>
    </row>
    <row r="219" spans="1:21" x14ac:dyDescent="0.25">
      <c r="A219" s="46"/>
      <c r="B219" s="46"/>
      <c r="C219" s="46"/>
      <c r="D219" s="46"/>
      <c r="E219" s="46"/>
      <c r="F219" s="46"/>
      <c r="G219" s="46"/>
      <c r="H219" s="46"/>
      <c r="I219" s="46"/>
      <c r="J219" s="46"/>
      <c r="K219" s="46"/>
      <c r="L219" s="46"/>
      <c r="M219" s="46"/>
      <c r="N219" s="46"/>
      <c r="O219" s="46"/>
      <c r="P219" s="46"/>
      <c r="Q219" s="46"/>
      <c r="R219" s="46"/>
      <c r="S219" s="46"/>
      <c r="T219" s="46"/>
      <c r="U219" s="46"/>
    </row>
    <row r="220" spans="1:21" x14ac:dyDescent="0.25">
      <c r="A220" s="46"/>
      <c r="B220" s="46"/>
      <c r="C220" s="46"/>
      <c r="D220" s="46"/>
      <c r="E220" s="46"/>
      <c r="F220" s="46"/>
      <c r="G220" s="46"/>
      <c r="H220" s="46"/>
      <c r="I220" s="46"/>
      <c r="J220" s="46"/>
      <c r="K220" s="46"/>
      <c r="L220" s="46"/>
      <c r="M220" s="46"/>
      <c r="N220" s="46"/>
      <c r="O220" s="46"/>
      <c r="P220" s="46"/>
      <c r="Q220" s="46"/>
      <c r="R220" s="46"/>
      <c r="S220" s="46"/>
      <c r="T220" s="46"/>
      <c r="U220" s="46"/>
    </row>
    <row r="221" spans="1:21" x14ac:dyDescent="0.25">
      <c r="A221" s="46"/>
      <c r="B221" s="46"/>
      <c r="C221" s="46"/>
      <c r="D221" s="46"/>
      <c r="E221" s="46"/>
      <c r="F221" s="46"/>
      <c r="G221" s="46"/>
      <c r="H221" s="46"/>
      <c r="I221" s="46"/>
      <c r="J221" s="46"/>
      <c r="K221" s="46"/>
      <c r="L221" s="46"/>
      <c r="M221" s="46"/>
      <c r="N221" s="46"/>
      <c r="O221" s="46"/>
      <c r="P221" s="46"/>
      <c r="Q221" s="46"/>
      <c r="R221" s="46"/>
      <c r="S221" s="46"/>
      <c r="T221" s="46"/>
      <c r="U221" s="46"/>
    </row>
    <row r="222" spans="1:21" x14ac:dyDescent="0.25">
      <c r="A222" s="46"/>
      <c r="B222" s="46"/>
      <c r="C222" s="46"/>
      <c r="D222" s="46"/>
      <c r="E222" s="46"/>
      <c r="F222" s="46"/>
      <c r="G222" s="46"/>
      <c r="H222" s="46"/>
      <c r="I222" s="46"/>
      <c r="J222" s="46"/>
      <c r="K222" s="46"/>
      <c r="L222" s="46"/>
      <c r="M222" s="46"/>
      <c r="N222" s="46"/>
      <c r="O222" s="46"/>
      <c r="P222" s="46"/>
      <c r="Q222" s="46"/>
      <c r="R222" s="46"/>
      <c r="S222" s="46"/>
      <c r="T222" s="46"/>
      <c r="U222" s="46"/>
    </row>
    <row r="223" spans="1:21" x14ac:dyDescent="0.25">
      <c r="A223" s="46"/>
      <c r="B223" s="46"/>
      <c r="C223" s="46"/>
      <c r="D223" s="46"/>
      <c r="E223" s="46"/>
      <c r="F223" s="46"/>
      <c r="G223" s="46"/>
      <c r="H223" s="46"/>
      <c r="I223" s="46"/>
      <c r="J223" s="46"/>
      <c r="K223" s="46"/>
      <c r="L223" s="46"/>
      <c r="M223" s="46"/>
      <c r="N223" s="46"/>
      <c r="O223" s="46"/>
      <c r="P223" s="46"/>
      <c r="Q223" s="46"/>
      <c r="R223" s="46"/>
      <c r="S223" s="46"/>
      <c r="T223" s="46"/>
      <c r="U223" s="46"/>
    </row>
    <row r="224" spans="1:21" x14ac:dyDescent="0.25">
      <c r="A224" s="46"/>
      <c r="B224" s="46"/>
      <c r="C224" s="46"/>
      <c r="D224" s="46"/>
      <c r="E224" s="46"/>
      <c r="F224" s="46"/>
      <c r="G224" s="46"/>
      <c r="H224" s="46"/>
      <c r="I224" s="46"/>
      <c r="J224" s="46"/>
      <c r="K224" s="46"/>
      <c r="L224" s="46"/>
      <c r="M224" s="46"/>
      <c r="N224" s="46"/>
      <c r="O224" s="46"/>
      <c r="P224" s="46"/>
      <c r="Q224" s="46"/>
      <c r="R224" s="46"/>
      <c r="S224" s="46"/>
      <c r="T224" s="46"/>
      <c r="U224" s="46"/>
    </row>
    <row r="225" spans="1:21" x14ac:dyDescent="0.25">
      <c r="A225" s="46"/>
      <c r="B225" s="46"/>
      <c r="C225" s="46"/>
      <c r="D225" s="46"/>
      <c r="E225" s="46"/>
      <c r="F225" s="46"/>
      <c r="G225" s="46"/>
      <c r="H225" s="46"/>
      <c r="I225" s="46"/>
      <c r="J225" s="46"/>
      <c r="K225" s="46"/>
      <c r="L225" s="46"/>
      <c r="M225" s="46"/>
      <c r="N225" s="46"/>
      <c r="O225" s="46"/>
      <c r="P225" s="46"/>
      <c r="Q225" s="46"/>
      <c r="R225" s="46"/>
      <c r="S225" s="46"/>
      <c r="T225" s="46"/>
      <c r="U225" s="46"/>
    </row>
    <row r="226" spans="1:21" x14ac:dyDescent="0.25">
      <c r="A226" s="46"/>
      <c r="B226" s="46"/>
      <c r="C226" s="46"/>
      <c r="D226" s="46"/>
      <c r="E226" s="46"/>
      <c r="F226" s="46"/>
      <c r="G226" s="46"/>
      <c r="H226" s="46"/>
      <c r="I226" s="46"/>
      <c r="J226" s="46"/>
      <c r="K226" s="46"/>
      <c r="L226" s="46"/>
      <c r="M226" s="46"/>
      <c r="N226" s="46"/>
      <c r="O226" s="46"/>
      <c r="P226" s="46"/>
      <c r="Q226" s="46"/>
      <c r="R226" s="46"/>
      <c r="S226" s="46"/>
      <c r="T226" s="46"/>
      <c r="U226" s="46"/>
    </row>
    <row r="227" spans="1:21" x14ac:dyDescent="0.25">
      <c r="A227" s="46"/>
      <c r="B227" s="46"/>
      <c r="C227" s="46"/>
      <c r="D227" s="46"/>
      <c r="E227" s="46"/>
      <c r="F227" s="46"/>
      <c r="G227" s="46"/>
      <c r="H227" s="46"/>
      <c r="I227" s="46"/>
      <c r="J227" s="46"/>
      <c r="K227" s="46"/>
      <c r="L227" s="46"/>
      <c r="M227" s="46"/>
      <c r="N227" s="46"/>
      <c r="O227" s="46"/>
      <c r="P227" s="46"/>
      <c r="Q227" s="46"/>
      <c r="R227" s="46"/>
      <c r="S227" s="46"/>
      <c r="T227" s="46"/>
      <c r="U227" s="46"/>
    </row>
    <row r="228" spans="1:21" x14ac:dyDescent="0.25">
      <c r="A228" s="46"/>
      <c r="B228" s="46"/>
      <c r="C228" s="46"/>
      <c r="D228" s="46"/>
      <c r="E228" s="46"/>
      <c r="F228" s="46"/>
      <c r="G228" s="46"/>
      <c r="H228" s="46"/>
      <c r="I228" s="46"/>
      <c r="J228" s="46"/>
      <c r="K228" s="46"/>
      <c r="L228" s="46"/>
      <c r="M228" s="46"/>
      <c r="N228" s="46"/>
      <c r="O228" s="46"/>
      <c r="P228" s="46"/>
      <c r="Q228" s="46"/>
      <c r="R228" s="46"/>
      <c r="S228" s="46"/>
      <c r="T228" s="46"/>
      <c r="U228" s="46"/>
    </row>
    <row r="229" spans="1:21" x14ac:dyDescent="0.25">
      <c r="A229" s="46"/>
      <c r="B229" s="46"/>
      <c r="C229" s="46"/>
      <c r="D229" s="46"/>
      <c r="E229" s="46"/>
      <c r="F229" s="46"/>
      <c r="G229" s="46"/>
      <c r="H229" s="46"/>
      <c r="I229" s="46"/>
      <c r="J229" s="46"/>
      <c r="K229" s="46"/>
      <c r="L229" s="46"/>
      <c r="M229" s="46"/>
      <c r="N229" s="46"/>
      <c r="O229" s="46"/>
      <c r="P229" s="46"/>
      <c r="Q229" s="46"/>
      <c r="R229" s="46"/>
      <c r="S229" s="46"/>
      <c r="T229" s="46"/>
      <c r="U229" s="46"/>
    </row>
    <row r="230" spans="1:21" x14ac:dyDescent="0.25">
      <c r="A230" s="46"/>
      <c r="B230" s="46"/>
      <c r="C230" s="46"/>
      <c r="D230" s="46"/>
      <c r="E230" s="46"/>
      <c r="F230" s="46"/>
      <c r="G230" s="46"/>
      <c r="H230" s="46"/>
      <c r="I230" s="46"/>
      <c r="J230" s="46"/>
      <c r="K230" s="46"/>
      <c r="L230" s="46"/>
      <c r="M230" s="46"/>
      <c r="N230" s="46"/>
      <c r="O230" s="46"/>
      <c r="P230" s="46"/>
      <c r="Q230" s="46"/>
      <c r="R230" s="46"/>
      <c r="S230" s="46"/>
      <c r="T230" s="46"/>
      <c r="U230" s="46"/>
    </row>
    <row r="231" spans="1:21" x14ac:dyDescent="0.25">
      <c r="A231" s="46"/>
      <c r="B231" s="46"/>
      <c r="C231" s="46"/>
      <c r="D231" s="46"/>
      <c r="E231" s="46"/>
      <c r="F231" s="46"/>
      <c r="G231" s="46"/>
      <c r="H231" s="46"/>
      <c r="I231" s="46"/>
      <c r="J231" s="46"/>
      <c r="K231" s="46"/>
      <c r="L231" s="46"/>
      <c r="M231" s="46"/>
      <c r="N231" s="46"/>
      <c r="O231" s="46"/>
      <c r="P231" s="46"/>
      <c r="Q231" s="46"/>
      <c r="R231" s="46"/>
      <c r="S231" s="46"/>
      <c r="T231" s="46"/>
      <c r="U231" s="46"/>
    </row>
    <row r="232" spans="1:21" x14ac:dyDescent="0.25">
      <c r="A232" s="46"/>
      <c r="B232" s="46"/>
      <c r="C232" s="46"/>
      <c r="D232" s="46"/>
      <c r="E232" s="46"/>
      <c r="F232" s="46"/>
      <c r="G232" s="46"/>
      <c r="H232" s="46"/>
      <c r="I232" s="46"/>
      <c r="J232" s="46"/>
      <c r="K232" s="46"/>
      <c r="L232" s="46"/>
      <c r="M232" s="46"/>
      <c r="N232" s="46"/>
      <c r="O232" s="46"/>
      <c r="P232" s="46"/>
      <c r="Q232" s="46"/>
      <c r="R232" s="46"/>
      <c r="S232" s="46"/>
      <c r="T232" s="46"/>
      <c r="U232" s="46"/>
    </row>
    <row r="233" spans="1:21" x14ac:dyDescent="0.25">
      <c r="A233" s="46"/>
      <c r="B233" s="46"/>
      <c r="C233" s="46"/>
      <c r="D233" s="46"/>
      <c r="E233" s="46"/>
      <c r="F233" s="46"/>
      <c r="G233" s="46"/>
      <c r="H233" s="46"/>
      <c r="I233" s="46"/>
      <c r="J233" s="46"/>
      <c r="K233" s="46"/>
      <c r="L233" s="46"/>
      <c r="M233" s="46"/>
      <c r="N233" s="46"/>
      <c r="O233" s="46"/>
      <c r="P233" s="46"/>
      <c r="Q233" s="46"/>
      <c r="R233" s="46"/>
      <c r="S233" s="46"/>
      <c r="T233" s="46"/>
      <c r="U233" s="46"/>
    </row>
    <row r="234" spans="1:21" x14ac:dyDescent="0.25">
      <c r="A234" s="46"/>
      <c r="B234" s="46"/>
      <c r="C234" s="46"/>
      <c r="D234" s="46"/>
      <c r="E234" s="46"/>
      <c r="F234" s="46"/>
      <c r="G234" s="46"/>
      <c r="H234" s="46"/>
      <c r="I234" s="46"/>
      <c r="J234" s="46"/>
      <c r="K234" s="46"/>
      <c r="L234" s="46"/>
      <c r="M234" s="46"/>
      <c r="N234" s="46"/>
      <c r="O234" s="46"/>
      <c r="P234" s="46"/>
      <c r="Q234" s="46"/>
      <c r="R234" s="46"/>
      <c r="S234" s="46"/>
      <c r="T234" s="46"/>
      <c r="U234" s="46"/>
    </row>
    <row r="235" spans="1:21" x14ac:dyDescent="0.25">
      <c r="A235" s="46"/>
      <c r="B235" s="46"/>
      <c r="C235" s="46"/>
      <c r="D235" s="46"/>
      <c r="E235" s="46"/>
      <c r="F235" s="46"/>
      <c r="G235" s="46"/>
      <c r="H235" s="46"/>
      <c r="I235" s="46"/>
      <c r="J235" s="46"/>
      <c r="K235" s="46"/>
      <c r="L235" s="46"/>
      <c r="M235" s="46"/>
      <c r="N235" s="46"/>
      <c r="O235" s="46"/>
      <c r="P235" s="46"/>
      <c r="Q235" s="46"/>
      <c r="R235" s="46"/>
      <c r="S235" s="46"/>
      <c r="T235" s="46"/>
      <c r="U235" s="46"/>
    </row>
    <row r="236" spans="1:21" x14ac:dyDescent="0.25">
      <c r="A236" s="46"/>
      <c r="B236" s="46"/>
      <c r="C236" s="46"/>
      <c r="D236" s="46"/>
      <c r="E236" s="46"/>
      <c r="F236" s="46"/>
      <c r="G236" s="46"/>
      <c r="H236" s="46"/>
      <c r="I236" s="46"/>
      <c r="J236" s="46"/>
      <c r="K236" s="46"/>
      <c r="L236" s="46"/>
      <c r="M236" s="46"/>
      <c r="N236" s="46"/>
      <c r="O236" s="46"/>
      <c r="P236" s="46"/>
      <c r="Q236" s="46"/>
      <c r="R236" s="46"/>
      <c r="S236" s="46"/>
      <c r="T236" s="46"/>
      <c r="U236" s="46"/>
    </row>
    <row r="237" spans="1:21" x14ac:dyDescent="0.25">
      <c r="A237" s="46"/>
      <c r="B237" s="46"/>
      <c r="C237" s="46"/>
      <c r="D237" s="46"/>
      <c r="E237" s="46"/>
      <c r="F237" s="46"/>
      <c r="G237" s="46"/>
      <c r="H237" s="46"/>
      <c r="I237" s="46"/>
      <c r="J237" s="46"/>
      <c r="K237" s="46"/>
      <c r="L237" s="46"/>
      <c r="M237" s="46"/>
      <c r="N237" s="46"/>
      <c r="O237" s="46"/>
      <c r="P237" s="46"/>
      <c r="Q237" s="46"/>
      <c r="R237" s="46"/>
      <c r="S237" s="46"/>
      <c r="T237" s="46"/>
      <c r="U237" s="46"/>
    </row>
    <row r="238" spans="1:21" x14ac:dyDescent="0.25">
      <c r="A238" s="46"/>
      <c r="B238" s="46"/>
      <c r="C238" s="46"/>
      <c r="D238" s="46"/>
      <c r="E238" s="46"/>
      <c r="F238" s="46"/>
      <c r="G238" s="46"/>
      <c r="H238" s="46"/>
      <c r="I238" s="46"/>
      <c r="J238" s="46"/>
      <c r="K238" s="46"/>
      <c r="L238" s="46"/>
      <c r="M238" s="46"/>
      <c r="N238" s="46"/>
      <c r="O238" s="46"/>
      <c r="P238" s="46"/>
      <c r="Q238" s="46"/>
      <c r="R238" s="46"/>
      <c r="S238" s="46"/>
      <c r="T238" s="46"/>
      <c r="U238" s="46"/>
    </row>
    <row r="239" spans="1:21" x14ac:dyDescent="0.25">
      <c r="A239" s="46"/>
      <c r="B239" s="46"/>
      <c r="C239" s="46"/>
      <c r="D239" s="46"/>
      <c r="E239" s="46"/>
      <c r="F239" s="46"/>
      <c r="G239" s="46"/>
      <c r="H239" s="46"/>
      <c r="I239" s="46"/>
      <c r="J239" s="46"/>
      <c r="K239" s="46"/>
      <c r="L239" s="46"/>
      <c r="M239" s="46"/>
      <c r="N239" s="46"/>
      <c r="O239" s="46"/>
      <c r="P239" s="46"/>
      <c r="Q239" s="46"/>
      <c r="R239" s="46"/>
      <c r="S239" s="46"/>
      <c r="T239" s="46"/>
      <c r="U239" s="46"/>
    </row>
    <row r="240" spans="1:21" x14ac:dyDescent="0.25">
      <c r="A240" s="46"/>
      <c r="B240" s="46"/>
      <c r="C240" s="46"/>
      <c r="D240" s="46"/>
      <c r="E240" s="46"/>
      <c r="F240" s="46"/>
      <c r="G240" s="46"/>
      <c r="H240" s="46"/>
      <c r="I240" s="46"/>
      <c r="J240" s="46"/>
      <c r="K240" s="46"/>
      <c r="L240" s="46"/>
      <c r="M240" s="46"/>
      <c r="N240" s="46"/>
      <c r="O240" s="46"/>
      <c r="P240" s="46"/>
      <c r="Q240" s="46"/>
      <c r="R240" s="46"/>
      <c r="S240" s="46"/>
      <c r="T240" s="46"/>
      <c r="U240" s="46"/>
    </row>
    <row r="241" spans="1:21" x14ac:dyDescent="0.25">
      <c r="A241" s="46"/>
      <c r="B241" s="46"/>
      <c r="C241" s="46"/>
      <c r="D241" s="46"/>
      <c r="E241" s="46"/>
      <c r="F241" s="46"/>
      <c r="G241" s="46"/>
      <c r="H241" s="46"/>
      <c r="I241" s="46"/>
      <c r="J241" s="46"/>
      <c r="K241" s="46"/>
      <c r="L241" s="46"/>
      <c r="M241" s="46"/>
      <c r="N241" s="46"/>
      <c r="O241" s="46"/>
      <c r="P241" s="46"/>
      <c r="Q241" s="46"/>
      <c r="R241" s="46"/>
      <c r="S241" s="46"/>
      <c r="T241" s="46"/>
      <c r="U241" s="46"/>
    </row>
    <row r="242" spans="1:21" x14ac:dyDescent="0.25">
      <c r="A242" s="46"/>
      <c r="B242" s="46"/>
      <c r="C242" s="46"/>
      <c r="D242" s="46"/>
      <c r="E242" s="46"/>
      <c r="F242" s="46"/>
      <c r="G242" s="46"/>
      <c r="H242" s="46"/>
      <c r="I242" s="46"/>
      <c r="J242" s="46"/>
      <c r="K242" s="46"/>
      <c r="L242" s="46"/>
      <c r="M242" s="46"/>
      <c r="N242" s="46"/>
      <c r="O242" s="46"/>
      <c r="P242" s="46"/>
      <c r="Q242" s="46"/>
      <c r="R242" s="46"/>
      <c r="S242" s="46"/>
      <c r="T242" s="46"/>
      <c r="U242" s="46"/>
    </row>
    <row r="243" spans="1:21" x14ac:dyDescent="0.25">
      <c r="A243" s="46"/>
      <c r="B243" s="46"/>
      <c r="C243" s="46"/>
      <c r="D243" s="46"/>
      <c r="E243" s="46"/>
      <c r="F243" s="46"/>
      <c r="G243" s="46"/>
      <c r="H243" s="46"/>
      <c r="I243" s="46"/>
      <c r="J243" s="46"/>
      <c r="K243" s="46"/>
      <c r="L243" s="46"/>
      <c r="M243" s="46"/>
      <c r="N243" s="46"/>
      <c r="O243" s="46"/>
      <c r="P243" s="46"/>
      <c r="Q243" s="46"/>
      <c r="R243" s="46"/>
      <c r="S243" s="46"/>
      <c r="T243" s="46"/>
      <c r="U243" s="46"/>
    </row>
    <row r="244" spans="1:21" x14ac:dyDescent="0.25">
      <c r="A244" s="46"/>
      <c r="B244" s="46"/>
      <c r="C244" s="46"/>
      <c r="D244" s="46"/>
      <c r="E244" s="46"/>
      <c r="F244" s="46"/>
      <c r="G244" s="46"/>
      <c r="H244" s="46"/>
      <c r="I244" s="46"/>
      <c r="J244" s="46"/>
      <c r="K244" s="46"/>
      <c r="L244" s="46"/>
      <c r="M244" s="46"/>
      <c r="N244" s="46"/>
      <c r="O244" s="46"/>
      <c r="P244" s="46"/>
      <c r="Q244" s="46"/>
      <c r="R244" s="46"/>
      <c r="S244" s="46"/>
      <c r="T244" s="46"/>
      <c r="U244" s="46"/>
    </row>
    <row r="245" spans="1:21" x14ac:dyDescent="0.25">
      <c r="A245" s="46"/>
      <c r="B245" s="46"/>
      <c r="C245" s="46"/>
      <c r="D245" s="46"/>
      <c r="E245" s="46"/>
      <c r="F245" s="46"/>
      <c r="G245" s="46"/>
      <c r="H245" s="46"/>
      <c r="I245" s="46"/>
      <c r="J245" s="46"/>
      <c r="K245" s="46"/>
      <c r="L245" s="46"/>
      <c r="M245" s="46"/>
      <c r="N245" s="46"/>
      <c r="O245" s="46"/>
      <c r="P245" s="46"/>
      <c r="Q245" s="46"/>
      <c r="R245" s="46"/>
      <c r="S245" s="46"/>
      <c r="T245" s="46"/>
      <c r="U245" s="46"/>
    </row>
    <row r="246" spans="1:21" x14ac:dyDescent="0.25">
      <c r="A246" s="46"/>
      <c r="B246" s="46"/>
      <c r="C246" s="46"/>
      <c r="D246" s="46"/>
      <c r="E246" s="46"/>
      <c r="F246" s="46"/>
      <c r="G246" s="46"/>
      <c r="H246" s="46"/>
      <c r="I246" s="46"/>
      <c r="J246" s="46"/>
      <c r="K246" s="46"/>
      <c r="L246" s="46"/>
      <c r="M246" s="46"/>
      <c r="N246" s="46"/>
      <c r="O246" s="46"/>
      <c r="P246" s="46"/>
      <c r="Q246" s="46"/>
      <c r="R246" s="46"/>
      <c r="S246" s="46"/>
      <c r="T246" s="46"/>
      <c r="U246" s="46"/>
    </row>
    <row r="247" spans="1:21" x14ac:dyDescent="0.25">
      <c r="A247" s="46"/>
      <c r="B247" s="46"/>
      <c r="C247" s="46"/>
      <c r="D247" s="46"/>
      <c r="E247" s="46"/>
      <c r="F247" s="46"/>
      <c r="G247" s="46"/>
      <c r="H247" s="46"/>
      <c r="I247" s="46"/>
      <c r="J247" s="46"/>
      <c r="K247" s="46"/>
      <c r="L247" s="46"/>
      <c r="M247" s="46"/>
      <c r="N247" s="46"/>
      <c r="O247" s="46"/>
      <c r="P247" s="46"/>
      <c r="Q247" s="46"/>
      <c r="R247" s="46"/>
      <c r="S247" s="46"/>
      <c r="T247" s="46"/>
      <c r="U247" s="46"/>
    </row>
    <row r="248" spans="1:21" x14ac:dyDescent="0.25">
      <c r="A248" s="46"/>
      <c r="B248" s="46"/>
      <c r="C248" s="46"/>
      <c r="D248" s="46"/>
      <c r="E248" s="46"/>
      <c r="F248" s="46"/>
      <c r="G248" s="46"/>
      <c r="H248" s="46"/>
      <c r="I248" s="46"/>
      <c r="J248" s="46"/>
      <c r="K248" s="46"/>
      <c r="L248" s="46"/>
      <c r="M248" s="46"/>
      <c r="N248" s="46"/>
      <c r="O248" s="46"/>
      <c r="P248" s="46"/>
      <c r="Q248" s="46"/>
      <c r="R248" s="46"/>
      <c r="S248" s="46"/>
      <c r="T248" s="46"/>
      <c r="U248" s="46"/>
    </row>
    <row r="249" spans="1:21" x14ac:dyDescent="0.25">
      <c r="A249" s="46"/>
      <c r="B249" s="46"/>
      <c r="C249" s="46"/>
      <c r="D249" s="46"/>
      <c r="E249" s="46"/>
      <c r="F249" s="46"/>
      <c r="G249" s="46"/>
      <c r="H249" s="46"/>
      <c r="I249" s="46"/>
      <c r="J249" s="46"/>
      <c r="K249" s="46"/>
      <c r="L249" s="46"/>
      <c r="M249" s="46"/>
      <c r="N249" s="46"/>
      <c r="O249" s="46"/>
      <c r="P249" s="46"/>
      <c r="Q249" s="46"/>
      <c r="R249" s="46"/>
      <c r="S249" s="46"/>
      <c r="T249" s="46"/>
      <c r="U249" s="46"/>
    </row>
    <row r="250" spans="1:21" x14ac:dyDescent="0.25">
      <c r="A250" s="46"/>
      <c r="B250" s="46"/>
      <c r="C250" s="46"/>
      <c r="D250" s="46"/>
      <c r="E250" s="46"/>
      <c r="F250" s="46"/>
      <c r="G250" s="46"/>
      <c r="H250" s="46"/>
      <c r="I250" s="46"/>
      <c r="J250" s="46"/>
      <c r="K250" s="46"/>
      <c r="L250" s="46"/>
      <c r="M250" s="46"/>
      <c r="N250" s="46"/>
      <c r="O250" s="46"/>
      <c r="P250" s="46"/>
      <c r="Q250" s="46"/>
      <c r="R250" s="46"/>
      <c r="S250" s="46"/>
      <c r="T250" s="46"/>
      <c r="U250" s="46"/>
    </row>
    <row r="251" spans="1:21" x14ac:dyDescent="0.25">
      <c r="A251" s="46"/>
      <c r="B251" s="46"/>
      <c r="C251" s="46"/>
      <c r="D251" s="46"/>
      <c r="E251" s="46"/>
      <c r="F251" s="46"/>
      <c r="G251" s="46"/>
      <c r="H251" s="46"/>
      <c r="I251" s="46"/>
      <c r="J251" s="46"/>
      <c r="K251" s="46"/>
      <c r="L251" s="46"/>
      <c r="M251" s="46"/>
      <c r="N251" s="46"/>
      <c r="O251" s="46"/>
      <c r="P251" s="46"/>
      <c r="Q251" s="46"/>
      <c r="R251" s="46"/>
      <c r="S251" s="46"/>
      <c r="T251" s="46"/>
      <c r="U251" s="46"/>
    </row>
    <row r="252" spans="1:21" x14ac:dyDescent="0.25">
      <c r="A252" s="46"/>
      <c r="B252" s="46"/>
      <c r="C252" s="46"/>
      <c r="D252" s="46"/>
      <c r="E252" s="46"/>
      <c r="F252" s="46"/>
      <c r="G252" s="46"/>
      <c r="H252" s="46"/>
      <c r="I252" s="46"/>
      <c r="J252" s="46"/>
      <c r="K252" s="46"/>
      <c r="L252" s="46"/>
      <c r="M252" s="46"/>
      <c r="N252" s="46"/>
      <c r="O252" s="46"/>
      <c r="P252" s="46"/>
      <c r="Q252" s="46"/>
      <c r="R252" s="46"/>
      <c r="S252" s="46"/>
      <c r="T252" s="46"/>
      <c r="U252" s="46"/>
    </row>
    <row r="253" spans="1:21" x14ac:dyDescent="0.25">
      <c r="A253" s="46"/>
      <c r="B253" s="46"/>
      <c r="C253" s="46"/>
      <c r="D253" s="46"/>
      <c r="E253" s="46"/>
      <c r="F253" s="46"/>
      <c r="G253" s="46"/>
      <c r="H253" s="46"/>
      <c r="I253" s="46"/>
      <c r="J253" s="46"/>
      <c r="K253" s="46"/>
      <c r="L253" s="46"/>
      <c r="M253" s="46"/>
      <c r="N253" s="46"/>
      <c r="O253" s="46"/>
      <c r="P253" s="46"/>
      <c r="Q253" s="46"/>
      <c r="R253" s="46"/>
      <c r="S253" s="46"/>
      <c r="T253" s="46"/>
      <c r="U253" s="46"/>
    </row>
    <row r="254" spans="1:21" x14ac:dyDescent="0.25">
      <c r="A254" s="46"/>
      <c r="B254" s="46"/>
      <c r="C254" s="46"/>
      <c r="D254" s="46"/>
      <c r="E254" s="46"/>
      <c r="F254" s="46"/>
      <c r="G254" s="46"/>
      <c r="H254" s="46"/>
      <c r="I254" s="46"/>
      <c r="J254" s="46"/>
      <c r="K254" s="46"/>
      <c r="L254" s="46"/>
      <c r="M254" s="46"/>
      <c r="N254" s="46"/>
      <c r="O254" s="46"/>
      <c r="P254" s="46"/>
      <c r="Q254" s="46"/>
      <c r="R254" s="46"/>
      <c r="S254" s="46"/>
      <c r="T254" s="46"/>
      <c r="U254" s="46"/>
    </row>
    <row r="255" spans="1:21" x14ac:dyDescent="0.25">
      <c r="A255" s="46"/>
      <c r="B255" s="46"/>
      <c r="C255" s="46"/>
      <c r="D255" s="46"/>
      <c r="E255" s="46"/>
      <c r="F255" s="46"/>
      <c r="G255" s="46"/>
      <c r="H255" s="46"/>
      <c r="I255" s="46"/>
      <c r="J255" s="46"/>
      <c r="K255" s="46"/>
      <c r="L255" s="46"/>
      <c r="M255" s="46"/>
      <c r="N255" s="46"/>
      <c r="O255" s="46"/>
      <c r="P255" s="46"/>
      <c r="Q255" s="46"/>
      <c r="R255" s="46"/>
      <c r="S255" s="46"/>
      <c r="T255" s="46"/>
      <c r="U255" s="46"/>
    </row>
    <row r="256" spans="1:21" x14ac:dyDescent="0.25">
      <c r="A256" s="46"/>
      <c r="B256" s="46"/>
      <c r="C256" s="46"/>
      <c r="D256" s="46"/>
      <c r="E256" s="46"/>
      <c r="F256" s="46"/>
      <c r="G256" s="46"/>
      <c r="H256" s="46"/>
      <c r="I256" s="46"/>
      <c r="J256" s="46"/>
      <c r="K256" s="46"/>
      <c r="L256" s="46"/>
      <c r="M256" s="46"/>
      <c r="N256" s="46"/>
      <c r="O256" s="46"/>
      <c r="P256" s="46"/>
      <c r="Q256" s="46"/>
      <c r="R256" s="46"/>
      <c r="S256" s="46"/>
      <c r="T256" s="46"/>
      <c r="U256" s="46"/>
    </row>
    <row r="257" spans="1:21" x14ac:dyDescent="0.25">
      <c r="A257" s="46"/>
      <c r="B257" s="46"/>
      <c r="C257" s="46"/>
      <c r="D257" s="46"/>
      <c r="E257" s="46"/>
      <c r="F257" s="46"/>
      <c r="G257" s="46"/>
      <c r="H257" s="46"/>
      <c r="I257" s="46"/>
      <c r="J257" s="46"/>
      <c r="K257" s="46"/>
      <c r="L257" s="46"/>
      <c r="M257" s="46"/>
      <c r="N257" s="46"/>
      <c r="O257" s="46"/>
      <c r="P257" s="46"/>
      <c r="Q257" s="46"/>
      <c r="R257" s="46"/>
      <c r="S257" s="46"/>
      <c r="T257" s="46"/>
      <c r="U257" s="46"/>
    </row>
    <row r="258" spans="1:21" x14ac:dyDescent="0.25">
      <c r="A258" s="46"/>
      <c r="B258" s="46"/>
      <c r="C258" s="46"/>
      <c r="D258" s="46"/>
      <c r="E258" s="46"/>
      <c r="F258" s="46"/>
      <c r="G258" s="46"/>
      <c r="H258" s="46"/>
      <c r="I258" s="46"/>
      <c r="J258" s="46"/>
      <c r="K258" s="46"/>
      <c r="L258" s="46"/>
      <c r="M258" s="46"/>
      <c r="N258" s="46"/>
      <c r="O258" s="46"/>
      <c r="P258" s="46"/>
      <c r="Q258" s="46"/>
      <c r="R258" s="46"/>
      <c r="S258" s="46"/>
      <c r="T258" s="46"/>
      <c r="U258" s="46"/>
    </row>
    <row r="259" spans="1:21" x14ac:dyDescent="0.25">
      <c r="A259" s="46"/>
      <c r="B259" s="46"/>
      <c r="C259" s="46"/>
      <c r="D259" s="46"/>
      <c r="E259" s="46"/>
      <c r="F259" s="46"/>
      <c r="G259" s="46"/>
      <c r="H259" s="46"/>
      <c r="I259" s="46"/>
      <c r="J259" s="46"/>
      <c r="K259" s="46"/>
      <c r="L259" s="46"/>
      <c r="M259" s="46"/>
      <c r="N259" s="46"/>
      <c r="O259" s="46"/>
      <c r="P259" s="46"/>
      <c r="Q259" s="46"/>
      <c r="R259" s="46"/>
      <c r="S259" s="46"/>
      <c r="T259" s="46"/>
      <c r="U259" s="46"/>
    </row>
    <row r="260" spans="1:21" x14ac:dyDescent="0.25">
      <c r="A260" s="46"/>
      <c r="B260" s="46"/>
      <c r="C260" s="46"/>
      <c r="D260" s="46"/>
      <c r="E260" s="46"/>
      <c r="F260" s="46"/>
      <c r="G260" s="46"/>
      <c r="H260" s="46"/>
      <c r="I260" s="46"/>
      <c r="J260" s="46"/>
      <c r="K260" s="46"/>
      <c r="L260" s="46"/>
      <c r="M260" s="46"/>
      <c r="N260" s="46"/>
      <c r="O260" s="46"/>
      <c r="P260" s="46"/>
      <c r="Q260" s="46"/>
      <c r="R260" s="46"/>
      <c r="S260" s="46"/>
      <c r="T260" s="46"/>
      <c r="U260" s="46"/>
    </row>
    <row r="261" spans="1:21" x14ac:dyDescent="0.25">
      <c r="A261" s="46"/>
      <c r="B261" s="46"/>
      <c r="C261" s="46"/>
      <c r="D261" s="46"/>
      <c r="E261" s="46"/>
      <c r="F261" s="46"/>
      <c r="G261" s="46"/>
      <c r="H261" s="46"/>
      <c r="I261" s="46"/>
      <c r="J261" s="46"/>
      <c r="K261" s="46"/>
      <c r="L261" s="46"/>
      <c r="M261" s="46"/>
      <c r="N261" s="46"/>
      <c r="O261" s="46"/>
      <c r="P261" s="46"/>
      <c r="Q261" s="46"/>
      <c r="R261" s="46"/>
      <c r="S261" s="46"/>
      <c r="T261" s="46"/>
      <c r="U261" s="46"/>
    </row>
    <row r="262" spans="1:21" x14ac:dyDescent="0.25">
      <c r="A262" s="46"/>
      <c r="B262" s="46"/>
      <c r="C262" s="46"/>
      <c r="D262" s="46"/>
      <c r="E262" s="46"/>
      <c r="F262" s="46"/>
      <c r="G262" s="46"/>
      <c r="H262" s="46"/>
      <c r="I262" s="46"/>
      <c r="J262" s="46"/>
      <c r="K262" s="46"/>
      <c r="L262" s="46"/>
      <c r="M262" s="46"/>
      <c r="N262" s="46"/>
      <c r="O262" s="46"/>
      <c r="P262" s="46"/>
      <c r="Q262" s="46"/>
      <c r="R262" s="46"/>
      <c r="S262" s="46"/>
      <c r="T262" s="46"/>
      <c r="U262" s="46"/>
    </row>
    <row r="263" spans="1:21" x14ac:dyDescent="0.25">
      <c r="A263" s="46"/>
      <c r="B263" s="46"/>
      <c r="C263" s="46"/>
      <c r="D263" s="46"/>
      <c r="E263" s="46"/>
      <c r="F263" s="46"/>
      <c r="G263" s="46"/>
      <c r="H263" s="46"/>
      <c r="I263" s="46"/>
      <c r="J263" s="46"/>
      <c r="K263" s="46"/>
      <c r="L263" s="46"/>
      <c r="M263" s="46"/>
      <c r="N263" s="46"/>
      <c r="O263" s="46"/>
      <c r="P263" s="46"/>
      <c r="Q263" s="46"/>
      <c r="R263" s="46"/>
      <c r="S263" s="46"/>
      <c r="T263" s="46"/>
      <c r="U263" s="46"/>
    </row>
    <row r="264" spans="1:21" x14ac:dyDescent="0.25">
      <c r="A264" s="46"/>
      <c r="B264" s="46"/>
      <c r="C264" s="46"/>
      <c r="D264" s="46"/>
      <c r="E264" s="46"/>
      <c r="F264" s="46"/>
      <c r="G264" s="46"/>
      <c r="H264" s="46"/>
      <c r="I264" s="46"/>
      <c r="J264" s="46"/>
      <c r="K264" s="46"/>
      <c r="L264" s="46"/>
      <c r="M264" s="46"/>
      <c r="N264" s="46"/>
      <c r="O264" s="46"/>
      <c r="P264" s="46"/>
      <c r="Q264" s="46"/>
      <c r="R264" s="46"/>
      <c r="S264" s="46"/>
      <c r="T264" s="46"/>
      <c r="U264" s="46"/>
    </row>
    <row r="265" spans="1:21" x14ac:dyDescent="0.25">
      <c r="A265" s="46"/>
      <c r="B265" s="46"/>
      <c r="C265" s="46"/>
      <c r="D265" s="46"/>
      <c r="E265" s="46"/>
      <c r="F265" s="46"/>
      <c r="G265" s="46"/>
      <c r="H265" s="46"/>
      <c r="I265" s="46"/>
      <c r="J265" s="46"/>
      <c r="K265" s="46"/>
      <c r="L265" s="46"/>
      <c r="M265" s="46"/>
      <c r="N265" s="46"/>
      <c r="O265" s="46"/>
      <c r="P265" s="46"/>
      <c r="Q265" s="46"/>
      <c r="R265" s="46"/>
      <c r="S265" s="46"/>
      <c r="T265" s="46"/>
      <c r="U265" s="46"/>
    </row>
    <row r="266" spans="1:21" x14ac:dyDescent="0.25">
      <c r="A266" s="46"/>
      <c r="B266" s="46"/>
      <c r="C266" s="46"/>
      <c r="D266" s="46"/>
      <c r="E266" s="46"/>
      <c r="F266" s="46"/>
      <c r="G266" s="46"/>
      <c r="H266" s="46"/>
      <c r="I266" s="46"/>
      <c r="J266" s="46"/>
      <c r="K266" s="46"/>
      <c r="L266" s="46"/>
      <c r="M266" s="46"/>
      <c r="N266" s="46"/>
      <c r="O266" s="46"/>
      <c r="P266" s="46"/>
      <c r="Q266" s="46"/>
      <c r="R266" s="46"/>
      <c r="S266" s="46"/>
      <c r="T266" s="46"/>
      <c r="U266" s="46"/>
    </row>
    <row r="267" spans="1:21" x14ac:dyDescent="0.25">
      <c r="A267" s="46"/>
      <c r="B267" s="46"/>
      <c r="C267" s="46"/>
      <c r="D267" s="46"/>
      <c r="E267" s="46"/>
      <c r="F267" s="46"/>
      <c r="G267" s="46"/>
      <c r="H267" s="46"/>
      <c r="I267" s="46"/>
      <c r="J267" s="46"/>
      <c r="K267" s="46"/>
      <c r="L267" s="46"/>
      <c r="M267" s="46"/>
      <c r="N267" s="46"/>
      <c r="O267" s="46"/>
      <c r="P267" s="46"/>
      <c r="Q267" s="46"/>
      <c r="R267" s="46"/>
      <c r="S267" s="46"/>
      <c r="T267" s="46"/>
      <c r="U267" s="46"/>
    </row>
    <row r="268" spans="1:21" x14ac:dyDescent="0.25">
      <c r="A268" s="46"/>
      <c r="B268" s="46"/>
      <c r="C268" s="46"/>
      <c r="D268" s="46"/>
      <c r="E268" s="46"/>
      <c r="F268" s="46"/>
      <c r="G268" s="46"/>
      <c r="H268" s="46"/>
      <c r="I268" s="46"/>
      <c r="J268" s="46"/>
      <c r="K268" s="46"/>
      <c r="L268" s="46"/>
      <c r="M268" s="46"/>
      <c r="N268" s="46"/>
      <c r="O268" s="46"/>
      <c r="P268" s="46"/>
      <c r="Q268" s="46"/>
      <c r="R268" s="46"/>
      <c r="S268" s="46"/>
      <c r="T268" s="46"/>
      <c r="U268" s="46"/>
    </row>
    <row r="269" spans="1:21" x14ac:dyDescent="0.25">
      <c r="A269" s="46"/>
      <c r="B269" s="46"/>
      <c r="C269" s="46"/>
      <c r="D269" s="46"/>
      <c r="E269" s="46"/>
      <c r="F269" s="46"/>
      <c r="G269" s="46"/>
      <c r="H269" s="46"/>
      <c r="I269" s="46"/>
      <c r="J269" s="46"/>
      <c r="K269" s="46"/>
      <c r="L269" s="46"/>
      <c r="M269" s="46"/>
      <c r="N269" s="46"/>
      <c r="O269" s="46"/>
      <c r="P269" s="46"/>
      <c r="Q269" s="46"/>
      <c r="R269" s="46"/>
      <c r="S269" s="46"/>
      <c r="T269" s="46"/>
      <c r="U269" s="46"/>
    </row>
    <row r="270" spans="1:21" x14ac:dyDescent="0.25">
      <c r="A270" s="46"/>
      <c r="B270" s="46"/>
      <c r="C270" s="46"/>
      <c r="D270" s="46"/>
      <c r="E270" s="46"/>
      <c r="F270" s="46"/>
      <c r="G270" s="46"/>
      <c r="H270" s="46"/>
      <c r="I270" s="46"/>
      <c r="J270" s="46"/>
      <c r="K270" s="46"/>
      <c r="L270" s="46"/>
      <c r="M270" s="46"/>
      <c r="N270" s="46"/>
      <c r="O270" s="46"/>
      <c r="P270" s="46"/>
      <c r="Q270" s="46"/>
      <c r="R270" s="46"/>
      <c r="S270" s="46"/>
      <c r="T270" s="46"/>
      <c r="U270" s="46"/>
    </row>
    <row r="271" spans="1:21" x14ac:dyDescent="0.25">
      <c r="A271" s="46"/>
      <c r="B271" s="46"/>
      <c r="C271" s="46"/>
      <c r="D271" s="46"/>
      <c r="E271" s="46"/>
      <c r="F271" s="46"/>
      <c r="G271" s="46"/>
      <c r="H271" s="46"/>
      <c r="I271" s="46"/>
      <c r="J271" s="46"/>
      <c r="K271" s="46"/>
      <c r="L271" s="46"/>
      <c r="M271" s="46"/>
      <c r="N271" s="46"/>
      <c r="O271" s="46"/>
      <c r="P271" s="46"/>
      <c r="Q271" s="46"/>
      <c r="R271" s="46"/>
      <c r="S271" s="46"/>
      <c r="T271" s="46"/>
      <c r="U271" s="46"/>
    </row>
    <row r="272" spans="1:21" x14ac:dyDescent="0.25">
      <c r="A272" s="46"/>
      <c r="B272" s="46"/>
      <c r="C272" s="46"/>
      <c r="D272" s="46"/>
      <c r="E272" s="46"/>
      <c r="F272" s="46"/>
      <c r="G272" s="46"/>
      <c r="H272" s="46"/>
      <c r="I272" s="46"/>
      <c r="J272" s="46"/>
      <c r="K272" s="46"/>
      <c r="L272" s="46"/>
      <c r="M272" s="46"/>
      <c r="N272" s="46"/>
      <c r="O272" s="46"/>
      <c r="P272" s="46"/>
      <c r="Q272" s="46"/>
      <c r="R272" s="46"/>
      <c r="S272" s="46"/>
      <c r="T272" s="46"/>
      <c r="U272" s="46"/>
    </row>
    <row r="273" spans="1:21" x14ac:dyDescent="0.25">
      <c r="A273" s="46"/>
      <c r="B273" s="46"/>
      <c r="C273" s="46"/>
      <c r="D273" s="46"/>
      <c r="E273" s="46"/>
      <c r="F273" s="46"/>
      <c r="G273" s="46"/>
      <c r="H273" s="46"/>
      <c r="I273" s="46"/>
      <c r="J273" s="46"/>
      <c r="K273" s="46"/>
      <c r="L273" s="46"/>
      <c r="M273" s="46"/>
      <c r="N273" s="46"/>
      <c r="O273" s="46"/>
      <c r="P273" s="46"/>
      <c r="Q273" s="46"/>
      <c r="R273" s="46"/>
      <c r="S273" s="46"/>
      <c r="T273" s="46"/>
      <c r="U273" s="46"/>
    </row>
    <row r="274" spans="1:21" x14ac:dyDescent="0.25">
      <c r="A274" s="46"/>
      <c r="B274" s="46"/>
      <c r="C274" s="46"/>
      <c r="D274" s="46"/>
      <c r="E274" s="46"/>
      <c r="F274" s="46"/>
      <c r="G274" s="46"/>
      <c r="H274" s="46"/>
      <c r="I274" s="46"/>
      <c r="J274" s="46"/>
      <c r="K274" s="46"/>
      <c r="L274" s="46"/>
      <c r="M274" s="46"/>
      <c r="N274" s="46"/>
      <c r="O274" s="46"/>
      <c r="P274" s="46"/>
      <c r="Q274" s="46"/>
      <c r="R274" s="46"/>
      <c r="S274" s="46"/>
      <c r="T274" s="46"/>
      <c r="U274" s="46"/>
    </row>
    <row r="275" spans="1:21" x14ac:dyDescent="0.25">
      <c r="A275" s="46"/>
      <c r="B275" s="46"/>
      <c r="C275" s="46"/>
      <c r="D275" s="46"/>
      <c r="E275" s="46"/>
      <c r="F275" s="46"/>
      <c r="G275" s="46"/>
      <c r="H275" s="46"/>
      <c r="I275" s="46"/>
      <c r="J275" s="46"/>
      <c r="K275" s="46"/>
      <c r="L275" s="46"/>
      <c r="M275" s="46"/>
      <c r="N275" s="46"/>
      <c r="O275" s="46"/>
      <c r="P275" s="46"/>
      <c r="Q275" s="46"/>
      <c r="R275" s="46"/>
      <c r="S275" s="46"/>
      <c r="T275" s="46"/>
      <c r="U275" s="46"/>
    </row>
    <row r="276" spans="1:21" x14ac:dyDescent="0.25">
      <c r="A276" s="46"/>
      <c r="B276" s="46"/>
      <c r="C276" s="46"/>
      <c r="D276" s="46"/>
      <c r="E276" s="46"/>
      <c r="F276" s="46"/>
      <c r="G276" s="46"/>
      <c r="H276" s="46"/>
      <c r="I276" s="46"/>
      <c r="J276" s="46"/>
      <c r="K276" s="46"/>
      <c r="L276" s="46"/>
      <c r="M276" s="46"/>
      <c r="N276" s="46"/>
      <c r="O276" s="46"/>
      <c r="P276" s="46"/>
      <c r="Q276" s="46"/>
      <c r="R276" s="46"/>
      <c r="S276" s="46"/>
      <c r="T276" s="46"/>
      <c r="U276" s="46"/>
    </row>
    <row r="277" spans="1:21" x14ac:dyDescent="0.25">
      <c r="A277" s="46"/>
      <c r="B277" s="46"/>
      <c r="C277" s="46"/>
      <c r="D277" s="46"/>
      <c r="E277" s="46"/>
      <c r="F277" s="46"/>
      <c r="G277" s="46"/>
      <c r="H277" s="46"/>
      <c r="I277" s="46"/>
      <c r="J277" s="46"/>
      <c r="K277" s="46"/>
      <c r="L277" s="46"/>
      <c r="M277" s="46"/>
      <c r="N277" s="46"/>
      <c r="O277" s="46"/>
      <c r="P277" s="46"/>
      <c r="Q277" s="46"/>
      <c r="R277" s="46"/>
      <c r="S277" s="46"/>
      <c r="T277" s="46"/>
      <c r="U277" s="46"/>
    </row>
    <row r="278" spans="1:21" x14ac:dyDescent="0.25">
      <c r="A278" s="46"/>
      <c r="B278" s="46"/>
      <c r="C278" s="46"/>
      <c r="D278" s="46"/>
      <c r="E278" s="46"/>
      <c r="F278" s="46"/>
      <c r="G278" s="46"/>
      <c r="H278" s="46"/>
      <c r="I278" s="46"/>
      <c r="J278" s="46"/>
      <c r="K278" s="46"/>
      <c r="L278" s="46"/>
      <c r="M278" s="46"/>
      <c r="N278" s="46"/>
      <c r="O278" s="46"/>
      <c r="P278" s="46"/>
      <c r="Q278" s="46"/>
      <c r="R278" s="46"/>
      <c r="S278" s="46"/>
      <c r="T278" s="46"/>
      <c r="U278" s="46"/>
    </row>
    <row r="279" spans="1:21" x14ac:dyDescent="0.25">
      <c r="A279" s="46"/>
      <c r="B279" s="46"/>
      <c r="C279" s="46"/>
      <c r="D279" s="46"/>
      <c r="E279" s="46"/>
      <c r="F279" s="46"/>
      <c r="G279" s="46"/>
      <c r="H279" s="46"/>
      <c r="I279" s="46"/>
      <c r="J279" s="46"/>
      <c r="K279" s="46"/>
      <c r="L279" s="46"/>
      <c r="M279" s="46"/>
      <c r="N279" s="46"/>
      <c r="O279" s="46"/>
      <c r="P279" s="46"/>
      <c r="Q279" s="46"/>
      <c r="R279" s="46"/>
      <c r="S279" s="46"/>
      <c r="T279" s="46"/>
      <c r="U279" s="46"/>
    </row>
    <row r="280" spans="1:21" x14ac:dyDescent="0.25">
      <c r="A280" s="46"/>
      <c r="B280" s="46"/>
      <c r="C280" s="46"/>
      <c r="D280" s="46"/>
      <c r="E280" s="46"/>
      <c r="F280" s="46"/>
      <c r="G280" s="46"/>
      <c r="H280" s="46"/>
      <c r="I280" s="46"/>
      <c r="J280" s="46"/>
      <c r="K280" s="46"/>
      <c r="L280" s="46"/>
      <c r="M280" s="46"/>
      <c r="N280" s="46"/>
      <c r="O280" s="46"/>
      <c r="P280" s="46"/>
      <c r="Q280" s="46"/>
      <c r="R280" s="46"/>
      <c r="S280" s="46"/>
      <c r="T280" s="46"/>
      <c r="U280" s="46"/>
    </row>
    <row r="281" spans="1:21" x14ac:dyDescent="0.25">
      <c r="A281" s="46"/>
      <c r="B281" s="46"/>
      <c r="C281" s="46"/>
      <c r="D281" s="46"/>
      <c r="E281" s="46"/>
      <c r="F281" s="46"/>
      <c r="G281" s="46"/>
      <c r="H281" s="46"/>
      <c r="I281" s="46"/>
      <c r="J281" s="46"/>
      <c r="K281" s="46"/>
      <c r="L281" s="46"/>
      <c r="M281" s="46"/>
      <c r="N281" s="46"/>
      <c r="O281" s="46"/>
      <c r="P281" s="46"/>
      <c r="Q281" s="46"/>
      <c r="R281" s="46"/>
      <c r="S281" s="46"/>
      <c r="T281" s="46"/>
      <c r="U281" s="46"/>
    </row>
    <row r="282" spans="1:21" x14ac:dyDescent="0.25">
      <c r="A282" s="46"/>
      <c r="B282" s="46"/>
      <c r="C282" s="46"/>
      <c r="D282" s="46"/>
      <c r="E282" s="46"/>
      <c r="F282" s="46"/>
      <c r="G282" s="46"/>
      <c r="H282" s="46"/>
      <c r="I282" s="46"/>
      <c r="J282" s="46"/>
      <c r="K282" s="46"/>
      <c r="L282" s="46"/>
      <c r="M282" s="46"/>
      <c r="N282" s="46"/>
      <c r="O282" s="46"/>
      <c r="P282" s="46"/>
      <c r="Q282" s="46"/>
      <c r="R282" s="46"/>
      <c r="S282" s="46"/>
      <c r="T282" s="46"/>
      <c r="U282" s="46"/>
    </row>
    <row r="283" spans="1:21" x14ac:dyDescent="0.25">
      <c r="A283" s="46"/>
      <c r="B283" s="46"/>
      <c r="C283" s="46"/>
      <c r="D283" s="46"/>
      <c r="E283" s="46"/>
      <c r="F283" s="46"/>
      <c r="G283" s="46"/>
      <c r="H283" s="46"/>
      <c r="I283" s="46"/>
      <c r="J283" s="46"/>
      <c r="K283" s="46"/>
      <c r="L283" s="46"/>
      <c r="M283" s="46"/>
      <c r="N283" s="46"/>
      <c r="O283" s="46"/>
      <c r="P283" s="46"/>
      <c r="Q283" s="46"/>
      <c r="R283" s="46"/>
      <c r="S283" s="46"/>
      <c r="T283" s="46"/>
      <c r="U283" s="46"/>
    </row>
    <row r="284" spans="1:21" x14ac:dyDescent="0.25">
      <c r="A284" s="46"/>
      <c r="B284" s="46"/>
      <c r="C284" s="46"/>
      <c r="D284" s="46"/>
      <c r="E284" s="46"/>
      <c r="F284" s="46"/>
      <c r="G284" s="46"/>
      <c r="H284" s="46"/>
      <c r="I284" s="46"/>
      <c r="J284" s="46"/>
      <c r="K284" s="46"/>
      <c r="L284" s="46"/>
      <c r="M284" s="46"/>
      <c r="N284" s="46"/>
      <c r="O284" s="46"/>
      <c r="P284" s="46"/>
      <c r="Q284" s="46"/>
      <c r="R284" s="46"/>
      <c r="S284" s="46"/>
      <c r="T284" s="46"/>
      <c r="U284" s="46"/>
    </row>
    <row r="285" spans="1:21" x14ac:dyDescent="0.25">
      <c r="A285" s="46"/>
      <c r="B285" s="46"/>
      <c r="C285" s="46"/>
      <c r="D285" s="46"/>
      <c r="E285" s="46"/>
      <c r="F285" s="46"/>
      <c r="G285" s="46"/>
      <c r="H285" s="46"/>
      <c r="I285" s="46"/>
      <c r="J285" s="46"/>
      <c r="K285" s="46"/>
      <c r="L285" s="46"/>
      <c r="M285" s="46"/>
      <c r="N285" s="46"/>
      <c r="O285" s="46"/>
      <c r="P285" s="46"/>
      <c r="Q285" s="46"/>
      <c r="R285" s="46"/>
      <c r="S285" s="46"/>
      <c r="T285" s="46"/>
      <c r="U285" s="46"/>
    </row>
    <row r="286" spans="1:21" x14ac:dyDescent="0.25">
      <c r="A286" s="46"/>
      <c r="B286" s="46"/>
      <c r="C286" s="46"/>
      <c r="D286" s="46"/>
      <c r="E286" s="46"/>
      <c r="F286" s="46"/>
      <c r="G286" s="46"/>
      <c r="H286" s="46"/>
      <c r="I286" s="46"/>
      <c r="J286" s="46"/>
      <c r="K286" s="46"/>
      <c r="L286" s="46"/>
      <c r="M286" s="46"/>
      <c r="N286" s="46"/>
      <c r="O286" s="46"/>
      <c r="P286" s="46"/>
      <c r="Q286" s="46"/>
      <c r="R286" s="46"/>
      <c r="S286" s="46"/>
      <c r="T286" s="46"/>
      <c r="U286" s="46"/>
    </row>
    <row r="287" spans="1:21" x14ac:dyDescent="0.25">
      <c r="A287" s="46"/>
      <c r="B287" s="46"/>
      <c r="C287" s="46"/>
      <c r="D287" s="46"/>
      <c r="E287" s="46"/>
      <c r="F287" s="46"/>
      <c r="G287" s="46"/>
      <c r="H287" s="46"/>
      <c r="I287" s="46"/>
      <c r="J287" s="46"/>
      <c r="K287" s="46"/>
      <c r="L287" s="46"/>
      <c r="M287" s="46"/>
      <c r="N287" s="46"/>
      <c r="O287" s="46"/>
      <c r="P287" s="46"/>
      <c r="Q287" s="46"/>
      <c r="R287" s="46"/>
      <c r="S287" s="46"/>
      <c r="T287" s="46"/>
      <c r="U287" s="46"/>
    </row>
    <row r="288" spans="1:21" x14ac:dyDescent="0.25">
      <c r="A288" s="46"/>
      <c r="B288" s="46"/>
      <c r="C288" s="46"/>
      <c r="D288" s="46"/>
      <c r="E288" s="46"/>
      <c r="F288" s="46"/>
      <c r="G288" s="46"/>
      <c r="H288" s="46"/>
      <c r="I288" s="46"/>
      <c r="J288" s="46"/>
      <c r="K288" s="46"/>
      <c r="L288" s="46"/>
      <c r="M288" s="46"/>
      <c r="N288" s="46"/>
      <c r="O288" s="46"/>
      <c r="P288" s="46"/>
      <c r="Q288" s="46"/>
      <c r="R288" s="46"/>
      <c r="S288" s="46"/>
      <c r="T288" s="46"/>
      <c r="U288" s="46"/>
    </row>
    <row r="289" spans="1:21" x14ac:dyDescent="0.25">
      <c r="A289" s="46"/>
      <c r="B289" s="46"/>
      <c r="C289" s="46"/>
      <c r="D289" s="46"/>
      <c r="E289" s="46"/>
      <c r="F289" s="46"/>
      <c r="G289" s="46"/>
      <c r="H289" s="46"/>
      <c r="I289" s="46"/>
      <c r="J289" s="46"/>
      <c r="K289" s="46"/>
      <c r="L289" s="46"/>
      <c r="M289" s="46"/>
      <c r="N289" s="46"/>
      <c r="O289" s="46"/>
      <c r="P289" s="46"/>
      <c r="Q289" s="46"/>
      <c r="R289" s="46"/>
      <c r="S289" s="46"/>
      <c r="T289" s="46"/>
      <c r="U289" s="46"/>
    </row>
    <row r="290" spans="1:21" x14ac:dyDescent="0.25">
      <c r="A290" s="46"/>
      <c r="B290" s="46"/>
      <c r="C290" s="46"/>
      <c r="D290" s="46"/>
      <c r="E290" s="46"/>
      <c r="F290" s="46"/>
      <c r="G290" s="46"/>
      <c r="H290" s="46"/>
      <c r="I290" s="46"/>
      <c r="J290" s="46"/>
      <c r="K290" s="46"/>
      <c r="L290" s="46"/>
      <c r="M290" s="46"/>
      <c r="N290" s="46"/>
      <c r="O290" s="46"/>
      <c r="P290" s="46"/>
      <c r="Q290" s="46"/>
      <c r="R290" s="46"/>
      <c r="S290" s="46"/>
      <c r="T290" s="46"/>
      <c r="U290" s="46"/>
    </row>
    <row r="291" spans="1:21" x14ac:dyDescent="0.25">
      <c r="A291" s="46"/>
      <c r="B291" s="46"/>
      <c r="C291" s="46"/>
      <c r="D291" s="46"/>
      <c r="E291" s="46"/>
      <c r="F291" s="46"/>
      <c r="G291" s="46"/>
      <c r="H291" s="46"/>
      <c r="I291" s="46"/>
      <c r="J291" s="46"/>
      <c r="K291" s="46"/>
      <c r="L291" s="46"/>
      <c r="M291" s="46"/>
      <c r="N291" s="46"/>
      <c r="O291" s="46"/>
      <c r="P291" s="46"/>
      <c r="Q291" s="46"/>
      <c r="R291" s="46"/>
      <c r="S291" s="46"/>
      <c r="T291" s="46"/>
      <c r="U291" s="46"/>
    </row>
    <row r="292" spans="1:21" x14ac:dyDescent="0.25">
      <c r="A292" s="46"/>
      <c r="B292" s="46"/>
      <c r="C292" s="46"/>
      <c r="D292" s="46"/>
      <c r="E292" s="46"/>
      <c r="F292" s="46"/>
      <c r="G292" s="46"/>
      <c r="H292" s="46"/>
      <c r="I292" s="46"/>
      <c r="J292" s="46"/>
      <c r="K292" s="46"/>
      <c r="L292" s="46"/>
      <c r="M292" s="46"/>
      <c r="N292" s="46"/>
      <c r="O292" s="46"/>
      <c r="P292" s="46"/>
      <c r="Q292" s="46"/>
      <c r="R292" s="46"/>
      <c r="S292" s="46"/>
      <c r="T292" s="46"/>
      <c r="U292" s="46"/>
    </row>
    <row r="293" spans="1:21" x14ac:dyDescent="0.25">
      <c r="A293" s="46"/>
      <c r="B293" s="46"/>
      <c r="C293" s="46"/>
      <c r="D293" s="46"/>
      <c r="E293" s="46"/>
      <c r="F293" s="46"/>
      <c r="G293" s="46"/>
      <c r="H293" s="46"/>
      <c r="I293" s="46"/>
      <c r="J293" s="46"/>
      <c r="K293" s="46"/>
      <c r="L293" s="46"/>
      <c r="M293" s="46"/>
      <c r="N293" s="46"/>
      <c r="O293" s="46"/>
      <c r="P293" s="46"/>
      <c r="Q293" s="46"/>
      <c r="R293" s="46"/>
      <c r="S293" s="46"/>
      <c r="T293" s="46"/>
      <c r="U293" s="46"/>
    </row>
    <row r="294" spans="1:21" x14ac:dyDescent="0.25">
      <c r="A294" s="46"/>
      <c r="B294" s="46"/>
      <c r="C294" s="46"/>
      <c r="D294" s="46"/>
      <c r="E294" s="46"/>
      <c r="F294" s="46"/>
      <c r="G294" s="46"/>
      <c r="H294" s="46"/>
      <c r="I294" s="46"/>
      <c r="J294" s="46"/>
      <c r="K294" s="46"/>
      <c r="L294" s="46"/>
      <c r="M294" s="46"/>
      <c r="N294" s="46"/>
      <c r="O294" s="46"/>
      <c r="P294" s="46"/>
      <c r="Q294" s="46"/>
      <c r="R294" s="46"/>
      <c r="S294" s="46"/>
      <c r="T294" s="46"/>
      <c r="U294" s="46"/>
    </row>
    <row r="295" spans="1:21" x14ac:dyDescent="0.25">
      <c r="A295" s="46"/>
      <c r="B295" s="46"/>
      <c r="C295" s="46"/>
      <c r="D295" s="46"/>
      <c r="E295" s="46"/>
      <c r="F295" s="46"/>
      <c r="G295" s="46"/>
      <c r="H295" s="46"/>
      <c r="I295" s="46"/>
      <c r="J295" s="46"/>
      <c r="K295" s="46"/>
      <c r="L295" s="46"/>
      <c r="M295" s="46"/>
      <c r="N295" s="46"/>
      <c r="O295" s="46"/>
      <c r="P295" s="46"/>
      <c r="Q295" s="46"/>
      <c r="R295" s="46"/>
      <c r="S295" s="46"/>
      <c r="T295" s="46"/>
      <c r="U295" s="46"/>
    </row>
    <row r="296" spans="1:21" x14ac:dyDescent="0.25">
      <c r="A296" s="46"/>
      <c r="B296" s="46"/>
      <c r="C296" s="46"/>
      <c r="D296" s="46"/>
      <c r="E296" s="46"/>
      <c r="F296" s="46"/>
      <c r="G296" s="46"/>
      <c r="H296" s="46"/>
      <c r="I296" s="46"/>
      <c r="J296" s="46"/>
      <c r="K296" s="46"/>
      <c r="L296" s="46"/>
      <c r="M296" s="46"/>
      <c r="N296" s="46"/>
      <c r="O296" s="46"/>
      <c r="P296" s="46"/>
      <c r="Q296" s="46"/>
      <c r="R296" s="46"/>
      <c r="S296" s="46"/>
      <c r="T296" s="46"/>
      <c r="U296" s="46"/>
    </row>
    <row r="297" spans="1:21" x14ac:dyDescent="0.25">
      <c r="A297" s="46"/>
      <c r="B297" s="46"/>
      <c r="C297" s="46"/>
      <c r="D297" s="46"/>
      <c r="E297" s="46"/>
      <c r="F297" s="46"/>
      <c r="G297" s="46"/>
      <c r="H297" s="46"/>
      <c r="I297" s="46"/>
      <c r="J297" s="46"/>
      <c r="K297" s="46"/>
      <c r="L297" s="46"/>
      <c r="M297" s="46"/>
      <c r="N297" s="46"/>
      <c r="O297" s="46"/>
      <c r="P297" s="46"/>
      <c r="Q297" s="46"/>
      <c r="R297" s="46"/>
      <c r="S297" s="46"/>
      <c r="T297" s="46"/>
      <c r="U297" s="46"/>
    </row>
    <row r="298" spans="1:21" x14ac:dyDescent="0.25">
      <c r="A298" s="46"/>
      <c r="B298" s="46"/>
      <c r="C298" s="46"/>
      <c r="D298" s="46"/>
      <c r="E298" s="46"/>
      <c r="F298" s="46"/>
      <c r="G298" s="46"/>
      <c r="H298" s="46"/>
      <c r="I298" s="46"/>
      <c r="J298" s="46"/>
      <c r="K298" s="46"/>
      <c r="L298" s="46"/>
      <c r="M298" s="46"/>
      <c r="N298" s="46"/>
      <c r="O298" s="46"/>
      <c r="P298" s="46"/>
      <c r="Q298" s="46"/>
      <c r="R298" s="46"/>
      <c r="S298" s="46"/>
      <c r="T298" s="46"/>
      <c r="U298" s="46"/>
    </row>
    <row r="299" spans="1:21" x14ac:dyDescent="0.25">
      <c r="A299" s="46"/>
      <c r="B299" s="46"/>
      <c r="C299" s="46"/>
      <c r="D299" s="46"/>
      <c r="E299" s="46"/>
      <c r="F299" s="46"/>
      <c r="G299" s="46"/>
      <c r="H299" s="46"/>
      <c r="I299" s="46"/>
      <c r="J299" s="46"/>
      <c r="K299" s="46"/>
      <c r="L299" s="46"/>
      <c r="M299" s="46"/>
      <c r="N299" s="46"/>
      <c r="O299" s="46"/>
      <c r="P299" s="46"/>
      <c r="Q299" s="46"/>
      <c r="R299" s="46"/>
      <c r="S299" s="46"/>
      <c r="T299" s="46"/>
      <c r="U299" s="46"/>
    </row>
    <row r="300" spans="1:21" x14ac:dyDescent="0.25">
      <c r="A300" s="46"/>
      <c r="B300" s="46"/>
      <c r="C300" s="46"/>
      <c r="D300" s="46"/>
      <c r="E300" s="46"/>
      <c r="F300" s="46"/>
      <c r="G300" s="46"/>
      <c r="H300" s="46"/>
      <c r="I300" s="46"/>
      <c r="J300" s="46"/>
      <c r="K300" s="46"/>
      <c r="L300" s="46"/>
      <c r="M300" s="46"/>
      <c r="N300" s="46"/>
      <c r="O300" s="46"/>
      <c r="P300" s="46"/>
      <c r="Q300" s="46"/>
      <c r="R300" s="46"/>
      <c r="S300" s="46"/>
      <c r="T300" s="46"/>
      <c r="U300" s="46"/>
    </row>
    <row r="301" spans="1:21" x14ac:dyDescent="0.25">
      <c r="A301" s="46"/>
      <c r="B301" s="46"/>
      <c r="C301" s="46"/>
      <c r="D301" s="46"/>
      <c r="E301" s="46"/>
      <c r="F301" s="46"/>
      <c r="G301" s="46"/>
      <c r="H301" s="46"/>
      <c r="I301" s="46"/>
      <c r="J301" s="46"/>
      <c r="K301" s="46"/>
      <c r="L301" s="46"/>
      <c r="M301" s="46"/>
      <c r="N301" s="46"/>
      <c r="O301" s="46"/>
      <c r="P301" s="46"/>
      <c r="Q301" s="46"/>
      <c r="R301" s="46"/>
      <c r="S301" s="46"/>
      <c r="T301" s="46"/>
      <c r="U301" s="46"/>
    </row>
    <row r="302" spans="1:21" x14ac:dyDescent="0.25">
      <c r="A302" s="46"/>
      <c r="B302" s="46"/>
      <c r="C302" s="46"/>
      <c r="D302" s="46"/>
      <c r="E302" s="46"/>
      <c r="F302" s="46"/>
      <c r="G302" s="46"/>
      <c r="H302" s="46"/>
      <c r="I302" s="46"/>
      <c r="J302" s="46"/>
      <c r="K302" s="46"/>
      <c r="L302" s="46"/>
      <c r="M302" s="46"/>
      <c r="N302" s="46"/>
      <c r="O302" s="46"/>
      <c r="P302" s="46"/>
      <c r="Q302" s="46"/>
      <c r="R302" s="46"/>
      <c r="S302" s="46"/>
      <c r="T302" s="46"/>
      <c r="U302" s="46"/>
    </row>
    <row r="303" spans="1:21" x14ac:dyDescent="0.25">
      <c r="A303" s="46"/>
      <c r="B303" s="46"/>
      <c r="C303" s="46"/>
      <c r="D303" s="46"/>
      <c r="E303" s="46"/>
      <c r="F303" s="46"/>
      <c r="G303" s="46"/>
      <c r="H303" s="46"/>
      <c r="I303" s="46"/>
      <c r="J303" s="46"/>
      <c r="K303" s="46"/>
      <c r="L303" s="46"/>
      <c r="M303" s="46"/>
      <c r="N303" s="46"/>
      <c r="O303" s="46"/>
      <c r="P303" s="46"/>
      <c r="Q303" s="46"/>
      <c r="R303" s="46"/>
      <c r="S303" s="46"/>
      <c r="T303" s="46"/>
      <c r="U303" s="46"/>
    </row>
    <row r="304" spans="1:21" x14ac:dyDescent="0.25">
      <c r="A304" s="46"/>
      <c r="B304" s="46"/>
      <c r="C304" s="46"/>
      <c r="D304" s="46"/>
      <c r="E304" s="46"/>
      <c r="F304" s="46"/>
      <c r="G304" s="46"/>
      <c r="H304" s="46"/>
      <c r="I304" s="46"/>
      <c r="J304" s="46"/>
      <c r="K304" s="46"/>
      <c r="L304" s="46"/>
      <c r="M304" s="46"/>
      <c r="N304" s="46"/>
      <c r="O304" s="46"/>
      <c r="P304" s="46"/>
      <c r="Q304" s="46"/>
      <c r="R304" s="46"/>
      <c r="S304" s="46"/>
      <c r="T304" s="46"/>
      <c r="U304" s="46"/>
    </row>
    <row r="305" spans="1:21" x14ac:dyDescent="0.25">
      <c r="A305" s="46"/>
      <c r="B305" s="46"/>
      <c r="C305" s="46"/>
      <c r="D305" s="46"/>
      <c r="E305" s="46"/>
      <c r="F305" s="46"/>
      <c r="G305" s="46"/>
      <c r="H305" s="46"/>
      <c r="I305" s="46"/>
      <c r="J305" s="46"/>
      <c r="K305" s="46"/>
      <c r="L305" s="46"/>
      <c r="M305" s="46"/>
      <c r="N305" s="46"/>
      <c r="O305" s="46"/>
      <c r="P305" s="46"/>
      <c r="Q305" s="46"/>
      <c r="R305" s="46"/>
      <c r="S305" s="46"/>
      <c r="T305" s="46"/>
      <c r="U305" s="46"/>
    </row>
    <row r="306" spans="1:21" x14ac:dyDescent="0.25">
      <c r="A306" s="46"/>
      <c r="B306" s="46"/>
      <c r="C306" s="46"/>
      <c r="D306" s="46"/>
      <c r="E306" s="46"/>
      <c r="F306" s="46"/>
      <c r="G306" s="46"/>
      <c r="H306" s="46"/>
      <c r="I306" s="46"/>
      <c r="J306" s="46"/>
      <c r="K306" s="46"/>
      <c r="L306" s="46"/>
      <c r="M306" s="46"/>
      <c r="N306" s="46"/>
      <c r="O306" s="46"/>
      <c r="P306" s="46"/>
      <c r="Q306" s="46"/>
      <c r="R306" s="46"/>
      <c r="S306" s="46"/>
      <c r="T306" s="46"/>
      <c r="U306" s="46"/>
    </row>
    <row r="307" spans="1:21" x14ac:dyDescent="0.25">
      <c r="A307" s="46"/>
      <c r="B307" s="46"/>
      <c r="C307" s="46"/>
      <c r="D307" s="46"/>
      <c r="E307" s="46"/>
      <c r="F307" s="46"/>
      <c r="G307" s="46"/>
      <c r="H307" s="46"/>
      <c r="I307" s="46"/>
      <c r="J307" s="46"/>
      <c r="K307" s="46"/>
      <c r="L307" s="46"/>
      <c r="M307" s="46"/>
      <c r="N307" s="46"/>
      <c r="O307" s="46"/>
      <c r="P307" s="46"/>
      <c r="Q307" s="46"/>
      <c r="R307" s="46"/>
      <c r="S307" s="46"/>
      <c r="T307" s="46"/>
      <c r="U307" s="46"/>
    </row>
    <row r="308" spans="1:21" x14ac:dyDescent="0.25">
      <c r="A308" s="46"/>
      <c r="B308" s="46"/>
      <c r="C308" s="46"/>
      <c r="D308" s="46"/>
      <c r="E308" s="46"/>
      <c r="F308" s="46"/>
      <c r="G308" s="46"/>
      <c r="H308" s="46"/>
      <c r="I308" s="46"/>
      <c r="J308" s="46"/>
      <c r="K308" s="46"/>
      <c r="L308" s="46"/>
      <c r="M308" s="46"/>
      <c r="N308" s="46"/>
      <c r="O308" s="46"/>
      <c r="P308" s="46"/>
      <c r="Q308" s="46"/>
      <c r="R308" s="46"/>
      <c r="S308" s="46"/>
      <c r="T308" s="46"/>
      <c r="U308" s="46"/>
    </row>
    <row r="309" spans="1:21" x14ac:dyDescent="0.25">
      <c r="A309" s="46"/>
      <c r="B309" s="46"/>
      <c r="C309" s="46"/>
      <c r="D309" s="46"/>
      <c r="E309" s="46"/>
      <c r="F309" s="46"/>
      <c r="G309" s="46"/>
      <c r="H309" s="46"/>
      <c r="I309" s="46"/>
      <c r="J309" s="46"/>
      <c r="K309" s="46"/>
      <c r="L309" s="46"/>
      <c r="M309" s="46"/>
      <c r="N309" s="46"/>
      <c r="O309" s="46"/>
      <c r="P309" s="46"/>
      <c r="Q309" s="46"/>
      <c r="R309" s="46"/>
      <c r="S309" s="46"/>
      <c r="T309" s="46"/>
      <c r="U309" s="46"/>
    </row>
    <row r="310" spans="1:21" x14ac:dyDescent="0.25">
      <c r="A310" s="46"/>
      <c r="B310" s="46"/>
      <c r="C310" s="46"/>
      <c r="D310" s="46"/>
      <c r="E310" s="46"/>
      <c r="F310" s="46"/>
      <c r="G310" s="46"/>
      <c r="H310" s="46"/>
      <c r="I310" s="46"/>
      <c r="J310" s="46"/>
      <c r="K310" s="46"/>
      <c r="L310" s="46"/>
      <c r="M310" s="46"/>
      <c r="N310" s="46"/>
      <c r="O310" s="46"/>
      <c r="P310" s="46"/>
      <c r="Q310" s="46"/>
      <c r="R310" s="46"/>
      <c r="S310" s="46"/>
      <c r="T310" s="46"/>
      <c r="U310" s="46"/>
    </row>
    <row r="311" spans="1:21" x14ac:dyDescent="0.25">
      <c r="A311" s="46"/>
      <c r="B311" s="46"/>
      <c r="C311" s="46"/>
      <c r="D311" s="46"/>
      <c r="E311" s="46"/>
      <c r="F311" s="46"/>
      <c r="G311" s="46"/>
      <c r="H311" s="46"/>
      <c r="I311" s="46"/>
      <c r="J311" s="46"/>
      <c r="K311" s="46"/>
      <c r="L311" s="46"/>
      <c r="M311" s="46"/>
      <c r="N311" s="46"/>
      <c r="O311" s="46"/>
      <c r="P311" s="46"/>
      <c r="Q311" s="46"/>
      <c r="R311" s="46"/>
      <c r="S311" s="46"/>
      <c r="T311" s="46"/>
      <c r="U311" s="46"/>
    </row>
    <row r="312" spans="1:21" x14ac:dyDescent="0.25">
      <c r="A312" s="46"/>
      <c r="B312" s="46"/>
      <c r="C312" s="46"/>
      <c r="D312" s="46"/>
      <c r="E312" s="46"/>
      <c r="F312" s="46"/>
      <c r="G312" s="46"/>
      <c r="H312" s="46"/>
      <c r="I312" s="46"/>
      <c r="J312" s="46"/>
      <c r="K312" s="46"/>
      <c r="L312" s="46"/>
      <c r="M312" s="46"/>
      <c r="N312" s="46"/>
      <c r="O312" s="46"/>
      <c r="P312" s="46"/>
      <c r="Q312" s="46"/>
      <c r="R312" s="46"/>
      <c r="S312" s="46"/>
      <c r="T312" s="46"/>
      <c r="U312" s="46"/>
    </row>
    <row r="313" spans="1:21" x14ac:dyDescent="0.25">
      <c r="A313" s="46"/>
      <c r="B313" s="46"/>
      <c r="C313" s="46"/>
      <c r="D313" s="46"/>
      <c r="E313" s="46"/>
      <c r="F313" s="46"/>
      <c r="G313" s="46"/>
      <c r="H313" s="46"/>
      <c r="I313" s="46"/>
      <c r="J313" s="46"/>
      <c r="K313" s="46"/>
      <c r="L313" s="46"/>
      <c r="M313" s="46"/>
      <c r="N313" s="46"/>
      <c r="O313" s="46"/>
      <c r="P313" s="46"/>
      <c r="Q313" s="46"/>
      <c r="R313" s="46"/>
      <c r="S313" s="46"/>
      <c r="T313" s="46"/>
      <c r="U313" s="46"/>
    </row>
    <row r="314" spans="1:21" x14ac:dyDescent="0.25">
      <c r="A314" s="46"/>
      <c r="B314" s="46"/>
      <c r="C314" s="46"/>
      <c r="D314" s="46"/>
      <c r="E314" s="46"/>
      <c r="F314" s="46"/>
      <c r="G314" s="46"/>
      <c r="H314" s="46"/>
      <c r="I314" s="46"/>
      <c r="J314" s="46"/>
      <c r="K314" s="46"/>
      <c r="L314" s="46"/>
      <c r="M314" s="46"/>
      <c r="N314" s="46"/>
      <c r="O314" s="46"/>
      <c r="P314" s="46"/>
      <c r="Q314" s="46"/>
      <c r="R314" s="46"/>
      <c r="S314" s="46"/>
      <c r="T314" s="46"/>
      <c r="U314" s="46"/>
    </row>
    <row r="315" spans="1:21" x14ac:dyDescent="0.25">
      <c r="A315" s="46"/>
      <c r="B315" s="46"/>
      <c r="C315" s="46"/>
      <c r="D315" s="46"/>
      <c r="E315" s="46"/>
      <c r="F315" s="46"/>
      <c r="G315" s="46"/>
      <c r="H315" s="46"/>
      <c r="I315" s="46"/>
      <c r="J315" s="46"/>
      <c r="K315" s="46"/>
      <c r="L315" s="46"/>
      <c r="M315" s="46"/>
      <c r="N315" s="46"/>
      <c r="O315" s="46"/>
      <c r="P315" s="46"/>
      <c r="Q315" s="46"/>
      <c r="R315" s="46"/>
      <c r="S315" s="46"/>
      <c r="T315" s="46"/>
      <c r="U315" s="46"/>
    </row>
    <row r="316" spans="1:21" x14ac:dyDescent="0.25">
      <c r="A316" s="46"/>
      <c r="B316" s="46"/>
      <c r="C316" s="46"/>
      <c r="D316" s="46"/>
      <c r="E316" s="46"/>
      <c r="F316" s="46"/>
      <c r="G316" s="46"/>
      <c r="H316" s="46"/>
      <c r="I316" s="46"/>
      <c r="J316" s="46"/>
      <c r="K316" s="46"/>
      <c r="L316" s="46"/>
      <c r="M316" s="46"/>
      <c r="N316" s="46"/>
      <c r="O316" s="46"/>
      <c r="P316" s="46"/>
      <c r="Q316" s="46"/>
      <c r="R316" s="46"/>
      <c r="S316" s="46"/>
      <c r="T316" s="46"/>
      <c r="U316" s="46"/>
    </row>
    <row r="317" spans="1:21" x14ac:dyDescent="0.25">
      <c r="A317" s="46"/>
      <c r="B317" s="46"/>
      <c r="C317" s="46"/>
      <c r="D317" s="46"/>
      <c r="E317" s="46"/>
      <c r="F317" s="46"/>
      <c r="G317" s="46"/>
      <c r="H317" s="46"/>
      <c r="I317" s="46"/>
      <c r="J317" s="46"/>
      <c r="K317" s="46"/>
      <c r="L317" s="46"/>
      <c r="M317" s="46"/>
      <c r="N317" s="46"/>
      <c r="O317" s="46"/>
      <c r="P317" s="46"/>
      <c r="Q317" s="46"/>
      <c r="R317" s="46"/>
      <c r="S317" s="46"/>
      <c r="T317" s="46"/>
      <c r="U317" s="46"/>
    </row>
    <row r="318" spans="1:21" x14ac:dyDescent="0.25">
      <c r="A318" s="46"/>
      <c r="B318" s="46"/>
      <c r="C318" s="46"/>
      <c r="D318" s="46"/>
      <c r="E318" s="46"/>
      <c r="F318" s="46"/>
      <c r="G318" s="46"/>
      <c r="H318" s="46"/>
      <c r="I318" s="46"/>
      <c r="J318" s="46"/>
      <c r="K318" s="46"/>
      <c r="L318" s="46"/>
      <c r="M318" s="46"/>
      <c r="N318" s="46"/>
      <c r="O318" s="46"/>
      <c r="P318" s="46"/>
      <c r="Q318" s="46"/>
      <c r="R318" s="46"/>
      <c r="S318" s="46"/>
      <c r="T318" s="46"/>
      <c r="U318" s="46"/>
    </row>
    <row r="319" spans="1:21" x14ac:dyDescent="0.25">
      <c r="A319" s="46"/>
      <c r="B319" s="46"/>
      <c r="C319" s="46"/>
      <c r="D319" s="46"/>
      <c r="E319" s="46"/>
      <c r="F319" s="46"/>
      <c r="G319" s="46"/>
      <c r="H319" s="46"/>
      <c r="I319" s="46"/>
      <c r="J319" s="46"/>
      <c r="K319" s="46"/>
      <c r="L319" s="46"/>
      <c r="M319" s="46"/>
      <c r="N319" s="46"/>
      <c r="O319" s="46"/>
      <c r="P319" s="46"/>
      <c r="Q319" s="46"/>
      <c r="R319" s="46"/>
      <c r="S319" s="46"/>
      <c r="T319" s="46"/>
      <c r="U319" s="46"/>
    </row>
    <row r="320" spans="1:21" x14ac:dyDescent="0.25">
      <c r="A320" s="46"/>
      <c r="B320" s="46"/>
      <c r="C320" s="46"/>
      <c r="D320" s="46"/>
      <c r="E320" s="46"/>
      <c r="F320" s="46"/>
      <c r="G320" s="46"/>
      <c r="H320" s="46"/>
      <c r="I320" s="46"/>
      <c r="J320" s="46"/>
      <c r="K320" s="46"/>
      <c r="L320" s="46"/>
      <c r="M320" s="46"/>
      <c r="N320" s="46"/>
      <c r="O320" s="46"/>
      <c r="P320" s="46"/>
      <c r="Q320" s="46"/>
      <c r="R320" s="46"/>
      <c r="S320" s="46"/>
      <c r="T320" s="46"/>
      <c r="U320" s="46"/>
    </row>
    <row r="321" spans="1:21" x14ac:dyDescent="0.25">
      <c r="A321" s="46"/>
      <c r="B321" s="46"/>
      <c r="C321" s="46"/>
      <c r="D321" s="46"/>
      <c r="E321" s="46"/>
      <c r="F321" s="46"/>
      <c r="G321" s="46"/>
      <c r="H321" s="46"/>
      <c r="I321" s="46"/>
      <c r="J321" s="46"/>
      <c r="K321" s="46"/>
      <c r="L321" s="46"/>
      <c r="M321" s="46"/>
      <c r="N321" s="46"/>
      <c r="O321" s="46"/>
      <c r="P321" s="46"/>
      <c r="Q321" s="46"/>
      <c r="R321" s="46"/>
      <c r="S321" s="46"/>
      <c r="T321" s="46"/>
      <c r="U321" s="46"/>
    </row>
    <row r="322" spans="1:21" x14ac:dyDescent="0.25">
      <c r="A322" s="46"/>
      <c r="B322" s="46"/>
      <c r="C322" s="46"/>
      <c r="D322" s="46"/>
      <c r="E322" s="46"/>
      <c r="F322" s="46"/>
      <c r="G322" s="46"/>
      <c r="H322" s="46"/>
      <c r="I322" s="46"/>
      <c r="J322" s="46"/>
      <c r="K322" s="46"/>
      <c r="L322" s="46"/>
      <c r="M322" s="46"/>
      <c r="N322" s="46"/>
      <c r="O322" s="46"/>
      <c r="P322" s="46"/>
      <c r="Q322" s="46"/>
      <c r="R322" s="46"/>
      <c r="S322" s="46"/>
      <c r="T322" s="46"/>
      <c r="U322" s="46"/>
    </row>
    <row r="323" spans="1:21" x14ac:dyDescent="0.25">
      <c r="A323" s="46"/>
      <c r="B323" s="46"/>
      <c r="C323" s="46"/>
      <c r="D323" s="46"/>
      <c r="E323" s="46"/>
      <c r="F323" s="46"/>
      <c r="G323" s="46"/>
      <c r="H323" s="46"/>
      <c r="I323" s="46"/>
      <c r="J323" s="46"/>
      <c r="K323" s="46"/>
      <c r="L323" s="46"/>
      <c r="M323" s="46"/>
      <c r="N323" s="46"/>
      <c r="O323" s="46"/>
      <c r="P323" s="46"/>
      <c r="Q323" s="46"/>
      <c r="R323" s="46"/>
      <c r="S323" s="46"/>
      <c r="T323" s="46"/>
      <c r="U323" s="46"/>
    </row>
    <row r="324" spans="1:21" x14ac:dyDescent="0.25">
      <c r="A324" s="46"/>
      <c r="B324" s="46"/>
      <c r="C324" s="46"/>
      <c r="D324" s="46"/>
      <c r="E324" s="46"/>
      <c r="F324" s="46"/>
      <c r="G324" s="46"/>
      <c r="H324" s="46"/>
      <c r="I324" s="46"/>
      <c r="J324" s="46"/>
      <c r="K324" s="46"/>
      <c r="L324" s="46"/>
      <c r="M324" s="46"/>
      <c r="N324" s="46"/>
      <c r="O324" s="46"/>
      <c r="P324" s="46"/>
      <c r="Q324" s="46"/>
      <c r="R324" s="46"/>
      <c r="S324" s="46"/>
      <c r="T324" s="46"/>
      <c r="U324" s="46"/>
    </row>
    <row r="325" spans="1:21" x14ac:dyDescent="0.25">
      <c r="A325" s="46"/>
      <c r="B325" s="46"/>
      <c r="C325" s="46"/>
      <c r="D325" s="46"/>
      <c r="E325" s="46"/>
      <c r="F325" s="46"/>
      <c r="G325" s="46"/>
      <c r="H325" s="46"/>
      <c r="I325" s="46"/>
      <c r="J325" s="46"/>
      <c r="K325" s="46"/>
      <c r="L325" s="46"/>
      <c r="M325" s="46"/>
      <c r="N325" s="46"/>
      <c r="O325" s="46"/>
      <c r="P325" s="46"/>
      <c r="Q325" s="46"/>
      <c r="R325" s="46"/>
      <c r="S325" s="46"/>
      <c r="T325" s="46"/>
      <c r="U325" s="46"/>
    </row>
    <row r="326" spans="1:21" x14ac:dyDescent="0.25">
      <c r="A326" s="46"/>
      <c r="B326" s="46"/>
      <c r="C326" s="46"/>
      <c r="D326" s="46"/>
      <c r="E326" s="46"/>
      <c r="F326" s="46"/>
      <c r="G326" s="46"/>
      <c r="H326" s="46"/>
      <c r="I326" s="46"/>
      <c r="J326" s="46"/>
      <c r="K326" s="46"/>
      <c r="L326" s="46"/>
      <c r="M326" s="46"/>
      <c r="N326" s="46"/>
      <c r="O326" s="46"/>
      <c r="P326" s="46"/>
      <c r="Q326" s="46"/>
      <c r="R326" s="46"/>
      <c r="S326" s="46"/>
      <c r="T326" s="46"/>
      <c r="U326" s="46"/>
    </row>
    <row r="327" spans="1:21" x14ac:dyDescent="0.25">
      <c r="A327" s="46"/>
      <c r="B327" s="46"/>
      <c r="C327" s="46"/>
      <c r="D327" s="46"/>
      <c r="E327" s="46"/>
      <c r="F327" s="46"/>
      <c r="G327" s="46"/>
      <c r="H327" s="46"/>
      <c r="I327" s="46"/>
      <c r="J327" s="46"/>
      <c r="K327" s="46"/>
      <c r="L327" s="46"/>
      <c r="M327" s="46"/>
      <c r="N327" s="46"/>
      <c r="O327" s="46"/>
      <c r="P327" s="46"/>
      <c r="Q327" s="46"/>
      <c r="R327" s="46"/>
      <c r="S327" s="46"/>
      <c r="T327" s="46"/>
      <c r="U327" s="46"/>
    </row>
    <row r="328" spans="1:21" x14ac:dyDescent="0.25">
      <c r="A328" s="46"/>
      <c r="B328" s="46"/>
      <c r="C328" s="46"/>
      <c r="D328" s="46"/>
      <c r="E328" s="46"/>
      <c r="F328" s="46"/>
      <c r="G328" s="46"/>
      <c r="H328" s="46"/>
      <c r="I328" s="46"/>
      <c r="J328" s="46"/>
      <c r="K328" s="46"/>
      <c r="L328" s="46"/>
      <c r="M328" s="46"/>
      <c r="N328" s="46"/>
      <c r="O328" s="46"/>
      <c r="P328" s="46"/>
      <c r="Q328" s="46"/>
      <c r="R328" s="46"/>
      <c r="S328" s="46"/>
      <c r="T328" s="46"/>
      <c r="U328" s="46"/>
    </row>
    <row r="329" spans="1:21" x14ac:dyDescent="0.25">
      <c r="A329" s="46"/>
      <c r="B329" s="46"/>
      <c r="C329" s="46"/>
      <c r="D329" s="46"/>
      <c r="E329" s="46"/>
      <c r="F329" s="46"/>
      <c r="G329" s="46"/>
      <c r="H329" s="46"/>
      <c r="I329" s="46"/>
      <c r="J329" s="46"/>
      <c r="K329" s="46"/>
      <c r="L329" s="46"/>
      <c r="M329" s="46"/>
      <c r="N329" s="46"/>
      <c r="O329" s="46"/>
      <c r="P329" s="46"/>
      <c r="Q329" s="46"/>
      <c r="R329" s="46"/>
      <c r="S329" s="46"/>
      <c r="T329" s="46"/>
      <c r="U329" s="46"/>
    </row>
    <row r="330" spans="1:21" x14ac:dyDescent="0.25">
      <c r="A330" s="46"/>
      <c r="B330" s="46"/>
      <c r="C330" s="46"/>
      <c r="D330" s="46"/>
      <c r="E330" s="46"/>
      <c r="F330" s="46"/>
      <c r="G330" s="46"/>
      <c r="H330" s="46"/>
      <c r="I330" s="46"/>
      <c r="J330" s="46"/>
      <c r="K330" s="46"/>
      <c r="L330" s="46"/>
      <c r="M330" s="46"/>
      <c r="N330" s="46"/>
      <c r="O330" s="46"/>
      <c r="P330" s="46"/>
      <c r="Q330" s="46"/>
      <c r="R330" s="46"/>
      <c r="S330" s="46"/>
      <c r="T330" s="46"/>
      <c r="U330" s="46"/>
    </row>
    <row r="331" spans="1:21" x14ac:dyDescent="0.25">
      <c r="A331" s="46"/>
      <c r="B331" s="46"/>
      <c r="C331" s="46"/>
      <c r="D331" s="46"/>
      <c r="E331" s="46"/>
      <c r="F331" s="46"/>
      <c r="G331" s="46"/>
      <c r="H331" s="46"/>
      <c r="I331" s="46"/>
      <c r="J331" s="46"/>
      <c r="K331" s="46"/>
      <c r="L331" s="46"/>
      <c r="M331" s="46"/>
      <c r="N331" s="46"/>
      <c r="O331" s="46"/>
      <c r="P331" s="46"/>
      <c r="Q331" s="46"/>
      <c r="R331" s="46"/>
      <c r="S331" s="46"/>
      <c r="T331" s="46"/>
      <c r="U331" s="46"/>
    </row>
    <row r="332" spans="1:21" x14ac:dyDescent="0.25">
      <c r="A332" s="46"/>
      <c r="B332" s="46"/>
      <c r="C332" s="46"/>
      <c r="D332" s="46"/>
      <c r="E332" s="46"/>
      <c r="F332" s="46"/>
      <c r="G332" s="46"/>
      <c r="H332" s="46"/>
      <c r="I332" s="46"/>
      <c r="J332" s="46"/>
      <c r="K332" s="46"/>
      <c r="L332" s="46"/>
      <c r="M332" s="46"/>
      <c r="N332" s="46"/>
      <c r="O332" s="46"/>
      <c r="P332" s="46"/>
      <c r="Q332" s="46"/>
      <c r="R332" s="46"/>
      <c r="S332" s="46"/>
      <c r="T332" s="46"/>
      <c r="U332" s="46"/>
    </row>
    <row r="333" spans="1:21" x14ac:dyDescent="0.25">
      <c r="A333" s="46"/>
      <c r="B333" s="46"/>
      <c r="C333" s="46"/>
      <c r="D333" s="46"/>
      <c r="E333" s="46"/>
      <c r="F333" s="46"/>
      <c r="G333" s="46"/>
      <c r="H333" s="46"/>
      <c r="I333" s="46"/>
      <c r="J333" s="46"/>
      <c r="K333" s="46"/>
      <c r="L333" s="46"/>
      <c r="M333" s="46"/>
      <c r="N333" s="46"/>
      <c r="O333" s="46"/>
      <c r="P333" s="46"/>
      <c r="Q333" s="46"/>
      <c r="R333" s="46"/>
      <c r="S333" s="46"/>
      <c r="T333" s="46"/>
      <c r="U333" s="46"/>
    </row>
    <row r="334" spans="1:21" x14ac:dyDescent="0.25">
      <c r="A334" s="46"/>
      <c r="B334" s="46"/>
      <c r="C334" s="46"/>
      <c r="D334" s="46"/>
      <c r="E334" s="46"/>
      <c r="F334" s="46"/>
      <c r="G334" s="46"/>
      <c r="H334" s="46"/>
      <c r="I334" s="46"/>
      <c r="J334" s="46"/>
      <c r="K334" s="46"/>
      <c r="L334" s="46"/>
      <c r="M334" s="46"/>
      <c r="N334" s="46"/>
      <c r="O334" s="46"/>
      <c r="P334" s="46"/>
      <c r="Q334" s="46"/>
      <c r="R334" s="46"/>
      <c r="S334" s="46"/>
      <c r="T334" s="46"/>
      <c r="U334" s="46"/>
    </row>
    <row r="335" spans="1:21" x14ac:dyDescent="0.25">
      <c r="A335" s="46"/>
      <c r="B335" s="46"/>
      <c r="C335" s="46"/>
      <c r="D335" s="46"/>
      <c r="E335" s="46"/>
      <c r="F335" s="46"/>
      <c r="G335" s="46"/>
      <c r="H335" s="46"/>
      <c r="I335" s="46"/>
      <c r="J335" s="46"/>
      <c r="K335" s="46"/>
      <c r="L335" s="46"/>
      <c r="M335" s="46"/>
      <c r="N335" s="46"/>
      <c r="O335" s="46"/>
      <c r="P335" s="46"/>
      <c r="Q335" s="46"/>
      <c r="R335" s="46"/>
      <c r="S335" s="46"/>
      <c r="T335" s="46"/>
      <c r="U335" s="46"/>
    </row>
    <row r="336" spans="1:21" x14ac:dyDescent="0.25">
      <c r="A336" s="46"/>
      <c r="B336" s="46"/>
      <c r="C336" s="46"/>
      <c r="D336" s="46"/>
      <c r="E336" s="46"/>
      <c r="F336" s="46"/>
      <c r="G336" s="46"/>
      <c r="H336" s="46"/>
      <c r="I336" s="46"/>
      <c r="J336" s="46"/>
      <c r="K336" s="46"/>
      <c r="L336" s="46"/>
      <c r="M336" s="46"/>
      <c r="N336" s="46"/>
      <c r="O336" s="46"/>
      <c r="P336" s="46"/>
      <c r="Q336" s="46"/>
      <c r="R336" s="46"/>
      <c r="S336" s="46"/>
      <c r="T336" s="46"/>
      <c r="U336" s="46"/>
    </row>
    <row r="337" spans="1:21" x14ac:dyDescent="0.25">
      <c r="A337" s="46"/>
      <c r="B337" s="46"/>
      <c r="C337" s="46"/>
      <c r="D337" s="46"/>
      <c r="E337" s="46"/>
      <c r="F337" s="46"/>
      <c r="G337" s="46"/>
      <c r="H337" s="46"/>
      <c r="I337" s="46"/>
      <c r="J337" s="46"/>
      <c r="K337" s="46"/>
      <c r="L337" s="46"/>
      <c r="M337" s="46"/>
      <c r="N337" s="46"/>
      <c r="O337" s="46"/>
      <c r="P337" s="46"/>
      <c r="Q337" s="46"/>
      <c r="R337" s="46"/>
      <c r="S337" s="46"/>
      <c r="T337" s="46"/>
      <c r="U337" s="46"/>
    </row>
    <row r="338" spans="1:21" x14ac:dyDescent="0.25">
      <c r="A338" s="46"/>
      <c r="B338" s="46"/>
      <c r="C338" s="46"/>
      <c r="D338" s="46"/>
      <c r="E338" s="46"/>
      <c r="F338" s="46"/>
      <c r="G338" s="46"/>
      <c r="H338" s="46"/>
      <c r="I338" s="46"/>
      <c r="J338" s="46"/>
      <c r="K338" s="46"/>
      <c r="L338" s="46"/>
      <c r="M338" s="46"/>
      <c r="N338" s="46"/>
      <c r="O338" s="46"/>
      <c r="P338" s="46"/>
      <c r="Q338" s="46"/>
      <c r="R338" s="46"/>
      <c r="S338" s="46"/>
      <c r="T338" s="46"/>
      <c r="U338" s="46"/>
    </row>
    <row r="339" spans="1:21" x14ac:dyDescent="0.25">
      <c r="A339" s="46"/>
      <c r="B339" s="46"/>
      <c r="C339" s="46"/>
      <c r="D339" s="46"/>
      <c r="E339" s="46"/>
      <c r="F339" s="46"/>
      <c r="G339" s="46"/>
      <c r="H339" s="46"/>
      <c r="I339" s="46"/>
      <c r="J339" s="46"/>
      <c r="K339" s="46"/>
      <c r="L339" s="46"/>
      <c r="M339" s="46"/>
      <c r="N339" s="46"/>
      <c r="O339" s="46"/>
      <c r="P339" s="46"/>
      <c r="Q339" s="46"/>
      <c r="R339" s="46"/>
      <c r="S339" s="46"/>
      <c r="T339" s="46"/>
      <c r="U339" s="46"/>
    </row>
    <row r="340" spans="1:21" x14ac:dyDescent="0.25">
      <c r="A340" s="46"/>
      <c r="B340" s="46"/>
      <c r="C340" s="46"/>
      <c r="D340" s="46"/>
      <c r="E340" s="46"/>
      <c r="F340" s="46"/>
      <c r="G340" s="46"/>
      <c r="H340" s="46"/>
      <c r="I340" s="46"/>
      <c r="J340" s="46"/>
      <c r="K340" s="46"/>
      <c r="L340" s="46"/>
      <c r="M340" s="46"/>
      <c r="N340" s="46"/>
      <c r="O340" s="46"/>
      <c r="P340" s="46"/>
      <c r="Q340" s="46"/>
      <c r="R340" s="46"/>
      <c r="S340" s="46"/>
      <c r="T340" s="46"/>
      <c r="U340" s="46"/>
    </row>
    <row r="341" spans="1:21" x14ac:dyDescent="0.25">
      <c r="A341" s="46"/>
      <c r="B341" s="46"/>
      <c r="C341" s="46"/>
      <c r="D341" s="46"/>
      <c r="E341" s="46"/>
      <c r="F341" s="46"/>
      <c r="G341" s="46"/>
      <c r="H341" s="46"/>
      <c r="I341" s="46"/>
      <c r="J341" s="46"/>
      <c r="K341" s="46"/>
      <c r="L341" s="46"/>
      <c r="M341" s="46"/>
      <c r="N341" s="46"/>
      <c r="O341" s="46"/>
      <c r="P341" s="46"/>
      <c r="Q341" s="46"/>
      <c r="R341" s="46"/>
      <c r="S341" s="46"/>
      <c r="T341" s="46"/>
      <c r="U341" s="46"/>
    </row>
    <row r="342" spans="1:21" x14ac:dyDescent="0.25">
      <c r="A342" s="46"/>
      <c r="B342" s="46"/>
      <c r="C342" s="46"/>
      <c r="D342" s="46"/>
      <c r="E342" s="46"/>
      <c r="F342" s="46"/>
      <c r="G342" s="46"/>
      <c r="H342" s="46"/>
      <c r="I342" s="46"/>
      <c r="J342" s="46"/>
      <c r="K342" s="46"/>
      <c r="L342" s="46"/>
      <c r="M342" s="46"/>
      <c r="N342" s="46"/>
      <c r="O342" s="46"/>
      <c r="P342" s="46"/>
      <c r="Q342" s="46"/>
      <c r="R342" s="46"/>
      <c r="S342" s="46"/>
      <c r="T342" s="46"/>
      <c r="U342" s="46"/>
    </row>
    <row r="343" spans="1:21" x14ac:dyDescent="0.25">
      <c r="A343" s="46"/>
      <c r="B343" s="46"/>
      <c r="C343" s="46"/>
      <c r="D343" s="46"/>
      <c r="E343" s="46"/>
      <c r="F343" s="46"/>
      <c r="G343" s="46"/>
      <c r="H343" s="46"/>
      <c r="I343" s="46"/>
      <c r="J343" s="46"/>
      <c r="K343" s="46"/>
      <c r="L343" s="46"/>
      <c r="M343" s="46"/>
      <c r="N343" s="46"/>
      <c r="O343" s="46"/>
      <c r="P343" s="46"/>
      <c r="Q343" s="46"/>
      <c r="R343" s="46"/>
      <c r="S343" s="46"/>
      <c r="T343" s="46"/>
      <c r="U343" s="46"/>
    </row>
    <row r="344" spans="1:21" x14ac:dyDescent="0.25">
      <c r="A344" s="46"/>
      <c r="B344" s="46"/>
      <c r="C344" s="46"/>
      <c r="D344" s="46"/>
      <c r="E344" s="46"/>
      <c r="F344" s="46"/>
      <c r="G344" s="46"/>
      <c r="H344" s="46"/>
      <c r="I344" s="46"/>
      <c r="J344" s="46"/>
      <c r="K344" s="46"/>
      <c r="L344" s="46"/>
      <c r="M344" s="46"/>
      <c r="N344" s="46"/>
      <c r="O344" s="46"/>
      <c r="P344" s="46"/>
      <c r="Q344" s="46"/>
      <c r="R344" s="46"/>
      <c r="S344" s="46"/>
      <c r="T344" s="46"/>
      <c r="U344" s="46"/>
    </row>
    <row r="345" spans="1:21" x14ac:dyDescent="0.25">
      <c r="A345" s="46"/>
      <c r="B345" s="46"/>
      <c r="C345" s="46"/>
      <c r="D345" s="46"/>
      <c r="E345" s="46"/>
      <c r="F345" s="46"/>
      <c r="G345" s="46"/>
      <c r="H345" s="46"/>
      <c r="I345" s="46"/>
      <c r="J345" s="46"/>
      <c r="K345" s="46"/>
      <c r="L345" s="46"/>
      <c r="M345" s="46"/>
      <c r="N345" s="46"/>
      <c r="O345" s="46"/>
      <c r="P345" s="46"/>
      <c r="Q345" s="46"/>
      <c r="R345" s="46"/>
      <c r="S345" s="46"/>
      <c r="T345" s="46"/>
      <c r="U345" s="46"/>
    </row>
    <row r="346" spans="1:21" x14ac:dyDescent="0.25">
      <c r="A346" s="46"/>
      <c r="B346" s="46"/>
      <c r="C346" s="46"/>
      <c r="D346" s="46"/>
      <c r="E346" s="46"/>
      <c r="F346" s="46"/>
      <c r="G346" s="46"/>
      <c r="H346" s="46"/>
      <c r="I346" s="46"/>
      <c r="J346" s="46"/>
      <c r="K346" s="46"/>
      <c r="L346" s="46"/>
      <c r="M346" s="46"/>
      <c r="N346" s="46"/>
      <c r="O346" s="46"/>
      <c r="P346" s="46"/>
      <c r="Q346" s="46"/>
      <c r="R346" s="46"/>
      <c r="S346" s="46"/>
      <c r="T346" s="46"/>
      <c r="U346" s="46"/>
    </row>
    <row r="347" spans="1:21" x14ac:dyDescent="0.25">
      <c r="A347" s="46"/>
      <c r="B347" s="46"/>
      <c r="C347" s="46"/>
      <c r="D347" s="46"/>
      <c r="E347" s="46"/>
      <c r="F347" s="46"/>
      <c r="G347" s="46"/>
      <c r="H347" s="46"/>
      <c r="I347" s="46"/>
      <c r="J347" s="46"/>
      <c r="K347" s="46"/>
      <c r="L347" s="46"/>
      <c r="M347" s="46"/>
      <c r="N347" s="46"/>
      <c r="O347" s="46"/>
      <c r="P347" s="46"/>
      <c r="Q347" s="46"/>
      <c r="R347" s="46"/>
      <c r="S347" s="46"/>
      <c r="T347" s="46"/>
      <c r="U347" s="46"/>
    </row>
    <row r="348" spans="1:21" x14ac:dyDescent="0.25">
      <c r="A348" s="46"/>
      <c r="B348" s="46"/>
      <c r="C348" s="46"/>
      <c r="D348" s="46"/>
      <c r="E348" s="46"/>
      <c r="F348" s="46"/>
      <c r="G348" s="46"/>
      <c r="H348" s="46"/>
      <c r="I348" s="46"/>
      <c r="J348" s="46"/>
      <c r="K348" s="46"/>
      <c r="L348" s="46"/>
      <c r="M348" s="46"/>
      <c r="N348" s="46"/>
      <c r="O348" s="46"/>
      <c r="P348" s="46"/>
      <c r="Q348" s="46"/>
      <c r="R348" s="46"/>
      <c r="S348" s="46"/>
      <c r="T348" s="46"/>
      <c r="U348" s="46"/>
    </row>
    <row r="349" spans="1:21" x14ac:dyDescent="0.25">
      <c r="A349" s="46"/>
      <c r="B349" s="46"/>
      <c r="C349" s="46"/>
      <c r="D349" s="46"/>
      <c r="E349" s="46"/>
      <c r="F349" s="46"/>
      <c r="G349" s="46"/>
      <c r="H349" s="46"/>
      <c r="I349" s="46"/>
      <c r="J349" s="46"/>
      <c r="K349" s="46"/>
      <c r="L349" s="46"/>
      <c r="M349" s="46"/>
      <c r="N349" s="46"/>
      <c r="O349" s="46"/>
      <c r="P349" s="46"/>
      <c r="Q349" s="46"/>
      <c r="R349" s="46"/>
      <c r="S349" s="46"/>
      <c r="T349" s="46"/>
      <c r="U349" s="46"/>
    </row>
    <row r="350" spans="1:21" x14ac:dyDescent="0.25">
      <c r="A350" s="46"/>
      <c r="B350" s="46"/>
      <c r="C350" s="46"/>
      <c r="D350" s="46"/>
      <c r="E350" s="46"/>
      <c r="F350" s="46"/>
      <c r="G350" s="46"/>
      <c r="H350" s="46"/>
      <c r="I350" s="46"/>
      <c r="J350" s="46"/>
      <c r="K350" s="46"/>
      <c r="L350" s="46"/>
      <c r="M350" s="46"/>
      <c r="N350" s="46"/>
      <c r="O350" s="46"/>
      <c r="P350" s="46"/>
      <c r="Q350" s="46"/>
      <c r="R350" s="46"/>
      <c r="S350" s="46"/>
      <c r="T350" s="46"/>
      <c r="U350" s="46"/>
    </row>
    <row r="351" spans="1:21" x14ac:dyDescent="0.25">
      <c r="A351" s="46"/>
      <c r="B351" s="46"/>
      <c r="C351" s="46"/>
      <c r="D351" s="46"/>
      <c r="E351" s="46"/>
      <c r="F351" s="46"/>
      <c r="G351" s="46"/>
      <c r="H351" s="46"/>
      <c r="I351" s="46"/>
      <c r="J351" s="46"/>
      <c r="K351" s="46"/>
      <c r="L351" s="46"/>
      <c r="M351" s="46"/>
      <c r="N351" s="46"/>
      <c r="O351" s="46"/>
      <c r="P351" s="46"/>
      <c r="Q351" s="46"/>
      <c r="R351" s="46"/>
      <c r="S351" s="46"/>
      <c r="T351" s="46"/>
      <c r="U351" s="46"/>
    </row>
    <row r="352" spans="1:21" x14ac:dyDescent="0.25">
      <c r="A352" s="46"/>
      <c r="B352" s="46"/>
      <c r="C352" s="46"/>
      <c r="D352" s="46"/>
      <c r="E352" s="46"/>
      <c r="F352" s="46"/>
      <c r="G352" s="46"/>
      <c r="H352" s="46"/>
      <c r="I352" s="46"/>
      <c r="J352" s="46"/>
      <c r="K352" s="46"/>
      <c r="L352" s="46"/>
      <c r="M352" s="46"/>
      <c r="N352" s="46"/>
      <c r="O352" s="46"/>
      <c r="P352" s="46"/>
      <c r="Q352" s="46"/>
      <c r="R352" s="46"/>
      <c r="S352" s="46"/>
      <c r="T352" s="46"/>
      <c r="U352" s="46"/>
    </row>
    <row r="353" spans="1:21" x14ac:dyDescent="0.25">
      <c r="A353" s="46"/>
      <c r="B353" s="46"/>
      <c r="C353" s="46"/>
      <c r="D353" s="46"/>
      <c r="E353" s="46"/>
      <c r="F353" s="46"/>
      <c r="G353" s="46"/>
      <c r="H353" s="46"/>
      <c r="I353" s="46"/>
      <c r="J353" s="46"/>
      <c r="K353" s="46"/>
      <c r="L353" s="46"/>
      <c r="M353" s="46"/>
      <c r="N353" s="46"/>
      <c r="O353" s="46"/>
      <c r="P353" s="46"/>
      <c r="Q353" s="46"/>
      <c r="R353" s="46"/>
      <c r="S353" s="46"/>
      <c r="T353" s="46"/>
      <c r="U353" s="46"/>
    </row>
    <row r="354" spans="1:21" x14ac:dyDescent="0.25">
      <c r="A354" s="46"/>
      <c r="B354" s="46"/>
      <c r="C354" s="46"/>
      <c r="D354" s="46"/>
      <c r="E354" s="46"/>
      <c r="F354" s="46"/>
      <c r="G354" s="46"/>
      <c r="H354" s="46"/>
      <c r="I354" s="46"/>
      <c r="J354" s="46"/>
      <c r="K354" s="46"/>
      <c r="L354" s="46"/>
      <c r="M354" s="46"/>
      <c r="N354" s="46"/>
      <c r="O354" s="46"/>
      <c r="P354" s="46"/>
      <c r="Q354" s="46"/>
      <c r="R354" s="46"/>
      <c r="S354" s="46"/>
      <c r="T354" s="46"/>
      <c r="U354" s="46"/>
    </row>
    <row r="355" spans="1:21" x14ac:dyDescent="0.25">
      <c r="A355" s="46"/>
      <c r="B355" s="46"/>
      <c r="C355" s="46"/>
      <c r="D355" s="46"/>
      <c r="E355" s="46"/>
      <c r="F355" s="46"/>
      <c r="G355" s="46"/>
      <c r="H355" s="46"/>
      <c r="I355" s="46"/>
      <c r="J355" s="46"/>
      <c r="K355" s="46"/>
      <c r="L355" s="46"/>
      <c r="M355" s="46"/>
      <c r="N355" s="46"/>
      <c r="O355" s="46"/>
      <c r="P355" s="46"/>
      <c r="Q355" s="46"/>
      <c r="R355" s="46"/>
      <c r="S355" s="46"/>
      <c r="T355" s="46"/>
      <c r="U355" s="46"/>
    </row>
    <row r="356" spans="1:21" x14ac:dyDescent="0.25">
      <c r="A356" s="46"/>
      <c r="B356" s="46"/>
      <c r="C356" s="46"/>
      <c r="D356" s="46"/>
      <c r="E356" s="46"/>
      <c r="F356" s="46"/>
      <c r="G356" s="46"/>
      <c r="H356" s="46"/>
      <c r="I356" s="46"/>
      <c r="J356" s="46"/>
      <c r="K356" s="46"/>
      <c r="L356" s="46"/>
      <c r="M356" s="46"/>
      <c r="N356" s="46"/>
      <c r="O356" s="46"/>
      <c r="P356" s="46"/>
      <c r="Q356" s="46"/>
      <c r="R356" s="46"/>
      <c r="S356" s="46"/>
      <c r="T356" s="46"/>
      <c r="U356" s="46"/>
    </row>
    <row r="357" spans="1:21" x14ac:dyDescent="0.25">
      <c r="A357" s="46"/>
      <c r="B357" s="46"/>
      <c r="C357" s="46"/>
      <c r="D357" s="46"/>
      <c r="E357" s="46"/>
      <c r="F357" s="46"/>
      <c r="G357" s="46"/>
      <c r="H357" s="46"/>
      <c r="I357" s="46"/>
      <c r="J357" s="46"/>
      <c r="K357" s="46"/>
      <c r="L357" s="46"/>
      <c r="M357" s="46"/>
      <c r="N357" s="46"/>
      <c r="O357" s="46"/>
      <c r="P357" s="46"/>
      <c r="Q357" s="46"/>
      <c r="R357" s="46"/>
      <c r="S357" s="46"/>
      <c r="T357" s="46"/>
      <c r="U357" s="46"/>
    </row>
    <row r="358" spans="1:21" x14ac:dyDescent="0.25">
      <c r="A358" s="46"/>
      <c r="B358" s="46"/>
      <c r="C358" s="46"/>
      <c r="D358" s="46"/>
      <c r="E358" s="46"/>
      <c r="F358" s="46"/>
      <c r="G358" s="46"/>
      <c r="H358" s="46"/>
      <c r="I358" s="46"/>
      <c r="J358" s="46"/>
      <c r="K358" s="46"/>
      <c r="L358" s="46"/>
      <c r="M358" s="46"/>
      <c r="N358" s="46"/>
      <c r="O358" s="46"/>
      <c r="P358" s="46"/>
      <c r="Q358" s="46"/>
      <c r="R358" s="46"/>
      <c r="S358" s="46"/>
      <c r="T358" s="46"/>
      <c r="U358" s="46"/>
    </row>
    <row r="359" spans="1:21" x14ac:dyDescent="0.25">
      <c r="A359" s="46"/>
      <c r="B359" s="46"/>
      <c r="C359" s="46"/>
      <c r="D359" s="46"/>
      <c r="E359" s="46"/>
      <c r="F359" s="46"/>
      <c r="G359" s="46"/>
      <c r="H359" s="46"/>
      <c r="I359" s="46"/>
      <c r="J359" s="46"/>
      <c r="K359" s="46"/>
      <c r="L359" s="46"/>
      <c r="M359" s="46"/>
      <c r="N359" s="46"/>
      <c r="O359" s="46"/>
      <c r="P359" s="46"/>
      <c r="Q359" s="46"/>
      <c r="R359" s="46"/>
      <c r="S359" s="46"/>
      <c r="T359" s="46"/>
      <c r="U359" s="46"/>
    </row>
    <row r="360" spans="1:21" x14ac:dyDescent="0.25">
      <c r="A360" s="46"/>
      <c r="B360" s="46"/>
      <c r="C360" s="46"/>
      <c r="D360" s="46"/>
      <c r="E360" s="46"/>
      <c r="F360" s="46"/>
      <c r="G360" s="46"/>
      <c r="H360" s="46"/>
      <c r="I360" s="46"/>
      <c r="J360" s="46"/>
      <c r="K360" s="46"/>
      <c r="L360" s="46"/>
      <c r="M360" s="46"/>
      <c r="N360" s="46"/>
      <c r="O360" s="46"/>
      <c r="P360" s="46"/>
      <c r="Q360" s="46"/>
      <c r="R360" s="46"/>
      <c r="S360" s="46"/>
      <c r="T360" s="46"/>
      <c r="U360" s="46"/>
    </row>
    <row r="361" spans="1:21" x14ac:dyDescent="0.25">
      <c r="A361" s="46"/>
      <c r="B361" s="46"/>
      <c r="C361" s="46"/>
      <c r="D361" s="46"/>
      <c r="E361" s="46"/>
      <c r="F361" s="46"/>
      <c r="G361" s="46"/>
      <c r="H361" s="46"/>
      <c r="I361" s="46"/>
      <c r="J361" s="46"/>
      <c r="K361" s="46"/>
      <c r="L361" s="46"/>
      <c r="M361" s="46"/>
      <c r="N361" s="46"/>
      <c r="O361" s="46"/>
      <c r="P361" s="46"/>
      <c r="Q361" s="46"/>
      <c r="R361" s="46"/>
      <c r="S361" s="46"/>
      <c r="T361" s="46"/>
      <c r="U361" s="46"/>
    </row>
    <row r="362" spans="1:21" x14ac:dyDescent="0.25">
      <c r="A362" s="46"/>
      <c r="B362" s="46"/>
      <c r="C362" s="46"/>
      <c r="D362" s="46"/>
      <c r="E362" s="46"/>
      <c r="F362" s="46"/>
      <c r="G362" s="46"/>
      <c r="H362" s="46"/>
      <c r="I362" s="46"/>
      <c r="J362" s="46"/>
      <c r="K362" s="46"/>
      <c r="L362" s="46"/>
      <c r="M362" s="46"/>
      <c r="N362" s="46"/>
      <c r="O362" s="46"/>
      <c r="P362" s="46"/>
      <c r="Q362" s="46"/>
      <c r="R362" s="46"/>
      <c r="S362" s="46"/>
      <c r="T362" s="46"/>
      <c r="U362" s="46"/>
    </row>
    <row r="363" spans="1:21" x14ac:dyDescent="0.25">
      <c r="A363" s="46"/>
      <c r="B363" s="46"/>
      <c r="C363" s="46"/>
      <c r="D363" s="46"/>
      <c r="E363" s="46"/>
      <c r="F363" s="46"/>
      <c r="G363" s="46"/>
      <c r="H363" s="46"/>
      <c r="I363" s="46"/>
      <c r="J363" s="46"/>
      <c r="K363" s="46"/>
      <c r="L363" s="46"/>
      <c r="M363" s="46"/>
      <c r="N363" s="46"/>
      <c r="O363" s="46"/>
      <c r="P363" s="46"/>
      <c r="Q363" s="46"/>
      <c r="R363" s="46"/>
      <c r="S363" s="46"/>
      <c r="T363" s="46"/>
      <c r="U363" s="46"/>
    </row>
    <row r="364" spans="1:21" x14ac:dyDescent="0.25">
      <c r="A364" s="46"/>
      <c r="B364" s="46"/>
      <c r="C364" s="46"/>
      <c r="D364" s="46"/>
      <c r="E364" s="46"/>
      <c r="F364" s="46"/>
      <c r="G364" s="46"/>
      <c r="H364" s="46"/>
      <c r="I364" s="46"/>
      <c r="J364" s="46"/>
      <c r="K364" s="46"/>
      <c r="L364" s="46"/>
      <c r="M364" s="46"/>
      <c r="N364" s="46"/>
      <c r="O364" s="46"/>
      <c r="P364" s="46"/>
      <c r="Q364" s="46"/>
      <c r="R364" s="46"/>
      <c r="S364" s="46"/>
      <c r="T364" s="46"/>
      <c r="U364" s="46"/>
    </row>
    <row r="365" spans="1:21" x14ac:dyDescent="0.25">
      <c r="A365" s="46"/>
      <c r="B365" s="46"/>
      <c r="C365" s="46"/>
      <c r="D365" s="46"/>
      <c r="E365" s="46"/>
      <c r="F365" s="46"/>
      <c r="G365" s="46"/>
      <c r="H365" s="46"/>
      <c r="I365" s="46"/>
      <c r="J365" s="46"/>
      <c r="K365" s="46"/>
      <c r="L365" s="46"/>
      <c r="M365" s="46"/>
      <c r="N365" s="46"/>
      <c r="O365" s="46"/>
      <c r="P365" s="46"/>
      <c r="Q365" s="46"/>
      <c r="R365" s="46"/>
      <c r="S365" s="46"/>
      <c r="T365" s="46"/>
      <c r="U365" s="46"/>
    </row>
    <row r="366" spans="1:21" x14ac:dyDescent="0.25">
      <c r="A366" s="46"/>
      <c r="B366" s="46"/>
      <c r="C366" s="46"/>
      <c r="D366" s="46"/>
      <c r="E366" s="46"/>
      <c r="F366" s="46"/>
      <c r="G366" s="46"/>
      <c r="H366" s="46"/>
      <c r="I366" s="46"/>
      <c r="J366" s="46"/>
      <c r="K366" s="46"/>
      <c r="L366" s="46"/>
      <c r="M366" s="46"/>
      <c r="N366" s="46"/>
      <c r="O366" s="46"/>
      <c r="P366" s="46"/>
      <c r="Q366" s="46"/>
      <c r="R366" s="46"/>
      <c r="S366" s="46"/>
      <c r="T366" s="46"/>
      <c r="U366" s="46"/>
    </row>
    <row r="367" spans="1:21" x14ac:dyDescent="0.25">
      <c r="A367" s="46"/>
      <c r="B367" s="46"/>
      <c r="C367" s="46"/>
      <c r="D367" s="46"/>
      <c r="E367" s="46"/>
      <c r="F367" s="46"/>
      <c r="G367" s="46"/>
      <c r="H367" s="46"/>
      <c r="I367" s="46"/>
      <c r="J367" s="46"/>
      <c r="K367" s="46"/>
      <c r="L367" s="46"/>
      <c r="M367" s="46"/>
      <c r="N367" s="46"/>
      <c r="O367" s="46"/>
      <c r="P367" s="46"/>
      <c r="Q367" s="46"/>
      <c r="R367" s="46"/>
      <c r="S367" s="46"/>
      <c r="T367" s="46"/>
      <c r="U367" s="46"/>
    </row>
    <row r="368" spans="1:21" x14ac:dyDescent="0.25">
      <c r="A368" s="46"/>
      <c r="B368" s="46"/>
      <c r="C368" s="46"/>
      <c r="D368" s="46"/>
      <c r="E368" s="46"/>
      <c r="F368" s="46"/>
      <c r="G368" s="46"/>
      <c r="H368" s="46"/>
      <c r="I368" s="46"/>
      <c r="J368" s="46"/>
      <c r="K368" s="46"/>
      <c r="L368" s="46"/>
      <c r="M368" s="46"/>
      <c r="N368" s="46"/>
      <c r="O368" s="46"/>
      <c r="P368" s="46"/>
      <c r="Q368" s="46"/>
      <c r="R368" s="46"/>
      <c r="S368" s="46"/>
      <c r="T368" s="46"/>
      <c r="U368" s="46"/>
    </row>
    <row r="369" spans="1:21" x14ac:dyDescent="0.25">
      <c r="A369" s="46"/>
      <c r="B369" s="46"/>
      <c r="C369" s="46"/>
      <c r="D369" s="46"/>
      <c r="E369" s="46"/>
      <c r="F369" s="46"/>
      <c r="G369" s="46"/>
      <c r="H369" s="46"/>
      <c r="I369" s="46"/>
      <c r="J369" s="46"/>
      <c r="K369" s="46"/>
      <c r="L369" s="46"/>
      <c r="M369" s="46"/>
      <c r="N369" s="46"/>
      <c r="O369" s="46"/>
      <c r="P369" s="46"/>
      <c r="Q369" s="46"/>
      <c r="R369" s="46"/>
      <c r="S369" s="46"/>
      <c r="T369" s="46"/>
      <c r="U369" s="46"/>
    </row>
    <row r="370" spans="1:21" x14ac:dyDescent="0.25">
      <c r="A370" s="46"/>
      <c r="B370" s="46"/>
      <c r="C370" s="46"/>
      <c r="D370" s="46"/>
      <c r="E370" s="46"/>
      <c r="F370" s="46"/>
      <c r="G370" s="46"/>
      <c r="H370" s="46"/>
      <c r="I370" s="46"/>
      <c r="J370" s="46"/>
      <c r="K370" s="46"/>
      <c r="L370" s="46"/>
      <c r="M370" s="46"/>
      <c r="N370" s="46"/>
      <c r="O370" s="46"/>
      <c r="P370" s="46"/>
      <c r="Q370" s="46"/>
      <c r="R370" s="46"/>
      <c r="S370" s="46"/>
      <c r="T370" s="46"/>
      <c r="U370" s="46"/>
    </row>
    <row r="371" spans="1:21" x14ac:dyDescent="0.25">
      <c r="A371" s="46"/>
      <c r="B371" s="46"/>
      <c r="C371" s="46"/>
      <c r="D371" s="46"/>
      <c r="E371" s="46"/>
      <c r="F371" s="46"/>
      <c r="G371" s="46"/>
      <c r="H371" s="46"/>
      <c r="I371" s="46"/>
      <c r="J371" s="46"/>
      <c r="K371" s="46"/>
      <c r="L371" s="46"/>
      <c r="M371" s="46"/>
      <c r="N371" s="46"/>
      <c r="O371" s="46"/>
      <c r="P371" s="46"/>
      <c r="Q371" s="46"/>
      <c r="R371" s="46"/>
      <c r="S371" s="46"/>
      <c r="T371" s="46"/>
      <c r="U371" s="46"/>
    </row>
    <row r="372" spans="1:21" x14ac:dyDescent="0.25">
      <c r="A372" s="46"/>
      <c r="B372" s="46"/>
      <c r="C372" s="46"/>
      <c r="D372" s="46"/>
      <c r="E372" s="46"/>
      <c r="F372" s="46"/>
      <c r="G372" s="46"/>
      <c r="H372" s="46"/>
      <c r="I372" s="46"/>
      <c r="J372" s="46"/>
      <c r="K372" s="46"/>
      <c r="L372" s="46"/>
      <c r="M372" s="46"/>
      <c r="N372" s="46"/>
      <c r="O372" s="46"/>
      <c r="P372" s="46"/>
      <c r="Q372" s="46"/>
      <c r="R372" s="46"/>
      <c r="S372" s="46"/>
      <c r="T372" s="46"/>
      <c r="U372" s="46"/>
    </row>
    <row r="373" spans="1:21" x14ac:dyDescent="0.25">
      <c r="A373" s="46"/>
      <c r="B373" s="46"/>
      <c r="C373" s="46"/>
      <c r="D373" s="46"/>
      <c r="E373" s="46"/>
      <c r="F373" s="46"/>
      <c r="G373" s="46"/>
      <c r="H373" s="46"/>
      <c r="I373" s="46"/>
      <c r="J373" s="46"/>
      <c r="K373" s="46"/>
      <c r="L373" s="46"/>
      <c r="M373" s="46"/>
      <c r="N373" s="46"/>
      <c r="O373" s="46"/>
      <c r="P373" s="46"/>
      <c r="Q373" s="46"/>
      <c r="R373" s="46"/>
      <c r="S373" s="46"/>
      <c r="T373" s="46"/>
      <c r="U373" s="46"/>
    </row>
    <row r="374" spans="1:21" x14ac:dyDescent="0.25">
      <c r="A374" s="46"/>
      <c r="B374" s="46"/>
      <c r="C374" s="46"/>
      <c r="D374" s="46"/>
      <c r="E374" s="46"/>
      <c r="F374" s="46"/>
      <c r="G374" s="46"/>
      <c r="H374" s="46"/>
      <c r="I374" s="46"/>
      <c r="J374" s="46"/>
      <c r="K374" s="46"/>
      <c r="L374" s="46"/>
      <c r="M374" s="46"/>
      <c r="N374" s="46"/>
      <c r="O374" s="46"/>
      <c r="P374" s="46"/>
      <c r="Q374" s="46"/>
      <c r="R374" s="46"/>
      <c r="S374" s="46"/>
      <c r="T374" s="46"/>
      <c r="U374" s="46"/>
    </row>
    <row r="375" spans="1:21" x14ac:dyDescent="0.25">
      <c r="A375" s="46"/>
      <c r="B375" s="46"/>
      <c r="C375" s="46"/>
      <c r="D375" s="46"/>
      <c r="E375" s="46"/>
      <c r="F375" s="46"/>
      <c r="G375" s="46"/>
      <c r="H375" s="46"/>
      <c r="I375" s="46"/>
      <c r="J375" s="46"/>
      <c r="K375" s="46"/>
      <c r="L375" s="46"/>
      <c r="M375" s="46"/>
      <c r="N375" s="46"/>
      <c r="O375" s="46"/>
      <c r="P375" s="46"/>
      <c r="Q375" s="46"/>
      <c r="R375" s="46"/>
      <c r="S375" s="46"/>
      <c r="T375" s="46"/>
      <c r="U375" s="46"/>
    </row>
    <row r="376" spans="1:21" x14ac:dyDescent="0.25">
      <c r="A376" s="46"/>
      <c r="B376" s="46"/>
      <c r="C376" s="46"/>
      <c r="D376" s="46"/>
      <c r="E376" s="46"/>
      <c r="F376" s="46"/>
      <c r="G376" s="46"/>
      <c r="H376" s="46"/>
      <c r="I376" s="46"/>
      <c r="J376" s="46"/>
      <c r="K376" s="46"/>
      <c r="L376" s="46"/>
      <c r="M376" s="46"/>
      <c r="N376" s="46"/>
      <c r="O376" s="46"/>
      <c r="P376" s="46"/>
      <c r="Q376" s="46"/>
      <c r="R376" s="46"/>
      <c r="S376" s="46"/>
      <c r="T376" s="46"/>
      <c r="U376" s="46"/>
    </row>
    <row r="377" spans="1:21" x14ac:dyDescent="0.25">
      <c r="A377" s="46"/>
      <c r="B377" s="46"/>
      <c r="C377" s="46"/>
      <c r="D377" s="46"/>
      <c r="E377" s="46"/>
      <c r="F377" s="46"/>
      <c r="G377" s="46"/>
      <c r="H377" s="46"/>
      <c r="I377" s="46"/>
      <c r="J377" s="46"/>
      <c r="K377" s="46"/>
      <c r="L377" s="46"/>
      <c r="M377" s="46"/>
      <c r="N377" s="46"/>
      <c r="O377" s="46"/>
      <c r="P377" s="46"/>
      <c r="Q377" s="46"/>
      <c r="R377" s="46"/>
      <c r="S377" s="46"/>
      <c r="T377" s="46"/>
      <c r="U377" s="46"/>
    </row>
    <row r="378" spans="1:21" x14ac:dyDescent="0.25">
      <c r="A378" s="46"/>
      <c r="B378" s="46"/>
      <c r="C378" s="46"/>
      <c r="D378" s="46"/>
      <c r="E378" s="46"/>
      <c r="F378" s="46"/>
      <c r="G378" s="46"/>
      <c r="H378" s="46"/>
      <c r="I378" s="46"/>
      <c r="J378" s="46"/>
      <c r="K378" s="46"/>
      <c r="L378" s="46"/>
      <c r="M378" s="46"/>
      <c r="N378" s="46"/>
      <c r="O378" s="46"/>
      <c r="P378" s="46"/>
      <c r="Q378" s="46"/>
      <c r="R378" s="46"/>
      <c r="S378" s="46"/>
      <c r="T378" s="46"/>
      <c r="U378" s="46"/>
    </row>
    <row r="379" spans="1:21" x14ac:dyDescent="0.25">
      <c r="A379" s="46"/>
      <c r="B379" s="46"/>
      <c r="C379" s="46"/>
      <c r="D379" s="46"/>
      <c r="E379" s="46"/>
      <c r="F379" s="46"/>
      <c r="G379" s="46"/>
      <c r="H379" s="46"/>
      <c r="I379" s="46"/>
      <c r="J379" s="46"/>
      <c r="K379" s="46"/>
      <c r="L379" s="46"/>
      <c r="M379" s="46"/>
      <c r="N379" s="46"/>
      <c r="O379" s="46"/>
      <c r="P379" s="46"/>
      <c r="Q379" s="46"/>
      <c r="R379" s="46"/>
      <c r="S379" s="46"/>
      <c r="T379" s="46"/>
      <c r="U379" s="46"/>
    </row>
    <row r="380" spans="1:21" x14ac:dyDescent="0.25">
      <c r="A380" s="46"/>
      <c r="B380" s="46"/>
      <c r="C380" s="46"/>
      <c r="D380" s="46"/>
      <c r="E380" s="46"/>
      <c r="F380" s="46"/>
      <c r="G380" s="46"/>
      <c r="H380" s="46"/>
      <c r="I380" s="46"/>
      <c r="J380" s="46"/>
      <c r="K380" s="46"/>
      <c r="L380" s="46"/>
      <c r="M380" s="46"/>
      <c r="N380" s="46"/>
      <c r="O380" s="46"/>
      <c r="P380" s="46"/>
      <c r="Q380" s="46"/>
      <c r="R380" s="46"/>
      <c r="S380" s="46"/>
      <c r="T380" s="46"/>
      <c r="U380" s="46"/>
    </row>
    <row r="381" spans="1:21" x14ac:dyDescent="0.25">
      <c r="A381" s="46"/>
      <c r="B381" s="46"/>
      <c r="C381" s="46"/>
      <c r="D381" s="46"/>
      <c r="E381" s="46"/>
      <c r="F381" s="46"/>
      <c r="G381" s="46"/>
      <c r="H381" s="46"/>
      <c r="I381" s="46"/>
      <c r="J381" s="46"/>
      <c r="K381" s="46"/>
      <c r="L381" s="46"/>
      <c r="M381" s="46"/>
      <c r="N381" s="46"/>
      <c r="O381" s="46"/>
      <c r="P381" s="46"/>
      <c r="Q381" s="46"/>
      <c r="R381" s="46"/>
      <c r="S381" s="46"/>
      <c r="T381" s="46"/>
      <c r="U381" s="46"/>
    </row>
    <row r="382" spans="1:21" x14ac:dyDescent="0.25">
      <c r="A382" s="46"/>
      <c r="B382" s="46"/>
      <c r="C382" s="46"/>
      <c r="D382" s="46"/>
      <c r="E382" s="46"/>
      <c r="F382" s="46"/>
      <c r="G382" s="46"/>
      <c r="H382" s="46"/>
      <c r="I382" s="46"/>
      <c r="J382" s="46"/>
      <c r="K382" s="46"/>
      <c r="L382" s="46"/>
      <c r="M382" s="46"/>
      <c r="N382" s="46"/>
      <c r="O382" s="46"/>
      <c r="P382" s="46"/>
      <c r="Q382" s="46"/>
      <c r="R382" s="46"/>
      <c r="S382" s="46"/>
      <c r="T382" s="46"/>
      <c r="U382" s="46"/>
    </row>
    <row r="383" spans="1:21" x14ac:dyDescent="0.25">
      <c r="A383" s="46"/>
      <c r="B383" s="46"/>
      <c r="C383" s="46"/>
      <c r="D383" s="46"/>
      <c r="E383" s="46"/>
      <c r="F383" s="46"/>
      <c r="G383" s="46"/>
      <c r="H383" s="46"/>
      <c r="I383" s="46"/>
      <c r="J383" s="46"/>
      <c r="K383" s="46"/>
      <c r="L383" s="46"/>
      <c r="M383" s="46"/>
      <c r="N383" s="46"/>
      <c r="O383" s="46"/>
      <c r="P383" s="46"/>
      <c r="Q383" s="46"/>
      <c r="R383" s="46"/>
      <c r="S383" s="46"/>
      <c r="T383" s="46"/>
      <c r="U383" s="46"/>
    </row>
    <row r="384" spans="1:21" x14ac:dyDescent="0.25">
      <c r="A384" s="46"/>
      <c r="B384" s="46"/>
      <c r="C384" s="46"/>
      <c r="D384" s="46"/>
      <c r="E384" s="46"/>
      <c r="F384" s="46"/>
      <c r="G384" s="46"/>
      <c r="H384" s="46"/>
      <c r="I384" s="46"/>
      <c r="J384" s="46"/>
      <c r="K384" s="46"/>
      <c r="L384" s="46"/>
      <c r="M384" s="46"/>
      <c r="N384" s="46"/>
      <c r="O384" s="46"/>
      <c r="P384" s="46"/>
      <c r="Q384" s="46"/>
      <c r="R384" s="46"/>
      <c r="S384" s="46"/>
      <c r="T384" s="46"/>
      <c r="U384" s="46"/>
    </row>
    <row r="385" spans="1:21" x14ac:dyDescent="0.25">
      <c r="A385" s="46"/>
      <c r="B385" s="46"/>
      <c r="C385" s="46"/>
      <c r="D385" s="46"/>
      <c r="E385" s="46"/>
      <c r="F385" s="46"/>
      <c r="G385" s="46"/>
      <c r="H385" s="46"/>
      <c r="I385" s="46"/>
      <c r="J385" s="46"/>
      <c r="K385" s="46"/>
      <c r="L385" s="46"/>
      <c r="M385" s="46"/>
      <c r="N385" s="46"/>
      <c r="O385" s="46"/>
      <c r="P385" s="46"/>
      <c r="Q385" s="46"/>
      <c r="R385" s="46"/>
      <c r="S385" s="46"/>
      <c r="T385" s="46"/>
      <c r="U385" s="46"/>
    </row>
    <row r="386" spans="1:21" x14ac:dyDescent="0.25">
      <c r="A386" s="46"/>
      <c r="B386" s="46"/>
      <c r="C386" s="46"/>
      <c r="D386" s="46"/>
      <c r="E386" s="46"/>
      <c r="F386" s="46"/>
      <c r="G386" s="46"/>
      <c r="H386" s="46"/>
      <c r="I386" s="46"/>
      <c r="J386" s="46"/>
      <c r="K386" s="46"/>
      <c r="L386" s="46"/>
      <c r="M386" s="46"/>
      <c r="N386" s="46"/>
      <c r="O386" s="46"/>
      <c r="P386" s="46"/>
      <c r="Q386" s="46"/>
      <c r="R386" s="46"/>
      <c r="S386" s="46"/>
      <c r="T386" s="46"/>
      <c r="U386" s="46"/>
    </row>
    <row r="387" spans="1:21" x14ac:dyDescent="0.25">
      <c r="A387" s="46"/>
      <c r="B387" s="46"/>
      <c r="C387" s="46"/>
      <c r="D387" s="46"/>
      <c r="E387" s="46"/>
      <c r="F387" s="46"/>
      <c r="G387" s="46"/>
      <c r="H387" s="46"/>
      <c r="I387" s="46"/>
      <c r="J387" s="46"/>
      <c r="K387" s="46"/>
      <c r="L387" s="46"/>
      <c r="M387" s="46"/>
      <c r="N387" s="46"/>
      <c r="O387" s="46"/>
      <c r="P387" s="46"/>
      <c r="Q387" s="46"/>
      <c r="R387" s="46"/>
      <c r="S387" s="46"/>
      <c r="T387" s="46"/>
      <c r="U387" s="46"/>
    </row>
    <row r="388" spans="1:21" x14ac:dyDescent="0.25">
      <c r="A388" s="46"/>
      <c r="B388" s="46"/>
      <c r="C388" s="46"/>
      <c r="D388" s="46"/>
      <c r="E388" s="46"/>
      <c r="F388" s="46"/>
      <c r="G388" s="46"/>
      <c r="H388" s="46"/>
      <c r="I388" s="46"/>
      <c r="J388" s="46"/>
      <c r="K388" s="46"/>
      <c r="L388" s="46"/>
      <c r="M388" s="46"/>
      <c r="N388" s="46"/>
      <c r="O388" s="46"/>
      <c r="P388" s="46"/>
      <c r="Q388" s="46"/>
      <c r="R388" s="46"/>
      <c r="S388" s="46"/>
      <c r="T388" s="46"/>
      <c r="U388" s="46"/>
    </row>
    <row r="389" spans="1:21" x14ac:dyDescent="0.25">
      <c r="A389" s="46"/>
      <c r="B389" s="46"/>
      <c r="C389" s="46"/>
      <c r="D389" s="46"/>
      <c r="E389" s="46"/>
      <c r="F389" s="46"/>
      <c r="G389" s="46"/>
      <c r="H389" s="46"/>
      <c r="I389" s="46"/>
      <c r="J389" s="46"/>
      <c r="K389" s="46"/>
      <c r="L389" s="46"/>
      <c r="M389" s="46"/>
      <c r="N389" s="46"/>
      <c r="O389" s="46"/>
      <c r="P389" s="46"/>
      <c r="Q389" s="46"/>
      <c r="R389" s="46"/>
      <c r="S389" s="46"/>
      <c r="T389" s="46"/>
      <c r="U389" s="46"/>
    </row>
    <row r="390" spans="1:21" x14ac:dyDescent="0.25">
      <c r="A390" s="46"/>
      <c r="B390" s="46"/>
      <c r="C390" s="46"/>
      <c r="D390" s="46"/>
      <c r="E390" s="46"/>
      <c r="F390" s="46"/>
      <c r="G390" s="46"/>
      <c r="H390" s="46"/>
      <c r="I390" s="46"/>
      <c r="J390" s="46"/>
      <c r="K390" s="46"/>
      <c r="L390" s="46"/>
      <c r="M390" s="46"/>
      <c r="N390" s="46"/>
      <c r="O390" s="46"/>
      <c r="P390" s="46"/>
      <c r="Q390" s="46"/>
      <c r="R390" s="46"/>
      <c r="S390" s="46"/>
      <c r="T390" s="46"/>
      <c r="U390" s="46"/>
    </row>
    <row r="391" spans="1:21" x14ac:dyDescent="0.25">
      <c r="A391" s="46"/>
      <c r="B391" s="46"/>
      <c r="C391" s="46"/>
      <c r="D391" s="46"/>
      <c r="E391" s="46"/>
      <c r="F391" s="46"/>
      <c r="G391" s="46"/>
      <c r="H391" s="46"/>
      <c r="I391" s="46"/>
      <c r="J391" s="46"/>
      <c r="K391" s="46"/>
      <c r="L391" s="46"/>
      <c r="M391" s="46"/>
      <c r="N391" s="46"/>
      <c r="O391" s="46"/>
      <c r="P391" s="46"/>
      <c r="Q391" s="46"/>
      <c r="R391" s="46"/>
      <c r="S391" s="46"/>
      <c r="T391" s="46"/>
      <c r="U391" s="46"/>
    </row>
    <row r="392" spans="1:21" x14ac:dyDescent="0.25">
      <c r="A392" s="46"/>
      <c r="B392" s="46"/>
      <c r="C392" s="46"/>
      <c r="D392" s="46"/>
      <c r="E392" s="46"/>
      <c r="F392" s="46"/>
      <c r="G392" s="46"/>
      <c r="H392" s="46"/>
      <c r="I392" s="46"/>
      <c r="J392" s="46"/>
      <c r="K392" s="46"/>
      <c r="L392" s="46"/>
      <c r="M392" s="46"/>
      <c r="N392" s="46"/>
      <c r="O392" s="46"/>
      <c r="P392" s="46"/>
      <c r="Q392" s="46"/>
      <c r="R392" s="46"/>
      <c r="S392" s="46"/>
      <c r="T392" s="46"/>
      <c r="U392" s="46"/>
    </row>
    <row r="393" spans="1:21" x14ac:dyDescent="0.25">
      <c r="A393" s="46"/>
      <c r="B393" s="46"/>
      <c r="C393" s="46"/>
      <c r="D393" s="46"/>
      <c r="E393" s="46"/>
      <c r="F393" s="46"/>
      <c r="G393" s="46"/>
      <c r="H393" s="46"/>
      <c r="I393" s="46"/>
      <c r="J393" s="46"/>
      <c r="K393" s="46"/>
      <c r="L393" s="46"/>
      <c r="M393" s="46"/>
      <c r="N393" s="46"/>
      <c r="O393" s="46"/>
      <c r="P393" s="46"/>
      <c r="Q393" s="46"/>
      <c r="R393" s="46"/>
      <c r="S393" s="46"/>
      <c r="T393" s="46"/>
      <c r="U393" s="46"/>
    </row>
    <row r="394" spans="1:21" x14ac:dyDescent="0.25">
      <c r="A394" s="46"/>
      <c r="B394" s="46"/>
      <c r="C394" s="46"/>
      <c r="D394" s="46"/>
      <c r="E394" s="46"/>
      <c r="F394" s="46"/>
      <c r="G394" s="46"/>
      <c r="H394" s="46"/>
      <c r="I394" s="46"/>
      <c r="J394" s="46"/>
      <c r="K394" s="46"/>
      <c r="L394" s="46"/>
      <c r="M394" s="46"/>
      <c r="N394" s="46"/>
      <c r="O394" s="46"/>
      <c r="P394" s="46"/>
      <c r="Q394" s="46"/>
      <c r="R394" s="46"/>
      <c r="S394" s="46"/>
      <c r="T394" s="46"/>
      <c r="U394" s="46"/>
    </row>
    <row r="395" spans="1:21" x14ac:dyDescent="0.25">
      <c r="A395" s="46"/>
      <c r="B395" s="46"/>
      <c r="C395" s="46"/>
      <c r="D395" s="46"/>
      <c r="E395" s="46"/>
      <c r="F395" s="46"/>
      <c r="G395" s="46"/>
      <c r="H395" s="46"/>
      <c r="I395" s="46"/>
      <c r="J395" s="46"/>
      <c r="K395" s="46"/>
      <c r="L395" s="46"/>
      <c r="M395" s="46"/>
      <c r="N395" s="46"/>
      <c r="O395" s="46"/>
      <c r="P395" s="46"/>
      <c r="Q395" s="46"/>
      <c r="R395" s="46"/>
      <c r="S395" s="46"/>
      <c r="T395" s="46"/>
      <c r="U395" s="46"/>
    </row>
    <row r="396" spans="1:21" x14ac:dyDescent="0.25">
      <c r="A396" s="46"/>
      <c r="B396" s="46"/>
      <c r="C396" s="46"/>
      <c r="D396" s="46"/>
      <c r="E396" s="46"/>
      <c r="F396" s="46"/>
      <c r="G396" s="46"/>
      <c r="H396" s="46"/>
      <c r="I396" s="46"/>
      <c r="J396" s="46"/>
      <c r="K396" s="46"/>
      <c r="L396" s="46"/>
      <c r="M396" s="46"/>
      <c r="N396" s="46"/>
      <c r="O396" s="46"/>
      <c r="P396" s="46"/>
      <c r="Q396" s="46"/>
      <c r="R396" s="46"/>
      <c r="S396" s="46"/>
      <c r="T396" s="46"/>
      <c r="U396" s="46"/>
    </row>
    <row r="397" spans="1:21" x14ac:dyDescent="0.25">
      <c r="A397" s="46"/>
      <c r="B397" s="46"/>
      <c r="C397" s="46"/>
      <c r="D397" s="46"/>
      <c r="E397" s="46"/>
      <c r="F397" s="46"/>
      <c r="G397" s="46"/>
      <c r="H397" s="46"/>
      <c r="I397" s="46"/>
      <c r="J397" s="46"/>
      <c r="K397" s="46"/>
      <c r="L397" s="46"/>
      <c r="M397" s="46"/>
      <c r="N397" s="46"/>
      <c r="O397" s="46"/>
      <c r="P397" s="46"/>
      <c r="Q397" s="46"/>
      <c r="R397" s="46"/>
      <c r="S397" s="46"/>
      <c r="T397" s="46"/>
      <c r="U397" s="46"/>
    </row>
    <row r="398" spans="1:21" x14ac:dyDescent="0.25">
      <c r="A398" s="46"/>
      <c r="B398" s="46"/>
      <c r="C398" s="46"/>
      <c r="D398" s="46"/>
      <c r="E398" s="46"/>
      <c r="F398" s="46"/>
      <c r="G398" s="46"/>
      <c r="H398" s="46"/>
      <c r="I398" s="46"/>
      <c r="J398" s="46"/>
      <c r="K398" s="46"/>
      <c r="L398" s="46"/>
      <c r="M398" s="46"/>
      <c r="N398" s="46"/>
      <c r="O398" s="46"/>
      <c r="P398" s="46"/>
      <c r="Q398" s="46"/>
      <c r="R398" s="46"/>
      <c r="S398" s="46"/>
      <c r="T398" s="46"/>
      <c r="U398" s="46"/>
    </row>
    <row r="399" spans="1:21" x14ac:dyDescent="0.25">
      <c r="A399" s="46"/>
      <c r="B399" s="46"/>
      <c r="C399" s="46"/>
      <c r="D399" s="46"/>
      <c r="E399" s="46"/>
      <c r="F399" s="46"/>
      <c r="G399" s="46"/>
      <c r="H399" s="46"/>
      <c r="I399" s="46"/>
      <c r="J399" s="46"/>
      <c r="K399" s="46"/>
      <c r="L399" s="46"/>
      <c r="M399" s="46"/>
      <c r="N399" s="46"/>
      <c r="O399" s="46"/>
      <c r="P399" s="46"/>
      <c r="Q399" s="46"/>
      <c r="R399" s="46"/>
      <c r="S399" s="46"/>
      <c r="T399" s="46"/>
      <c r="U399" s="46"/>
    </row>
    <row r="400" spans="1:21" x14ac:dyDescent="0.25">
      <c r="A400" s="46"/>
      <c r="B400" s="46"/>
      <c r="C400" s="46"/>
      <c r="D400" s="46"/>
      <c r="E400" s="46"/>
      <c r="F400" s="46"/>
      <c r="G400" s="46"/>
      <c r="H400" s="46"/>
      <c r="I400" s="46"/>
      <c r="J400" s="46"/>
      <c r="K400" s="46"/>
      <c r="L400" s="46"/>
      <c r="M400" s="46"/>
      <c r="N400" s="46"/>
      <c r="O400" s="46"/>
      <c r="P400" s="46"/>
      <c r="Q400" s="46"/>
      <c r="R400" s="46"/>
      <c r="S400" s="46"/>
      <c r="T400" s="46"/>
      <c r="U400" s="46"/>
    </row>
    <row r="401" spans="1:21" x14ac:dyDescent="0.25">
      <c r="A401" s="46"/>
      <c r="B401" s="46"/>
      <c r="C401" s="46"/>
      <c r="D401" s="46"/>
      <c r="E401" s="46"/>
      <c r="F401" s="46"/>
      <c r="G401" s="46"/>
      <c r="H401" s="46"/>
      <c r="I401" s="46"/>
      <c r="J401" s="46"/>
      <c r="K401" s="46"/>
      <c r="L401" s="46"/>
      <c r="M401" s="46"/>
      <c r="N401" s="46"/>
      <c r="O401" s="46"/>
      <c r="P401" s="46"/>
      <c r="Q401" s="46"/>
      <c r="R401" s="46"/>
      <c r="S401" s="46"/>
      <c r="T401" s="46"/>
      <c r="U401" s="46"/>
    </row>
    <row r="402" spans="1:21" x14ac:dyDescent="0.25">
      <c r="A402" s="46"/>
      <c r="B402" s="46"/>
      <c r="C402" s="46"/>
      <c r="D402" s="46"/>
      <c r="E402" s="46"/>
      <c r="F402" s="46"/>
      <c r="G402" s="46"/>
      <c r="H402" s="46"/>
      <c r="I402" s="46"/>
      <c r="J402" s="46"/>
      <c r="K402" s="46"/>
      <c r="L402" s="46"/>
      <c r="M402" s="46"/>
      <c r="N402" s="46"/>
      <c r="O402" s="46"/>
      <c r="P402" s="46"/>
      <c r="Q402" s="46"/>
      <c r="R402" s="46"/>
      <c r="S402" s="46"/>
      <c r="T402" s="46"/>
      <c r="U402" s="46"/>
    </row>
    <row r="403" spans="1:21" x14ac:dyDescent="0.25">
      <c r="A403" s="46"/>
      <c r="B403" s="46"/>
      <c r="C403" s="46"/>
      <c r="D403" s="46"/>
      <c r="E403" s="46"/>
      <c r="F403" s="46"/>
      <c r="G403" s="46"/>
      <c r="H403" s="46"/>
      <c r="I403" s="46"/>
      <c r="J403" s="46"/>
      <c r="K403" s="46"/>
      <c r="L403" s="46"/>
      <c r="M403" s="46"/>
      <c r="N403" s="46"/>
      <c r="O403" s="46"/>
      <c r="P403" s="46"/>
      <c r="Q403" s="46"/>
      <c r="R403" s="46"/>
      <c r="S403" s="46"/>
      <c r="T403" s="46"/>
      <c r="U403" s="46"/>
    </row>
    <row r="404" spans="1:21" x14ac:dyDescent="0.25">
      <c r="A404" s="46"/>
      <c r="B404" s="46"/>
      <c r="C404" s="46"/>
      <c r="D404" s="46"/>
      <c r="E404" s="46"/>
      <c r="F404" s="46"/>
      <c r="G404" s="46"/>
      <c r="H404" s="46"/>
      <c r="I404" s="46"/>
      <c r="J404" s="46"/>
      <c r="K404" s="46"/>
      <c r="L404" s="46"/>
      <c r="M404" s="46"/>
      <c r="N404" s="46"/>
      <c r="O404" s="46"/>
      <c r="P404" s="46"/>
      <c r="Q404" s="46"/>
      <c r="R404" s="46"/>
      <c r="S404" s="46"/>
      <c r="T404" s="46"/>
      <c r="U404" s="46"/>
    </row>
    <row r="405" spans="1:21" x14ac:dyDescent="0.25">
      <c r="A405" s="46"/>
      <c r="B405" s="46"/>
      <c r="C405" s="46"/>
      <c r="D405" s="46"/>
      <c r="E405" s="46"/>
      <c r="F405" s="46"/>
      <c r="G405" s="46"/>
      <c r="H405" s="46"/>
      <c r="I405" s="46"/>
      <c r="J405" s="46"/>
      <c r="K405" s="46"/>
      <c r="L405" s="46"/>
      <c r="M405" s="46"/>
      <c r="N405" s="46"/>
      <c r="O405" s="46"/>
      <c r="P405" s="46"/>
      <c r="Q405" s="46"/>
      <c r="R405" s="46"/>
      <c r="S405" s="46"/>
      <c r="T405" s="46"/>
      <c r="U405" s="46"/>
    </row>
    <row r="406" spans="1:21" x14ac:dyDescent="0.25">
      <c r="A406" s="46"/>
      <c r="B406" s="46"/>
      <c r="C406" s="46"/>
      <c r="D406" s="46"/>
      <c r="E406" s="46"/>
      <c r="F406" s="46"/>
      <c r="G406" s="46"/>
      <c r="H406" s="46"/>
      <c r="I406" s="46"/>
      <c r="J406" s="46"/>
      <c r="K406" s="46"/>
      <c r="L406" s="46"/>
      <c r="M406" s="46"/>
      <c r="N406" s="46"/>
      <c r="O406" s="46"/>
      <c r="P406" s="46"/>
      <c r="Q406" s="46"/>
      <c r="R406" s="46"/>
      <c r="S406" s="46"/>
      <c r="T406" s="46"/>
      <c r="U406" s="46"/>
    </row>
    <row r="407" spans="1:21" x14ac:dyDescent="0.25">
      <c r="A407" s="46"/>
      <c r="B407" s="46"/>
      <c r="C407" s="46"/>
      <c r="D407" s="46"/>
      <c r="E407" s="46"/>
      <c r="F407" s="46"/>
      <c r="G407" s="46"/>
      <c r="H407" s="46"/>
      <c r="I407" s="46"/>
      <c r="J407" s="46"/>
      <c r="K407" s="46"/>
      <c r="L407" s="46"/>
      <c r="M407" s="46"/>
      <c r="N407" s="46"/>
      <c r="O407" s="46"/>
      <c r="P407" s="46"/>
      <c r="Q407" s="46"/>
      <c r="R407" s="46"/>
      <c r="S407" s="46"/>
      <c r="T407" s="46"/>
      <c r="U407" s="46"/>
    </row>
    <row r="408" spans="1:21" x14ac:dyDescent="0.25">
      <c r="A408" s="46"/>
      <c r="B408" s="46"/>
      <c r="C408" s="46"/>
      <c r="D408" s="46"/>
      <c r="E408" s="46"/>
      <c r="F408" s="46"/>
      <c r="G408" s="46"/>
      <c r="H408" s="46"/>
      <c r="I408" s="46"/>
      <c r="J408" s="46"/>
      <c r="K408" s="46"/>
      <c r="L408" s="46"/>
      <c r="M408" s="46"/>
      <c r="N408" s="46"/>
      <c r="O408" s="46"/>
      <c r="P408" s="46"/>
      <c r="Q408" s="46"/>
      <c r="R408" s="46"/>
      <c r="S408" s="46"/>
      <c r="T408" s="46"/>
      <c r="U408" s="46"/>
    </row>
    <row r="409" spans="1:21" x14ac:dyDescent="0.25">
      <c r="A409" s="46"/>
      <c r="B409" s="46"/>
      <c r="C409" s="46"/>
      <c r="D409" s="46"/>
      <c r="E409" s="46"/>
      <c r="F409" s="46"/>
      <c r="G409" s="46"/>
      <c r="H409" s="46"/>
      <c r="I409" s="46"/>
      <c r="J409" s="46"/>
      <c r="K409" s="46"/>
      <c r="L409" s="46"/>
      <c r="M409" s="46"/>
      <c r="N409" s="46"/>
      <c r="O409" s="46"/>
      <c r="P409" s="46"/>
      <c r="Q409" s="46"/>
      <c r="R409" s="46"/>
      <c r="S409" s="46"/>
      <c r="T409" s="46"/>
      <c r="U409" s="46"/>
    </row>
    <row r="410" spans="1:21" x14ac:dyDescent="0.25">
      <c r="A410" s="46"/>
      <c r="B410" s="46"/>
      <c r="C410" s="46"/>
      <c r="D410" s="46"/>
      <c r="E410" s="46"/>
      <c r="F410" s="46"/>
      <c r="G410" s="46"/>
      <c r="H410" s="46"/>
      <c r="I410" s="46"/>
      <c r="J410" s="46"/>
      <c r="K410" s="46"/>
      <c r="L410" s="46"/>
      <c r="M410" s="46"/>
      <c r="N410" s="46"/>
      <c r="O410" s="46"/>
      <c r="P410" s="46"/>
      <c r="Q410" s="46"/>
      <c r="R410" s="46"/>
      <c r="S410" s="46"/>
      <c r="T410" s="46"/>
      <c r="U410" s="46"/>
    </row>
    <row r="411" spans="1:21" x14ac:dyDescent="0.25">
      <c r="A411" s="46"/>
      <c r="B411" s="46"/>
      <c r="C411" s="46"/>
      <c r="D411" s="46"/>
      <c r="E411" s="46"/>
      <c r="F411" s="46"/>
      <c r="G411" s="46"/>
      <c r="H411" s="46"/>
      <c r="I411" s="46"/>
      <c r="J411" s="46"/>
      <c r="K411" s="46"/>
      <c r="L411" s="46"/>
      <c r="M411" s="46"/>
      <c r="N411" s="46"/>
      <c r="O411" s="46"/>
      <c r="P411" s="46"/>
      <c r="Q411" s="46"/>
      <c r="R411" s="46"/>
      <c r="S411" s="46"/>
      <c r="T411" s="46"/>
      <c r="U411" s="46"/>
    </row>
    <row r="412" spans="1:21" x14ac:dyDescent="0.25">
      <c r="A412" s="46"/>
      <c r="B412" s="46"/>
      <c r="C412" s="46"/>
      <c r="D412" s="46"/>
      <c r="E412" s="46"/>
      <c r="F412" s="46"/>
      <c r="G412" s="46"/>
      <c r="H412" s="46"/>
      <c r="I412" s="46"/>
      <c r="J412" s="46"/>
      <c r="K412" s="46"/>
      <c r="L412" s="46"/>
      <c r="M412" s="46"/>
      <c r="N412" s="46"/>
      <c r="O412" s="46"/>
      <c r="P412" s="46"/>
      <c r="Q412" s="46"/>
      <c r="R412" s="46"/>
      <c r="S412" s="46"/>
      <c r="T412" s="46"/>
      <c r="U412" s="46"/>
    </row>
    <row r="413" spans="1:21" x14ac:dyDescent="0.25">
      <c r="A413" s="46"/>
      <c r="B413" s="46"/>
      <c r="C413" s="46"/>
      <c r="D413" s="46"/>
      <c r="E413" s="46"/>
      <c r="F413" s="46"/>
      <c r="G413" s="46"/>
      <c r="H413" s="46"/>
      <c r="I413" s="46"/>
      <c r="J413" s="46"/>
      <c r="K413" s="46"/>
      <c r="L413" s="46"/>
      <c r="M413" s="46"/>
      <c r="N413" s="46"/>
      <c r="O413" s="46"/>
      <c r="P413" s="46"/>
      <c r="Q413" s="46"/>
      <c r="R413" s="46"/>
      <c r="S413" s="46"/>
      <c r="T413" s="46"/>
      <c r="U413" s="46"/>
    </row>
    <row r="414" spans="1:21" x14ac:dyDescent="0.25">
      <c r="A414" s="46"/>
      <c r="B414" s="46"/>
      <c r="C414" s="46"/>
      <c r="D414" s="46"/>
      <c r="E414" s="46"/>
      <c r="F414" s="46"/>
      <c r="G414" s="46"/>
      <c r="H414" s="46"/>
      <c r="I414" s="46"/>
      <c r="J414" s="46"/>
      <c r="K414" s="46"/>
      <c r="L414" s="46"/>
      <c r="M414" s="46"/>
      <c r="N414" s="46"/>
      <c r="O414" s="46"/>
      <c r="P414" s="46"/>
      <c r="Q414" s="46"/>
      <c r="R414" s="46"/>
      <c r="S414" s="46"/>
      <c r="T414" s="46"/>
      <c r="U414" s="46"/>
    </row>
    <row r="415" spans="1:21" x14ac:dyDescent="0.25">
      <c r="A415" s="46"/>
      <c r="B415" s="46"/>
      <c r="C415" s="46"/>
      <c r="D415" s="46"/>
      <c r="E415" s="46"/>
      <c r="F415" s="46"/>
      <c r="G415" s="46"/>
      <c r="H415" s="46"/>
      <c r="I415" s="46"/>
      <c r="J415" s="46"/>
      <c r="K415" s="46"/>
      <c r="L415" s="46"/>
      <c r="M415" s="46"/>
      <c r="N415" s="46"/>
      <c r="O415" s="46"/>
      <c r="P415" s="46"/>
      <c r="Q415" s="46"/>
      <c r="R415" s="46"/>
      <c r="S415" s="46"/>
      <c r="T415" s="46"/>
      <c r="U415" s="46"/>
    </row>
    <row r="416" spans="1:21" x14ac:dyDescent="0.25">
      <c r="A416" s="46"/>
      <c r="B416" s="46"/>
      <c r="C416" s="46"/>
      <c r="E416" s="46"/>
      <c r="G416" s="46"/>
      <c r="H416" s="46"/>
      <c r="I416" s="46"/>
      <c r="J416" s="46"/>
      <c r="K416" s="46"/>
      <c r="L416" s="46"/>
      <c r="M416" s="46"/>
      <c r="N416" s="46"/>
      <c r="O416" s="46"/>
      <c r="P416" s="46"/>
      <c r="Q416" s="46"/>
      <c r="R416" s="46"/>
      <c r="S416" s="46"/>
      <c r="T416" s="46"/>
      <c r="U416" s="46"/>
    </row>
  </sheetData>
  <sheetProtection formatCells="0" formatColumns="0" formatRows="0" deleteRows="0" selectLockedCells="1" sort="0" autoFilter="0" pivotTables="0"/>
  <hyperlinks>
    <hyperlink ref="D11" location="'BASE OBZ'!A1" display="BASE OBZ"/>
    <hyperlink ref="B12" r:id="rId1"/>
    <hyperlink ref="B13" location="'DECRETO DIÁRIAS'!A1" display="DECRETO DIÁRIAS"/>
    <hyperlink ref="F12" location="'PONTOS IMPORTANTES'!A1" display="PONTOS IMPORTANTES"/>
    <hyperlink ref="D13" location="'BASE OBZ - EXEMPLO'!A1" display="BASE OBZ - EXEMPLO"/>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501"/>
  <sheetViews>
    <sheetView workbookViewId="0">
      <selection activeCell="A3" sqref="A3"/>
    </sheetView>
  </sheetViews>
  <sheetFormatPr defaultColWidth="9.140625" defaultRowHeight="15" x14ac:dyDescent="0.25"/>
  <cols>
    <col min="1" max="1" width="32.140625" style="52" bestFit="1" customWidth="1"/>
    <col min="2" max="2" width="23.28515625" style="54" bestFit="1" customWidth="1"/>
    <col min="3" max="3" width="9.140625" style="54" customWidth="1"/>
    <col min="4" max="4" width="24.42578125" style="54" bestFit="1" customWidth="1"/>
    <col min="5" max="5" width="18.28515625" style="54" customWidth="1"/>
    <col min="6" max="6" width="31.28515625" style="54" bestFit="1" customWidth="1"/>
    <col min="7" max="7" width="10" style="54" customWidth="1"/>
    <col min="8" max="8" width="28.5703125" style="54" customWidth="1"/>
    <col min="9" max="9" width="29.85546875" style="54" customWidth="1"/>
    <col min="10" max="10" width="8" style="54" hidden="1" customWidth="1"/>
    <col min="11" max="11" width="20.85546875" style="54" customWidth="1"/>
    <col min="12" max="12" width="24.7109375" style="54" customWidth="1"/>
    <col min="13" max="13" width="20.85546875" style="54" hidden="1" customWidth="1"/>
    <col min="14" max="14" width="7.5703125" style="54" bestFit="1" customWidth="1"/>
    <col min="15" max="15" width="37.85546875" style="54" customWidth="1"/>
    <col min="16" max="16" width="7.7109375" style="54" bestFit="1" customWidth="1"/>
    <col min="17" max="17" width="26.28515625" style="54" customWidth="1"/>
    <col min="18" max="18" width="10.7109375" style="54" customWidth="1"/>
    <col min="19" max="19" width="18" style="54" bestFit="1" customWidth="1"/>
    <col min="20" max="20" width="14.85546875" style="54" customWidth="1"/>
    <col min="21" max="21" width="18.7109375" style="54" bestFit="1" customWidth="1"/>
    <col min="22" max="22" width="13.28515625" style="54" customWidth="1"/>
    <col min="23" max="23" width="23.85546875" style="54" bestFit="1" customWidth="1"/>
    <col min="24" max="24" width="17.7109375" style="6" bestFit="1" customWidth="1"/>
    <col min="25" max="25" width="20.140625" style="54" bestFit="1" customWidth="1"/>
    <col min="26" max="26" width="22.140625" style="54" bestFit="1" customWidth="1"/>
    <col min="27" max="27" width="19" style="54" bestFit="1" customWidth="1"/>
    <col min="28" max="28" width="18.7109375" style="54" bestFit="1" customWidth="1"/>
    <col min="29" max="31" width="16" style="54" bestFit="1" customWidth="1"/>
    <col min="32" max="16384" width="9.140625" style="54"/>
  </cols>
  <sheetData>
    <row r="1" spans="1:31" s="56" customFormat="1" ht="26.25" x14ac:dyDescent="0.25">
      <c r="F1" s="57" t="s">
        <v>6</v>
      </c>
      <c r="H1" s="316" t="s">
        <v>7</v>
      </c>
      <c r="I1" s="316"/>
      <c r="X1" s="44"/>
    </row>
    <row r="2" spans="1:31" s="15" customFormat="1" ht="45" x14ac:dyDescent="0.25">
      <c r="A2" s="81" t="s">
        <v>8</v>
      </c>
      <c r="B2" s="81" t="s">
        <v>9</v>
      </c>
      <c r="C2" s="81" t="s">
        <v>10</v>
      </c>
      <c r="D2" s="81" t="s">
        <v>11</v>
      </c>
      <c r="E2" s="81" t="s">
        <v>12</v>
      </c>
      <c r="F2" s="81" t="s">
        <v>13</v>
      </c>
      <c r="G2" s="81" t="s">
        <v>14</v>
      </c>
      <c r="H2" s="81" t="s">
        <v>15</v>
      </c>
      <c r="I2" s="82" t="s">
        <v>16</v>
      </c>
      <c r="J2" s="82" t="s">
        <v>17</v>
      </c>
      <c r="K2" s="82" t="s">
        <v>18</v>
      </c>
      <c r="L2" s="82" t="s">
        <v>19</v>
      </c>
      <c r="M2" s="82" t="s">
        <v>20</v>
      </c>
      <c r="N2" s="82" t="s">
        <v>21</v>
      </c>
      <c r="O2" s="82" t="s">
        <v>22</v>
      </c>
      <c r="P2" s="82" t="s">
        <v>23</v>
      </c>
      <c r="Q2" s="83" t="s">
        <v>24</v>
      </c>
      <c r="R2" s="83" t="s">
        <v>25</v>
      </c>
      <c r="S2" s="83" t="s">
        <v>26</v>
      </c>
      <c r="T2" s="83" t="s">
        <v>27</v>
      </c>
      <c r="U2" s="83" t="s">
        <v>28</v>
      </c>
      <c r="V2" s="80" t="s">
        <v>29</v>
      </c>
      <c r="W2" s="84" t="s">
        <v>30</v>
      </c>
      <c r="X2" s="84" t="s">
        <v>31</v>
      </c>
      <c r="Y2" s="84" t="s">
        <v>32</v>
      </c>
      <c r="Z2" s="84" t="s">
        <v>33</v>
      </c>
      <c r="AA2" s="85" t="s">
        <v>34</v>
      </c>
      <c r="AB2" s="85" t="s">
        <v>35</v>
      </c>
      <c r="AC2" s="85" t="s">
        <v>36</v>
      </c>
      <c r="AD2" s="85" t="s">
        <v>35</v>
      </c>
      <c r="AE2" s="85" t="s">
        <v>36</v>
      </c>
    </row>
    <row r="3" spans="1:31" s="21" customFormat="1" ht="105" x14ac:dyDescent="0.25">
      <c r="A3" s="42" t="s">
        <v>37</v>
      </c>
      <c r="B3" s="42" t="s">
        <v>38</v>
      </c>
      <c r="C3" s="42"/>
      <c r="D3" s="42" t="s">
        <v>39</v>
      </c>
      <c r="E3" s="52" t="str">
        <f t="shared" ref="E3:E66" si="0">CONCATENATE(A3,"PROG")</f>
        <v>FAOPPROG</v>
      </c>
      <c r="F3" s="42" t="s">
        <v>40</v>
      </c>
      <c r="G3" s="52" t="str">
        <f t="shared" ref="G3:G66" si="1">CONCATENATE("P",(LEFT(F3,3)),A3)</f>
        <v>P060FAOP</v>
      </c>
      <c r="H3" s="42" t="s">
        <v>41</v>
      </c>
      <c r="I3" s="42" t="s">
        <v>42</v>
      </c>
      <c r="J3" s="52" t="e">
        <f>CONCATENATE("ELEM",LEFT(#REF!,2))</f>
        <v>#REF!</v>
      </c>
      <c r="K3" s="92" t="s">
        <v>43</v>
      </c>
      <c r="L3" s="93" t="s">
        <v>44</v>
      </c>
      <c r="M3" s="92" t="e">
        <f>VLOOKUP(L3,#REF!,2,FALSE)</f>
        <v>#REF!</v>
      </c>
      <c r="N3" s="92">
        <v>10</v>
      </c>
      <c r="O3" s="93" t="s">
        <v>45</v>
      </c>
      <c r="P3" s="93" t="s">
        <v>46</v>
      </c>
      <c r="Q3" s="93" t="s">
        <v>47</v>
      </c>
      <c r="R3" s="93">
        <v>2</v>
      </c>
      <c r="S3" s="93" t="s">
        <v>48</v>
      </c>
      <c r="T3" s="94">
        <v>294</v>
      </c>
      <c r="U3" s="95">
        <v>1</v>
      </c>
      <c r="V3" s="96">
        <f t="shared" ref="V3:V15" si="2">R3*T3*U3</f>
        <v>588</v>
      </c>
      <c r="W3" s="93" t="s">
        <v>49</v>
      </c>
      <c r="X3" s="93" t="s">
        <v>50</v>
      </c>
      <c r="Y3" s="93" t="s">
        <v>51</v>
      </c>
      <c r="Z3" s="93" t="s">
        <v>52</v>
      </c>
      <c r="AA3" s="93" t="s">
        <v>51</v>
      </c>
      <c r="AB3" s="93" t="s">
        <v>52</v>
      </c>
      <c r="AC3" s="42"/>
      <c r="AD3" s="42"/>
      <c r="AE3" s="42"/>
    </row>
    <row r="4" spans="1:31" s="55" customFormat="1" ht="75" x14ac:dyDescent="0.25">
      <c r="A4" s="42" t="s">
        <v>37</v>
      </c>
      <c r="B4" s="42" t="s">
        <v>38</v>
      </c>
      <c r="C4" s="42"/>
      <c r="D4" s="42" t="s">
        <v>39</v>
      </c>
      <c r="E4" s="52" t="str">
        <f t="shared" si="0"/>
        <v>FAOPPROG</v>
      </c>
      <c r="F4" s="42" t="s">
        <v>40</v>
      </c>
      <c r="G4" s="52" t="str">
        <f t="shared" si="1"/>
        <v>P060FAOP</v>
      </c>
      <c r="H4" s="42" t="s">
        <v>41</v>
      </c>
      <c r="I4" s="42" t="s">
        <v>53</v>
      </c>
      <c r="J4" s="52" t="e">
        <f>CONCATENATE("ELEM",LEFT(#REF!,2))</f>
        <v>#REF!</v>
      </c>
      <c r="K4" s="92" t="s">
        <v>43</v>
      </c>
      <c r="L4" s="93" t="s">
        <v>44</v>
      </c>
      <c r="M4" s="92" t="s">
        <v>43</v>
      </c>
      <c r="N4" s="92">
        <v>10</v>
      </c>
      <c r="O4" s="93" t="s">
        <v>54</v>
      </c>
      <c r="P4" s="93" t="s">
        <v>46</v>
      </c>
      <c r="Q4" s="93" t="s">
        <v>55</v>
      </c>
      <c r="R4" s="93">
        <v>1</v>
      </c>
      <c r="S4" s="93" t="s">
        <v>56</v>
      </c>
      <c r="T4" s="94">
        <v>20</v>
      </c>
      <c r="U4" s="95">
        <v>1</v>
      </c>
      <c r="V4" s="96">
        <f t="shared" si="2"/>
        <v>20</v>
      </c>
      <c r="W4" s="93" t="s">
        <v>49</v>
      </c>
      <c r="X4" s="93" t="s">
        <v>50</v>
      </c>
      <c r="Y4" s="93" t="s">
        <v>51</v>
      </c>
      <c r="Z4" s="93" t="s">
        <v>52</v>
      </c>
      <c r="AA4" s="93" t="s">
        <v>51</v>
      </c>
      <c r="AB4" s="93" t="s">
        <v>52</v>
      </c>
      <c r="AC4" s="42"/>
      <c r="AD4" s="42"/>
      <c r="AE4" s="42"/>
    </row>
    <row r="5" spans="1:31" s="55" customFormat="1" ht="105" x14ac:dyDescent="0.25">
      <c r="A5" s="42" t="s">
        <v>37</v>
      </c>
      <c r="B5" s="42" t="s">
        <v>38</v>
      </c>
      <c r="C5" s="42"/>
      <c r="D5" s="42" t="s">
        <v>39</v>
      </c>
      <c r="E5" s="52" t="str">
        <f t="shared" si="0"/>
        <v>FAOPPROG</v>
      </c>
      <c r="F5" s="42" t="s">
        <v>40</v>
      </c>
      <c r="G5" s="52" t="str">
        <f t="shared" si="1"/>
        <v>P060FAOP</v>
      </c>
      <c r="H5" s="42" t="s">
        <v>41</v>
      </c>
      <c r="I5" s="42" t="s">
        <v>42</v>
      </c>
      <c r="J5" s="52" t="e">
        <f>CONCATENATE("ELEM",LEFT(#REF!,2))</f>
        <v>#REF!</v>
      </c>
      <c r="K5" s="92" t="s">
        <v>43</v>
      </c>
      <c r="L5" s="93" t="s">
        <v>44</v>
      </c>
      <c r="M5" s="92" t="s">
        <v>43</v>
      </c>
      <c r="N5" s="92">
        <v>10</v>
      </c>
      <c r="O5" s="93" t="s">
        <v>57</v>
      </c>
      <c r="P5" s="93" t="s">
        <v>58</v>
      </c>
      <c r="Q5" s="93" t="s">
        <v>47</v>
      </c>
      <c r="R5" s="93">
        <v>2</v>
      </c>
      <c r="S5" s="93" t="s">
        <v>48</v>
      </c>
      <c r="T5" s="94">
        <v>294</v>
      </c>
      <c r="U5" s="95">
        <v>1</v>
      </c>
      <c r="V5" s="96">
        <f t="shared" si="2"/>
        <v>588</v>
      </c>
      <c r="W5" s="93" t="s">
        <v>49</v>
      </c>
      <c r="X5" s="93" t="s">
        <v>59</v>
      </c>
      <c r="Y5" s="93" t="s">
        <v>60</v>
      </c>
      <c r="Z5" s="93" t="s">
        <v>61</v>
      </c>
      <c r="AA5" s="93" t="s">
        <v>60</v>
      </c>
      <c r="AB5" s="93" t="s">
        <v>61</v>
      </c>
      <c r="AC5" s="42"/>
      <c r="AD5" s="42"/>
      <c r="AE5" s="42"/>
    </row>
    <row r="6" spans="1:31" s="55" customFormat="1" ht="105" x14ac:dyDescent="0.25">
      <c r="A6" s="42" t="s">
        <v>37</v>
      </c>
      <c r="B6" s="42" t="s">
        <v>38</v>
      </c>
      <c r="C6" s="42"/>
      <c r="D6" s="42" t="s">
        <v>39</v>
      </c>
      <c r="E6" s="52" t="str">
        <f t="shared" si="0"/>
        <v>FAOPPROG</v>
      </c>
      <c r="F6" s="42" t="s">
        <v>40</v>
      </c>
      <c r="G6" s="52" t="str">
        <f t="shared" si="1"/>
        <v>P060FAOP</v>
      </c>
      <c r="H6" s="42" t="s">
        <v>41</v>
      </c>
      <c r="I6" s="42" t="s">
        <v>53</v>
      </c>
      <c r="J6" s="52" t="e">
        <f>CONCATENATE("ELEM",LEFT(#REF!,2))</f>
        <v>#REF!</v>
      </c>
      <c r="K6" s="92" t="s">
        <v>43</v>
      </c>
      <c r="L6" s="93" t="s">
        <v>44</v>
      </c>
      <c r="M6" s="92" t="s">
        <v>43</v>
      </c>
      <c r="N6" s="92">
        <v>10</v>
      </c>
      <c r="O6" s="93" t="s">
        <v>62</v>
      </c>
      <c r="P6" s="93" t="s">
        <v>58</v>
      </c>
      <c r="Q6" s="93" t="s">
        <v>55</v>
      </c>
      <c r="R6" s="93">
        <v>1</v>
      </c>
      <c r="S6" s="93" t="s">
        <v>56</v>
      </c>
      <c r="T6" s="94">
        <v>20</v>
      </c>
      <c r="U6" s="95">
        <v>1</v>
      </c>
      <c r="V6" s="96">
        <f t="shared" si="2"/>
        <v>20</v>
      </c>
      <c r="W6" s="93" t="s">
        <v>49</v>
      </c>
      <c r="X6" s="93" t="s">
        <v>59</v>
      </c>
      <c r="Y6" s="93" t="s">
        <v>60</v>
      </c>
      <c r="Z6" s="93" t="s">
        <v>61</v>
      </c>
      <c r="AA6" s="93" t="s">
        <v>60</v>
      </c>
      <c r="AB6" s="93" t="s">
        <v>61</v>
      </c>
      <c r="AC6" s="42"/>
      <c r="AD6" s="42"/>
      <c r="AE6" s="42"/>
    </row>
    <row r="7" spans="1:31" s="55" customFormat="1" ht="165" x14ac:dyDescent="0.25">
      <c r="A7" s="42" t="s">
        <v>37</v>
      </c>
      <c r="B7" s="42" t="s">
        <v>38</v>
      </c>
      <c r="C7" s="42"/>
      <c r="D7" s="42" t="s">
        <v>39</v>
      </c>
      <c r="E7" s="52" t="str">
        <f t="shared" si="0"/>
        <v>FAOPPROG</v>
      </c>
      <c r="F7" s="42" t="s">
        <v>40</v>
      </c>
      <c r="G7" s="52" t="str">
        <f t="shared" si="1"/>
        <v>P060FAOP</v>
      </c>
      <c r="H7" s="42" t="s">
        <v>41</v>
      </c>
      <c r="I7" s="42" t="s">
        <v>63</v>
      </c>
      <c r="J7" s="52" t="e">
        <f>CONCATENATE("ELEM",LEFT(#REF!,2))</f>
        <v>#REF!</v>
      </c>
      <c r="K7" s="92" t="s">
        <v>64</v>
      </c>
      <c r="L7" s="93" t="s">
        <v>44</v>
      </c>
      <c r="M7" s="92" t="s">
        <v>64</v>
      </c>
      <c r="N7" s="92">
        <v>60</v>
      </c>
      <c r="O7" s="93" t="s">
        <v>65</v>
      </c>
      <c r="P7" s="93" t="s">
        <v>58</v>
      </c>
      <c r="Q7" s="93" t="s">
        <v>66</v>
      </c>
      <c r="R7" s="93">
        <v>2</v>
      </c>
      <c r="S7" s="93" t="s">
        <v>67</v>
      </c>
      <c r="T7" s="94">
        <v>900</v>
      </c>
      <c r="U7" s="95">
        <v>12</v>
      </c>
      <c r="V7" s="96">
        <f t="shared" si="2"/>
        <v>21600</v>
      </c>
      <c r="W7" s="93" t="s">
        <v>68</v>
      </c>
      <c r="X7" s="93" t="s">
        <v>69</v>
      </c>
      <c r="Y7" s="93" t="s">
        <v>70</v>
      </c>
      <c r="Z7" s="93" t="s">
        <v>71</v>
      </c>
      <c r="AA7" s="93" t="s">
        <v>70</v>
      </c>
      <c r="AB7" s="93" t="s">
        <v>71</v>
      </c>
      <c r="AC7" s="42">
        <v>3</v>
      </c>
      <c r="AD7" s="42">
        <v>3</v>
      </c>
      <c r="AE7" s="42"/>
    </row>
    <row r="8" spans="1:31" s="55" customFormat="1" ht="105" x14ac:dyDescent="0.25">
      <c r="A8" s="42" t="s">
        <v>37</v>
      </c>
      <c r="B8" s="42" t="s">
        <v>38</v>
      </c>
      <c r="C8" s="42"/>
      <c r="D8" s="42" t="s">
        <v>39</v>
      </c>
      <c r="E8" s="52" t="str">
        <f t="shared" si="0"/>
        <v>FAOPPROG</v>
      </c>
      <c r="F8" s="42" t="s">
        <v>40</v>
      </c>
      <c r="G8" s="52" t="str">
        <f t="shared" si="1"/>
        <v>P060FAOP</v>
      </c>
      <c r="H8" s="42" t="s">
        <v>41</v>
      </c>
      <c r="I8" s="42" t="s">
        <v>72</v>
      </c>
      <c r="J8" s="52" t="e">
        <f>CONCATENATE("ELEM",LEFT(#REF!,2))</f>
        <v>#REF!</v>
      </c>
      <c r="K8" s="92" t="s">
        <v>73</v>
      </c>
      <c r="L8" s="93" t="s">
        <v>44</v>
      </c>
      <c r="M8" s="92" t="s">
        <v>73</v>
      </c>
      <c r="N8" s="92">
        <v>10</v>
      </c>
      <c r="O8" s="93" t="s">
        <v>74</v>
      </c>
      <c r="P8" s="93" t="s">
        <v>46</v>
      </c>
      <c r="Q8" s="93" t="s">
        <v>75</v>
      </c>
      <c r="R8" s="93">
        <v>1</v>
      </c>
      <c r="S8" s="93" t="s">
        <v>76</v>
      </c>
      <c r="T8" s="94">
        <v>25</v>
      </c>
      <c r="U8" s="95">
        <v>1</v>
      </c>
      <c r="V8" s="96">
        <f t="shared" si="2"/>
        <v>25</v>
      </c>
      <c r="W8" s="93" t="s">
        <v>49</v>
      </c>
      <c r="X8" s="93" t="s">
        <v>50</v>
      </c>
      <c r="Y8" s="93" t="s">
        <v>77</v>
      </c>
      <c r="Z8" s="93" t="s">
        <v>78</v>
      </c>
      <c r="AA8" s="93" t="s">
        <v>77</v>
      </c>
      <c r="AB8" s="93" t="s">
        <v>78</v>
      </c>
      <c r="AC8" s="42"/>
      <c r="AD8" s="42"/>
      <c r="AE8" s="42"/>
    </row>
    <row r="9" spans="1:31" s="55" customFormat="1" ht="120" x14ac:dyDescent="0.25">
      <c r="A9" s="42" t="s">
        <v>37</v>
      </c>
      <c r="B9" s="42" t="s">
        <v>38</v>
      </c>
      <c r="C9" s="42"/>
      <c r="D9" s="42" t="s">
        <v>39</v>
      </c>
      <c r="E9" s="52" t="str">
        <f t="shared" si="0"/>
        <v>FAOPPROG</v>
      </c>
      <c r="F9" s="42" t="s">
        <v>40</v>
      </c>
      <c r="G9" s="52" t="str">
        <f t="shared" si="1"/>
        <v>P060FAOP</v>
      </c>
      <c r="H9" s="42" t="s">
        <v>41</v>
      </c>
      <c r="I9" s="42" t="s">
        <v>72</v>
      </c>
      <c r="J9" s="52" t="e">
        <f>CONCATENATE("ELEM",LEFT(#REF!,2))</f>
        <v>#REF!</v>
      </c>
      <c r="K9" s="92" t="s">
        <v>73</v>
      </c>
      <c r="L9" s="93" t="s">
        <v>44</v>
      </c>
      <c r="M9" s="92" t="s">
        <v>73</v>
      </c>
      <c r="N9" s="92">
        <v>60</v>
      </c>
      <c r="O9" s="93" t="s">
        <v>79</v>
      </c>
      <c r="P9" s="93" t="s">
        <v>46</v>
      </c>
      <c r="Q9" s="93" t="s">
        <v>80</v>
      </c>
      <c r="R9" s="93">
        <v>100</v>
      </c>
      <c r="S9" s="93" t="s">
        <v>81</v>
      </c>
      <c r="T9" s="94">
        <v>8</v>
      </c>
      <c r="U9" s="95">
        <v>1</v>
      </c>
      <c r="V9" s="96">
        <f t="shared" si="2"/>
        <v>800</v>
      </c>
      <c r="W9" s="93" t="s">
        <v>68</v>
      </c>
      <c r="X9" s="93" t="s">
        <v>82</v>
      </c>
      <c r="Y9" s="93" t="s">
        <v>83</v>
      </c>
      <c r="Z9" s="93" t="s">
        <v>84</v>
      </c>
      <c r="AA9" s="93" t="s">
        <v>83</v>
      </c>
      <c r="AB9" s="93" t="s">
        <v>84</v>
      </c>
      <c r="AC9" s="42">
        <v>1</v>
      </c>
      <c r="AD9" s="42">
        <v>2</v>
      </c>
      <c r="AE9" s="42"/>
    </row>
    <row r="10" spans="1:31" s="55" customFormat="1" ht="240" x14ac:dyDescent="0.25">
      <c r="A10" s="42" t="s">
        <v>37</v>
      </c>
      <c r="B10" s="42" t="s">
        <v>38</v>
      </c>
      <c r="C10" s="42"/>
      <c r="D10" s="42" t="s">
        <v>39</v>
      </c>
      <c r="E10" s="52" t="str">
        <f t="shared" si="0"/>
        <v>FAOPPROG</v>
      </c>
      <c r="F10" s="42" t="s">
        <v>40</v>
      </c>
      <c r="G10" s="52" t="str">
        <f t="shared" si="1"/>
        <v>P060FAOP</v>
      </c>
      <c r="H10" s="42" t="s">
        <v>41</v>
      </c>
      <c r="I10" s="42" t="s">
        <v>85</v>
      </c>
      <c r="J10" s="52" t="e">
        <f>CONCATENATE("ELEM",LEFT(#REF!,2))</f>
        <v>#REF!</v>
      </c>
      <c r="K10" s="92" t="s">
        <v>86</v>
      </c>
      <c r="L10" s="93" t="s">
        <v>44</v>
      </c>
      <c r="M10" s="92" t="s">
        <v>86</v>
      </c>
      <c r="N10" s="92">
        <v>60</v>
      </c>
      <c r="O10" s="93" t="s">
        <v>87</v>
      </c>
      <c r="P10" s="93" t="s">
        <v>58</v>
      </c>
      <c r="Q10" s="93" t="s">
        <v>88</v>
      </c>
      <c r="R10" s="93">
        <v>1</v>
      </c>
      <c r="S10" s="93" t="s">
        <v>89</v>
      </c>
      <c r="T10" s="94">
        <v>500</v>
      </c>
      <c r="U10" s="95">
        <v>1</v>
      </c>
      <c r="V10" s="96">
        <f t="shared" si="2"/>
        <v>500</v>
      </c>
      <c r="W10" s="93" t="s">
        <v>68</v>
      </c>
      <c r="X10" s="93" t="s">
        <v>82</v>
      </c>
      <c r="Y10" s="93" t="s">
        <v>90</v>
      </c>
      <c r="Z10" s="93" t="s">
        <v>91</v>
      </c>
      <c r="AA10" s="93" t="s">
        <v>90</v>
      </c>
      <c r="AB10" s="93" t="s">
        <v>91</v>
      </c>
      <c r="AC10" s="42">
        <v>1</v>
      </c>
      <c r="AD10" s="42">
        <v>2</v>
      </c>
      <c r="AE10" s="42"/>
    </row>
    <row r="11" spans="1:31" s="55" customFormat="1" ht="90" x14ac:dyDescent="0.25">
      <c r="A11" s="42" t="s">
        <v>37</v>
      </c>
      <c r="B11" s="42" t="s">
        <v>38</v>
      </c>
      <c r="C11" s="42"/>
      <c r="D11" s="42" t="s">
        <v>39</v>
      </c>
      <c r="E11" s="52" t="str">
        <f t="shared" si="0"/>
        <v>FAOPPROG</v>
      </c>
      <c r="F11" s="42" t="s">
        <v>40</v>
      </c>
      <c r="G11" s="52" t="str">
        <f t="shared" si="1"/>
        <v>P060FAOP</v>
      </c>
      <c r="H11" s="42" t="s">
        <v>41</v>
      </c>
      <c r="I11" s="42" t="s">
        <v>92</v>
      </c>
      <c r="J11" s="52" t="e">
        <f>CONCATENATE("ELEM",LEFT(#REF!,2))</f>
        <v>#REF!</v>
      </c>
      <c r="K11" s="92" t="s">
        <v>93</v>
      </c>
      <c r="L11" s="93" t="s">
        <v>94</v>
      </c>
      <c r="M11" s="92" t="s">
        <v>93</v>
      </c>
      <c r="N11" s="92">
        <v>10</v>
      </c>
      <c r="O11" s="93" t="s">
        <v>95</v>
      </c>
      <c r="P11" s="93" t="s">
        <v>58</v>
      </c>
      <c r="Q11" s="93" t="s">
        <v>88</v>
      </c>
      <c r="R11" s="93">
        <v>1</v>
      </c>
      <c r="S11" s="93" t="s">
        <v>96</v>
      </c>
      <c r="T11" s="94">
        <v>5000</v>
      </c>
      <c r="U11" s="95">
        <v>1</v>
      </c>
      <c r="V11" s="96">
        <f t="shared" si="2"/>
        <v>5000</v>
      </c>
      <c r="W11" s="93" t="s">
        <v>68</v>
      </c>
      <c r="X11" s="93" t="s">
        <v>69</v>
      </c>
      <c r="Y11" s="93" t="s">
        <v>97</v>
      </c>
      <c r="Z11" s="93" t="s">
        <v>98</v>
      </c>
      <c r="AA11" s="93" t="s">
        <v>97</v>
      </c>
      <c r="AB11" s="93" t="s">
        <v>98</v>
      </c>
      <c r="AC11" s="42">
        <v>3</v>
      </c>
      <c r="AD11" s="42">
        <v>3</v>
      </c>
      <c r="AE11" s="42"/>
    </row>
    <row r="12" spans="1:31" s="55" customFormat="1" ht="105" x14ac:dyDescent="0.25">
      <c r="A12" s="42" t="s">
        <v>37</v>
      </c>
      <c r="B12" s="42" t="s">
        <v>38</v>
      </c>
      <c r="C12" s="42"/>
      <c r="D12" s="42" t="s">
        <v>39</v>
      </c>
      <c r="E12" s="52" t="str">
        <f t="shared" si="0"/>
        <v>FAOPPROG</v>
      </c>
      <c r="F12" s="42" t="s">
        <v>99</v>
      </c>
      <c r="G12" s="52" t="str">
        <f t="shared" si="1"/>
        <v>P056FAOP</v>
      </c>
      <c r="H12" s="42" t="s">
        <v>100</v>
      </c>
      <c r="I12" s="42" t="s">
        <v>101</v>
      </c>
      <c r="J12" s="52" t="e">
        <f>CONCATENATE("ELEM",LEFT(#REF!,2))</f>
        <v>#REF!</v>
      </c>
      <c r="K12" s="92" t="s">
        <v>102</v>
      </c>
      <c r="L12" s="93" t="s">
        <v>44</v>
      </c>
      <c r="M12" s="92" t="s">
        <v>102</v>
      </c>
      <c r="N12" s="92">
        <v>10</v>
      </c>
      <c r="O12" s="93" t="s">
        <v>103</v>
      </c>
      <c r="P12" s="93" t="s">
        <v>46</v>
      </c>
      <c r="Q12" s="93" t="s">
        <v>104</v>
      </c>
      <c r="R12" s="93">
        <v>1</v>
      </c>
      <c r="S12" s="93" t="s">
        <v>105</v>
      </c>
      <c r="T12" s="94">
        <v>2000</v>
      </c>
      <c r="U12" s="95">
        <v>12</v>
      </c>
      <c r="V12" s="96">
        <f t="shared" si="2"/>
        <v>24000</v>
      </c>
      <c r="W12" s="93" t="s">
        <v>49</v>
      </c>
      <c r="X12" s="93" t="s">
        <v>106</v>
      </c>
      <c r="Y12" s="93" t="s">
        <v>107</v>
      </c>
      <c r="Z12" s="93" t="s">
        <v>108</v>
      </c>
      <c r="AA12" s="93" t="s">
        <v>107</v>
      </c>
      <c r="AB12" s="93" t="s">
        <v>108</v>
      </c>
      <c r="AC12" s="42"/>
      <c r="AD12" s="42"/>
      <c r="AE12" s="42"/>
    </row>
    <row r="13" spans="1:31" s="55" customFormat="1" ht="120" x14ac:dyDescent="0.25">
      <c r="A13" s="42" t="s">
        <v>37</v>
      </c>
      <c r="B13" s="42" t="s">
        <v>38</v>
      </c>
      <c r="C13" s="42"/>
      <c r="D13" s="42" t="s">
        <v>39</v>
      </c>
      <c r="E13" s="52" t="str">
        <f t="shared" si="0"/>
        <v>FAOPPROG</v>
      </c>
      <c r="F13" s="42" t="s">
        <v>99</v>
      </c>
      <c r="G13" s="52" t="str">
        <f t="shared" si="1"/>
        <v>P056FAOP</v>
      </c>
      <c r="H13" s="42" t="s">
        <v>100</v>
      </c>
      <c r="I13" s="42" t="s">
        <v>101</v>
      </c>
      <c r="J13" s="52" t="e">
        <f>CONCATENATE("ELEM",LEFT(#REF!,2))</f>
        <v>#REF!</v>
      </c>
      <c r="K13" s="92" t="s">
        <v>102</v>
      </c>
      <c r="L13" s="93" t="s">
        <v>44</v>
      </c>
      <c r="M13" s="92" t="s">
        <v>102</v>
      </c>
      <c r="N13" s="92">
        <v>60</v>
      </c>
      <c r="O13" s="93" t="s">
        <v>109</v>
      </c>
      <c r="P13" s="93" t="s">
        <v>58</v>
      </c>
      <c r="Q13" s="93" t="s">
        <v>110</v>
      </c>
      <c r="R13" s="93">
        <v>1</v>
      </c>
      <c r="S13" s="93" t="s">
        <v>111</v>
      </c>
      <c r="T13" s="94">
        <v>2000</v>
      </c>
      <c r="U13" s="95">
        <v>12</v>
      </c>
      <c r="V13" s="96">
        <f t="shared" si="2"/>
        <v>24000</v>
      </c>
      <c r="W13" s="93" t="s">
        <v>49</v>
      </c>
      <c r="X13" s="93" t="s">
        <v>112</v>
      </c>
      <c r="Y13" s="93" t="s">
        <v>113</v>
      </c>
      <c r="Z13" s="93" t="s">
        <v>114</v>
      </c>
      <c r="AA13" s="93" t="s">
        <v>113</v>
      </c>
      <c r="AB13" s="93" t="s">
        <v>114</v>
      </c>
      <c r="AC13" s="42"/>
      <c r="AD13" s="42"/>
      <c r="AE13" s="42"/>
    </row>
    <row r="14" spans="1:31" s="55" customFormat="1" ht="135" x14ac:dyDescent="0.25">
      <c r="A14" s="42" t="s">
        <v>37</v>
      </c>
      <c r="B14" s="42" t="s">
        <v>38</v>
      </c>
      <c r="C14" s="42"/>
      <c r="D14" s="42" t="s">
        <v>39</v>
      </c>
      <c r="E14" s="52" t="str">
        <f t="shared" si="0"/>
        <v>FAOPPROG</v>
      </c>
      <c r="F14" s="42" t="s">
        <v>99</v>
      </c>
      <c r="G14" s="52" t="str">
        <f t="shared" si="1"/>
        <v>P056FAOP</v>
      </c>
      <c r="H14" s="42" t="s">
        <v>100</v>
      </c>
      <c r="I14" s="42" t="s">
        <v>115</v>
      </c>
      <c r="J14" s="52" t="e">
        <f>CONCATENATE("ELEM",LEFT(#REF!,2))</f>
        <v>#REF!</v>
      </c>
      <c r="K14" s="92" t="s">
        <v>116</v>
      </c>
      <c r="L14" s="93" t="s">
        <v>44</v>
      </c>
      <c r="M14" s="92" t="s">
        <v>116</v>
      </c>
      <c r="N14" s="92">
        <v>10</v>
      </c>
      <c r="O14" s="93" t="s">
        <v>117</v>
      </c>
      <c r="P14" s="93" t="s">
        <v>46</v>
      </c>
      <c r="Q14" s="93" t="s">
        <v>118</v>
      </c>
      <c r="R14" s="93">
        <v>3</v>
      </c>
      <c r="S14" s="93" t="s">
        <v>119</v>
      </c>
      <c r="T14" s="94">
        <v>1500</v>
      </c>
      <c r="U14" s="95">
        <v>12</v>
      </c>
      <c r="V14" s="96">
        <f t="shared" si="2"/>
        <v>54000</v>
      </c>
      <c r="W14" s="93" t="s">
        <v>49</v>
      </c>
      <c r="X14" s="93" t="s">
        <v>120</v>
      </c>
      <c r="Y14" s="93" t="s">
        <v>121</v>
      </c>
      <c r="Z14" s="93" t="s">
        <v>122</v>
      </c>
      <c r="AA14" s="93" t="s">
        <v>121</v>
      </c>
      <c r="AB14" s="93" t="s">
        <v>122</v>
      </c>
      <c r="AC14" s="42"/>
      <c r="AD14" s="42"/>
      <c r="AE14" s="42"/>
    </row>
    <row r="15" spans="1:31" s="55" customFormat="1" ht="105" x14ac:dyDescent="0.25">
      <c r="A15" s="42" t="s">
        <v>37</v>
      </c>
      <c r="B15" s="42" t="s">
        <v>38</v>
      </c>
      <c r="C15" s="42"/>
      <c r="D15" s="42" t="s">
        <v>39</v>
      </c>
      <c r="E15" s="52" t="str">
        <f t="shared" si="0"/>
        <v>FAOPPROG</v>
      </c>
      <c r="F15" s="42" t="s">
        <v>99</v>
      </c>
      <c r="G15" s="52" t="str">
        <f t="shared" si="1"/>
        <v>P056FAOP</v>
      </c>
      <c r="H15" s="42" t="s">
        <v>100</v>
      </c>
      <c r="I15" s="42" t="s">
        <v>115</v>
      </c>
      <c r="J15" s="52" t="e">
        <f>CONCATENATE("ELEM",LEFT(#REF!,2))</f>
        <v>#REF!</v>
      </c>
      <c r="K15" s="92" t="s">
        <v>116</v>
      </c>
      <c r="L15" s="93" t="s">
        <v>44</v>
      </c>
      <c r="M15" s="92" t="s">
        <v>116</v>
      </c>
      <c r="N15" s="92">
        <v>60</v>
      </c>
      <c r="O15" s="93" t="s">
        <v>117</v>
      </c>
      <c r="P15" s="93" t="s">
        <v>58</v>
      </c>
      <c r="Q15" s="93" t="s">
        <v>118</v>
      </c>
      <c r="R15" s="93">
        <v>2</v>
      </c>
      <c r="S15" s="93" t="s">
        <v>119</v>
      </c>
      <c r="T15" s="94">
        <v>1500</v>
      </c>
      <c r="U15" s="95">
        <v>12</v>
      </c>
      <c r="V15" s="96">
        <f t="shared" si="2"/>
        <v>36000</v>
      </c>
      <c r="W15" s="93" t="s">
        <v>68</v>
      </c>
      <c r="X15" s="93" t="s">
        <v>123</v>
      </c>
      <c r="Y15" s="93" t="s">
        <v>124</v>
      </c>
      <c r="Z15" s="93" t="s">
        <v>125</v>
      </c>
      <c r="AA15" s="93" t="s">
        <v>124</v>
      </c>
      <c r="AB15" s="93" t="s">
        <v>125</v>
      </c>
      <c r="AC15" s="42">
        <v>2</v>
      </c>
      <c r="AD15" s="42">
        <v>1</v>
      </c>
      <c r="AE15" s="43"/>
    </row>
    <row r="16" spans="1:31" s="55" customFormat="1" x14ac:dyDescent="0.25">
      <c r="A16" s="52"/>
      <c r="B16" s="52"/>
      <c r="C16" s="52"/>
      <c r="D16" s="52"/>
      <c r="E16" s="52" t="str">
        <f t="shared" si="0"/>
        <v>PROG</v>
      </c>
      <c r="F16" s="52"/>
      <c r="G16" s="52" t="str">
        <f t="shared" si="1"/>
        <v>P</v>
      </c>
      <c r="H16" s="52"/>
      <c r="I16" s="52"/>
      <c r="J16" s="52" t="str">
        <f t="shared" ref="J16:J66" si="3">CONCATENATE("ELEM",LEFT(I16,2))</f>
        <v>ELEM</v>
      </c>
      <c r="K16" s="52"/>
      <c r="L16" s="87"/>
      <c r="M16" s="52" t="e">
        <v>#N/A</v>
      </c>
      <c r="N16" s="52"/>
      <c r="O16" s="52"/>
      <c r="P16" s="52"/>
      <c r="Q16" s="52"/>
      <c r="R16" s="52"/>
      <c r="S16" s="52"/>
      <c r="T16" s="52"/>
      <c r="U16" s="52"/>
      <c r="V16" s="52"/>
      <c r="W16" s="53"/>
      <c r="X16" s="23"/>
      <c r="Y16" s="52"/>
      <c r="Z16" s="52"/>
      <c r="AA16" s="52"/>
      <c r="AB16" s="52"/>
      <c r="AC16" s="22"/>
      <c r="AD16" s="22"/>
      <c r="AE16" s="22"/>
    </row>
    <row r="17" spans="1:31" s="55" customFormat="1" x14ac:dyDescent="0.25">
      <c r="A17" s="52"/>
      <c r="B17" s="52"/>
      <c r="C17" s="52"/>
      <c r="D17" s="52"/>
      <c r="E17" s="52" t="str">
        <f t="shared" si="0"/>
        <v>PROG</v>
      </c>
      <c r="F17" s="52"/>
      <c r="G17" s="52" t="str">
        <f t="shared" si="1"/>
        <v>P</v>
      </c>
      <c r="H17" s="52"/>
      <c r="I17" s="52"/>
      <c r="J17" s="52" t="str">
        <f t="shared" si="3"/>
        <v>ELEM</v>
      </c>
      <c r="K17" s="52"/>
      <c r="L17" s="87"/>
      <c r="M17" s="52" t="e">
        <v>#N/A</v>
      </c>
      <c r="N17" s="52"/>
      <c r="O17" s="52"/>
      <c r="P17" s="52"/>
      <c r="Q17" s="52"/>
      <c r="R17" s="52"/>
      <c r="S17" s="52"/>
      <c r="T17" s="52"/>
      <c r="U17" s="52"/>
      <c r="V17" s="52"/>
      <c r="W17" s="53"/>
      <c r="X17" s="23"/>
      <c r="Y17" s="52"/>
      <c r="Z17" s="52"/>
      <c r="AA17" s="52"/>
      <c r="AB17" s="52"/>
      <c r="AC17" s="52"/>
      <c r="AD17" s="52"/>
      <c r="AE17" s="52"/>
    </row>
    <row r="18" spans="1:31" s="55" customFormat="1" x14ac:dyDescent="0.25">
      <c r="A18" s="52"/>
      <c r="B18" s="52"/>
      <c r="C18" s="52"/>
      <c r="D18" s="52"/>
      <c r="E18" s="52" t="str">
        <f t="shared" si="0"/>
        <v>PROG</v>
      </c>
      <c r="F18" s="52"/>
      <c r="G18" s="52" t="str">
        <f t="shared" si="1"/>
        <v>P</v>
      </c>
      <c r="H18" s="52"/>
      <c r="I18" s="52"/>
      <c r="J18" s="52" t="str">
        <f t="shared" si="3"/>
        <v>ELEM</v>
      </c>
      <c r="K18" s="52"/>
      <c r="L18" s="87"/>
      <c r="M18" s="52" t="e">
        <v>#N/A</v>
      </c>
      <c r="N18" s="52"/>
      <c r="O18" s="52"/>
      <c r="P18" s="52"/>
      <c r="Q18" s="52"/>
      <c r="R18" s="52"/>
      <c r="S18" s="52"/>
      <c r="T18" s="52"/>
      <c r="U18" s="52"/>
      <c r="V18" s="52"/>
      <c r="W18" s="53"/>
      <c r="X18" s="23"/>
      <c r="Y18" s="52"/>
      <c r="Z18" s="52"/>
      <c r="AA18" s="52"/>
      <c r="AB18" s="52"/>
      <c r="AC18" s="52"/>
      <c r="AD18" s="52"/>
      <c r="AE18" s="52"/>
    </row>
    <row r="19" spans="1:31" s="55" customFormat="1" x14ac:dyDescent="0.25">
      <c r="A19" s="52"/>
      <c r="B19" s="52"/>
      <c r="C19" s="52"/>
      <c r="D19" s="52"/>
      <c r="E19" s="52" t="str">
        <f t="shared" si="0"/>
        <v>PROG</v>
      </c>
      <c r="F19" s="52"/>
      <c r="G19" s="52" t="str">
        <f t="shared" si="1"/>
        <v>P</v>
      </c>
      <c r="H19" s="52"/>
      <c r="I19" s="52"/>
      <c r="J19" s="52" t="str">
        <f t="shared" si="3"/>
        <v>ELEM</v>
      </c>
      <c r="K19" s="52"/>
      <c r="L19" s="87"/>
      <c r="M19" s="52" t="e">
        <v>#N/A</v>
      </c>
      <c r="N19" s="52"/>
      <c r="O19" s="52"/>
      <c r="P19" s="52"/>
      <c r="Q19" s="52"/>
      <c r="R19" s="52"/>
      <c r="S19" s="52"/>
      <c r="T19" s="52"/>
      <c r="U19" s="52"/>
      <c r="V19" s="52"/>
      <c r="W19" s="53"/>
      <c r="X19" s="23"/>
      <c r="Y19" s="52"/>
      <c r="Z19" s="52"/>
      <c r="AA19" s="52"/>
      <c r="AB19" s="52"/>
      <c r="AC19" s="52"/>
      <c r="AD19" s="52"/>
      <c r="AE19" s="52"/>
    </row>
    <row r="20" spans="1:31" s="55" customFormat="1" x14ac:dyDescent="0.25">
      <c r="A20" s="52"/>
      <c r="B20" s="52"/>
      <c r="C20" s="52"/>
      <c r="D20" s="52"/>
      <c r="E20" s="52" t="str">
        <f t="shared" si="0"/>
        <v>PROG</v>
      </c>
      <c r="F20" s="52"/>
      <c r="G20" s="52" t="str">
        <f t="shared" si="1"/>
        <v>P</v>
      </c>
      <c r="H20" s="52"/>
      <c r="I20" s="52"/>
      <c r="J20" s="52" t="str">
        <f t="shared" si="3"/>
        <v>ELEM</v>
      </c>
      <c r="K20" s="52"/>
      <c r="L20" s="87"/>
      <c r="M20" s="52" t="e">
        <v>#N/A</v>
      </c>
      <c r="N20" s="52"/>
      <c r="O20" s="52"/>
      <c r="P20" s="52"/>
      <c r="Q20" s="52"/>
      <c r="R20" s="52"/>
      <c r="S20" s="52"/>
      <c r="T20" s="52"/>
      <c r="U20" s="52"/>
      <c r="V20" s="52"/>
      <c r="W20" s="53"/>
      <c r="X20" s="23"/>
      <c r="Y20" s="52"/>
      <c r="Z20" s="52"/>
      <c r="AA20" s="52"/>
      <c r="AB20" s="52"/>
      <c r="AC20" s="52"/>
      <c r="AD20" s="52"/>
      <c r="AE20" s="52"/>
    </row>
    <row r="21" spans="1:31" s="55" customFormat="1" x14ac:dyDescent="0.25">
      <c r="A21" s="52"/>
      <c r="B21" s="52"/>
      <c r="C21" s="52"/>
      <c r="D21" s="52"/>
      <c r="E21" s="52" t="str">
        <f t="shared" si="0"/>
        <v>PROG</v>
      </c>
      <c r="F21" s="52"/>
      <c r="G21" s="52" t="str">
        <f t="shared" si="1"/>
        <v>P</v>
      </c>
      <c r="H21" s="52"/>
      <c r="I21" s="52"/>
      <c r="J21" s="52" t="str">
        <f t="shared" si="3"/>
        <v>ELEM</v>
      </c>
      <c r="K21" s="52"/>
      <c r="L21" s="87"/>
      <c r="M21" s="52" t="e">
        <v>#N/A</v>
      </c>
      <c r="N21" s="52"/>
      <c r="O21" s="52"/>
      <c r="P21" s="52"/>
      <c r="Q21" s="52"/>
      <c r="R21" s="52"/>
      <c r="S21" s="52"/>
      <c r="T21" s="52"/>
      <c r="U21" s="52"/>
      <c r="V21" s="52"/>
      <c r="W21" s="53"/>
      <c r="X21" s="23"/>
      <c r="Y21" s="52"/>
      <c r="Z21" s="52"/>
      <c r="AA21" s="52"/>
      <c r="AB21" s="52"/>
      <c r="AC21" s="52"/>
      <c r="AD21" s="52"/>
      <c r="AE21" s="52"/>
    </row>
    <row r="22" spans="1:31" s="55" customFormat="1" x14ac:dyDescent="0.25">
      <c r="A22" s="52"/>
      <c r="B22" s="52"/>
      <c r="C22" s="52"/>
      <c r="D22" s="52"/>
      <c r="E22" s="52" t="str">
        <f t="shared" si="0"/>
        <v>PROG</v>
      </c>
      <c r="F22" s="52"/>
      <c r="G22" s="52" t="str">
        <f t="shared" si="1"/>
        <v>P</v>
      </c>
      <c r="H22" s="52"/>
      <c r="I22" s="52"/>
      <c r="J22" s="52" t="str">
        <f t="shared" si="3"/>
        <v>ELEM</v>
      </c>
      <c r="K22" s="52"/>
      <c r="L22" s="87"/>
      <c r="M22" s="52" t="e">
        <v>#N/A</v>
      </c>
      <c r="N22" s="52"/>
      <c r="O22" s="52"/>
      <c r="P22" s="52"/>
      <c r="Q22" s="52"/>
      <c r="R22" s="52"/>
      <c r="S22" s="52"/>
      <c r="T22" s="52"/>
      <c r="U22" s="52"/>
      <c r="V22" s="52"/>
      <c r="W22" s="53"/>
      <c r="X22" s="23"/>
      <c r="Y22" s="52"/>
      <c r="Z22" s="52"/>
      <c r="AA22" s="52"/>
      <c r="AB22" s="52"/>
      <c r="AC22" s="52"/>
      <c r="AD22" s="52"/>
      <c r="AE22" s="52"/>
    </row>
    <row r="23" spans="1:31" s="55" customFormat="1" x14ac:dyDescent="0.25">
      <c r="A23" s="52"/>
      <c r="B23" s="52"/>
      <c r="C23" s="52"/>
      <c r="D23" s="52"/>
      <c r="E23" s="52" t="str">
        <f t="shared" si="0"/>
        <v>PROG</v>
      </c>
      <c r="F23" s="52"/>
      <c r="G23" s="52" t="str">
        <f t="shared" si="1"/>
        <v>P</v>
      </c>
      <c r="H23" s="52"/>
      <c r="I23" s="52"/>
      <c r="J23" s="52" t="str">
        <f t="shared" si="3"/>
        <v>ELEM</v>
      </c>
      <c r="K23" s="52"/>
      <c r="L23" s="87"/>
      <c r="M23" s="52" t="e">
        <v>#N/A</v>
      </c>
      <c r="N23" s="52"/>
      <c r="O23" s="52"/>
      <c r="P23" s="52"/>
      <c r="Q23" s="52"/>
      <c r="R23" s="52"/>
      <c r="S23" s="52"/>
      <c r="T23" s="52"/>
      <c r="U23" s="52"/>
      <c r="V23" s="52"/>
      <c r="W23" s="53"/>
      <c r="X23" s="23"/>
      <c r="Y23" s="52"/>
      <c r="Z23" s="52"/>
      <c r="AA23" s="52"/>
      <c r="AB23" s="52"/>
      <c r="AC23" s="52"/>
      <c r="AD23" s="52"/>
      <c r="AE23" s="52"/>
    </row>
    <row r="24" spans="1:31" s="55" customFormat="1" x14ac:dyDescent="0.25">
      <c r="A24" s="52"/>
      <c r="B24" s="52"/>
      <c r="C24" s="52"/>
      <c r="D24" s="52"/>
      <c r="E24" s="52" t="str">
        <f t="shared" si="0"/>
        <v>PROG</v>
      </c>
      <c r="F24" s="52"/>
      <c r="G24" s="52" t="str">
        <f t="shared" si="1"/>
        <v>P</v>
      </c>
      <c r="H24" s="52"/>
      <c r="I24" s="52"/>
      <c r="J24" s="52" t="str">
        <f t="shared" si="3"/>
        <v>ELEM</v>
      </c>
      <c r="K24" s="52"/>
      <c r="L24" s="87"/>
      <c r="M24" s="52" t="e">
        <v>#N/A</v>
      </c>
      <c r="N24" s="52"/>
      <c r="O24" s="52"/>
      <c r="P24" s="52"/>
      <c r="Q24" s="52"/>
      <c r="R24" s="52"/>
      <c r="S24" s="52"/>
      <c r="T24" s="52"/>
      <c r="U24" s="52"/>
      <c r="V24" s="52"/>
      <c r="W24" s="53"/>
      <c r="X24" s="23"/>
      <c r="Y24" s="52"/>
      <c r="Z24" s="52"/>
      <c r="AA24" s="52"/>
      <c r="AB24" s="52"/>
      <c r="AC24" s="52"/>
      <c r="AD24" s="52"/>
      <c r="AE24" s="52"/>
    </row>
    <row r="25" spans="1:31" s="55" customFormat="1" x14ac:dyDescent="0.25">
      <c r="A25" s="52"/>
      <c r="B25" s="52"/>
      <c r="C25" s="52"/>
      <c r="D25" s="52"/>
      <c r="E25" s="52" t="str">
        <f t="shared" si="0"/>
        <v>PROG</v>
      </c>
      <c r="F25" s="52"/>
      <c r="G25" s="52" t="str">
        <f t="shared" si="1"/>
        <v>P</v>
      </c>
      <c r="H25" s="52"/>
      <c r="I25" s="52"/>
      <c r="J25" s="52" t="str">
        <f t="shared" si="3"/>
        <v>ELEM</v>
      </c>
      <c r="K25" s="52"/>
      <c r="L25" s="87"/>
      <c r="M25" s="52" t="e">
        <v>#N/A</v>
      </c>
      <c r="N25" s="52"/>
      <c r="O25" s="52"/>
      <c r="P25" s="52"/>
      <c r="Q25" s="52"/>
      <c r="R25" s="52"/>
      <c r="S25" s="52"/>
      <c r="T25" s="52"/>
      <c r="U25" s="52"/>
      <c r="V25" s="52"/>
      <c r="W25" s="53"/>
      <c r="X25" s="23"/>
      <c r="Y25" s="52"/>
      <c r="Z25" s="52"/>
      <c r="AA25" s="52"/>
      <c r="AB25" s="52"/>
      <c r="AC25" s="52"/>
      <c r="AD25" s="52"/>
      <c r="AE25" s="52"/>
    </row>
    <row r="26" spans="1:31" s="55" customFormat="1" x14ac:dyDescent="0.25">
      <c r="A26" s="52"/>
      <c r="B26" s="52"/>
      <c r="C26" s="52"/>
      <c r="D26" s="52"/>
      <c r="E26" s="52" t="str">
        <f t="shared" si="0"/>
        <v>PROG</v>
      </c>
      <c r="F26" s="52"/>
      <c r="G26" s="52" t="str">
        <f t="shared" si="1"/>
        <v>P</v>
      </c>
      <c r="H26" s="52"/>
      <c r="I26" s="52"/>
      <c r="J26" s="52" t="str">
        <f t="shared" si="3"/>
        <v>ELEM</v>
      </c>
      <c r="K26" s="52"/>
      <c r="L26" s="87"/>
      <c r="M26" s="52" t="e">
        <v>#N/A</v>
      </c>
      <c r="N26" s="52"/>
      <c r="O26" s="52"/>
      <c r="P26" s="52"/>
      <c r="Q26" s="52"/>
      <c r="R26" s="52"/>
      <c r="S26" s="52"/>
      <c r="T26" s="52"/>
      <c r="U26" s="52"/>
      <c r="V26" s="52"/>
      <c r="W26" s="53"/>
      <c r="X26" s="23"/>
      <c r="Y26" s="52"/>
      <c r="Z26" s="52"/>
      <c r="AA26" s="52"/>
      <c r="AB26" s="52"/>
      <c r="AC26" s="52"/>
      <c r="AD26" s="52"/>
      <c r="AE26" s="52"/>
    </row>
    <row r="27" spans="1:31" s="55" customFormat="1" x14ac:dyDescent="0.25">
      <c r="A27" s="52"/>
      <c r="B27" s="52"/>
      <c r="C27" s="52"/>
      <c r="D27" s="52"/>
      <c r="E27" s="52" t="str">
        <f t="shared" si="0"/>
        <v>PROG</v>
      </c>
      <c r="F27" s="52"/>
      <c r="G27" s="52" t="str">
        <f t="shared" si="1"/>
        <v>P</v>
      </c>
      <c r="H27" s="52"/>
      <c r="I27" s="52"/>
      <c r="J27" s="52" t="str">
        <f t="shared" si="3"/>
        <v>ELEM</v>
      </c>
      <c r="K27" s="52"/>
      <c r="L27" s="87"/>
      <c r="M27" s="52" t="e">
        <v>#N/A</v>
      </c>
      <c r="N27" s="52"/>
      <c r="O27" s="52"/>
      <c r="P27" s="52"/>
      <c r="Q27" s="52"/>
      <c r="R27" s="52"/>
      <c r="S27" s="52"/>
      <c r="T27" s="52"/>
      <c r="U27" s="52"/>
      <c r="V27" s="52"/>
      <c r="W27" s="53"/>
      <c r="X27" s="23"/>
      <c r="Y27" s="52"/>
      <c r="Z27" s="52"/>
      <c r="AA27" s="52"/>
      <c r="AB27" s="52"/>
      <c r="AC27" s="52"/>
      <c r="AD27" s="52"/>
      <c r="AE27" s="52"/>
    </row>
    <row r="28" spans="1:31" s="55" customFormat="1" x14ac:dyDescent="0.25">
      <c r="A28" s="52"/>
      <c r="B28" s="52"/>
      <c r="C28" s="52"/>
      <c r="D28" s="52"/>
      <c r="E28" s="52" t="str">
        <f t="shared" si="0"/>
        <v>PROG</v>
      </c>
      <c r="F28" s="52"/>
      <c r="G28" s="52" t="str">
        <f t="shared" si="1"/>
        <v>P</v>
      </c>
      <c r="H28" s="52"/>
      <c r="I28" s="52"/>
      <c r="J28" s="52" t="str">
        <f t="shared" si="3"/>
        <v>ELEM</v>
      </c>
      <c r="K28" s="52"/>
      <c r="L28" s="87"/>
      <c r="M28" s="52" t="e">
        <v>#N/A</v>
      </c>
      <c r="N28" s="52"/>
      <c r="O28" s="52"/>
      <c r="P28" s="52"/>
      <c r="Q28" s="52"/>
      <c r="R28" s="52"/>
      <c r="S28" s="52"/>
      <c r="T28" s="52"/>
      <c r="U28" s="52"/>
      <c r="V28" s="52"/>
      <c r="W28" s="53"/>
      <c r="X28" s="23"/>
      <c r="Y28" s="52"/>
      <c r="Z28" s="52"/>
      <c r="AA28" s="52"/>
      <c r="AB28" s="52"/>
      <c r="AC28" s="52"/>
      <c r="AD28" s="52"/>
      <c r="AE28" s="52"/>
    </row>
    <row r="29" spans="1:31" s="55" customFormat="1" x14ac:dyDescent="0.25">
      <c r="A29" s="52"/>
      <c r="B29" s="52"/>
      <c r="C29" s="52"/>
      <c r="D29" s="52"/>
      <c r="E29" s="52" t="str">
        <f t="shared" si="0"/>
        <v>PROG</v>
      </c>
      <c r="F29" s="52"/>
      <c r="G29" s="52" t="str">
        <f t="shared" si="1"/>
        <v>P</v>
      </c>
      <c r="H29" s="52"/>
      <c r="I29" s="52"/>
      <c r="J29" s="52" t="str">
        <f t="shared" si="3"/>
        <v>ELEM</v>
      </c>
      <c r="K29" s="52"/>
      <c r="L29" s="87"/>
      <c r="M29" s="52" t="e">
        <v>#N/A</v>
      </c>
      <c r="N29" s="52"/>
      <c r="O29" s="52"/>
      <c r="P29" s="52"/>
      <c r="Q29" s="52"/>
      <c r="R29" s="52"/>
      <c r="S29" s="52"/>
      <c r="T29" s="52"/>
      <c r="U29" s="52"/>
      <c r="V29" s="52"/>
      <c r="W29" s="53"/>
      <c r="X29" s="23"/>
      <c r="Y29" s="52"/>
      <c r="Z29" s="52"/>
      <c r="AA29" s="52"/>
      <c r="AB29" s="52"/>
      <c r="AC29" s="52"/>
      <c r="AD29" s="52"/>
      <c r="AE29" s="52"/>
    </row>
    <row r="30" spans="1:31" s="55" customFormat="1" x14ac:dyDescent="0.25">
      <c r="A30" s="52"/>
      <c r="B30" s="52"/>
      <c r="C30" s="52"/>
      <c r="D30" s="52"/>
      <c r="E30" s="52" t="str">
        <f t="shared" si="0"/>
        <v>PROG</v>
      </c>
      <c r="F30" s="52"/>
      <c r="G30" s="52" t="str">
        <f t="shared" si="1"/>
        <v>P</v>
      </c>
      <c r="H30" s="52"/>
      <c r="I30" s="52"/>
      <c r="J30" s="52" t="str">
        <f t="shared" si="3"/>
        <v>ELEM</v>
      </c>
      <c r="K30" s="52"/>
      <c r="L30" s="87"/>
      <c r="M30" s="52" t="e">
        <v>#N/A</v>
      </c>
      <c r="N30" s="52"/>
      <c r="O30" s="52"/>
      <c r="P30" s="52"/>
      <c r="Q30" s="52"/>
      <c r="R30" s="52"/>
      <c r="S30" s="52"/>
      <c r="T30" s="52"/>
      <c r="U30" s="52"/>
      <c r="V30" s="52"/>
      <c r="W30" s="53"/>
      <c r="X30" s="23"/>
      <c r="Y30" s="52"/>
      <c r="Z30" s="52"/>
      <c r="AA30" s="52"/>
      <c r="AB30" s="52"/>
      <c r="AC30" s="52"/>
      <c r="AD30" s="52"/>
      <c r="AE30" s="52"/>
    </row>
    <row r="31" spans="1:31" s="55" customFormat="1" x14ac:dyDescent="0.25">
      <c r="A31" s="52"/>
      <c r="B31" s="52"/>
      <c r="C31" s="52"/>
      <c r="D31" s="52"/>
      <c r="E31" s="52" t="str">
        <f t="shared" si="0"/>
        <v>PROG</v>
      </c>
      <c r="F31" s="52"/>
      <c r="G31" s="52" t="str">
        <f t="shared" si="1"/>
        <v>P</v>
      </c>
      <c r="H31" s="52"/>
      <c r="I31" s="52"/>
      <c r="J31" s="52" t="str">
        <f t="shared" si="3"/>
        <v>ELEM</v>
      </c>
      <c r="K31" s="52"/>
      <c r="L31" s="87"/>
      <c r="M31" s="52" t="e">
        <v>#N/A</v>
      </c>
      <c r="N31" s="52"/>
      <c r="O31" s="52"/>
      <c r="P31" s="52"/>
      <c r="Q31" s="52"/>
      <c r="R31" s="52"/>
      <c r="S31" s="52"/>
      <c r="T31" s="52"/>
      <c r="U31" s="52"/>
      <c r="V31" s="52"/>
      <c r="W31" s="53"/>
      <c r="X31" s="23"/>
      <c r="Y31" s="52"/>
      <c r="Z31" s="52"/>
      <c r="AA31" s="52"/>
      <c r="AB31" s="52"/>
      <c r="AC31" s="52"/>
      <c r="AD31" s="52"/>
      <c r="AE31" s="52"/>
    </row>
    <row r="32" spans="1:31" s="55" customFormat="1" x14ac:dyDescent="0.25">
      <c r="A32" s="52"/>
      <c r="B32" s="52"/>
      <c r="C32" s="52"/>
      <c r="D32" s="52"/>
      <c r="E32" s="52" t="str">
        <f t="shared" si="0"/>
        <v>PROG</v>
      </c>
      <c r="F32" s="52"/>
      <c r="G32" s="52" t="str">
        <f t="shared" si="1"/>
        <v>P</v>
      </c>
      <c r="H32" s="52"/>
      <c r="I32" s="52"/>
      <c r="J32" s="52" t="str">
        <f t="shared" si="3"/>
        <v>ELEM</v>
      </c>
      <c r="K32" s="52"/>
      <c r="L32" s="87"/>
      <c r="M32" s="52" t="e">
        <v>#N/A</v>
      </c>
      <c r="N32" s="52"/>
      <c r="O32" s="52"/>
      <c r="P32" s="52"/>
      <c r="Q32" s="52"/>
      <c r="R32" s="52"/>
      <c r="S32" s="52"/>
      <c r="T32" s="52"/>
      <c r="U32" s="52"/>
      <c r="V32" s="52"/>
      <c r="W32" s="53"/>
      <c r="X32" s="23"/>
      <c r="Y32" s="52"/>
      <c r="Z32" s="52"/>
      <c r="AA32" s="52"/>
      <c r="AB32" s="52"/>
      <c r="AC32" s="52"/>
      <c r="AD32" s="52"/>
      <c r="AE32" s="52"/>
    </row>
    <row r="33" spans="1:31" s="55" customFormat="1" x14ac:dyDescent="0.25">
      <c r="A33" s="52"/>
      <c r="B33" s="52"/>
      <c r="C33" s="52"/>
      <c r="D33" s="52"/>
      <c r="E33" s="52" t="str">
        <f t="shared" si="0"/>
        <v>PROG</v>
      </c>
      <c r="F33" s="52"/>
      <c r="G33" s="52" t="str">
        <f t="shared" si="1"/>
        <v>P</v>
      </c>
      <c r="H33" s="52"/>
      <c r="I33" s="52"/>
      <c r="J33" s="52" t="str">
        <f t="shared" si="3"/>
        <v>ELEM</v>
      </c>
      <c r="K33" s="52"/>
      <c r="L33" s="87"/>
      <c r="M33" s="52" t="e">
        <v>#N/A</v>
      </c>
      <c r="N33" s="52"/>
      <c r="O33" s="52"/>
      <c r="P33" s="52"/>
      <c r="Q33" s="52"/>
      <c r="R33" s="52"/>
      <c r="S33" s="52"/>
      <c r="T33" s="52"/>
      <c r="U33" s="52"/>
      <c r="V33" s="52"/>
      <c r="W33" s="53"/>
      <c r="X33" s="23"/>
      <c r="Y33" s="52"/>
      <c r="Z33" s="52"/>
      <c r="AA33" s="52"/>
      <c r="AB33" s="52"/>
      <c r="AC33" s="52"/>
      <c r="AD33" s="52"/>
      <c r="AE33" s="52"/>
    </row>
    <row r="34" spans="1:31" s="55" customFormat="1" x14ac:dyDescent="0.25">
      <c r="A34" s="52"/>
      <c r="B34" s="52"/>
      <c r="C34" s="52"/>
      <c r="D34" s="52"/>
      <c r="E34" s="52" t="str">
        <f t="shared" si="0"/>
        <v>PROG</v>
      </c>
      <c r="F34" s="52"/>
      <c r="G34" s="52" t="str">
        <f t="shared" si="1"/>
        <v>P</v>
      </c>
      <c r="H34" s="52"/>
      <c r="I34" s="52"/>
      <c r="J34" s="52" t="str">
        <f t="shared" si="3"/>
        <v>ELEM</v>
      </c>
      <c r="K34" s="52"/>
      <c r="L34" s="87"/>
      <c r="M34" s="52" t="e">
        <v>#N/A</v>
      </c>
      <c r="N34" s="52"/>
      <c r="O34" s="52"/>
      <c r="P34" s="52"/>
      <c r="Q34" s="52"/>
      <c r="R34" s="52"/>
      <c r="S34" s="52"/>
      <c r="T34" s="52"/>
      <c r="U34" s="52"/>
      <c r="V34" s="52"/>
      <c r="W34" s="53"/>
      <c r="X34" s="23"/>
      <c r="Y34" s="52"/>
      <c r="Z34" s="52"/>
      <c r="AA34" s="52"/>
      <c r="AB34" s="52"/>
      <c r="AC34" s="52"/>
      <c r="AD34" s="52"/>
      <c r="AE34" s="52"/>
    </row>
    <row r="35" spans="1:31" s="55" customFormat="1" x14ac:dyDescent="0.25">
      <c r="A35" s="52"/>
      <c r="B35" s="52"/>
      <c r="C35" s="52"/>
      <c r="D35" s="52"/>
      <c r="E35" s="52" t="str">
        <f t="shared" si="0"/>
        <v>PROG</v>
      </c>
      <c r="F35" s="52"/>
      <c r="G35" s="52" t="str">
        <f t="shared" si="1"/>
        <v>P</v>
      </c>
      <c r="H35" s="52"/>
      <c r="I35" s="52"/>
      <c r="J35" s="52" t="str">
        <f t="shared" si="3"/>
        <v>ELEM</v>
      </c>
      <c r="K35" s="52"/>
      <c r="L35" s="87"/>
      <c r="M35" s="52" t="e">
        <v>#N/A</v>
      </c>
      <c r="N35" s="52"/>
      <c r="O35" s="52"/>
      <c r="P35" s="52"/>
      <c r="Q35" s="52"/>
      <c r="R35" s="52"/>
      <c r="S35" s="52"/>
      <c r="T35" s="52"/>
      <c r="U35" s="52"/>
      <c r="V35" s="52"/>
      <c r="W35" s="53"/>
      <c r="X35" s="23"/>
      <c r="Y35" s="52"/>
      <c r="Z35" s="52"/>
      <c r="AA35" s="52"/>
      <c r="AB35" s="52"/>
      <c r="AC35" s="52"/>
      <c r="AD35" s="52"/>
      <c r="AE35" s="52"/>
    </row>
    <row r="36" spans="1:31" s="55" customFormat="1" x14ac:dyDescent="0.25">
      <c r="A36" s="52"/>
      <c r="B36" s="52"/>
      <c r="C36" s="52"/>
      <c r="D36" s="52"/>
      <c r="E36" s="52" t="str">
        <f t="shared" si="0"/>
        <v>PROG</v>
      </c>
      <c r="F36" s="52"/>
      <c r="G36" s="52" t="str">
        <f t="shared" si="1"/>
        <v>P</v>
      </c>
      <c r="H36" s="52"/>
      <c r="I36" s="52"/>
      <c r="J36" s="52" t="str">
        <f t="shared" si="3"/>
        <v>ELEM</v>
      </c>
      <c r="K36" s="52"/>
      <c r="L36" s="87"/>
      <c r="M36" s="52" t="e">
        <v>#N/A</v>
      </c>
      <c r="N36" s="52"/>
      <c r="O36" s="52"/>
      <c r="P36" s="52"/>
      <c r="Q36" s="52"/>
      <c r="R36" s="52"/>
      <c r="S36" s="52"/>
      <c r="T36" s="52"/>
      <c r="U36" s="52"/>
      <c r="V36" s="52"/>
      <c r="W36" s="53"/>
      <c r="X36" s="23"/>
      <c r="Y36" s="52"/>
      <c r="Z36" s="52"/>
      <c r="AA36" s="52"/>
      <c r="AB36" s="52"/>
      <c r="AC36" s="52"/>
      <c r="AD36" s="52"/>
      <c r="AE36" s="52"/>
    </row>
    <row r="37" spans="1:31" s="55" customFormat="1" x14ac:dyDescent="0.25">
      <c r="A37" s="52"/>
      <c r="B37" s="52"/>
      <c r="C37" s="52"/>
      <c r="D37" s="52"/>
      <c r="E37" s="52" t="str">
        <f t="shared" si="0"/>
        <v>PROG</v>
      </c>
      <c r="F37" s="52"/>
      <c r="G37" s="52" t="str">
        <f t="shared" si="1"/>
        <v>P</v>
      </c>
      <c r="H37" s="52"/>
      <c r="I37" s="52"/>
      <c r="J37" s="52" t="str">
        <f t="shared" si="3"/>
        <v>ELEM</v>
      </c>
      <c r="K37" s="52"/>
      <c r="L37" s="87"/>
      <c r="M37" s="52" t="e">
        <v>#N/A</v>
      </c>
      <c r="N37" s="52"/>
      <c r="O37" s="52"/>
      <c r="P37" s="52"/>
      <c r="Q37" s="52"/>
      <c r="R37" s="52"/>
      <c r="S37" s="52"/>
      <c r="T37" s="52"/>
      <c r="U37" s="52"/>
      <c r="V37" s="52"/>
      <c r="W37" s="53"/>
      <c r="X37" s="23"/>
      <c r="Y37" s="52"/>
      <c r="Z37" s="52"/>
      <c r="AA37" s="52"/>
      <c r="AB37" s="52"/>
      <c r="AC37" s="52"/>
      <c r="AD37" s="52"/>
      <c r="AE37" s="52"/>
    </row>
    <row r="38" spans="1:31" s="55" customFormat="1" x14ac:dyDescent="0.25">
      <c r="A38" s="52"/>
      <c r="B38" s="52"/>
      <c r="C38" s="52"/>
      <c r="D38" s="52"/>
      <c r="E38" s="52" t="str">
        <f t="shared" si="0"/>
        <v>PROG</v>
      </c>
      <c r="F38" s="52"/>
      <c r="G38" s="52" t="str">
        <f t="shared" si="1"/>
        <v>P</v>
      </c>
      <c r="H38" s="52"/>
      <c r="I38" s="52"/>
      <c r="J38" s="52" t="str">
        <f t="shared" si="3"/>
        <v>ELEM</v>
      </c>
      <c r="K38" s="52"/>
      <c r="L38" s="87"/>
      <c r="M38" s="52" t="e">
        <v>#N/A</v>
      </c>
      <c r="N38" s="52"/>
      <c r="O38" s="52"/>
      <c r="P38" s="52"/>
      <c r="Q38" s="52"/>
      <c r="R38" s="52"/>
      <c r="S38" s="52"/>
      <c r="T38" s="52"/>
      <c r="U38" s="52"/>
      <c r="V38" s="52"/>
      <c r="W38" s="53"/>
      <c r="X38" s="23"/>
      <c r="Y38" s="52"/>
      <c r="Z38" s="52"/>
      <c r="AA38" s="52"/>
      <c r="AB38" s="52"/>
      <c r="AC38" s="52"/>
      <c r="AD38" s="52"/>
      <c r="AE38" s="52"/>
    </row>
    <row r="39" spans="1:31" s="55" customFormat="1" x14ac:dyDescent="0.25">
      <c r="A39" s="52"/>
      <c r="B39" s="52"/>
      <c r="C39" s="52"/>
      <c r="D39" s="52"/>
      <c r="E39" s="52" t="str">
        <f t="shared" si="0"/>
        <v>PROG</v>
      </c>
      <c r="F39" s="52"/>
      <c r="G39" s="52" t="str">
        <f t="shared" si="1"/>
        <v>P</v>
      </c>
      <c r="H39" s="52"/>
      <c r="I39" s="52"/>
      <c r="J39" s="52" t="str">
        <f t="shared" si="3"/>
        <v>ELEM</v>
      </c>
      <c r="K39" s="52"/>
      <c r="L39" s="87"/>
      <c r="M39" s="52" t="e">
        <v>#N/A</v>
      </c>
      <c r="N39" s="52"/>
      <c r="O39" s="52"/>
      <c r="P39" s="52"/>
      <c r="Q39" s="52"/>
      <c r="R39" s="52"/>
      <c r="S39" s="52"/>
      <c r="T39" s="52"/>
      <c r="U39" s="52"/>
      <c r="V39" s="52"/>
      <c r="W39" s="53"/>
      <c r="X39" s="23"/>
      <c r="Y39" s="52"/>
      <c r="Z39" s="52"/>
      <c r="AA39" s="52"/>
      <c r="AB39" s="52"/>
      <c r="AC39" s="52"/>
      <c r="AD39" s="52"/>
      <c r="AE39" s="52"/>
    </row>
    <row r="40" spans="1:31" s="55" customFormat="1" x14ac:dyDescent="0.25">
      <c r="A40" s="52"/>
      <c r="B40" s="52"/>
      <c r="C40" s="52"/>
      <c r="D40" s="52"/>
      <c r="E40" s="52" t="str">
        <f t="shared" si="0"/>
        <v>PROG</v>
      </c>
      <c r="F40" s="52"/>
      <c r="G40" s="52" t="str">
        <f t="shared" si="1"/>
        <v>P</v>
      </c>
      <c r="H40" s="52"/>
      <c r="I40" s="52"/>
      <c r="J40" s="52" t="str">
        <f t="shared" si="3"/>
        <v>ELEM</v>
      </c>
      <c r="K40" s="52"/>
      <c r="L40" s="87"/>
      <c r="M40" s="52" t="e">
        <v>#N/A</v>
      </c>
      <c r="N40" s="52"/>
      <c r="O40" s="52"/>
      <c r="P40" s="52"/>
      <c r="Q40" s="52"/>
      <c r="R40" s="52"/>
      <c r="S40" s="52"/>
      <c r="T40" s="52"/>
      <c r="U40" s="52"/>
      <c r="V40" s="52"/>
      <c r="W40" s="53"/>
      <c r="X40" s="23"/>
      <c r="Y40" s="52"/>
      <c r="Z40" s="52"/>
      <c r="AA40" s="52"/>
      <c r="AB40" s="52"/>
      <c r="AC40" s="52"/>
      <c r="AD40" s="52"/>
      <c r="AE40" s="52"/>
    </row>
    <row r="41" spans="1:31" s="55" customFormat="1" x14ac:dyDescent="0.25">
      <c r="A41" s="52"/>
      <c r="B41" s="52"/>
      <c r="C41" s="52"/>
      <c r="D41" s="52"/>
      <c r="E41" s="52" t="str">
        <f t="shared" si="0"/>
        <v>PROG</v>
      </c>
      <c r="F41" s="52"/>
      <c r="G41" s="52" t="str">
        <f t="shared" si="1"/>
        <v>P</v>
      </c>
      <c r="H41" s="52"/>
      <c r="I41" s="52"/>
      <c r="J41" s="52" t="str">
        <f t="shared" si="3"/>
        <v>ELEM</v>
      </c>
      <c r="K41" s="52"/>
      <c r="L41" s="87"/>
      <c r="M41" s="52" t="e">
        <v>#N/A</v>
      </c>
      <c r="N41" s="52"/>
      <c r="O41" s="52"/>
      <c r="P41" s="52"/>
      <c r="Q41" s="52"/>
      <c r="R41" s="52"/>
      <c r="S41" s="52"/>
      <c r="T41" s="52"/>
      <c r="U41" s="52"/>
      <c r="V41" s="52"/>
      <c r="W41" s="53"/>
      <c r="X41" s="23"/>
      <c r="Y41" s="52"/>
      <c r="Z41" s="52"/>
      <c r="AA41" s="52"/>
      <c r="AB41" s="52"/>
      <c r="AC41" s="52"/>
      <c r="AD41" s="52"/>
      <c r="AE41" s="52"/>
    </row>
    <row r="42" spans="1:31" s="55" customFormat="1" x14ac:dyDescent="0.25">
      <c r="A42" s="52"/>
      <c r="B42" s="52"/>
      <c r="C42" s="52"/>
      <c r="D42" s="52"/>
      <c r="E42" s="52" t="str">
        <f t="shared" si="0"/>
        <v>PROG</v>
      </c>
      <c r="F42" s="52"/>
      <c r="G42" s="52" t="str">
        <f t="shared" si="1"/>
        <v>P</v>
      </c>
      <c r="H42" s="52"/>
      <c r="I42" s="52"/>
      <c r="J42" s="52" t="str">
        <f t="shared" si="3"/>
        <v>ELEM</v>
      </c>
      <c r="K42" s="52"/>
      <c r="L42" s="87"/>
      <c r="M42" s="52" t="e">
        <v>#N/A</v>
      </c>
      <c r="N42" s="52"/>
      <c r="O42" s="52"/>
      <c r="P42" s="52"/>
      <c r="Q42" s="52"/>
      <c r="R42" s="52"/>
      <c r="S42" s="52"/>
      <c r="T42" s="52"/>
      <c r="U42" s="52"/>
      <c r="V42" s="52"/>
      <c r="W42" s="53"/>
      <c r="X42" s="23"/>
      <c r="Y42" s="52"/>
      <c r="Z42" s="52"/>
      <c r="AA42" s="52"/>
      <c r="AB42" s="52"/>
      <c r="AC42" s="52"/>
      <c r="AD42" s="52"/>
      <c r="AE42" s="52"/>
    </row>
    <row r="43" spans="1:31" s="55" customFormat="1" x14ac:dyDescent="0.25">
      <c r="A43" s="52"/>
      <c r="B43" s="52"/>
      <c r="C43" s="52"/>
      <c r="D43" s="52"/>
      <c r="E43" s="52" t="str">
        <f t="shared" si="0"/>
        <v>PROG</v>
      </c>
      <c r="F43" s="52"/>
      <c r="G43" s="52" t="str">
        <f t="shared" si="1"/>
        <v>P</v>
      </c>
      <c r="H43" s="52"/>
      <c r="I43" s="52"/>
      <c r="J43" s="52" t="str">
        <f t="shared" si="3"/>
        <v>ELEM</v>
      </c>
      <c r="K43" s="52"/>
      <c r="L43" s="87"/>
      <c r="M43" s="52" t="e">
        <v>#N/A</v>
      </c>
      <c r="N43" s="52"/>
      <c r="O43" s="52"/>
      <c r="P43" s="52"/>
      <c r="Q43" s="52"/>
      <c r="R43" s="52"/>
      <c r="S43" s="52"/>
      <c r="T43" s="52"/>
      <c r="U43" s="52"/>
      <c r="V43" s="52"/>
      <c r="W43" s="53"/>
      <c r="X43" s="23"/>
      <c r="Y43" s="52"/>
      <c r="Z43" s="52"/>
      <c r="AA43" s="52"/>
      <c r="AB43" s="52"/>
      <c r="AC43" s="52"/>
      <c r="AD43" s="52"/>
      <c r="AE43" s="52"/>
    </row>
    <row r="44" spans="1:31" s="55" customFormat="1" x14ac:dyDescent="0.25">
      <c r="A44" s="52"/>
      <c r="B44" s="52"/>
      <c r="C44" s="52"/>
      <c r="D44" s="52"/>
      <c r="E44" s="52" t="str">
        <f t="shared" si="0"/>
        <v>PROG</v>
      </c>
      <c r="F44" s="52"/>
      <c r="G44" s="52" t="str">
        <f t="shared" si="1"/>
        <v>P</v>
      </c>
      <c r="H44" s="52"/>
      <c r="I44" s="52"/>
      <c r="J44" s="52" t="str">
        <f t="shared" si="3"/>
        <v>ELEM</v>
      </c>
      <c r="K44" s="52"/>
      <c r="L44" s="87"/>
      <c r="M44" s="52" t="e">
        <v>#N/A</v>
      </c>
      <c r="N44" s="52"/>
      <c r="O44" s="52"/>
      <c r="P44" s="52"/>
      <c r="Q44" s="52"/>
      <c r="R44" s="52"/>
      <c r="S44" s="52"/>
      <c r="T44" s="52"/>
      <c r="U44" s="52"/>
      <c r="V44" s="52"/>
      <c r="W44" s="53"/>
      <c r="X44" s="23"/>
      <c r="Y44" s="52"/>
      <c r="Z44" s="52"/>
      <c r="AA44" s="52"/>
      <c r="AB44" s="52"/>
      <c r="AC44" s="52"/>
      <c r="AD44" s="52"/>
      <c r="AE44" s="52"/>
    </row>
    <row r="45" spans="1:31" s="55" customFormat="1" x14ac:dyDescent="0.25">
      <c r="A45" s="52"/>
      <c r="B45" s="52"/>
      <c r="C45" s="52"/>
      <c r="D45" s="52"/>
      <c r="E45" s="52" t="str">
        <f t="shared" si="0"/>
        <v>PROG</v>
      </c>
      <c r="F45" s="52"/>
      <c r="G45" s="52" t="str">
        <f t="shared" si="1"/>
        <v>P</v>
      </c>
      <c r="H45" s="52"/>
      <c r="I45" s="52"/>
      <c r="J45" s="52" t="str">
        <f t="shared" si="3"/>
        <v>ELEM</v>
      </c>
      <c r="K45" s="52"/>
      <c r="L45" s="87"/>
      <c r="M45" s="52" t="e">
        <v>#N/A</v>
      </c>
      <c r="N45" s="52"/>
      <c r="O45" s="52"/>
      <c r="P45" s="52"/>
      <c r="Q45" s="52"/>
      <c r="R45" s="52"/>
      <c r="S45" s="52"/>
      <c r="T45" s="52"/>
      <c r="U45" s="52"/>
      <c r="V45" s="52"/>
      <c r="W45" s="53"/>
      <c r="X45" s="23"/>
      <c r="Y45" s="52"/>
      <c r="Z45" s="52"/>
      <c r="AA45" s="52"/>
      <c r="AB45" s="52"/>
      <c r="AC45" s="52"/>
      <c r="AD45" s="52"/>
      <c r="AE45" s="52"/>
    </row>
    <row r="46" spans="1:31" s="55" customFormat="1" x14ac:dyDescent="0.25">
      <c r="A46" s="52"/>
      <c r="B46" s="52"/>
      <c r="C46" s="52"/>
      <c r="D46" s="52"/>
      <c r="E46" s="52" t="str">
        <f t="shared" si="0"/>
        <v>PROG</v>
      </c>
      <c r="F46" s="52"/>
      <c r="G46" s="52" t="str">
        <f t="shared" si="1"/>
        <v>P</v>
      </c>
      <c r="H46" s="52"/>
      <c r="I46" s="52"/>
      <c r="J46" s="52" t="str">
        <f t="shared" si="3"/>
        <v>ELEM</v>
      </c>
      <c r="K46" s="52"/>
      <c r="L46" s="87"/>
      <c r="M46" s="52" t="e">
        <v>#N/A</v>
      </c>
      <c r="N46" s="52"/>
      <c r="O46" s="52"/>
      <c r="P46" s="52"/>
      <c r="Q46" s="52"/>
      <c r="R46" s="52"/>
      <c r="S46" s="52"/>
      <c r="T46" s="52"/>
      <c r="U46" s="52"/>
      <c r="V46" s="52"/>
      <c r="W46" s="53"/>
      <c r="X46" s="23"/>
      <c r="Y46" s="52"/>
      <c r="Z46" s="52"/>
      <c r="AA46" s="52"/>
      <c r="AB46" s="52"/>
      <c r="AC46" s="52"/>
      <c r="AD46" s="52"/>
      <c r="AE46" s="52"/>
    </row>
    <row r="47" spans="1:31" s="55" customFormat="1" x14ac:dyDescent="0.25">
      <c r="A47" s="52"/>
      <c r="B47" s="52"/>
      <c r="C47" s="52"/>
      <c r="D47" s="52"/>
      <c r="E47" s="52" t="str">
        <f t="shared" si="0"/>
        <v>PROG</v>
      </c>
      <c r="F47" s="52"/>
      <c r="G47" s="52" t="str">
        <f t="shared" si="1"/>
        <v>P</v>
      </c>
      <c r="H47" s="52"/>
      <c r="I47" s="52"/>
      <c r="J47" s="52" t="str">
        <f t="shared" si="3"/>
        <v>ELEM</v>
      </c>
      <c r="K47" s="52"/>
      <c r="L47" s="87"/>
      <c r="M47" s="52" t="e">
        <v>#N/A</v>
      </c>
      <c r="N47" s="52"/>
      <c r="O47" s="52"/>
      <c r="P47" s="52"/>
      <c r="Q47" s="52"/>
      <c r="R47" s="52"/>
      <c r="S47" s="52"/>
      <c r="T47" s="52"/>
      <c r="U47" s="52"/>
      <c r="V47" s="52"/>
      <c r="W47" s="53"/>
      <c r="X47" s="23"/>
      <c r="Y47" s="52"/>
      <c r="Z47" s="52"/>
      <c r="AA47" s="52"/>
      <c r="AB47" s="52"/>
      <c r="AC47" s="52"/>
      <c r="AD47" s="52"/>
      <c r="AE47" s="52"/>
    </row>
    <row r="48" spans="1:31" s="55" customFormat="1" x14ac:dyDescent="0.25">
      <c r="A48" s="52"/>
      <c r="B48" s="52"/>
      <c r="C48" s="52"/>
      <c r="D48" s="52"/>
      <c r="E48" s="52" t="str">
        <f t="shared" si="0"/>
        <v>PROG</v>
      </c>
      <c r="F48" s="52"/>
      <c r="G48" s="52" t="str">
        <f t="shared" si="1"/>
        <v>P</v>
      </c>
      <c r="H48" s="52"/>
      <c r="I48" s="52"/>
      <c r="J48" s="52" t="str">
        <f t="shared" si="3"/>
        <v>ELEM</v>
      </c>
      <c r="K48" s="52"/>
      <c r="L48" s="87"/>
      <c r="M48" s="52" t="e">
        <v>#N/A</v>
      </c>
      <c r="N48" s="52"/>
      <c r="O48" s="52"/>
      <c r="P48" s="52"/>
      <c r="Q48" s="52"/>
      <c r="R48" s="52"/>
      <c r="S48" s="52"/>
      <c r="T48" s="52"/>
      <c r="U48" s="52"/>
      <c r="V48" s="52"/>
      <c r="W48" s="53"/>
      <c r="X48" s="23"/>
      <c r="Y48" s="52"/>
      <c r="Z48" s="52"/>
      <c r="AA48" s="52"/>
      <c r="AB48" s="52"/>
      <c r="AC48" s="52"/>
      <c r="AD48" s="52"/>
      <c r="AE48" s="52"/>
    </row>
    <row r="49" spans="1:31" s="55" customFormat="1" x14ac:dyDescent="0.25">
      <c r="A49" s="52"/>
      <c r="B49" s="52"/>
      <c r="C49" s="52"/>
      <c r="D49" s="52"/>
      <c r="E49" s="52" t="str">
        <f t="shared" si="0"/>
        <v>PROG</v>
      </c>
      <c r="F49" s="52"/>
      <c r="G49" s="52" t="str">
        <f t="shared" si="1"/>
        <v>P</v>
      </c>
      <c r="H49" s="52"/>
      <c r="I49" s="52"/>
      <c r="J49" s="52" t="str">
        <f t="shared" si="3"/>
        <v>ELEM</v>
      </c>
      <c r="K49" s="52"/>
      <c r="L49" s="87"/>
      <c r="M49" s="52" t="e">
        <v>#N/A</v>
      </c>
      <c r="N49" s="52"/>
      <c r="O49" s="52"/>
      <c r="P49" s="52"/>
      <c r="Q49" s="52"/>
      <c r="R49" s="52"/>
      <c r="S49" s="52"/>
      <c r="T49" s="52"/>
      <c r="U49" s="52"/>
      <c r="V49" s="52"/>
      <c r="W49" s="53"/>
      <c r="X49" s="23"/>
      <c r="Y49" s="52"/>
      <c r="Z49" s="52"/>
      <c r="AA49" s="52"/>
      <c r="AB49" s="52"/>
      <c r="AC49" s="52"/>
      <c r="AD49" s="52"/>
      <c r="AE49" s="52"/>
    </row>
    <row r="50" spans="1:31" s="55" customFormat="1" x14ac:dyDescent="0.25">
      <c r="A50" s="52"/>
      <c r="B50" s="52"/>
      <c r="C50" s="52"/>
      <c r="D50" s="52"/>
      <c r="E50" s="52" t="str">
        <f t="shared" si="0"/>
        <v>PROG</v>
      </c>
      <c r="F50" s="52"/>
      <c r="G50" s="52" t="str">
        <f t="shared" si="1"/>
        <v>P</v>
      </c>
      <c r="H50" s="52"/>
      <c r="I50" s="52"/>
      <c r="J50" s="52" t="str">
        <f t="shared" si="3"/>
        <v>ELEM</v>
      </c>
      <c r="K50" s="52"/>
      <c r="L50" s="87"/>
      <c r="M50" s="52" t="e">
        <v>#N/A</v>
      </c>
      <c r="N50" s="52"/>
      <c r="O50" s="52"/>
      <c r="P50" s="52"/>
      <c r="Q50" s="52"/>
      <c r="R50" s="52"/>
      <c r="S50" s="52"/>
      <c r="T50" s="52"/>
      <c r="U50" s="52"/>
      <c r="V50" s="52"/>
      <c r="W50" s="53"/>
      <c r="X50" s="23"/>
      <c r="Y50" s="52"/>
      <c r="Z50" s="52"/>
      <c r="AA50" s="52"/>
      <c r="AB50" s="52"/>
      <c r="AC50" s="52"/>
      <c r="AD50" s="52"/>
      <c r="AE50" s="52"/>
    </row>
    <row r="51" spans="1:31" s="55" customFormat="1" x14ac:dyDescent="0.25">
      <c r="A51" s="52"/>
      <c r="B51" s="52"/>
      <c r="C51" s="52"/>
      <c r="D51" s="52"/>
      <c r="E51" s="52" t="str">
        <f t="shared" si="0"/>
        <v>PROG</v>
      </c>
      <c r="F51" s="52"/>
      <c r="G51" s="52" t="str">
        <f t="shared" si="1"/>
        <v>P</v>
      </c>
      <c r="H51" s="52"/>
      <c r="I51" s="52"/>
      <c r="J51" s="52" t="str">
        <f t="shared" si="3"/>
        <v>ELEM</v>
      </c>
      <c r="K51" s="52"/>
      <c r="L51" s="87"/>
      <c r="M51" s="52" t="e">
        <v>#N/A</v>
      </c>
      <c r="N51" s="52"/>
      <c r="O51" s="52"/>
      <c r="P51" s="52"/>
      <c r="Q51" s="52"/>
      <c r="R51" s="52"/>
      <c r="S51" s="52"/>
      <c r="T51" s="52"/>
      <c r="U51" s="52"/>
      <c r="V51" s="52"/>
      <c r="W51" s="53"/>
      <c r="X51" s="23"/>
      <c r="Y51" s="52"/>
      <c r="Z51" s="52"/>
      <c r="AA51" s="52"/>
      <c r="AB51" s="52"/>
      <c r="AC51" s="52"/>
      <c r="AD51" s="52"/>
      <c r="AE51" s="52"/>
    </row>
    <row r="52" spans="1:31" s="55" customFormat="1" x14ac:dyDescent="0.25">
      <c r="A52" s="52"/>
      <c r="B52" s="52"/>
      <c r="C52" s="52"/>
      <c r="D52" s="52"/>
      <c r="E52" s="52" t="str">
        <f t="shared" si="0"/>
        <v>PROG</v>
      </c>
      <c r="F52" s="52"/>
      <c r="G52" s="52" t="str">
        <f t="shared" si="1"/>
        <v>P</v>
      </c>
      <c r="H52" s="52"/>
      <c r="I52" s="52"/>
      <c r="J52" s="52" t="str">
        <f t="shared" si="3"/>
        <v>ELEM</v>
      </c>
      <c r="K52" s="52"/>
      <c r="L52" s="87"/>
      <c r="M52" s="52" t="e">
        <v>#N/A</v>
      </c>
      <c r="N52" s="52"/>
      <c r="O52" s="52"/>
      <c r="P52" s="52"/>
      <c r="Q52" s="52"/>
      <c r="R52" s="52"/>
      <c r="S52" s="52"/>
      <c r="T52" s="52"/>
      <c r="U52" s="52"/>
      <c r="V52" s="52"/>
      <c r="W52" s="53"/>
      <c r="X52" s="23"/>
      <c r="Y52" s="52"/>
      <c r="Z52" s="52"/>
      <c r="AA52" s="52"/>
      <c r="AB52" s="52"/>
      <c r="AC52" s="52"/>
      <c r="AD52" s="52"/>
      <c r="AE52" s="52"/>
    </row>
    <row r="53" spans="1:31" s="55" customFormat="1" x14ac:dyDescent="0.25">
      <c r="A53" s="52"/>
      <c r="B53" s="52"/>
      <c r="C53" s="52"/>
      <c r="D53" s="52"/>
      <c r="E53" s="52" t="str">
        <f t="shared" si="0"/>
        <v>PROG</v>
      </c>
      <c r="F53" s="52"/>
      <c r="G53" s="52" t="str">
        <f t="shared" si="1"/>
        <v>P</v>
      </c>
      <c r="H53" s="52"/>
      <c r="I53" s="52"/>
      <c r="J53" s="52" t="str">
        <f t="shared" si="3"/>
        <v>ELEM</v>
      </c>
      <c r="K53" s="52"/>
      <c r="L53" s="87"/>
      <c r="M53" s="52" t="e">
        <v>#N/A</v>
      </c>
      <c r="N53" s="52"/>
      <c r="O53" s="52"/>
      <c r="P53" s="52"/>
      <c r="Q53" s="52"/>
      <c r="R53" s="52"/>
      <c r="S53" s="52"/>
      <c r="T53" s="52"/>
      <c r="U53" s="52"/>
      <c r="V53" s="52"/>
      <c r="W53" s="53"/>
      <c r="X53" s="23"/>
      <c r="Y53" s="52"/>
      <c r="Z53" s="52"/>
      <c r="AA53" s="52"/>
      <c r="AB53" s="52"/>
      <c r="AC53" s="52"/>
      <c r="AD53" s="52"/>
      <c r="AE53" s="52"/>
    </row>
    <row r="54" spans="1:31" s="55" customFormat="1" x14ac:dyDescent="0.25">
      <c r="A54" s="52"/>
      <c r="B54" s="52"/>
      <c r="C54" s="52"/>
      <c r="D54" s="52"/>
      <c r="E54" s="52" t="str">
        <f t="shared" si="0"/>
        <v>PROG</v>
      </c>
      <c r="F54" s="52"/>
      <c r="G54" s="52" t="str">
        <f t="shared" si="1"/>
        <v>P</v>
      </c>
      <c r="H54" s="52"/>
      <c r="I54" s="52"/>
      <c r="J54" s="52" t="str">
        <f t="shared" si="3"/>
        <v>ELEM</v>
      </c>
      <c r="K54" s="52"/>
      <c r="L54" s="87"/>
      <c r="M54" s="52" t="e">
        <v>#N/A</v>
      </c>
      <c r="N54" s="52"/>
      <c r="O54" s="52"/>
      <c r="P54" s="52"/>
      <c r="Q54" s="52"/>
      <c r="R54" s="52"/>
      <c r="S54" s="52"/>
      <c r="T54" s="52"/>
      <c r="U54" s="52"/>
      <c r="V54" s="52"/>
      <c r="W54" s="53"/>
      <c r="X54" s="23"/>
      <c r="Y54" s="52"/>
      <c r="Z54" s="52"/>
      <c r="AA54" s="52"/>
      <c r="AB54" s="52"/>
      <c r="AC54" s="52"/>
      <c r="AD54" s="52"/>
      <c r="AE54" s="52"/>
    </row>
    <row r="55" spans="1:31" s="55" customFormat="1" x14ac:dyDescent="0.25">
      <c r="A55" s="52"/>
      <c r="B55" s="52"/>
      <c r="C55" s="52"/>
      <c r="D55" s="52"/>
      <c r="E55" s="52" t="str">
        <f t="shared" si="0"/>
        <v>PROG</v>
      </c>
      <c r="F55" s="52"/>
      <c r="G55" s="52" t="str">
        <f t="shared" si="1"/>
        <v>P</v>
      </c>
      <c r="H55" s="52"/>
      <c r="I55" s="52"/>
      <c r="J55" s="52" t="str">
        <f t="shared" si="3"/>
        <v>ELEM</v>
      </c>
      <c r="K55" s="52"/>
      <c r="L55" s="87"/>
      <c r="M55" s="52" t="e">
        <v>#N/A</v>
      </c>
      <c r="N55" s="52"/>
      <c r="O55" s="52"/>
      <c r="P55" s="52"/>
      <c r="Q55" s="52"/>
      <c r="R55" s="52"/>
      <c r="S55" s="52"/>
      <c r="T55" s="52"/>
      <c r="U55" s="52"/>
      <c r="V55" s="52"/>
      <c r="W55" s="53"/>
      <c r="X55" s="23"/>
      <c r="Y55" s="52"/>
      <c r="Z55" s="52"/>
      <c r="AA55" s="52"/>
      <c r="AB55" s="52"/>
      <c r="AC55" s="52"/>
      <c r="AD55" s="52"/>
      <c r="AE55" s="52"/>
    </row>
    <row r="56" spans="1:31" s="55" customFormat="1" x14ac:dyDescent="0.25">
      <c r="A56" s="52"/>
      <c r="B56" s="52"/>
      <c r="C56" s="52"/>
      <c r="D56" s="52"/>
      <c r="E56" s="52" t="str">
        <f t="shared" si="0"/>
        <v>PROG</v>
      </c>
      <c r="F56" s="52"/>
      <c r="G56" s="52" t="str">
        <f t="shared" si="1"/>
        <v>P</v>
      </c>
      <c r="H56" s="52"/>
      <c r="I56" s="52"/>
      <c r="J56" s="52" t="str">
        <f t="shared" si="3"/>
        <v>ELEM</v>
      </c>
      <c r="K56" s="52"/>
      <c r="L56" s="87"/>
      <c r="M56" s="52" t="e">
        <v>#N/A</v>
      </c>
      <c r="N56" s="52"/>
      <c r="O56" s="52"/>
      <c r="P56" s="52"/>
      <c r="Q56" s="52"/>
      <c r="R56" s="52"/>
      <c r="S56" s="52"/>
      <c r="T56" s="52"/>
      <c r="U56" s="52"/>
      <c r="V56" s="52"/>
      <c r="W56" s="53"/>
      <c r="X56" s="23"/>
      <c r="Y56" s="52"/>
      <c r="Z56" s="52"/>
      <c r="AA56" s="52"/>
      <c r="AB56" s="52"/>
      <c r="AC56" s="52"/>
      <c r="AD56" s="52"/>
      <c r="AE56" s="52"/>
    </row>
    <row r="57" spans="1:31" s="55" customFormat="1" x14ac:dyDescent="0.25">
      <c r="A57" s="52"/>
      <c r="B57" s="52"/>
      <c r="C57" s="52"/>
      <c r="D57" s="52"/>
      <c r="E57" s="52" t="str">
        <f t="shared" si="0"/>
        <v>PROG</v>
      </c>
      <c r="F57" s="52"/>
      <c r="G57" s="52" t="str">
        <f t="shared" si="1"/>
        <v>P</v>
      </c>
      <c r="H57" s="52"/>
      <c r="I57" s="52"/>
      <c r="J57" s="52" t="str">
        <f t="shared" si="3"/>
        <v>ELEM</v>
      </c>
      <c r="K57" s="52"/>
      <c r="L57" s="87"/>
      <c r="M57" s="52" t="e">
        <v>#N/A</v>
      </c>
      <c r="N57" s="52"/>
      <c r="O57" s="52"/>
      <c r="P57" s="52"/>
      <c r="Q57" s="52"/>
      <c r="R57" s="52"/>
      <c r="S57" s="52"/>
      <c r="T57" s="52"/>
      <c r="U57" s="52"/>
      <c r="V57" s="52"/>
      <c r="W57" s="53"/>
      <c r="X57" s="23"/>
      <c r="Y57" s="52"/>
      <c r="Z57" s="52"/>
      <c r="AA57" s="52"/>
      <c r="AB57" s="52"/>
      <c r="AC57" s="52"/>
      <c r="AD57" s="52"/>
      <c r="AE57" s="52"/>
    </row>
    <row r="58" spans="1:31" s="55" customFormat="1" x14ac:dyDescent="0.25">
      <c r="A58" s="52"/>
      <c r="B58" s="52"/>
      <c r="C58" s="52"/>
      <c r="D58" s="52"/>
      <c r="E58" s="52" t="str">
        <f t="shared" si="0"/>
        <v>PROG</v>
      </c>
      <c r="F58" s="52"/>
      <c r="G58" s="52" t="str">
        <f t="shared" si="1"/>
        <v>P</v>
      </c>
      <c r="H58" s="52"/>
      <c r="I58" s="52"/>
      <c r="J58" s="52" t="str">
        <f t="shared" si="3"/>
        <v>ELEM</v>
      </c>
      <c r="K58" s="52"/>
      <c r="L58" s="87"/>
      <c r="M58" s="52" t="e">
        <v>#N/A</v>
      </c>
      <c r="N58" s="52"/>
      <c r="O58" s="52"/>
      <c r="P58" s="52"/>
      <c r="Q58" s="52"/>
      <c r="R58" s="52"/>
      <c r="S58" s="52"/>
      <c r="T58" s="52"/>
      <c r="U58" s="52"/>
      <c r="V58" s="52"/>
      <c r="W58" s="53"/>
      <c r="X58" s="23"/>
      <c r="Y58" s="52"/>
      <c r="Z58" s="52"/>
      <c r="AA58" s="52"/>
      <c r="AB58" s="52"/>
      <c r="AC58" s="52"/>
      <c r="AD58" s="52"/>
      <c r="AE58" s="52"/>
    </row>
    <row r="59" spans="1:31" s="55" customFormat="1" x14ac:dyDescent="0.25">
      <c r="A59" s="52"/>
      <c r="B59" s="52"/>
      <c r="C59" s="52"/>
      <c r="D59" s="52"/>
      <c r="E59" s="52" t="str">
        <f t="shared" si="0"/>
        <v>PROG</v>
      </c>
      <c r="F59" s="52"/>
      <c r="G59" s="52" t="str">
        <f t="shared" si="1"/>
        <v>P</v>
      </c>
      <c r="H59" s="52"/>
      <c r="I59" s="52"/>
      <c r="J59" s="52" t="str">
        <f t="shared" si="3"/>
        <v>ELEM</v>
      </c>
      <c r="K59" s="52"/>
      <c r="L59" s="87"/>
      <c r="M59" s="52" t="e">
        <v>#N/A</v>
      </c>
      <c r="N59" s="52"/>
      <c r="O59" s="52"/>
      <c r="P59" s="52"/>
      <c r="Q59" s="52"/>
      <c r="R59" s="52"/>
      <c r="S59" s="52"/>
      <c r="T59" s="52"/>
      <c r="U59" s="52"/>
      <c r="V59" s="52"/>
      <c r="W59" s="53"/>
      <c r="X59" s="23"/>
      <c r="Y59" s="52"/>
      <c r="Z59" s="52"/>
      <c r="AA59" s="52"/>
      <c r="AB59" s="52"/>
      <c r="AC59" s="52"/>
      <c r="AD59" s="52"/>
      <c r="AE59" s="52"/>
    </row>
    <row r="60" spans="1:31" s="55" customFormat="1" x14ac:dyDescent="0.25">
      <c r="A60" s="52"/>
      <c r="B60" s="52"/>
      <c r="C60" s="52"/>
      <c r="D60" s="52"/>
      <c r="E60" s="52" t="str">
        <f t="shared" si="0"/>
        <v>PROG</v>
      </c>
      <c r="F60" s="52"/>
      <c r="G60" s="52" t="str">
        <f t="shared" si="1"/>
        <v>P</v>
      </c>
      <c r="H60" s="52"/>
      <c r="I60" s="52"/>
      <c r="J60" s="52" t="str">
        <f t="shared" si="3"/>
        <v>ELEM</v>
      </c>
      <c r="K60" s="52"/>
      <c r="L60" s="87"/>
      <c r="M60" s="52" t="e">
        <v>#N/A</v>
      </c>
      <c r="N60" s="52"/>
      <c r="O60" s="52"/>
      <c r="P60" s="52"/>
      <c r="Q60" s="52"/>
      <c r="R60" s="52"/>
      <c r="S60" s="52"/>
      <c r="T60" s="52"/>
      <c r="U60" s="52"/>
      <c r="V60" s="52"/>
      <c r="W60" s="53"/>
      <c r="X60" s="23"/>
      <c r="Y60" s="52"/>
      <c r="Z60" s="52"/>
      <c r="AA60" s="52"/>
      <c r="AB60" s="52"/>
      <c r="AC60" s="52"/>
      <c r="AD60" s="52"/>
      <c r="AE60" s="52"/>
    </row>
    <row r="61" spans="1:31" s="55" customFormat="1" x14ac:dyDescent="0.25">
      <c r="A61" s="52"/>
      <c r="B61" s="52"/>
      <c r="C61" s="52"/>
      <c r="D61" s="52"/>
      <c r="E61" s="52" t="str">
        <f t="shared" si="0"/>
        <v>PROG</v>
      </c>
      <c r="F61" s="52"/>
      <c r="G61" s="52" t="str">
        <f t="shared" si="1"/>
        <v>P</v>
      </c>
      <c r="H61" s="52"/>
      <c r="I61" s="52"/>
      <c r="J61" s="52" t="str">
        <f t="shared" si="3"/>
        <v>ELEM</v>
      </c>
      <c r="K61" s="52"/>
      <c r="L61" s="87"/>
      <c r="M61" s="52" t="e">
        <v>#N/A</v>
      </c>
      <c r="N61" s="52"/>
      <c r="O61" s="52"/>
      <c r="P61" s="52"/>
      <c r="Q61" s="52"/>
      <c r="R61" s="52"/>
      <c r="S61" s="52"/>
      <c r="T61" s="52"/>
      <c r="U61" s="52"/>
      <c r="V61" s="52"/>
      <c r="W61" s="53"/>
      <c r="X61" s="23"/>
      <c r="Y61" s="52"/>
      <c r="Z61" s="52"/>
      <c r="AA61" s="52"/>
      <c r="AB61" s="52"/>
      <c r="AC61" s="52"/>
      <c r="AD61" s="52"/>
      <c r="AE61" s="52"/>
    </row>
    <row r="62" spans="1:31" s="55" customFormat="1" x14ac:dyDescent="0.25">
      <c r="A62" s="52"/>
      <c r="B62" s="52"/>
      <c r="C62" s="52"/>
      <c r="D62" s="52"/>
      <c r="E62" s="52" t="str">
        <f t="shared" si="0"/>
        <v>PROG</v>
      </c>
      <c r="F62" s="52"/>
      <c r="G62" s="52" t="str">
        <f t="shared" si="1"/>
        <v>P</v>
      </c>
      <c r="H62" s="52"/>
      <c r="I62" s="52"/>
      <c r="J62" s="52" t="str">
        <f t="shared" si="3"/>
        <v>ELEM</v>
      </c>
      <c r="K62" s="52"/>
      <c r="L62" s="87"/>
      <c r="M62" s="52" t="e">
        <v>#N/A</v>
      </c>
      <c r="N62" s="52"/>
      <c r="O62" s="52"/>
      <c r="P62" s="52"/>
      <c r="Q62" s="52"/>
      <c r="R62" s="52"/>
      <c r="S62" s="52"/>
      <c r="T62" s="52"/>
      <c r="U62" s="52"/>
      <c r="V62" s="52"/>
      <c r="W62" s="53"/>
      <c r="X62" s="23"/>
      <c r="Y62" s="52"/>
      <c r="Z62" s="52"/>
      <c r="AA62" s="52"/>
      <c r="AB62" s="52"/>
      <c r="AC62" s="52"/>
      <c r="AD62" s="52"/>
      <c r="AE62" s="52"/>
    </row>
    <row r="63" spans="1:31" s="55" customFormat="1" x14ac:dyDescent="0.25">
      <c r="A63" s="52"/>
      <c r="B63" s="52"/>
      <c r="C63" s="52"/>
      <c r="D63" s="52"/>
      <c r="E63" s="52" t="str">
        <f t="shared" si="0"/>
        <v>PROG</v>
      </c>
      <c r="F63" s="52"/>
      <c r="G63" s="52" t="str">
        <f t="shared" si="1"/>
        <v>P</v>
      </c>
      <c r="H63" s="52"/>
      <c r="I63" s="52"/>
      <c r="J63" s="52" t="str">
        <f t="shared" si="3"/>
        <v>ELEM</v>
      </c>
      <c r="K63" s="52"/>
      <c r="L63" s="87"/>
      <c r="M63" s="52" t="e">
        <v>#N/A</v>
      </c>
      <c r="N63" s="52"/>
      <c r="O63" s="52"/>
      <c r="P63" s="52"/>
      <c r="Q63" s="52"/>
      <c r="R63" s="52"/>
      <c r="S63" s="52"/>
      <c r="T63" s="52"/>
      <c r="U63" s="52"/>
      <c r="V63" s="52"/>
      <c r="W63" s="53"/>
      <c r="X63" s="23"/>
      <c r="Y63" s="52"/>
      <c r="Z63" s="52"/>
      <c r="AA63" s="52"/>
      <c r="AB63" s="52"/>
      <c r="AC63" s="52"/>
      <c r="AD63" s="52"/>
      <c r="AE63" s="52"/>
    </row>
    <row r="64" spans="1:31" s="55" customFormat="1" x14ac:dyDescent="0.25">
      <c r="A64" s="52"/>
      <c r="B64" s="52"/>
      <c r="C64" s="52"/>
      <c r="D64" s="52"/>
      <c r="E64" s="52" t="str">
        <f t="shared" si="0"/>
        <v>PROG</v>
      </c>
      <c r="F64" s="52"/>
      <c r="G64" s="52" t="str">
        <f t="shared" si="1"/>
        <v>P</v>
      </c>
      <c r="H64" s="52"/>
      <c r="I64" s="52"/>
      <c r="J64" s="52" t="str">
        <f t="shared" si="3"/>
        <v>ELEM</v>
      </c>
      <c r="K64" s="52"/>
      <c r="L64" s="87"/>
      <c r="M64" s="52" t="e">
        <v>#N/A</v>
      </c>
      <c r="N64" s="52"/>
      <c r="O64" s="52"/>
      <c r="P64" s="52"/>
      <c r="Q64" s="52"/>
      <c r="R64" s="52"/>
      <c r="S64" s="52"/>
      <c r="T64" s="52"/>
      <c r="U64" s="52"/>
      <c r="V64" s="52"/>
      <c r="W64" s="53"/>
      <c r="X64" s="23"/>
      <c r="Y64" s="52"/>
      <c r="Z64" s="52"/>
      <c r="AA64" s="52"/>
      <c r="AB64" s="52"/>
      <c r="AC64" s="52"/>
      <c r="AD64" s="52"/>
      <c r="AE64" s="52"/>
    </row>
    <row r="65" spans="1:31" s="55" customFormat="1" x14ac:dyDescent="0.25">
      <c r="A65" s="52"/>
      <c r="B65" s="52"/>
      <c r="C65" s="52"/>
      <c r="D65" s="52"/>
      <c r="E65" s="52" t="str">
        <f t="shared" si="0"/>
        <v>PROG</v>
      </c>
      <c r="F65" s="52"/>
      <c r="G65" s="52" t="str">
        <f t="shared" si="1"/>
        <v>P</v>
      </c>
      <c r="H65" s="52"/>
      <c r="I65" s="52"/>
      <c r="J65" s="52" t="str">
        <f t="shared" si="3"/>
        <v>ELEM</v>
      </c>
      <c r="K65" s="52"/>
      <c r="L65" s="87"/>
      <c r="M65" s="52" t="e">
        <v>#N/A</v>
      </c>
      <c r="N65" s="52"/>
      <c r="O65" s="52"/>
      <c r="P65" s="52"/>
      <c r="Q65" s="52"/>
      <c r="R65" s="52"/>
      <c r="S65" s="52"/>
      <c r="T65" s="52"/>
      <c r="U65" s="52"/>
      <c r="V65" s="52"/>
      <c r="W65" s="53"/>
      <c r="X65" s="23"/>
      <c r="Y65" s="52"/>
      <c r="Z65" s="52"/>
      <c r="AA65" s="52"/>
      <c r="AB65" s="52"/>
      <c r="AC65" s="52"/>
      <c r="AD65" s="52"/>
      <c r="AE65" s="52"/>
    </row>
    <row r="66" spans="1:31" s="55" customFormat="1" x14ac:dyDescent="0.25">
      <c r="A66" s="52"/>
      <c r="B66" s="52"/>
      <c r="C66" s="52"/>
      <c r="D66" s="52"/>
      <c r="E66" s="52" t="str">
        <f t="shared" si="0"/>
        <v>PROG</v>
      </c>
      <c r="F66" s="52"/>
      <c r="G66" s="52" t="str">
        <f t="shared" si="1"/>
        <v>P</v>
      </c>
      <c r="H66" s="52"/>
      <c r="I66" s="52"/>
      <c r="J66" s="52" t="str">
        <f t="shared" si="3"/>
        <v>ELEM</v>
      </c>
      <c r="K66" s="52"/>
      <c r="L66" s="87"/>
      <c r="M66" s="52" t="e">
        <v>#N/A</v>
      </c>
      <c r="N66" s="52"/>
      <c r="O66" s="52"/>
      <c r="P66" s="52"/>
      <c r="Q66" s="52"/>
      <c r="R66" s="52"/>
      <c r="S66" s="52"/>
      <c r="T66" s="52"/>
      <c r="U66" s="52"/>
      <c r="V66" s="52"/>
      <c r="W66" s="53"/>
      <c r="X66" s="23"/>
      <c r="Y66" s="52"/>
      <c r="Z66" s="52"/>
      <c r="AA66" s="52"/>
      <c r="AB66" s="52"/>
      <c r="AC66" s="52"/>
      <c r="AD66" s="52"/>
      <c r="AE66" s="52"/>
    </row>
    <row r="67" spans="1:31" s="55" customFormat="1" x14ac:dyDescent="0.25">
      <c r="A67" s="52"/>
      <c r="B67" s="52"/>
      <c r="C67" s="52"/>
      <c r="D67" s="52"/>
      <c r="E67" s="52" t="str">
        <f t="shared" ref="E67:E130" si="4">CONCATENATE(A67,"PROG")</f>
        <v>PROG</v>
      </c>
      <c r="F67" s="52"/>
      <c r="G67" s="52" t="str">
        <f t="shared" ref="G67:G130" si="5">CONCATENATE("P",(LEFT(F67,3)),A67)</f>
        <v>P</v>
      </c>
      <c r="H67" s="52"/>
      <c r="I67" s="52"/>
      <c r="J67" s="52" t="str">
        <f t="shared" ref="J67:J130" si="6">CONCATENATE("ELEM",LEFT(I67,2))</f>
        <v>ELEM</v>
      </c>
      <c r="K67" s="52"/>
      <c r="L67" s="87"/>
      <c r="M67" s="52" t="e">
        <v>#N/A</v>
      </c>
      <c r="N67" s="52"/>
      <c r="O67" s="52"/>
      <c r="P67" s="52"/>
      <c r="Q67" s="52"/>
      <c r="R67" s="52"/>
      <c r="S67" s="52"/>
      <c r="T67" s="52"/>
      <c r="U67" s="52"/>
      <c r="V67" s="52"/>
      <c r="W67" s="53"/>
      <c r="X67" s="23"/>
      <c r="Y67" s="52"/>
      <c r="Z67" s="52"/>
      <c r="AA67" s="52"/>
      <c r="AB67" s="52"/>
      <c r="AC67" s="52"/>
      <c r="AD67" s="52"/>
      <c r="AE67" s="52"/>
    </row>
    <row r="68" spans="1:31" s="55" customFormat="1" x14ac:dyDescent="0.25">
      <c r="A68" s="52"/>
      <c r="B68" s="52"/>
      <c r="C68" s="52"/>
      <c r="D68" s="52"/>
      <c r="E68" s="52" t="str">
        <f t="shared" si="4"/>
        <v>PROG</v>
      </c>
      <c r="F68" s="52"/>
      <c r="G68" s="52" t="str">
        <f t="shared" si="5"/>
        <v>P</v>
      </c>
      <c r="H68" s="52"/>
      <c r="I68" s="52"/>
      <c r="J68" s="52" t="str">
        <f t="shared" si="6"/>
        <v>ELEM</v>
      </c>
      <c r="K68" s="52"/>
      <c r="L68" s="87"/>
      <c r="M68" s="52" t="e">
        <v>#N/A</v>
      </c>
      <c r="N68" s="52"/>
      <c r="O68" s="52"/>
      <c r="P68" s="52"/>
      <c r="Q68" s="52"/>
      <c r="R68" s="52"/>
      <c r="S68" s="52"/>
      <c r="T68" s="52"/>
      <c r="U68" s="52"/>
      <c r="V68" s="52"/>
      <c r="W68" s="53"/>
      <c r="X68" s="23"/>
      <c r="Y68" s="52"/>
      <c r="Z68" s="52"/>
      <c r="AA68" s="52"/>
      <c r="AB68" s="52"/>
      <c r="AC68" s="52"/>
      <c r="AD68" s="52"/>
      <c r="AE68" s="52"/>
    </row>
    <row r="69" spans="1:31" s="55" customFormat="1" x14ac:dyDescent="0.25">
      <c r="A69" s="52"/>
      <c r="B69" s="52"/>
      <c r="C69" s="52"/>
      <c r="D69" s="52"/>
      <c r="E69" s="52" t="str">
        <f t="shared" si="4"/>
        <v>PROG</v>
      </c>
      <c r="F69" s="52"/>
      <c r="G69" s="52" t="str">
        <f t="shared" si="5"/>
        <v>P</v>
      </c>
      <c r="H69" s="52"/>
      <c r="I69" s="52"/>
      <c r="J69" s="52" t="str">
        <f t="shared" si="6"/>
        <v>ELEM</v>
      </c>
      <c r="K69" s="52"/>
      <c r="L69" s="87"/>
      <c r="M69" s="52" t="e">
        <v>#N/A</v>
      </c>
      <c r="N69" s="52"/>
      <c r="O69" s="52"/>
      <c r="P69" s="52"/>
      <c r="Q69" s="52"/>
      <c r="R69" s="52"/>
      <c r="S69" s="52"/>
      <c r="T69" s="52"/>
      <c r="U69" s="52"/>
      <c r="V69" s="52"/>
      <c r="W69" s="53"/>
      <c r="X69" s="23"/>
      <c r="Y69" s="52"/>
      <c r="Z69" s="52"/>
      <c r="AA69" s="52"/>
      <c r="AB69" s="52"/>
      <c r="AC69" s="52"/>
      <c r="AD69" s="52"/>
      <c r="AE69" s="52"/>
    </row>
    <row r="70" spans="1:31" s="55" customFormat="1" x14ac:dyDescent="0.25">
      <c r="A70" s="52"/>
      <c r="B70" s="52"/>
      <c r="C70" s="52"/>
      <c r="D70" s="52"/>
      <c r="E70" s="52" t="str">
        <f t="shared" si="4"/>
        <v>PROG</v>
      </c>
      <c r="F70" s="52"/>
      <c r="G70" s="52" t="str">
        <f t="shared" si="5"/>
        <v>P</v>
      </c>
      <c r="H70" s="52"/>
      <c r="I70" s="52"/>
      <c r="J70" s="52" t="str">
        <f t="shared" si="6"/>
        <v>ELEM</v>
      </c>
      <c r="K70" s="52"/>
      <c r="L70" s="87"/>
      <c r="M70" s="52" t="e">
        <v>#N/A</v>
      </c>
      <c r="N70" s="52"/>
      <c r="O70" s="52"/>
      <c r="P70" s="52"/>
      <c r="Q70" s="52"/>
      <c r="R70" s="52"/>
      <c r="S70" s="52"/>
      <c r="T70" s="52"/>
      <c r="U70" s="52"/>
      <c r="V70" s="52"/>
      <c r="W70" s="53"/>
      <c r="X70" s="23"/>
      <c r="Y70" s="52"/>
      <c r="Z70" s="52"/>
      <c r="AA70" s="52"/>
      <c r="AB70" s="52"/>
      <c r="AC70" s="52"/>
      <c r="AD70" s="52"/>
      <c r="AE70" s="52"/>
    </row>
    <row r="71" spans="1:31" s="55" customFormat="1" x14ac:dyDescent="0.25">
      <c r="A71" s="52"/>
      <c r="B71" s="52"/>
      <c r="C71" s="52"/>
      <c r="D71" s="52"/>
      <c r="E71" s="52" t="str">
        <f t="shared" si="4"/>
        <v>PROG</v>
      </c>
      <c r="F71" s="52"/>
      <c r="G71" s="52" t="str">
        <f t="shared" si="5"/>
        <v>P</v>
      </c>
      <c r="H71" s="52"/>
      <c r="I71" s="52"/>
      <c r="J71" s="52" t="str">
        <f t="shared" si="6"/>
        <v>ELEM</v>
      </c>
      <c r="K71" s="52"/>
      <c r="L71" s="87"/>
      <c r="M71" s="52" t="e">
        <v>#N/A</v>
      </c>
      <c r="N71" s="52"/>
      <c r="O71" s="52"/>
      <c r="P71" s="52"/>
      <c r="Q71" s="52"/>
      <c r="R71" s="52"/>
      <c r="S71" s="52"/>
      <c r="T71" s="52"/>
      <c r="U71" s="52"/>
      <c r="V71" s="52"/>
      <c r="W71" s="53"/>
      <c r="X71" s="23"/>
      <c r="Y71" s="52"/>
      <c r="Z71" s="52"/>
      <c r="AA71" s="52"/>
      <c r="AB71" s="52"/>
      <c r="AC71" s="52"/>
      <c r="AD71" s="52"/>
      <c r="AE71" s="52"/>
    </row>
    <row r="72" spans="1:31" s="55" customFormat="1" x14ac:dyDescent="0.25">
      <c r="A72" s="52"/>
      <c r="B72" s="52"/>
      <c r="C72" s="52"/>
      <c r="D72" s="52"/>
      <c r="E72" s="52" t="str">
        <f t="shared" si="4"/>
        <v>PROG</v>
      </c>
      <c r="F72" s="52"/>
      <c r="G72" s="52" t="str">
        <f t="shared" si="5"/>
        <v>P</v>
      </c>
      <c r="H72" s="52"/>
      <c r="I72" s="52"/>
      <c r="J72" s="52" t="str">
        <f t="shared" si="6"/>
        <v>ELEM</v>
      </c>
      <c r="K72" s="52"/>
      <c r="L72" s="87"/>
      <c r="M72" s="52" t="e">
        <v>#N/A</v>
      </c>
      <c r="N72" s="52"/>
      <c r="O72" s="52"/>
      <c r="P72" s="52"/>
      <c r="Q72" s="52"/>
      <c r="R72" s="52"/>
      <c r="S72" s="52"/>
      <c r="T72" s="52"/>
      <c r="U72" s="52"/>
      <c r="V72" s="52"/>
      <c r="W72" s="53"/>
      <c r="X72" s="23"/>
      <c r="Y72" s="52"/>
      <c r="Z72" s="52"/>
      <c r="AA72" s="52"/>
      <c r="AB72" s="52"/>
      <c r="AC72" s="52"/>
      <c r="AD72" s="52"/>
      <c r="AE72" s="52"/>
    </row>
    <row r="73" spans="1:31" s="55" customFormat="1" x14ac:dyDescent="0.25">
      <c r="A73" s="52"/>
      <c r="B73" s="52"/>
      <c r="C73" s="52"/>
      <c r="D73" s="52"/>
      <c r="E73" s="52" t="str">
        <f t="shared" si="4"/>
        <v>PROG</v>
      </c>
      <c r="F73" s="52"/>
      <c r="G73" s="52" t="str">
        <f t="shared" si="5"/>
        <v>P</v>
      </c>
      <c r="H73" s="52"/>
      <c r="I73" s="52"/>
      <c r="J73" s="52" t="str">
        <f t="shared" si="6"/>
        <v>ELEM</v>
      </c>
      <c r="K73" s="52"/>
      <c r="L73" s="87"/>
      <c r="M73" s="52" t="e">
        <v>#N/A</v>
      </c>
      <c r="N73" s="52"/>
      <c r="O73" s="52"/>
      <c r="P73" s="52"/>
      <c r="Q73" s="52"/>
      <c r="R73" s="52"/>
      <c r="S73" s="52"/>
      <c r="T73" s="52"/>
      <c r="U73" s="52"/>
      <c r="V73" s="52"/>
      <c r="W73" s="53"/>
      <c r="X73" s="23"/>
      <c r="Y73" s="52"/>
      <c r="Z73" s="52"/>
      <c r="AA73" s="52"/>
      <c r="AB73" s="52"/>
      <c r="AC73" s="52"/>
      <c r="AD73" s="52"/>
      <c r="AE73" s="52"/>
    </row>
    <row r="74" spans="1:31" s="55" customFormat="1" x14ac:dyDescent="0.25">
      <c r="A74" s="52"/>
      <c r="B74" s="52"/>
      <c r="C74" s="52"/>
      <c r="D74" s="52"/>
      <c r="E74" s="52" t="str">
        <f t="shared" si="4"/>
        <v>PROG</v>
      </c>
      <c r="F74" s="52"/>
      <c r="G74" s="52" t="str">
        <f t="shared" si="5"/>
        <v>P</v>
      </c>
      <c r="H74" s="52"/>
      <c r="I74" s="52"/>
      <c r="J74" s="52" t="str">
        <f t="shared" si="6"/>
        <v>ELEM</v>
      </c>
      <c r="K74" s="52"/>
      <c r="L74" s="87"/>
      <c r="M74" s="52" t="e">
        <v>#N/A</v>
      </c>
      <c r="N74" s="52"/>
      <c r="O74" s="52"/>
      <c r="P74" s="52"/>
      <c r="Q74" s="52"/>
      <c r="R74" s="52"/>
      <c r="S74" s="52"/>
      <c r="T74" s="52"/>
      <c r="U74" s="52"/>
      <c r="V74" s="52"/>
      <c r="W74" s="53"/>
      <c r="X74" s="23"/>
      <c r="Y74" s="52"/>
      <c r="Z74" s="52"/>
      <c r="AA74" s="52"/>
      <c r="AB74" s="52"/>
      <c r="AC74" s="52"/>
      <c r="AD74" s="52"/>
      <c r="AE74" s="52"/>
    </row>
    <row r="75" spans="1:31" s="55" customFormat="1" x14ac:dyDescent="0.25">
      <c r="A75" s="52"/>
      <c r="B75" s="52"/>
      <c r="C75" s="52"/>
      <c r="D75" s="52"/>
      <c r="E75" s="52" t="str">
        <f t="shared" si="4"/>
        <v>PROG</v>
      </c>
      <c r="F75" s="52"/>
      <c r="G75" s="52" t="str">
        <f t="shared" si="5"/>
        <v>P</v>
      </c>
      <c r="H75" s="52"/>
      <c r="I75" s="52"/>
      <c r="J75" s="52" t="str">
        <f t="shared" si="6"/>
        <v>ELEM</v>
      </c>
      <c r="K75" s="52"/>
      <c r="L75" s="87"/>
      <c r="M75" s="52" t="e">
        <v>#N/A</v>
      </c>
      <c r="N75" s="52"/>
      <c r="O75" s="52"/>
      <c r="P75" s="52"/>
      <c r="Q75" s="52"/>
      <c r="R75" s="52"/>
      <c r="S75" s="52"/>
      <c r="T75" s="52"/>
      <c r="U75" s="52"/>
      <c r="V75" s="52"/>
      <c r="W75" s="53"/>
      <c r="X75" s="23"/>
      <c r="Y75" s="52"/>
      <c r="Z75" s="52"/>
      <c r="AA75" s="52"/>
      <c r="AB75" s="52"/>
      <c r="AC75" s="52"/>
      <c r="AD75" s="52"/>
      <c r="AE75" s="52"/>
    </row>
    <row r="76" spans="1:31" s="55" customFormat="1" x14ac:dyDescent="0.25">
      <c r="A76" s="52"/>
      <c r="B76" s="52"/>
      <c r="C76" s="52"/>
      <c r="D76" s="52"/>
      <c r="E76" s="52" t="str">
        <f t="shared" si="4"/>
        <v>PROG</v>
      </c>
      <c r="F76" s="52"/>
      <c r="G76" s="52" t="str">
        <f t="shared" si="5"/>
        <v>P</v>
      </c>
      <c r="H76" s="52"/>
      <c r="I76" s="52"/>
      <c r="J76" s="52" t="str">
        <f t="shared" si="6"/>
        <v>ELEM</v>
      </c>
      <c r="K76" s="52"/>
      <c r="L76" s="87"/>
      <c r="M76" s="52" t="e">
        <v>#N/A</v>
      </c>
      <c r="N76" s="52"/>
      <c r="O76" s="52"/>
      <c r="P76" s="52"/>
      <c r="Q76" s="52"/>
      <c r="R76" s="52"/>
      <c r="S76" s="52"/>
      <c r="T76" s="52"/>
      <c r="U76" s="52"/>
      <c r="V76" s="52"/>
      <c r="W76" s="53"/>
      <c r="X76" s="23"/>
      <c r="Y76" s="52"/>
      <c r="Z76" s="52"/>
      <c r="AA76" s="52"/>
      <c r="AB76" s="52"/>
      <c r="AC76" s="52"/>
      <c r="AD76" s="52"/>
      <c r="AE76" s="52"/>
    </row>
    <row r="77" spans="1:31" s="55" customFormat="1" x14ac:dyDescent="0.25">
      <c r="A77" s="52"/>
      <c r="B77" s="52"/>
      <c r="C77" s="52"/>
      <c r="D77" s="52"/>
      <c r="E77" s="52" t="str">
        <f t="shared" si="4"/>
        <v>PROG</v>
      </c>
      <c r="F77" s="52"/>
      <c r="G77" s="52" t="str">
        <f t="shared" si="5"/>
        <v>P</v>
      </c>
      <c r="H77" s="52"/>
      <c r="I77" s="52"/>
      <c r="J77" s="52" t="str">
        <f t="shared" si="6"/>
        <v>ELEM</v>
      </c>
      <c r="K77" s="52"/>
      <c r="L77" s="87"/>
      <c r="M77" s="52" t="e">
        <v>#N/A</v>
      </c>
      <c r="N77" s="52"/>
      <c r="O77" s="52"/>
      <c r="P77" s="52"/>
      <c r="Q77" s="52"/>
      <c r="R77" s="52"/>
      <c r="S77" s="52"/>
      <c r="T77" s="52"/>
      <c r="U77" s="52"/>
      <c r="V77" s="52"/>
      <c r="W77" s="53"/>
      <c r="X77" s="23"/>
      <c r="Y77" s="52"/>
      <c r="Z77" s="52"/>
      <c r="AA77" s="52"/>
      <c r="AB77" s="52"/>
      <c r="AC77" s="52"/>
      <c r="AD77" s="52"/>
      <c r="AE77" s="52"/>
    </row>
    <row r="78" spans="1:31" s="55" customFormat="1" x14ac:dyDescent="0.25">
      <c r="A78" s="52"/>
      <c r="B78" s="52"/>
      <c r="C78" s="52"/>
      <c r="D78" s="52"/>
      <c r="E78" s="52" t="str">
        <f t="shared" si="4"/>
        <v>PROG</v>
      </c>
      <c r="F78" s="52"/>
      <c r="G78" s="52" t="str">
        <f t="shared" si="5"/>
        <v>P</v>
      </c>
      <c r="H78" s="52"/>
      <c r="I78" s="52"/>
      <c r="J78" s="52" t="str">
        <f t="shared" si="6"/>
        <v>ELEM</v>
      </c>
      <c r="K78" s="52"/>
      <c r="L78" s="87"/>
      <c r="M78" s="52" t="e">
        <v>#N/A</v>
      </c>
      <c r="N78" s="52"/>
      <c r="O78" s="52"/>
      <c r="P78" s="52"/>
      <c r="Q78" s="52"/>
      <c r="R78" s="52"/>
      <c r="S78" s="52"/>
      <c r="T78" s="52"/>
      <c r="U78" s="52"/>
      <c r="V78" s="52"/>
      <c r="W78" s="53"/>
      <c r="X78" s="23"/>
      <c r="Y78" s="52"/>
      <c r="Z78" s="52"/>
      <c r="AA78" s="52"/>
      <c r="AB78" s="52"/>
      <c r="AC78" s="52"/>
      <c r="AD78" s="52"/>
      <c r="AE78" s="52"/>
    </row>
    <row r="79" spans="1:31" s="55" customFormat="1" x14ac:dyDescent="0.25">
      <c r="A79" s="52"/>
      <c r="B79" s="52"/>
      <c r="C79" s="52"/>
      <c r="D79" s="52"/>
      <c r="E79" s="52" t="str">
        <f t="shared" si="4"/>
        <v>PROG</v>
      </c>
      <c r="F79" s="52"/>
      <c r="G79" s="52" t="str">
        <f t="shared" si="5"/>
        <v>P</v>
      </c>
      <c r="H79" s="52"/>
      <c r="I79" s="52"/>
      <c r="J79" s="52" t="str">
        <f t="shared" si="6"/>
        <v>ELEM</v>
      </c>
      <c r="K79" s="52"/>
      <c r="L79" s="87"/>
      <c r="M79" s="52" t="e">
        <v>#N/A</v>
      </c>
      <c r="N79" s="52"/>
      <c r="O79" s="52"/>
      <c r="P79" s="52"/>
      <c r="Q79" s="52"/>
      <c r="R79" s="52"/>
      <c r="S79" s="52"/>
      <c r="T79" s="52"/>
      <c r="U79" s="52"/>
      <c r="V79" s="52"/>
      <c r="W79" s="53"/>
      <c r="X79" s="23"/>
      <c r="Y79" s="52"/>
      <c r="Z79" s="52"/>
      <c r="AA79" s="52"/>
      <c r="AB79" s="52"/>
      <c r="AC79" s="52"/>
      <c r="AD79" s="52"/>
      <c r="AE79" s="52"/>
    </row>
    <row r="80" spans="1:31" s="55" customFormat="1" x14ac:dyDescent="0.25">
      <c r="A80" s="52"/>
      <c r="B80" s="52"/>
      <c r="C80" s="52"/>
      <c r="D80" s="52"/>
      <c r="E80" s="52" t="str">
        <f t="shared" si="4"/>
        <v>PROG</v>
      </c>
      <c r="F80" s="52"/>
      <c r="G80" s="52" t="str">
        <f t="shared" si="5"/>
        <v>P</v>
      </c>
      <c r="H80" s="52"/>
      <c r="I80" s="52"/>
      <c r="J80" s="52" t="str">
        <f t="shared" si="6"/>
        <v>ELEM</v>
      </c>
      <c r="K80" s="52"/>
      <c r="L80" s="87"/>
      <c r="M80" s="52" t="e">
        <v>#N/A</v>
      </c>
      <c r="N80" s="52"/>
      <c r="O80" s="52"/>
      <c r="P80" s="52"/>
      <c r="Q80" s="52"/>
      <c r="R80" s="52"/>
      <c r="S80" s="52"/>
      <c r="T80" s="52"/>
      <c r="U80" s="52"/>
      <c r="V80" s="52"/>
      <c r="W80" s="53"/>
      <c r="X80" s="23"/>
      <c r="Y80" s="52"/>
      <c r="Z80" s="52"/>
      <c r="AA80" s="52"/>
      <c r="AB80" s="52"/>
      <c r="AC80" s="52"/>
      <c r="AD80" s="52"/>
      <c r="AE80" s="52"/>
    </row>
    <row r="81" spans="1:31" s="55" customFormat="1" x14ac:dyDescent="0.25">
      <c r="A81" s="52"/>
      <c r="B81" s="52"/>
      <c r="C81" s="52"/>
      <c r="D81" s="52"/>
      <c r="E81" s="52" t="str">
        <f t="shared" si="4"/>
        <v>PROG</v>
      </c>
      <c r="F81" s="52"/>
      <c r="G81" s="52" t="str">
        <f t="shared" si="5"/>
        <v>P</v>
      </c>
      <c r="H81" s="52"/>
      <c r="I81" s="52"/>
      <c r="J81" s="52" t="str">
        <f t="shared" si="6"/>
        <v>ELEM</v>
      </c>
      <c r="K81" s="52"/>
      <c r="L81" s="87"/>
      <c r="M81" s="52" t="e">
        <v>#N/A</v>
      </c>
      <c r="N81" s="52"/>
      <c r="O81" s="52"/>
      <c r="P81" s="52"/>
      <c r="Q81" s="52"/>
      <c r="R81" s="52"/>
      <c r="S81" s="52"/>
      <c r="T81" s="52"/>
      <c r="U81" s="52"/>
      <c r="V81" s="52"/>
      <c r="W81" s="53"/>
      <c r="X81" s="23"/>
      <c r="Y81" s="52"/>
      <c r="Z81" s="52"/>
      <c r="AA81" s="52"/>
      <c r="AB81" s="52"/>
      <c r="AC81" s="52"/>
      <c r="AD81" s="52"/>
      <c r="AE81" s="52"/>
    </row>
    <row r="82" spans="1:31" s="55" customFormat="1" x14ac:dyDescent="0.25">
      <c r="A82" s="52"/>
      <c r="B82" s="52"/>
      <c r="C82" s="52"/>
      <c r="D82" s="52"/>
      <c r="E82" s="52" t="str">
        <f t="shared" si="4"/>
        <v>PROG</v>
      </c>
      <c r="F82" s="52"/>
      <c r="G82" s="52" t="str">
        <f t="shared" si="5"/>
        <v>P</v>
      </c>
      <c r="H82" s="52"/>
      <c r="I82" s="52"/>
      <c r="J82" s="52" t="str">
        <f t="shared" si="6"/>
        <v>ELEM</v>
      </c>
      <c r="K82" s="52"/>
      <c r="L82" s="87"/>
      <c r="M82" s="52" t="e">
        <v>#N/A</v>
      </c>
      <c r="N82" s="52"/>
      <c r="O82" s="52"/>
      <c r="P82" s="52"/>
      <c r="Q82" s="52"/>
      <c r="R82" s="52"/>
      <c r="S82" s="52"/>
      <c r="T82" s="52"/>
      <c r="U82" s="52"/>
      <c r="V82" s="52"/>
      <c r="W82" s="53"/>
      <c r="X82" s="23"/>
      <c r="Y82" s="52"/>
      <c r="Z82" s="52"/>
      <c r="AA82" s="52"/>
      <c r="AB82" s="52"/>
      <c r="AC82" s="52"/>
      <c r="AD82" s="52"/>
      <c r="AE82" s="52"/>
    </row>
    <row r="83" spans="1:31" s="55" customFormat="1" x14ac:dyDescent="0.25">
      <c r="A83" s="52"/>
      <c r="B83" s="52"/>
      <c r="C83" s="52"/>
      <c r="D83" s="52"/>
      <c r="E83" s="52" t="str">
        <f t="shared" si="4"/>
        <v>PROG</v>
      </c>
      <c r="F83" s="52"/>
      <c r="G83" s="52" t="str">
        <f t="shared" si="5"/>
        <v>P</v>
      </c>
      <c r="H83" s="52"/>
      <c r="I83" s="52"/>
      <c r="J83" s="52" t="str">
        <f t="shared" si="6"/>
        <v>ELEM</v>
      </c>
      <c r="K83" s="52"/>
      <c r="L83" s="87"/>
      <c r="M83" s="52" t="e">
        <v>#N/A</v>
      </c>
      <c r="N83" s="52"/>
      <c r="O83" s="52"/>
      <c r="P83" s="52"/>
      <c r="Q83" s="52"/>
      <c r="R83" s="52"/>
      <c r="S83" s="52"/>
      <c r="T83" s="52"/>
      <c r="U83" s="52"/>
      <c r="V83" s="52"/>
      <c r="W83" s="53"/>
      <c r="X83" s="23"/>
      <c r="Y83" s="52"/>
      <c r="Z83" s="52"/>
      <c r="AA83" s="52"/>
      <c r="AB83" s="52"/>
      <c r="AC83" s="52"/>
      <c r="AD83" s="52"/>
      <c r="AE83" s="52"/>
    </row>
    <row r="84" spans="1:31" s="55" customFormat="1" x14ac:dyDescent="0.25">
      <c r="A84" s="52"/>
      <c r="B84" s="52"/>
      <c r="C84" s="52"/>
      <c r="D84" s="52"/>
      <c r="E84" s="52" t="str">
        <f t="shared" si="4"/>
        <v>PROG</v>
      </c>
      <c r="F84" s="52"/>
      <c r="G84" s="52" t="str">
        <f t="shared" si="5"/>
        <v>P</v>
      </c>
      <c r="H84" s="52"/>
      <c r="I84" s="52"/>
      <c r="J84" s="52" t="str">
        <f t="shared" si="6"/>
        <v>ELEM</v>
      </c>
      <c r="K84" s="52"/>
      <c r="L84" s="87"/>
      <c r="M84" s="52" t="e">
        <v>#N/A</v>
      </c>
      <c r="N84" s="52"/>
      <c r="O84" s="52"/>
      <c r="P84" s="52"/>
      <c r="Q84" s="52"/>
      <c r="R84" s="52"/>
      <c r="S84" s="52"/>
      <c r="T84" s="52"/>
      <c r="U84" s="52"/>
      <c r="V84" s="52"/>
      <c r="W84" s="53"/>
      <c r="X84" s="23"/>
      <c r="Y84" s="52"/>
      <c r="Z84" s="52"/>
      <c r="AA84" s="52"/>
      <c r="AB84" s="52"/>
      <c r="AC84" s="52"/>
      <c r="AD84" s="52"/>
      <c r="AE84" s="52"/>
    </row>
    <row r="85" spans="1:31" s="55" customFormat="1" x14ac:dyDescent="0.25">
      <c r="A85" s="52"/>
      <c r="B85" s="52"/>
      <c r="C85" s="52"/>
      <c r="D85" s="52"/>
      <c r="E85" s="52" t="str">
        <f t="shared" si="4"/>
        <v>PROG</v>
      </c>
      <c r="F85" s="52"/>
      <c r="G85" s="52" t="str">
        <f t="shared" si="5"/>
        <v>P</v>
      </c>
      <c r="H85" s="52"/>
      <c r="I85" s="52"/>
      <c r="J85" s="52" t="str">
        <f t="shared" si="6"/>
        <v>ELEM</v>
      </c>
      <c r="K85" s="52"/>
      <c r="L85" s="87"/>
      <c r="M85" s="52" t="e">
        <v>#N/A</v>
      </c>
      <c r="N85" s="52"/>
      <c r="O85" s="52"/>
      <c r="P85" s="52"/>
      <c r="Q85" s="52"/>
      <c r="R85" s="52"/>
      <c r="S85" s="52"/>
      <c r="T85" s="52"/>
      <c r="U85" s="52"/>
      <c r="V85" s="52"/>
      <c r="W85" s="53"/>
      <c r="X85" s="23"/>
      <c r="Y85" s="52"/>
      <c r="Z85" s="52"/>
      <c r="AA85" s="52"/>
      <c r="AB85" s="52"/>
      <c r="AC85" s="52"/>
      <c r="AD85" s="52"/>
      <c r="AE85" s="52"/>
    </row>
    <row r="86" spans="1:31" s="55" customFormat="1" x14ac:dyDescent="0.25">
      <c r="A86" s="52"/>
      <c r="B86" s="52"/>
      <c r="C86" s="52"/>
      <c r="D86" s="52"/>
      <c r="E86" s="52" t="str">
        <f t="shared" si="4"/>
        <v>PROG</v>
      </c>
      <c r="F86" s="52"/>
      <c r="G86" s="52" t="str">
        <f t="shared" si="5"/>
        <v>P</v>
      </c>
      <c r="H86" s="52"/>
      <c r="I86" s="52"/>
      <c r="J86" s="52" t="str">
        <f t="shared" si="6"/>
        <v>ELEM</v>
      </c>
      <c r="K86" s="52"/>
      <c r="L86" s="87"/>
      <c r="M86" s="52" t="e">
        <v>#N/A</v>
      </c>
      <c r="N86" s="52"/>
      <c r="O86" s="52"/>
      <c r="P86" s="52"/>
      <c r="Q86" s="52"/>
      <c r="R86" s="52"/>
      <c r="S86" s="52"/>
      <c r="T86" s="52"/>
      <c r="U86" s="52"/>
      <c r="V86" s="52"/>
      <c r="W86" s="53"/>
      <c r="X86" s="23"/>
      <c r="Y86" s="52"/>
      <c r="Z86" s="52"/>
      <c r="AA86" s="52"/>
      <c r="AB86" s="52"/>
      <c r="AC86" s="52"/>
      <c r="AD86" s="52"/>
      <c r="AE86" s="52"/>
    </row>
    <row r="87" spans="1:31" s="55" customFormat="1" x14ac:dyDescent="0.25">
      <c r="A87" s="52"/>
      <c r="B87" s="52"/>
      <c r="C87" s="52"/>
      <c r="D87" s="52"/>
      <c r="E87" s="52" t="str">
        <f t="shared" si="4"/>
        <v>PROG</v>
      </c>
      <c r="F87" s="52"/>
      <c r="G87" s="52" t="str">
        <f t="shared" si="5"/>
        <v>P</v>
      </c>
      <c r="H87" s="52"/>
      <c r="I87" s="52"/>
      <c r="J87" s="52" t="str">
        <f t="shared" si="6"/>
        <v>ELEM</v>
      </c>
      <c r="K87" s="52"/>
      <c r="L87" s="87"/>
      <c r="M87" s="52" t="e">
        <v>#N/A</v>
      </c>
      <c r="N87" s="52"/>
      <c r="O87" s="52"/>
      <c r="P87" s="52"/>
      <c r="Q87" s="52"/>
      <c r="R87" s="52"/>
      <c r="S87" s="52"/>
      <c r="T87" s="52"/>
      <c r="U87" s="52"/>
      <c r="V87" s="52"/>
      <c r="W87" s="53"/>
      <c r="X87" s="23"/>
      <c r="Y87" s="52"/>
      <c r="Z87" s="52"/>
      <c r="AA87" s="52"/>
      <c r="AB87" s="52"/>
      <c r="AC87" s="52"/>
      <c r="AD87" s="52"/>
      <c r="AE87" s="52"/>
    </row>
    <row r="88" spans="1:31" s="55" customFormat="1" x14ac:dyDescent="0.25">
      <c r="A88" s="52"/>
      <c r="B88" s="52"/>
      <c r="C88" s="52"/>
      <c r="D88" s="52"/>
      <c r="E88" s="52" t="str">
        <f t="shared" si="4"/>
        <v>PROG</v>
      </c>
      <c r="F88" s="52"/>
      <c r="G88" s="52" t="str">
        <f t="shared" si="5"/>
        <v>P</v>
      </c>
      <c r="H88" s="52"/>
      <c r="I88" s="52"/>
      <c r="J88" s="52" t="str">
        <f t="shared" si="6"/>
        <v>ELEM</v>
      </c>
      <c r="K88" s="52"/>
      <c r="L88" s="87"/>
      <c r="M88" s="52" t="e">
        <v>#N/A</v>
      </c>
      <c r="N88" s="52"/>
      <c r="O88" s="52"/>
      <c r="P88" s="52"/>
      <c r="Q88" s="52"/>
      <c r="R88" s="52"/>
      <c r="S88" s="52"/>
      <c r="T88" s="52"/>
      <c r="U88" s="52"/>
      <c r="V88" s="52"/>
      <c r="W88" s="53"/>
      <c r="X88" s="23"/>
      <c r="Y88" s="52"/>
      <c r="Z88" s="52"/>
      <c r="AA88" s="52"/>
      <c r="AB88" s="52"/>
      <c r="AC88" s="52"/>
      <c r="AD88" s="52"/>
      <c r="AE88" s="52"/>
    </row>
    <row r="89" spans="1:31" s="55" customFormat="1" x14ac:dyDescent="0.25">
      <c r="A89" s="52"/>
      <c r="B89" s="52"/>
      <c r="C89" s="52"/>
      <c r="D89" s="52"/>
      <c r="E89" s="52" t="str">
        <f t="shared" si="4"/>
        <v>PROG</v>
      </c>
      <c r="F89" s="52"/>
      <c r="G89" s="52" t="str">
        <f t="shared" si="5"/>
        <v>P</v>
      </c>
      <c r="H89" s="52"/>
      <c r="I89" s="52"/>
      <c r="J89" s="52" t="str">
        <f t="shared" si="6"/>
        <v>ELEM</v>
      </c>
      <c r="K89" s="52"/>
      <c r="L89" s="87"/>
      <c r="M89" s="52" t="e">
        <v>#N/A</v>
      </c>
      <c r="N89" s="52"/>
      <c r="O89" s="52"/>
      <c r="P89" s="52"/>
      <c r="Q89" s="52"/>
      <c r="R89" s="52"/>
      <c r="S89" s="52"/>
      <c r="T89" s="52"/>
      <c r="U89" s="52"/>
      <c r="V89" s="52"/>
      <c r="W89" s="53"/>
      <c r="X89" s="23"/>
      <c r="Y89" s="52"/>
      <c r="Z89" s="52"/>
      <c r="AA89" s="52"/>
      <c r="AB89" s="52"/>
      <c r="AC89" s="52"/>
      <c r="AD89" s="52"/>
      <c r="AE89" s="52"/>
    </row>
    <row r="90" spans="1:31" s="55" customFormat="1" x14ac:dyDescent="0.25">
      <c r="A90" s="52"/>
      <c r="B90" s="52"/>
      <c r="C90" s="52"/>
      <c r="D90" s="52"/>
      <c r="E90" s="52" t="str">
        <f t="shared" si="4"/>
        <v>PROG</v>
      </c>
      <c r="F90" s="52"/>
      <c r="G90" s="52" t="str">
        <f t="shared" si="5"/>
        <v>P</v>
      </c>
      <c r="H90" s="52"/>
      <c r="I90" s="52"/>
      <c r="J90" s="52" t="str">
        <f t="shared" si="6"/>
        <v>ELEM</v>
      </c>
      <c r="K90" s="52"/>
      <c r="L90" s="87"/>
      <c r="M90" s="52" t="e">
        <v>#N/A</v>
      </c>
      <c r="N90" s="52"/>
      <c r="O90" s="52"/>
      <c r="P90" s="52"/>
      <c r="Q90" s="52"/>
      <c r="R90" s="52"/>
      <c r="S90" s="52"/>
      <c r="T90" s="52"/>
      <c r="U90" s="52"/>
      <c r="V90" s="52"/>
      <c r="W90" s="53"/>
      <c r="X90" s="23"/>
      <c r="Y90" s="52"/>
      <c r="Z90" s="52"/>
      <c r="AA90" s="52"/>
      <c r="AB90" s="52"/>
      <c r="AC90" s="52"/>
      <c r="AD90" s="52"/>
      <c r="AE90" s="52"/>
    </row>
    <row r="91" spans="1:31" s="55" customFormat="1" x14ac:dyDescent="0.25">
      <c r="A91" s="52"/>
      <c r="B91" s="52"/>
      <c r="C91" s="52"/>
      <c r="D91" s="52"/>
      <c r="E91" s="52" t="str">
        <f t="shared" si="4"/>
        <v>PROG</v>
      </c>
      <c r="F91" s="52"/>
      <c r="G91" s="52" t="str">
        <f t="shared" si="5"/>
        <v>P</v>
      </c>
      <c r="H91" s="52"/>
      <c r="I91" s="52"/>
      <c r="J91" s="52" t="str">
        <f t="shared" si="6"/>
        <v>ELEM</v>
      </c>
      <c r="K91" s="52"/>
      <c r="L91" s="87"/>
      <c r="M91" s="52" t="e">
        <v>#N/A</v>
      </c>
      <c r="N91" s="52"/>
      <c r="O91" s="52"/>
      <c r="P91" s="52"/>
      <c r="Q91" s="52"/>
      <c r="R91" s="52"/>
      <c r="S91" s="52"/>
      <c r="T91" s="52"/>
      <c r="U91" s="52"/>
      <c r="V91" s="52"/>
      <c r="W91" s="53"/>
      <c r="X91" s="23"/>
      <c r="Y91" s="52"/>
      <c r="Z91" s="52"/>
      <c r="AA91" s="52"/>
      <c r="AB91" s="52"/>
      <c r="AC91" s="52"/>
      <c r="AD91" s="52"/>
      <c r="AE91" s="52"/>
    </row>
    <row r="92" spans="1:31" s="55" customFormat="1" x14ac:dyDescent="0.25">
      <c r="A92" s="52"/>
      <c r="B92" s="52"/>
      <c r="C92" s="52"/>
      <c r="D92" s="52"/>
      <c r="E92" s="52" t="str">
        <f t="shared" si="4"/>
        <v>PROG</v>
      </c>
      <c r="F92" s="52"/>
      <c r="G92" s="52" t="str">
        <f t="shared" si="5"/>
        <v>P</v>
      </c>
      <c r="H92" s="52"/>
      <c r="I92" s="52"/>
      <c r="J92" s="52" t="str">
        <f t="shared" si="6"/>
        <v>ELEM</v>
      </c>
      <c r="K92" s="52"/>
      <c r="L92" s="87"/>
      <c r="M92" s="52" t="e">
        <v>#N/A</v>
      </c>
      <c r="N92" s="52"/>
      <c r="O92" s="52"/>
      <c r="P92" s="52"/>
      <c r="Q92" s="52"/>
      <c r="R92" s="52"/>
      <c r="S92" s="52"/>
      <c r="T92" s="52"/>
      <c r="U92" s="52"/>
      <c r="V92" s="52"/>
      <c r="W92" s="53"/>
      <c r="X92" s="23"/>
      <c r="Y92" s="52"/>
      <c r="Z92" s="52"/>
      <c r="AA92" s="52"/>
      <c r="AB92" s="52"/>
      <c r="AC92" s="52"/>
      <c r="AD92" s="52"/>
      <c r="AE92" s="52"/>
    </row>
    <row r="93" spans="1:31" s="55" customFormat="1" x14ac:dyDescent="0.25">
      <c r="A93" s="52"/>
      <c r="B93" s="52"/>
      <c r="C93" s="52"/>
      <c r="D93" s="52"/>
      <c r="E93" s="52" t="str">
        <f t="shared" si="4"/>
        <v>PROG</v>
      </c>
      <c r="F93" s="52"/>
      <c r="G93" s="52" t="str">
        <f t="shared" si="5"/>
        <v>P</v>
      </c>
      <c r="H93" s="52"/>
      <c r="I93" s="52"/>
      <c r="J93" s="52" t="str">
        <f t="shared" si="6"/>
        <v>ELEM</v>
      </c>
      <c r="K93" s="52"/>
      <c r="L93" s="87"/>
      <c r="M93" s="52" t="e">
        <v>#N/A</v>
      </c>
      <c r="N93" s="52"/>
      <c r="O93" s="52"/>
      <c r="P93" s="52"/>
      <c r="Q93" s="52"/>
      <c r="R93" s="52"/>
      <c r="S93" s="52"/>
      <c r="T93" s="52"/>
      <c r="U93" s="52"/>
      <c r="V93" s="52"/>
      <c r="W93" s="53"/>
      <c r="X93" s="23"/>
      <c r="Y93" s="52"/>
      <c r="Z93" s="52"/>
      <c r="AA93" s="52"/>
      <c r="AB93" s="52"/>
      <c r="AC93" s="52"/>
      <c r="AD93" s="52"/>
      <c r="AE93" s="52"/>
    </row>
    <row r="94" spans="1:31" s="55" customFormat="1" x14ac:dyDescent="0.25">
      <c r="A94" s="52"/>
      <c r="B94" s="52"/>
      <c r="C94" s="52"/>
      <c r="D94" s="52"/>
      <c r="E94" s="52" t="str">
        <f t="shared" si="4"/>
        <v>PROG</v>
      </c>
      <c r="F94" s="52"/>
      <c r="G94" s="52" t="str">
        <f t="shared" si="5"/>
        <v>P</v>
      </c>
      <c r="H94" s="52"/>
      <c r="I94" s="52"/>
      <c r="J94" s="52" t="str">
        <f t="shared" si="6"/>
        <v>ELEM</v>
      </c>
      <c r="K94" s="52"/>
      <c r="L94" s="87"/>
      <c r="M94" s="52" t="e">
        <v>#N/A</v>
      </c>
      <c r="N94" s="52"/>
      <c r="O94" s="52"/>
      <c r="P94" s="52"/>
      <c r="Q94" s="52"/>
      <c r="R94" s="52"/>
      <c r="S94" s="52"/>
      <c r="T94" s="52"/>
      <c r="U94" s="52"/>
      <c r="V94" s="52"/>
      <c r="W94" s="53"/>
      <c r="X94" s="23"/>
      <c r="Y94" s="52"/>
      <c r="Z94" s="52"/>
      <c r="AA94" s="52"/>
      <c r="AB94" s="52"/>
      <c r="AC94" s="52"/>
      <c r="AD94" s="52"/>
      <c r="AE94" s="52"/>
    </row>
    <row r="95" spans="1:31" s="55" customFormat="1" x14ac:dyDescent="0.25">
      <c r="A95" s="52"/>
      <c r="B95" s="52"/>
      <c r="C95" s="52"/>
      <c r="D95" s="52"/>
      <c r="E95" s="52" t="str">
        <f t="shared" si="4"/>
        <v>PROG</v>
      </c>
      <c r="F95" s="52"/>
      <c r="G95" s="52" t="str">
        <f t="shared" si="5"/>
        <v>P</v>
      </c>
      <c r="H95" s="52"/>
      <c r="I95" s="52"/>
      <c r="J95" s="52" t="str">
        <f t="shared" si="6"/>
        <v>ELEM</v>
      </c>
      <c r="K95" s="52"/>
      <c r="L95" s="87"/>
      <c r="M95" s="52" t="e">
        <v>#N/A</v>
      </c>
      <c r="N95" s="52"/>
      <c r="O95" s="52"/>
      <c r="P95" s="52"/>
      <c r="Q95" s="52"/>
      <c r="R95" s="52"/>
      <c r="S95" s="52"/>
      <c r="T95" s="52"/>
      <c r="U95" s="52"/>
      <c r="V95" s="52"/>
      <c r="W95" s="53"/>
      <c r="X95" s="23"/>
      <c r="Y95" s="52"/>
      <c r="Z95" s="52"/>
      <c r="AA95" s="52"/>
      <c r="AB95" s="52"/>
      <c r="AC95" s="52"/>
      <c r="AD95" s="52"/>
      <c r="AE95" s="52"/>
    </row>
    <row r="96" spans="1:31" s="55" customFormat="1" x14ac:dyDescent="0.25">
      <c r="A96" s="52"/>
      <c r="B96" s="52"/>
      <c r="C96" s="52"/>
      <c r="D96" s="52"/>
      <c r="E96" s="52" t="str">
        <f t="shared" si="4"/>
        <v>PROG</v>
      </c>
      <c r="F96" s="52"/>
      <c r="G96" s="52" t="str">
        <f t="shared" si="5"/>
        <v>P</v>
      </c>
      <c r="H96" s="52"/>
      <c r="I96" s="52"/>
      <c r="J96" s="52" t="str">
        <f t="shared" si="6"/>
        <v>ELEM</v>
      </c>
      <c r="K96" s="52"/>
      <c r="L96" s="87"/>
      <c r="M96" s="52" t="e">
        <v>#N/A</v>
      </c>
      <c r="N96" s="52"/>
      <c r="O96" s="52"/>
      <c r="P96" s="52"/>
      <c r="Q96" s="52"/>
      <c r="R96" s="52"/>
      <c r="S96" s="52"/>
      <c r="T96" s="52"/>
      <c r="U96" s="52"/>
      <c r="V96" s="52"/>
      <c r="W96" s="53"/>
      <c r="X96" s="23"/>
      <c r="Y96" s="52"/>
      <c r="Z96" s="52"/>
      <c r="AA96" s="52"/>
      <c r="AB96" s="52"/>
      <c r="AC96" s="52"/>
      <c r="AD96" s="52"/>
      <c r="AE96" s="52"/>
    </row>
    <row r="97" spans="1:31" s="55" customFormat="1" x14ac:dyDescent="0.25">
      <c r="A97" s="52"/>
      <c r="B97" s="52"/>
      <c r="C97" s="52"/>
      <c r="D97" s="52"/>
      <c r="E97" s="52" t="str">
        <f t="shared" si="4"/>
        <v>PROG</v>
      </c>
      <c r="F97" s="52"/>
      <c r="G97" s="52" t="str">
        <f t="shared" si="5"/>
        <v>P</v>
      </c>
      <c r="H97" s="52"/>
      <c r="I97" s="52"/>
      <c r="J97" s="52" t="str">
        <f t="shared" si="6"/>
        <v>ELEM</v>
      </c>
      <c r="K97" s="52"/>
      <c r="L97" s="87"/>
      <c r="M97" s="52" t="e">
        <v>#N/A</v>
      </c>
      <c r="N97" s="52"/>
      <c r="O97" s="52"/>
      <c r="P97" s="52"/>
      <c r="Q97" s="52"/>
      <c r="R97" s="52"/>
      <c r="S97" s="52"/>
      <c r="T97" s="52"/>
      <c r="U97" s="52"/>
      <c r="V97" s="52"/>
      <c r="W97" s="53"/>
      <c r="X97" s="23"/>
      <c r="Y97" s="52"/>
      <c r="Z97" s="52"/>
      <c r="AA97" s="52"/>
      <c r="AB97" s="52"/>
      <c r="AC97" s="52"/>
      <c r="AD97" s="52"/>
      <c r="AE97" s="52"/>
    </row>
    <row r="98" spans="1:31" s="55" customFormat="1" x14ac:dyDescent="0.25">
      <c r="A98" s="52"/>
      <c r="B98" s="52"/>
      <c r="C98" s="52"/>
      <c r="D98" s="52"/>
      <c r="E98" s="52" t="str">
        <f t="shared" si="4"/>
        <v>PROG</v>
      </c>
      <c r="F98" s="52"/>
      <c r="G98" s="52" t="str">
        <f t="shared" si="5"/>
        <v>P</v>
      </c>
      <c r="H98" s="52"/>
      <c r="I98" s="52"/>
      <c r="J98" s="52" t="str">
        <f t="shared" si="6"/>
        <v>ELEM</v>
      </c>
      <c r="K98" s="52"/>
      <c r="L98" s="87"/>
      <c r="M98" s="52" t="e">
        <v>#N/A</v>
      </c>
      <c r="N98" s="52"/>
      <c r="O98" s="52"/>
      <c r="P98" s="52"/>
      <c r="Q98" s="52"/>
      <c r="R98" s="52"/>
      <c r="S98" s="52"/>
      <c r="T98" s="52"/>
      <c r="U98" s="52"/>
      <c r="V98" s="52"/>
      <c r="W98" s="53"/>
      <c r="X98" s="23"/>
      <c r="Y98" s="52"/>
      <c r="Z98" s="52"/>
      <c r="AA98" s="52"/>
      <c r="AB98" s="52"/>
      <c r="AC98" s="52"/>
      <c r="AD98" s="52"/>
      <c r="AE98" s="52"/>
    </row>
    <row r="99" spans="1:31" s="55" customFormat="1" x14ac:dyDescent="0.25">
      <c r="A99" s="52"/>
      <c r="B99" s="52"/>
      <c r="C99" s="52"/>
      <c r="D99" s="52"/>
      <c r="E99" s="52" t="str">
        <f t="shared" si="4"/>
        <v>PROG</v>
      </c>
      <c r="F99" s="52"/>
      <c r="G99" s="52" t="str">
        <f t="shared" si="5"/>
        <v>P</v>
      </c>
      <c r="H99" s="52"/>
      <c r="I99" s="52"/>
      <c r="J99" s="52" t="str">
        <f t="shared" si="6"/>
        <v>ELEM</v>
      </c>
      <c r="K99" s="52"/>
      <c r="L99" s="87"/>
      <c r="M99" s="52" t="e">
        <v>#N/A</v>
      </c>
      <c r="N99" s="52"/>
      <c r="O99" s="52"/>
      <c r="P99" s="52"/>
      <c r="Q99" s="52"/>
      <c r="R99" s="52"/>
      <c r="S99" s="52"/>
      <c r="T99" s="52"/>
      <c r="U99" s="52"/>
      <c r="V99" s="52"/>
      <c r="W99" s="53"/>
      <c r="X99" s="23"/>
      <c r="Y99" s="52"/>
      <c r="Z99" s="52"/>
      <c r="AA99" s="52"/>
      <c r="AB99" s="52"/>
      <c r="AC99" s="52"/>
      <c r="AD99" s="52"/>
      <c r="AE99" s="52"/>
    </row>
    <row r="100" spans="1:31" s="55" customFormat="1" x14ac:dyDescent="0.25">
      <c r="A100" s="52"/>
      <c r="B100" s="52"/>
      <c r="C100" s="52"/>
      <c r="D100" s="52"/>
      <c r="E100" s="52" t="str">
        <f t="shared" si="4"/>
        <v>PROG</v>
      </c>
      <c r="F100" s="52"/>
      <c r="G100" s="52" t="str">
        <f t="shared" si="5"/>
        <v>P</v>
      </c>
      <c r="H100" s="52"/>
      <c r="I100" s="52"/>
      <c r="J100" s="52" t="str">
        <f t="shared" si="6"/>
        <v>ELEM</v>
      </c>
      <c r="K100" s="52"/>
      <c r="L100" s="87"/>
      <c r="M100" s="52" t="e">
        <v>#N/A</v>
      </c>
      <c r="N100" s="52"/>
      <c r="O100" s="52"/>
      <c r="P100" s="52"/>
      <c r="Q100" s="52"/>
      <c r="R100" s="52"/>
      <c r="S100" s="52"/>
      <c r="T100" s="52"/>
      <c r="U100" s="52"/>
      <c r="V100" s="52"/>
      <c r="W100" s="53"/>
      <c r="X100" s="23"/>
      <c r="Y100" s="52"/>
      <c r="Z100" s="52"/>
      <c r="AA100" s="52"/>
      <c r="AB100" s="52"/>
      <c r="AC100" s="52"/>
      <c r="AD100" s="52"/>
      <c r="AE100" s="52"/>
    </row>
    <row r="101" spans="1:31" s="55" customFormat="1" x14ac:dyDescent="0.25">
      <c r="A101" s="52"/>
      <c r="B101" s="52"/>
      <c r="C101" s="52"/>
      <c r="D101" s="52"/>
      <c r="E101" s="52" t="str">
        <f t="shared" si="4"/>
        <v>PROG</v>
      </c>
      <c r="F101" s="52"/>
      <c r="G101" s="52" t="str">
        <f t="shared" si="5"/>
        <v>P</v>
      </c>
      <c r="H101" s="52"/>
      <c r="I101" s="52"/>
      <c r="J101" s="52" t="str">
        <f t="shared" si="6"/>
        <v>ELEM</v>
      </c>
      <c r="K101" s="52"/>
      <c r="L101" s="87"/>
      <c r="M101" s="52" t="e">
        <v>#N/A</v>
      </c>
      <c r="N101" s="52"/>
      <c r="O101" s="52"/>
      <c r="P101" s="52"/>
      <c r="Q101" s="52"/>
      <c r="R101" s="52"/>
      <c r="S101" s="52"/>
      <c r="T101" s="52"/>
      <c r="U101" s="52"/>
      <c r="V101" s="52"/>
      <c r="W101" s="53"/>
      <c r="X101" s="23"/>
      <c r="Y101" s="52"/>
      <c r="Z101" s="52"/>
      <c r="AA101" s="52"/>
      <c r="AB101" s="52"/>
      <c r="AC101" s="52"/>
      <c r="AD101" s="52"/>
      <c r="AE101" s="52"/>
    </row>
    <row r="102" spans="1:31" s="55" customFormat="1" x14ac:dyDescent="0.25">
      <c r="A102" s="52"/>
      <c r="B102" s="52"/>
      <c r="C102" s="52"/>
      <c r="D102" s="52"/>
      <c r="E102" s="52" t="str">
        <f t="shared" si="4"/>
        <v>PROG</v>
      </c>
      <c r="F102" s="52"/>
      <c r="G102" s="52" t="str">
        <f t="shared" si="5"/>
        <v>P</v>
      </c>
      <c r="H102" s="52"/>
      <c r="I102" s="52"/>
      <c r="J102" s="52" t="str">
        <f t="shared" si="6"/>
        <v>ELEM</v>
      </c>
      <c r="K102" s="52"/>
      <c r="L102" s="87"/>
      <c r="M102" s="52" t="e">
        <v>#N/A</v>
      </c>
      <c r="N102" s="52"/>
      <c r="O102" s="52"/>
      <c r="P102" s="52"/>
      <c r="Q102" s="52"/>
      <c r="R102" s="52"/>
      <c r="S102" s="52"/>
      <c r="T102" s="52"/>
      <c r="U102" s="52"/>
      <c r="V102" s="52"/>
      <c r="W102" s="53"/>
      <c r="X102" s="23"/>
      <c r="Y102" s="52"/>
      <c r="Z102" s="52"/>
      <c r="AA102" s="52"/>
      <c r="AB102" s="52"/>
      <c r="AC102" s="52"/>
      <c r="AD102" s="52"/>
      <c r="AE102" s="52"/>
    </row>
    <row r="103" spans="1:31" s="55" customFormat="1" x14ac:dyDescent="0.25">
      <c r="A103" s="52"/>
      <c r="B103" s="52"/>
      <c r="C103" s="52"/>
      <c r="D103" s="52"/>
      <c r="E103" s="52" t="str">
        <f t="shared" si="4"/>
        <v>PROG</v>
      </c>
      <c r="F103" s="52"/>
      <c r="G103" s="52" t="str">
        <f t="shared" si="5"/>
        <v>P</v>
      </c>
      <c r="H103" s="52"/>
      <c r="I103" s="52"/>
      <c r="J103" s="52" t="str">
        <f t="shared" si="6"/>
        <v>ELEM</v>
      </c>
      <c r="K103" s="52"/>
      <c r="L103" s="87"/>
      <c r="M103" s="52" t="e">
        <v>#N/A</v>
      </c>
      <c r="N103" s="52"/>
      <c r="O103" s="52"/>
      <c r="P103" s="52"/>
      <c r="Q103" s="52"/>
      <c r="R103" s="52"/>
      <c r="S103" s="52"/>
      <c r="T103" s="52"/>
      <c r="U103" s="52"/>
      <c r="V103" s="52"/>
      <c r="W103" s="53"/>
      <c r="X103" s="23"/>
      <c r="Y103" s="52"/>
      <c r="Z103" s="52"/>
      <c r="AA103" s="52"/>
      <c r="AB103" s="52"/>
      <c r="AC103" s="52"/>
      <c r="AD103" s="52"/>
      <c r="AE103" s="52"/>
    </row>
    <row r="104" spans="1:31" s="55" customFormat="1" x14ac:dyDescent="0.25">
      <c r="A104" s="52"/>
      <c r="B104" s="52"/>
      <c r="C104" s="52"/>
      <c r="D104" s="52"/>
      <c r="E104" s="52" t="str">
        <f t="shared" si="4"/>
        <v>PROG</v>
      </c>
      <c r="F104" s="52"/>
      <c r="G104" s="52" t="str">
        <f t="shared" si="5"/>
        <v>P</v>
      </c>
      <c r="H104" s="52"/>
      <c r="I104" s="52"/>
      <c r="J104" s="52" t="str">
        <f t="shared" si="6"/>
        <v>ELEM</v>
      </c>
      <c r="K104" s="52"/>
      <c r="L104" s="87"/>
      <c r="M104" s="52" t="e">
        <v>#N/A</v>
      </c>
      <c r="N104" s="52"/>
      <c r="O104" s="52"/>
      <c r="P104" s="52"/>
      <c r="Q104" s="52"/>
      <c r="R104" s="52"/>
      <c r="S104" s="52"/>
      <c r="T104" s="52"/>
      <c r="U104" s="52"/>
      <c r="V104" s="52"/>
      <c r="W104" s="53"/>
      <c r="X104" s="23"/>
      <c r="Y104" s="52"/>
      <c r="Z104" s="52"/>
      <c r="AA104" s="52"/>
      <c r="AB104" s="52"/>
      <c r="AC104" s="52"/>
      <c r="AD104" s="52"/>
      <c r="AE104" s="52"/>
    </row>
    <row r="105" spans="1:31" s="55" customFormat="1" x14ac:dyDescent="0.25">
      <c r="A105" s="52"/>
      <c r="B105" s="52"/>
      <c r="C105" s="52"/>
      <c r="D105" s="52"/>
      <c r="E105" s="52" t="str">
        <f t="shared" si="4"/>
        <v>PROG</v>
      </c>
      <c r="F105" s="52"/>
      <c r="G105" s="52" t="str">
        <f t="shared" si="5"/>
        <v>P</v>
      </c>
      <c r="H105" s="52"/>
      <c r="I105" s="52"/>
      <c r="J105" s="52" t="str">
        <f t="shared" si="6"/>
        <v>ELEM</v>
      </c>
      <c r="K105" s="52"/>
      <c r="L105" s="87"/>
      <c r="M105" s="52" t="e">
        <v>#N/A</v>
      </c>
      <c r="N105" s="52"/>
      <c r="O105" s="52"/>
      <c r="P105" s="52"/>
      <c r="Q105" s="52"/>
      <c r="R105" s="52"/>
      <c r="S105" s="52"/>
      <c r="T105" s="52"/>
      <c r="U105" s="52"/>
      <c r="V105" s="52"/>
      <c r="W105" s="53"/>
      <c r="X105" s="23"/>
      <c r="Y105" s="52"/>
      <c r="Z105" s="52"/>
      <c r="AA105" s="52"/>
      <c r="AB105" s="52"/>
      <c r="AC105" s="52"/>
      <c r="AD105" s="52"/>
      <c r="AE105" s="52"/>
    </row>
    <row r="106" spans="1:31" s="55" customFormat="1" x14ac:dyDescent="0.25">
      <c r="A106" s="52"/>
      <c r="B106" s="52"/>
      <c r="C106" s="52"/>
      <c r="D106" s="52"/>
      <c r="E106" s="52" t="str">
        <f t="shared" si="4"/>
        <v>PROG</v>
      </c>
      <c r="F106" s="52"/>
      <c r="G106" s="52" t="str">
        <f t="shared" si="5"/>
        <v>P</v>
      </c>
      <c r="H106" s="52"/>
      <c r="I106" s="52"/>
      <c r="J106" s="52" t="str">
        <f t="shared" si="6"/>
        <v>ELEM</v>
      </c>
      <c r="K106" s="52"/>
      <c r="L106" s="87"/>
      <c r="M106" s="52" t="e">
        <v>#N/A</v>
      </c>
      <c r="N106" s="52"/>
      <c r="O106" s="52"/>
      <c r="P106" s="52"/>
      <c r="Q106" s="52"/>
      <c r="R106" s="52"/>
      <c r="S106" s="52"/>
      <c r="T106" s="52"/>
      <c r="U106" s="52"/>
      <c r="V106" s="52"/>
      <c r="W106" s="53"/>
      <c r="X106" s="23"/>
      <c r="Y106" s="52"/>
      <c r="Z106" s="52"/>
      <c r="AA106" s="52"/>
      <c r="AB106" s="52"/>
      <c r="AC106" s="52"/>
      <c r="AD106" s="52"/>
      <c r="AE106" s="52"/>
    </row>
    <row r="107" spans="1:31" s="55" customFormat="1" x14ac:dyDescent="0.25">
      <c r="A107" s="52"/>
      <c r="B107" s="52"/>
      <c r="C107" s="52"/>
      <c r="D107" s="52"/>
      <c r="E107" s="52" t="str">
        <f t="shared" si="4"/>
        <v>PROG</v>
      </c>
      <c r="F107" s="52"/>
      <c r="G107" s="52" t="str">
        <f t="shared" si="5"/>
        <v>P</v>
      </c>
      <c r="H107" s="52"/>
      <c r="I107" s="52"/>
      <c r="J107" s="52" t="str">
        <f t="shared" si="6"/>
        <v>ELEM</v>
      </c>
      <c r="K107" s="52"/>
      <c r="L107" s="87"/>
      <c r="M107" s="52" t="e">
        <v>#N/A</v>
      </c>
      <c r="N107" s="52"/>
      <c r="O107" s="52"/>
      <c r="P107" s="52"/>
      <c r="Q107" s="52"/>
      <c r="R107" s="52"/>
      <c r="S107" s="52"/>
      <c r="T107" s="52"/>
      <c r="U107" s="52"/>
      <c r="V107" s="52"/>
      <c r="W107" s="53"/>
      <c r="X107" s="23"/>
      <c r="Y107" s="52"/>
      <c r="Z107" s="52"/>
      <c r="AA107" s="52"/>
      <c r="AB107" s="52"/>
      <c r="AC107" s="52"/>
      <c r="AD107" s="52"/>
      <c r="AE107" s="52"/>
    </row>
    <row r="108" spans="1:31" s="55" customFormat="1" x14ac:dyDescent="0.25">
      <c r="A108" s="52"/>
      <c r="B108" s="52"/>
      <c r="C108" s="52"/>
      <c r="D108" s="52"/>
      <c r="E108" s="52" t="str">
        <f t="shared" si="4"/>
        <v>PROG</v>
      </c>
      <c r="F108" s="52"/>
      <c r="G108" s="52" t="str">
        <f t="shared" si="5"/>
        <v>P</v>
      </c>
      <c r="H108" s="52"/>
      <c r="I108" s="52"/>
      <c r="J108" s="52" t="str">
        <f t="shared" si="6"/>
        <v>ELEM</v>
      </c>
      <c r="K108" s="52"/>
      <c r="L108" s="87"/>
      <c r="M108" s="52" t="e">
        <v>#N/A</v>
      </c>
      <c r="N108" s="52"/>
      <c r="O108" s="52"/>
      <c r="P108" s="52"/>
      <c r="Q108" s="52"/>
      <c r="R108" s="52"/>
      <c r="S108" s="52"/>
      <c r="T108" s="52"/>
      <c r="U108" s="52"/>
      <c r="V108" s="52"/>
      <c r="W108" s="53"/>
      <c r="X108" s="23"/>
      <c r="Y108" s="52"/>
      <c r="Z108" s="52"/>
      <c r="AA108" s="52"/>
      <c r="AB108" s="52"/>
      <c r="AC108" s="52"/>
      <c r="AD108" s="52"/>
      <c r="AE108" s="52"/>
    </row>
    <row r="109" spans="1:31" s="55" customFormat="1" x14ac:dyDescent="0.25">
      <c r="A109" s="52"/>
      <c r="B109" s="52"/>
      <c r="C109" s="52"/>
      <c r="D109" s="52"/>
      <c r="E109" s="52" t="str">
        <f t="shared" si="4"/>
        <v>PROG</v>
      </c>
      <c r="F109" s="52"/>
      <c r="G109" s="52" t="str">
        <f t="shared" si="5"/>
        <v>P</v>
      </c>
      <c r="H109" s="52"/>
      <c r="I109" s="52"/>
      <c r="J109" s="52" t="str">
        <f t="shared" si="6"/>
        <v>ELEM</v>
      </c>
      <c r="K109" s="52"/>
      <c r="L109" s="87"/>
      <c r="M109" s="52" t="e">
        <v>#N/A</v>
      </c>
      <c r="N109" s="52"/>
      <c r="O109" s="52"/>
      <c r="P109" s="52"/>
      <c r="Q109" s="52"/>
      <c r="R109" s="52"/>
      <c r="S109" s="52"/>
      <c r="T109" s="52"/>
      <c r="U109" s="52"/>
      <c r="V109" s="52"/>
      <c r="W109" s="53"/>
      <c r="X109" s="23"/>
      <c r="Y109" s="52"/>
      <c r="Z109" s="52"/>
      <c r="AA109" s="52"/>
      <c r="AB109" s="52"/>
      <c r="AC109" s="52"/>
      <c r="AD109" s="52"/>
      <c r="AE109" s="52"/>
    </row>
    <row r="110" spans="1:31" s="55" customFormat="1" x14ac:dyDescent="0.25">
      <c r="A110" s="52"/>
      <c r="B110" s="52"/>
      <c r="C110" s="52"/>
      <c r="D110" s="52"/>
      <c r="E110" s="52" t="str">
        <f t="shared" si="4"/>
        <v>PROG</v>
      </c>
      <c r="F110" s="52"/>
      <c r="G110" s="52" t="str">
        <f t="shared" si="5"/>
        <v>P</v>
      </c>
      <c r="H110" s="52"/>
      <c r="I110" s="52"/>
      <c r="J110" s="52" t="str">
        <f t="shared" si="6"/>
        <v>ELEM</v>
      </c>
      <c r="K110" s="52"/>
      <c r="L110" s="87"/>
      <c r="M110" s="52" t="e">
        <v>#N/A</v>
      </c>
      <c r="N110" s="52"/>
      <c r="O110" s="52"/>
      <c r="P110" s="52"/>
      <c r="Q110" s="52"/>
      <c r="R110" s="52"/>
      <c r="S110" s="52"/>
      <c r="T110" s="52"/>
      <c r="U110" s="52"/>
      <c r="V110" s="52"/>
      <c r="W110" s="53"/>
      <c r="X110" s="23"/>
      <c r="Y110" s="52"/>
      <c r="Z110" s="52"/>
      <c r="AA110" s="52"/>
      <c r="AB110" s="52"/>
      <c r="AC110" s="52"/>
      <c r="AD110" s="52"/>
      <c r="AE110" s="52"/>
    </row>
    <row r="111" spans="1:31" s="55" customFormat="1" x14ac:dyDescent="0.25">
      <c r="A111" s="52"/>
      <c r="B111" s="52"/>
      <c r="C111" s="52"/>
      <c r="D111" s="52"/>
      <c r="E111" s="52" t="str">
        <f t="shared" si="4"/>
        <v>PROG</v>
      </c>
      <c r="F111" s="52"/>
      <c r="G111" s="52" t="str">
        <f t="shared" si="5"/>
        <v>P</v>
      </c>
      <c r="H111" s="52"/>
      <c r="I111" s="52"/>
      <c r="J111" s="52" t="str">
        <f t="shared" si="6"/>
        <v>ELEM</v>
      </c>
      <c r="K111" s="52"/>
      <c r="L111" s="87"/>
      <c r="M111" s="52" t="e">
        <v>#N/A</v>
      </c>
      <c r="N111" s="52"/>
      <c r="O111" s="52"/>
      <c r="P111" s="52"/>
      <c r="Q111" s="52"/>
      <c r="R111" s="52"/>
      <c r="S111" s="52"/>
      <c r="T111" s="52"/>
      <c r="U111" s="52"/>
      <c r="V111" s="52"/>
      <c r="W111" s="53"/>
      <c r="X111" s="23"/>
      <c r="Y111" s="52"/>
      <c r="Z111" s="52"/>
      <c r="AA111" s="52"/>
      <c r="AB111" s="52"/>
      <c r="AC111" s="52"/>
      <c r="AD111" s="52"/>
      <c r="AE111" s="52"/>
    </row>
    <row r="112" spans="1:31" s="55" customFormat="1" x14ac:dyDescent="0.25">
      <c r="A112" s="52"/>
      <c r="B112" s="52"/>
      <c r="C112" s="52"/>
      <c r="D112" s="52"/>
      <c r="E112" s="52" t="str">
        <f t="shared" si="4"/>
        <v>PROG</v>
      </c>
      <c r="F112" s="52"/>
      <c r="G112" s="52" t="str">
        <f t="shared" si="5"/>
        <v>P</v>
      </c>
      <c r="H112" s="52"/>
      <c r="I112" s="52"/>
      <c r="J112" s="52" t="str">
        <f t="shared" si="6"/>
        <v>ELEM</v>
      </c>
      <c r="K112" s="52"/>
      <c r="L112" s="87"/>
      <c r="M112" s="52" t="e">
        <v>#N/A</v>
      </c>
      <c r="N112" s="52"/>
      <c r="O112" s="52"/>
      <c r="P112" s="52"/>
      <c r="Q112" s="52"/>
      <c r="R112" s="52"/>
      <c r="S112" s="52"/>
      <c r="T112" s="52"/>
      <c r="U112" s="52"/>
      <c r="V112" s="52"/>
      <c r="W112" s="53"/>
      <c r="X112" s="23"/>
      <c r="Y112" s="52"/>
      <c r="Z112" s="52"/>
      <c r="AA112" s="52"/>
      <c r="AB112" s="52"/>
      <c r="AC112" s="52"/>
      <c r="AD112" s="52"/>
      <c r="AE112" s="52"/>
    </row>
    <row r="113" spans="1:31" s="55" customFormat="1" x14ac:dyDescent="0.25">
      <c r="A113" s="52"/>
      <c r="B113" s="52"/>
      <c r="C113" s="52"/>
      <c r="D113" s="52"/>
      <c r="E113" s="52" t="str">
        <f t="shared" si="4"/>
        <v>PROG</v>
      </c>
      <c r="F113" s="52"/>
      <c r="G113" s="52" t="str">
        <f t="shared" si="5"/>
        <v>P</v>
      </c>
      <c r="H113" s="52"/>
      <c r="I113" s="52"/>
      <c r="J113" s="52" t="str">
        <f t="shared" si="6"/>
        <v>ELEM</v>
      </c>
      <c r="K113" s="52"/>
      <c r="L113" s="87"/>
      <c r="M113" s="52" t="e">
        <v>#N/A</v>
      </c>
      <c r="N113" s="52"/>
      <c r="O113" s="52"/>
      <c r="P113" s="52"/>
      <c r="Q113" s="52"/>
      <c r="R113" s="52"/>
      <c r="S113" s="52"/>
      <c r="T113" s="52"/>
      <c r="U113" s="52"/>
      <c r="V113" s="52"/>
      <c r="W113" s="53"/>
      <c r="X113" s="23"/>
      <c r="Y113" s="52"/>
      <c r="Z113" s="52"/>
      <c r="AA113" s="52"/>
      <c r="AB113" s="52"/>
      <c r="AC113" s="52"/>
      <c r="AD113" s="52"/>
      <c r="AE113" s="52"/>
    </row>
    <row r="114" spans="1:31" s="55" customFormat="1" x14ac:dyDescent="0.25">
      <c r="A114" s="52"/>
      <c r="B114" s="52"/>
      <c r="C114" s="52"/>
      <c r="D114" s="52"/>
      <c r="E114" s="52" t="str">
        <f t="shared" si="4"/>
        <v>PROG</v>
      </c>
      <c r="F114" s="52"/>
      <c r="G114" s="52" t="str">
        <f t="shared" si="5"/>
        <v>P</v>
      </c>
      <c r="H114" s="52"/>
      <c r="I114" s="52"/>
      <c r="J114" s="52" t="str">
        <f t="shared" si="6"/>
        <v>ELEM</v>
      </c>
      <c r="K114" s="52"/>
      <c r="L114" s="87"/>
      <c r="M114" s="52" t="e">
        <v>#N/A</v>
      </c>
      <c r="N114" s="52"/>
      <c r="O114" s="52"/>
      <c r="P114" s="52"/>
      <c r="Q114" s="52"/>
      <c r="R114" s="52"/>
      <c r="S114" s="52"/>
      <c r="T114" s="52"/>
      <c r="U114" s="52"/>
      <c r="V114" s="52"/>
      <c r="W114" s="53"/>
      <c r="X114" s="23"/>
      <c r="Y114" s="52"/>
      <c r="Z114" s="52"/>
      <c r="AA114" s="52"/>
      <c r="AB114" s="52"/>
      <c r="AC114" s="52"/>
      <c r="AD114" s="52"/>
      <c r="AE114" s="52"/>
    </row>
    <row r="115" spans="1:31" s="55" customFormat="1" x14ac:dyDescent="0.25">
      <c r="A115" s="52"/>
      <c r="B115" s="52"/>
      <c r="C115" s="52"/>
      <c r="D115" s="52"/>
      <c r="E115" s="52" t="str">
        <f t="shared" si="4"/>
        <v>PROG</v>
      </c>
      <c r="F115" s="52"/>
      <c r="G115" s="52" t="str">
        <f t="shared" si="5"/>
        <v>P</v>
      </c>
      <c r="H115" s="52"/>
      <c r="I115" s="52"/>
      <c r="J115" s="52" t="str">
        <f t="shared" si="6"/>
        <v>ELEM</v>
      </c>
      <c r="K115" s="52"/>
      <c r="L115" s="87"/>
      <c r="M115" s="52" t="e">
        <v>#N/A</v>
      </c>
      <c r="N115" s="52"/>
      <c r="O115" s="52"/>
      <c r="P115" s="52"/>
      <c r="Q115" s="52"/>
      <c r="R115" s="52"/>
      <c r="S115" s="52"/>
      <c r="T115" s="52"/>
      <c r="U115" s="52"/>
      <c r="V115" s="52"/>
      <c r="W115" s="53"/>
      <c r="X115" s="23"/>
      <c r="Y115" s="52"/>
      <c r="Z115" s="52"/>
      <c r="AA115" s="52"/>
      <c r="AB115" s="52"/>
      <c r="AC115" s="52"/>
      <c r="AD115" s="52"/>
      <c r="AE115" s="52"/>
    </row>
    <row r="116" spans="1:31" s="55" customFormat="1" x14ac:dyDescent="0.25">
      <c r="A116" s="52"/>
      <c r="B116" s="52"/>
      <c r="C116" s="52"/>
      <c r="D116" s="52"/>
      <c r="E116" s="52" t="str">
        <f t="shared" si="4"/>
        <v>PROG</v>
      </c>
      <c r="F116" s="52"/>
      <c r="G116" s="52" t="str">
        <f t="shared" si="5"/>
        <v>P</v>
      </c>
      <c r="H116" s="52"/>
      <c r="I116" s="52"/>
      <c r="J116" s="52" t="str">
        <f t="shared" si="6"/>
        <v>ELEM</v>
      </c>
      <c r="K116" s="52"/>
      <c r="L116" s="87"/>
      <c r="M116" s="52" t="e">
        <v>#N/A</v>
      </c>
      <c r="N116" s="52"/>
      <c r="O116" s="52"/>
      <c r="P116" s="52"/>
      <c r="Q116" s="52"/>
      <c r="R116" s="52"/>
      <c r="S116" s="52"/>
      <c r="T116" s="52"/>
      <c r="U116" s="52"/>
      <c r="V116" s="52"/>
      <c r="W116" s="53"/>
      <c r="X116" s="23"/>
      <c r="Y116" s="52"/>
      <c r="Z116" s="52"/>
      <c r="AA116" s="52"/>
      <c r="AB116" s="52"/>
      <c r="AC116" s="52"/>
      <c r="AD116" s="52"/>
      <c r="AE116" s="52"/>
    </row>
    <row r="117" spans="1:31" s="55" customFormat="1" x14ac:dyDescent="0.25">
      <c r="A117" s="52"/>
      <c r="B117" s="52"/>
      <c r="C117" s="52"/>
      <c r="D117" s="52"/>
      <c r="E117" s="52" t="str">
        <f t="shared" si="4"/>
        <v>PROG</v>
      </c>
      <c r="F117" s="52"/>
      <c r="G117" s="52" t="str">
        <f t="shared" si="5"/>
        <v>P</v>
      </c>
      <c r="H117" s="52"/>
      <c r="I117" s="52"/>
      <c r="J117" s="52" t="str">
        <f t="shared" si="6"/>
        <v>ELEM</v>
      </c>
      <c r="K117" s="52"/>
      <c r="L117" s="87"/>
      <c r="M117" s="52" t="e">
        <v>#N/A</v>
      </c>
      <c r="N117" s="52"/>
      <c r="O117" s="52"/>
      <c r="P117" s="52"/>
      <c r="Q117" s="52"/>
      <c r="R117" s="52"/>
      <c r="S117" s="52"/>
      <c r="T117" s="52"/>
      <c r="U117" s="52"/>
      <c r="V117" s="52"/>
      <c r="W117" s="53"/>
      <c r="X117" s="23"/>
      <c r="Y117" s="52"/>
      <c r="Z117" s="52"/>
      <c r="AA117" s="52"/>
      <c r="AB117" s="52"/>
      <c r="AC117" s="52"/>
      <c r="AD117" s="52"/>
      <c r="AE117" s="52"/>
    </row>
    <row r="118" spans="1:31" s="55" customFormat="1" x14ac:dyDescent="0.25">
      <c r="A118" s="52"/>
      <c r="B118" s="52"/>
      <c r="C118" s="52"/>
      <c r="D118" s="52"/>
      <c r="E118" s="52" t="str">
        <f t="shared" si="4"/>
        <v>PROG</v>
      </c>
      <c r="F118" s="52"/>
      <c r="G118" s="52" t="str">
        <f t="shared" si="5"/>
        <v>P</v>
      </c>
      <c r="H118" s="52"/>
      <c r="I118" s="52"/>
      <c r="J118" s="52" t="str">
        <f t="shared" si="6"/>
        <v>ELEM</v>
      </c>
      <c r="K118" s="52"/>
      <c r="L118" s="87"/>
      <c r="M118" s="52" t="e">
        <v>#N/A</v>
      </c>
      <c r="N118" s="52"/>
      <c r="O118" s="52"/>
      <c r="P118" s="52"/>
      <c r="Q118" s="52"/>
      <c r="R118" s="52"/>
      <c r="S118" s="52"/>
      <c r="T118" s="52"/>
      <c r="U118" s="52"/>
      <c r="V118" s="52"/>
      <c r="W118" s="53"/>
      <c r="X118" s="23"/>
      <c r="Y118" s="52"/>
      <c r="Z118" s="52"/>
      <c r="AA118" s="52"/>
      <c r="AB118" s="52"/>
      <c r="AC118" s="52"/>
      <c r="AD118" s="52"/>
      <c r="AE118" s="52"/>
    </row>
    <row r="119" spans="1:31" s="55" customFormat="1" x14ac:dyDescent="0.25">
      <c r="A119" s="52"/>
      <c r="B119" s="52"/>
      <c r="C119" s="52"/>
      <c r="D119" s="52"/>
      <c r="E119" s="52" t="str">
        <f t="shared" si="4"/>
        <v>PROG</v>
      </c>
      <c r="F119" s="52"/>
      <c r="G119" s="52" t="str">
        <f t="shared" si="5"/>
        <v>P</v>
      </c>
      <c r="H119" s="52"/>
      <c r="I119" s="52"/>
      <c r="J119" s="52" t="str">
        <f t="shared" si="6"/>
        <v>ELEM</v>
      </c>
      <c r="K119" s="52"/>
      <c r="L119" s="87"/>
      <c r="M119" s="52" t="e">
        <v>#N/A</v>
      </c>
      <c r="N119" s="52"/>
      <c r="O119" s="52"/>
      <c r="P119" s="52"/>
      <c r="Q119" s="52"/>
      <c r="R119" s="52"/>
      <c r="S119" s="52"/>
      <c r="T119" s="52"/>
      <c r="U119" s="52"/>
      <c r="V119" s="52"/>
      <c r="W119" s="53"/>
      <c r="X119" s="23"/>
      <c r="Y119" s="52"/>
      <c r="Z119" s="52"/>
      <c r="AA119" s="52"/>
      <c r="AB119" s="52"/>
      <c r="AC119" s="52"/>
      <c r="AD119" s="52"/>
      <c r="AE119" s="52"/>
    </row>
    <row r="120" spans="1:31" s="55" customFormat="1" x14ac:dyDescent="0.25">
      <c r="A120" s="52"/>
      <c r="B120" s="52"/>
      <c r="C120" s="52"/>
      <c r="D120" s="52"/>
      <c r="E120" s="52" t="str">
        <f t="shared" si="4"/>
        <v>PROG</v>
      </c>
      <c r="F120" s="52"/>
      <c r="G120" s="52" t="str">
        <f t="shared" si="5"/>
        <v>P</v>
      </c>
      <c r="H120" s="52"/>
      <c r="I120" s="52"/>
      <c r="J120" s="52" t="str">
        <f t="shared" si="6"/>
        <v>ELEM</v>
      </c>
      <c r="K120" s="52"/>
      <c r="L120" s="87"/>
      <c r="M120" s="52" t="e">
        <v>#N/A</v>
      </c>
      <c r="N120" s="52"/>
      <c r="O120" s="52"/>
      <c r="P120" s="52"/>
      <c r="Q120" s="52"/>
      <c r="R120" s="52"/>
      <c r="S120" s="52"/>
      <c r="T120" s="52"/>
      <c r="U120" s="52"/>
      <c r="V120" s="52"/>
      <c r="W120" s="53"/>
      <c r="X120" s="23"/>
      <c r="Y120" s="52"/>
      <c r="Z120" s="52"/>
      <c r="AA120" s="52"/>
      <c r="AB120" s="52"/>
      <c r="AC120" s="52"/>
      <c r="AD120" s="52"/>
      <c r="AE120" s="52"/>
    </row>
    <row r="121" spans="1:31" s="55" customFormat="1" x14ac:dyDescent="0.25">
      <c r="A121" s="52"/>
      <c r="B121" s="52"/>
      <c r="C121" s="52"/>
      <c r="D121" s="52"/>
      <c r="E121" s="52" t="str">
        <f t="shared" si="4"/>
        <v>PROG</v>
      </c>
      <c r="F121" s="52"/>
      <c r="G121" s="52" t="str">
        <f t="shared" si="5"/>
        <v>P</v>
      </c>
      <c r="H121" s="52"/>
      <c r="I121" s="52"/>
      <c r="J121" s="52" t="str">
        <f t="shared" si="6"/>
        <v>ELEM</v>
      </c>
      <c r="K121" s="52"/>
      <c r="L121" s="87"/>
      <c r="M121" s="52" t="e">
        <v>#N/A</v>
      </c>
      <c r="N121" s="52"/>
      <c r="O121" s="52"/>
      <c r="P121" s="52"/>
      <c r="Q121" s="52"/>
      <c r="R121" s="52"/>
      <c r="S121" s="52"/>
      <c r="T121" s="52"/>
      <c r="U121" s="52"/>
      <c r="V121" s="52"/>
      <c r="W121" s="53"/>
      <c r="X121" s="23"/>
      <c r="Y121" s="52"/>
      <c r="Z121" s="52"/>
      <c r="AA121" s="52"/>
      <c r="AB121" s="52"/>
      <c r="AC121" s="52"/>
      <c r="AD121" s="52"/>
      <c r="AE121" s="52"/>
    </row>
    <row r="122" spans="1:31" s="55" customFormat="1" x14ac:dyDescent="0.25">
      <c r="A122" s="52"/>
      <c r="B122" s="52"/>
      <c r="C122" s="52"/>
      <c r="D122" s="52"/>
      <c r="E122" s="52" t="str">
        <f t="shared" si="4"/>
        <v>PROG</v>
      </c>
      <c r="F122" s="52"/>
      <c r="G122" s="52" t="str">
        <f t="shared" si="5"/>
        <v>P</v>
      </c>
      <c r="H122" s="52"/>
      <c r="I122" s="52"/>
      <c r="J122" s="52" t="str">
        <f t="shared" si="6"/>
        <v>ELEM</v>
      </c>
      <c r="K122" s="52"/>
      <c r="L122" s="87"/>
      <c r="M122" s="52" t="e">
        <v>#N/A</v>
      </c>
      <c r="N122" s="52"/>
      <c r="O122" s="52"/>
      <c r="P122" s="52"/>
      <c r="Q122" s="52"/>
      <c r="R122" s="52"/>
      <c r="S122" s="52"/>
      <c r="T122" s="52"/>
      <c r="U122" s="52"/>
      <c r="V122" s="52"/>
      <c r="W122" s="53"/>
      <c r="X122" s="23"/>
      <c r="Y122" s="52"/>
      <c r="Z122" s="52"/>
      <c r="AA122" s="52"/>
      <c r="AB122" s="52"/>
      <c r="AC122" s="52"/>
      <c r="AD122" s="52"/>
      <c r="AE122" s="52"/>
    </row>
    <row r="123" spans="1:31" s="55" customFormat="1" x14ac:dyDescent="0.25">
      <c r="A123" s="52"/>
      <c r="B123" s="52"/>
      <c r="C123" s="52"/>
      <c r="D123" s="52"/>
      <c r="E123" s="52" t="str">
        <f t="shared" si="4"/>
        <v>PROG</v>
      </c>
      <c r="F123" s="52"/>
      <c r="G123" s="52" t="str">
        <f t="shared" si="5"/>
        <v>P</v>
      </c>
      <c r="H123" s="52"/>
      <c r="I123" s="52"/>
      <c r="J123" s="52" t="str">
        <f t="shared" si="6"/>
        <v>ELEM</v>
      </c>
      <c r="K123" s="52"/>
      <c r="L123" s="87"/>
      <c r="M123" s="52" t="e">
        <v>#N/A</v>
      </c>
      <c r="N123" s="52"/>
      <c r="O123" s="52"/>
      <c r="P123" s="52"/>
      <c r="Q123" s="52"/>
      <c r="R123" s="52"/>
      <c r="S123" s="52"/>
      <c r="T123" s="52"/>
      <c r="U123" s="52"/>
      <c r="V123" s="52"/>
      <c r="W123" s="53"/>
      <c r="X123" s="23"/>
      <c r="Y123" s="52"/>
      <c r="Z123" s="52"/>
      <c r="AA123" s="52"/>
      <c r="AB123" s="52"/>
      <c r="AC123" s="52"/>
      <c r="AD123" s="52"/>
      <c r="AE123" s="52"/>
    </row>
    <row r="124" spans="1:31" s="55" customFormat="1" x14ac:dyDescent="0.25">
      <c r="A124" s="52"/>
      <c r="B124" s="52"/>
      <c r="C124" s="52"/>
      <c r="D124" s="52"/>
      <c r="E124" s="52" t="str">
        <f t="shared" si="4"/>
        <v>PROG</v>
      </c>
      <c r="F124" s="52"/>
      <c r="G124" s="52" t="str">
        <f t="shared" si="5"/>
        <v>P</v>
      </c>
      <c r="H124" s="52"/>
      <c r="I124" s="52"/>
      <c r="J124" s="52" t="str">
        <f t="shared" si="6"/>
        <v>ELEM</v>
      </c>
      <c r="K124" s="52"/>
      <c r="L124" s="87"/>
      <c r="M124" s="52" t="e">
        <v>#N/A</v>
      </c>
      <c r="N124" s="52"/>
      <c r="O124" s="52"/>
      <c r="P124" s="52"/>
      <c r="Q124" s="52"/>
      <c r="R124" s="52"/>
      <c r="S124" s="52"/>
      <c r="T124" s="52"/>
      <c r="U124" s="52"/>
      <c r="V124" s="52"/>
      <c r="W124" s="53"/>
      <c r="X124" s="23"/>
      <c r="Y124" s="52"/>
      <c r="Z124" s="52"/>
      <c r="AA124" s="52"/>
      <c r="AB124" s="52"/>
      <c r="AC124" s="52"/>
      <c r="AD124" s="52"/>
      <c r="AE124" s="52"/>
    </row>
    <row r="125" spans="1:31" s="55" customFormat="1" x14ac:dyDescent="0.25">
      <c r="A125" s="52"/>
      <c r="B125" s="52"/>
      <c r="C125" s="52"/>
      <c r="D125" s="52"/>
      <c r="E125" s="52" t="str">
        <f t="shared" si="4"/>
        <v>PROG</v>
      </c>
      <c r="F125" s="52"/>
      <c r="G125" s="52" t="str">
        <f t="shared" si="5"/>
        <v>P</v>
      </c>
      <c r="H125" s="52"/>
      <c r="I125" s="52"/>
      <c r="J125" s="52" t="str">
        <f t="shared" si="6"/>
        <v>ELEM</v>
      </c>
      <c r="K125" s="52"/>
      <c r="L125" s="87"/>
      <c r="M125" s="52" t="e">
        <v>#N/A</v>
      </c>
      <c r="N125" s="52"/>
      <c r="O125" s="52"/>
      <c r="P125" s="52"/>
      <c r="Q125" s="52"/>
      <c r="R125" s="52"/>
      <c r="S125" s="52"/>
      <c r="T125" s="52"/>
      <c r="U125" s="52"/>
      <c r="V125" s="52"/>
      <c r="W125" s="53"/>
      <c r="X125" s="23"/>
      <c r="Y125" s="52"/>
      <c r="Z125" s="52"/>
      <c r="AA125" s="52"/>
      <c r="AB125" s="52"/>
      <c r="AC125" s="52"/>
      <c r="AD125" s="52"/>
      <c r="AE125" s="52"/>
    </row>
    <row r="126" spans="1:31" s="55" customFormat="1" x14ac:dyDescent="0.25">
      <c r="A126" s="52"/>
      <c r="B126" s="52"/>
      <c r="C126" s="52"/>
      <c r="D126" s="52"/>
      <c r="E126" s="52" t="str">
        <f t="shared" si="4"/>
        <v>PROG</v>
      </c>
      <c r="F126" s="52"/>
      <c r="G126" s="52" t="str">
        <f t="shared" si="5"/>
        <v>P</v>
      </c>
      <c r="H126" s="52"/>
      <c r="I126" s="52"/>
      <c r="J126" s="52" t="str">
        <f t="shared" si="6"/>
        <v>ELEM</v>
      </c>
      <c r="K126" s="52"/>
      <c r="L126" s="87"/>
      <c r="M126" s="52" t="e">
        <v>#N/A</v>
      </c>
      <c r="N126" s="52"/>
      <c r="O126" s="52"/>
      <c r="P126" s="52"/>
      <c r="Q126" s="52"/>
      <c r="R126" s="52"/>
      <c r="S126" s="52"/>
      <c r="T126" s="52"/>
      <c r="U126" s="52"/>
      <c r="V126" s="52"/>
      <c r="W126" s="53"/>
      <c r="X126" s="23"/>
      <c r="Y126" s="52"/>
      <c r="Z126" s="52"/>
      <c r="AA126" s="52"/>
      <c r="AB126" s="52"/>
      <c r="AC126" s="52"/>
      <c r="AD126" s="52"/>
      <c r="AE126" s="52"/>
    </row>
    <row r="127" spans="1:31" s="55" customFormat="1" x14ac:dyDescent="0.25">
      <c r="A127" s="52"/>
      <c r="B127" s="52"/>
      <c r="C127" s="52"/>
      <c r="D127" s="52"/>
      <c r="E127" s="52" t="str">
        <f t="shared" si="4"/>
        <v>PROG</v>
      </c>
      <c r="F127" s="52"/>
      <c r="G127" s="52" t="str">
        <f t="shared" si="5"/>
        <v>P</v>
      </c>
      <c r="H127" s="52"/>
      <c r="I127" s="52"/>
      <c r="J127" s="52" t="str">
        <f t="shared" si="6"/>
        <v>ELEM</v>
      </c>
      <c r="K127" s="52"/>
      <c r="L127" s="87"/>
      <c r="M127" s="52" t="e">
        <v>#N/A</v>
      </c>
      <c r="N127" s="52"/>
      <c r="O127" s="52"/>
      <c r="P127" s="52"/>
      <c r="Q127" s="52"/>
      <c r="R127" s="52"/>
      <c r="S127" s="52"/>
      <c r="T127" s="52"/>
      <c r="U127" s="52"/>
      <c r="V127" s="52"/>
      <c r="W127" s="53"/>
      <c r="X127" s="23"/>
      <c r="Y127" s="52"/>
      <c r="Z127" s="52"/>
      <c r="AA127" s="52"/>
      <c r="AB127" s="52"/>
      <c r="AC127" s="52"/>
      <c r="AD127" s="52"/>
      <c r="AE127" s="52"/>
    </row>
    <row r="128" spans="1:31" s="55" customFormat="1" x14ac:dyDescent="0.25">
      <c r="A128" s="52"/>
      <c r="B128" s="52"/>
      <c r="C128" s="52"/>
      <c r="D128" s="52"/>
      <c r="E128" s="52" t="str">
        <f t="shared" si="4"/>
        <v>PROG</v>
      </c>
      <c r="F128" s="52"/>
      <c r="G128" s="52" t="str">
        <f t="shared" si="5"/>
        <v>P</v>
      </c>
      <c r="H128" s="52"/>
      <c r="I128" s="52"/>
      <c r="J128" s="52" t="str">
        <f t="shared" si="6"/>
        <v>ELEM</v>
      </c>
      <c r="K128" s="52"/>
      <c r="L128" s="87"/>
      <c r="M128" s="52" t="e">
        <v>#N/A</v>
      </c>
      <c r="N128" s="52"/>
      <c r="O128" s="52"/>
      <c r="P128" s="52"/>
      <c r="Q128" s="52"/>
      <c r="R128" s="52"/>
      <c r="S128" s="52"/>
      <c r="T128" s="52"/>
      <c r="U128" s="52"/>
      <c r="V128" s="52"/>
      <c r="W128" s="53"/>
      <c r="X128" s="23"/>
      <c r="Y128" s="52"/>
      <c r="Z128" s="52"/>
      <c r="AA128" s="52"/>
      <c r="AB128" s="52"/>
      <c r="AC128" s="52"/>
      <c r="AD128" s="52"/>
      <c r="AE128" s="52"/>
    </row>
    <row r="129" spans="1:31" s="55" customFormat="1" x14ac:dyDescent="0.25">
      <c r="A129" s="52"/>
      <c r="B129" s="52"/>
      <c r="C129" s="52"/>
      <c r="D129" s="52"/>
      <c r="E129" s="52" t="str">
        <f t="shared" si="4"/>
        <v>PROG</v>
      </c>
      <c r="F129" s="52"/>
      <c r="G129" s="52" t="str">
        <f t="shared" si="5"/>
        <v>P</v>
      </c>
      <c r="H129" s="52"/>
      <c r="I129" s="52"/>
      <c r="J129" s="52" t="str">
        <f t="shared" si="6"/>
        <v>ELEM</v>
      </c>
      <c r="K129" s="52"/>
      <c r="L129" s="87"/>
      <c r="M129" s="52" t="e">
        <v>#N/A</v>
      </c>
      <c r="N129" s="52"/>
      <c r="O129" s="52"/>
      <c r="P129" s="52"/>
      <c r="Q129" s="52"/>
      <c r="R129" s="52"/>
      <c r="S129" s="52"/>
      <c r="T129" s="52"/>
      <c r="U129" s="52"/>
      <c r="V129" s="52"/>
      <c r="W129" s="53"/>
      <c r="X129" s="23"/>
      <c r="Y129" s="52"/>
      <c r="Z129" s="52"/>
      <c r="AA129" s="52"/>
      <c r="AB129" s="52"/>
      <c r="AC129" s="52"/>
      <c r="AD129" s="52"/>
      <c r="AE129" s="52"/>
    </row>
    <row r="130" spans="1:31" s="55" customFormat="1" x14ac:dyDescent="0.25">
      <c r="A130" s="52"/>
      <c r="B130" s="52"/>
      <c r="C130" s="52"/>
      <c r="D130" s="52"/>
      <c r="E130" s="52" t="str">
        <f t="shared" si="4"/>
        <v>PROG</v>
      </c>
      <c r="F130" s="52"/>
      <c r="G130" s="52" t="str">
        <f t="shared" si="5"/>
        <v>P</v>
      </c>
      <c r="H130" s="52"/>
      <c r="I130" s="52"/>
      <c r="J130" s="52" t="str">
        <f t="shared" si="6"/>
        <v>ELEM</v>
      </c>
      <c r="K130" s="52"/>
      <c r="L130" s="87"/>
      <c r="M130" s="52" t="e">
        <v>#N/A</v>
      </c>
      <c r="N130" s="52"/>
      <c r="O130" s="52"/>
      <c r="P130" s="52"/>
      <c r="Q130" s="52"/>
      <c r="R130" s="52"/>
      <c r="S130" s="52"/>
      <c r="T130" s="52"/>
      <c r="U130" s="52"/>
      <c r="V130" s="52"/>
      <c r="W130" s="53"/>
      <c r="X130" s="23"/>
      <c r="Y130" s="52"/>
      <c r="Z130" s="52"/>
      <c r="AA130" s="52"/>
      <c r="AB130" s="52"/>
      <c r="AC130" s="52"/>
      <c r="AD130" s="52"/>
      <c r="AE130" s="52"/>
    </row>
    <row r="131" spans="1:31" s="55" customFormat="1" x14ac:dyDescent="0.25">
      <c r="A131" s="52"/>
      <c r="B131" s="52"/>
      <c r="C131" s="52"/>
      <c r="D131" s="52"/>
      <c r="E131" s="52" t="str">
        <f t="shared" ref="E131:E194" si="7">CONCATENATE(A131,"PROG")</f>
        <v>PROG</v>
      </c>
      <c r="F131" s="52"/>
      <c r="G131" s="52" t="str">
        <f t="shared" ref="G131:G194" si="8">CONCATENATE("P",(LEFT(F131,3)),A131)</f>
        <v>P</v>
      </c>
      <c r="H131" s="52"/>
      <c r="I131" s="52"/>
      <c r="J131" s="52" t="str">
        <f t="shared" ref="J131:J194" si="9">CONCATENATE("ELEM",LEFT(I131,2))</f>
        <v>ELEM</v>
      </c>
      <c r="K131" s="52"/>
      <c r="L131" s="87"/>
      <c r="M131" s="52" t="e">
        <v>#N/A</v>
      </c>
      <c r="N131" s="52"/>
      <c r="O131" s="52"/>
      <c r="P131" s="52"/>
      <c r="Q131" s="52"/>
      <c r="R131" s="52"/>
      <c r="S131" s="52"/>
      <c r="T131" s="52"/>
      <c r="U131" s="52"/>
      <c r="V131" s="52"/>
      <c r="W131" s="53"/>
      <c r="X131" s="23"/>
      <c r="Y131" s="52"/>
      <c r="Z131" s="52"/>
      <c r="AA131" s="52"/>
      <c r="AB131" s="52"/>
      <c r="AC131" s="52"/>
      <c r="AD131" s="52"/>
      <c r="AE131" s="52"/>
    </row>
    <row r="132" spans="1:31" s="55" customFormat="1" x14ac:dyDescent="0.25">
      <c r="A132" s="52"/>
      <c r="B132" s="52"/>
      <c r="C132" s="52"/>
      <c r="D132" s="52"/>
      <c r="E132" s="52" t="str">
        <f t="shared" si="7"/>
        <v>PROG</v>
      </c>
      <c r="F132" s="52"/>
      <c r="G132" s="52" t="str">
        <f t="shared" si="8"/>
        <v>P</v>
      </c>
      <c r="H132" s="52"/>
      <c r="I132" s="52"/>
      <c r="J132" s="52" t="str">
        <f t="shared" si="9"/>
        <v>ELEM</v>
      </c>
      <c r="K132" s="52"/>
      <c r="L132" s="87"/>
      <c r="M132" s="52" t="e">
        <v>#N/A</v>
      </c>
      <c r="N132" s="52"/>
      <c r="O132" s="52"/>
      <c r="P132" s="52"/>
      <c r="Q132" s="52"/>
      <c r="R132" s="52"/>
      <c r="S132" s="52"/>
      <c r="T132" s="52"/>
      <c r="U132" s="52"/>
      <c r="V132" s="52"/>
      <c r="W132" s="53"/>
      <c r="X132" s="23"/>
      <c r="Y132" s="52"/>
      <c r="Z132" s="52"/>
      <c r="AA132" s="52"/>
      <c r="AB132" s="52"/>
      <c r="AC132" s="52"/>
      <c r="AD132" s="52"/>
      <c r="AE132" s="52"/>
    </row>
    <row r="133" spans="1:31" s="55" customFormat="1" x14ac:dyDescent="0.25">
      <c r="A133" s="52"/>
      <c r="B133" s="52"/>
      <c r="C133" s="52"/>
      <c r="D133" s="52"/>
      <c r="E133" s="52" t="str">
        <f t="shared" si="7"/>
        <v>PROG</v>
      </c>
      <c r="F133" s="52"/>
      <c r="G133" s="52" t="str">
        <f t="shared" si="8"/>
        <v>P</v>
      </c>
      <c r="H133" s="52"/>
      <c r="I133" s="52"/>
      <c r="J133" s="52" t="str">
        <f t="shared" si="9"/>
        <v>ELEM</v>
      </c>
      <c r="K133" s="52"/>
      <c r="L133" s="87"/>
      <c r="M133" s="52" t="e">
        <v>#N/A</v>
      </c>
      <c r="N133" s="52"/>
      <c r="O133" s="52"/>
      <c r="P133" s="52"/>
      <c r="Q133" s="52"/>
      <c r="R133" s="52"/>
      <c r="S133" s="52"/>
      <c r="T133" s="52"/>
      <c r="U133" s="52"/>
      <c r="V133" s="52"/>
      <c r="W133" s="53"/>
      <c r="X133" s="23"/>
      <c r="Y133" s="52"/>
      <c r="Z133" s="52"/>
      <c r="AA133" s="52"/>
      <c r="AB133" s="52"/>
      <c r="AC133" s="52"/>
      <c r="AD133" s="52"/>
      <c r="AE133" s="52"/>
    </row>
    <row r="134" spans="1:31" s="55" customFormat="1" x14ac:dyDescent="0.25">
      <c r="A134" s="52"/>
      <c r="B134" s="52"/>
      <c r="C134" s="52"/>
      <c r="D134" s="52"/>
      <c r="E134" s="52" t="str">
        <f t="shared" si="7"/>
        <v>PROG</v>
      </c>
      <c r="F134" s="52"/>
      <c r="G134" s="52" t="str">
        <f t="shared" si="8"/>
        <v>P</v>
      </c>
      <c r="H134" s="52"/>
      <c r="I134" s="52"/>
      <c r="J134" s="52" t="str">
        <f t="shared" si="9"/>
        <v>ELEM</v>
      </c>
      <c r="K134" s="52"/>
      <c r="L134" s="87"/>
      <c r="M134" s="52" t="e">
        <v>#N/A</v>
      </c>
      <c r="N134" s="52"/>
      <c r="O134" s="52"/>
      <c r="P134" s="52"/>
      <c r="Q134" s="52"/>
      <c r="R134" s="52"/>
      <c r="S134" s="52"/>
      <c r="T134" s="52"/>
      <c r="U134" s="52"/>
      <c r="V134" s="52"/>
      <c r="W134" s="53"/>
      <c r="X134" s="23"/>
      <c r="Y134" s="52"/>
      <c r="Z134" s="52"/>
      <c r="AA134" s="52"/>
      <c r="AB134" s="52"/>
      <c r="AC134" s="52"/>
      <c r="AD134" s="52"/>
      <c r="AE134" s="52"/>
    </row>
    <row r="135" spans="1:31" s="55" customFormat="1" x14ac:dyDescent="0.25">
      <c r="A135" s="52"/>
      <c r="B135" s="52"/>
      <c r="C135" s="52"/>
      <c r="D135" s="52"/>
      <c r="E135" s="52" t="str">
        <f t="shared" si="7"/>
        <v>PROG</v>
      </c>
      <c r="F135" s="52"/>
      <c r="G135" s="52" t="str">
        <f t="shared" si="8"/>
        <v>P</v>
      </c>
      <c r="H135" s="52"/>
      <c r="I135" s="52"/>
      <c r="J135" s="52" t="str">
        <f t="shared" si="9"/>
        <v>ELEM</v>
      </c>
      <c r="K135" s="52"/>
      <c r="L135" s="87"/>
      <c r="M135" s="52" t="e">
        <v>#N/A</v>
      </c>
      <c r="N135" s="52"/>
      <c r="O135" s="52"/>
      <c r="P135" s="52"/>
      <c r="Q135" s="52"/>
      <c r="R135" s="52"/>
      <c r="S135" s="52"/>
      <c r="T135" s="52"/>
      <c r="U135" s="52"/>
      <c r="V135" s="52"/>
      <c r="W135" s="53"/>
      <c r="X135" s="23"/>
      <c r="Y135" s="52"/>
      <c r="Z135" s="52"/>
      <c r="AA135" s="52"/>
      <c r="AB135" s="52"/>
      <c r="AC135" s="52"/>
      <c r="AD135" s="52"/>
      <c r="AE135" s="52"/>
    </row>
    <row r="136" spans="1:31" s="55" customFormat="1" x14ac:dyDescent="0.25">
      <c r="A136" s="52"/>
      <c r="B136" s="52"/>
      <c r="C136" s="52"/>
      <c r="D136" s="52"/>
      <c r="E136" s="52" t="str">
        <f t="shared" si="7"/>
        <v>PROG</v>
      </c>
      <c r="F136" s="52"/>
      <c r="G136" s="52" t="str">
        <f t="shared" si="8"/>
        <v>P</v>
      </c>
      <c r="H136" s="52"/>
      <c r="I136" s="52"/>
      <c r="J136" s="52" t="str">
        <f t="shared" si="9"/>
        <v>ELEM</v>
      </c>
      <c r="K136" s="52"/>
      <c r="L136" s="87"/>
      <c r="M136" s="52" t="e">
        <v>#N/A</v>
      </c>
      <c r="N136" s="52"/>
      <c r="O136" s="52"/>
      <c r="P136" s="52"/>
      <c r="Q136" s="52"/>
      <c r="R136" s="52"/>
      <c r="S136" s="52"/>
      <c r="T136" s="52"/>
      <c r="U136" s="52"/>
      <c r="V136" s="52"/>
      <c r="W136" s="53"/>
      <c r="X136" s="23"/>
      <c r="Y136" s="52"/>
      <c r="Z136" s="52"/>
      <c r="AA136" s="52"/>
      <c r="AB136" s="52"/>
      <c r="AC136" s="52"/>
      <c r="AD136" s="52"/>
      <c r="AE136" s="52"/>
    </row>
    <row r="137" spans="1:31" s="55" customFormat="1" x14ac:dyDescent="0.25">
      <c r="A137" s="52"/>
      <c r="B137" s="52"/>
      <c r="C137" s="52"/>
      <c r="D137" s="52"/>
      <c r="E137" s="52" t="str">
        <f t="shared" si="7"/>
        <v>PROG</v>
      </c>
      <c r="F137" s="52"/>
      <c r="G137" s="52" t="str">
        <f t="shared" si="8"/>
        <v>P</v>
      </c>
      <c r="H137" s="52"/>
      <c r="I137" s="52"/>
      <c r="J137" s="52" t="str">
        <f t="shared" si="9"/>
        <v>ELEM</v>
      </c>
      <c r="K137" s="52"/>
      <c r="L137" s="87"/>
      <c r="M137" s="52" t="e">
        <v>#N/A</v>
      </c>
      <c r="N137" s="52"/>
      <c r="O137" s="52"/>
      <c r="P137" s="52"/>
      <c r="Q137" s="52"/>
      <c r="R137" s="52"/>
      <c r="S137" s="52"/>
      <c r="T137" s="52"/>
      <c r="U137" s="52"/>
      <c r="V137" s="52"/>
      <c r="W137" s="53"/>
      <c r="X137" s="23"/>
      <c r="Y137" s="52"/>
      <c r="Z137" s="52"/>
      <c r="AA137" s="52"/>
      <c r="AB137" s="52"/>
      <c r="AC137" s="52"/>
      <c r="AD137" s="52"/>
      <c r="AE137" s="52"/>
    </row>
    <row r="138" spans="1:31" s="55" customFormat="1" x14ac:dyDescent="0.25">
      <c r="A138" s="52"/>
      <c r="B138" s="52"/>
      <c r="C138" s="52"/>
      <c r="D138" s="52"/>
      <c r="E138" s="52" t="str">
        <f t="shared" si="7"/>
        <v>PROG</v>
      </c>
      <c r="F138" s="52"/>
      <c r="G138" s="52" t="str">
        <f t="shared" si="8"/>
        <v>P</v>
      </c>
      <c r="H138" s="52"/>
      <c r="I138" s="52"/>
      <c r="J138" s="52" t="str">
        <f t="shared" si="9"/>
        <v>ELEM</v>
      </c>
      <c r="K138" s="52"/>
      <c r="L138" s="87"/>
      <c r="M138" s="52" t="e">
        <v>#N/A</v>
      </c>
      <c r="N138" s="52"/>
      <c r="O138" s="52"/>
      <c r="P138" s="52"/>
      <c r="Q138" s="52"/>
      <c r="R138" s="52"/>
      <c r="S138" s="52"/>
      <c r="T138" s="52"/>
      <c r="U138" s="52"/>
      <c r="V138" s="52"/>
      <c r="W138" s="53"/>
      <c r="X138" s="23"/>
      <c r="Y138" s="52"/>
      <c r="Z138" s="52"/>
      <c r="AA138" s="52"/>
      <c r="AB138" s="52"/>
      <c r="AC138" s="52"/>
      <c r="AD138" s="52"/>
      <c r="AE138" s="52"/>
    </row>
    <row r="139" spans="1:31" s="55" customFormat="1" x14ac:dyDescent="0.25">
      <c r="A139" s="52"/>
      <c r="B139" s="52"/>
      <c r="C139" s="52"/>
      <c r="D139" s="52"/>
      <c r="E139" s="52" t="str">
        <f t="shared" si="7"/>
        <v>PROG</v>
      </c>
      <c r="F139" s="52"/>
      <c r="G139" s="52" t="str">
        <f t="shared" si="8"/>
        <v>P</v>
      </c>
      <c r="H139" s="52"/>
      <c r="I139" s="52"/>
      <c r="J139" s="52" t="str">
        <f t="shared" si="9"/>
        <v>ELEM</v>
      </c>
      <c r="K139" s="52"/>
      <c r="L139" s="87"/>
      <c r="M139" s="52" t="e">
        <v>#N/A</v>
      </c>
      <c r="N139" s="52"/>
      <c r="O139" s="52"/>
      <c r="P139" s="52"/>
      <c r="Q139" s="52"/>
      <c r="R139" s="52"/>
      <c r="S139" s="52"/>
      <c r="T139" s="52"/>
      <c r="U139" s="52"/>
      <c r="V139" s="52"/>
      <c r="W139" s="53"/>
      <c r="X139" s="23"/>
      <c r="Y139" s="52"/>
      <c r="Z139" s="52"/>
      <c r="AA139" s="52"/>
      <c r="AB139" s="52"/>
      <c r="AC139" s="52"/>
      <c r="AD139" s="52"/>
      <c r="AE139" s="52"/>
    </row>
    <row r="140" spans="1:31" s="55" customFormat="1" x14ac:dyDescent="0.25">
      <c r="A140" s="52"/>
      <c r="B140" s="52"/>
      <c r="C140" s="52"/>
      <c r="D140" s="52"/>
      <c r="E140" s="52" t="str">
        <f t="shared" si="7"/>
        <v>PROG</v>
      </c>
      <c r="F140" s="52"/>
      <c r="G140" s="52" t="str">
        <f t="shared" si="8"/>
        <v>P</v>
      </c>
      <c r="H140" s="52"/>
      <c r="I140" s="52"/>
      <c r="J140" s="52" t="str">
        <f t="shared" si="9"/>
        <v>ELEM</v>
      </c>
      <c r="K140" s="52"/>
      <c r="L140" s="87"/>
      <c r="M140" s="52" t="e">
        <v>#N/A</v>
      </c>
      <c r="N140" s="52"/>
      <c r="O140" s="52"/>
      <c r="P140" s="52"/>
      <c r="Q140" s="52"/>
      <c r="R140" s="52"/>
      <c r="S140" s="52"/>
      <c r="T140" s="52"/>
      <c r="U140" s="52"/>
      <c r="V140" s="52"/>
      <c r="W140" s="53"/>
      <c r="X140" s="23"/>
      <c r="Y140" s="52"/>
      <c r="Z140" s="52"/>
      <c r="AA140" s="52"/>
      <c r="AB140" s="52"/>
      <c r="AC140" s="52"/>
      <c r="AD140" s="52"/>
      <c r="AE140" s="52"/>
    </row>
    <row r="141" spans="1:31" s="55" customFormat="1" x14ac:dyDescent="0.25">
      <c r="A141" s="52"/>
      <c r="B141" s="52"/>
      <c r="C141" s="52"/>
      <c r="D141" s="52"/>
      <c r="E141" s="52" t="str">
        <f t="shared" si="7"/>
        <v>PROG</v>
      </c>
      <c r="F141" s="52"/>
      <c r="G141" s="52" t="str">
        <f t="shared" si="8"/>
        <v>P</v>
      </c>
      <c r="H141" s="52"/>
      <c r="I141" s="52"/>
      <c r="J141" s="52" t="str">
        <f t="shared" si="9"/>
        <v>ELEM</v>
      </c>
      <c r="K141" s="52"/>
      <c r="L141" s="87"/>
      <c r="M141" s="52" t="e">
        <v>#N/A</v>
      </c>
      <c r="N141" s="52"/>
      <c r="O141" s="52"/>
      <c r="P141" s="52"/>
      <c r="Q141" s="52"/>
      <c r="R141" s="52"/>
      <c r="S141" s="52"/>
      <c r="T141" s="52"/>
      <c r="U141" s="52"/>
      <c r="V141" s="52"/>
      <c r="W141" s="53"/>
      <c r="X141" s="23"/>
      <c r="Y141" s="52"/>
      <c r="Z141" s="52"/>
      <c r="AA141" s="52"/>
      <c r="AB141" s="52"/>
      <c r="AC141" s="52"/>
      <c r="AD141" s="52"/>
      <c r="AE141" s="52"/>
    </row>
    <row r="142" spans="1:31" s="55" customFormat="1" x14ac:dyDescent="0.25">
      <c r="A142" s="52"/>
      <c r="B142" s="52"/>
      <c r="C142" s="52"/>
      <c r="D142" s="52"/>
      <c r="E142" s="52" t="str">
        <f t="shared" si="7"/>
        <v>PROG</v>
      </c>
      <c r="F142" s="52"/>
      <c r="G142" s="52" t="str">
        <f t="shared" si="8"/>
        <v>P</v>
      </c>
      <c r="H142" s="52"/>
      <c r="I142" s="52"/>
      <c r="J142" s="52" t="str">
        <f t="shared" si="9"/>
        <v>ELEM</v>
      </c>
      <c r="K142" s="52"/>
      <c r="L142" s="87"/>
      <c r="M142" s="52" t="e">
        <v>#N/A</v>
      </c>
      <c r="N142" s="52"/>
      <c r="O142" s="52"/>
      <c r="P142" s="52"/>
      <c r="Q142" s="52"/>
      <c r="R142" s="52"/>
      <c r="S142" s="52"/>
      <c r="T142" s="52"/>
      <c r="U142" s="52"/>
      <c r="V142" s="52"/>
      <c r="W142" s="53"/>
      <c r="X142" s="23"/>
      <c r="Y142" s="52"/>
      <c r="Z142" s="52"/>
      <c r="AA142" s="52"/>
      <c r="AB142" s="52"/>
      <c r="AC142" s="52"/>
      <c r="AD142" s="52"/>
      <c r="AE142" s="52"/>
    </row>
    <row r="143" spans="1:31" s="55" customFormat="1" x14ac:dyDescent="0.25">
      <c r="A143" s="52"/>
      <c r="B143" s="52"/>
      <c r="C143" s="52"/>
      <c r="D143" s="52"/>
      <c r="E143" s="52" t="str">
        <f t="shared" si="7"/>
        <v>PROG</v>
      </c>
      <c r="F143" s="52"/>
      <c r="G143" s="52" t="str">
        <f t="shared" si="8"/>
        <v>P</v>
      </c>
      <c r="H143" s="52"/>
      <c r="I143" s="52"/>
      <c r="J143" s="52" t="str">
        <f t="shared" si="9"/>
        <v>ELEM</v>
      </c>
      <c r="K143" s="52"/>
      <c r="L143" s="87"/>
      <c r="M143" s="52" t="e">
        <v>#N/A</v>
      </c>
      <c r="N143" s="52"/>
      <c r="O143" s="52"/>
      <c r="P143" s="52"/>
      <c r="Q143" s="52"/>
      <c r="R143" s="52"/>
      <c r="S143" s="52"/>
      <c r="T143" s="52"/>
      <c r="U143" s="52"/>
      <c r="V143" s="52"/>
      <c r="W143" s="53"/>
      <c r="X143" s="23"/>
      <c r="Y143" s="52"/>
      <c r="Z143" s="52"/>
      <c r="AA143" s="52"/>
      <c r="AB143" s="52"/>
      <c r="AC143" s="52"/>
      <c r="AD143" s="52"/>
      <c r="AE143" s="52"/>
    </row>
    <row r="144" spans="1:31" s="55" customFormat="1" x14ac:dyDescent="0.25">
      <c r="A144" s="52"/>
      <c r="B144" s="52"/>
      <c r="C144" s="52"/>
      <c r="D144" s="52"/>
      <c r="E144" s="52" t="str">
        <f t="shared" si="7"/>
        <v>PROG</v>
      </c>
      <c r="F144" s="52"/>
      <c r="G144" s="52" t="str">
        <f t="shared" si="8"/>
        <v>P</v>
      </c>
      <c r="H144" s="52"/>
      <c r="I144" s="52"/>
      <c r="J144" s="52" t="str">
        <f t="shared" si="9"/>
        <v>ELEM</v>
      </c>
      <c r="K144" s="52"/>
      <c r="L144" s="87"/>
      <c r="M144" s="52" t="e">
        <v>#N/A</v>
      </c>
      <c r="N144" s="52"/>
      <c r="O144" s="52"/>
      <c r="P144" s="52"/>
      <c r="Q144" s="52"/>
      <c r="R144" s="52"/>
      <c r="S144" s="52"/>
      <c r="T144" s="52"/>
      <c r="U144" s="52"/>
      <c r="V144" s="52"/>
      <c r="W144" s="53"/>
      <c r="X144" s="23"/>
      <c r="Y144" s="52"/>
      <c r="Z144" s="52"/>
      <c r="AA144" s="52"/>
      <c r="AB144" s="52"/>
      <c r="AC144" s="52"/>
      <c r="AD144" s="52"/>
      <c r="AE144" s="52"/>
    </row>
    <row r="145" spans="1:31" s="55" customFormat="1" x14ac:dyDescent="0.25">
      <c r="A145" s="52"/>
      <c r="B145" s="52"/>
      <c r="C145" s="52"/>
      <c r="D145" s="52"/>
      <c r="E145" s="52" t="str">
        <f t="shared" si="7"/>
        <v>PROG</v>
      </c>
      <c r="F145" s="52"/>
      <c r="G145" s="52" t="str">
        <f t="shared" si="8"/>
        <v>P</v>
      </c>
      <c r="H145" s="52"/>
      <c r="I145" s="52"/>
      <c r="J145" s="52" t="str">
        <f t="shared" si="9"/>
        <v>ELEM</v>
      </c>
      <c r="K145" s="52"/>
      <c r="L145" s="87"/>
      <c r="M145" s="52" t="e">
        <v>#N/A</v>
      </c>
      <c r="N145" s="52"/>
      <c r="O145" s="52"/>
      <c r="P145" s="52"/>
      <c r="Q145" s="52"/>
      <c r="R145" s="52"/>
      <c r="S145" s="52"/>
      <c r="T145" s="52"/>
      <c r="U145" s="52"/>
      <c r="V145" s="52"/>
      <c r="W145" s="53"/>
      <c r="X145" s="23"/>
      <c r="Y145" s="52"/>
      <c r="Z145" s="52"/>
      <c r="AA145" s="52"/>
      <c r="AB145" s="52"/>
      <c r="AC145" s="52"/>
      <c r="AD145" s="52"/>
      <c r="AE145" s="52"/>
    </row>
    <row r="146" spans="1:31" s="55" customFormat="1" x14ac:dyDescent="0.25">
      <c r="A146" s="52"/>
      <c r="B146" s="52"/>
      <c r="C146" s="52"/>
      <c r="D146" s="52"/>
      <c r="E146" s="52" t="str">
        <f t="shared" si="7"/>
        <v>PROG</v>
      </c>
      <c r="F146" s="52"/>
      <c r="G146" s="52" t="str">
        <f t="shared" si="8"/>
        <v>P</v>
      </c>
      <c r="H146" s="52"/>
      <c r="I146" s="52"/>
      <c r="J146" s="52" t="str">
        <f t="shared" si="9"/>
        <v>ELEM</v>
      </c>
      <c r="K146" s="52"/>
      <c r="L146" s="87"/>
      <c r="M146" s="52" t="e">
        <v>#N/A</v>
      </c>
      <c r="N146" s="52"/>
      <c r="O146" s="52"/>
      <c r="P146" s="52"/>
      <c r="Q146" s="52"/>
      <c r="R146" s="52"/>
      <c r="S146" s="52"/>
      <c r="T146" s="52"/>
      <c r="U146" s="52"/>
      <c r="V146" s="52"/>
      <c r="W146" s="53"/>
      <c r="X146" s="23"/>
      <c r="Y146" s="52"/>
      <c r="Z146" s="52"/>
      <c r="AA146" s="52"/>
      <c r="AB146" s="52"/>
      <c r="AC146" s="52"/>
      <c r="AD146" s="52"/>
      <c r="AE146" s="52"/>
    </row>
    <row r="147" spans="1:31" s="55" customFormat="1" x14ac:dyDescent="0.25">
      <c r="A147" s="52"/>
      <c r="B147" s="52"/>
      <c r="C147" s="52"/>
      <c r="D147" s="52"/>
      <c r="E147" s="52" t="str">
        <f t="shared" si="7"/>
        <v>PROG</v>
      </c>
      <c r="F147" s="52"/>
      <c r="G147" s="52" t="str">
        <f t="shared" si="8"/>
        <v>P</v>
      </c>
      <c r="H147" s="52"/>
      <c r="I147" s="52"/>
      <c r="J147" s="52" t="str">
        <f t="shared" si="9"/>
        <v>ELEM</v>
      </c>
      <c r="K147" s="52"/>
      <c r="L147" s="87"/>
      <c r="M147" s="52" t="e">
        <v>#N/A</v>
      </c>
      <c r="N147" s="52"/>
      <c r="O147" s="52"/>
      <c r="P147" s="52"/>
      <c r="Q147" s="52"/>
      <c r="R147" s="52"/>
      <c r="S147" s="52"/>
      <c r="T147" s="52"/>
      <c r="U147" s="52"/>
      <c r="V147" s="52"/>
      <c r="W147" s="53"/>
      <c r="X147" s="23"/>
      <c r="Y147" s="52"/>
      <c r="Z147" s="52"/>
      <c r="AA147" s="52"/>
      <c r="AB147" s="52"/>
      <c r="AC147" s="52"/>
      <c r="AD147" s="52"/>
      <c r="AE147" s="52"/>
    </row>
    <row r="148" spans="1:31" s="55" customFormat="1" x14ac:dyDescent="0.25">
      <c r="A148" s="52"/>
      <c r="B148" s="52"/>
      <c r="C148" s="52"/>
      <c r="D148" s="52"/>
      <c r="E148" s="52" t="str">
        <f t="shared" si="7"/>
        <v>PROG</v>
      </c>
      <c r="F148" s="52"/>
      <c r="G148" s="52" t="str">
        <f t="shared" si="8"/>
        <v>P</v>
      </c>
      <c r="H148" s="52"/>
      <c r="I148" s="52"/>
      <c r="J148" s="52" t="str">
        <f t="shared" si="9"/>
        <v>ELEM</v>
      </c>
      <c r="K148" s="52"/>
      <c r="L148" s="87"/>
      <c r="M148" s="52" t="e">
        <v>#N/A</v>
      </c>
      <c r="N148" s="52"/>
      <c r="O148" s="52"/>
      <c r="P148" s="52"/>
      <c r="Q148" s="52"/>
      <c r="R148" s="52"/>
      <c r="S148" s="52"/>
      <c r="T148" s="52"/>
      <c r="U148" s="52"/>
      <c r="V148" s="52"/>
      <c r="W148" s="53"/>
      <c r="X148" s="23"/>
      <c r="Y148" s="52"/>
      <c r="Z148" s="52"/>
      <c r="AA148" s="52"/>
      <c r="AB148" s="52"/>
      <c r="AC148" s="52"/>
      <c r="AD148" s="52"/>
      <c r="AE148" s="52"/>
    </row>
    <row r="149" spans="1:31" s="55" customFormat="1" x14ac:dyDescent="0.25">
      <c r="A149" s="52"/>
      <c r="B149" s="52"/>
      <c r="C149" s="52"/>
      <c r="D149" s="52"/>
      <c r="E149" s="52" t="str">
        <f t="shared" si="7"/>
        <v>PROG</v>
      </c>
      <c r="F149" s="52"/>
      <c r="G149" s="52" t="str">
        <f t="shared" si="8"/>
        <v>P</v>
      </c>
      <c r="H149" s="52"/>
      <c r="I149" s="52"/>
      <c r="J149" s="52" t="str">
        <f t="shared" si="9"/>
        <v>ELEM</v>
      </c>
      <c r="K149" s="52"/>
      <c r="L149" s="87"/>
      <c r="M149" s="52" t="e">
        <v>#N/A</v>
      </c>
      <c r="N149" s="52"/>
      <c r="O149" s="52"/>
      <c r="P149" s="52"/>
      <c r="Q149" s="52"/>
      <c r="R149" s="52"/>
      <c r="S149" s="52"/>
      <c r="T149" s="52"/>
      <c r="U149" s="52"/>
      <c r="V149" s="52"/>
      <c r="W149" s="53"/>
      <c r="X149" s="23"/>
      <c r="Y149" s="52"/>
      <c r="Z149" s="52"/>
      <c r="AA149" s="52"/>
      <c r="AB149" s="52"/>
      <c r="AC149" s="52"/>
      <c r="AD149" s="52"/>
      <c r="AE149" s="52"/>
    </row>
    <row r="150" spans="1:31" s="55" customFormat="1" x14ac:dyDescent="0.25">
      <c r="A150" s="52"/>
      <c r="B150" s="52"/>
      <c r="C150" s="52"/>
      <c r="D150" s="52"/>
      <c r="E150" s="52" t="str">
        <f t="shared" si="7"/>
        <v>PROG</v>
      </c>
      <c r="F150" s="52"/>
      <c r="G150" s="52" t="str">
        <f t="shared" si="8"/>
        <v>P</v>
      </c>
      <c r="H150" s="52"/>
      <c r="I150" s="52"/>
      <c r="J150" s="52" t="str">
        <f t="shared" si="9"/>
        <v>ELEM</v>
      </c>
      <c r="K150" s="52"/>
      <c r="L150" s="87"/>
      <c r="M150" s="52" t="e">
        <v>#N/A</v>
      </c>
      <c r="N150" s="52"/>
      <c r="O150" s="52"/>
      <c r="P150" s="52"/>
      <c r="Q150" s="52"/>
      <c r="R150" s="52"/>
      <c r="S150" s="52"/>
      <c r="T150" s="52"/>
      <c r="U150" s="52"/>
      <c r="V150" s="52"/>
      <c r="W150" s="53"/>
      <c r="X150" s="23"/>
      <c r="Y150" s="52"/>
      <c r="Z150" s="52"/>
      <c r="AA150" s="52"/>
      <c r="AB150" s="52"/>
      <c r="AC150" s="52"/>
      <c r="AD150" s="52"/>
      <c r="AE150" s="52"/>
    </row>
    <row r="151" spans="1:31" s="55" customFormat="1" x14ac:dyDescent="0.25">
      <c r="A151" s="52"/>
      <c r="B151" s="52"/>
      <c r="C151" s="52"/>
      <c r="D151" s="52"/>
      <c r="E151" s="52" t="str">
        <f t="shared" si="7"/>
        <v>PROG</v>
      </c>
      <c r="F151" s="52"/>
      <c r="G151" s="52" t="str">
        <f t="shared" si="8"/>
        <v>P</v>
      </c>
      <c r="H151" s="52"/>
      <c r="I151" s="52"/>
      <c r="J151" s="52" t="str">
        <f t="shared" si="9"/>
        <v>ELEM</v>
      </c>
      <c r="K151" s="52"/>
      <c r="L151" s="87"/>
      <c r="M151" s="52" t="e">
        <v>#N/A</v>
      </c>
      <c r="N151" s="52"/>
      <c r="O151" s="52"/>
      <c r="P151" s="52"/>
      <c r="Q151" s="52"/>
      <c r="R151" s="52"/>
      <c r="S151" s="52"/>
      <c r="T151" s="52"/>
      <c r="U151" s="52"/>
      <c r="V151" s="52"/>
      <c r="W151" s="53"/>
      <c r="X151" s="23"/>
      <c r="Y151" s="52"/>
      <c r="Z151" s="52"/>
      <c r="AA151" s="52"/>
      <c r="AB151" s="52"/>
      <c r="AC151" s="52"/>
      <c r="AD151" s="52"/>
      <c r="AE151" s="52"/>
    </row>
    <row r="152" spans="1:31" s="55" customFormat="1" x14ac:dyDescent="0.25">
      <c r="A152" s="52"/>
      <c r="B152" s="52"/>
      <c r="C152" s="52"/>
      <c r="D152" s="52"/>
      <c r="E152" s="52" t="str">
        <f t="shared" si="7"/>
        <v>PROG</v>
      </c>
      <c r="F152" s="52"/>
      <c r="G152" s="52" t="str">
        <f t="shared" si="8"/>
        <v>P</v>
      </c>
      <c r="H152" s="52"/>
      <c r="I152" s="52"/>
      <c r="J152" s="52" t="str">
        <f t="shared" si="9"/>
        <v>ELEM</v>
      </c>
      <c r="K152" s="52"/>
      <c r="L152" s="87"/>
      <c r="M152" s="52" t="e">
        <v>#N/A</v>
      </c>
      <c r="N152" s="52"/>
      <c r="O152" s="52"/>
      <c r="P152" s="52"/>
      <c r="Q152" s="52"/>
      <c r="R152" s="52"/>
      <c r="S152" s="52"/>
      <c r="T152" s="52"/>
      <c r="U152" s="52"/>
      <c r="V152" s="52"/>
      <c r="W152" s="53"/>
      <c r="X152" s="23"/>
      <c r="Y152" s="52"/>
      <c r="Z152" s="52"/>
      <c r="AA152" s="52"/>
      <c r="AB152" s="52"/>
      <c r="AC152" s="52"/>
      <c r="AD152" s="52"/>
      <c r="AE152" s="52"/>
    </row>
    <row r="153" spans="1:31" s="55" customFormat="1" x14ac:dyDescent="0.25">
      <c r="A153" s="52"/>
      <c r="B153" s="52"/>
      <c r="C153" s="52"/>
      <c r="D153" s="52"/>
      <c r="E153" s="52" t="str">
        <f t="shared" si="7"/>
        <v>PROG</v>
      </c>
      <c r="F153" s="52"/>
      <c r="G153" s="52" t="str">
        <f t="shared" si="8"/>
        <v>P</v>
      </c>
      <c r="H153" s="52"/>
      <c r="I153" s="52"/>
      <c r="J153" s="52" t="str">
        <f t="shared" si="9"/>
        <v>ELEM</v>
      </c>
      <c r="K153" s="52"/>
      <c r="L153" s="87"/>
      <c r="M153" s="52" t="e">
        <v>#N/A</v>
      </c>
      <c r="N153" s="52"/>
      <c r="O153" s="52"/>
      <c r="P153" s="52"/>
      <c r="Q153" s="52"/>
      <c r="R153" s="52"/>
      <c r="S153" s="52"/>
      <c r="T153" s="52"/>
      <c r="U153" s="52"/>
      <c r="V153" s="52"/>
      <c r="W153" s="53"/>
      <c r="X153" s="23"/>
      <c r="Y153" s="52"/>
      <c r="Z153" s="52"/>
      <c r="AA153" s="52"/>
      <c r="AB153" s="52"/>
      <c r="AC153" s="52"/>
      <c r="AD153" s="52"/>
      <c r="AE153" s="52"/>
    </row>
    <row r="154" spans="1:31" s="55" customFormat="1" x14ac:dyDescent="0.25">
      <c r="A154" s="52"/>
      <c r="B154" s="52"/>
      <c r="C154" s="52"/>
      <c r="D154" s="52"/>
      <c r="E154" s="52" t="str">
        <f t="shared" si="7"/>
        <v>PROG</v>
      </c>
      <c r="F154" s="52"/>
      <c r="G154" s="52" t="str">
        <f t="shared" si="8"/>
        <v>P</v>
      </c>
      <c r="H154" s="52"/>
      <c r="I154" s="52"/>
      <c r="J154" s="52" t="str">
        <f t="shared" si="9"/>
        <v>ELEM</v>
      </c>
      <c r="K154" s="52"/>
      <c r="L154" s="87"/>
      <c r="M154" s="52" t="e">
        <v>#N/A</v>
      </c>
      <c r="N154" s="52"/>
      <c r="O154" s="52"/>
      <c r="P154" s="52"/>
      <c r="Q154" s="52"/>
      <c r="R154" s="52"/>
      <c r="S154" s="52"/>
      <c r="T154" s="52"/>
      <c r="U154" s="52"/>
      <c r="V154" s="52"/>
      <c r="W154" s="53"/>
      <c r="X154" s="23"/>
      <c r="Y154" s="52"/>
      <c r="Z154" s="52"/>
      <c r="AA154" s="52"/>
      <c r="AB154" s="52"/>
      <c r="AC154" s="52"/>
      <c r="AD154" s="52"/>
      <c r="AE154" s="52"/>
    </row>
    <row r="155" spans="1:31" s="55" customFormat="1" x14ac:dyDescent="0.25">
      <c r="A155" s="52"/>
      <c r="B155" s="52"/>
      <c r="C155" s="52"/>
      <c r="D155" s="52"/>
      <c r="E155" s="52" t="str">
        <f t="shared" si="7"/>
        <v>PROG</v>
      </c>
      <c r="F155" s="52"/>
      <c r="G155" s="52" t="str">
        <f t="shared" si="8"/>
        <v>P</v>
      </c>
      <c r="H155" s="52"/>
      <c r="I155" s="52"/>
      <c r="J155" s="52" t="str">
        <f t="shared" si="9"/>
        <v>ELEM</v>
      </c>
      <c r="K155" s="52"/>
      <c r="L155" s="87"/>
      <c r="M155" s="52" t="e">
        <v>#N/A</v>
      </c>
      <c r="N155" s="52"/>
      <c r="O155" s="52"/>
      <c r="P155" s="52"/>
      <c r="Q155" s="52"/>
      <c r="R155" s="52"/>
      <c r="S155" s="52"/>
      <c r="T155" s="52"/>
      <c r="U155" s="52"/>
      <c r="V155" s="52"/>
      <c r="W155" s="53"/>
      <c r="X155" s="23"/>
      <c r="Y155" s="52"/>
      <c r="Z155" s="52"/>
      <c r="AA155" s="52"/>
      <c r="AB155" s="52"/>
      <c r="AC155" s="52"/>
      <c r="AD155" s="52"/>
      <c r="AE155" s="52"/>
    </row>
    <row r="156" spans="1:31" s="55" customFormat="1" x14ac:dyDescent="0.25">
      <c r="A156" s="52"/>
      <c r="B156" s="52"/>
      <c r="C156" s="52"/>
      <c r="D156" s="52"/>
      <c r="E156" s="52" t="str">
        <f t="shared" si="7"/>
        <v>PROG</v>
      </c>
      <c r="F156" s="52"/>
      <c r="G156" s="52" t="str">
        <f t="shared" si="8"/>
        <v>P</v>
      </c>
      <c r="H156" s="52"/>
      <c r="I156" s="52"/>
      <c r="J156" s="52" t="str">
        <f t="shared" si="9"/>
        <v>ELEM</v>
      </c>
      <c r="K156" s="52"/>
      <c r="L156" s="87"/>
      <c r="M156" s="52" t="e">
        <v>#N/A</v>
      </c>
      <c r="N156" s="52"/>
      <c r="O156" s="52"/>
      <c r="P156" s="52"/>
      <c r="Q156" s="52"/>
      <c r="R156" s="52"/>
      <c r="S156" s="52"/>
      <c r="T156" s="52"/>
      <c r="U156" s="52"/>
      <c r="V156" s="52"/>
      <c r="W156" s="53"/>
      <c r="X156" s="23"/>
      <c r="Y156" s="52"/>
      <c r="Z156" s="52"/>
      <c r="AA156" s="52"/>
      <c r="AB156" s="52"/>
      <c r="AC156" s="52"/>
      <c r="AD156" s="52"/>
      <c r="AE156" s="52"/>
    </row>
    <row r="157" spans="1:31" s="55" customFormat="1" x14ac:dyDescent="0.25">
      <c r="A157" s="52"/>
      <c r="B157" s="52"/>
      <c r="C157" s="52"/>
      <c r="D157" s="52"/>
      <c r="E157" s="52" t="str">
        <f t="shared" si="7"/>
        <v>PROG</v>
      </c>
      <c r="F157" s="52"/>
      <c r="G157" s="52" t="str">
        <f t="shared" si="8"/>
        <v>P</v>
      </c>
      <c r="H157" s="52"/>
      <c r="I157" s="52"/>
      <c r="J157" s="52" t="str">
        <f t="shared" si="9"/>
        <v>ELEM</v>
      </c>
      <c r="K157" s="52"/>
      <c r="L157" s="87"/>
      <c r="M157" s="52" t="e">
        <v>#N/A</v>
      </c>
      <c r="N157" s="52"/>
      <c r="O157" s="52"/>
      <c r="P157" s="52"/>
      <c r="Q157" s="52"/>
      <c r="R157" s="52"/>
      <c r="S157" s="52"/>
      <c r="T157" s="52"/>
      <c r="U157" s="52"/>
      <c r="V157" s="52"/>
      <c r="W157" s="53"/>
      <c r="X157" s="23"/>
      <c r="Y157" s="52"/>
      <c r="Z157" s="52"/>
      <c r="AA157" s="52"/>
      <c r="AB157" s="52"/>
      <c r="AC157" s="52"/>
      <c r="AD157" s="52"/>
      <c r="AE157" s="52"/>
    </row>
    <row r="158" spans="1:31" s="55" customFormat="1" x14ac:dyDescent="0.25">
      <c r="A158" s="52"/>
      <c r="B158" s="52"/>
      <c r="C158" s="52"/>
      <c r="D158" s="52"/>
      <c r="E158" s="52" t="str">
        <f t="shared" si="7"/>
        <v>PROG</v>
      </c>
      <c r="F158" s="52"/>
      <c r="G158" s="52" t="str">
        <f t="shared" si="8"/>
        <v>P</v>
      </c>
      <c r="H158" s="52"/>
      <c r="I158" s="52"/>
      <c r="J158" s="52" t="str">
        <f t="shared" si="9"/>
        <v>ELEM</v>
      </c>
      <c r="K158" s="52"/>
      <c r="L158" s="87"/>
      <c r="M158" s="52" t="e">
        <v>#N/A</v>
      </c>
      <c r="N158" s="52"/>
      <c r="O158" s="52"/>
      <c r="P158" s="52"/>
      <c r="Q158" s="52"/>
      <c r="R158" s="52"/>
      <c r="S158" s="52"/>
      <c r="T158" s="52"/>
      <c r="U158" s="52"/>
      <c r="V158" s="52"/>
      <c r="W158" s="53"/>
      <c r="X158" s="23"/>
      <c r="Y158" s="52"/>
      <c r="Z158" s="52"/>
      <c r="AA158" s="52"/>
      <c r="AB158" s="52"/>
      <c r="AC158" s="52"/>
      <c r="AD158" s="52"/>
      <c r="AE158" s="52"/>
    </row>
    <row r="159" spans="1:31" s="55" customFormat="1" x14ac:dyDescent="0.25">
      <c r="A159" s="52"/>
      <c r="B159" s="52"/>
      <c r="C159" s="52"/>
      <c r="D159" s="52"/>
      <c r="E159" s="52" t="str">
        <f t="shared" si="7"/>
        <v>PROG</v>
      </c>
      <c r="F159" s="52"/>
      <c r="G159" s="52" t="str">
        <f t="shared" si="8"/>
        <v>P</v>
      </c>
      <c r="H159" s="52"/>
      <c r="I159" s="52"/>
      <c r="J159" s="52" t="str">
        <f t="shared" si="9"/>
        <v>ELEM</v>
      </c>
      <c r="K159" s="52"/>
      <c r="L159" s="87"/>
      <c r="M159" s="52" t="e">
        <v>#N/A</v>
      </c>
      <c r="N159" s="52"/>
      <c r="O159" s="52"/>
      <c r="P159" s="52"/>
      <c r="Q159" s="52"/>
      <c r="R159" s="52"/>
      <c r="S159" s="52"/>
      <c r="T159" s="52"/>
      <c r="U159" s="52"/>
      <c r="V159" s="52"/>
      <c r="W159" s="53"/>
      <c r="X159" s="23"/>
      <c r="Y159" s="52"/>
      <c r="Z159" s="52"/>
      <c r="AA159" s="52"/>
      <c r="AB159" s="52"/>
      <c r="AC159" s="52"/>
      <c r="AD159" s="52"/>
      <c r="AE159" s="52"/>
    </row>
    <row r="160" spans="1:31" s="55" customFormat="1" x14ac:dyDescent="0.25">
      <c r="A160" s="52"/>
      <c r="B160" s="52"/>
      <c r="C160" s="52"/>
      <c r="D160" s="52"/>
      <c r="E160" s="52" t="str">
        <f t="shared" si="7"/>
        <v>PROG</v>
      </c>
      <c r="F160" s="52"/>
      <c r="G160" s="52" t="str">
        <f t="shared" si="8"/>
        <v>P</v>
      </c>
      <c r="H160" s="52"/>
      <c r="I160" s="52"/>
      <c r="J160" s="52" t="str">
        <f t="shared" si="9"/>
        <v>ELEM</v>
      </c>
      <c r="K160" s="52"/>
      <c r="L160" s="87"/>
      <c r="M160" s="52" t="e">
        <v>#N/A</v>
      </c>
      <c r="N160" s="52"/>
      <c r="O160" s="52"/>
      <c r="P160" s="52"/>
      <c r="Q160" s="52"/>
      <c r="R160" s="52"/>
      <c r="S160" s="52"/>
      <c r="T160" s="52"/>
      <c r="U160" s="52"/>
      <c r="V160" s="52"/>
      <c r="W160" s="53"/>
      <c r="X160" s="23"/>
      <c r="Y160" s="52"/>
      <c r="Z160" s="52"/>
      <c r="AA160" s="52"/>
      <c r="AB160" s="52"/>
      <c r="AC160" s="52"/>
      <c r="AD160" s="52"/>
      <c r="AE160" s="52"/>
    </row>
    <row r="161" spans="1:31" s="55" customFormat="1" x14ac:dyDescent="0.25">
      <c r="A161" s="52"/>
      <c r="B161" s="52"/>
      <c r="C161" s="52"/>
      <c r="D161" s="52"/>
      <c r="E161" s="52" t="str">
        <f t="shared" si="7"/>
        <v>PROG</v>
      </c>
      <c r="F161" s="52"/>
      <c r="G161" s="52" t="str">
        <f t="shared" si="8"/>
        <v>P</v>
      </c>
      <c r="H161" s="52"/>
      <c r="I161" s="52"/>
      <c r="J161" s="52" t="str">
        <f t="shared" si="9"/>
        <v>ELEM</v>
      </c>
      <c r="K161" s="52"/>
      <c r="L161" s="87"/>
      <c r="M161" s="52" t="e">
        <v>#N/A</v>
      </c>
      <c r="N161" s="52"/>
      <c r="O161" s="52"/>
      <c r="P161" s="52"/>
      <c r="Q161" s="52"/>
      <c r="R161" s="52"/>
      <c r="S161" s="52"/>
      <c r="T161" s="52"/>
      <c r="U161" s="52"/>
      <c r="V161" s="52"/>
      <c r="W161" s="53"/>
      <c r="X161" s="23"/>
      <c r="Y161" s="52"/>
      <c r="Z161" s="52"/>
      <c r="AA161" s="52"/>
      <c r="AB161" s="52"/>
      <c r="AC161" s="52"/>
      <c r="AD161" s="52"/>
      <c r="AE161" s="52"/>
    </row>
    <row r="162" spans="1:31" s="55" customFormat="1" x14ac:dyDescent="0.25">
      <c r="A162" s="52"/>
      <c r="B162" s="52"/>
      <c r="C162" s="52"/>
      <c r="D162" s="52"/>
      <c r="E162" s="52" t="str">
        <f t="shared" si="7"/>
        <v>PROG</v>
      </c>
      <c r="F162" s="52"/>
      <c r="G162" s="52" t="str">
        <f t="shared" si="8"/>
        <v>P</v>
      </c>
      <c r="H162" s="52"/>
      <c r="I162" s="52"/>
      <c r="J162" s="52" t="str">
        <f t="shared" si="9"/>
        <v>ELEM</v>
      </c>
      <c r="K162" s="52"/>
      <c r="L162" s="87"/>
      <c r="M162" s="52" t="e">
        <v>#N/A</v>
      </c>
      <c r="N162" s="52"/>
      <c r="O162" s="52"/>
      <c r="P162" s="52"/>
      <c r="Q162" s="52"/>
      <c r="R162" s="52"/>
      <c r="S162" s="52"/>
      <c r="T162" s="52"/>
      <c r="U162" s="52"/>
      <c r="V162" s="52"/>
      <c r="W162" s="53"/>
      <c r="X162" s="23"/>
      <c r="Y162" s="52"/>
      <c r="Z162" s="52"/>
      <c r="AA162" s="52"/>
      <c r="AB162" s="52"/>
      <c r="AC162" s="52"/>
      <c r="AD162" s="52"/>
      <c r="AE162" s="52"/>
    </row>
    <row r="163" spans="1:31" s="55" customFormat="1" x14ac:dyDescent="0.25">
      <c r="A163" s="52"/>
      <c r="B163" s="52"/>
      <c r="C163" s="52"/>
      <c r="D163" s="52"/>
      <c r="E163" s="52" t="str">
        <f t="shared" si="7"/>
        <v>PROG</v>
      </c>
      <c r="F163" s="52"/>
      <c r="G163" s="52" t="str">
        <f t="shared" si="8"/>
        <v>P</v>
      </c>
      <c r="H163" s="52"/>
      <c r="I163" s="52"/>
      <c r="J163" s="52" t="str">
        <f t="shared" si="9"/>
        <v>ELEM</v>
      </c>
      <c r="K163" s="52"/>
      <c r="L163" s="87"/>
      <c r="M163" s="52" t="e">
        <v>#N/A</v>
      </c>
      <c r="N163" s="52"/>
      <c r="O163" s="52"/>
      <c r="P163" s="52"/>
      <c r="Q163" s="52"/>
      <c r="R163" s="52"/>
      <c r="S163" s="52"/>
      <c r="T163" s="52"/>
      <c r="U163" s="52"/>
      <c r="V163" s="52"/>
      <c r="W163" s="53"/>
      <c r="X163" s="23"/>
      <c r="Y163" s="52"/>
      <c r="Z163" s="52"/>
      <c r="AA163" s="52"/>
      <c r="AB163" s="52"/>
      <c r="AC163" s="52"/>
      <c r="AD163" s="52"/>
      <c r="AE163" s="52"/>
    </row>
    <row r="164" spans="1:31" s="55" customFormat="1" x14ac:dyDescent="0.25">
      <c r="A164" s="52"/>
      <c r="B164" s="52"/>
      <c r="C164" s="52"/>
      <c r="D164" s="52"/>
      <c r="E164" s="52" t="str">
        <f t="shared" si="7"/>
        <v>PROG</v>
      </c>
      <c r="F164" s="52"/>
      <c r="G164" s="52" t="str">
        <f t="shared" si="8"/>
        <v>P</v>
      </c>
      <c r="H164" s="52"/>
      <c r="I164" s="52"/>
      <c r="J164" s="52" t="str">
        <f t="shared" si="9"/>
        <v>ELEM</v>
      </c>
      <c r="K164" s="52"/>
      <c r="L164" s="87"/>
      <c r="M164" s="52" t="e">
        <v>#N/A</v>
      </c>
      <c r="N164" s="52"/>
      <c r="O164" s="52"/>
      <c r="P164" s="52"/>
      <c r="Q164" s="52"/>
      <c r="R164" s="52"/>
      <c r="S164" s="52"/>
      <c r="T164" s="52"/>
      <c r="U164" s="52"/>
      <c r="V164" s="52"/>
      <c r="W164" s="53"/>
      <c r="X164" s="23"/>
      <c r="Y164" s="52"/>
      <c r="Z164" s="52"/>
      <c r="AA164" s="52"/>
      <c r="AB164" s="52"/>
      <c r="AC164" s="52"/>
      <c r="AD164" s="52"/>
      <c r="AE164" s="52"/>
    </row>
    <row r="165" spans="1:31" s="55" customFormat="1" x14ac:dyDescent="0.25">
      <c r="A165" s="52"/>
      <c r="B165" s="52"/>
      <c r="C165" s="52"/>
      <c r="D165" s="52"/>
      <c r="E165" s="52" t="str">
        <f t="shared" si="7"/>
        <v>PROG</v>
      </c>
      <c r="F165" s="52"/>
      <c r="G165" s="52" t="str">
        <f t="shared" si="8"/>
        <v>P</v>
      </c>
      <c r="H165" s="52"/>
      <c r="I165" s="52"/>
      <c r="J165" s="52" t="str">
        <f t="shared" si="9"/>
        <v>ELEM</v>
      </c>
      <c r="K165" s="52"/>
      <c r="L165" s="87"/>
      <c r="M165" s="52" t="e">
        <v>#N/A</v>
      </c>
      <c r="N165" s="52"/>
      <c r="O165" s="52"/>
      <c r="P165" s="52"/>
      <c r="Q165" s="52"/>
      <c r="R165" s="52"/>
      <c r="S165" s="52"/>
      <c r="T165" s="52"/>
      <c r="U165" s="52"/>
      <c r="V165" s="52"/>
      <c r="W165" s="53"/>
      <c r="X165" s="23"/>
      <c r="Y165" s="52"/>
      <c r="Z165" s="52"/>
      <c r="AA165" s="52"/>
      <c r="AB165" s="52"/>
      <c r="AC165" s="52"/>
      <c r="AD165" s="52"/>
      <c r="AE165" s="52"/>
    </row>
    <row r="166" spans="1:31" s="55" customFormat="1" x14ac:dyDescent="0.25">
      <c r="A166" s="52"/>
      <c r="B166" s="52"/>
      <c r="C166" s="52"/>
      <c r="D166" s="52"/>
      <c r="E166" s="52" t="str">
        <f t="shared" si="7"/>
        <v>PROG</v>
      </c>
      <c r="F166" s="52"/>
      <c r="G166" s="52" t="str">
        <f t="shared" si="8"/>
        <v>P</v>
      </c>
      <c r="H166" s="52"/>
      <c r="I166" s="52"/>
      <c r="J166" s="52" t="str">
        <f t="shared" si="9"/>
        <v>ELEM</v>
      </c>
      <c r="K166" s="52"/>
      <c r="L166" s="87"/>
      <c r="M166" s="52" t="e">
        <v>#N/A</v>
      </c>
      <c r="N166" s="52"/>
      <c r="O166" s="52"/>
      <c r="P166" s="52"/>
      <c r="Q166" s="52"/>
      <c r="R166" s="52"/>
      <c r="S166" s="52"/>
      <c r="T166" s="52"/>
      <c r="U166" s="52"/>
      <c r="V166" s="52"/>
      <c r="W166" s="53"/>
      <c r="X166" s="23"/>
      <c r="Y166" s="52"/>
      <c r="Z166" s="52"/>
      <c r="AA166" s="52"/>
      <c r="AB166" s="52"/>
      <c r="AC166" s="52"/>
      <c r="AD166" s="52"/>
      <c r="AE166" s="52"/>
    </row>
    <row r="167" spans="1:31" s="55" customFormat="1" x14ac:dyDescent="0.25">
      <c r="A167" s="52"/>
      <c r="B167" s="52"/>
      <c r="C167" s="52"/>
      <c r="D167" s="52"/>
      <c r="E167" s="52" t="str">
        <f t="shared" si="7"/>
        <v>PROG</v>
      </c>
      <c r="F167" s="52"/>
      <c r="G167" s="52" t="str">
        <f t="shared" si="8"/>
        <v>P</v>
      </c>
      <c r="H167" s="52"/>
      <c r="I167" s="52"/>
      <c r="J167" s="52" t="str">
        <f t="shared" si="9"/>
        <v>ELEM</v>
      </c>
      <c r="K167" s="52"/>
      <c r="L167" s="87"/>
      <c r="M167" s="52" t="e">
        <v>#N/A</v>
      </c>
      <c r="N167" s="52"/>
      <c r="O167" s="52"/>
      <c r="P167" s="52"/>
      <c r="Q167" s="52"/>
      <c r="R167" s="52"/>
      <c r="S167" s="52"/>
      <c r="T167" s="52"/>
      <c r="U167" s="52"/>
      <c r="V167" s="52"/>
      <c r="W167" s="53"/>
      <c r="X167" s="23"/>
      <c r="Y167" s="52"/>
      <c r="Z167" s="52"/>
      <c r="AA167" s="52"/>
      <c r="AB167" s="52"/>
      <c r="AC167" s="52"/>
      <c r="AD167" s="52"/>
      <c r="AE167" s="52"/>
    </row>
    <row r="168" spans="1:31" s="55" customFormat="1" x14ac:dyDescent="0.25">
      <c r="A168" s="52"/>
      <c r="B168" s="52"/>
      <c r="C168" s="52"/>
      <c r="D168" s="52"/>
      <c r="E168" s="52" t="str">
        <f t="shared" si="7"/>
        <v>PROG</v>
      </c>
      <c r="F168" s="52"/>
      <c r="G168" s="52" t="str">
        <f t="shared" si="8"/>
        <v>P</v>
      </c>
      <c r="H168" s="52"/>
      <c r="I168" s="52"/>
      <c r="J168" s="52" t="str">
        <f t="shared" si="9"/>
        <v>ELEM</v>
      </c>
      <c r="K168" s="52"/>
      <c r="L168" s="87"/>
      <c r="M168" s="52" t="e">
        <v>#N/A</v>
      </c>
      <c r="N168" s="52"/>
      <c r="O168" s="52"/>
      <c r="P168" s="52"/>
      <c r="Q168" s="52"/>
      <c r="R168" s="52"/>
      <c r="S168" s="52"/>
      <c r="T168" s="52"/>
      <c r="U168" s="52"/>
      <c r="V168" s="52"/>
      <c r="W168" s="53"/>
      <c r="X168" s="23"/>
      <c r="Y168" s="52"/>
      <c r="Z168" s="52"/>
      <c r="AA168" s="52"/>
      <c r="AB168" s="52"/>
      <c r="AC168" s="52"/>
      <c r="AD168" s="52"/>
      <c r="AE168" s="52"/>
    </row>
    <row r="169" spans="1:31" s="55" customFormat="1" x14ac:dyDescent="0.25">
      <c r="A169" s="52"/>
      <c r="B169" s="52"/>
      <c r="C169" s="52"/>
      <c r="D169" s="52"/>
      <c r="E169" s="52" t="str">
        <f t="shared" si="7"/>
        <v>PROG</v>
      </c>
      <c r="F169" s="52"/>
      <c r="G169" s="52" t="str">
        <f t="shared" si="8"/>
        <v>P</v>
      </c>
      <c r="H169" s="52"/>
      <c r="I169" s="52"/>
      <c r="J169" s="52" t="str">
        <f t="shared" si="9"/>
        <v>ELEM</v>
      </c>
      <c r="K169" s="52"/>
      <c r="L169" s="87"/>
      <c r="M169" s="52" t="e">
        <v>#N/A</v>
      </c>
      <c r="N169" s="52"/>
      <c r="O169" s="52"/>
      <c r="P169" s="52"/>
      <c r="Q169" s="52"/>
      <c r="R169" s="52"/>
      <c r="S169" s="52"/>
      <c r="T169" s="52"/>
      <c r="U169" s="52"/>
      <c r="V169" s="52"/>
      <c r="W169" s="53"/>
      <c r="X169" s="23"/>
      <c r="Y169" s="52"/>
      <c r="Z169" s="52"/>
      <c r="AA169" s="52"/>
      <c r="AB169" s="52"/>
      <c r="AC169" s="52"/>
      <c r="AD169" s="52"/>
      <c r="AE169" s="52"/>
    </row>
    <row r="170" spans="1:31" s="55" customFormat="1" x14ac:dyDescent="0.25">
      <c r="A170" s="52"/>
      <c r="B170" s="52"/>
      <c r="C170" s="52"/>
      <c r="D170" s="52"/>
      <c r="E170" s="52" t="str">
        <f t="shared" si="7"/>
        <v>PROG</v>
      </c>
      <c r="F170" s="52"/>
      <c r="G170" s="52" t="str">
        <f t="shared" si="8"/>
        <v>P</v>
      </c>
      <c r="H170" s="52"/>
      <c r="I170" s="52"/>
      <c r="J170" s="52" t="str">
        <f t="shared" si="9"/>
        <v>ELEM</v>
      </c>
      <c r="K170" s="52"/>
      <c r="L170" s="87"/>
      <c r="M170" s="52" t="e">
        <v>#N/A</v>
      </c>
      <c r="N170" s="52"/>
      <c r="O170" s="52"/>
      <c r="P170" s="52"/>
      <c r="Q170" s="52"/>
      <c r="R170" s="52"/>
      <c r="S170" s="52"/>
      <c r="T170" s="52"/>
      <c r="U170" s="52"/>
      <c r="V170" s="52"/>
      <c r="W170" s="53"/>
      <c r="X170" s="23"/>
      <c r="Y170" s="52"/>
      <c r="Z170" s="52"/>
      <c r="AA170" s="52"/>
      <c r="AB170" s="52"/>
      <c r="AC170" s="52"/>
      <c r="AD170" s="52"/>
      <c r="AE170" s="52"/>
    </row>
    <row r="171" spans="1:31" s="55" customFormat="1" x14ac:dyDescent="0.25">
      <c r="A171" s="52"/>
      <c r="B171" s="52"/>
      <c r="C171" s="52"/>
      <c r="D171" s="52"/>
      <c r="E171" s="52" t="str">
        <f t="shared" si="7"/>
        <v>PROG</v>
      </c>
      <c r="F171" s="52"/>
      <c r="G171" s="52" t="str">
        <f t="shared" si="8"/>
        <v>P</v>
      </c>
      <c r="H171" s="52"/>
      <c r="I171" s="52"/>
      <c r="J171" s="52" t="str">
        <f t="shared" si="9"/>
        <v>ELEM</v>
      </c>
      <c r="K171" s="52"/>
      <c r="L171" s="87"/>
      <c r="M171" s="52" t="e">
        <v>#N/A</v>
      </c>
      <c r="N171" s="52"/>
      <c r="O171" s="52"/>
      <c r="P171" s="52"/>
      <c r="Q171" s="52"/>
      <c r="R171" s="52"/>
      <c r="S171" s="52"/>
      <c r="T171" s="52"/>
      <c r="U171" s="52"/>
      <c r="V171" s="52"/>
      <c r="W171" s="53"/>
      <c r="X171" s="23"/>
      <c r="Y171" s="52"/>
      <c r="Z171" s="52"/>
      <c r="AA171" s="52"/>
      <c r="AB171" s="52"/>
      <c r="AC171" s="52"/>
      <c r="AD171" s="52"/>
      <c r="AE171" s="52"/>
    </row>
    <row r="172" spans="1:31" s="55" customFormat="1" x14ac:dyDescent="0.25">
      <c r="A172" s="52"/>
      <c r="B172" s="52"/>
      <c r="C172" s="52"/>
      <c r="D172" s="52"/>
      <c r="E172" s="52" t="str">
        <f t="shared" si="7"/>
        <v>PROG</v>
      </c>
      <c r="F172" s="52"/>
      <c r="G172" s="52" t="str">
        <f t="shared" si="8"/>
        <v>P</v>
      </c>
      <c r="H172" s="52"/>
      <c r="I172" s="52"/>
      <c r="J172" s="52" t="str">
        <f t="shared" si="9"/>
        <v>ELEM</v>
      </c>
      <c r="K172" s="52"/>
      <c r="L172" s="87"/>
      <c r="M172" s="52" t="e">
        <v>#N/A</v>
      </c>
      <c r="N172" s="52"/>
      <c r="O172" s="52"/>
      <c r="P172" s="52"/>
      <c r="Q172" s="52"/>
      <c r="R172" s="52"/>
      <c r="S172" s="52"/>
      <c r="T172" s="52"/>
      <c r="U172" s="52"/>
      <c r="V172" s="52"/>
      <c r="W172" s="53"/>
      <c r="X172" s="23"/>
      <c r="Y172" s="52"/>
      <c r="Z172" s="52"/>
      <c r="AA172" s="52"/>
      <c r="AB172" s="52"/>
      <c r="AC172" s="52"/>
      <c r="AD172" s="52"/>
      <c r="AE172" s="52"/>
    </row>
    <row r="173" spans="1:31" s="55" customFormat="1" x14ac:dyDescent="0.25">
      <c r="A173" s="52"/>
      <c r="B173" s="52"/>
      <c r="C173" s="52"/>
      <c r="D173" s="52"/>
      <c r="E173" s="52" t="str">
        <f t="shared" si="7"/>
        <v>PROG</v>
      </c>
      <c r="F173" s="52"/>
      <c r="G173" s="52" t="str">
        <f t="shared" si="8"/>
        <v>P</v>
      </c>
      <c r="H173" s="52"/>
      <c r="I173" s="52"/>
      <c r="J173" s="52" t="str">
        <f t="shared" si="9"/>
        <v>ELEM</v>
      </c>
      <c r="K173" s="52"/>
      <c r="L173" s="87"/>
      <c r="M173" s="52" t="e">
        <v>#N/A</v>
      </c>
      <c r="N173" s="52"/>
      <c r="O173" s="52"/>
      <c r="P173" s="52"/>
      <c r="Q173" s="52"/>
      <c r="R173" s="52"/>
      <c r="S173" s="52"/>
      <c r="T173" s="52"/>
      <c r="U173" s="52"/>
      <c r="V173" s="52"/>
      <c r="W173" s="53"/>
      <c r="X173" s="23"/>
      <c r="Y173" s="52"/>
      <c r="Z173" s="52"/>
      <c r="AA173" s="52"/>
      <c r="AB173" s="52"/>
      <c r="AC173" s="52"/>
      <c r="AD173" s="52"/>
      <c r="AE173" s="52"/>
    </row>
    <row r="174" spans="1:31" s="55" customFormat="1" x14ac:dyDescent="0.25">
      <c r="A174" s="52"/>
      <c r="B174" s="52"/>
      <c r="C174" s="52"/>
      <c r="D174" s="52"/>
      <c r="E174" s="52" t="str">
        <f t="shared" si="7"/>
        <v>PROG</v>
      </c>
      <c r="F174" s="52"/>
      <c r="G174" s="52" t="str">
        <f t="shared" si="8"/>
        <v>P</v>
      </c>
      <c r="H174" s="52"/>
      <c r="I174" s="52"/>
      <c r="J174" s="52" t="str">
        <f t="shared" si="9"/>
        <v>ELEM</v>
      </c>
      <c r="K174" s="52"/>
      <c r="L174" s="87"/>
      <c r="M174" s="52" t="e">
        <v>#N/A</v>
      </c>
      <c r="N174" s="52"/>
      <c r="O174" s="52"/>
      <c r="P174" s="52"/>
      <c r="Q174" s="52"/>
      <c r="R174" s="52"/>
      <c r="S174" s="52"/>
      <c r="T174" s="52"/>
      <c r="U174" s="52"/>
      <c r="V174" s="52"/>
      <c r="W174" s="53"/>
      <c r="X174" s="23"/>
      <c r="Y174" s="52"/>
      <c r="Z174" s="52"/>
      <c r="AA174" s="52"/>
      <c r="AB174" s="52"/>
      <c r="AC174" s="52"/>
      <c r="AD174" s="52"/>
      <c r="AE174" s="52"/>
    </row>
    <row r="175" spans="1:31" s="55" customFormat="1" x14ac:dyDescent="0.25">
      <c r="A175" s="52"/>
      <c r="B175" s="52"/>
      <c r="C175" s="52"/>
      <c r="D175" s="52"/>
      <c r="E175" s="52" t="str">
        <f t="shared" si="7"/>
        <v>PROG</v>
      </c>
      <c r="F175" s="52"/>
      <c r="G175" s="52" t="str">
        <f t="shared" si="8"/>
        <v>P</v>
      </c>
      <c r="H175" s="52"/>
      <c r="I175" s="52"/>
      <c r="J175" s="52" t="str">
        <f t="shared" si="9"/>
        <v>ELEM</v>
      </c>
      <c r="K175" s="52"/>
      <c r="L175" s="87"/>
      <c r="M175" s="52" t="e">
        <v>#N/A</v>
      </c>
      <c r="N175" s="52"/>
      <c r="O175" s="52"/>
      <c r="P175" s="52"/>
      <c r="Q175" s="52"/>
      <c r="R175" s="52"/>
      <c r="S175" s="52"/>
      <c r="T175" s="52"/>
      <c r="U175" s="52"/>
      <c r="V175" s="52"/>
      <c r="W175" s="53"/>
      <c r="X175" s="23"/>
      <c r="Y175" s="52"/>
      <c r="Z175" s="52"/>
      <c r="AA175" s="52"/>
      <c r="AB175" s="52"/>
      <c r="AC175" s="52"/>
      <c r="AD175" s="52"/>
      <c r="AE175" s="52"/>
    </row>
    <row r="176" spans="1:31" s="55" customFormat="1" x14ac:dyDescent="0.25">
      <c r="A176" s="52"/>
      <c r="B176" s="52"/>
      <c r="C176" s="52"/>
      <c r="D176" s="52"/>
      <c r="E176" s="52" t="str">
        <f t="shared" si="7"/>
        <v>PROG</v>
      </c>
      <c r="F176" s="52"/>
      <c r="G176" s="52" t="str">
        <f t="shared" si="8"/>
        <v>P</v>
      </c>
      <c r="H176" s="52"/>
      <c r="I176" s="52"/>
      <c r="J176" s="52" t="str">
        <f t="shared" si="9"/>
        <v>ELEM</v>
      </c>
      <c r="K176" s="52"/>
      <c r="L176" s="87"/>
      <c r="M176" s="52" t="e">
        <v>#N/A</v>
      </c>
      <c r="N176" s="52"/>
      <c r="O176" s="52"/>
      <c r="P176" s="52"/>
      <c r="Q176" s="52"/>
      <c r="R176" s="52"/>
      <c r="S176" s="52"/>
      <c r="T176" s="52"/>
      <c r="U176" s="52"/>
      <c r="V176" s="52"/>
      <c r="W176" s="53"/>
      <c r="X176" s="23"/>
      <c r="Y176" s="52"/>
      <c r="Z176" s="52"/>
      <c r="AA176" s="52"/>
      <c r="AB176" s="52"/>
      <c r="AC176" s="52"/>
      <c r="AD176" s="52"/>
      <c r="AE176" s="52"/>
    </row>
    <row r="177" spans="1:31" s="55" customFormat="1" x14ac:dyDescent="0.25">
      <c r="A177" s="52"/>
      <c r="B177" s="52"/>
      <c r="C177" s="52"/>
      <c r="D177" s="52"/>
      <c r="E177" s="52" t="str">
        <f t="shared" si="7"/>
        <v>PROG</v>
      </c>
      <c r="F177" s="52"/>
      <c r="G177" s="52" t="str">
        <f t="shared" si="8"/>
        <v>P</v>
      </c>
      <c r="H177" s="52"/>
      <c r="I177" s="52"/>
      <c r="J177" s="52" t="str">
        <f t="shared" si="9"/>
        <v>ELEM</v>
      </c>
      <c r="K177" s="52"/>
      <c r="L177" s="87"/>
      <c r="M177" s="52" t="e">
        <v>#N/A</v>
      </c>
      <c r="N177" s="52"/>
      <c r="O177" s="52"/>
      <c r="P177" s="52"/>
      <c r="Q177" s="52"/>
      <c r="R177" s="52"/>
      <c r="S177" s="52"/>
      <c r="T177" s="52"/>
      <c r="U177" s="52"/>
      <c r="V177" s="52"/>
      <c r="W177" s="53"/>
      <c r="X177" s="23"/>
      <c r="Y177" s="52"/>
      <c r="Z177" s="52"/>
      <c r="AA177" s="52"/>
      <c r="AB177" s="52"/>
      <c r="AC177" s="52"/>
      <c r="AD177" s="52"/>
      <c r="AE177" s="52"/>
    </row>
    <row r="178" spans="1:31" s="55" customFormat="1" x14ac:dyDescent="0.25">
      <c r="A178" s="52"/>
      <c r="B178" s="52"/>
      <c r="C178" s="52"/>
      <c r="D178" s="52"/>
      <c r="E178" s="52" t="str">
        <f t="shared" si="7"/>
        <v>PROG</v>
      </c>
      <c r="F178" s="52"/>
      <c r="G178" s="52" t="str">
        <f t="shared" si="8"/>
        <v>P</v>
      </c>
      <c r="H178" s="52"/>
      <c r="I178" s="52"/>
      <c r="J178" s="52" t="str">
        <f t="shared" si="9"/>
        <v>ELEM</v>
      </c>
      <c r="K178" s="52"/>
      <c r="L178" s="87"/>
      <c r="M178" s="52" t="e">
        <v>#N/A</v>
      </c>
      <c r="N178" s="52"/>
      <c r="O178" s="52"/>
      <c r="P178" s="52"/>
      <c r="Q178" s="52"/>
      <c r="R178" s="52"/>
      <c r="S178" s="52"/>
      <c r="T178" s="52"/>
      <c r="U178" s="52"/>
      <c r="V178" s="52"/>
      <c r="W178" s="53"/>
      <c r="X178" s="23"/>
      <c r="Y178" s="52"/>
      <c r="Z178" s="52"/>
      <c r="AA178" s="52"/>
      <c r="AB178" s="52"/>
      <c r="AC178" s="52"/>
      <c r="AD178" s="52"/>
      <c r="AE178" s="52"/>
    </row>
    <row r="179" spans="1:31" s="55" customFormat="1" x14ac:dyDescent="0.25">
      <c r="A179" s="52"/>
      <c r="B179" s="52"/>
      <c r="C179" s="52"/>
      <c r="D179" s="52"/>
      <c r="E179" s="52" t="str">
        <f t="shared" si="7"/>
        <v>PROG</v>
      </c>
      <c r="F179" s="52"/>
      <c r="G179" s="52" t="str">
        <f t="shared" si="8"/>
        <v>P</v>
      </c>
      <c r="H179" s="52"/>
      <c r="I179" s="52"/>
      <c r="J179" s="52" t="str">
        <f t="shared" si="9"/>
        <v>ELEM</v>
      </c>
      <c r="K179" s="52"/>
      <c r="L179" s="87"/>
      <c r="M179" s="52" t="e">
        <v>#N/A</v>
      </c>
      <c r="N179" s="52"/>
      <c r="O179" s="52"/>
      <c r="P179" s="52"/>
      <c r="Q179" s="52"/>
      <c r="R179" s="52"/>
      <c r="S179" s="52"/>
      <c r="T179" s="52"/>
      <c r="U179" s="52"/>
      <c r="V179" s="52"/>
      <c r="W179" s="53"/>
      <c r="X179" s="23"/>
      <c r="Y179" s="52"/>
      <c r="Z179" s="52"/>
      <c r="AA179" s="52"/>
      <c r="AB179" s="52"/>
      <c r="AC179" s="52"/>
      <c r="AD179" s="52"/>
      <c r="AE179" s="52"/>
    </row>
    <row r="180" spans="1:31" s="55" customFormat="1" x14ac:dyDescent="0.25">
      <c r="A180" s="52"/>
      <c r="B180" s="52"/>
      <c r="C180" s="52"/>
      <c r="D180" s="52"/>
      <c r="E180" s="52" t="str">
        <f t="shared" si="7"/>
        <v>PROG</v>
      </c>
      <c r="F180" s="52"/>
      <c r="G180" s="52" t="str">
        <f t="shared" si="8"/>
        <v>P</v>
      </c>
      <c r="H180" s="52"/>
      <c r="I180" s="52"/>
      <c r="J180" s="52" t="str">
        <f t="shared" si="9"/>
        <v>ELEM</v>
      </c>
      <c r="K180" s="52"/>
      <c r="L180" s="87"/>
      <c r="M180" s="52" t="e">
        <v>#N/A</v>
      </c>
      <c r="N180" s="52"/>
      <c r="O180" s="52"/>
      <c r="P180" s="52"/>
      <c r="Q180" s="52"/>
      <c r="R180" s="52"/>
      <c r="S180" s="52"/>
      <c r="T180" s="52"/>
      <c r="U180" s="52"/>
      <c r="V180" s="52"/>
      <c r="W180" s="53"/>
      <c r="X180" s="23"/>
      <c r="Y180" s="52"/>
      <c r="Z180" s="52"/>
      <c r="AA180" s="52"/>
      <c r="AB180" s="52"/>
      <c r="AC180" s="52"/>
      <c r="AD180" s="52"/>
      <c r="AE180" s="52"/>
    </row>
    <row r="181" spans="1:31" s="55" customFormat="1" x14ac:dyDescent="0.25">
      <c r="A181" s="52"/>
      <c r="B181" s="52"/>
      <c r="C181" s="52"/>
      <c r="D181" s="52"/>
      <c r="E181" s="52" t="str">
        <f t="shared" si="7"/>
        <v>PROG</v>
      </c>
      <c r="F181" s="52"/>
      <c r="G181" s="52" t="str">
        <f t="shared" si="8"/>
        <v>P</v>
      </c>
      <c r="H181" s="52"/>
      <c r="I181" s="52"/>
      <c r="J181" s="52" t="str">
        <f t="shared" si="9"/>
        <v>ELEM</v>
      </c>
      <c r="K181" s="52"/>
      <c r="L181" s="87"/>
      <c r="M181" s="52" t="e">
        <v>#N/A</v>
      </c>
      <c r="N181" s="52"/>
      <c r="O181" s="52"/>
      <c r="P181" s="52"/>
      <c r="Q181" s="52"/>
      <c r="R181" s="52"/>
      <c r="S181" s="52"/>
      <c r="T181" s="52"/>
      <c r="U181" s="52"/>
      <c r="V181" s="52"/>
      <c r="W181" s="53"/>
      <c r="X181" s="23"/>
      <c r="Y181" s="52"/>
      <c r="Z181" s="52"/>
      <c r="AA181" s="52"/>
      <c r="AB181" s="52"/>
      <c r="AC181" s="52"/>
      <c r="AD181" s="52"/>
      <c r="AE181" s="52"/>
    </row>
    <row r="182" spans="1:31" s="55" customFormat="1" x14ac:dyDescent="0.25">
      <c r="A182" s="52"/>
      <c r="B182" s="52"/>
      <c r="C182" s="52"/>
      <c r="D182" s="52"/>
      <c r="E182" s="52" t="str">
        <f t="shared" si="7"/>
        <v>PROG</v>
      </c>
      <c r="F182" s="52"/>
      <c r="G182" s="52" t="str">
        <f t="shared" si="8"/>
        <v>P</v>
      </c>
      <c r="H182" s="52"/>
      <c r="I182" s="52"/>
      <c r="J182" s="52" t="str">
        <f t="shared" si="9"/>
        <v>ELEM</v>
      </c>
      <c r="K182" s="52"/>
      <c r="L182" s="87"/>
      <c r="M182" s="52" t="e">
        <v>#N/A</v>
      </c>
      <c r="N182" s="52"/>
      <c r="O182" s="52"/>
      <c r="P182" s="52"/>
      <c r="Q182" s="52"/>
      <c r="R182" s="52"/>
      <c r="S182" s="52"/>
      <c r="T182" s="52"/>
      <c r="U182" s="52"/>
      <c r="V182" s="52"/>
      <c r="W182" s="53"/>
      <c r="X182" s="23"/>
      <c r="Y182" s="52"/>
      <c r="Z182" s="52"/>
      <c r="AA182" s="52"/>
      <c r="AB182" s="52"/>
      <c r="AC182" s="52"/>
      <c r="AD182" s="52"/>
      <c r="AE182" s="52"/>
    </row>
    <row r="183" spans="1:31" s="55" customFormat="1" x14ac:dyDescent="0.25">
      <c r="A183" s="52"/>
      <c r="B183" s="52"/>
      <c r="C183" s="52"/>
      <c r="D183" s="52"/>
      <c r="E183" s="52" t="str">
        <f t="shared" si="7"/>
        <v>PROG</v>
      </c>
      <c r="F183" s="52"/>
      <c r="G183" s="52" t="str">
        <f t="shared" si="8"/>
        <v>P</v>
      </c>
      <c r="H183" s="52"/>
      <c r="I183" s="52"/>
      <c r="J183" s="52" t="str">
        <f t="shared" si="9"/>
        <v>ELEM</v>
      </c>
      <c r="K183" s="52"/>
      <c r="L183" s="87"/>
      <c r="M183" s="52" t="e">
        <v>#N/A</v>
      </c>
      <c r="N183" s="52"/>
      <c r="O183" s="52"/>
      <c r="P183" s="52"/>
      <c r="Q183" s="52"/>
      <c r="R183" s="52"/>
      <c r="S183" s="52"/>
      <c r="T183" s="52"/>
      <c r="U183" s="52"/>
      <c r="V183" s="52"/>
      <c r="W183" s="53"/>
      <c r="X183" s="23"/>
      <c r="Y183" s="52"/>
      <c r="Z183" s="52"/>
      <c r="AA183" s="52"/>
      <c r="AB183" s="52"/>
      <c r="AC183" s="52"/>
      <c r="AD183" s="52"/>
      <c r="AE183" s="52"/>
    </row>
    <row r="184" spans="1:31" s="55" customFormat="1" x14ac:dyDescent="0.25">
      <c r="A184" s="52"/>
      <c r="B184" s="52"/>
      <c r="C184" s="52"/>
      <c r="D184" s="52"/>
      <c r="E184" s="52" t="str">
        <f t="shared" si="7"/>
        <v>PROG</v>
      </c>
      <c r="F184" s="52"/>
      <c r="G184" s="52" t="str">
        <f t="shared" si="8"/>
        <v>P</v>
      </c>
      <c r="H184" s="52"/>
      <c r="I184" s="52"/>
      <c r="J184" s="52" t="str">
        <f t="shared" si="9"/>
        <v>ELEM</v>
      </c>
      <c r="K184" s="52"/>
      <c r="L184" s="87"/>
      <c r="M184" s="52" t="e">
        <v>#N/A</v>
      </c>
      <c r="N184" s="52"/>
      <c r="O184" s="52"/>
      <c r="P184" s="52"/>
      <c r="Q184" s="52"/>
      <c r="R184" s="52"/>
      <c r="S184" s="52"/>
      <c r="T184" s="52"/>
      <c r="U184" s="52"/>
      <c r="V184" s="52"/>
      <c r="W184" s="53"/>
      <c r="X184" s="23"/>
      <c r="Y184" s="52"/>
      <c r="Z184" s="52"/>
      <c r="AA184" s="52"/>
      <c r="AB184" s="52"/>
      <c r="AC184" s="52"/>
      <c r="AD184" s="52"/>
      <c r="AE184" s="52"/>
    </row>
    <row r="185" spans="1:31" s="55" customFormat="1" x14ac:dyDescent="0.25">
      <c r="A185" s="52"/>
      <c r="B185" s="52"/>
      <c r="C185" s="52"/>
      <c r="D185" s="52"/>
      <c r="E185" s="52" t="str">
        <f t="shared" si="7"/>
        <v>PROG</v>
      </c>
      <c r="F185" s="52"/>
      <c r="G185" s="52" t="str">
        <f t="shared" si="8"/>
        <v>P</v>
      </c>
      <c r="H185" s="52"/>
      <c r="I185" s="52"/>
      <c r="J185" s="52" t="str">
        <f t="shared" si="9"/>
        <v>ELEM</v>
      </c>
      <c r="K185" s="52"/>
      <c r="L185" s="87"/>
      <c r="M185" s="52" t="e">
        <v>#N/A</v>
      </c>
      <c r="N185" s="52"/>
      <c r="O185" s="52"/>
      <c r="P185" s="52"/>
      <c r="Q185" s="52"/>
      <c r="R185" s="52"/>
      <c r="S185" s="52"/>
      <c r="T185" s="52"/>
      <c r="U185" s="52"/>
      <c r="V185" s="52"/>
      <c r="W185" s="53"/>
      <c r="X185" s="23"/>
      <c r="Y185" s="52"/>
      <c r="Z185" s="52"/>
      <c r="AA185" s="52"/>
      <c r="AB185" s="52"/>
      <c r="AC185" s="52"/>
      <c r="AD185" s="52"/>
      <c r="AE185" s="52"/>
    </row>
    <row r="186" spans="1:31" s="55" customFormat="1" x14ac:dyDescent="0.25">
      <c r="A186" s="52"/>
      <c r="B186" s="52"/>
      <c r="C186" s="52"/>
      <c r="D186" s="52"/>
      <c r="E186" s="52" t="str">
        <f t="shared" si="7"/>
        <v>PROG</v>
      </c>
      <c r="F186" s="52"/>
      <c r="G186" s="52" t="str">
        <f t="shared" si="8"/>
        <v>P</v>
      </c>
      <c r="H186" s="52"/>
      <c r="I186" s="52"/>
      <c r="J186" s="52" t="str">
        <f t="shared" si="9"/>
        <v>ELEM</v>
      </c>
      <c r="K186" s="52"/>
      <c r="L186" s="87"/>
      <c r="M186" s="52" t="e">
        <v>#N/A</v>
      </c>
      <c r="N186" s="52"/>
      <c r="O186" s="52"/>
      <c r="P186" s="52"/>
      <c r="Q186" s="52"/>
      <c r="R186" s="52"/>
      <c r="S186" s="52"/>
      <c r="T186" s="52"/>
      <c r="U186" s="52"/>
      <c r="V186" s="52"/>
      <c r="W186" s="53"/>
      <c r="X186" s="23"/>
      <c r="Y186" s="52"/>
      <c r="Z186" s="52"/>
      <c r="AA186" s="52"/>
      <c r="AB186" s="52"/>
      <c r="AC186" s="52"/>
      <c r="AD186" s="52"/>
      <c r="AE186" s="52"/>
    </row>
    <row r="187" spans="1:31" s="55" customFormat="1" x14ac:dyDescent="0.25">
      <c r="A187" s="52"/>
      <c r="B187" s="52"/>
      <c r="C187" s="52"/>
      <c r="D187" s="52"/>
      <c r="E187" s="52" t="str">
        <f t="shared" si="7"/>
        <v>PROG</v>
      </c>
      <c r="F187" s="52"/>
      <c r="G187" s="52" t="str">
        <f t="shared" si="8"/>
        <v>P</v>
      </c>
      <c r="H187" s="52"/>
      <c r="I187" s="52"/>
      <c r="J187" s="52" t="str">
        <f t="shared" si="9"/>
        <v>ELEM</v>
      </c>
      <c r="K187" s="52"/>
      <c r="L187" s="87"/>
      <c r="M187" s="52" t="e">
        <v>#N/A</v>
      </c>
      <c r="N187" s="52"/>
      <c r="O187" s="52"/>
      <c r="P187" s="52"/>
      <c r="Q187" s="52"/>
      <c r="R187" s="52"/>
      <c r="S187" s="52"/>
      <c r="T187" s="52"/>
      <c r="U187" s="52"/>
      <c r="V187" s="52"/>
      <c r="W187" s="53"/>
      <c r="X187" s="23"/>
      <c r="Y187" s="52"/>
      <c r="Z187" s="52"/>
      <c r="AA187" s="52"/>
      <c r="AB187" s="52"/>
      <c r="AC187" s="52"/>
      <c r="AD187" s="52"/>
      <c r="AE187" s="52"/>
    </row>
    <row r="188" spans="1:31" s="55" customFormat="1" x14ac:dyDescent="0.25">
      <c r="A188" s="52"/>
      <c r="B188" s="52"/>
      <c r="C188" s="52"/>
      <c r="D188" s="52"/>
      <c r="E188" s="52" t="str">
        <f t="shared" si="7"/>
        <v>PROG</v>
      </c>
      <c r="F188" s="52"/>
      <c r="G188" s="52" t="str">
        <f t="shared" si="8"/>
        <v>P</v>
      </c>
      <c r="H188" s="52"/>
      <c r="I188" s="52"/>
      <c r="J188" s="52" t="str">
        <f t="shared" si="9"/>
        <v>ELEM</v>
      </c>
      <c r="K188" s="52"/>
      <c r="L188" s="87"/>
      <c r="M188" s="52" t="e">
        <v>#N/A</v>
      </c>
      <c r="N188" s="52"/>
      <c r="O188" s="52"/>
      <c r="P188" s="52"/>
      <c r="Q188" s="52"/>
      <c r="R188" s="52"/>
      <c r="S188" s="52"/>
      <c r="T188" s="52"/>
      <c r="U188" s="52"/>
      <c r="V188" s="52"/>
      <c r="W188" s="53"/>
      <c r="X188" s="23"/>
      <c r="Y188" s="52"/>
      <c r="Z188" s="52"/>
      <c r="AA188" s="52"/>
      <c r="AB188" s="52"/>
      <c r="AC188" s="52"/>
      <c r="AD188" s="52"/>
      <c r="AE188" s="52"/>
    </row>
    <row r="189" spans="1:31" s="55" customFormat="1" x14ac:dyDescent="0.25">
      <c r="A189" s="52"/>
      <c r="B189" s="52"/>
      <c r="C189" s="52"/>
      <c r="D189" s="52"/>
      <c r="E189" s="52" t="str">
        <f t="shared" si="7"/>
        <v>PROG</v>
      </c>
      <c r="F189" s="52"/>
      <c r="G189" s="52" t="str">
        <f t="shared" si="8"/>
        <v>P</v>
      </c>
      <c r="H189" s="52"/>
      <c r="I189" s="52"/>
      <c r="J189" s="52" t="str">
        <f t="shared" si="9"/>
        <v>ELEM</v>
      </c>
      <c r="K189" s="52"/>
      <c r="L189" s="87"/>
      <c r="M189" s="52" t="e">
        <v>#N/A</v>
      </c>
      <c r="N189" s="52"/>
      <c r="O189" s="52"/>
      <c r="P189" s="52"/>
      <c r="Q189" s="52"/>
      <c r="R189" s="52"/>
      <c r="S189" s="52"/>
      <c r="T189" s="52"/>
      <c r="U189" s="52"/>
      <c r="V189" s="52"/>
      <c r="W189" s="53"/>
      <c r="X189" s="23"/>
      <c r="Y189" s="52"/>
      <c r="Z189" s="52"/>
      <c r="AA189" s="52"/>
      <c r="AB189" s="52"/>
      <c r="AC189" s="52"/>
      <c r="AD189" s="52"/>
      <c r="AE189" s="52"/>
    </row>
    <row r="190" spans="1:31" s="55" customFormat="1" x14ac:dyDescent="0.25">
      <c r="A190" s="52"/>
      <c r="B190" s="52"/>
      <c r="C190" s="52"/>
      <c r="D190" s="52"/>
      <c r="E190" s="52" t="str">
        <f t="shared" si="7"/>
        <v>PROG</v>
      </c>
      <c r="F190" s="52"/>
      <c r="G190" s="52" t="str">
        <f t="shared" si="8"/>
        <v>P</v>
      </c>
      <c r="H190" s="52"/>
      <c r="I190" s="52"/>
      <c r="J190" s="52" t="str">
        <f t="shared" si="9"/>
        <v>ELEM</v>
      </c>
      <c r="K190" s="52"/>
      <c r="L190" s="87"/>
      <c r="M190" s="52" t="e">
        <v>#N/A</v>
      </c>
      <c r="N190" s="52"/>
      <c r="O190" s="52"/>
      <c r="P190" s="52"/>
      <c r="Q190" s="52"/>
      <c r="R190" s="52"/>
      <c r="S190" s="52"/>
      <c r="T190" s="52"/>
      <c r="U190" s="52"/>
      <c r="V190" s="52"/>
      <c r="W190" s="53"/>
      <c r="X190" s="23"/>
      <c r="Y190" s="52"/>
      <c r="Z190" s="52"/>
      <c r="AA190" s="52"/>
      <c r="AB190" s="52"/>
      <c r="AC190" s="52"/>
      <c r="AD190" s="52"/>
      <c r="AE190" s="52"/>
    </row>
    <row r="191" spans="1:31" s="55" customFormat="1" x14ac:dyDescent="0.25">
      <c r="A191" s="52"/>
      <c r="B191" s="52"/>
      <c r="C191" s="52"/>
      <c r="D191" s="52"/>
      <c r="E191" s="52" t="str">
        <f t="shared" si="7"/>
        <v>PROG</v>
      </c>
      <c r="F191" s="52"/>
      <c r="G191" s="52" t="str">
        <f t="shared" si="8"/>
        <v>P</v>
      </c>
      <c r="H191" s="52"/>
      <c r="I191" s="52"/>
      <c r="J191" s="52" t="str">
        <f t="shared" si="9"/>
        <v>ELEM</v>
      </c>
      <c r="K191" s="52"/>
      <c r="L191" s="87"/>
      <c r="M191" s="52" t="e">
        <v>#N/A</v>
      </c>
      <c r="N191" s="52"/>
      <c r="O191" s="52"/>
      <c r="P191" s="52"/>
      <c r="Q191" s="52"/>
      <c r="R191" s="52"/>
      <c r="S191" s="52"/>
      <c r="T191" s="52"/>
      <c r="U191" s="52"/>
      <c r="V191" s="52"/>
      <c r="W191" s="53"/>
      <c r="X191" s="23"/>
      <c r="Y191" s="52"/>
      <c r="Z191" s="52"/>
      <c r="AA191" s="52"/>
      <c r="AB191" s="52"/>
      <c r="AC191" s="52"/>
      <c r="AD191" s="52"/>
      <c r="AE191" s="52"/>
    </row>
    <row r="192" spans="1:31" s="55" customFormat="1" x14ac:dyDescent="0.25">
      <c r="A192" s="52"/>
      <c r="B192" s="52"/>
      <c r="C192" s="52"/>
      <c r="D192" s="52"/>
      <c r="E192" s="52" t="str">
        <f t="shared" si="7"/>
        <v>PROG</v>
      </c>
      <c r="F192" s="52"/>
      <c r="G192" s="52" t="str">
        <f t="shared" si="8"/>
        <v>P</v>
      </c>
      <c r="H192" s="52"/>
      <c r="I192" s="52"/>
      <c r="J192" s="52" t="str">
        <f t="shared" si="9"/>
        <v>ELEM</v>
      </c>
      <c r="K192" s="52"/>
      <c r="L192" s="87"/>
      <c r="M192" s="52" t="e">
        <v>#N/A</v>
      </c>
      <c r="N192" s="52"/>
      <c r="O192" s="52"/>
      <c r="P192" s="52"/>
      <c r="Q192" s="52"/>
      <c r="R192" s="52"/>
      <c r="S192" s="52"/>
      <c r="T192" s="52"/>
      <c r="U192" s="52"/>
      <c r="V192" s="52"/>
      <c r="W192" s="53"/>
      <c r="X192" s="23"/>
      <c r="Y192" s="52"/>
      <c r="Z192" s="52"/>
      <c r="AA192" s="52"/>
      <c r="AB192" s="52"/>
      <c r="AC192" s="52"/>
      <c r="AD192" s="52"/>
      <c r="AE192" s="52"/>
    </row>
    <row r="193" spans="1:31" s="55" customFormat="1" x14ac:dyDescent="0.25">
      <c r="A193" s="52"/>
      <c r="B193" s="52"/>
      <c r="C193" s="52"/>
      <c r="D193" s="52"/>
      <c r="E193" s="52" t="str">
        <f t="shared" si="7"/>
        <v>PROG</v>
      </c>
      <c r="F193" s="52"/>
      <c r="G193" s="52" t="str">
        <f t="shared" si="8"/>
        <v>P</v>
      </c>
      <c r="H193" s="52"/>
      <c r="I193" s="52"/>
      <c r="J193" s="52" t="str">
        <f t="shared" si="9"/>
        <v>ELEM</v>
      </c>
      <c r="K193" s="52"/>
      <c r="L193" s="87"/>
      <c r="M193" s="52" t="e">
        <v>#N/A</v>
      </c>
      <c r="N193" s="52"/>
      <c r="O193" s="52"/>
      <c r="P193" s="52"/>
      <c r="Q193" s="52"/>
      <c r="R193" s="52"/>
      <c r="S193" s="52"/>
      <c r="T193" s="52"/>
      <c r="U193" s="52"/>
      <c r="V193" s="52"/>
      <c r="W193" s="53"/>
      <c r="X193" s="23"/>
      <c r="Y193" s="52"/>
      <c r="Z193" s="52"/>
      <c r="AA193" s="52"/>
      <c r="AB193" s="52"/>
      <c r="AC193" s="52"/>
      <c r="AD193" s="52"/>
      <c r="AE193" s="52"/>
    </row>
    <row r="194" spans="1:31" s="55" customFormat="1" x14ac:dyDescent="0.25">
      <c r="A194" s="52"/>
      <c r="B194" s="52"/>
      <c r="C194" s="52"/>
      <c r="D194" s="52"/>
      <c r="E194" s="52" t="str">
        <f t="shared" si="7"/>
        <v>PROG</v>
      </c>
      <c r="F194" s="52"/>
      <c r="G194" s="52" t="str">
        <f t="shared" si="8"/>
        <v>P</v>
      </c>
      <c r="H194" s="52"/>
      <c r="I194" s="52"/>
      <c r="J194" s="52" t="str">
        <f t="shared" si="9"/>
        <v>ELEM</v>
      </c>
      <c r="K194" s="52"/>
      <c r="L194" s="87"/>
      <c r="M194" s="52" t="e">
        <v>#N/A</v>
      </c>
      <c r="N194" s="52"/>
      <c r="O194" s="52"/>
      <c r="P194" s="52"/>
      <c r="Q194" s="52"/>
      <c r="R194" s="52"/>
      <c r="S194" s="52"/>
      <c r="T194" s="52"/>
      <c r="U194" s="52"/>
      <c r="V194" s="52"/>
      <c r="W194" s="53"/>
      <c r="X194" s="23"/>
      <c r="Y194" s="52"/>
      <c r="Z194" s="52"/>
      <c r="AA194" s="52"/>
      <c r="AB194" s="52"/>
      <c r="AC194" s="52"/>
      <c r="AD194" s="52"/>
      <c r="AE194" s="52"/>
    </row>
    <row r="195" spans="1:31" s="55" customFormat="1" x14ac:dyDescent="0.25">
      <c r="A195" s="52"/>
      <c r="B195" s="52"/>
      <c r="C195" s="52"/>
      <c r="D195" s="52"/>
      <c r="E195" s="52" t="str">
        <f t="shared" ref="E195:E258" si="10">CONCATENATE(A195,"PROG")</f>
        <v>PROG</v>
      </c>
      <c r="F195" s="52"/>
      <c r="G195" s="52" t="str">
        <f t="shared" ref="G195:G258" si="11">CONCATENATE("P",(LEFT(F195,3)),A195)</f>
        <v>P</v>
      </c>
      <c r="H195" s="52"/>
      <c r="I195" s="52"/>
      <c r="J195" s="52" t="str">
        <f t="shared" ref="J195:J258" si="12">CONCATENATE("ELEM",LEFT(I195,2))</f>
        <v>ELEM</v>
      </c>
      <c r="K195" s="52"/>
      <c r="L195" s="87"/>
      <c r="M195" s="52" t="e">
        <v>#N/A</v>
      </c>
      <c r="N195" s="52"/>
      <c r="O195" s="52"/>
      <c r="P195" s="52"/>
      <c r="Q195" s="52"/>
      <c r="R195" s="52"/>
      <c r="S195" s="52"/>
      <c r="T195" s="52"/>
      <c r="U195" s="52"/>
      <c r="V195" s="52"/>
      <c r="W195" s="53"/>
      <c r="X195" s="23"/>
      <c r="Y195" s="52"/>
      <c r="Z195" s="52"/>
      <c r="AA195" s="52"/>
      <c r="AB195" s="52"/>
      <c r="AC195" s="52"/>
      <c r="AD195" s="52"/>
      <c r="AE195" s="52"/>
    </row>
    <row r="196" spans="1:31" s="55" customFormat="1" x14ac:dyDescent="0.25">
      <c r="A196" s="52"/>
      <c r="B196" s="52"/>
      <c r="C196" s="52"/>
      <c r="D196" s="52"/>
      <c r="E196" s="52" t="str">
        <f t="shared" si="10"/>
        <v>PROG</v>
      </c>
      <c r="F196" s="52"/>
      <c r="G196" s="52" t="str">
        <f t="shared" si="11"/>
        <v>P</v>
      </c>
      <c r="H196" s="52"/>
      <c r="I196" s="52"/>
      <c r="J196" s="52" t="str">
        <f t="shared" si="12"/>
        <v>ELEM</v>
      </c>
      <c r="K196" s="52"/>
      <c r="L196" s="87"/>
      <c r="M196" s="52" t="e">
        <v>#N/A</v>
      </c>
      <c r="N196" s="52"/>
      <c r="O196" s="52"/>
      <c r="P196" s="52"/>
      <c r="Q196" s="52"/>
      <c r="R196" s="52"/>
      <c r="S196" s="52"/>
      <c r="T196" s="52"/>
      <c r="U196" s="52"/>
      <c r="V196" s="52"/>
      <c r="W196" s="53"/>
      <c r="X196" s="23"/>
      <c r="Y196" s="52"/>
      <c r="Z196" s="52"/>
      <c r="AA196" s="52"/>
      <c r="AB196" s="52"/>
      <c r="AC196" s="52"/>
      <c r="AD196" s="52"/>
      <c r="AE196" s="52"/>
    </row>
    <row r="197" spans="1:31" s="55" customFormat="1" x14ac:dyDescent="0.25">
      <c r="A197" s="52"/>
      <c r="B197" s="52"/>
      <c r="C197" s="52"/>
      <c r="D197" s="52"/>
      <c r="E197" s="52" t="str">
        <f t="shared" si="10"/>
        <v>PROG</v>
      </c>
      <c r="F197" s="52"/>
      <c r="G197" s="52" t="str">
        <f t="shared" si="11"/>
        <v>P</v>
      </c>
      <c r="H197" s="52"/>
      <c r="I197" s="52"/>
      <c r="J197" s="52" t="str">
        <f t="shared" si="12"/>
        <v>ELEM</v>
      </c>
      <c r="K197" s="52"/>
      <c r="L197" s="87"/>
      <c r="M197" s="52" t="e">
        <v>#N/A</v>
      </c>
      <c r="N197" s="52"/>
      <c r="O197" s="52"/>
      <c r="P197" s="52"/>
      <c r="Q197" s="52"/>
      <c r="R197" s="52"/>
      <c r="S197" s="52"/>
      <c r="T197" s="52"/>
      <c r="U197" s="52"/>
      <c r="V197" s="52"/>
      <c r="W197" s="53"/>
      <c r="X197" s="23"/>
      <c r="Y197" s="52"/>
      <c r="Z197" s="52"/>
      <c r="AA197" s="52"/>
      <c r="AB197" s="52"/>
      <c r="AC197" s="52"/>
      <c r="AD197" s="52"/>
      <c r="AE197" s="52"/>
    </row>
    <row r="198" spans="1:31" s="55" customFormat="1" x14ac:dyDescent="0.25">
      <c r="A198" s="52"/>
      <c r="B198" s="52"/>
      <c r="C198" s="52"/>
      <c r="D198" s="52"/>
      <c r="E198" s="52" t="str">
        <f t="shared" si="10"/>
        <v>PROG</v>
      </c>
      <c r="F198" s="52"/>
      <c r="G198" s="52" t="str">
        <f t="shared" si="11"/>
        <v>P</v>
      </c>
      <c r="H198" s="52"/>
      <c r="I198" s="52"/>
      <c r="J198" s="52" t="str">
        <f t="shared" si="12"/>
        <v>ELEM</v>
      </c>
      <c r="K198" s="52"/>
      <c r="L198" s="87"/>
      <c r="M198" s="52" t="e">
        <v>#N/A</v>
      </c>
      <c r="N198" s="52"/>
      <c r="O198" s="52"/>
      <c r="P198" s="52"/>
      <c r="Q198" s="52"/>
      <c r="R198" s="52"/>
      <c r="S198" s="52"/>
      <c r="T198" s="52"/>
      <c r="U198" s="52"/>
      <c r="V198" s="52"/>
      <c r="W198" s="53"/>
      <c r="X198" s="23"/>
      <c r="Y198" s="52"/>
      <c r="Z198" s="52"/>
      <c r="AA198" s="52"/>
      <c r="AB198" s="52"/>
      <c r="AC198" s="52"/>
      <c r="AD198" s="52"/>
      <c r="AE198" s="52"/>
    </row>
    <row r="199" spans="1:31" s="55" customFormat="1" x14ac:dyDescent="0.25">
      <c r="A199" s="52"/>
      <c r="B199" s="52"/>
      <c r="C199" s="52"/>
      <c r="D199" s="52"/>
      <c r="E199" s="52" t="str">
        <f t="shared" si="10"/>
        <v>PROG</v>
      </c>
      <c r="F199" s="52"/>
      <c r="G199" s="52" t="str">
        <f t="shared" si="11"/>
        <v>P</v>
      </c>
      <c r="H199" s="52"/>
      <c r="I199" s="52"/>
      <c r="J199" s="52" t="str">
        <f t="shared" si="12"/>
        <v>ELEM</v>
      </c>
      <c r="K199" s="52"/>
      <c r="L199" s="87"/>
      <c r="M199" s="52" t="e">
        <v>#N/A</v>
      </c>
      <c r="N199" s="52"/>
      <c r="O199" s="52"/>
      <c r="P199" s="52"/>
      <c r="Q199" s="52"/>
      <c r="R199" s="52"/>
      <c r="S199" s="52"/>
      <c r="T199" s="52"/>
      <c r="U199" s="52"/>
      <c r="V199" s="52"/>
      <c r="W199" s="53"/>
      <c r="X199" s="23"/>
      <c r="Y199" s="52"/>
      <c r="Z199" s="52"/>
      <c r="AA199" s="52"/>
      <c r="AB199" s="52"/>
      <c r="AC199" s="52"/>
      <c r="AD199" s="52"/>
      <c r="AE199" s="52"/>
    </row>
    <row r="200" spans="1:31" s="55" customFormat="1" x14ac:dyDescent="0.25">
      <c r="A200" s="52"/>
      <c r="B200" s="52"/>
      <c r="C200" s="52"/>
      <c r="D200" s="52"/>
      <c r="E200" s="52" t="str">
        <f t="shared" si="10"/>
        <v>PROG</v>
      </c>
      <c r="F200" s="52"/>
      <c r="G200" s="52" t="str">
        <f t="shared" si="11"/>
        <v>P</v>
      </c>
      <c r="H200" s="52"/>
      <c r="I200" s="52"/>
      <c r="J200" s="52" t="str">
        <f t="shared" si="12"/>
        <v>ELEM</v>
      </c>
      <c r="K200" s="52"/>
      <c r="L200" s="87"/>
      <c r="M200" s="52" t="e">
        <v>#N/A</v>
      </c>
      <c r="N200" s="52"/>
      <c r="O200" s="52"/>
      <c r="P200" s="52"/>
      <c r="Q200" s="52"/>
      <c r="R200" s="52"/>
      <c r="S200" s="52"/>
      <c r="T200" s="52"/>
      <c r="U200" s="52"/>
      <c r="V200" s="52"/>
      <c r="W200" s="53"/>
      <c r="X200" s="23"/>
      <c r="Y200" s="52"/>
      <c r="Z200" s="52"/>
      <c r="AA200" s="52"/>
      <c r="AB200" s="52"/>
      <c r="AC200" s="52"/>
      <c r="AD200" s="52"/>
      <c r="AE200" s="52"/>
    </row>
    <row r="201" spans="1:31" s="55" customFormat="1" x14ac:dyDescent="0.25">
      <c r="A201" s="52"/>
      <c r="B201" s="52"/>
      <c r="C201" s="52"/>
      <c r="D201" s="52"/>
      <c r="E201" s="52" t="str">
        <f t="shared" si="10"/>
        <v>PROG</v>
      </c>
      <c r="F201" s="52"/>
      <c r="G201" s="52" t="str">
        <f t="shared" si="11"/>
        <v>P</v>
      </c>
      <c r="H201" s="52"/>
      <c r="I201" s="52"/>
      <c r="J201" s="52" t="str">
        <f t="shared" si="12"/>
        <v>ELEM</v>
      </c>
      <c r="K201" s="52"/>
      <c r="L201" s="87"/>
      <c r="M201" s="52" t="e">
        <v>#N/A</v>
      </c>
      <c r="N201" s="52"/>
      <c r="O201" s="52"/>
      <c r="P201" s="52"/>
      <c r="Q201" s="52"/>
      <c r="R201" s="52"/>
      <c r="S201" s="52"/>
      <c r="T201" s="52"/>
      <c r="U201" s="52"/>
      <c r="V201" s="52"/>
      <c r="W201" s="53"/>
      <c r="X201" s="23"/>
      <c r="Y201" s="52"/>
      <c r="Z201" s="52"/>
      <c r="AA201" s="52"/>
      <c r="AB201" s="52"/>
      <c r="AC201" s="52"/>
      <c r="AD201" s="52"/>
      <c r="AE201" s="52"/>
    </row>
    <row r="202" spans="1:31" s="55" customFormat="1" x14ac:dyDescent="0.25">
      <c r="A202" s="52"/>
      <c r="B202" s="52"/>
      <c r="C202" s="52"/>
      <c r="D202" s="52"/>
      <c r="E202" s="52" t="str">
        <f t="shared" si="10"/>
        <v>PROG</v>
      </c>
      <c r="F202" s="52"/>
      <c r="G202" s="52" t="str">
        <f t="shared" si="11"/>
        <v>P</v>
      </c>
      <c r="H202" s="52"/>
      <c r="I202" s="52"/>
      <c r="J202" s="52" t="str">
        <f t="shared" si="12"/>
        <v>ELEM</v>
      </c>
      <c r="K202" s="52"/>
      <c r="L202" s="87"/>
      <c r="M202" s="52" t="e">
        <v>#N/A</v>
      </c>
      <c r="N202" s="52"/>
      <c r="O202" s="52"/>
      <c r="P202" s="52"/>
      <c r="Q202" s="52"/>
      <c r="R202" s="52"/>
      <c r="S202" s="52"/>
      <c r="T202" s="52"/>
      <c r="U202" s="52"/>
      <c r="V202" s="52"/>
      <c r="W202" s="53"/>
      <c r="X202" s="23"/>
      <c r="Y202" s="52"/>
      <c r="Z202" s="52"/>
      <c r="AA202" s="52"/>
      <c r="AB202" s="52"/>
      <c r="AC202" s="52"/>
      <c r="AD202" s="52"/>
      <c r="AE202" s="52"/>
    </row>
    <row r="203" spans="1:31" x14ac:dyDescent="0.25">
      <c r="B203" s="52"/>
      <c r="C203" s="52"/>
      <c r="D203" s="52"/>
      <c r="E203" s="52" t="str">
        <f t="shared" si="10"/>
        <v>PROG</v>
      </c>
      <c r="F203" s="52"/>
      <c r="G203" s="52" t="str">
        <f t="shared" si="11"/>
        <v>P</v>
      </c>
      <c r="H203" s="52"/>
      <c r="I203" s="52"/>
      <c r="J203" s="52" t="str">
        <f t="shared" si="12"/>
        <v>ELEM</v>
      </c>
      <c r="K203" s="52"/>
      <c r="L203" s="87"/>
      <c r="M203" s="52" t="e">
        <v>#N/A</v>
      </c>
      <c r="N203" s="52"/>
      <c r="O203" s="52"/>
      <c r="P203" s="52"/>
      <c r="Q203" s="52"/>
      <c r="R203" s="52"/>
      <c r="S203" s="52"/>
      <c r="T203" s="52"/>
      <c r="U203" s="52"/>
      <c r="V203" s="52"/>
      <c r="W203" s="53"/>
      <c r="X203" s="23"/>
      <c r="Y203" s="52"/>
      <c r="Z203" s="52"/>
      <c r="AA203" s="52"/>
      <c r="AB203" s="52"/>
      <c r="AC203" s="52"/>
      <c r="AD203" s="52"/>
      <c r="AE203" s="52"/>
    </row>
    <row r="204" spans="1:31" x14ac:dyDescent="0.25">
      <c r="B204" s="52"/>
      <c r="C204" s="52"/>
      <c r="D204" s="52"/>
      <c r="E204" s="52" t="str">
        <f t="shared" si="10"/>
        <v>PROG</v>
      </c>
      <c r="F204" s="52"/>
      <c r="G204" s="52" t="str">
        <f t="shared" si="11"/>
        <v>P</v>
      </c>
      <c r="H204" s="52"/>
      <c r="I204" s="52"/>
      <c r="J204" s="52" t="str">
        <f t="shared" si="12"/>
        <v>ELEM</v>
      </c>
      <c r="K204" s="52"/>
      <c r="L204" s="87"/>
      <c r="M204" s="52" t="e">
        <v>#N/A</v>
      </c>
      <c r="N204" s="52"/>
      <c r="O204" s="52"/>
      <c r="P204" s="52"/>
      <c r="Q204" s="52"/>
      <c r="R204" s="52"/>
      <c r="S204" s="52"/>
      <c r="T204" s="52"/>
      <c r="U204" s="52"/>
      <c r="V204" s="52"/>
      <c r="W204" s="53"/>
      <c r="X204" s="23"/>
      <c r="Y204" s="52"/>
      <c r="Z204" s="52"/>
      <c r="AA204" s="52"/>
      <c r="AB204" s="52"/>
      <c r="AC204" s="52"/>
      <c r="AD204" s="52"/>
      <c r="AE204" s="52"/>
    </row>
    <row r="205" spans="1:31" x14ac:dyDescent="0.25">
      <c r="B205" s="52"/>
      <c r="C205" s="52"/>
      <c r="D205" s="52"/>
      <c r="E205" s="52" t="str">
        <f t="shared" si="10"/>
        <v>PROG</v>
      </c>
      <c r="F205" s="52"/>
      <c r="G205" s="52" t="str">
        <f t="shared" si="11"/>
        <v>P</v>
      </c>
      <c r="H205" s="52"/>
      <c r="I205" s="52"/>
      <c r="J205" s="52" t="str">
        <f t="shared" si="12"/>
        <v>ELEM</v>
      </c>
      <c r="K205" s="52"/>
      <c r="L205" s="87"/>
      <c r="M205" s="52" t="e">
        <v>#N/A</v>
      </c>
      <c r="N205" s="52"/>
      <c r="O205" s="52"/>
      <c r="P205" s="52"/>
      <c r="Q205" s="52"/>
      <c r="R205" s="52"/>
      <c r="S205" s="52"/>
      <c r="T205" s="52"/>
      <c r="U205" s="52"/>
      <c r="V205" s="52"/>
      <c r="W205" s="53"/>
      <c r="X205" s="23"/>
      <c r="Y205" s="52"/>
      <c r="Z205" s="52"/>
      <c r="AA205" s="52"/>
      <c r="AB205" s="52"/>
      <c r="AC205" s="52"/>
      <c r="AD205" s="52"/>
      <c r="AE205" s="52"/>
    </row>
    <row r="206" spans="1:31" x14ac:dyDescent="0.25">
      <c r="B206" s="52"/>
      <c r="C206" s="52"/>
      <c r="D206" s="52"/>
      <c r="E206" s="52" t="str">
        <f t="shared" si="10"/>
        <v>PROG</v>
      </c>
      <c r="F206" s="52"/>
      <c r="G206" s="52" t="str">
        <f t="shared" si="11"/>
        <v>P</v>
      </c>
      <c r="H206" s="52"/>
      <c r="I206" s="52"/>
      <c r="J206" s="52" t="str">
        <f t="shared" si="12"/>
        <v>ELEM</v>
      </c>
      <c r="K206" s="52"/>
      <c r="L206" s="87"/>
      <c r="M206" s="52" t="e">
        <v>#N/A</v>
      </c>
      <c r="N206" s="52"/>
      <c r="O206" s="52"/>
      <c r="P206" s="52"/>
      <c r="Q206" s="52"/>
      <c r="R206" s="52"/>
      <c r="S206" s="52"/>
      <c r="T206" s="52"/>
      <c r="U206" s="52"/>
      <c r="V206" s="52"/>
      <c r="W206" s="53"/>
      <c r="X206" s="23"/>
      <c r="Y206" s="52"/>
      <c r="Z206" s="52"/>
      <c r="AA206" s="52"/>
      <c r="AB206" s="52"/>
      <c r="AC206" s="52"/>
      <c r="AD206" s="52"/>
      <c r="AE206" s="52"/>
    </row>
    <row r="207" spans="1:31" x14ac:dyDescent="0.25">
      <c r="B207" s="52"/>
      <c r="C207" s="52"/>
      <c r="D207" s="52"/>
      <c r="E207" s="52" t="str">
        <f t="shared" si="10"/>
        <v>PROG</v>
      </c>
      <c r="F207" s="52"/>
      <c r="G207" s="52" t="str">
        <f t="shared" si="11"/>
        <v>P</v>
      </c>
      <c r="H207" s="52"/>
      <c r="I207" s="52"/>
      <c r="J207" s="52" t="str">
        <f t="shared" si="12"/>
        <v>ELEM</v>
      </c>
      <c r="K207" s="52"/>
      <c r="L207" s="87"/>
      <c r="M207" s="52" t="e">
        <v>#N/A</v>
      </c>
      <c r="N207" s="52"/>
      <c r="O207" s="52"/>
      <c r="P207" s="52"/>
      <c r="Q207" s="52"/>
      <c r="R207" s="52"/>
      <c r="S207" s="52"/>
      <c r="T207" s="52"/>
      <c r="U207" s="52"/>
      <c r="V207" s="52"/>
      <c r="W207" s="53"/>
      <c r="X207" s="23"/>
      <c r="Y207" s="52"/>
      <c r="Z207" s="52"/>
      <c r="AA207" s="52"/>
      <c r="AB207" s="52"/>
      <c r="AC207" s="52"/>
      <c r="AD207" s="52"/>
      <c r="AE207" s="52"/>
    </row>
    <row r="208" spans="1:31" x14ac:dyDescent="0.25">
      <c r="B208" s="52"/>
      <c r="C208" s="52"/>
      <c r="D208" s="52"/>
      <c r="E208" s="52" t="str">
        <f t="shared" si="10"/>
        <v>PROG</v>
      </c>
      <c r="F208" s="52"/>
      <c r="G208" s="52" t="str">
        <f t="shared" si="11"/>
        <v>P</v>
      </c>
      <c r="H208" s="52"/>
      <c r="I208" s="52"/>
      <c r="J208" s="52" t="str">
        <f t="shared" si="12"/>
        <v>ELEM</v>
      </c>
      <c r="K208" s="52"/>
      <c r="L208" s="87"/>
      <c r="M208" s="52" t="e">
        <v>#N/A</v>
      </c>
      <c r="N208" s="52"/>
      <c r="O208" s="52"/>
      <c r="P208" s="52"/>
      <c r="Q208" s="52"/>
      <c r="R208" s="52"/>
      <c r="S208" s="52"/>
      <c r="T208" s="52"/>
      <c r="U208" s="52"/>
      <c r="V208" s="52"/>
      <c r="W208" s="53"/>
      <c r="X208" s="23"/>
      <c r="Y208" s="52"/>
      <c r="Z208" s="52"/>
      <c r="AA208" s="52"/>
      <c r="AB208" s="52"/>
      <c r="AC208" s="52"/>
      <c r="AD208" s="52"/>
      <c r="AE208" s="52"/>
    </row>
    <row r="209" spans="2:31" x14ac:dyDescent="0.25">
      <c r="B209" s="52"/>
      <c r="C209" s="52"/>
      <c r="D209" s="52"/>
      <c r="E209" s="52" t="str">
        <f t="shared" si="10"/>
        <v>PROG</v>
      </c>
      <c r="F209" s="52"/>
      <c r="G209" s="52" t="str">
        <f t="shared" si="11"/>
        <v>P</v>
      </c>
      <c r="H209" s="52"/>
      <c r="I209" s="52"/>
      <c r="J209" s="52" t="str">
        <f t="shared" si="12"/>
        <v>ELEM</v>
      </c>
      <c r="K209" s="52"/>
      <c r="L209" s="87"/>
      <c r="M209" s="52" t="e">
        <v>#N/A</v>
      </c>
      <c r="N209" s="52"/>
      <c r="O209" s="52"/>
      <c r="P209" s="52"/>
      <c r="Q209" s="52"/>
      <c r="R209" s="52"/>
      <c r="S209" s="52"/>
      <c r="T209" s="52"/>
      <c r="U209" s="52"/>
      <c r="V209" s="52"/>
      <c r="W209" s="53"/>
      <c r="X209" s="23"/>
      <c r="Y209" s="52"/>
      <c r="Z209" s="52"/>
      <c r="AA209" s="52"/>
      <c r="AB209" s="52"/>
      <c r="AC209" s="52"/>
      <c r="AD209" s="52"/>
      <c r="AE209" s="52"/>
    </row>
    <row r="210" spans="2:31" x14ac:dyDescent="0.25">
      <c r="B210" s="52"/>
      <c r="C210" s="52"/>
      <c r="D210" s="52"/>
      <c r="E210" s="52" t="str">
        <f t="shared" si="10"/>
        <v>PROG</v>
      </c>
      <c r="F210" s="52"/>
      <c r="G210" s="52" t="str">
        <f t="shared" si="11"/>
        <v>P</v>
      </c>
      <c r="H210" s="52"/>
      <c r="I210" s="52"/>
      <c r="J210" s="52" t="str">
        <f t="shared" si="12"/>
        <v>ELEM</v>
      </c>
      <c r="K210" s="52"/>
      <c r="L210" s="87"/>
      <c r="M210" s="52" t="e">
        <v>#N/A</v>
      </c>
      <c r="N210" s="52"/>
      <c r="O210" s="52"/>
      <c r="P210" s="52"/>
      <c r="Q210" s="52"/>
      <c r="R210" s="52"/>
      <c r="S210" s="52"/>
      <c r="T210" s="52"/>
      <c r="U210" s="52"/>
      <c r="V210" s="52"/>
      <c r="W210" s="53"/>
      <c r="X210" s="23"/>
      <c r="Y210" s="52"/>
      <c r="Z210" s="52"/>
      <c r="AA210" s="52"/>
      <c r="AB210" s="52"/>
      <c r="AC210" s="52"/>
      <c r="AD210" s="52"/>
      <c r="AE210" s="52"/>
    </row>
    <row r="211" spans="2:31" x14ac:dyDescent="0.25">
      <c r="B211" s="52"/>
      <c r="C211" s="52"/>
      <c r="D211" s="52"/>
      <c r="E211" s="52" t="str">
        <f t="shared" si="10"/>
        <v>PROG</v>
      </c>
      <c r="F211" s="52"/>
      <c r="G211" s="52" t="str">
        <f t="shared" si="11"/>
        <v>P</v>
      </c>
      <c r="H211" s="52"/>
      <c r="I211" s="52"/>
      <c r="J211" s="52" t="str">
        <f t="shared" si="12"/>
        <v>ELEM</v>
      </c>
      <c r="K211" s="52"/>
      <c r="L211" s="87"/>
      <c r="M211" s="52" t="e">
        <v>#N/A</v>
      </c>
      <c r="N211" s="52"/>
      <c r="O211" s="52"/>
      <c r="P211" s="52"/>
      <c r="Q211" s="52"/>
      <c r="R211" s="52"/>
      <c r="S211" s="52"/>
      <c r="T211" s="52"/>
      <c r="U211" s="52"/>
      <c r="V211" s="52"/>
      <c r="W211" s="53"/>
      <c r="X211" s="23"/>
      <c r="Y211" s="52"/>
      <c r="Z211" s="52"/>
      <c r="AA211" s="52"/>
      <c r="AB211" s="52"/>
      <c r="AC211" s="52"/>
      <c r="AD211" s="52"/>
      <c r="AE211" s="52"/>
    </row>
    <row r="212" spans="2:31" x14ac:dyDescent="0.25">
      <c r="B212" s="52"/>
      <c r="C212" s="52"/>
      <c r="D212" s="52"/>
      <c r="E212" s="52" t="str">
        <f t="shared" si="10"/>
        <v>PROG</v>
      </c>
      <c r="F212" s="52"/>
      <c r="G212" s="52" t="str">
        <f t="shared" si="11"/>
        <v>P</v>
      </c>
      <c r="H212" s="52"/>
      <c r="I212" s="52"/>
      <c r="J212" s="52" t="str">
        <f t="shared" si="12"/>
        <v>ELEM</v>
      </c>
      <c r="K212" s="52"/>
      <c r="L212" s="87"/>
      <c r="M212" s="52" t="e">
        <v>#N/A</v>
      </c>
      <c r="N212" s="52"/>
      <c r="O212" s="52"/>
      <c r="P212" s="52"/>
      <c r="Q212" s="52"/>
      <c r="R212" s="52"/>
      <c r="S212" s="52"/>
      <c r="T212" s="52"/>
      <c r="U212" s="52"/>
      <c r="V212" s="52"/>
      <c r="W212" s="53"/>
      <c r="X212" s="23"/>
      <c r="Y212" s="52"/>
      <c r="Z212" s="52"/>
      <c r="AA212" s="52"/>
      <c r="AB212" s="52"/>
      <c r="AC212" s="52"/>
      <c r="AD212" s="52"/>
      <c r="AE212" s="52"/>
    </row>
    <row r="213" spans="2:31" x14ac:dyDescent="0.25">
      <c r="B213" s="52"/>
      <c r="C213" s="52"/>
      <c r="D213" s="52"/>
      <c r="E213" s="52" t="str">
        <f t="shared" si="10"/>
        <v>PROG</v>
      </c>
      <c r="F213" s="52"/>
      <c r="G213" s="52" t="str">
        <f t="shared" si="11"/>
        <v>P</v>
      </c>
      <c r="H213" s="52"/>
      <c r="I213" s="52"/>
      <c r="J213" s="52" t="str">
        <f t="shared" si="12"/>
        <v>ELEM</v>
      </c>
      <c r="K213" s="52"/>
      <c r="L213" s="87"/>
      <c r="M213" s="52" t="e">
        <v>#N/A</v>
      </c>
      <c r="N213" s="52"/>
      <c r="O213" s="52"/>
      <c r="P213" s="52"/>
      <c r="Q213" s="52"/>
      <c r="R213" s="52"/>
      <c r="S213" s="52"/>
      <c r="T213" s="52"/>
      <c r="U213" s="52"/>
      <c r="V213" s="52"/>
      <c r="W213" s="53"/>
      <c r="X213" s="23"/>
      <c r="Y213" s="52"/>
      <c r="Z213" s="52"/>
      <c r="AA213" s="52"/>
      <c r="AB213" s="52"/>
      <c r="AC213" s="52"/>
      <c r="AD213" s="52"/>
      <c r="AE213" s="52"/>
    </row>
    <row r="214" spans="2:31" x14ac:dyDescent="0.25">
      <c r="B214" s="52"/>
      <c r="C214" s="52"/>
      <c r="D214" s="52"/>
      <c r="E214" s="52" t="str">
        <f t="shared" si="10"/>
        <v>PROG</v>
      </c>
      <c r="F214" s="52"/>
      <c r="G214" s="52" t="str">
        <f t="shared" si="11"/>
        <v>P</v>
      </c>
      <c r="H214" s="52"/>
      <c r="I214" s="52"/>
      <c r="J214" s="52" t="str">
        <f t="shared" si="12"/>
        <v>ELEM</v>
      </c>
      <c r="K214" s="52"/>
      <c r="L214" s="87"/>
      <c r="M214" s="52" t="e">
        <v>#N/A</v>
      </c>
      <c r="N214" s="52"/>
      <c r="O214" s="52"/>
      <c r="P214" s="52"/>
      <c r="Q214" s="52"/>
      <c r="R214" s="52"/>
      <c r="S214" s="52"/>
      <c r="T214" s="52"/>
      <c r="U214" s="52"/>
      <c r="V214" s="52"/>
      <c r="W214" s="53"/>
      <c r="X214" s="23"/>
      <c r="Y214" s="52"/>
      <c r="Z214" s="52"/>
      <c r="AA214" s="52"/>
      <c r="AB214" s="52"/>
      <c r="AC214" s="52"/>
      <c r="AD214" s="52"/>
      <c r="AE214" s="52"/>
    </row>
    <row r="215" spans="2:31" x14ac:dyDescent="0.25">
      <c r="B215" s="52"/>
      <c r="C215" s="52"/>
      <c r="D215" s="52"/>
      <c r="E215" s="52" t="str">
        <f t="shared" si="10"/>
        <v>PROG</v>
      </c>
      <c r="F215" s="52"/>
      <c r="G215" s="52" t="str">
        <f t="shared" si="11"/>
        <v>P</v>
      </c>
      <c r="H215" s="52"/>
      <c r="I215" s="52"/>
      <c r="J215" s="52" t="str">
        <f t="shared" si="12"/>
        <v>ELEM</v>
      </c>
      <c r="K215" s="52"/>
      <c r="L215" s="87"/>
      <c r="M215" s="52" t="e">
        <v>#N/A</v>
      </c>
      <c r="N215" s="52"/>
      <c r="O215" s="52"/>
      <c r="P215" s="52"/>
      <c r="Q215" s="52"/>
      <c r="R215" s="52"/>
      <c r="S215" s="52"/>
      <c r="T215" s="52"/>
      <c r="U215" s="52"/>
      <c r="V215" s="52"/>
      <c r="W215" s="53"/>
      <c r="X215" s="23"/>
      <c r="Y215" s="52"/>
      <c r="Z215" s="52"/>
      <c r="AA215" s="52"/>
      <c r="AB215" s="52"/>
      <c r="AC215" s="52"/>
      <c r="AD215" s="52"/>
      <c r="AE215" s="52"/>
    </row>
    <row r="216" spans="2:31" x14ac:dyDescent="0.25">
      <c r="B216" s="52"/>
      <c r="C216" s="52"/>
      <c r="D216" s="52"/>
      <c r="E216" s="52" t="str">
        <f t="shared" si="10"/>
        <v>PROG</v>
      </c>
      <c r="F216" s="52"/>
      <c r="G216" s="52" t="str">
        <f t="shared" si="11"/>
        <v>P</v>
      </c>
      <c r="H216" s="52"/>
      <c r="I216" s="52"/>
      <c r="J216" s="52" t="str">
        <f t="shared" si="12"/>
        <v>ELEM</v>
      </c>
      <c r="K216" s="52"/>
      <c r="L216" s="87"/>
      <c r="M216" s="52" t="e">
        <v>#N/A</v>
      </c>
      <c r="N216" s="52"/>
      <c r="O216" s="52"/>
      <c r="P216" s="52"/>
      <c r="Q216" s="52"/>
      <c r="R216" s="52"/>
      <c r="S216" s="52"/>
      <c r="T216" s="52"/>
      <c r="U216" s="52"/>
      <c r="V216" s="52"/>
      <c r="W216" s="53"/>
      <c r="X216" s="23"/>
      <c r="Y216" s="52"/>
      <c r="Z216" s="52"/>
      <c r="AA216" s="52"/>
      <c r="AB216" s="52"/>
      <c r="AC216" s="52"/>
      <c r="AD216" s="52"/>
      <c r="AE216" s="52"/>
    </row>
    <row r="217" spans="2:31" x14ac:dyDescent="0.25">
      <c r="B217" s="52"/>
      <c r="C217" s="52"/>
      <c r="D217" s="52"/>
      <c r="E217" s="52" t="str">
        <f t="shared" si="10"/>
        <v>PROG</v>
      </c>
      <c r="F217" s="52"/>
      <c r="G217" s="52" t="str">
        <f t="shared" si="11"/>
        <v>P</v>
      </c>
      <c r="H217" s="52"/>
      <c r="I217" s="52"/>
      <c r="J217" s="52" t="str">
        <f t="shared" si="12"/>
        <v>ELEM</v>
      </c>
      <c r="K217" s="52"/>
      <c r="L217" s="87"/>
      <c r="M217" s="52" t="e">
        <v>#N/A</v>
      </c>
      <c r="N217" s="52"/>
      <c r="O217" s="52"/>
      <c r="P217" s="52"/>
      <c r="Q217" s="52"/>
      <c r="R217" s="52"/>
      <c r="S217" s="52"/>
      <c r="T217" s="52"/>
      <c r="U217" s="52"/>
      <c r="V217" s="52"/>
      <c r="W217" s="53"/>
      <c r="X217" s="23"/>
      <c r="Y217" s="52"/>
      <c r="Z217" s="52"/>
      <c r="AA217" s="52"/>
      <c r="AB217" s="52"/>
      <c r="AC217" s="52"/>
      <c r="AD217" s="52"/>
      <c r="AE217" s="52"/>
    </row>
    <row r="218" spans="2:31" x14ac:dyDescent="0.25">
      <c r="B218" s="52"/>
      <c r="C218" s="52"/>
      <c r="D218" s="52"/>
      <c r="E218" s="52" t="str">
        <f t="shared" si="10"/>
        <v>PROG</v>
      </c>
      <c r="F218" s="52"/>
      <c r="G218" s="52" t="str">
        <f t="shared" si="11"/>
        <v>P</v>
      </c>
      <c r="H218" s="52"/>
      <c r="I218" s="52"/>
      <c r="J218" s="52" t="str">
        <f t="shared" si="12"/>
        <v>ELEM</v>
      </c>
      <c r="K218" s="52"/>
      <c r="L218" s="87"/>
      <c r="M218" s="52" t="e">
        <v>#N/A</v>
      </c>
      <c r="N218" s="52"/>
      <c r="O218" s="52"/>
      <c r="P218" s="52"/>
      <c r="Q218" s="52"/>
      <c r="R218" s="52"/>
      <c r="S218" s="52"/>
      <c r="T218" s="52"/>
      <c r="U218" s="52"/>
      <c r="V218" s="52"/>
      <c r="W218" s="53"/>
      <c r="X218" s="23"/>
      <c r="Y218" s="52"/>
      <c r="Z218" s="52"/>
      <c r="AA218" s="52"/>
      <c r="AB218" s="52"/>
      <c r="AC218" s="52"/>
      <c r="AD218" s="52"/>
      <c r="AE218" s="52"/>
    </row>
    <row r="219" spans="2:31" x14ac:dyDescent="0.25">
      <c r="B219" s="52"/>
      <c r="C219" s="52"/>
      <c r="D219" s="52"/>
      <c r="E219" s="52" t="str">
        <f t="shared" si="10"/>
        <v>PROG</v>
      </c>
      <c r="F219" s="52"/>
      <c r="G219" s="52" t="str">
        <f t="shared" si="11"/>
        <v>P</v>
      </c>
      <c r="H219" s="52"/>
      <c r="I219" s="52"/>
      <c r="J219" s="52" t="str">
        <f t="shared" si="12"/>
        <v>ELEM</v>
      </c>
      <c r="K219" s="52"/>
      <c r="L219" s="87"/>
      <c r="M219" s="52" t="e">
        <v>#N/A</v>
      </c>
      <c r="N219" s="52"/>
      <c r="O219" s="52"/>
      <c r="P219" s="52"/>
      <c r="Q219" s="52"/>
      <c r="R219" s="52"/>
      <c r="S219" s="52"/>
      <c r="T219" s="52"/>
      <c r="U219" s="52"/>
      <c r="V219" s="52"/>
      <c r="W219" s="53"/>
      <c r="X219" s="23"/>
      <c r="Y219" s="52"/>
      <c r="Z219" s="52"/>
      <c r="AA219" s="52"/>
      <c r="AB219" s="52"/>
      <c r="AC219" s="52"/>
      <c r="AD219" s="52"/>
      <c r="AE219" s="52"/>
    </row>
    <row r="220" spans="2:31" x14ac:dyDescent="0.25">
      <c r="B220" s="52"/>
      <c r="C220" s="52"/>
      <c r="D220" s="52"/>
      <c r="E220" s="52" t="str">
        <f t="shared" si="10"/>
        <v>PROG</v>
      </c>
      <c r="F220" s="52"/>
      <c r="G220" s="52" t="str">
        <f t="shared" si="11"/>
        <v>P</v>
      </c>
      <c r="H220" s="52"/>
      <c r="I220" s="52"/>
      <c r="J220" s="52" t="str">
        <f t="shared" si="12"/>
        <v>ELEM</v>
      </c>
      <c r="K220" s="52"/>
      <c r="L220" s="87"/>
      <c r="M220" s="52" t="e">
        <v>#N/A</v>
      </c>
      <c r="N220" s="52"/>
      <c r="O220" s="52"/>
      <c r="P220" s="52"/>
      <c r="Q220" s="52"/>
      <c r="R220" s="52"/>
      <c r="S220" s="52"/>
      <c r="T220" s="52"/>
      <c r="U220" s="52"/>
      <c r="V220" s="52"/>
      <c r="W220" s="53"/>
      <c r="X220" s="23"/>
      <c r="Y220" s="52"/>
      <c r="Z220" s="52"/>
      <c r="AA220" s="52"/>
      <c r="AB220" s="52"/>
      <c r="AC220" s="52"/>
      <c r="AD220" s="52"/>
      <c r="AE220" s="52"/>
    </row>
    <row r="221" spans="2:31" x14ac:dyDescent="0.25">
      <c r="B221" s="52"/>
      <c r="C221" s="52"/>
      <c r="D221" s="52"/>
      <c r="E221" s="52" t="str">
        <f t="shared" si="10"/>
        <v>PROG</v>
      </c>
      <c r="F221" s="52"/>
      <c r="G221" s="52" t="str">
        <f t="shared" si="11"/>
        <v>P</v>
      </c>
      <c r="H221" s="52"/>
      <c r="I221" s="52"/>
      <c r="J221" s="52" t="str">
        <f t="shared" si="12"/>
        <v>ELEM</v>
      </c>
      <c r="K221" s="52"/>
      <c r="L221" s="87"/>
      <c r="M221" s="52" t="e">
        <v>#N/A</v>
      </c>
      <c r="N221" s="52"/>
      <c r="O221" s="52"/>
      <c r="P221" s="52"/>
      <c r="Q221" s="52"/>
      <c r="R221" s="52"/>
      <c r="S221" s="52"/>
      <c r="T221" s="52"/>
      <c r="U221" s="52"/>
      <c r="V221" s="52"/>
      <c r="W221" s="53"/>
      <c r="X221" s="23"/>
      <c r="Y221" s="52"/>
      <c r="Z221" s="52"/>
      <c r="AA221" s="52"/>
      <c r="AB221" s="52"/>
      <c r="AC221" s="52"/>
      <c r="AD221" s="52"/>
      <c r="AE221" s="52"/>
    </row>
    <row r="222" spans="2:31" x14ac:dyDescent="0.25">
      <c r="B222" s="52"/>
      <c r="C222" s="52"/>
      <c r="D222" s="52"/>
      <c r="E222" s="52" t="str">
        <f t="shared" si="10"/>
        <v>PROG</v>
      </c>
      <c r="F222" s="52"/>
      <c r="G222" s="52" t="str">
        <f t="shared" si="11"/>
        <v>P</v>
      </c>
      <c r="H222" s="52"/>
      <c r="I222" s="52"/>
      <c r="J222" s="52" t="str">
        <f t="shared" si="12"/>
        <v>ELEM</v>
      </c>
      <c r="K222" s="52"/>
      <c r="L222" s="87"/>
      <c r="M222" s="52" t="e">
        <v>#N/A</v>
      </c>
      <c r="N222" s="52"/>
      <c r="O222" s="52"/>
      <c r="P222" s="52"/>
      <c r="Q222" s="52"/>
      <c r="R222" s="52"/>
      <c r="S222" s="52"/>
      <c r="T222" s="52"/>
      <c r="U222" s="52"/>
      <c r="V222" s="52"/>
      <c r="W222" s="53"/>
      <c r="X222" s="23"/>
      <c r="Y222" s="52"/>
      <c r="Z222" s="52"/>
      <c r="AA222" s="52"/>
      <c r="AB222" s="52"/>
      <c r="AC222" s="52"/>
      <c r="AD222" s="52"/>
      <c r="AE222" s="52"/>
    </row>
    <row r="223" spans="2:31" x14ac:dyDescent="0.25">
      <c r="B223" s="52"/>
      <c r="C223" s="52"/>
      <c r="D223" s="52"/>
      <c r="E223" s="52" t="str">
        <f t="shared" si="10"/>
        <v>PROG</v>
      </c>
      <c r="F223" s="52"/>
      <c r="G223" s="52" t="str">
        <f t="shared" si="11"/>
        <v>P</v>
      </c>
      <c r="H223" s="52"/>
      <c r="I223" s="52"/>
      <c r="J223" s="52" t="str">
        <f t="shared" si="12"/>
        <v>ELEM</v>
      </c>
      <c r="K223" s="52"/>
      <c r="L223" s="87"/>
      <c r="M223" s="52" t="e">
        <v>#N/A</v>
      </c>
      <c r="N223" s="52"/>
      <c r="O223" s="52"/>
      <c r="P223" s="52"/>
      <c r="Q223" s="52"/>
      <c r="R223" s="52"/>
      <c r="S223" s="52"/>
      <c r="T223" s="52"/>
      <c r="U223" s="52"/>
      <c r="V223" s="52"/>
      <c r="W223" s="53"/>
      <c r="X223" s="23"/>
      <c r="Y223" s="52"/>
      <c r="Z223" s="52"/>
      <c r="AA223" s="52"/>
      <c r="AB223" s="52"/>
      <c r="AC223" s="52"/>
      <c r="AD223" s="52"/>
      <c r="AE223" s="52"/>
    </row>
    <row r="224" spans="2:31" x14ac:dyDescent="0.25">
      <c r="B224" s="52"/>
      <c r="C224" s="52"/>
      <c r="D224" s="52"/>
      <c r="E224" s="52" t="str">
        <f t="shared" si="10"/>
        <v>PROG</v>
      </c>
      <c r="F224" s="52"/>
      <c r="G224" s="52" t="str">
        <f t="shared" si="11"/>
        <v>P</v>
      </c>
      <c r="H224" s="52"/>
      <c r="I224" s="52"/>
      <c r="J224" s="52" t="str">
        <f t="shared" si="12"/>
        <v>ELEM</v>
      </c>
      <c r="K224" s="52"/>
      <c r="L224" s="87"/>
      <c r="M224" s="52" t="e">
        <v>#N/A</v>
      </c>
      <c r="N224" s="52"/>
      <c r="O224" s="52"/>
      <c r="P224" s="52"/>
      <c r="Q224" s="52"/>
      <c r="R224" s="52"/>
      <c r="S224" s="52"/>
      <c r="T224" s="52"/>
      <c r="U224" s="52"/>
      <c r="V224" s="52"/>
      <c r="W224" s="53"/>
      <c r="X224" s="23"/>
      <c r="Y224" s="52"/>
      <c r="Z224" s="52"/>
      <c r="AA224" s="52"/>
      <c r="AB224" s="52"/>
      <c r="AC224" s="52"/>
      <c r="AD224" s="52"/>
      <c r="AE224" s="52"/>
    </row>
    <row r="225" spans="2:31" x14ac:dyDescent="0.25">
      <c r="B225" s="52"/>
      <c r="C225" s="52"/>
      <c r="D225" s="52"/>
      <c r="E225" s="52" t="str">
        <f t="shared" si="10"/>
        <v>PROG</v>
      </c>
      <c r="F225" s="52"/>
      <c r="G225" s="52" t="str">
        <f t="shared" si="11"/>
        <v>P</v>
      </c>
      <c r="H225" s="52"/>
      <c r="I225" s="52"/>
      <c r="J225" s="52" t="str">
        <f t="shared" si="12"/>
        <v>ELEM</v>
      </c>
      <c r="K225" s="52"/>
      <c r="L225" s="87"/>
      <c r="M225" s="52" t="e">
        <v>#N/A</v>
      </c>
      <c r="N225" s="52"/>
      <c r="O225" s="52"/>
      <c r="P225" s="52"/>
      <c r="Q225" s="52"/>
      <c r="R225" s="52"/>
      <c r="S225" s="52"/>
      <c r="T225" s="52"/>
      <c r="U225" s="52"/>
      <c r="V225" s="52"/>
      <c r="W225" s="53"/>
      <c r="X225" s="23"/>
      <c r="Y225" s="52"/>
      <c r="Z225" s="52"/>
      <c r="AA225" s="52"/>
      <c r="AB225" s="52"/>
      <c r="AC225" s="52"/>
      <c r="AD225" s="52"/>
      <c r="AE225" s="52"/>
    </row>
    <row r="226" spans="2:31" x14ac:dyDescent="0.25">
      <c r="B226" s="52"/>
      <c r="C226" s="52"/>
      <c r="D226" s="52"/>
      <c r="E226" s="52" t="str">
        <f t="shared" si="10"/>
        <v>PROG</v>
      </c>
      <c r="F226" s="52"/>
      <c r="G226" s="52" t="str">
        <f t="shared" si="11"/>
        <v>P</v>
      </c>
      <c r="H226" s="52"/>
      <c r="I226" s="52"/>
      <c r="J226" s="52" t="str">
        <f t="shared" si="12"/>
        <v>ELEM</v>
      </c>
      <c r="K226" s="52"/>
      <c r="L226" s="87"/>
      <c r="M226" s="52" t="e">
        <v>#N/A</v>
      </c>
      <c r="N226" s="52"/>
      <c r="O226" s="52"/>
      <c r="P226" s="52"/>
      <c r="Q226" s="52"/>
      <c r="R226" s="52"/>
      <c r="S226" s="52"/>
      <c r="T226" s="52"/>
      <c r="U226" s="52"/>
      <c r="V226" s="52"/>
      <c r="W226" s="53"/>
      <c r="X226" s="23"/>
      <c r="Y226" s="52"/>
      <c r="Z226" s="52"/>
      <c r="AA226" s="52"/>
      <c r="AB226" s="52"/>
      <c r="AC226" s="52"/>
      <c r="AD226" s="52"/>
      <c r="AE226" s="52"/>
    </row>
    <row r="227" spans="2:31" x14ac:dyDescent="0.25">
      <c r="B227" s="52"/>
      <c r="C227" s="52"/>
      <c r="D227" s="52"/>
      <c r="E227" s="52" t="str">
        <f t="shared" si="10"/>
        <v>PROG</v>
      </c>
      <c r="F227" s="52"/>
      <c r="G227" s="52" t="str">
        <f t="shared" si="11"/>
        <v>P</v>
      </c>
      <c r="H227" s="52"/>
      <c r="I227" s="52"/>
      <c r="J227" s="52" t="str">
        <f t="shared" si="12"/>
        <v>ELEM</v>
      </c>
      <c r="K227" s="52"/>
      <c r="L227" s="87"/>
      <c r="M227" s="52" t="e">
        <v>#N/A</v>
      </c>
      <c r="N227" s="52"/>
      <c r="O227" s="52"/>
      <c r="P227" s="52"/>
      <c r="Q227" s="52"/>
      <c r="R227" s="52"/>
      <c r="S227" s="52"/>
      <c r="T227" s="52"/>
      <c r="U227" s="52"/>
      <c r="V227" s="52"/>
      <c r="W227" s="53"/>
      <c r="X227" s="23"/>
      <c r="Y227" s="52"/>
      <c r="Z227" s="52"/>
      <c r="AA227" s="52"/>
      <c r="AB227" s="52"/>
      <c r="AC227" s="52"/>
      <c r="AD227" s="52"/>
      <c r="AE227" s="52"/>
    </row>
    <row r="228" spans="2:31" x14ac:dyDescent="0.25">
      <c r="B228" s="52"/>
      <c r="C228" s="52"/>
      <c r="D228" s="52"/>
      <c r="E228" s="52" t="str">
        <f t="shared" si="10"/>
        <v>PROG</v>
      </c>
      <c r="F228" s="52"/>
      <c r="G228" s="52" t="str">
        <f t="shared" si="11"/>
        <v>P</v>
      </c>
      <c r="H228" s="52"/>
      <c r="I228" s="52"/>
      <c r="J228" s="52" t="str">
        <f t="shared" si="12"/>
        <v>ELEM</v>
      </c>
      <c r="K228" s="52"/>
      <c r="L228" s="87"/>
      <c r="M228" s="52" t="e">
        <v>#N/A</v>
      </c>
      <c r="N228" s="52"/>
      <c r="O228" s="52"/>
      <c r="P228" s="52"/>
      <c r="Q228" s="52"/>
      <c r="R228" s="52"/>
      <c r="S228" s="52"/>
      <c r="T228" s="52"/>
      <c r="U228" s="52"/>
      <c r="V228" s="52"/>
      <c r="W228" s="53"/>
      <c r="X228" s="23"/>
      <c r="Y228" s="52"/>
      <c r="Z228" s="52"/>
      <c r="AA228" s="52"/>
      <c r="AB228" s="52"/>
      <c r="AC228" s="52"/>
      <c r="AD228" s="52"/>
      <c r="AE228" s="52"/>
    </row>
    <row r="229" spans="2:31" x14ac:dyDescent="0.25">
      <c r="B229" s="52"/>
      <c r="C229" s="52"/>
      <c r="D229" s="52"/>
      <c r="E229" s="52" t="str">
        <f t="shared" si="10"/>
        <v>PROG</v>
      </c>
      <c r="F229" s="52"/>
      <c r="G229" s="52" t="str">
        <f t="shared" si="11"/>
        <v>P</v>
      </c>
      <c r="H229" s="52"/>
      <c r="I229" s="52"/>
      <c r="J229" s="52" t="str">
        <f t="shared" si="12"/>
        <v>ELEM</v>
      </c>
      <c r="K229" s="52"/>
      <c r="L229" s="87"/>
      <c r="M229" s="52" t="e">
        <v>#N/A</v>
      </c>
      <c r="N229" s="52"/>
      <c r="O229" s="52"/>
      <c r="P229" s="52"/>
      <c r="Q229" s="52"/>
      <c r="R229" s="52"/>
      <c r="S229" s="52"/>
      <c r="T229" s="52"/>
      <c r="U229" s="52"/>
      <c r="V229" s="52"/>
      <c r="W229" s="53"/>
      <c r="X229" s="23"/>
      <c r="Y229" s="52"/>
      <c r="Z229" s="52"/>
      <c r="AA229" s="52"/>
      <c r="AB229" s="52"/>
      <c r="AC229" s="52"/>
      <c r="AD229" s="52"/>
      <c r="AE229" s="52"/>
    </row>
    <row r="230" spans="2:31" x14ac:dyDescent="0.25">
      <c r="B230" s="52"/>
      <c r="C230" s="52"/>
      <c r="D230" s="52"/>
      <c r="E230" s="52" t="str">
        <f t="shared" si="10"/>
        <v>PROG</v>
      </c>
      <c r="F230" s="52"/>
      <c r="G230" s="52" t="str">
        <f t="shared" si="11"/>
        <v>P</v>
      </c>
      <c r="H230" s="52"/>
      <c r="I230" s="52"/>
      <c r="J230" s="52" t="str">
        <f t="shared" si="12"/>
        <v>ELEM</v>
      </c>
      <c r="K230" s="52"/>
      <c r="L230" s="87"/>
      <c r="M230" s="52" t="e">
        <v>#N/A</v>
      </c>
      <c r="N230" s="52"/>
      <c r="O230" s="52"/>
      <c r="P230" s="52"/>
      <c r="Q230" s="52"/>
      <c r="R230" s="52"/>
      <c r="S230" s="52"/>
      <c r="T230" s="52"/>
      <c r="U230" s="52"/>
      <c r="V230" s="52"/>
      <c r="W230" s="53"/>
      <c r="X230" s="23"/>
      <c r="Y230" s="52"/>
      <c r="Z230" s="52"/>
      <c r="AA230" s="52"/>
      <c r="AB230" s="52"/>
      <c r="AC230" s="52"/>
      <c r="AD230" s="52"/>
      <c r="AE230" s="52"/>
    </row>
    <row r="231" spans="2:31" x14ac:dyDescent="0.25">
      <c r="B231" s="52"/>
      <c r="C231" s="52"/>
      <c r="D231" s="52"/>
      <c r="E231" s="52" t="str">
        <f t="shared" si="10"/>
        <v>PROG</v>
      </c>
      <c r="F231" s="52"/>
      <c r="G231" s="52" t="str">
        <f t="shared" si="11"/>
        <v>P</v>
      </c>
      <c r="H231" s="52"/>
      <c r="I231" s="52"/>
      <c r="J231" s="52" t="str">
        <f t="shared" si="12"/>
        <v>ELEM</v>
      </c>
      <c r="K231" s="52"/>
      <c r="L231" s="87"/>
      <c r="M231" s="52" t="e">
        <v>#N/A</v>
      </c>
      <c r="N231" s="52"/>
      <c r="O231" s="52"/>
      <c r="P231" s="52"/>
      <c r="Q231" s="52"/>
      <c r="R231" s="52"/>
      <c r="S231" s="52"/>
      <c r="T231" s="52"/>
      <c r="U231" s="52"/>
      <c r="V231" s="52"/>
      <c r="W231" s="53"/>
      <c r="X231" s="23"/>
      <c r="Y231" s="52"/>
      <c r="Z231" s="52"/>
      <c r="AA231" s="52"/>
      <c r="AB231" s="52"/>
      <c r="AC231" s="52"/>
      <c r="AD231" s="52"/>
      <c r="AE231" s="52"/>
    </row>
    <row r="232" spans="2:31" x14ac:dyDescent="0.25">
      <c r="B232" s="52"/>
      <c r="C232" s="52"/>
      <c r="D232" s="52"/>
      <c r="E232" s="52" t="str">
        <f t="shared" si="10"/>
        <v>PROG</v>
      </c>
      <c r="F232" s="52"/>
      <c r="G232" s="52" t="str">
        <f t="shared" si="11"/>
        <v>P</v>
      </c>
      <c r="H232" s="52"/>
      <c r="I232" s="52"/>
      <c r="J232" s="52" t="str">
        <f t="shared" si="12"/>
        <v>ELEM</v>
      </c>
      <c r="K232" s="52"/>
      <c r="L232" s="87"/>
      <c r="M232" s="52" t="e">
        <v>#N/A</v>
      </c>
      <c r="N232" s="52"/>
      <c r="O232" s="52"/>
      <c r="P232" s="52"/>
      <c r="Q232" s="52"/>
      <c r="R232" s="52"/>
      <c r="S232" s="52"/>
      <c r="T232" s="52"/>
      <c r="U232" s="52"/>
      <c r="V232" s="52"/>
      <c r="W232" s="53"/>
      <c r="X232" s="23"/>
      <c r="Y232" s="52"/>
      <c r="Z232" s="52"/>
      <c r="AA232" s="52"/>
      <c r="AB232" s="52"/>
      <c r="AC232" s="52"/>
      <c r="AD232" s="52"/>
      <c r="AE232" s="52"/>
    </row>
    <row r="233" spans="2:31" x14ac:dyDescent="0.25">
      <c r="B233" s="52"/>
      <c r="C233" s="52"/>
      <c r="D233" s="52"/>
      <c r="E233" s="52" t="str">
        <f t="shared" si="10"/>
        <v>PROG</v>
      </c>
      <c r="F233" s="52"/>
      <c r="G233" s="52" t="str">
        <f t="shared" si="11"/>
        <v>P</v>
      </c>
      <c r="H233" s="52"/>
      <c r="I233" s="52"/>
      <c r="J233" s="52" t="str">
        <f t="shared" si="12"/>
        <v>ELEM</v>
      </c>
      <c r="K233" s="52"/>
      <c r="L233" s="87"/>
      <c r="M233" s="52" t="e">
        <v>#N/A</v>
      </c>
      <c r="N233" s="52"/>
      <c r="O233" s="52"/>
      <c r="P233" s="52"/>
      <c r="Q233" s="52"/>
      <c r="R233" s="52"/>
      <c r="S233" s="52"/>
      <c r="T233" s="52"/>
      <c r="U233" s="52"/>
      <c r="V233" s="52"/>
      <c r="W233" s="53"/>
      <c r="X233" s="23"/>
      <c r="Y233" s="52"/>
      <c r="Z233" s="52"/>
      <c r="AA233" s="52"/>
      <c r="AB233" s="52"/>
      <c r="AC233" s="52"/>
      <c r="AD233" s="52"/>
      <c r="AE233" s="52"/>
    </row>
    <row r="234" spans="2:31" x14ac:dyDescent="0.25">
      <c r="B234" s="52"/>
      <c r="C234" s="52"/>
      <c r="D234" s="52"/>
      <c r="E234" s="52" t="str">
        <f t="shared" si="10"/>
        <v>PROG</v>
      </c>
      <c r="F234" s="52"/>
      <c r="G234" s="52" t="str">
        <f t="shared" si="11"/>
        <v>P</v>
      </c>
      <c r="H234" s="52"/>
      <c r="I234" s="52"/>
      <c r="J234" s="52" t="str">
        <f t="shared" si="12"/>
        <v>ELEM</v>
      </c>
      <c r="K234" s="52"/>
      <c r="L234" s="87"/>
      <c r="M234" s="52" t="e">
        <v>#N/A</v>
      </c>
      <c r="N234" s="52"/>
      <c r="O234" s="52"/>
      <c r="P234" s="52"/>
      <c r="Q234" s="52"/>
      <c r="R234" s="52"/>
      <c r="S234" s="52"/>
      <c r="T234" s="52"/>
      <c r="U234" s="52"/>
      <c r="V234" s="52"/>
      <c r="W234" s="53"/>
      <c r="X234" s="23"/>
      <c r="Y234" s="52"/>
      <c r="Z234" s="52"/>
      <c r="AA234" s="52"/>
      <c r="AB234" s="52"/>
      <c r="AC234" s="52"/>
      <c r="AD234" s="52"/>
      <c r="AE234" s="52"/>
    </row>
    <row r="235" spans="2:31" x14ac:dyDescent="0.25">
      <c r="B235" s="52"/>
      <c r="C235" s="52"/>
      <c r="D235" s="52"/>
      <c r="E235" s="52" t="str">
        <f t="shared" si="10"/>
        <v>PROG</v>
      </c>
      <c r="F235" s="52"/>
      <c r="G235" s="52" t="str">
        <f t="shared" si="11"/>
        <v>P</v>
      </c>
      <c r="H235" s="52"/>
      <c r="I235" s="52"/>
      <c r="J235" s="52" t="str">
        <f t="shared" si="12"/>
        <v>ELEM</v>
      </c>
      <c r="K235" s="52"/>
      <c r="L235" s="87"/>
      <c r="M235" s="52" t="e">
        <v>#N/A</v>
      </c>
      <c r="N235" s="52"/>
      <c r="O235" s="52"/>
      <c r="P235" s="52"/>
      <c r="Q235" s="52"/>
      <c r="R235" s="52"/>
      <c r="S235" s="52"/>
      <c r="T235" s="52"/>
      <c r="U235" s="52"/>
      <c r="V235" s="52"/>
      <c r="W235" s="53"/>
      <c r="X235" s="23"/>
      <c r="Y235" s="52"/>
      <c r="Z235" s="52"/>
      <c r="AA235" s="52"/>
      <c r="AB235" s="52"/>
      <c r="AC235" s="52"/>
      <c r="AD235" s="52"/>
      <c r="AE235" s="52"/>
    </row>
    <row r="236" spans="2:31" x14ac:dyDescent="0.25">
      <c r="B236" s="52"/>
      <c r="C236" s="52"/>
      <c r="D236" s="52"/>
      <c r="E236" s="52" t="str">
        <f t="shared" si="10"/>
        <v>PROG</v>
      </c>
      <c r="F236" s="52"/>
      <c r="G236" s="52" t="str">
        <f t="shared" si="11"/>
        <v>P</v>
      </c>
      <c r="H236" s="52"/>
      <c r="I236" s="52"/>
      <c r="J236" s="52" t="str">
        <f t="shared" si="12"/>
        <v>ELEM</v>
      </c>
      <c r="K236" s="52"/>
      <c r="L236" s="87"/>
      <c r="M236" s="52" t="e">
        <v>#N/A</v>
      </c>
      <c r="N236" s="52"/>
      <c r="O236" s="52"/>
      <c r="P236" s="52"/>
      <c r="Q236" s="52"/>
      <c r="R236" s="52"/>
      <c r="S236" s="52"/>
      <c r="T236" s="52"/>
      <c r="U236" s="52"/>
      <c r="V236" s="52"/>
      <c r="W236" s="53"/>
      <c r="X236" s="23"/>
      <c r="Y236" s="52"/>
      <c r="Z236" s="52"/>
      <c r="AA236" s="52"/>
      <c r="AB236" s="52"/>
      <c r="AC236" s="52"/>
      <c r="AD236" s="52"/>
      <c r="AE236" s="52"/>
    </row>
    <row r="237" spans="2:31" x14ac:dyDescent="0.25">
      <c r="B237" s="52"/>
      <c r="C237" s="52"/>
      <c r="D237" s="52"/>
      <c r="E237" s="52" t="str">
        <f t="shared" si="10"/>
        <v>PROG</v>
      </c>
      <c r="F237" s="52"/>
      <c r="G237" s="52" t="str">
        <f t="shared" si="11"/>
        <v>P</v>
      </c>
      <c r="H237" s="52"/>
      <c r="I237" s="52"/>
      <c r="J237" s="52" t="str">
        <f t="shared" si="12"/>
        <v>ELEM</v>
      </c>
      <c r="K237" s="52"/>
      <c r="L237" s="87"/>
      <c r="M237" s="52" t="e">
        <v>#N/A</v>
      </c>
      <c r="N237" s="52"/>
      <c r="O237" s="52"/>
      <c r="P237" s="52"/>
      <c r="Q237" s="52"/>
      <c r="R237" s="52"/>
      <c r="S237" s="52"/>
      <c r="T237" s="52"/>
      <c r="U237" s="52"/>
      <c r="V237" s="52"/>
      <c r="W237" s="53"/>
      <c r="X237" s="23"/>
      <c r="Y237" s="52"/>
      <c r="Z237" s="52"/>
      <c r="AA237" s="52"/>
      <c r="AB237" s="52"/>
      <c r="AC237" s="52"/>
      <c r="AD237" s="52"/>
      <c r="AE237" s="52"/>
    </row>
    <row r="238" spans="2:31" x14ac:dyDescent="0.25">
      <c r="B238" s="52"/>
      <c r="C238" s="52"/>
      <c r="D238" s="52"/>
      <c r="E238" s="52" t="str">
        <f t="shared" si="10"/>
        <v>PROG</v>
      </c>
      <c r="F238" s="52"/>
      <c r="G238" s="52" t="str">
        <f t="shared" si="11"/>
        <v>P</v>
      </c>
      <c r="H238" s="52"/>
      <c r="I238" s="52"/>
      <c r="J238" s="52" t="str">
        <f t="shared" si="12"/>
        <v>ELEM</v>
      </c>
      <c r="K238" s="52"/>
      <c r="L238" s="87"/>
      <c r="M238" s="52" t="e">
        <v>#N/A</v>
      </c>
      <c r="N238" s="52"/>
      <c r="O238" s="52"/>
      <c r="P238" s="52"/>
      <c r="Q238" s="52"/>
      <c r="R238" s="52"/>
      <c r="S238" s="52"/>
      <c r="T238" s="52"/>
      <c r="U238" s="52"/>
      <c r="V238" s="52"/>
      <c r="W238" s="53"/>
      <c r="X238" s="23"/>
      <c r="Y238" s="52"/>
      <c r="Z238" s="52"/>
      <c r="AA238" s="52"/>
      <c r="AB238" s="52"/>
      <c r="AC238" s="52"/>
      <c r="AD238" s="52"/>
      <c r="AE238" s="52"/>
    </row>
    <row r="239" spans="2:31" x14ac:dyDescent="0.25">
      <c r="B239" s="52"/>
      <c r="C239" s="52"/>
      <c r="D239" s="52"/>
      <c r="E239" s="52" t="str">
        <f t="shared" si="10"/>
        <v>PROG</v>
      </c>
      <c r="F239" s="52"/>
      <c r="G239" s="52" t="str">
        <f t="shared" si="11"/>
        <v>P</v>
      </c>
      <c r="H239" s="52"/>
      <c r="I239" s="52"/>
      <c r="J239" s="52" t="str">
        <f t="shared" si="12"/>
        <v>ELEM</v>
      </c>
      <c r="K239" s="52"/>
      <c r="L239" s="87"/>
      <c r="M239" s="52" t="e">
        <v>#N/A</v>
      </c>
      <c r="N239" s="52"/>
      <c r="O239" s="52"/>
      <c r="P239" s="52"/>
      <c r="Q239" s="52"/>
      <c r="R239" s="52"/>
      <c r="S239" s="52"/>
      <c r="T239" s="52"/>
      <c r="U239" s="52"/>
      <c r="V239" s="52"/>
      <c r="W239" s="53"/>
      <c r="X239" s="23"/>
      <c r="Y239" s="52"/>
      <c r="Z239" s="52"/>
      <c r="AA239" s="52"/>
      <c r="AB239" s="52"/>
      <c r="AC239" s="52"/>
      <c r="AD239" s="52"/>
      <c r="AE239" s="52"/>
    </row>
    <row r="240" spans="2:31" x14ac:dyDescent="0.25">
      <c r="B240" s="52"/>
      <c r="C240" s="52"/>
      <c r="D240" s="52"/>
      <c r="E240" s="52" t="str">
        <f t="shared" si="10"/>
        <v>PROG</v>
      </c>
      <c r="F240" s="52"/>
      <c r="G240" s="52" t="str">
        <f t="shared" si="11"/>
        <v>P</v>
      </c>
      <c r="H240" s="52"/>
      <c r="I240" s="52"/>
      <c r="J240" s="52" t="str">
        <f t="shared" si="12"/>
        <v>ELEM</v>
      </c>
      <c r="K240" s="52"/>
      <c r="L240" s="87"/>
      <c r="M240" s="52" t="e">
        <v>#N/A</v>
      </c>
      <c r="N240" s="52"/>
      <c r="O240" s="52"/>
      <c r="P240" s="52"/>
      <c r="Q240" s="52"/>
      <c r="R240" s="52"/>
      <c r="S240" s="52"/>
      <c r="T240" s="52"/>
      <c r="U240" s="52"/>
      <c r="V240" s="52"/>
      <c r="W240" s="53"/>
      <c r="X240" s="23"/>
      <c r="Y240" s="52"/>
      <c r="Z240" s="52"/>
      <c r="AA240" s="52"/>
      <c r="AB240" s="52"/>
      <c r="AC240" s="52"/>
      <c r="AD240" s="52"/>
      <c r="AE240" s="52"/>
    </row>
    <row r="241" spans="2:31" x14ac:dyDescent="0.25">
      <c r="B241" s="52"/>
      <c r="C241" s="52"/>
      <c r="D241" s="52"/>
      <c r="E241" s="52" t="str">
        <f t="shared" si="10"/>
        <v>PROG</v>
      </c>
      <c r="F241" s="52"/>
      <c r="G241" s="52" t="str">
        <f t="shared" si="11"/>
        <v>P</v>
      </c>
      <c r="H241" s="52"/>
      <c r="I241" s="52"/>
      <c r="J241" s="52" t="str">
        <f t="shared" si="12"/>
        <v>ELEM</v>
      </c>
      <c r="K241" s="52"/>
      <c r="L241" s="87"/>
      <c r="M241" s="52" t="e">
        <v>#N/A</v>
      </c>
      <c r="N241" s="52"/>
      <c r="O241" s="52"/>
      <c r="P241" s="52"/>
      <c r="Q241" s="52"/>
      <c r="R241" s="52"/>
      <c r="S241" s="52"/>
      <c r="T241" s="52"/>
      <c r="U241" s="52"/>
      <c r="V241" s="52"/>
      <c r="W241" s="53"/>
      <c r="X241" s="23"/>
      <c r="Y241" s="52"/>
      <c r="Z241" s="52"/>
      <c r="AA241" s="52"/>
      <c r="AB241" s="52"/>
      <c r="AC241" s="52"/>
      <c r="AD241" s="52"/>
      <c r="AE241" s="52"/>
    </row>
    <row r="242" spans="2:31" x14ac:dyDescent="0.25">
      <c r="B242" s="52"/>
      <c r="C242" s="52"/>
      <c r="D242" s="52"/>
      <c r="E242" s="52" t="str">
        <f t="shared" si="10"/>
        <v>PROG</v>
      </c>
      <c r="F242" s="52"/>
      <c r="G242" s="52" t="str">
        <f t="shared" si="11"/>
        <v>P</v>
      </c>
      <c r="H242" s="52"/>
      <c r="I242" s="52"/>
      <c r="J242" s="52" t="str">
        <f t="shared" si="12"/>
        <v>ELEM</v>
      </c>
      <c r="K242" s="52"/>
      <c r="L242" s="87"/>
      <c r="M242" s="52" t="e">
        <v>#N/A</v>
      </c>
      <c r="N242" s="52"/>
      <c r="O242" s="52"/>
      <c r="P242" s="52"/>
      <c r="Q242" s="52"/>
      <c r="R242" s="52"/>
      <c r="S242" s="52"/>
      <c r="T242" s="52"/>
      <c r="U242" s="52"/>
      <c r="V242" s="52"/>
      <c r="W242" s="53"/>
      <c r="X242" s="23"/>
      <c r="Y242" s="52"/>
      <c r="Z242" s="52"/>
      <c r="AA242" s="52"/>
      <c r="AB242" s="52"/>
      <c r="AC242" s="52"/>
      <c r="AD242" s="52"/>
      <c r="AE242" s="52"/>
    </row>
    <row r="243" spans="2:31" x14ac:dyDescent="0.25">
      <c r="B243" s="52"/>
      <c r="C243" s="52"/>
      <c r="D243" s="52"/>
      <c r="E243" s="52" t="str">
        <f t="shared" si="10"/>
        <v>PROG</v>
      </c>
      <c r="F243" s="52"/>
      <c r="G243" s="52" t="str">
        <f t="shared" si="11"/>
        <v>P</v>
      </c>
      <c r="H243" s="52"/>
      <c r="I243" s="52"/>
      <c r="J243" s="52" t="str">
        <f t="shared" si="12"/>
        <v>ELEM</v>
      </c>
      <c r="K243" s="52"/>
      <c r="L243" s="87"/>
      <c r="M243" s="52" t="e">
        <v>#N/A</v>
      </c>
      <c r="N243" s="52"/>
      <c r="O243" s="52"/>
      <c r="P243" s="52"/>
      <c r="Q243" s="52"/>
      <c r="R243" s="52"/>
      <c r="S243" s="52"/>
      <c r="T243" s="52"/>
      <c r="U243" s="52"/>
      <c r="V243" s="52"/>
      <c r="W243" s="53"/>
      <c r="X243" s="23"/>
      <c r="Y243" s="52"/>
      <c r="Z243" s="52"/>
      <c r="AA243" s="52"/>
      <c r="AB243" s="52"/>
      <c r="AC243" s="52"/>
      <c r="AD243" s="52"/>
      <c r="AE243" s="52"/>
    </row>
    <row r="244" spans="2:31" x14ac:dyDescent="0.25">
      <c r="B244" s="52"/>
      <c r="C244" s="52"/>
      <c r="D244" s="52"/>
      <c r="E244" s="52" t="str">
        <f t="shared" si="10"/>
        <v>PROG</v>
      </c>
      <c r="F244" s="52"/>
      <c r="G244" s="52" t="str">
        <f t="shared" si="11"/>
        <v>P</v>
      </c>
      <c r="H244" s="52"/>
      <c r="I244" s="52"/>
      <c r="J244" s="52" t="str">
        <f t="shared" si="12"/>
        <v>ELEM</v>
      </c>
      <c r="K244" s="52"/>
      <c r="L244" s="87"/>
      <c r="M244" s="52" t="e">
        <v>#N/A</v>
      </c>
      <c r="N244" s="52"/>
      <c r="O244" s="52"/>
      <c r="P244" s="52"/>
      <c r="Q244" s="52"/>
      <c r="R244" s="52"/>
      <c r="S244" s="52"/>
      <c r="T244" s="52"/>
      <c r="U244" s="52"/>
      <c r="V244" s="52"/>
      <c r="W244" s="53"/>
      <c r="X244" s="23"/>
      <c r="Y244" s="52"/>
      <c r="Z244" s="52"/>
      <c r="AA244" s="52"/>
      <c r="AB244" s="52"/>
      <c r="AC244" s="52"/>
      <c r="AD244" s="52"/>
      <c r="AE244" s="52"/>
    </row>
    <row r="245" spans="2:31" x14ac:dyDescent="0.25">
      <c r="B245" s="52"/>
      <c r="C245" s="52"/>
      <c r="D245" s="52"/>
      <c r="E245" s="52" t="str">
        <f t="shared" si="10"/>
        <v>PROG</v>
      </c>
      <c r="F245" s="52"/>
      <c r="G245" s="52" t="str">
        <f t="shared" si="11"/>
        <v>P</v>
      </c>
      <c r="H245" s="52"/>
      <c r="I245" s="52"/>
      <c r="J245" s="52" t="str">
        <f t="shared" si="12"/>
        <v>ELEM</v>
      </c>
      <c r="K245" s="52"/>
      <c r="L245" s="87"/>
      <c r="M245" s="52" t="e">
        <v>#N/A</v>
      </c>
      <c r="N245" s="52"/>
      <c r="O245" s="52"/>
      <c r="P245" s="52"/>
      <c r="Q245" s="52"/>
      <c r="R245" s="52"/>
      <c r="S245" s="52"/>
      <c r="T245" s="52"/>
      <c r="U245" s="52"/>
      <c r="V245" s="52"/>
      <c r="W245" s="53"/>
      <c r="X245" s="23"/>
      <c r="Y245" s="52"/>
      <c r="Z245" s="52"/>
      <c r="AA245" s="52"/>
      <c r="AB245" s="52"/>
      <c r="AC245" s="52"/>
      <c r="AD245" s="52"/>
      <c r="AE245" s="52"/>
    </row>
    <row r="246" spans="2:31" x14ac:dyDescent="0.25">
      <c r="B246" s="52"/>
      <c r="C246" s="52"/>
      <c r="D246" s="52"/>
      <c r="E246" s="52" t="str">
        <f t="shared" si="10"/>
        <v>PROG</v>
      </c>
      <c r="F246" s="52"/>
      <c r="G246" s="52" t="str">
        <f t="shared" si="11"/>
        <v>P</v>
      </c>
      <c r="H246" s="52"/>
      <c r="I246" s="52"/>
      <c r="J246" s="52" t="str">
        <f t="shared" si="12"/>
        <v>ELEM</v>
      </c>
      <c r="K246" s="52"/>
      <c r="L246" s="87"/>
      <c r="M246" s="52" t="e">
        <v>#N/A</v>
      </c>
      <c r="N246" s="52"/>
      <c r="O246" s="52"/>
      <c r="P246" s="52"/>
      <c r="Q246" s="52"/>
      <c r="R246" s="52"/>
      <c r="S246" s="52"/>
      <c r="T246" s="52"/>
      <c r="U246" s="52"/>
      <c r="V246" s="52"/>
      <c r="W246" s="53"/>
      <c r="X246" s="23"/>
      <c r="Y246" s="52"/>
      <c r="Z246" s="52"/>
      <c r="AA246" s="52"/>
      <c r="AB246" s="52"/>
      <c r="AC246" s="52"/>
      <c r="AD246" s="52"/>
      <c r="AE246" s="52"/>
    </row>
    <row r="247" spans="2:31" x14ac:dyDescent="0.25">
      <c r="B247" s="52"/>
      <c r="C247" s="52"/>
      <c r="D247" s="52"/>
      <c r="E247" s="52" t="str">
        <f t="shared" si="10"/>
        <v>PROG</v>
      </c>
      <c r="F247" s="52"/>
      <c r="G247" s="52" t="str">
        <f t="shared" si="11"/>
        <v>P</v>
      </c>
      <c r="H247" s="52"/>
      <c r="I247" s="52"/>
      <c r="J247" s="52" t="str">
        <f t="shared" si="12"/>
        <v>ELEM</v>
      </c>
      <c r="K247" s="52"/>
      <c r="L247" s="87"/>
      <c r="M247" s="52" t="e">
        <v>#N/A</v>
      </c>
      <c r="N247" s="52"/>
      <c r="O247" s="52"/>
      <c r="P247" s="52"/>
      <c r="Q247" s="52"/>
      <c r="R247" s="52"/>
      <c r="S247" s="52"/>
      <c r="T247" s="52"/>
      <c r="U247" s="52"/>
      <c r="V247" s="52"/>
      <c r="W247" s="53"/>
      <c r="X247" s="23"/>
      <c r="Y247" s="52"/>
      <c r="Z247" s="52"/>
      <c r="AA247" s="52"/>
      <c r="AB247" s="52"/>
      <c r="AC247" s="52"/>
      <c r="AD247" s="52"/>
      <c r="AE247" s="52"/>
    </row>
    <row r="248" spans="2:31" x14ac:dyDescent="0.25">
      <c r="B248" s="52"/>
      <c r="C248" s="52"/>
      <c r="D248" s="52"/>
      <c r="E248" s="52" t="str">
        <f t="shared" si="10"/>
        <v>PROG</v>
      </c>
      <c r="F248" s="52"/>
      <c r="G248" s="52" t="str">
        <f t="shared" si="11"/>
        <v>P</v>
      </c>
      <c r="H248" s="52"/>
      <c r="I248" s="52"/>
      <c r="J248" s="52" t="str">
        <f t="shared" si="12"/>
        <v>ELEM</v>
      </c>
      <c r="K248" s="52"/>
      <c r="L248" s="87"/>
      <c r="M248" s="52" t="e">
        <v>#N/A</v>
      </c>
      <c r="N248" s="52"/>
      <c r="O248" s="52"/>
      <c r="P248" s="52"/>
      <c r="Q248" s="52"/>
      <c r="R248" s="52"/>
      <c r="S248" s="52"/>
      <c r="T248" s="52"/>
      <c r="U248" s="52"/>
      <c r="V248" s="52"/>
      <c r="W248" s="53"/>
      <c r="X248" s="23"/>
      <c r="Y248" s="52"/>
      <c r="Z248" s="52"/>
      <c r="AA248" s="52"/>
      <c r="AB248" s="52"/>
      <c r="AC248" s="52"/>
      <c r="AD248" s="52"/>
      <c r="AE248" s="52"/>
    </row>
    <row r="249" spans="2:31" x14ac:dyDescent="0.25">
      <c r="B249" s="52"/>
      <c r="C249" s="52"/>
      <c r="D249" s="52"/>
      <c r="E249" s="52" t="str">
        <f t="shared" si="10"/>
        <v>PROG</v>
      </c>
      <c r="F249" s="52"/>
      <c r="G249" s="52" t="str">
        <f t="shared" si="11"/>
        <v>P</v>
      </c>
      <c r="H249" s="52"/>
      <c r="I249" s="52"/>
      <c r="J249" s="52" t="str">
        <f t="shared" si="12"/>
        <v>ELEM</v>
      </c>
      <c r="K249" s="52"/>
      <c r="L249" s="87"/>
      <c r="M249" s="52" t="e">
        <v>#N/A</v>
      </c>
      <c r="N249" s="52"/>
      <c r="O249" s="52"/>
      <c r="P249" s="52"/>
      <c r="Q249" s="52"/>
      <c r="R249" s="52"/>
      <c r="S249" s="52"/>
      <c r="T249" s="52"/>
      <c r="U249" s="52"/>
      <c r="V249" s="52"/>
      <c r="W249" s="53"/>
      <c r="X249" s="23"/>
      <c r="Y249" s="52"/>
      <c r="Z249" s="52"/>
      <c r="AA249" s="52"/>
      <c r="AB249" s="52"/>
      <c r="AC249" s="52"/>
      <c r="AD249" s="52"/>
      <c r="AE249" s="52"/>
    </row>
    <row r="250" spans="2:31" x14ac:dyDescent="0.25">
      <c r="B250" s="52"/>
      <c r="C250" s="52"/>
      <c r="D250" s="52"/>
      <c r="E250" s="52" t="str">
        <f t="shared" si="10"/>
        <v>PROG</v>
      </c>
      <c r="F250" s="52"/>
      <c r="G250" s="52" t="str">
        <f t="shared" si="11"/>
        <v>P</v>
      </c>
      <c r="H250" s="52"/>
      <c r="I250" s="52"/>
      <c r="J250" s="52" t="str">
        <f t="shared" si="12"/>
        <v>ELEM</v>
      </c>
      <c r="K250" s="52"/>
      <c r="L250" s="87"/>
      <c r="M250" s="52" t="e">
        <v>#N/A</v>
      </c>
      <c r="N250" s="52"/>
      <c r="O250" s="52"/>
      <c r="P250" s="52"/>
      <c r="Q250" s="52"/>
      <c r="R250" s="52"/>
      <c r="S250" s="52"/>
      <c r="T250" s="52"/>
      <c r="U250" s="52"/>
      <c r="V250" s="52"/>
      <c r="W250" s="53"/>
      <c r="X250" s="23"/>
      <c r="Y250" s="52"/>
      <c r="Z250" s="52"/>
      <c r="AA250" s="52"/>
      <c r="AB250" s="52"/>
      <c r="AC250" s="52"/>
      <c r="AD250" s="52"/>
      <c r="AE250" s="52"/>
    </row>
    <row r="251" spans="2:31" x14ac:dyDescent="0.25">
      <c r="B251" s="52"/>
      <c r="C251" s="52"/>
      <c r="D251" s="52"/>
      <c r="E251" s="52" t="str">
        <f t="shared" si="10"/>
        <v>PROG</v>
      </c>
      <c r="F251" s="52"/>
      <c r="G251" s="52" t="str">
        <f t="shared" si="11"/>
        <v>P</v>
      </c>
      <c r="H251" s="52"/>
      <c r="I251" s="52"/>
      <c r="J251" s="52" t="str">
        <f t="shared" si="12"/>
        <v>ELEM</v>
      </c>
      <c r="K251" s="52"/>
      <c r="L251" s="87"/>
      <c r="M251" s="52" t="e">
        <v>#N/A</v>
      </c>
      <c r="N251" s="52"/>
      <c r="O251" s="52"/>
      <c r="P251" s="52"/>
      <c r="Q251" s="52"/>
      <c r="R251" s="52"/>
      <c r="S251" s="52"/>
      <c r="T251" s="52"/>
      <c r="U251" s="52"/>
      <c r="V251" s="52"/>
      <c r="W251" s="53"/>
      <c r="X251" s="23"/>
      <c r="Y251" s="52"/>
      <c r="Z251" s="52"/>
      <c r="AA251" s="52"/>
      <c r="AB251" s="52"/>
      <c r="AC251" s="52"/>
      <c r="AD251" s="52"/>
      <c r="AE251" s="52"/>
    </row>
    <row r="252" spans="2:31" x14ac:dyDescent="0.25">
      <c r="B252" s="52"/>
      <c r="C252" s="52"/>
      <c r="D252" s="52"/>
      <c r="E252" s="52" t="str">
        <f t="shared" si="10"/>
        <v>PROG</v>
      </c>
      <c r="F252" s="52"/>
      <c r="G252" s="52" t="str">
        <f t="shared" si="11"/>
        <v>P</v>
      </c>
      <c r="H252" s="52"/>
      <c r="I252" s="52"/>
      <c r="J252" s="52" t="str">
        <f t="shared" si="12"/>
        <v>ELEM</v>
      </c>
      <c r="K252" s="52"/>
      <c r="L252" s="87"/>
      <c r="M252" s="52" t="e">
        <v>#N/A</v>
      </c>
      <c r="N252" s="52"/>
      <c r="O252" s="52"/>
      <c r="P252" s="52"/>
      <c r="Q252" s="52"/>
      <c r="R252" s="52"/>
      <c r="S252" s="52"/>
      <c r="T252" s="52"/>
      <c r="U252" s="52"/>
      <c r="V252" s="52"/>
      <c r="W252" s="53"/>
      <c r="X252" s="23"/>
      <c r="Y252" s="52"/>
      <c r="Z252" s="52"/>
      <c r="AA252" s="52"/>
      <c r="AB252" s="52"/>
      <c r="AC252" s="52"/>
      <c r="AD252" s="52"/>
      <c r="AE252" s="52"/>
    </row>
    <row r="253" spans="2:31" x14ac:dyDescent="0.25">
      <c r="B253" s="52"/>
      <c r="C253" s="52"/>
      <c r="D253" s="52"/>
      <c r="E253" s="52" t="str">
        <f t="shared" si="10"/>
        <v>PROG</v>
      </c>
      <c r="F253" s="52"/>
      <c r="G253" s="52" t="str">
        <f t="shared" si="11"/>
        <v>P</v>
      </c>
      <c r="H253" s="52"/>
      <c r="I253" s="52"/>
      <c r="J253" s="52" t="str">
        <f t="shared" si="12"/>
        <v>ELEM</v>
      </c>
      <c r="K253" s="52"/>
      <c r="L253" s="87"/>
      <c r="M253" s="52" t="e">
        <v>#N/A</v>
      </c>
      <c r="N253" s="52"/>
      <c r="O253" s="52"/>
      <c r="P253" s="52"/>
      <c r="Q253" s="52"/>
      <c r="R253" s="52"/>
      <c r="S253" s="52"/>
      <c r="T253" s="52"/>
      <c r="U253" s="52"/>
      <c r="V253" s="52"/>
      <c r="W253" s="53"/>
      <c r="X253" s="23"/>
      <c r="Y253" s="52"/>
      <c r="Z253" s="52"/>
      <c r="AA253" s="52"/>
      <c r="AB253" s="52"/>
      <c r="AC253" s="52"/>
      <c r="AD253" s="52"/>
      <c r="AE253" s="52"/>
    </row>
    <row r="254" spans="2:31" x14ac:dyDescent="0.25">
      <c r="B254" s="52"/>
      <c r="C254" s="52"/>
      <c r="D254" s="52"/>
      <c r="E254" s="52" t="str">
        <f t="shared" si="10"/>
        <v>PROG</v>
      </c>
      <c r="F254" s="52"/>
      <c r="G254" s="52" t="str">
        <f t="shared" si="11"/>
        <v>P</v>
      </c>
      <c r="H254" s="52"/>
      <c r="I254" s="52"/>
      <c r="J254" s="52" t="str">
        <f t="shared" si="12"/>
        <v>ELEM</v>
      </c>
      <c r="K254" s="52"/>
      <c r="L254" s="87"/>
      <c r="M254" s="52" t="e">
        <v>#N/A</v>
      </c>
      <c r="N254" s="52"/>
      <c r="O254" s="52"/>
      <c r="P254" s="52"/>
      <c r="Q254" s="52"/>
      <c r="R254" s="52"/>
      <c r="S254" s="52"/>
      <c r="T254" s="52"/>
      <c r="U254" s="52"/>
      <c r="V254" s="52"/>
      <c r="W254" s="53"/>
      <c r="X254" s="23"/>
      <c r="Y254" s="52"/>
      <c r="Z254" s="52"/>
      <c r="AA254" s="52"/>
      <c r="AB254" s="52"/>
      <c r="AC254" s="52"/>
      <c r="AD254" s="52"/>
      <c r="AE254" s="52"/>
    </row>
    <row r="255" spans="2:31" x14ac:dyDescent="0.25">
      <c r="B255" s="52"/>
      <c r="C255" s="52"/>
      <c r="D255" s="52"/>
      <c r="E255" s="52" t="str">
        <f t="shared" si="10"/>
        <v>PROG</v>
      </c>
      <c r="F255" s="52"/>
      <c r="G255" s="52" t="str">
        <f t="shared" si="11"/>
        <v>P</v>
      </c>
      <c r="H255" s="52"/>
      <c r="I255" s="52"/>
      <c r="J255" s="52" t="str">
        <f t="shared" si="12"/>
        <v>ELEM</v>
      </c>
      <c r="K255" s="52"/>
      <c r="L255" s="87"/>
      <c r="M255" s="52" t="e">
        <v>#N/A</v>
      </c>
      <c r="N255" s="52"/>
      <c r="O255" s="52"/>
      <c r="P255" s="52"/>
      <c r="Q255" s="52"/>
      <c r="R255" s="52"/>
      <c r="S255" s="52"/>
      <c r="T255" s="52"/>
      <c r="U255" s="52"/>
      <c r="V255" s="52"/>
      <c r="W255" s="53"/>
      <c r="X255" s="23"/>
      <c r="Y255" s="52"/>
      <c r="Z255" s="52"/>
      <c r="AA255" s="52"/>
      <c r="AB255" s="52"/>
      <c r="AC255" s="52"/>
      <c r="AD255" s="52"/>
      <c r="AE255" s="52"/>
    </row>
    <row r="256" spans="2:31" x14ac:dyDescent="0.25">
      <c r="B256" s="52"/>
      <c r="C256" s="52"/>
      <c r="D256" s="52"/>
      <c r="E256" s="52" t="str">
        <f t="shared" si="10"/>
        <v>PROG</v>
      </c>
      <c r="F256" s="52"/>
      <c r="G256" s="52" t="str">
        <f t="shared" si="11"/>
        <v>P</v>
      </c>
      <c r="H256" s="52"/>
      <c r="I256" s="52"/>
      <c r="J256" s="52" t="str">
        <f t="shared" si="12"/>
        <v>ELEM</v>
      </c>
      <c r="K256" s="52"/>
      <c r="L256" s="87"/>
      <c r="M256" s="52" t="e">
        <v>#N/A</v>
      </c>
      <c r="N256" s="52"/>
      <c r="O256" s="52"/>
      <c r="P256" s="52"/>
      <c r="Q256" s="52"/>
      <c r="R256" s="52"/>
      <c r="S256" s="52"/>
      <c r="T256" s="52"/>
      <c r="U256" s="52"/>
      <c r="V256" s="52"/>
      <c r="W256" s="53"/>
      <c r="X256" s="23"/>
      <c r="Y256" s="52"/>
      <c r="Z256" s="52"/>
      <c r="AA256" s="52"/>
      <c r="AB256" s="52"/>
      <c r="AC256" s="52"/>
      <c r="AD256" s="52"/>
      <c r="AE256" s="52"/>
    </row>
    <row r="257" spans="2:31" x14ac:dyDescent="0.25">
      <c r="B257" s="52"/>
      <c r="C257" s="52"/>
      <c r="D257" s="52"/>
      <c r="E257" s="52" t="str">
        <f t="shared" si="10"/>
        <v>PROG</v>
      </c>
      <c r="F257" s="52"/>
      <c r="G257" s="52" t="str">
        <f t="shared" si="11"/>
        <v>P</v>
      </c>
      <c r="H257" s="52"/>
      <c r="I257" s="52"/>
      <c r="J257" s="52" t="str">
        <f t="shared" si="12"/>
        <v>ELEM</v>
      </c>
      <c r="K257" s="52"/>
      <c r="L257" s="87"/>
      <c r="M257" s="52" t="e">
        <v>#N/A</v>
      </c>
      <c r="N257" s="52"/>
      <c r="O257" s="52"/>
      <c r="P257" s="52"/>
      <c r="Q257" s="52"/>
      <c r="R257" s="52"/>
      <c r="S257" s="52"/>
      <c r="T257" s="52"/>
      <c r="U257" s="52"/>
      <c r="V257" s="52"/>
      <c r="W257" s="53"/>
      <c r="X257" s="23"/>
      <c r="Y257" s="52"/>
      <c r="Z257" s="52"/>
      <c r="AA257" s="52"/>
      <c r="AB257" s="52"/>
      <c r="AC257" s="52"/>
      <c r="AD257" s="52"/>
      <c r="AE257" s="52"/>
    </row>
    <row r="258" spans="2:31" x14ac:dyDescent="0.25">
      <c r="B258" s="52"/>
      <c r="C258" s="52"/>
      <c r="D258" s="52"/>
      <c r="E258" s="52" t="str">
        <f t="shared" si="10"/>
        <v>PROG</v>
      </c>
      <c r="F258" s="52"/>
      <c r="G258" s="52" t="str">
        <f t="shared" si="11"/>
        <v>P</v>
      </c>
      <c r="H258" s="52"/>
      <c r="I258" s="52"/>
      <c r="J258" s="52" t="str">
        <f t="shared" si="12"/>
        <v>ELEM</v>
      </c>
      <c r="K258" s="52"/>
      <c r="L258" s="87"/>
      <c r="M258" s="52" t="e">
        <v>#N/A</v>
      </c>
      <c r="N258" s="52"/>
      <c r="O258" s="52"/>
      <c r="P258" s="52"/>
      <c r="Q258" s="52"/>
      <c r="R258" s="52"/>
      <c r="S258" s="52"/>
      <c r="T258" s="52"/>
      <c r="U258" s="52"/>
      <c r="V258" s="52"/>
      <c r="W258" s="53"/>
      <c r="X258" s="23"/>
      <c r="Y258" s="52"/>
      <c r="Z258" s="52"/>
      <c r="AA258" s="52"/>
      <c r="AB258" s="52"/>
      <c r="AC258" s="52"/>
      <c r="AD258" s="52"/>
      <c r="AE258" s="52"/>
    </row>
    <row r="259" spans="2:31" x14ac:dyDescent="0.25">
      <c r="B259" s="52"/>
      <c r="C259" s="52"/>
      <c r="D259" s="52"/>
      <c r="E259" s="52" t="str">
        <f t="shared" ref="E259:E322" si="13">CONCATENATE(A259,"PROG")</f>
        <v>PROG</v>
      </c>
      <c r="F259" s="52"/>
      <c r="G259" s="52" t="str">
        <f t="shared" ref="G259:G322" si="14">CONCATENATE("P",(LEFT(F259,3)),A259)</f>
        <v>P</v>
      </c>
      <c r="H259" s="52"/>
      <c r="I259" s="52"/>
      <c r="J259" s="52" t="str">
        <f t="shared" ref="J259:J322" si="15">CONCATENATE("ELEM",LEFT(I259,2))</f>
        <v>ELEM</v>
      </c>
      <c r="K259" s="52"/>
      <c r="L259" s="87"/>
      <c r="M259" s="52" t="e">
        <v>#N/A</v>
      </c>
      <c r="N259" s="52"/>
      <c r="O259" s="52"/>
      <c r="P259" s="52"/>
      <c r="Q259" s="52"/>
      <c r="R259" s="52"/>
      <c r="S259" s="52"/>
      <c r="T259" s="52"/>
      <c r="U259" s="52"/>
      <c r="V259" s="52"/>
      <c r="W259" s="53"/>
      <c r="X259" s="23"/>
      <c r="Y259" s="52"/>
      <c r="Z259" s="52"/>
      <c r="AA259" s="52"/>
      <c r="AB259" s="52"/>
      <c r="AC259" s="52"/>
      <c r="AD259" s="52"/>
      <c r="AE259" s="52"/>
    </row>
    <row r="260" spans="2:31" x14ac:dyDescent="0.25">
      <c r="B260" s="52"/>
      <c r="C260" s="52"/>
      <c r="D260" s="52"/>
      <c r="E260" s="52" t="str">
        <f t="shared" si="13"/>
        <v>PROG</v>
      </c>
      <c r="F260" s="52"/>
      <c r="G260" s="52" t="str">
        <f t="shared" si="14"/>
        <v>P</v>
      </c>
      <c r="H260" s="52"/>
      <c r="I260" s="52"/>
      <c r="J260" s="52" t="str">
        <f t="shared" si="15"/>
        <v>ELEM</v>
      </c>
      <c r="K260" s="52"/>
      <c r="L260" s="87"/>
      <c r="M260" s="52" t="e">
        <v>#N/A</v>
      </c>
      <c r="N260" s="52"/>
      <c r="O260" s="52"/>
      <c r="P260" s="52"/>
      <c r="Q260" s="52"/>
      <c r="R260" s="52"/>
      <c r="S260" s="52"/>
      <c r="T260" s="52"/>
      <c r="U260" s="52"/>
      <c r="V260" s="52"/>
      <c r="W260" s="53"/>
      <c r="X260" s="23"/>
      <c r="Y260" s="52"/>
      <c r="Z260" s="52"/>
      <c r="AA260" s="52"/>
      <c r="AB260" s="52"/>
      <c r="AC260" s="52"/>
      <c r="AD260" s="52"/>
      <c r="AE260" s="52"/>
    </row>
    <row r="261" spans="2:31" x14ac:dyDescent="0.25">
      <c r="B261" s="52"/>
      <c r="C261" s="52"/>
      <c r="D261" s="52"/>
      <c r="E261" s="52" t="str">
        <f t="shared" si="13"/>
        <v>PROG</v>
      </c>
      <c r="F261" s="52"/>
      <c r="G261" s="52" t="str">
        <f t="shared" si="14"/>
        <v>P</v>
      </c>
      <c r="H261" s="52"/>
      <c r="I261" s="52"/>
      <c r="J261" s="52" t="str">
        <f t="shared" si="15"/>
        <v>ELEM</v>
      </c>
      <c r="K261" s="52"/>
      <c r="L261" s="87"/>
      <c r="M261" s="52" t="e">
        <v>#N/A</v>
      </c>
      <c r="N261" s="52"/>
      <c r="O261" s="52"/>
      <c r="P261" s="52"/>
      <c r="Q261" s="52"/>
      <c r="R261" s="52"/>
      <c r="S261" s="52"/>
      <c r="T261" s="52"/>
      <c r="U261" s="52"/>
      <c r="V261" s="52"/>
      <c r="W261" s="53"/>
      <c r="X261" s="23"/>
      <c r="Y261" s="52"/>
      <c r="Z261" s="52"/>
      <c r="AA261" s="52"/>
      <c r="AB261" s="52"/>
      <c r="AC261" s="52"/>
      <c r="AD261" s="52"/>
      <c r="AE261" s="52"/>
    </row>
    <row r="262" spans="2:31" x14ac:dyDescent="0.25">
      <c r="B262" s="52"/>
      <c r="C262" s="52"/>
      <c r="D262" s="52"/>
      <c r="E262" s="52" t="str">
        <f t="shared" si="13"/>
        <v>PROG</v>
      </c>
      <c r="F262" s="52"/>
      <c r="G262" s="52" t="str">
        <f t="shared" si="14"/>
        <v>P</v>
      </c>
      <c r="H262" s="52"/>
      <c r="I262" s="52"/>
      <c r="J262" s="52" t="str">
        <f t="shared" si="15"/>
        <v>ELEM</v>
      </c>
      <c r="K262" s="52"/>
      <c r="L262" s="87"/>
      <c r="M262" s="52" t="e">
        <v>#N/A</v>
      </c>
      <c r="N262" s="52"/>
      <c r="O262" s="52"/>
      <c r="P262" s="52"/>
      <c r="Q262" s="52"/>
      <c r="R262" s="52"/>
      <c r="S262" s="52"/>
      <c r="T262" s="52"/>
      <c r="U262" s="52"/>
      <c r="V262" s="52"/>
      <c r="W262" s="53"/>
      <c r="X262" s="23"/>
      <c r="Y262" s="52"/>
      <c r="Z262" s="52"/>
      <c r="AA262" s="52"/>
      <c r="AB262" s="52"/>
      <c r="AC262" s="52"/>
      <c r="AD262" s="52"/>
      <c r="AE262" s="52"/>
    </row>
    <row r="263" spans="2:31" x14ac:dyDescent="0.25">
      <c r="B263" s="52"/>
      <c r="C263" s="52"/>
      <c r="D263" s="52"/>
      <c r="E263" s="52" t="str">
        <f t="shared" si="13"/>
        <v>PROG</v>
      </c>
      <c r="F263" s="52"/>
      <c r="G263" s="52" t="str">
        <f t="shared" si="14"/>
        <v>P</v>
      </c>
      <c r="H263" s="52"/>
      <c r="I263" s="52"/>
      <c r="J263" s="52" t="str">
        <f t="shared" si="15"/>
        <v>ELEM</v>
      </c>
      <c r="K263" s="52"/>
      <c r="L263" s="87"/>
      <c r="M263" s="52" t="e">
        <v>#N/A</v>
      </c>
      <c r="N263" s="52"/>
      <c r="O263" s="52"/>
      <c r="P263" s="52"/>
      <c r="Q263" s="52"/>
      <c r="R263" s="52"/>
      <c r="S263" s="52"/>
      <c r="T263" s="52"/>
      <c r="U263" s="52"/>
      <c r="V263" s="52"/>
      <c r="W263" s="53"/>
      <c r="X263" s="23"/>
      <c r="Y263" s="52"/>
      <c r="Z263" s="52"/>
      <c r="AA263" s="52"/>
      <c r="AB263" s="52"/>
      <c r="AC263" s="52"/>
      <c r="AD263" s="52"/>
      <c r="AE263" s="52"/>
    </row>
    <row r="264" spans="2:31" x14ac:dyDescent="0.25">
      <c r="B264" s="52"/>
      <c r="C264" s="52"/>
      <c r="D264" s="52"/>
      <c r="E264" s="52" t="str">
        <f t="shared" si="13"/>
        <v>PROG</v>
      </c>
      <c r="F264" s="52"/>
      <c r="G264" s="52" t="str">
        <f t="shared" si="14"/>
        <v>P</v>
      </c>
      <c r="H264" s="52"/>
      <c r="I264" s="52"/>
      <c r="J264" s="52" t="str">
        <f t="shared" si="15"/>
        <v>ELEM</v>
      </c>
      <c r="K264" s="52"/>
      <c r="L264" s="87"/>
      <c r="M264" s="52" t="e">
        <v>#N/A</v>
      </c>
      <c r="N264" s="52"/>
      <c r="O264" s="52"/>
      <c r="P264" s="52"/>
      <c r="Q264" s="52"/>
      <c r="R264" s="52"/>
      <c r="S264" s="52"/>
      <c r="T264" s="52"/>
      <c r="U264" s="52"/>
      <c r="V264" s="52"/>
      <c r="W264" s="53"/>
      <c r="X264" s="23"/>
      <c r="Y264" s="52"/>
      <c r="Z264" s="52"/>
      <c r="AA264" s="52"/>
      <c r="AB264" s="52"/>
      <c r="AC264" s="52"/>
      <c r="AD264" s="52"/>
      <c r="AE264" s="52"/>
    </row>
    <row r="265" spans="2:31" x14ac:dyDescent="0.25">
      <c r="B265" s="52"/>
      <c r="C265" s="52"/>
      <c r="D265" s="52"/>
      <c r="E265" s="52" t="str">
        <f t="shared" si="13"/>
        <v>PROG</v>
      </c>
      <c r="F265" s="52"/>
      <c r="G265" s="52" t="str">
        <f t="shared" si="14"/>
        <v>P</v>
      </c>
      <c r="H265" s="52"/>
      <c r="I265" s="52"/>
      <c r="J265" s="52" t="str">
        <f t="shared" si="15"/>
        <v>ELEM</v>
      </c>
      <c r="K265" s="52"/>
      <c r="L265" s="87"/>
      <c r="M265" s="52" t="e">
        <v>#N/A</v>
      </c>
      <c r="N265" s="52"/>
      <c r="O265" s="52"/>
      <c r="P265" s="52"/>
      <c r="Q265" s="52"/>
      <c r="R265" s="52"/>
      <c r="S265" s="52"/>
      <c r="T265" s="52"/>
      <c r="U265" s="52"/>
      <c r="V265" s="52"/>
      <c r="W265" s="53"/>
      <c r="X265" s="23"/>
      <c r="Y265" s="52"/>
      <c r="Z265" s="52"/>
      <c r="AA265" s="52"/>
      <c r="AB265" s="52"/>
      <c r="AC265" s="52"/>
      <c r="AD265" s="52"/>
      <c r="AE265" s="52"/>
    </row>
    <row r="266" spans="2:31" x14ac:dyDescent="0.25">
      <c r="B266" s="52"/>
      <c r="C266" s="52"/>
      <c r="D266" s="52"/>
      <c r="E266" s="52" t="str">
        <f t="shared" si="13"/>
        <v>PROG</v>
      </c>
      <c r="F266" s="52"/>
      <c r="G266" s="52" t="str">
        <f t="shared" si="14"/>
        <v>P</v>
      </c>
      <c r="H266" s="52"/>
      <c r="I266" s="52"/>
      <c r="J266" s="52" t="str">
        <f t="shared" si="15"/>
        <v>ELEM</v>
      </c>
      <c r="K266" s="52"/>
      <c r="L266" s="87"/>
      <c r="M266" s="52" t="e">
        <v>#N/A</v>
      </c>
      <c r="N266" s="52"/>
      <c r="O266" s="52"/>
      <c r="P266" s="52"/>
      <c r="Q266" s="52"/>
      <c r="R266" s="52"/>
      <c r="S266" s="52"/>
      <c r="T266" s="52"/>
      <c r="U266" s="52"/>
      <c r="V266" s="52"/>
      <c r="W266" s="53"/>
      <c r="X266" s="23"/>
      <c r="Y266" s="52"/>
      <c r="Z266" s="52"/>
      <c r="AA266" s="52"/>
      <c r="AB266" s="52"/>
      <c r="AC266" s="52"/>
      <c r="AD266" s="52"/>
      <c r="AE266" s="52"/>
    </row>
    <row r="267" spans="2:31" x14ac:dyDescent="0.25">
      <c r="B267" s="52"/>
      <c r="C267" s="52"/>
      <c r="D267" s="52"/>
      <c r="E267" s="52" t="str">
        <f t="shared" si="13"/>
        <v>PROG</v>
      </c>
      <c r="F267" s="52"/>
      <c r="G267" s="52" t="str">
        <f t="shared" si="14"/>
        <v>P</v>
      </c>
      <c r="H267" s="52"/>
      <c r="I267" s="52"/>
      <c r="J267" s="52" t="str">
        <f t="shared" si="15"/>
        <v>ELEM</v>
      </c>
      <c r="K267" s="52"/>
      <c r="L267" s="87"/>
      <c r="M267" s="52" t="e">
        <v>#N/A</v>
      </c>
      <c r="N267" s="52"/>
      <c r="O267" s="52"/>
      <c r="P267" s="52"/>
      <c r="Q267" s="52"/>
      <c r="R267" s="52"/>
      <c r="S267" s="52"/>
      <c r="T267" s="52"/>
      <c r="U267" s="52"/>
      <c r="V267" s="52"/>
      <c r="W267" s="53"/>
      <c r="X267" s="23"/>
      <c r="Y267" s="52"/>
      <c r="Z267" s="52"/>
      <c r="AA267" s="52"/>
      <c r="AB267" s="52"/>
      <c r="AC267" s="52"/>
      <c r="AD267" s="52"/>
      <c r="AE267" s="52"/>
    </row>
    <row r="268" spans="2:31" x14ac:dyDescent="0.25">
      <c r="B268" s="52"/>
      <c r="C268" s="52"/>
      <c r="D268" s="52"/>
      <c r="E268" s="52" t="str">
        <f t="shared" si="13"/>
        <v>PROG</v>
      </c>
      <c r="F268" s="52"/>
      <c r="G268" s="52" t="str">
        <f t="shared" si="14"/>
        <v>P</v>
      </c>
      <c r="H268" s="52"/>
      <c r="I268" s="52"/>
      <c r="J268" s="52" t="str">
        <f t="shared" si="15"/>
        <v>ELEM</v>
      </c>
      <c r="K268" s="52"/>
      <c r="L268" s="87"/>
      <c r="M268" s="52" t="e">
        <v>#N/A</v>
      </c>
      <c r="N268" s="52"/>
      <c r="O268" s="52"/>
      <c r="P268" s="52"/>
      <c r="Q268" s="52"/>
      <c r="R268" s="52"/>
      <c r="S268" s="52"/>
      <c r="T268" s="52"/>
      <c r="U268" s="52"/>
      <c r="V268" s="52"/>
      <c r="W268" s="53"/>
      <c r="X268" s="23"/>
      <c r="Y268" s="52"/>
      <c r="Z268" s="52"/>
      <c r="AA268" s="52"/>
      <c r="AB268" s="52"/>
      <c r="AC268" s="52"/>
      <c r="AD268" s="52"/>
      <c r="AE268" s="52"/>
    </row>
    <row r="269" spans="2:31" x14ac:dyDescent="0.25">
      <c r="B269" s="52"/>
      <c r="C269" s="52"/>
      <c r="D269" s="52"/>
      <c r="E269" s="52" t="str">
        <f t="shared" si="13"/>
        <v>PROG</v>
      </c>
      <c r="F269" s="52"/>
      <c r="G269" s="52" t="str">
        <f t="shared" si="14"/>
        <v>P</v>
      </c>
      <c r="H269" s="52"/>
      <c r="I269" s="52"/>
      <c r="J269" s="52" t="str">
        <f t="shared" si="15"/>
        <v>ELEM</v>
      </c>
      <c r="K269" s="52"/>
      <c r="L269" s="87"/>
      <c r="M269" s="52" t="e">
        <v>#N/A</v>
      </c>
      <c r="N269" s="52"/>
      <c r="O269" s="52"/>
      <c r="P269" s="52"/>
      <c r="Q269" s="52"/>
      <c r="R269" s="52"/>
      <c r="S269" s="52"/>
      <c r="T269" s="52"/>
      <c r="U269" s="52"/>
      <c r="V269" s="52"/>
      <c r="W269" s="53"/>
      <c r="X269" s="23"/>
      <c r="Y269" s="52"/>
      <c r="Z269" s="52"/>
      <c r="AA269" s="52"/>
      <c r="AB269" s="52"/>
      <c r="AC269" s="52"/>
      <c r="AD269" s="52"/>
      <c r="AE269" s="52"/>
    </row>
    <row r="270" spans="2:31" x14ac:dyDescent="0.25">
      <c r="B270" s="52"/>
      <c r="C270" s="52"/>
      <c r="D270" s="52"/>
      <c r="E270" s="52" t="str">
        <f t="shared" si="13"/>
        <v>PROG</v>
      </c>
      <c r="F270" s="52"/>
      <c r="G270" s="52" t="str">
        <f t="shared" si="14"/>
        <v>P</v>
      </c>
      <c r="H270" s="52"/>
      <c r="I270" s="52"/>
      <c r="J270" s="52" t="str">
        <f t="shared" si="15"/>
        <v>ELEM</v>
      </c>
      <c r="K270" s="52"/>
      <c r="L270" s="87"/>
      <c r="M270" s="52" t="e">
        <v>#N/A</v>
      </c>
      <c r="N270" s="52"/>
      <c r="O270" s="52"/>
      <c r="P270" s="52"/>
      <c r="Q270" s="52"/>
      <c r="R270" s="52"/>
      <c r="S270" s="52"/>
      <c r="T270" s="52"/>
      <c r="U270" s="52"/>
      <c r="V270" s="52"/>
      <c r="W270" s="53"/>
      <c r="X270" s="23"/>
      <c r="Y270" s="52"/>
      <c r="Z270" s="52"/>
      <c r="AA270" s="52"/>
      <c r="AB270" s="52"/>
      <c r="AC270" s="52"/>
      <c r="AD270" s="52"/>
      <c r="AE270" s="52"/>
    </row>
    <row r="271" spans="2:31" x14ac:dyDescent="0.25">
      <c r="B271" s="52"/>
      <c r="C271" s="52"/>
      <c r="D271" s="52"/>
      <c r="E271" s="52" t="str">
        <f t="shared" si="13"/>
        <v>PROG</v>
      </c>
      <c r="F271" s="52"/>
      <c r="G271" s="52" t="str">
        <f t="shared" si="14"/>
        <v>P</v>
      </c>
      <c r="H271" s="52"/>
      <c r="I271" s="52"/>
      <c r="J271" s="52" t="str">
        <f t="shared" si="15"/>
        <v>ELEM</v>
      </c>
      <c r="K271" s="52"/>
      <c r="L271" s="87"/>
      <c r="M271" s="52" t="e">
        <v>#N/A</v>
      </c>
      <c r="N271" s="52"/>
      <c r="O271" s="52"/>
      <c r="P271" s="52"/>
      <c r="Q271" s="52"/>
      <c r="R271" s="52"/>
      <c r="S271" s="52"/>
      <c r="T271" s="52"/>
      <c r="U271" s="52"/>
      <c r="V271" s="52"/>
      <c r="W271" s="53"/>
      <c r="X271" s="23"/>
      <c r="Y271" s="52"/>
      <c r="Z271" s="52"/>
      <c r="AA271" s="52"/>
      <c r="AB271" s="52"/>
      <c r="AC271" s="52"/>
      <c r="AD271" s="52"/>
      <c r="AE271" s="52"/>
    </row>
    <row r="272" spans="2:31" x14ac:dyDescent="0.25">
      <c r="B272" s="52"/>
      <c r="C272" s="52"/>
      <c r="D272" s="52"/>
      <c r="E272" s="52" t="str">
        <f t="shared" si="13"/>
        <v>PROG</v>
      </c>
      <c r="F272" s="52"/>
      <c r="G272" s="52" t="str">
        <f t="shared" si="14"/>
        <v>P</v>
      </c>
      <c r="H272" s="52"/>
      <c r="I272" s="52"/>
      <c r="J272" s="52" t="str">
        <f t="shared" si="15"/>
        <v>ELEM</v>
      </c>
      <c r="K272" s="52"/>
      <c r="L272" s="87"/>
      <c r="M272" s="52" t="e">
        <v>#N/A</v>
      </c>
      <c r="N272" s="52"/>
      <c r="O272" s="52"/>
      <c r="P272" s="52"/>
      <c r="Q272" s="52"/>
      <c r="R272" s="52"/>
      <c r="S272" s="52"/>
      <c r="T272" s="52"/>
      <c r="U272" s="52"/>
      <c r="V272" s="52"/>
      <c r="W272" s="53"/>
      <c r="X272" s="23"/>
      <c r="Y272" s="52"/>
      <c r="Z272" s="52"/>
      <c r="AA272" s="52"/>
      <c r="AB272" s="52"/>
      <c r="AC272" s="52"/>
      <c r="AD272" s="52"/>
      <c r="AE272" s="52"/>
    </row>
    <row r="273" spans="2:31" x14ac:dyDescent="0.25">
      <c r="B273" s="52"/>
      <c r="C273" s="52"/>
      <c r="D273" s="52"/>
      <c r="E273" s="52" t="str">
        <f t="shared" si="13"/>
        <v>PROG</v>
      </c>
      <c r="F273" s="52"/>
      <c r="G273" s="52" t="str">
        <f t="shared" si="14"/>
        <v>P</v>
      </c>
      <c r="H273" s="52"/>
      <c r="I273" s="52"/>
      <c r="J273" s="52" t="str">
        <f t="shared" si="15"/>
        <v>ELEM</v>
      </c>
      <c r="K273" s="52"/>
      <c r="L273" s="87"/>
      <c r="M273" s="52" t="e">
        <v>#N/A</v>
      </c>
      <c r="N273" s="52"/>
      <c r="O273" s="52"/>
      <c r="P273" s="52"/>
      <c r="Q273" s="52"/>
      <c r="R273" s="52"/>
      <c r="S273" s="52"/>
      <c r="T273" s="52"/>
      <c r="U273" s="52"/>
      <c r="V273" s="52"/>
      <c r="W273" s="53"/>
      <c r="X273" s="23"/>
      <c r="Y273" s="52"/>
      <c r="Z273" s="52"/>
      <c r="AA273" s="52"/>
      <c r="AB273" s="52"/>
      <c r="AC273" s="52"/>
      <c r="AD273" s="52"/>
      <c r="AE273" s="52"/>
    </row>
    <row r="274" spans="2:31" x14ac:dyDescent="0.25">
      <c r="B274" s="52"/>
      <c r="C274" s="52"/>
      <c r="D274" s="52"/>
      <c r="E274" s="52" t="str">
        <f t="shared" si="13"/>
        <v>PROG</v>
      </c>
      <c r="F274" s="52"/>
      <c r="G274" s="52" t="str">
        <f t="shared" si="14"/>
        <v>P</v>
      </c>
      <c r="H274" s="52"/>
      <c r="I274" s="52"/>
      <c r="J274" s="52" t="str">
        <f t="shared" si="15"/>
        <v>ELEM</v>
      </c>
      <c r="K274" s="52"/>
      <c r="L274" s="87"/>
      <c r="M274" s="52" t="e">
        <v>#N/A</v>
      </c>
      <c r="N274" s="52"/>
      <c r="O274" s="52"/>
      <c r="P274" s="52"/>
      <c r="Q274" s="52"/>
      <c r="R274" s="52"/>
      <c r="S274" s="52"/>
      <c r="T274" s="52"/>
      <c r="U274" s="52"/>
      <c r="V274" s="52"/>
      <c r="W274" s="53"/>
      <c r="X274" s="23"/>
      <c r="Y274" s="52"/>
      <c r="Z274" s="52"/>
      <c r="AA274" s="52"/>
      <c r="AB274" s="52"/>
      <c r="AC274" s="52"/>
      <c r="AD274" s="52"/>
      <c r="AE274" s="52"/>
    </row>
    <row r="275" spans="2:31" x14ac:dyDescent="0.25">
      <c r="B275" s="52"/>
      <c r="C275" s="52"/>
      <c r="D275" s="52"/>
      <c r="E275" s="52" t="str">
        <f t="shared" si="13"/>
        <v>PROG</v>
      </c>
      <c r="F275" s="52"/>
      <c r="G275" s="52" t="str">
        <f t="shared" si="14"/>
        <v>P</v>
      </c>
      <c r="H275" s="52"/>
      <c r="I275" s="52"/>
      <c r="J275" s="52" t="str">
        <f t="shared" si="15"/>
        <v>ELEM</v>
      </c>
      <c r="K275" s="52"/>
      <c r="L275" s="87"/>
      <c r="M275" s="52" t="e">
        <v>#N/A</v>
      </c>
      <c r="N275" s="52"/>
      <c r="O275" s="52"/>
      <c r="P275" s="52"/>
      <c r="Q275" s="52"/>
      <c r="R275" s="52"/>
      <c r="S275" s="52"/>
      <c r="T275" s="52"/>
      <c r="U275" s="52"/>
      <c r="V275" s="52"/>
      <c r="W275" s="53"/>
      <c r="X275" s="23"/>
      <c r="Y275" s="52"/>
      <c r="Z275" s="52"/>
      <c r="AA275" s="52"/>
      <c r="AB275" s="52"/>
      <c r="AC275" s="52"/>
      <c r="AD275" s="52"/>
      <c r="AE275" s="52"/>
    </row>
    <row r="276" spans="2:31" x14ac:dyDescent="0.25">
      <c r="B276" s="52"/>
      <c r="C276" s="52"/>
      <c r="D276" s="52"/>
      <c r="E276" s="52" t="str">
        <f t="shared" si="13"/>
        <v>PROG</v>
      </c>
      <c r="F276" s="52"/>
      <c r="G276" s="52" t="str">
        <f t="shared" si="14"/>
        <v>P</v>
      </c>
      <c r="H276" s="52"/>
      <c r="I276" s="52"/>
      <c r="J276" s="52" t="str">
        <f t="shared" si="15"/>
        <v>ELEM</v>
      </c>
      <c r="K276" s="52"/>
      <c r="L276" s="87"/>
      <c r="M276" s="52" t="e">
        <v>#N/A</v>
      </c>
      <c r="N276" s="52"/>
      <c r="O276" s="52"/>
      <c r="P276" s="52"/>
      <c r="Q276" s="52"/>
      <c r="R276" s="52"/>
      <c r="S276" s="52"/>
      <c r="T276" s="52"/>
      <c r="U276" s="52"/>
      <c r="V276" s="52"/>
      <c r="W276" s="53"/>
      <c r="X276" s="23"/>
      <c r="Y276" s="52"/>
      <c r="Z276" s="52"/>
      <c r="AA276" s="52"/>
      <c r="AB276" s="52"/>
      <c r="AC276" s="52"/>
      <c r="AD276" s="52"/>
      <c r="AE276" s="52"/>
    </row>
    <row r="277" spans="2:31" x14ac:dyDescent="0.25">
      <c r="B277" s="52"/>
      <c r="C277" s="52"/>
      <c r="D277" s="52"/>
      <c r="E277" s="52" t="str">
        <f t="shared" si="13"/>
        <v>PROG</v>
      </c>
      <c r="F277" s="52"/>
      <c r="G277" s="52" t="str">
        <f t="shared" si="14"/>
        <v>P</v>
      </c>
      <c r="H277" s="52"/>
      <c r="I277" s="52"/>
      <c r="J277" s="52" t="str">
        <f t="shared" si="15"/>
        <v>ELEM</v>
      </c>
      <c r="K277" s="52"/>
      <c r="L277" s="87"/>
      <c r="M277" s="52" t="e">
        <v>#N/A</v>
      </c>
      <c r="N277" s="52"/>
      <c r="O277" s="52"/>
      <c r="P277" s="52"/>
      <c r="Q277" s="52"/>
      <c r="R277" s="52"/>
      <c r="S277" s="52"/>
      <c r="T277" s="52"/>
      <c r="U277" s="52"/>
      <c r="V277" s="52"/>
      <c r="W277" s="53"/>
      <c r="X277" s="23"/>
      <c r="Y277" s="52"/>
      <c r="Z277" s="52"/>
      <c r="AA277" s="52"/>
      <c r="AB277" s="52"/>
      <c r="AC277" s="52"/>
      <c r="AD277" s="52"/>
      <c r="AE277" s="52"/>
    </row>
    <row r="278" spans="2:31" x14ac:dyDescent="0.25">
      <c r="B278" s="52"/>
      <c r="C278" s="52"/>
      <c r="D278" s="52"/>
      <c r="E278" s="52" t="str">
        <f t="shared" si="13"/>
        <v>PROG</v>
      </c>
      <c r="F278" s="52"/>
      <c r="G278" s="52" t="str">
        <f t="shared" si="14"/>
        <v>P</v>
      </c>
      <c r="H278" s="52"/>
      <c r="I278" s="52"/>
      <c r="J278" s="52" t="str">
        <f t="shared" si="15"/>
        <v>ELEM</v>
      </c>
      <c r="K278" s="52"/>
      <c r="L278" s="87"/>
      <c r="M278" s="52" t="e">
        <v>#N/A</v>
      </c>
      <c r="N278" s="52"/>
      <c r="O278" s="52"/>
      <c r="P278" s="52"/>
      <c r="Q278" s="52"/>
      <c r="R278" s="52"/>
      <c r="S278" s="52"/>
      <c r="T278" s="52"/>
      <c r="U278" s="52"/>
      <c r="V278" s="52"/>
      <c r="W278" s="53"/>
      <c r="X278" s="23"/>
      <c r="Y278" s="52"/>
      <c r="Z278" s="52"/>
      <c r="AA278" s="52"/>
      <c r="AB278" s="52"/>
      <c r="AC278" s="52"/>
      <c r="AD278" s="52"/>
      <c r="AE278" s="52"/>
    </row>
    <row r="279" spans="2:31" x14ac:dyDescent="0.25">
      <c r="B279" s="52"/>
      <c r="C279" s="52"/>
      <c r="D279" s="52"/>
      <c r="E279" s="52" t="str">
        <f t="shared" si="13"/>
        <v>PROG</v>
      </c>
      <c r="F279" s="52"/>
      <c r="G279" s="52" t="str">
        <f t="shared" si="14"/>
        <v>P</v>
      </c>
      <c r="H279" s="52"/>
      <c r="I279" s="52"/>
      <c r="J279" s="52" t="str">
        <f t="shared" si="15"/>
        <v>ELEM</v>
      </c>
      <c r="K279" s="52"/>
      <c r="L279" s="87"/>
      <c r="M279" s="52" t="e">
        <v>#N/A</v>
      </c>
      <c r="N279" s="52"/>
      <c r="O279" s="52"/>
      <c r="P279" s="52"/>
      <c r="Q279" s="52"/>
      <c r="R279" s="52"/>
      <c r="S279" s="52"/>
      <c r="T279" s="52"/>
      <c r="U279" s="52"/>
      <c r="V279" s="52"/>
      <c r="W279" s="53"/>
      <c r="X279" s="23"/>
      <c r="Y279" s="52"/>
      <c r="Z279" s="52"/>
      <c r="AA279" s="52"/>
      <c r="AB279" s="52"/>
      <c r="AC279" s="52"/>
      <c r="AD279" s="52"/>
      <c r="AE279" s="52"/>
    </row>
    <row r="280" spans="2:31" x14ac:dyDescent="0.25">
      <c r="B280" s="52"/>
      <c r="C280" s="52"/>
      <c r="D280" s="52"/>
      <c r="E280" s="52" t="str">
        <f t="shared" si="13"/>
        <v>PROG</v>
      </c>
      <c r="F280" s="52"/>
      <c r="G280" s="52" t="str">
        <f t="shared" si="14"/>
        <v>P</v>
      </c>
      <c r="H280" s="52"/>
      <c r="I280" s="52"/>
      <c r="J280" s="52" t="str">
        <f t="shared" si="15"/>
        <v>ELEM</v>
      </c>
      <c r="K280" s="52"/>
      <c r="L280" s="87"/>
      <c r="M280" s="52" t="e">
        <v>#N/A</v>
      </c>
      <c r="N280" s="52"/>
      <c r="O280" s="52"/>
      <c r="P280" s="52"/>
      <c r="Q280" s="52"/>
      <c r="R280" s="52"/>
      <c r="S280" s="52"/>
      <c r="T280" s="52"/>
      <c r="U280" s="52"/>
      <c r="V280" s="52"/>
      <c r="W280" s="53"/>
      <c r="X280" s="23"/>
      <c r="Y280" s="52"/>
      <c r="Z280" s="52"/>
      <c r="AA280" s="52"/>
      <c r="AB280" s="52"/>
      <c r="AC280" s="52"/>
      <c r="AD280" s="52"/>
      <c r="AE280" s="52"/>
    </row>
    <row r="281" spans="2:31" x14ac:dyDescent="0.25">
      <c r="B281" s="52"/>
      <c r="C281" s="52"/>
      <c r="D281" s="52"/>
      <c r="E281" s="52" t="str">
        <f t="shared" si="13"/>
        <v>PROG</v>
      </c>
      <c r="F281" s="52"/>
      <c r="G281" s="52" t="str">
        <f t="shared" si="14"/>
        <v>P</v>
      </c>
      <c r="H281" s="52"/>
      <c r="I281" s="52"/>
      <c r="J281" s="52" t="str">
        <f t="shared" si="15"/>
        <v>ELEM</v>
      </c>
      <c r="K281" s="52"/>
      <c r="L281" s="87"/>
      <c r="M281" s="52" t="e">
        <v>#N/A</v>
      </c>
      <c r="N281" s="52"/>
      <c r="O281" s="52"/>
      <c r="P281" s="52"/>
      <c r="Q281" s="52"/>
      <c r="R281" s="52"/>
      <c r="S281" s="52"/>
      <c r="T281" s="52"/>
      <c r="U281" s="52"/>
      <c r="V281" s="52"/>
      <c r="W281" s="53"/>
      <c r="X281" s="23"/>
      <c r="Y281" s="52"/>
      <c r="Z281" s="52"/>
      <c r="AA281" s="52"/>
      <c r="AB281" s="52"/>
      <c r="AC281" s="52"/>
      <c r="AD281" s="52"/>
      <c r="AE281" s="52"/>
    </row>
    <row r="282" spans="2:31" x14ac:dyDescent="0.25">
      <c r="B282" s="52"/>
      <c r="C282" s="52"/>
      <c r="D282" s="52"/>
      <c r="E282" s="52" t="str">
        <f t="shared" si="13"/>
        <v>PROG</v>
      </c>
      <c r="F282" s="52"/>
      <c r="G282" s="52" t="str">
        <f t="shared" si="14"/>
        <v>P</v>
      </c>
      <c r="H282" s="52"/>
      <c r="I282" s="52"/>
      <c r="J282" s="52" t="str">
        <f t="shared" si="15"/>
        <v>ELEM</v>
      </c>
      <c r="K282" s="52"/>
      <c r="L282" s="87"/>
      <c r="M282" s="52" t="e">
        <v>#N/A</v>
      </c>
      <c r="N282" s="52"/>
      <c r="O282" s="52"/>
      <c r="P282" s="52"/>
      <c r="Q282" s="52"/>
      <c r="R282" s="52"/>
      <c r="S282" s="52"/>
      <c r="T282" s="52"/>
      <c r="U282" s="52"/>
      <c r="V282" s="52"/>
      <c r="W282" s="53"/>
      <c r="X282" s="23"/>
      <c r="Y282" s="52"/>
      <c r="Z282" s="52"/>
      <c r="AA282" s="52"/>
      <c r="AB282" s="52"/>
      <c r="AC282" s="52"/>
      <c r="AD282" s="52"/>
      <c r="AE282" s="52"/>
    </row>
    <row r="283" spans="2:31" x14ac:dyDescent="0.25">
      <c r="B283" s="52"/>
      <c r="C283" s="52"/>
      <c r="D283" s="52"/>
      <c r="E283" s="52" t="str">
        <f t="shared" si="13"/>
        <v>PROG</v>
      </c>
      <c r="F283" s="52"/>
      <c r="G283" s="52" t="str">
        <f t="shared" si="14"/>
        <v>P</v>
      </c>
      <c r="H283" s="52"/>
      <c r="I283" s="52"/>
      <c r="J283" s="52" t="str">
        <f t="shared" si="15"/>
        <v>ELEM</v>
      </c>
      <c r="K283" s="52"/>
      <c r="L283" s="87"/>
      <c r="M283" s="52" t="e">
        <v>#N/A</v>
      </c>
      <c r="N283" s="52"/>
      <c r="O283" s="52"/>
      <c r="P283" s="52"/>
      <c r="Q283" s="52"/>
      <c r="R283" s="52"/>
      <c r="S283" s="52"/>
      <c r="T283" s="52"/>
      <c r="U283" s="52"/>
      <c r="V283" s="52"/>
      <c r="W283" s="53"/>
      <c r="X283" s="23"/>
      <c r="Y283" s="52"/>
      <c r="Z283" s="52"/>
      <c r="AA283" s="52"/>
      <c r="AB283" s="52"/>
      <c r="AC283" s="52"/>
      <c r="AD283" s="52"/>
      <c r="AE283" s="52"/>
    </row>
    <row r="284" spans="2:31" x14ac:dyDescent="0.25">
      <c r="B284" s="52"/>
      <c r="C284" s="52"/>
      <c r="D284" s="52"/>
      <c r="E284" s="52" t="str">
        <f t="shared" si="13"/>
        <v>PROG</v>
      </c>
      <c r="F284" s="52"/>
      <c r="G284" s="52" t="str">
        <f t="shared" si="14"/>
        <v>P</v>
      </c>
      <c r="H284" s="52"/>
      <c r="I284" s="52"/>
      <c r="J284" s="52" t="str">
        <f t="shared" si="15"/>
        <v>ELEM</v>
      </c>
      <c r="K284" s="52"/>
      <c r="L284" s="87"/>
      <c r="M284" s="52" t="e">
        <v>#N/A</v>
      </c>
      <c r="N284" s="52"/>
      <c r="O284" s="52"/>
      <c r="P284" s="52"/>
      <c r="Q284" s="52"/>
      <c r="R284" s="52"/>
      <c r="S284" s="52"/>
      <c r="T284" s="52"/>
      <c r="U284" s="52"/>
      <c r="V284" s="52"/>
      <c r="W284" s="53"/>
      <c r="X284" s="23"/>
      <c r="Y284" s="52"/>
      <c r="Z284" s="52"/>
      <c r="AA284" s="52"/>
      <c r="AB284" s="52"/>
      <c r="AC284" s="52"/>
      <c r="AD284" s="52"/>
      <c r="AE284" s="52"/>
    </row>
    <row r="285" spans="2:31" x14ac:dyDescent="0.25">
      <c r="B285" s="52"/>
      <c r="C285" s="52"/>
      <c r="D285" s="52"/>
      <c r="E285" s="52" t="str">
        <f t="shared" si="13"/>
        <v>PROG</v>
      </c>
      <c r="F285" s="52"/>
      <c r="G285" s="52" t="str">
        <f t="shared" si="14"/>
        <v>P</v>
      </c>
      <c r="H285" s="52"/>
      <c r="I285" s="52"/>
      <c r="J285" s="52" t="str">
        <f t="shared" si="15"/>
        <v>ELEM</v>
      </c>
      <c r="K285" s="52"/>
      <c r="L285" s="87"/>
      <c r="M285" s="52" t="e">
        <v>#N/A</v>
      </c>
      <c r="N285" s="52"/>
      <c r="O285" s="52"/>
      <c r="P285" s="52"/>
      <c r="Q285" s="52"/>
      <c r="R285" s="52"/>
      <c r="S285" s="52"/>
      <c r="T285" s="52"/>
      <c r="U285" s="52"/>
      <c r="V285" s="52"/>
      <c r="W285" s="53"/>
      <c r="X285" s="23"/>
      <c r="Y285" s="52"/>
      <c r="Z285" s="52"/>
      <c r="AA285" s="52"/>
      <c r="AB285" s="52"/>
      <c r="AC285" s="52"/>
      <c r="AD285" s="52"/>
      <c r="AE285" s="52"/>
    </row>
    <row r="286" spans="2:31" x14ac:dyDescent="0.25">
      <c r="B286" s="52"/>
      <c r="C286" s="52"/>
      <c r="D286" s="52"/>
      <c r="E286" s="52" t="str">
        <f t="shared" si="13"/>
        <v>PROG</v>
      </c>
      <c r="F286" s="52"/>
      <c r="G286" s="52" t="str">
        <f t="shared" si="14"/>
        <v>P</v>
      </c>
      <c r="H286" s="52"/>
      <c r="I286" s="52"/>
      <c r="J286" s="52" t="str">
        <f t="shared" si="15"/>
        <v>ELEM</v>
      </c>
      <c r="K286" s="52"/>
      <c r="L286" s="87"/>
      <c r="M286" s="52" t="e">
        <v>#N/A</v>
      </c>
      <c r="N286" s="52"/>
      <c r="O286" s="52"/>
      <c r="P286" s="52"/>
      <c r="Q286" s="52"/>
      <c r="R286" s="52"/>
      <c r="S286" s="52"/>
      <c r="T286" s="52"/>
      <c r="U286" s="52"/>
      <c r="V286" s="52"/>
      <c r="W286" s="53"/>
      <c r="X286" s="23"/>
      <c r="Y286" s="52"/>
      <c r="Z286" s="52"/>
      <c r="AA286" s="52"/>
      <c r="AB286" s="52"/>
      <c r="AC286" s="52"/>
      <c r="AD286" s="52"/>
      <c r="AE286" s="52"/>
    </row>
    <row r="287" spans="2:31" x14ac:dyDescent="0.25">
      <c r="B287" s="52"/>
      <c r="C287" s="52"/>
      <c r="D287" s="52"/>
      <c r="E287" s="52" t="str">
        <f t="shared" si="13"/>
        <v>PROG</v>
      </c>
      <c r="F287" s="52"/>
      <c r="G287" s="52" t="str">
        <f t="shared" si="14"/>
        <v>P</v>
      </c>
      <c r="H287" s="52"/>
      <c r="I287" s="52"/>
      <c r="J287" s="52" t="str">
        <f t="shared" si="15"/>
        <v>ELEM</v>
      </c>
      <c r="K287" s="52"/>
      <c r="L287" s="87"/>
      <c r="M287" s="52" t="e">
        <v>#N/A</v>
      </c>
      <c r="N287" s="52"/>
      <c r="O287" s="52"/>
      <c r="P287" s="52"/>
      <c r="Q287" s="52"/>
      <c r="R287" s="52"/>
      <c r="S287" s="52"/>
      <c r="T287" s="52"/>
      <c r="U287" s="52"/>
      <c r="V287" s="52"/>
      <c r="W287" s="53"/>
      <c r="X287" s="23"/>
      <c r="Y287" s="52"/>
      <c r="Z287" s="52"/>
      <c r="AA287" s="52"/>
      <c r="AB287" s="52"/>
      <c r="AC287" s="52"/>
      <c r="AD287" s="52"/>
      <c r="AE287" s="52"/>
    </row>
    <row r="288" spans="2:31" x14ac:dyDescent="0.25">
      <c r="B288" s="52"/>
      <c r="C288" s="52"/>
      <c r="D288" s="52"/>
      <c r="E288" s="52" t="str">
        <f t="shared" si="13"/>
        <v>PROG</v>
      </c>
      <c r="F288" s="52"/>
      <c r="G288" s="52" t="str">
        <f t="shared" si="14"/>
        <v>P</v>
      </c>
      <c r="H288" s="52"/>
      <c r="I288" s="52"/>
      <c r="J288" s="52" t="str">
        <f t="shared" si="15"/>
        <v>ELEM</v>
      </c>
      <c r="K288" s="52"/>
      <c r="L288" s="87"/>
      <c r="M288" s="52" t="e">
        <v>#N/A</v>
      </c>
      <c r="N288" s="52"/>
      <c r="O288" s="52"/>
      <c r="P288" s="52"/>
      <c r="Q288" s="52"/>
      <c r="R288" s="52"/>
      <c r="S288" s="52"/>
      <c r="T288" s="52"/>
      <c r="U288" s="52"/>
      <c r="V288" s="52"/>
      <c r="W288" s="53"/>
      <c r="X288" s="23"/>
      <c r="Y288" s="52"/>
      <c r="Z288" s="52"/>
      <c r="AA288" s="52"/>
      <c r="AB288" s="52"/>
      <c r="AC288" s="52"/>
      <c r="AD288" s="52"/>
      <c r="AE288" s="52"/>
    </row>
    <row r="289" spans="2:31" x14ac:dyDescent="0.25">
      <c r="B289" s="52"/>
      <c r="C289" s="52"/>
      <c r="D289" s="52"/>
      <c r="E289" s="52" t="str">
        <f t="shared" si="13"/>
        <v>PROG</v>
      </c>
      <c r="F289" s="52"/>
      <c r="G289" s="52" t="str">
        <f t="shared" si="14"/>
        <v>P</v>
      </c>
      <c r="H289" s="52"/>
      <c r="I289" s="52"/>
      <c r="J289" s="52" t="str">
        <f t="shared" si="15"/>
        <v>ELEM</v>
      </c>
      <c r="K289" s="52"/>
      <c r="L289" s="87"/>
      <c r="M289" s="52" t="e">
        <v>#N/A</v>
      </c>
      <c r="N289" s="52"/>
      <c r="O289" s="52"/>
      <c r="P289" s="52"/>
      <c r="Q289" s="52"/>
      <c r="R289" s="52"/>
      <c r="S289" s="52"/>
      <c r="T289" s="52"/>
      <c r="U289" s="52"/>
      <c r="V289" s="52"/>
      <c r="W289" s="53"/>
      <c r="X289" s="23"/>
      <c r="Y289" s="52"/>
      <c r="Z289" s="52"/>
      <c r="AA289" s="52"/>
      <c r="AB289" s="52"/>
      <c r="AC289" s="52"/>
      <c r="AD289" s="52"/>
      <c r="AE289" s="52"/>
    </row>
    <row r="290" spans="2:31" x14ac:dyDescent="0.25">
      <c r="B290" s="52"/>
      <c r="C290" s="52"/>
      <c r="D290" s="52"/>
      <c r="E290" s="52" t="str">
        <f t="shared" si="13"/>
        <v>PROG</v>
      </c>
      <c r="F290" s="52"/>
      <c r="G290" s="52" t="str">
        <f t="shared" si="14"/>
        <v>P</v>
      </c>
      <c r="H290" s="52"/>
      <c r="I290" s="52"/>
      <c r="J290" s="52" t="str">
        <f t="shared" si="15"/>
        <v>ELEM</v>
      </c>
      <c r="K290" s="52"/>
      <c r="L290" s="87"/>
      <c r="M290" s="52" t="e">
        <v>#N/A</v>
      </c>
      <c r="N290" s="52"/>
      <c r="O290" s="52"/>
      <c r="P290" s="52"/>
      <c r="Q290" s="52"/>
      <c r="R290" s="52"/>
      <c r="S290" s="52"/>
      <c r="T290" s="52"/>
      <c r="U290" s="52"/>
      <c r="V290" s="52"/>
      <c r="W290" s="53"/>
      <c r="X290" s="23"/>
      <c r="Y290" s="52"/>
      <c r="Z290" s="52"/>
      <c r="AA290" s="52"/>
      <c r="AB290" s="52"/>
      <c r="AC290" s="52"/>
      <c r="AD290" s="52"/>
      <c r="AE290" s="52"/>
    </row>
    <row r="291" spans="2:31" x14ac:dyDescent="0.25">
      <c r="B291" s="52"/>
      <c r="C291" s="52"/>
      <c r="D291" s="52"/>
      <c r="E291" s="52" t="str">
        <f t="shared" si="13"/>
        <v>PROG</v>
      </c>
      <c r="F291" s="52"/>
      <c r="G291" s="52" t="str">
        <f t="shared" si="14"/>
        <v>P</v>
      </c>
      <c r="H291" s="52"/>
      <c r="I291" s="52"/>
      <c r="J291" s="52" t="str">
        <f t="shared" si="15"/>
        <v>ELEM</v>
      </c>
      <c r="K291" s="52"/>
      <c r="L291" s="87"/>
      <c r="M291" s="52" t="e">
        <v>#N/A</v>
      </c>
      <c r="N291" s="52"/>
      <c r="O291" s="52"/>
      <c r="P291" s="52"/>
      <c r="Q291" s="52"/>
      <c r="R291" s="52"/>
      <c r="S291" s="52"/>
      <c r="T291" s="52"/>
      <c r="U291" s="52"/>
      <c r="V291" s="52"/>
      <c r="W291" s="53"/>
      <c r="X291" s="23"/>
      <c r="Y291" s="52"/>
      <c r="Z291" s="52"/>
      <c r="AA291" s="52"/>
      <c r="AB291" s="52"/>
      <c r="AC291" s="52"/>
      <c r="AD291" s="52"/>
      <c r="AE291" s="52"/>
    </row>
    <row r="292" spans="2:31" x14ac:dyDescent="0.25">
      <c r="B292" s="52"/>
      <c r="C292" s="52"/>
      <c r="D292" s="52"/>
      <c r="E292" s="52" t="str">
        <f t="shared" si="13"/>
        <v>PROG</v>
      </c>
      <c r="F292" s="52"/>
      <c r="G292" s="52" t="str">
        <f t="shared" si="14"/>
        <v>P</v>
      </c>
      <c r="H292" s="52"/>
      <c r="I292" s="52"/>
      <c r="J292" s="52" t="str">
        <f t="shared" si="15"/>
        <v>ELEM</v>
      </c>
      <c r="K292" s="52"/>
      <c r="L292" s="87"/>
      <c r="M292" s="52" t="e">
        <v>#N/A</v>
      </c>
      <c r="N292" s="52"/>
      <c r="O292" s="52"/>
      <c r="P292" s="52"/>
      <c r="Q292" s="52"/>
      <c r="R292" s="52"/>
      <c r="S292" s="52"/>
      <c r="T292" s="52"/>
      <c r="U292" s="52"/>
      <c r="V292" s="52"/>
      <c r="W292" s="53"/>
      <c r="X292" s="23"/>
      <c r="Y292" s="52"/>
      <c r="Z292" s="52"/>
      <c r="AA292" s="52"/>
      <c r="AB292" s="52"/>
      <c r="AC292" s="52"/>
      <c r="AD292" s="52"/>
      <c r="AE292" s="52"/>
    </row>
    <row r="293" spans="2:31" x14ac:dyDescent="0.25">
      <c r="B293" s="52"/>
      <c r="C293" s="52"/>
      <c r="D293" s="52"/>
      <c r="E293" s="52" t="str">
        <f t="shared" si="13"/>
        <v>PROG</v>
      </c>
      <c r="F293" s="52"/>
      <c r="G293" s="52" t="str">
        <f t="shared" si="14"/>
        <v>P</v>
      </c>
      <c r="H293" s="52"/>
      <c r="I293" s="52"/>
      <c r="J293" s="52" t="str">
        <f t="shared" si="15"/>
        <v>ELEM</v>
      </c>
      <c r="K293" s="52"/>
      <c r="L293" s="87"/>
      <c r="M293" s="52" t="e">
        <v>#N/A</v>
      </c>
      <c r="N293" s="52"/>
      <c r="O293" s="52"/>
      <c r="P293" s="52"/>
      <c r="Q293" s="52"/>
      <c r="R293" s="52"/>
      <c r="S293" s="52"/>
      <c r="T293" s="52"/>
      <c r="U293" s="52"/>
      <c r="V293" s="52"/>
      <c r="W293" s="53"/>
      <c r="X293" s="23"/>
      <c r="Y293" s="52"/>
      <c r="Z293" s="52"/>
      <c r="AA293" s="52"/>
      <c r="AB293" s="52"/>
      <c r="AC293" s="52"/>
      <c r="AD293" s="52"/>
      <c r="AE293" s="52"/>
    </row>
    <row r="294" spans="2:31" x14ac:dyDescent="0.25">
      <c r="B294" s="52"/>
      <c r="C294" s="52"/>
      <c r="D294" s="52"/>
      <c r="E294" s="52" t="str">
        <f t="shared" si="13"/>
        <v>PROG</v>
      </c>
      <c r="F294" s="52"/>
      <c r="G294" s="52" t="str">
        <f t="shared" si="14"/>
        <v>P</v>
      </c>
      <c r="H294" s="52"/>
      <c r="I294" s="52"/>
      <c r="J294" s="52" t="str">
        <f t="shared" si="15"/>
        <v>ELEM</v>
      </c>
      <c r="K294" s="52"/>
      <c r="L294" s="87"/>
      <c r="M294" s="52" t="e">
        <v>#N/A</v>
      </c>
      <c r="N294" s="52"/>
      <c r="O294" s="52"/>
      <c r="P294" s="52"/>
      <c r="Q294" s="52"/>
      <c r="R294" s="52"/>
      <c r="S294" s="52"/>
      <c r="T294" s="52"/>
      <c r="U294" s="52"/>
      <c r="V294" s="52"/>
      <c r="W294" s="53"/>
      <c r="X294" s="23"/>
      <c r="Y294" s="52"/>
      <c r="Z294" s="52"/>
      <c r="AA294" s="52"/>
      <c r="AB294" s="52"/>
      <c r="AC294" s="52"/>
      <c r="AD294" s="52"/>
      <c r="AE294" s="52"/>
    </row>
    <row r="295" spans="2:31" x14ac:dyDescent="0.25">
      <c r="B295" s="52"/>
      <c r="C295" s="52"/>
      <c r="D295" s="52"/>
      <c r="E295" s="52" t="str">
        <f t="shared" si="13"/>
        <v>PROG</v>
      </c>
      <c r="F295" s="52"/>
      <c r="G295" s="52" t="str">
        <f t="shared" si="14"/>
        <v>P</v>
      </c>
      <c r="H295" s="52"/>
      <c r="I295" s="52"/>
      <c r="J295" s="52" t="str">
        <f t="shared" si="15"/>
        <v>ELEM</v>
      </c>
      <c r="K295" s="52"/>
      <c r="L295" s="87"/>
      <c r="M295" s="52" t="e">
        <v>#N/A</v>
      </c>
      <c r="N295" s="52"/>
      <c r="O295" s="52"/>
      <c r="P295" s="52"/>
      <c r="Q295" s="52"/>
      <c r="R295" s="52"/>
      <c r="S295" s="52"/>
      <c r="T295" s="52"/>
      <c r="U295" s="52"/>
      <c r="V295" s="52"/>
      <c r="W295" s="53"/>
      <c r="X295" s="23"/>
      <c r="Y295" s="52"/>
      <c r="Z295" s="52"/>
      <c r="AA295" s="52"/>
      <c r="AB295" s="52"/>
      <c r="AC295" s="52"/>
      <c r="AD295" s="52"/>
      <c r="AE295" s="52"/>
    </row>
    <row r="296" spans="2:31" x14ac:dyDescent="0.25">
      <c r="B296" s="52"/>
      <c r="C296" s="52"/>
      <c r="D296" s="52"/>
      <c r="E296" s="52" t="str">
        <f t="shared" si="13"/>
        <v>PROG</v>
      </c>
      <c r="F296" s="52"/>
      <c r="G296" s="52" t="str">
        <f t="shared" si="14"/>
        <v>P</v>
      </c>
      <c r="H296" s="52"/>
      <c r="I296" s="52"/>
      <c r="J296" s="52" t="str">
        <f t="shared" si="15"/>
        <v>ELEM</v>
      </c>
      <c r="K296" s="52"/>
      <c r="L296" s="87"/>
      <c r="M296" s="52" t="e">
        <v>#N/A</v>
      </c>
      <c r="N296" s="52"/>
      <c r="O296" s="52"/>
      <c r="P296" s="52"/>
      <c r="Q296" s="52"/>
      <c r="R296" s="52"/>
      <c r="S296" s="52"/>
      <c r="T296" s="52"/>
      <c r="U296" s="52"/>
      <c r="V296" s="52"/>
      <c r="W296" s="53"/>
      <c r="X296" s="23"/>
      <c r="Y296" s="52"/>
      <c r="Z296" s="52"/>
      <c r="AA296" s="52"/>
      <c r="AB296" s="52"/>
      <c r="AC296" s="52"/>
      <c r="AD296" s="52"/>
      <c r="AE296" s="52"/>
    </row>
    <row r="297" spans="2:31" x14ac:dyDescent="0.25">
      <c r="B297" s="52"/>
      <c r="C297" s="52"/>
      <c r="D297" s="52"/>
      <c r="E297" s="52" t="str">
        <f t="shared" si="13"/>
        <v>PROG</v>
      </c>
      <c r="F297" s="52"/>
      <c r="G297" s="52" t="str">
        <f t="shared" si="14"/>
        <v>P</v>
      </c>
      <c r="H297" s="52"/>
      <c r="I297" s="52"/>
      <c r="J297" s="52" t="str">
        <f t="shared" si="15"/>
        <v>ELEM</v>
      </c>
      <c r="K297" s="52"/>
      <c r="L297" s="87"/>
      <c r="M297" s="52" t="e">
        <v>#N/A</v>
      </c>
      <c r="N297" s="52"/>
      <c r="O297" s="52"/>
      <c r="P297" s="52"/>
      <c r="Q297" s="52"/>
      <c r="R297" s="52"/>
      <c r="S297" s="52"/>
      <c r="T297" s="52"/>
      <c r="U297" s="52"/>
      <c r="V297" s="52"/>
      <c r="W297" s="53"/>
      <c r="X297" s="23"/>
      <c r="Y297" s="52"/>
      <c r="Z297" s="52"/>
      <c r="AA297" s="52"/>
      <c r="AB297" s="52"/>
      <c r="AC297" s="52"/>
      <c r="AD297" s="52"/>
      <c r="AE297" s="52"/>
    </row>
    <row r="298" spans="2:31" x14ac:dyDescent="0.25">
      <c r="B298" s="52"/>
      <c r="C298" s="52"/>
      <c r="D298" s="52"/>
      <c r="E298" s="52" t="str">
        <f t="shared" si="13"/>
        <v>PROG</v>
      </c>
      <c r="F298" s="52"/>
      <c r="G298" s="52" t="str">
        <f t="shared" si="14"/>
        <v>P</v>
      </c>
      <c r="H298" s="52"/>
      <c r="I298" s="52"/>
      <c r="J298" s="52" t="str">
        <f t="shared" si="15"/>
        <v>ELEM</v>
      </c>
      <c r="K298" s="52"/>
      <c r="L298" s="87"/>
      <c r="M298" s="52" t="e">
        <v>#N/A</v>
      </c>
      <c r="N298" s="52"/>
      <c r="O298" s="52"/>
      <c r="P298" s="52"/>
      <c r="Q298" s="52"/>
      <c r="R298" s="52"/>
      <c r="S298" s="52"/>
      <c r="T298" s="52"/>
      <c r="U298" s="52"/>
      <c r="V298" s="52"/>
      <c r="W298" s="53"/>
      <c r="X298" s="23"/>
      <c r="Y298" s="52"/>
      <c r="Z298" s="52"/>
      <c r="AA298" s="52"/>
      <c r="AB298" s="52"/>
      <c r="AC298" s="52"/>
      <c r="AD298" s="52"/>
      <c r="AE298" s="52"/>
    </row>
    <row r="299" spans="2:31" x14ac:dyDescent="0.25">
      <c r="B299" s="52"/>
      <c r="C299" s="52"/>
      <c r="D299" s="52"/>
      <c r="E299" s="52" t="str">
        <f t="shared" si="13"/>
        <v>PROG</v>
      </c>
      <c r="F299" s="52"/>
      <c r="G299" s="52" t="str">
        <f t="shared" si="14"/>
        <v>P</v>
      </c>
      <c r="H299" s="52"/>
      <c r="I299" s="52"/>
      <c r="J299" s="52" t="str">
        <f t="shared" si="15"/>
        <v>ELEM</v>
      </c>
      <c r="K299" s="52"/>
      <c r="L299" s="87"/>
      <c r="M299" s="52" t="e">
        <v>#N/A</v>
      </c>
      <c r="N299" s="52"/>
      <c r="O299" s="52"/>
      <c r="P299" s="52"/>
      <c r="Q299" s="52"/>
      <c r="R299" s="52"/>
      <c r="S299" s="52"/>
      <c r="T299" s="52"/>
      <c r="U299" s="52"/>
      <c r="V299" s="52"/>
      <c r="W299" s="53"/>
      <c r="X299" s="23"/>
      <c r="Y299" s="52"/>
      <c r="Z299" s="52"/>
      <c r="AA299" s="52"/>
      <c r="AB299" s="52"/>
      <c r="AC299" s="52"/>
      <c r="AD299" s="52"/>
      <c r="AE299" s="52"/>
    </row>
    <row r="300" spans="2:31" x14ac:dyDescent="0.25">
      <c r="B300" s="52"/>
      <c r="C300" s="52"/>
      <c r="D300" s="52"/>
      <c r="E300" s="52" t="str">
        <f t="shared" si="13"/>
        <v>PROG</v>
      </c>
      <c r="F300" s="52"/>
      <c r="G300" s="52" t="str">
        <f t="shared" si="14"/>
        <v>P</v>
      </c>
      <c r="H300" s="52"/>
      <c r="I300" s="52"/>
      <c r="J300" s="52" t="str">
        <f t="shared" si="15"/>
        <v>ELEM</v>
      </c>
      <c r="K300" s="52"/>
      <c r="L300" s="87"/>
      <c r="M300" s="52" t="e">
        <v>#N/A</v>
      </c>
      <c r="N300" s="52"/>
      <c r="O300" s="52"/>
      <c r="P300" s="52"/>
      <c r="Q300" s="52"/>
      <c r="R300" s="52"/>
      <c r="S300" s="52"/>
      <c r="T300" s="52"/>
      <c r="U300" s="52"/>
      <c r="V300" s="52"/>
      <c r="W300" s="53"/>
      <c r="X300" s="23"/>
      <c r="Y300" s="52"/>
      <c r="Z300" s="52"/>
      <c r="AA300" s="52"/>
      <c r="AB300" s="52"/>
      <c r="AC300" s="52"/>
      <c r="AD300" s="52"/>
      <c r="AE300" s="52"/>
    </row>
    <row r="301" spans="2:31" x14ac:dyDescent="0.25">
      <c r="B301" s="52"/>
      <c r="C301" s="52"/>
      <c r="D301" s="52"/>
      <c r="E301" s="52" t="str">
        <f t="shared" si="13"/>
        <v>PROG</v>
      </c>
      <c r="F301" s="52"/>
      <c r="G301" s="52" t="str">
        <f t="shared" si="14"/>
        <v>P</v>
      </c>
      <c r="H301" s="52"/>
      <c r="I301" s="52"/>
      <c r="J301" s="52" t="str">
        <f t="shared" si="15"/>
        <v>ELEM</v>
      </c>
      <c r="K301" s="52"/>
      <c r="L301" s="87"/>
      <c r="M301" s="52" t="e">
        <v>#N/A</v>
      </c>
      <c r="N301" s="52"/>
      <c r="O301" s="52"/>
      <c r="P301" s="52"/>
      <c r="Q301" s="52"/>
      <c r="R301" s="52"/>
      <c r="S301" s="52"/>
      <c r="T301" s="52"/>
      <c r="U301" s="52"/>
      <c r="V301" s="52"/>
      <c r="W301" s="53"/>
      <c r="X301" s="23"/>
      <c r="Y301" s="52"/>
      <c r="Z301" s="52"/>
      <c r="AA301" s="52"/>
      <c r="AB301" s="52"/>
      <c r="AC301" s="52"/>
      <c r="AD301" s="52"/>
      <c r="AE301" s="52"/>
    </row>
    <row r="302" spans="2:31" x14ac:dyDescent="0.25">
      <c r="B302" s="52"/>
      <c r="C302" s="52"/>
      <c r="D302" s="52"/>
      <c r="E302" s="52" t="str">
        <f t="shared" si="13"/>
        <v>PROG</v>
      </c>
      <c r="F302" s="52"/>
      <c r="G302" s="52" t="str">
        <f t="shared" si="14"/>
        <v>P</v>
      </c>
      <c r="H302" s="52"/>
      <c r="I302" s="52"/>
      <c r="J302" s="52" t="str">
        <f t="shared" si="15"/>
        <v>ELEM</v>
      </c>
      <c r="K302" s="52"/>
      <c r="L302" s="87"/>
      <c r="M302" s="52" t="e">
        <v>#N/A</v>
      </c>
      <c r="N302" s="52"/>
      <c r="O302" s="52"/>
      <c r="P302" s="52"/>
      <c r="Q302" s="52"/>
      <c r="R302" s="52"/>
      <c r="S302" s="52"/>
      <c r="T302" s="52"/>
      <c r="U302" s="52"/>
      <c r="V302" s="52"/>
      <c r="W302" s="53"/>
      <c r="X302" s="23"/>
      <c r="Y302" s="52"/>
      <c r="Z302" s="52"/>
      <c r="AA302" s="52"/>
      <c r="AB302" s="52"/>
      <c r="AC302" s="52"/>
      <c r="AD302" s="52"/>
      <c r="AE302" s="52"/>
    </row>
    <row r="303" spans="2:31" x14ac:dyDescent="0.25">
      <c r="B303" s="52"/>
      <c r="C303" s="52"/>
      <c r="D303" s="52"/>
      <c r="E303" s="52" t="str">
        <f t="shared" si="13"/>
        <v>PROG</v>
      </c>
      <c r="F303" s="52"/>
      <c r="G303" s="52" t="str">
        <f t="shared" si="14"/>
        <v>P</v>
      </c>
      <c r="H303" s="52"/>
      <c r="I303" s="52"/>
      <c r="J303" s="52" t="str">
        <f t="shared" si="15"/>
        <v>ELEM</v>
      </c>
      <c r="K303" s="52"/>
      <c r="L303" s="87"/>
      <c r="M303" s="52" t="e">
        <v>#N/A</v>
      </c>
      <c r="N303" s="52"/>
      <c r="O303" s="52"/>
      <c r="P303" s="52"/>
      <c r="Q303" s="52"/>
      <c r="R303" s="52"/>
      <c r="S303" s="52"/>
      <c r="T303" s="52"/>
      <c r="U303" s="52"/>
      <c r="V303" s="52"/>
      <c r="W303" s="53"/>
      <c r="X303" s="23"/>
      <c r="Y303" s="52"/>
      <c r="Z303" s="52"/>
      <c r="AA303" s="52"/>
      <c r="AB303" s="52"/>
      <c r="AC303" s="52"/>
      <c r="AD303" s="52"/>
      <c r="AE303" s="52"/>
    </row>
    <row r="304" spans="2:31" x14ac:dyDescent="0.25">
      <c r="B304" s="52"/>
      <c r="C304" s="52"/>
      <c r="D304" s="52"/>
      <c r="E304" s="52" t="str">
        <f t="shared" si="13"/>
        <v>PROG</v>
      </c>
      <c r="F304" s="52"/>
      <c r="G304" s="52" t="str">
        <f t="shared" si="14"/>
        <v>P</v>
      </c>
      <c r="H304" s="52"/>
      <c r="I304" s="52"/>
      <c r="J304" s="52" t="str">
        <f t="shared" si="15"/>
        <v>ELEM</v>
      </c>
      <c r="K304" s="52"/>
      <c r="L304" s="87"/>
      <c r="M304" s="52" t="e">
        <v>#N/A</v>
      </c>
      <c r="N304" s="52"/>
      <c r="O304" s="52"/>
      <c r="P304" s="52"/>
      <c r="Q304" s="52"/>
      <c r="R304" s="52"/>
      <c r="S304" s="52"/>
      <c r="T304" s="52"/>
      <c r="U304" s="52"/>
      <c r="V304" s="52"/>
      <c r="W304" s="53"/>
      <c r="X304" s="23"/>
      <c r="Y304" s="52"/>
      <c r="Z304" s="52"/>
      <c r="AA304" s="52"/>
      <c r="AB304" s="52"/>
      <c r="AC304" s="52"/>
      <c r="AD304" s="52"/>
      <c r="AE304" s="52"/>
    </row>
    <row r="305" spans="2:31" x14ac:dyDescent="0.25">
      <c r="B305" s="52"/>
      <c r="C305" s="52"/>
      <c r="D305" s="52"/>
      <c r="E305" s="52" t="str">
        <f t="shared" si="13"/>
        <v>PROG</v>
      </c>
      <c r="F305" s="52"/>
      <c r="G305" s="52" t="str">
        <f t="shared" si="14"/>
        <v>P</v>
      </c>
      <c r="H305" s="52"/>
      <c r="I305" s="52"/>
      <c r="J305" s="52" t="str">
        <f t="shared" si="15"/>
        <v>ELEM</v>
      </c>
      <c r="K305" s="52"/>
      <c r="L305" s="87"/>
      <c r="M305" s="52" t="e">
        <v>#N/A</v>
      </c>
      <c r="N305" s="52"/>
      <c r="O305" s="52"/>
      <c r="P305" s="52"/>
      <c r="Q305" s="52"/>
      <c r="R305" s="52"/>
      <c r="S305" s="52"/>
      <c r="T305" s="52"/>
      <c r="U305" s="52"/>
      <c r="V305" s="52"/>
      <c r="W305" s="53"/>
      <c r="X305" s="23"/>
      <c r="Y305" s="52"/>
      <c r="Z305" s="52"/>
      <c r="AA305" s="52"/>
      <c r="AB305" s="52"/>
      <c r="AC305" s="52"/>
      <c r="AD305" s="52"/>
      <c r="AE305" s="52"/>
    </row>
    <row r="306" spans="2:31" x14ac:dyDescent="0.25">
      <c r="B306" s="52"/>
      <c r="C306" s="52"/>
      <c r="D306" s="52"/>
      <c r="E306" s="52" t="str">
        <f t="shared" si="13"/>
        <v>PROG</v>
      </c>
      <c r="F306" s="52"/>
      <c r="G306" s="52" t="str">
        <f t="shared" si="14"/>
        <v>P</v>
      </c>
      <c r="H306" s="52"/>
      <c r="I306" s="52"/>
      <c r="J306" s="52" t="str">
        <f t="shared" si="15"/>
        <v>ELEM</v>
      </c>
      <c r="K306" s="52"/>
      <c r="L306" s="87"/>
      <c r="M306" s="52" t="e">
        <v>#N/A</v>
      </c>
      <c r="N306" s="52"/>
      <c r="O306" s="52"/>
      <c r="P306" s="52"/>
      <c r="Q306" s="52"/>
      <c r="R306" s="52"/>
      <c r="S306" s="52"/>
      <c r="T306" s="52"/>
      <c r="U306" s="52"/>
      <c r="V306" s="52"/>
      <c r="W306" s="53"/>
      <c r="X306" s="23"/>
      <c r="Y306" s="52"/>
      <c r="Z306" s="52"/>
      <c r="AA306" s="52"/>
      <c r="AB306" s="52"/>
      <c r="AC306" s="52"/>
      <c r="AD306" s="52"/>
      <c r="AE306" s="52"/>
    </row>
    <row r="307" spans="2:31" x14ac:dyDescent="0.25">
      <c r="B307" s="52"/>
      <c r="C307" s="52"/>
      <c r="D307" s="52"/>
      <c r="E307" s="52" t="str">
        <f t="shared" si="13"/>
        <v>PROG</v>
      </c>
      <c r="F307" s="52"/>
      <c r="G307" s="52" t="str">
        <f t="shared" si="14"/>
        <v>P</v>
      </c>
      <c r="H307" s="52"/>
      <c r="I307" s="52"/>
      <c r="J307" s="52" t="str">
        <f t="shared" si="15"/>
        <v>ELEM</v>
      </c>
      <c r="K307" s="52"/>
      <c r="L307" s="87"/>
      <c r="M307" s="52" t="e">
        <v>#N/A</v>
      </c>
      <c r="N307" s="52"/>
      <c r="O307" s="52"/>
      <c r="P307" s="52"/>
      <c r="Q307" s="52"/>
      <c r="R307" s="52"/>
      <c r="S307" s="52"/>
      <c r="T307" s="52"/>
      <c r="U307" s="52"/>
      <c r="V307" s="52"/>
      <c r="W307" s="53"/>
      <c r="X307" s="23"/>
      <c r="Y307" s="52"/>
      <c r="Z307" s="52"/>
      <c r="AA307" s="52"/>
      <c r="AB307" s="52"/>
      <c r="AC307" s="52"/>
      <c r="AD307" s="52"/>
      <c r="AE307" s="52"/>
    </row>
    <row r="308" spans="2:31" x14ac:dyDescent="0.25">
      <c r="B308" s="52"/>
      <c r="C308" s="52"/>
      <c r="D308" s="52"/>
      <c r="E308" s="52" t="str">
        <f t="shared" si="13"/>
        <v>PROG</v>
      </c>
      <c r="F308" s="52"/>
      <c r="G308" s="52" t="str">
        <f t="shared" si="14"/>
        <v>P</v>
      </c>
      <c r="H308" s="52"/>
      <c r="I308" s="52"/>
      <c r="J308" s="52" t="str">
        <f t="shared" si="15"/>
        <v>ELEM</v>
      </c>
      <c r="K308" s="52"/>
      <c r="L308" s="87"/>
      <c r="M308" s="52" t="e">
        <v>#N/A</v>
      </c>
      <c r="N308" s="52"/>
      <c r="O308" s="52"/>
      <c r="P308" s="52"/>
      <c r="Q308" s="52"/>
      <c r="R308" s="52"/>
      <c r="S308" s="52"/>
      <c r="T308" s="52"/>
      <c r="U308" s="52"/>
      <c r="V308" s="52"/>
      <c r="W308" s="53"/>
      <c r="X308" s="23"/>
      <c r="Y308" s="52"/>
      <c r="Z308" s="52"/>
      <c r="AA308" s="52"/>
      <c r="AB308" s="52"/>
      <c r="AC308" s="52"/>
      <c r="AD308" s="52"/>
      <c r="AE308" s="52"/>
    </row>
    <row r="309" spans="2:31" x14ac:dyDescent="0.25">
      <c r="B309" s="52"/>
      <c r="C309" s="52"/>
      <c r="D309" s="52"/>
      <c r="E309" s="52" t="str">
        <f t="shared" si="13"/>
        <v>PROG</v>
      </c>
      <c r="F309" s="52"/>
      <c r="G309" s="52" t="str">
        <f t="shared" si="14"/>
        <v>P</v>
      </c>
      <c r="H309" s="52"/>
      <c r="I309" s="52"/>
      <c r="J309" s="52" t="str">
        <f t="shared" si="15"/>
        <v>ELEM</v>
      </c>
      <c r="K309" s="52"/>
      <c r="L309" s="87"/>
      <c r="M309" s="52" t="e">
        <v>#N/A</v>
      </c>
      <c r="N309" s="52"/>
      <c r="O309" s="52"/>
      <c r="P309" s="52"/>
      <c r="Q309" s="52"/>
      <c r="R309" s="52"/>
      <c r="S309" s="52"/>
      <c r="T309" s="52"/>
      <c r="U309" s="52"/>
      <c r="V309" s="52"/>
      <c r="W309" s="53"/>
      <c r="X309" s="23"/>
      <c r="Y309" s="52"/>
      <c r="Z309" s="52"/>
      <c r="AA309" s="52"/>
      <c r="AB309" s="52"/>
      <c r="AC309" s="52"/>
      <c r="AD309" s="52"/>
      <c r="AE309" s="52"/>
    </row>
    <row r="310" spans="2:31" x14ac:dyDescent="0.25">
      <c r="B310" s="52"/>
      <c r="C310" s="52"/>
      <c r="D310" s="52"/>
      <c r="E310" s="52" t="str">
        <f t="shared" si="13"/>
        <v>PROG</v>
      </c>
      <c r="F310" s="52"/>
      <c r="G310" s="52" t="str">
        <f t="shared" si="14"/>
        <v>P</v>
      </c>
      <c r="H310" s="52"/>
      <c r="I310" s="52"/>
      <c r="J310" s="52" t="str">
        <f t="shared" si="15"/>
        <v>ELEM</v>
      </c>
      <c r="K310" s="52"/>
      <c r="L310" s="87"/>
      <c r="M310" s="52" t="e">
        <v>#N/A</v>
      </c>
      <c r="N310" s="52"/>
      <c r="O310" s="52"/>
      <c r="P310" s="52"/>
      <c r="Q310" s="52"/>
      <c r="R310" s="52"/>
      <c r="S310" s="52"/>
      <c r="T310" s="52"/>
      <c r="U310" s="52"/>
      <c r="V310" s="52"/>
      <c r="W310" s="53"/>
      <c r="X310" s="23"/>
      <c r="Y310" s="52"/>
      <c r="Z310" s="52"/>
      <c r="AA310" s="52"/>
      <c r="AB310" s="52"/>
      <c r="AC310" s="52"/>
      <c r="AD310" s="52"/>
      <c r="AE310" s="52"/>
    </row>
    <row r="311" spans="2:31" x14ac:dyDescent="0.25">
      <c r="B311" s="52"/>
      <c r="C311" s="52"/>
      <c r="D311" s="52"/>
      <c r="E311" s="52" t="str">
        <f t="shared" si="13"/>
        <v>PROG</v>
      </c>
      <c r="F311" s="52"/>
      <c r="G311" s="52" t="str">
        <f t="shared" si="14"/>
        <v>P</v>
      </c>
      <c r="H311" s="52"/>
      <c r="I311" s="52"/>
      <c r="J311" s="52" t="str">
        <f t="shared" si="15"/>
        <v>ELEM</v>
      </c>
      <c r="K311" s="52"/>
      <c r="L311" s="87"/>
      <c r="M311" s="52" t="e">
        <v>#N/A</v>
      </c>
      <c r="N311" s="52"/>
      <c r="O311" s="52"/>
      <c r="P311" s="52"/>
      <c r="Q311" s="52"/>
      <c r="R311" s="52"/>
      <c r="S311" s="52"/>
      <c r="T311" s="52"/>
      <c r="U311" s="52"/>
      <c r="V311" s="52"/>
      <c r="W311" s="53"/>
      <c r="X311" s="23"/>
      <c r="Y311" s="52"/>
      <c r="Z311" s="52"/>
      <c r="AA311" s="52"/>
      <c r="AB311" s="52"/>
      <c r="AC311" s="52"/>
      <c r="AD311" s="52"/>
      <c r="AE311" s="52"/>
    </row>
    <row r="312" spans="2:31" x14ac:dyDescent="0.25">
      <c r="B312" s="52"/>
      <c r="C312" s="52"/>
      <c r="D312" s="52"/>
      <c r="E312" s="52" t="str">
        <f t="shared" si="13"/>
        <v>PROG</v>
      </c>
      <c r="F312" s="52"/>
      <c r="G312" s="52" t="str">
        <f t="shared" si="14"/>
        <v>P</v>
      </c>
      <c r="H312" s="52"/>
      <c r="I312" s="52"/>
      <c r="J312" s="52" t="str">
        <f t="shared" si="15"/>
        <v>ELEM</v>
      </c>
      <c r="K312" s="52"/>
      <c r="L312" s="87"/>
      <c r="M312" s="52" t="e">
        <v>#N/A</v>
      </c>
      <c r="N312" s="52"/>
      <c r="O312" s="52"/>
      <c r="P312" s="52"/>
      <c r="Q312" s="52"/>
      <c r="R312" s="52"/>
      <c r="S312" s="52"/>
      <c r="T312" s="52"/>
      <c r="U312" s="52"/>
      <c r="V312" s="52"/>
      <c r="W312" s="53"/>
      <c r="X312" s="23"/>
      <c r="Y312" s="52"/>
      <c r="Z312" s="52"/>
      <c r="AA312" s="52"/>
      <c r="AB312" s="52"/>
      <c r="AC312" s="52"/>
      <c r="AD312" s="52"/>
      <c r="AE312" s="52"/>
    </row>
    <row r="313" spans="2:31" x14ac:dyDescent="0.25">
      <c r="B313" s="52"/>
      <c r="C313" s="52"/>
      <c r="D313" s="52"/>
      <c r="E313" s="52" t="str">
        <f t="shared" si="13"/>
        <v>PROG</v>
      </c>
      <c r="F313" s="52"/>
      <c r="G313" s="52" t="str">
        <f t="shared" si="14"/>
        <v>P</v>
      </c>
      <c r="H313" s="52"/>
      <c r="I313" s="52"/>
      <c r="J313" s="52" t="str">
        <f t="shared" si="15"/>
        <v>ELEM</v>
      </c>
      <c r="K313" s="52"/>
      <c r="L313" s="87"/>
      <c r="M313" s="52" t="e">
        <v>#N/A</v>
      </c>
      <c r="N313" s="52"/>
      <c r="O313" s="52"/>
      <c r="P313" s="52"/>
      <c r="Q313" s="52"/>
      <c r="R313" s="52"/>
      <c r="S313" s="52"/>
      <c r="T313" s="52"/>
      <c r="U313" s="52"/>
      <c r="V313" s="52"/>
      <c r="W313" s="53"/>
      <c r="X313" s="23"/>
      <c r="Y313" s="52"/>
      <c r="Z313" s="52"/>
      <c r="AA313" s="52"/>
      <c r="AB313" s="52"/>
      <c r="AC313" s="52"/>
      <c r="AD313" s="52"/>
      <c r="AE313" s="52"/>
    </row>
    <row r="314" spans="2:31" x14ac:dyDescent="0.25">
      <c r="B314" s="52"/>
      <c r="C314" s="52"/>
      <c r="D314" s="52"/>
      <c r="E314" s="52" t="str">
        <f t="shared" si="13"/>
        <v>PROG</v>
      </c>
      <c r="F314" s="52"/>
      <c r="G314" s="52" t="str">
        <f t="shared" si="14"/>
        <v>P</v>
      </c>
      <c r="H314" s="52"/>
      <c r="I314" s="52"/>
      <c r="J314" s="52" t="str">
        <f t="shared" si="15"/>
        <v>ELEM</v>
      </c>
      <c r="K314" s="52"/>
      <c r="L314" s="87"/>
      <c r="M314" s="52" t="e">
        <v>#N/A</v>
      </c>
      <c r="N314" s="52"/>
      <c r="O314" s="52"/>
      <c r="P314" s="52"/>
      <c r="Q314" s="52"/>
      <c r="R314" s="52"/>
      <c r="S314" s="52"/>
      <c r="T314" s="52"/>
      <c r="U314" s="52"/>
      <c r="V314" s="52"/>
      <c r="W314" s="53"/>
      <c r="X314" s="23"/>
      <c r="Y314" s="52"/>
      <c r="Z314" s="52"/>
      <c r="AA314" s="52"/>
      <c r="AB314" s="52"/>
      <c r="AC314" s="52"/>
      <c r="AD314" s="52"/>
      <c r="AE314" s="52"/>
    </row>
    <row r="315" spans="2:31" x14ac:dyDescent="0.25">
      <c r="B315" s="52"/>
      <c r="C315" s="52"/>
      <c r="D315" s="52"/>
      <c r="E315" s="52" t="str">
        <f t="shared" si="13"/>
        <v>PROG</v>
      </c>
      <c r="F315" s="52"/>
      <c r="G315" s="52" t="str">
        <f t="shared" si="14"/>
        <v>P</v>
      </c>
      <c r="H315" s="52"/>
      <c r="I315" s="52"/>
      <c r="J315" s="52" t="str">
        <f t="shared" si="15"/>
        <v>ELEM</v>
      </c>
      <c r="K315" s="52"/>
      <c r="L315" s="87"/>
      <c r="M315" s="52" t="e">
        <v>#N/A</v>
      </c>
      <c r="N315" s="52"/>
      <c r="O315" s="52"/>
      <c r="P315" s="52"/>
      <c r="Q315" s="52"/>
      <c r="R315" s="52"/>
      <c r="S315" s="52"/>
      <c r="T315" s="52"/>
      <c r="U315" s="52"/>
      <c r="V315" s="52"/>
      <c r="W315" s="53"/>
      <c r="X315" s="23"/>
      <c r="Y315" s="52"/>
      <c r="Z315" s="52"/>
      <c r="AA315" s="52"/>
      <c r="AB315" s="52"/>
      <c r="AC315" s="52"/>
      <c r="AD315" s="52"/>
      <c r="AE315" s="52"/>
    </row>
    <row r="316" spans="2:31" x14ac:dyDescent="0.25">
      <c r="B316" s="52"/>
      <c r="C316" s="52"/>
      <c r="D316" s="52"/>
      <c r="E316" s="52" t="str">
        <f t="shared" si="13"/>
        <v>PROG</v>
      </c>
      <c r="F316" s="52"/>
      <c r="G316" s="52" t="str">
        <f t="shared" si="14"/>
        <v>P</v>
      </c>
      <c r="H316" s="52"/>
      <c r="I316" s="52"/>
      <c r="J316" s="52" t="str">
        <f t="shared" si="15"/>
        <v>ELEM</v>
      </c>
      <c r="K316" s="52"/>
      <c r="L316" s="87"/>
      <c r="M316" s="52" t="e">
        <v>#N/A</v>
      </c>
      <c r="N316" s="52"/>
      <c r="O316" s="52"/>
      <c r="P316" s="52"/>
      <c r="Q316" s="52"/>
      <c r="R316" s="52"/>
      <c r="S316" s="52"/>
      <c r="T316" s="52"/>
      <c r="U316" s="52"/>
      <c r="V316" s="52"/>
      <c r="W316" s="53"/>
      <c r="X316" s="23"/>
      <c r="Y316" s="52"/>
      <c r="Z316" s="52"/>
      <c r="AA316" s="52"/>
      <c r="AB316" s="52"/>
      <c r="AC316" s="52"/>
      <c r="AD316" s="52"/>
      <c r="AE316" s="52"/>
    </row>
    <row r="317" spans="2:31" x14ac:dyDescent="0.25">
      <c r="B317" s="52"/>
      <c r="C317" s="52"/>
      <c r="D317" s="52"/>
      <c r="E317" s="52" t="str">
        <f t="shared" si="13"/>
        <v>PROG</v>
      </c>
      <c r="F317" s="52"/>
      <c r="G317" s="52" t="str">
        <f t="shared" si="14"/>
        <v>P</v>
      </c>
      <c r="H317" s="52"/>
      <c r="I317" s="52"/>
      <c r="J317" s="52" t="str">
        <f t="shared" si="15"/>
        <v>ELEM</v>
      </c>
      <c r="K317" s="52"/>
      <c r="L317" s="87"/>
      <c r="M317" s="52" t="e">
        <v>#N/A</v>
      </c>
      <c r="N317" s="52"/>
      <c r="O317" s="52"/>
      <c r="P317" s="52"/>
      <c r="Q317" s="52"/>
      <c r="R317" s="52"/>
      <c r="S317" s="52"/>
      <c r="T317" s="52"/>
      <c r="U317" s="52"/>
      <c r="V317" s="52"/>
      <c r="W317" s="53"/>
      <c r="X317" s="23"/>
      <c r="Y317" s="52"/>
      <c r="Z317" s="52"/>
      <c r="AA317" s="52"/>
      <c r="AB317" s="52"/>
      <c r="AC317" s="52"/>
      <c r="AD317" s="52"/>
      <c r="AE317" s="52"/>
    </row>
    <row r="318" spans="2:31" x14ac:dyDescent="0.25">
      <c r="B318" s="52"/>
      <c r="C318" s="52"/>
      <c r="D318" s="52"/>
      <c r="E318" s="52" t="str">
        <f t="shared" si="13"/>
        <v>PROG</v>
      </c>
      <c r="F318" s="52"/>
      <c r="G318" s="52" t="str">
        <f t="shared" si="14"/>
        <v>P</v>
      </c>
      <c r="H318" s="52"/>
      <c r="I318" s="52"/>
      <c r="J318" s="52" t="str">
        <f t="shared" si="15"/>
        <v>ELEM</v>
      </c>
      <c r="K318" s="52"/>
      <c r="L318" s="87"/>
      <c r="M318" s="52" t="e">
        <v>#N/A</v>
      </c>
      <c r="N318" s="52"/>
      <c r="O318" s="52"/>
      <c r="P318" s="52"/>
      <c r="Q318" s="52"/>
      <c r="R318" s="52"/>
      <c r="S318" s="52"/>
      <c r="T318" s="52"/>
      <c r="U318" s="52"/>
      <c r="V318" s="52"/>
      <c r="W318" s="53"/>
      <c r="X318" s="23"/>
      <c r="Y318" s="52"/>
      <c r="Z318" s="52"/>
      <c r="AA318" s="52"/>
      <c r="AB318" s="52"/>
      <c r="AC318" s="52"/>
      <c r="AD318" s="52"/>
      <c r="AE318" s="52"/>
    </row>
    <row r="319" spans="2:31" x14ac:dyDescent="0.25">
      <c r="B319" s="52"/>
      <c r="C319" s="52"/>
      <c r="D319" s="52"/>
      <c r="E319" s="52" t="str">
        <f t="shared" si="13"/>
        <v>PROG</v>
      </c>
      <c r="F319" s="52"/>
      <c r="G319" s="52" t="str">
        <f t="shared" si="14"/>
        <v>P</v>
      </c>
      <c r="H319" s="52"/>
      <c r="I319" s="52"/>
      <c r="J319" s="52" t="str">
        <f t="shared" si="15"/>
        <v>ELEM</v>
      </c>
      <c r="K319" s="52"/>
      <c r="L319" s="87"/>
      <c r="M319" s="52" t="e">
        <v>#N/A</v>
      </c>
      <c r="N319" s="52"/>
      <c r="O319" s="52"/>
      <c r="P319" s="52"/>
      <c r="Q319" s="52"/>
      <c r="R319" s="52"/>
      <c r="S319" s="52"/>
      <c r="T319" s="52"/>
      <c r="U319" s="52"/>
      <c r="V319" s="52"/>
      <c r="W319" s="53"/>
      <c r="X319" s="23"/>
      <c r="Y319" s="52"/>
      <c r="Z319" s="52"/>
      <c r="AA319" s="52"/>
      <c r="AB319" s="52"/>
      <c r="AC319" s="52"/>
      <c r="AD319" s="52"/>
      <c r="AE319" s="52"/>
    </row>
    <row r="320" spans="2:31" x14ac:dyDescent="0.25">
      <c r="B320" s="52"/>
      <c r="C320" s="52"/>
      <c r="D320" s="52"/>
      <c r="E320" s="52" t="str">
        <f t="shared" si="13"/>
        <v>PROG</v>
      </c>
      <c r="F320" s="52"/>
      <c r="G320" s="52" t="str">
        <f t="shared" si="14"/>
        <v>P</v>
      </c>
      <c r="H320" s="52"/>
      <c r="I320" s="52"/>
      <c r="J320" s="52" t="str">
        <f t="shared" si="15"/>
        <v>ELEM</v>
      </c>
      <c r="K320" s="52"/>
      <c r="L320" s="87"/>
      <c r="M320" s="52" t="e">
        <v>#N/A</v>
      </c>
      <c r="N320" s="52"/>
      <c r="O320" s="52"/>
      <c r="P320" s="52"/>
      <c r="Q320" s="52"/>
      <c r="R320" s="52"/>
      <c r="S320" s="52"/>
      <c r="T320" s="52"/>
      <c r="U320" s="52"/>
      <c r="V320" s="52"/>
      <c r="W320" s="53"/>
      <c r="X320" s="23"/>
      <c r="Y320" s="52"/>
      <c r="Z320" s="52"/>
      <c r="AA320" s="52"/>
      <c r="AB320" s="52"/>
      <c r="AC320" s="52"/>
      <c r="AD320" s="52"/>
      <c r="AE320" s="52"/>
    </row>
    <row r="321" spans="2:31" x14ac:dyDescent="0.25">
      <c r="B321" s="52"/>
      <c r="C321" s="52"/>
      <c r="D321" s="52"/>
      <c r="E321" s="52" t="str">
        <f t="shared" si="13"/>
        <v>PROG</v>
      </c>
      <c r="F321" s="52"/>
      <c r="G321" s="52" t="str">
        <f t="shared" si="14"/>
        <v>P</v>
      </c>
      <c r="H321" s="52"/>
      <c r="I321" s="52"/>
      <c r="J321" s="52" t="str">
        <f t="shared" si="15"/>
        <v>ELEM</v>
      </c>
      <c r="K321" s="52"/>
      <c r="L321" s="87"/>
      <c r="M321" s="52" t="e">
        <v>#N/A</v>
      </c>
      <c r="N321" s="52"/>
      <c r="O321" s="52"/>
      <c r="P321" s="52"/>
      <c r="Q321" s="52"/>
      <c r="R321" s="52"/>
      <c r="S321" s="52"/>
      <c r="T321" s="52"/>
      <c r="U321" s="52"/>
      <c r="V321" s="52"/>
      <c r="W321" s="53"/>
      <c r="X321" s="23"/>
      <c r="Y321" s="52"/>
      <c r="Z321" s="52"/>
      <c r="AA321" s="52"/>
      <c r="AB321" s="52"/>
      <c r="AC321" s="52"/>
      <c r="AD321" s="52"/>
      <c r="AE321" s="52"/>
    </row>
    <row r="322" spans="2:31" x14ac:dyDescent="0.25">
      <c r="B322" s="52"/>
      <c r="C322" s="52"/>
      <c r="D322" s="52"/>
      <c r="E322" s="52" t="str">
        <f t="shared" si="13"/>
        <v>PROG</v>
      </c>
      <c r="F322" s="52"/>
      <c r="G322" s="52" t="str">
        <f t="shared" si="14"/>
        <v>P</v>
      </c>
      <c r="H322" s="52"/>
      <c r="I322" s="52"/>
      <c r="J322" s="52" t="str">
        <f t="shared" si="15"/>
        <v>ELEM</v>
      </c>
      <c r="K322" s="52"/>
      <c r="L322" s="87"/>
      <c r="M322" s="52" t="e">
        <v>#N/A</v>
      </c>
      <c r="N322" s="52"/>
      <c r="O322" s="52"/>
      <c r="P322" s="52"/>
      <c r="Q322" s="52"/>
      <c r="R322" s="52"/>
      <c r="S322" s="52"/>
      <c r="T322" s="52"/>
      <c r="U322" s="52"/>
      <c r="V322" s="52"/>
      <c r="W322" s="53"/>
      <c r="X322" s="23"/>
      <c r="Y322" s="52"/>
      <c r="Z322" s="52"/>
      <c r="AA322" s="52"/>
      <c r="AB322" s="52"/>
      <c r="AC322" s="52"/>
      <c r="AD322" s="52"/>
      <c r="AE322" s="52"/>
    </row>
    <row r="323" spans="2:31" x14ac:dyDescent="0.25">
      <c r="B323" s="52"/>
      <c r="C323" s="52"/>
      <c r="D323" s="52"/>
      <c r="E323" s="52" t="str">
        <f t="shared" ref="E323:E386" si="16">CONCATENATE(A323,"PROG")</f>
        <v>PROG</v>
      </c>
      <c r="F323" s="52"/>
      <c r="G323" s="52" t="str">
        <f t="shared" ref="G323:G386" si="17">CONCATENATE("P",(LEFT(F323,3)),A323)</f>
        <v>P</v>
      </c>
      <c r="H323" s="52"/>
      <c r="I323" s="52"/>
      <c r="J323" s="52" t="str">
        <f t="shared" ref="J323:J386" si="18">CONCATENATE("ELEM",LEFT(I323,2))</f>
        <v>ELEM</v>
      </c>
      <c r="K323" s="52"/>
      <c r="L323" s="87"/>
      <c r="M323" s="52" t="e">
        <v>#N/A</v>
      </c>
      <c r="N323" s="52"/>
      <c r="O323" s="52"/>
      <c r="P323" s="52"/>
      <c r="Q323" s="52"/>
      <c r="R323" s="52"/>
      <c r="S323" s="52"/>
      <c r="T323" s="52"/>
      <c r="U323" s="52"/>
      <c r="V323" s="52"/>
      <c r="W323" s="53"/>
      <c r="X323" s="23"/>
      <c r="Y323" s="52"/>
      <c r="Z323" s="52"/>
      <c r="AA323" s="52"/>
      <c r="AB323" s="52"/>
      <c r="AC323" s="52"/>
      <c r="AD323" s="52"/>
      <c r="AE323" s="52"/>
    </row>
    <row r="324" spans="2:31" x14ac:dyDescent="0.25">
      <c r="B324" s="52"/>
      <c r="C324" s="52"/>
      <c r="D324" s="52"/>
      <c r="E324" s="52" t="str">
        <f t="shared" si="16"/>
        <v>PROG</v>
      </c>
      <c r="F324" s="52"/>
      <c r="G324" s="52" t="str">
        <f t="shared" si="17"/>
        <v>P</v>
      </c>
      <c r="H324" s="52"/>
      <c r="I324" s="52"/>
      <c r="J324" s="52" t="str">
        <f t="shared" si="18"/>
        <v>ELEM</v>
      </c>
      <c r="K324" s="52"/>
      <c r="L324" s="87"/>
      <c r="M324" s="52" t="e">
        <v>#N/A</v>
      </c>
      <c r="N324" s="52"/>
      <c r="O324" s="52"/>
      <c r="P324" s="52"/>
      <c r="Q324" s="52"/>
      <c r="R324" s="52"/>
      <c r="S324" s="52"/>
      <c r="T324" s="52"/>
      <c r="U324" s="52"/>
      <c r="V324" s="52"/>
      <c r="W324" s="53"/>
      <c r="X324" s="23"/>
      <c r="Y324" s="52"/>
      <c r="Z324" s="52"/>
      <c r="AA324" s="52"/>
      <c r="AB324" s="52"/>
      <c r="AC324" s="52"/>
      <c r="AD324" s="52"/>
      <c r="AE324" s="52"/>
    </row>
    <row r="325" spans="2:31" x14ac:dyDescent="0.25">
      <c r="B325" s="52"/>
      <c r="C325" s="52"/>
      <c r="D325" s="52"/>
      <c r="E325" s="52" t="str">
        <f t="shared" si="16"/>
        <v>PROG</v>
      </c>
      <c r="F325" s="52"/>
      <c r="G325" s="52" t="str">
        <f t="shared" si="17"/>
        <v>P</v>
      </c>
      <c r="H325" s="52"/>
      <c r="I325" s="52"/>
      <c r="J325" s="52" t="str">
        <f t="shared" si="18"/>
        <v>ELEM</v>
      </c>
      <c r="K325" s="52"/>
      <c r="L325" s="87"/>
      <c r="M325" s="52" t="e">
        <v>#N/A</v>
      </c>
      <c r="N325" s="52"/>
      <c r="O325" s="52"/>
      <c r="P325" s="52"/>
      <c r="Q325" s="52"/>
      <c r="R325" s="52"/>
      <c r="S325" s="52"/>
      <c r="T325" s="52"/>
      <c r="U325" s="52"/>
      <c r="V325" s="52"/>
      <c r="W325" s="53"/>
      <c r="X325" s="23"/>
      <c r="Y325" s="52"/>
      <c r="Z325" s="52"/>
      <c r="AA325" s="52"/>
      <c r="AB325" s="52"/>
      <c r="AC325" s="52"/>
      <c r="AD325" s="52"/>
      <c r="AE325" s="52"/>
    </row>
    <row r="326" spans="2:31" x14ac:dyDescent="0.25">
      <c r="B326" s="52"/>
      <c r="C326" s="52"/>
      <c r="D326" s="52"/>
      <c r="E326" s="52" t="str">
        <f t="shared" si="16"/>
        <v>PROG</v>
      </c>
      <c r="F326" s="52"/>
      <c r="G326" s="52" t="str">
        <f t="shared" si="17"/>
        <v>P</v>
      </c>
      <c r="H326" s="52"/>
      <c r="I326" s="52"/>
      <c r="J326" s="52" t="str">
        <f t="shared" si="18"/>
        <v>ELEM</v>
      </c>
      <c r="K326" s="52"/>
      <c r="L326" s="87"/>
      <c r="M326" s="52" t="e">
        <v>#N/A</v>
      </c>
      <c r="N326" s="52"/>
      <c r="O326" s="52"/>
      <c r="P326" s="52"/>
      <c r="Q326" s="52"/>
      <c r="R326" s="52"/>
      <c r="S326" s="52"/>
      <c r="T326" s="52"/>
      <c r="U326" s="52"/>
      <c r="V326" s="52"/>
      <c r="W326" s="53"/>
      <c r="X326" s="23"/>
      <c r="Y326" s="52"/>
      <c r="Z326" s="52"/>
      <c r="AA326" s="52"/>
      <c r="AB326" s="52"/>
      <c r="AC326" s="52"/>
      <c r="AD326" s="52"/>
      <c r="AE326" s="52"/>
    </row>
    <row r="327" spans="2:31" x14ac:dyDescent="0.25">
      <c r="B327" s="52"/>
      <c r="C327" s="52"/>
      <c r="D327" s="52"/>
      <c r="E327" s="52" t="str">
        <f t="shared" si="16"/>
        <v>PROG</v>
      </c>
      <c r="F327" s="52"/>
      <c r="G327" s="52" t="str">
        <f t="shared" si="17"/>
        <v>P</v>
      </c>
      <c r="H327" s="52"/>
      <c r="I327" s="52"/>
      <c r="J327" s="52" t="str">
        <f t="shared" si="18"/>
        <v>ELEM</v>
      </c>
      <c r="K327" s="52"/>
      <c r="L327" s="87"/>
      <c r="M327" s="52" t="e">
        <v>#N/A</v>
      </c>
      <c r="N327" s="52"/>
      <c r="O327" s="52"/>
      <c r="P327" s="52"/>
      <c r="Q327" s="52"/>
      <c r="R327" s="52"/>
      <c r="S327" s="52"/>
      <c r="T327" s="52"/>
      <c r="U327" s="52"/>
      <c r="V327" s="52"/>
      <c r="W327" s="53"/>
      <c r="X327" s="23"/>
      <c r="Y327" s="52"/>
      <c r="Z327" s="52"/>
      <c r="AA327" s="52"/>
      <c r="AB327" s="52"/>
      <c r="AC327" s="52"/>
      <c r="AD327" s="52"/>
      <c r="AE327" s="52"/>
    </row>
    <row r="328" spans="2:31" x14ac:dyDescent="0.25">
      <c r="B328" s="52"/>
      <c r="C328" s="52"/>
      <c r="D328" s="52"/>
      <c r="E328" s="52" t="str">
        <f t="shared" si="16"/>
        <v>PROG</v>
      </c>
      <c r="F328" s="52"/>
      <c r="G328" s="52" t="str">
        <f t="shared" si="17"/>
        <v>P</v>
      </c>
      <c r="H328" s="52"/>
      <c r="I328" s="52"/>
      <c r="J328" s="52" t="str">
        <f t="shared" si="18"/>
        <v>ELEM</v>
      </c>
      <c r="K328" s="52"/>
      <c r="L328" s="87"/>
      <c r="M328" s="52" t="e">
        <v>#N/A</v>
      </c>
      <c r="N328" s="52"/>
      <c r="O328" s="52"/>
      <c r="P328" s="52"/>
      <c r="Q328" s="52"/>
      <c r="R328" s="52"/>
      <c r="S328" s="52"/>
      <c r="T328" s="52"/>
      <c r="U328" s="52"/>
      <c r="V328" s="52"/>
      <c r="W328" s="53"/>
      <c r="X328" s="23"/>
      <c r="Y328" s="52"/>
      <c r="Z328" s="52"/>
      <c r="AA328" s="52"/>
      <c r="AB328" s="52"/>
      <c r="AC328" s="52"/>
      <c r="AD328" s="52"/>
      <c r="AE328" s="52"/>
    </row>
    <row r="329" spans="2:31" x14ac:dyDescent="0.25">
      <c r="B329" s="52"/>
      <c r="C329" s="52"/>
      <c r="D329" s="52"/>
      <c r="E329" s="52" t="str">
        <f t="shared" si="16"/>
        <v>PROG</v>
      </c>
      <c r="F329" s="52"/>
      <c r="G329" s="52" t="str">
        <f t="shared" si="17"/>
        <v>P</v>
      </c>
      <c r="H329" s="52"/>
      <c r="I329" s="52"/>
      <c r="J329" s="52" t="str">
        <f t="shared" si="18"/>
        <v>ELEM</v>
      </c>
      <c r="K329" s="52"/>
      <c r="L329" s="87"/>
      <c r="M329" s="52" t="e">
        <v>#N/A</v>
      </c>
      <c r="N329" s="52"/>
      <c r="O329" s="52"/>
      <c r="P329" s="52"/>
      <c r="Q329" s="52"/>
      <c r="R329" s="52"/>
      <c r="S329" s="52"/>
      <c r="T329" s="52"/>
      <c r="U329" s="52"/>
      <c r="V329" s="52"/>
      <c r="W329" s="53"/>
      <c r="X329" s="23"/>
      <c r="Y329" s="52"/>
      <c r="Z329" s="52"/>
      <c r="AA329" s="52"/>
      <c r="AB329" s="52"/>
      <c r="AC329" s="52"/>
      <c r="AD329" s="52"/>
      <c r="AE329" s="52"/>
    </row>
    <row r="330" spans="2:31" x14ac:dyDescent="0.25">
      <c r="B330" s="52"/>
      <c r="C330" s="52"/>
      <c r="D330" s="52"/>
      <c r="E330" s="52" t="str">
        <f t="shared" si="16"/>
        <v>PROG</v>
      </c>
      <c r="F330" s="52"/>
      <c r="G330" s="52" t="str">
        <f t="shared" si="17"/>
        <v>P</v>
      </c>
      <c r="H330" s="52"/>
      <c r="I330" s="52"/>
      <c r="J330" s="52" t="str">
        <f t="shared" si="18"/>
        <v>ELEM</v>
      </c>
      <c r="K330" s="52"/>
      <c r="L330" s="87"/>
      <c r="M330" s="52" t="e">
        <v>#N/A</v>
      </c>
      <c r="N330" s="52"/>
      <c r="O330" s="52"/>
      <c r="P330" s="52"/>
      <c r="Q330" s="52"/>
      <c r="R330" s="52"/>
      <c r="S330" s="52"/>
      <c r="T330" s="52"/>
      <c r="U330" s="52"/>
      <c r="V330" s="52"/>
      <c r="W330" s="53"/>
      <c r="X330" s="23"/>
      <c r="Y330" s="52"/>
      <c r="Z330" s="52"/>
      <c r="AA330" s="52"/>
      <c r="AB330" s="52"/>
      <c r="AC330" s="52"/>
      <c r="AD330" s="52"/>
      <c r="AE330" s="52"/>
    </row>
    <row r="331" spans="2:31" x14ac:dyDescent="0.25">
      <c r="B331" s="52"/>
      <c r="C331" s="52"/>
      <c r="D331" s="52"/>
      <c r="E331" s="52" t="str">
        <f t="shared" si="16"/>
        <v>PROG</v>
      </c>
      <c r="F331" s="52"/>
      <c r="G331" s="52" t="str">
        <f t="shared" si="17"/>
        <v>P</v>
      </c>
      <c r="H331" s="52"/>
      <c r="I331" s="52"/>
      <c r="J331" s="52" t="str">
        <f t="shared" si="18"/>
        <v>ELEM</v>
      </c>
      <c r="K331" s="52"/>
      <c r="L331" s="87"/>
      <c r="M331" s="52" t="e">
        <v>#N/A</v>
      </c>
      <c r="N331" s="52"/>
      <c r="O331" s="52"/>
      <c r="P331" s="52"/>
      <c r="Q331" s="52"/>
      <c r="R331" s="52"/>
      <c r="S331" s="52"/>
      <c r="T331" s="52"/>
      <c r="U331" s="52"/>
      <c r="V331" s="52"/>
      <c r="W331" s="53"/>
      <c r="X331" s="23"/>
      <c r="Y331" s="52"/>
      <c r="Z331" s="52"/>
      <c r="AA331" s="52"/>
      <c r="AB331" s="52"/>
      <c r="AC331" s="52"/>
      <c r="AD331" s="52"/>
      <c r="AE331" s="52"/>
    </row>
    <row r="332" spans="2:31" x14ac:dyDescent="0.25">
      <c r="B332" s="52"/>
      <c r="C332" s="52"/>
      <c r="D332" s="52"/>
      <c r="E332" s="52" t="str">
        <f t="shared" si="16"/>
        <v>PROG</v>
      </c>
      <c r="F332" s="52"/>
      <c r="G332" s="52" t="str">
        <f t="shared" si="17"/>
        <v>P</v>
      </c>
      <c r="H332" s="52"/>
      <c r="I332" s="52"/>
      <c r="J332" s="52" t="str">
        <f t="shared" si="18"/>
        <v>ELEM</v>
      </c>
      <c r="K332" s="52"/>
      <c r="L332" s="87"/>
      <c r="M332" s="52" t="e">
        <v>#N/A</v>
      </c>
      <c r="N332" s="52"/>
      <c r="O332" s="52"/>
      <c r="P332" s="52"/>
      <c r="Q332" s="52"/>
      <c r="R332" s="52"/>
      <c r="S332" s="52"/>
      <c r="T332" s="52"/>
      <c r="U332" s="52"/>
      <c r="V332" s="52"/>
      <c r="W332" s="53"/>
      <c r="X332" s="23"/>
      <c r="Y332" s="52"/>
      <c r="Z332" s="52"/>
      <c r="AA332" s="52"/>
      <c r="AB332" s="52"/>
      <c r="AC332" s="52"/>
      <c r="AD332" s="52"/>
      <c r="AE332" s="52"/>
    </row>
    <row r="333" spans="2:31" x14ac:dyDescent="0.25">
      <c r="B333" s="52"/>
      <c r="C333" s="52"/>
      <c r="D333" s="52"/>
      <c r="E333" s="52" t="str">
        <f t="shared" si="16"/>
        <v>PROG</v>
      </c>
      <c r="F333" s="52"/>
      <c r="G333" s="52" t="str">
        <f t="shared" si="17"/>
        <v>P</v>
      </c>
      <c r="H333" s="52"/>
      <c r="I333" s="52"/>
      <c r="J333" s="52" t="str">
        <f t="shared" si="18"/>
        <v>ELEM</v>
      </c>
      <c r="K333" s="52"/>
      <c r="L333" s="87"/>
      <c r="M333" s="52" t="e">
        <v>#N/A</v>
      </c>
      <c r="N333" s="52"/>
      <c r="O333" s="52"/>
      <c r="P333" s="52"/>
      <c r="Q333" s="52"/>
      <c r="R333" s="52"/>
      <c r="S333" s="52"/>
      <c r="T333" s="52"/>
      <c r="U333" s="52"/>
      <c r="V333" s="52"/>
      <c r="W333" s="53"/>
      <c r="X333" s="23"/>
      <c r="Y333" s="52"/>
      <c r="Z333" s="52"/>
      <c r="AA333" s="52"/>
      <c r="AB333" s="52"/>
      <c r="AC333" s="52"/>
      <c r="AD333" s="52"/>
      <c r="AE333" s="52"/>
    </row>
    <row r="334" spans="2:31" x14ac:dyDescent="0.25">
      <c r="B334" s="52"/>
      <c r="C334" s="52"/>
      <c r="D334" s="52"/>
      <c r="E334" s="52" t="str">
        <f t="shared" si="16"/>
        <v>PROG</v>
      </c>
      <c r="F334" s="52"/>
      <c r="G334" s="52" t="str">
        <f t="shared" si="17"/>
        <v>P</v>
      </c>
      <c r="H334" s="52"/>
      <c r="I334" s="52"/>
      <c r="J334" s="52" t="str">
        <f t="shared" si="18"/>
        <v>ELEM</v>
      </c>
      <c r="K334" s="52"/>
      <c r="L334" s="87"/>
      <c r="M334" s="52" t="e">
        <v>#N/A</v>
      </c>
      <c r="N334" s="52"/>
      <c r="O334" s="52"/>
      <c r="P334" s="52"/>
      <c r="Q334" s="52"/>
      <c r="R334" s="52"/>
      <c r="S334" s="52"/>
      <c r="T334" s="52"/>
      <c r="U334" s="52"/>
      <c r="V334" s="52"/>
      <c r="W334" s="53"/>
      <c r="X334" s="23"/>
      <c r="Y334" s="52"/>
      <c r="Z334" s="52"/>
      <c r="AA334" s="52"/>
      <c r="AB334" s="52"/>
      <c r="AC334" s="52"/>
      <c r="AD334" s="52"/>
      <c r="AE334" s="52"/>
    </row>
    <row r="335" spans="2:31" x14ac:dyDescent="0.25">
      <c r="B335" s="52"/>
      <c r="C335" s="52"/>
      <c r="D335" s="52"/>
      <c r="E335" s="52" t="str">
        <f t="shared" si="16"/>
        <v>PROG</v>
      </c>
      <c r="F335" s="52"/>
      <c r="G335" s="52" t="str">
        <f t="shared" si="17"/>
        <v>P</v>
      </c>
      <c r="H335" s="52"/>
      <c r="I335" s="52"/>
      <c r="J335" s="52" t="str">
        <f t="shared" si="18"/>
        <v>ELEM</v>
      </c>
      <c r="K335" s="52"/>
      <c r="L335" s="87"/>
      <c r="M335" s="52" t="e">
        <v>#N/A</v>
      </c>
      <c r="N335" s="52"/>
      <c r="O335" s="52"/>
      <c r="P335" s="52"/>
      <c r="Q335" s="52"/>
      <c r="R335" s="52"/>
      <c r="S335" s="52"/>
      <c r="T335" s="52"/>
      <c r="U335" s="52"/>
      <c r="V335" s="52"/>
      <c r="W335" s="53"/>
      <c r="X335" s="23"/>
      <c r="Y335" s="52"/>
      <c r="Z335" s="52"/>
      <c r="AA335" s="52"/>
      <c r="AB335" s="52"/>
      <c r="AC335" s="52"/>
      <c r="AD335" s="52"/>
      <c r="AE335" s="52"/>
    </row>
    <row r="336" spans="2:31" x14ac:dyDescent="0.25">
      <c r="B336" s="52"/>
      <c r="C336" s="52"/>
      <c r="D336" s="52"/>
      <c r="E336" s="52" t="str">
        <f t="shared" si="16"/>
        <v>PROG</v>
      </c>
      <c r="F336" s="52"/>
      <c r="G336" s="52" t="str">
        <f t="shared" si="17"/>
        <v>P</v>
      </c>
      <c r="H336" s="52"/>
      <c r="I336" s="52"/>
      <c r="J336" s="52" t="str">
        <f t="shared" si="18"/>
        <v>ELEM</v>
      </c>
      <c r="K336" s="52"/>
      <c r="L336" s="87"/>
      <c r="M336" s="52" t="e">
        <v>#N/A</v>
      </c>
      <c r="N336" s="52"/>
      <c r="O336" s="52"/>
      <c r="P336" s="52"/>
      <c r="Q336" s="52"/>
      <c r="R336" s="52"/>
      <c r="S336" s="52"/>
      <c r="T336" s="52"/>
      <c r="U336" s="52"/>
      <c r="V336" s="52"/>
      <c r="W336" s="53"/>
      <c r="X336" s="23"/>
      <c r="Y336" s="52"/>
      <c r="Z336" s="52"/>
      <c r="AA336" s="52"/>
      <c r="AB336" s="52"/>
      <c r="AC336" s="52"/>
      <c r="AD336" s="52"/>
      <c r="AE336" s="52"/>
    </row>
    <row r="337" spans="2:31" x14ac:dyDescent="0.25">
      <c r="B337" s="52"/>
      <c r="C337" s="52"/>
      <c r="D337" s="52"/>
      <c r="E337" s="52" t="str">
        <f t="shared" si="16"/>
        <v>PROG</v>
      </c>
      <c r="F337" s="52"/>
      <c r="G337" s="52" t="str">
        <f t="shared" si="17"/>
        <v>P</v>
      </c>
      <c r="H337" s="52"/>
      <c r="I337" s="52"/>
      <c r="J337" s="52" t="str">
        <f t="shared" si="18"/>
        <v>ELEM</v>
      </c>
      <c r="K337" s="52"/>
      <c r="L337" s="87"/>
      <c r="M337" s="52" t="e">
        <v>#N/A</v>
      </c>
      <c r="N337" s="52"/>
      <c r="O337" s="52"/>
      <c r="P337" s="52"/>
      <c r="Q337" s="52"/>
      <c r="R337" s="52"/>
      <c r="S337" s="52"/>
      <c r="T337" s="52"/>
      <c r="U337" s="52"/>
      <c r="V337" s="52"/>
      <c r="W337" s="53"/>
      <c r="X337" s="23"/>
      <c r="Y337" s="52"/>
      <c r="Z337" s="52"/>
      <c r="AA337" s="52"/>
      <c r="AB337" s="52"/>
      <c r="AC337" s="52"/>
      <c r="AD337" s="52"/>
      <c r="AE337" s="52"/>
    </row>
    <row r="338" spans="2:31" x14ac:dyDescent="0.25">
      <c r="B338" s="52"/>
      <c r="C338" s="52"/>
      <c r="D338" s="52"/>
      <c r="E338" s="52" t="str">
        <f t="shared" si="16"/>
        <v>PROG</v>
      </c>
      <c r="F338" s="52"/>
      <c r="G338" s="52" t="str">
        <f t="shared" si="17"/>
        <v>P</v>
      </c>
      <c r="H338" s="52"/>
      <c r="I338" s="52"/>
      <c r="J338" s="52" t="str">
        <f t="shared" si="18"/>
        <v>ELEM</v>
      </c>
      <c r="K338" s="52"/>
      <c r="L338" s="87"/>
      <c r="M338" s="52" t="e">
        <v>#N/A</v>
      </c>
      <c r="N338" s="52"/>
      <c r="O338" s="52"/>
      <c r="P338" s="52"/>
      <c r="Q338" s="52"/>
      <c r="R338" s="52"/>
      <c r="S338" s="52"/>
      <c r="T338" s="52"/>
      <c r="U338" s="52"/>
      <c r="V338" s="52"/>
      <c r="W338" s="53"/>
      <c r="X338" s="23"/>
      <c r="Y338" s="52"/>
      <c r="Z338" s="52"/>
      <c r="AA338" s="52"/>
      <c r="AB338" s="52"/>
      <c r="AC338" s="52"/>
      <c r="AD338" s="52"/>
      <c r="AE338" s="52"/>
    </row>
    <row r="339" spans="2:31" x14ac:dyDescent="0.25">
      <c r="B339" s="52"/>
      <c r="C339" s="52"/>
      <c r="D339" s="52"/>
      <c r="E339" s="52" t="str">
        <f t="shared" si="16"/>
        <v>PROG</v>
      </c>
      <c r="F339" s="52"/>
      <c r="G339" s="52" t="str">
        <f t="shared" si="17"/>
        <v>P</v>
      </c>
      <c r="H339" s="52"/>
      <c r="I339" s="52"/>
      <c r="J339" s="52" t="str">
        <f t="shared" si="18"/>
        <v>ELEM</v>
      </c>
      <c r="K339" s="52"/>
      <c r="L339" s="87"/>
      <c r="M339" s="52" t="e">
        <v>#N/A</v>
      </c>
      <c r="N339" s="52"/>
      <c r="O339" s="52"/>
      <c r="P339" s="52"/>
      <c r="Q339" s="52"/>
      <c r="R339" s="52"/>
      <c r="S339" s="52"/>
      <c r="T339" s="52"/>
      <c r="U339" s="52"/>
      <c r="V339" s="52"/>
      <c r="W339" s="53"/>
      <c r="X339" s="23"/>
      <c r="Y339" s="52"/>
      <c r="Z339" s="52"/>
      <c r="AA339" s="52"/>
      <c r="AB339" s="52"/>
      <c r="AC339" s="52"/>
      <c r="AD339" s="52"/>
      <c r="AE339" s="52"/>
    </row>
    <row r="340" spans="2:31" x14ac:dyDescent="0.25">
      <c r="B340" s="52"/>
      <c r="C340" s="52"/>
      <c r="D340" s="52"/>
      <c r="E340" s="52" t="str">
        <f t="shared" si="16"/>
        <v>PROG</v>
      </c>
      <c r="F340" s="52"/>
      <c r="G340" s="52" t="str">
        <f t="shared" si="17"/>
        <v>P</v>
      </c>
      <c r="H340" s="52"/>
      <c r="I340" s="52"/>
      <c r="J340" s="52" t="str">
        <f t="shared" si="18"/>
        <v>ELEM</v>
      </c>
      <c r="K340" s="52"/>
      <c r="L340" s="87"/>
      <c r="M340" s="52" t="e">
        <v>#N/A</v>
      </c>
      <c r="N340" s="52"/>
      <c r="O340" s="52"/>
      <c r="P340" s="52"/>
      <c r="Q340" s="52"/>
      <c r="R340" s="52"/>
      <c r="S340" s="52"/>
      <c r="T340" s="52"/>
      <c r="U340" s="52"/>
      <c r="V340" s="52"/>
      <c r="W340" s="53"/>
      <c r="X340" s="23"/>
      <c r="Y340" s="52"/>
      <c r="Z340" s="52"/>
      <c r="AA340" s="52"/>
      <c r="AB340" s="52"/>
      <c r="AC340" s="52"/>
      <c r="AD340" s="52"/>
      <c r="AE340" s="52"/>
    </row>
    <row r="341" spans="2:31" x14ac:dyDescent="0.25">
      <c r="B341" s="52"/>
      <c r="C341" s="52"/>
      <c r="D341" s="52"/>
      <c r="E341" s="52" t="str">
        <f t="shared" si="16"/>
        <v>PROG</v>
      </c>
      <c r="F341" s="52"/>
      <c r="G341" s="52" t="str">
        <f t="shared" si="17"/>
        <v>P</v>
      </c>
      <c r="H341" s="52"/>
      <c r="I341" s="52"/>
      <c r="J341" s="52" t="str">
        <f t="shared" si="18"/>
        <v>ELEM</v>
      </c>
      <c r="K341" s="52"/>
      <c r="L341" s="87"/>
      <c r="M341" s="52" t="e">
        <v>#N/A</v>
      </c>
      <c r="N341" s="52"/>
      <c r="O341" s="52"/>
      <c r="P341" s="52"/>
      <c r="Q341" s="52"/>
      <c r="R341" s="52"/>
      <c r="S341" s="52"/>
      <c r="T341" s="52"/>
      <c r="U341" s="52"/>
      <c r="V341" s="52"/>
      <c r="W341" s="53"/>
      <c r="X341" s="23"/>
      <c r="Y341" s="52"/>
      <c r="Z341" s="52"/>
      <c r="AA341" s="52"/>
      <c r="AB341" s="52"/>
      <c r="AC341" s="52"/>
      <c r="AD341" s="52"/>
      <c r="AE341" s="52"/>
    </row>
    <row r="342" spans="2:31" x14ac:dyDescent="0.25">
      <c r="B342" s="52"/>
      <c r="C342" s="52"/>
      <c r="D342" s="52"/>
      <c r="E342" s="52" t="str">
        <f t="shared" si="16"/>
        <v>PROG</v>
      </c>
      <c r="F342" s="52"/>
      <c r="G342" s="52" t="str">
        <f t="shared" si="17"/>
        <v>P</v>
      </c>
      <c r="H342" s="52"/>
      <c r="I342" s="52"/>
      <c r="J342" s="52" t="str">
        <f t="shared" si="18"/>
        <v>ELEM</v>
      </c>
      <c r="K342" s="52"/>
      <c r="L342" s="87"/>
      <c r="M342" s="52" t="e">
        <v>#N/A</v>
      </c>
      <c r="N342" s="52"/>
      <c r="O342" s="52"/>
      <c r="P342" s="52"/>
      <c r="Q342" s="52"/>
      <c r="R342" s="52"/>
      <c r="S342" s="52"/>
      <c r="T342" s="52"/>
      <c r="U342" s="52"/>
      <c r="V342" s="52"/>
      <c r="W342" s="53"/>
      <c r="X342" s="23"/>
      <c r="Y342" s="52"/>
      <c r="Z342" s="52"/>
      <c r="AA342" s="52"/>
      <c r="AB342" s="52"/>
      <c r="AC342" s="52"/>
      <c r="AD342" s="52"/>
      <c r="AE342" s="52"/>
    </row>
    <row r="343" spans="2:31" x14ac:dyDescent="0.25">
      <c r="B343" s="52"/>
      <c r="C343" s="52"/>
      <c r="D343" s="52"/>
      <c r="E343" s="52" t="str">
        <f t="shared" si="16"/>
        <v>PROG</v>
      </c>
      <c r="F343" s="52"/>
      <c r="G343" s="52" t="str">
        <f t="shared" si="17"/>
        <v>P</v>
      </c>
      <c r="H343" s="52"/>
      <c r="I343" s="52"/>
      <c r="J343" s="52" t="str">
        <f t="shared" si="18"/>
        <v>ELEM</v>
      </c>
      <c r="K343" s="52"/>
      <c r="L343" s="87"/>
      <c r="M343" s="52" t="e">
        <v>#N/A</v>
      </c>
      <c r="N343" s="52"/>
      <c r="O343" s="52"/>
      <c r="P343" s="52"/>
      <c r="Q343" s="52"/>
      <c r="R343" s="52"/>
      <c r="S343" s="52"/>
      <c r="T343" s="52"/>
      <c r="U343" s="52"/>
      <c r="V343" s="52"/>
      <c r="W343" s="53"/>
      <c r="X343" s="23"/>
      <c r="Y343" s="52"/>
      <c r="Z343" s="52"/>
      <c r="AA343" s="52"/>
      <c r="AB343" s="52"/>
      <c r="AC343" s="52"/>
      <c r="AD343" s="52"/>
      <c r="AE343" s="52"/>
    </row>
    <row r="344" spans="2:31" x14ac:dyDescent="0.25">
      <c r="B344" s="52"/>
      <c r="C344" s="52"/>
      <c r="D344" s="52"/>
      <c r="E344" s="52" t="str">
        <f t="shared" si="16"/>
        <v>PROG</v>
      </c>
      <c r="F344" s="52"/>
      <c r="G344" s="52" t="str">
        <f t="shared" si="17"/>
        <v>P</v>
      </c>
      <c r="H344" s="52"/>
      <c r="I344" s="52"/>
      <c r="J344" s="52" t="str">
        <f t="shared" si="18"/>
        <v>ELEM</v>
      </c>
      <c r="K344" s="52"/>
      <c r="L344" s="87"/>
      <c r="M344" s="52" t="e">
        <v>#N/A</v>
      </c>
      <c r="N344" s="52"/>
      <c r="O344" s="52"/>
      <c r="P344" s="52"/>
      <c r="Q344" s="52"/>
      <c r="R344" s="52"/>
      <c r="S344" s="52"/>
      <c r="T344" s="52"/>
      <c r="U344" s="52"/>
      <c r="V344" s="52"/>
      <c r="W344" s="53"/>
      <c r="X344" s="23"/>
      <c r="Y344" s="52"/>
      <c r="Z344" s="52"/>
      <c r="AA344" s="52"/>
      <c r="AB344" s="52"/>
      <c r="AC344" s="52"/>
      <c r="AD344" s="52"/>
      <c r="AE344" s="52"/>
    </row>
    <row r="345" spans="2:31" x14ac:dyDescent="0.25">
      <c r="B345" s="52"/>
      <c r="C345" s="52"/>
      <c r="D345" s="52"/>
      <c r="E345" s="52" t="str">
        <f t="shared" si="16"/>
        <v>PROG</v>
      </c>
      <c r="F345" s="52"/>
      <c r="G345" s="52" t="str">
        <f t="shared" si="17"/>
        <v>P</v>
      </c>
      <c r="H345" s="52"/>
      <c r="I345" s="52"/>
      <c r="J345" s="52" t="str">
        <f t="shared" si="18"/>
        <v>ELEM</v>
      </c>
      <c r="K345" s="52"/>
      <c r="L345" s="87"/>
      <c r="M345" s="52" t="e">
        <v>#N/A</v>
      </c>
      <c r="N345" s="52"/>
      <c r="O345" s="52"/>
      <c r="P345" s="52"/>
      <c r="Q345" s="52"/>
      <c r="R345" s="52"/>
      <c r="S345" s="52"/>
      <c r="T345" s="52"/>
      <c r="U345" s="52"/>
      <c r="V345" s="52"/>
      <c r="W345" s="53"/>
      <c r="X345" s="23"/>
      <c r="Y345" s="52"/>
      <c r="Z345" s="52"/>
      <c r="AA345" s="52"/>
      <c r="AB345" s="52"/>
      <c r="AC345" s="52"/>
      <c r="AD345" s="52"/>
      <c r="AE345" s="52"/>
    </row>
    <row r="346" spans="2:31" x14ac:dyDescent="0.25">
      <c r="B346" s="52"/>
      <c r="C346" s="52"/>
      <c r="D346" s="52"/>
      <c r="E346" s="52" t="str">
        <f t="shared" si="16"/>
        <v>PROG</v>
      </c>
      <c r="F346" s="52"/>
      <c r="G346" s="52" t="str">
        <f t="shared" si="17"/>
        <v>P</v>
      </c>
      <c r="H346" s="52"/>
      <c r="I346" s="52"/>
      <c r="J346" s="52" t="str">
        <f t="shared" si="18"/>
        <v>ELEM</v>
      </c>
      <c r="K346" s="52"/>
      <c r="L346" s="87"/>
      <c r="M346" s="52" t="e">
        <v>#N/A</v>
      </c>
      <c r="N346" s="52"/>
      <c r="O346" s="52"/>
      <c r="P346" s="52"/>
      <c r="Q346" s="52"/>
      <c r="R346" s="52"/>
      <c r="S346" s="52"/>
      <c r="T346" s="52"/>
      <c r="U346" s="52"/>
      <c r="V346" s="52"/>
      <c r="W346" s="53"/>
      <c r="X346" s="23"/>
      <c r="Y346" s="52"/>
      <c r="Z346" s="52"/>
      <c r="AA346" s="52"/>
      <c r="AB346" s="52"/>
      <c r="AC346" s="52"/>
      <c r="AD346" s="52"/>
      <c r="AE346" s="52"/>
    </row>
    <row r="347" spans="2:31" x14ac:dyDescent="0.25">
      <c r="B347" s="52"/>
      <c r="C347" s="52"/>
      <c r="D347" s="52"/>
      <c r="E347" s="52" t="str">
        <f t="shared" si="16"/>
        <v>PROG</v>
      </c>
      <c r="F347" s="52"/>
      <c r="G347" s="52" t="str">
        <f t="shared" si="17"/>
        <v>P</v>
      </c>
      <c r="H347" s="52"/>
      <c r="I347" s="52"/>
      <c r="J347" s="52" t="str">
        <f t="shared" si="18"/>
        <v>ELEM</v>
      </c>
      <c r="K347" s="52"/>
      <c r="L347" s="87"/>
      <c r="M347" s="52" t="e">
        <v>#N/A</v>
      </c>
      <c r="N347" s="52"/>
      <c r="O347" s="52"/>
      <c r="P347" s="52"/>
      <c r="Q347" s="52"/>
      <c r="R347" s="52"/>
      <c r="S347" s="52"/>
      <c r="T347" s="52"/>
      <c r="U347" s="52"/>
      <c r="V347" s="52"/>
      <c r="W347" s="53"/>
      <c r="X347" s="23"/>
      <c r="Y347" s="52"/>
      <c r="Z347" s="52"/>
      <c r="AA347" s="52"/>
      <c r="AB347" s="52"/>
      <c r="AC347" s="52"/>
      <c r="AD347" s="52"/>
      <c r="AE347" s="52"/>
    </row>
    <row r="348" spans="2:31" x14ac:dyDescent="0.25">
      <c r="B348" s="52"/>
      <c r="C348" s="52"/>
      <c r="D348" s="52"/>
      <c r="E348" s="52" t="str">
        <f t="shared" si="16"/>
        <v>PROG</v>
      </c>
      <c r="F348" s="52"/>
      <c r="G348" s="52" t="str">
        <f t="shared" si="17"/>
        <v>P</v>
      </c>
      <c r="H348" s="52"/>
      <c r="I348" s="52"/>
      <c r="J348" s="52" t="str">
        <f t="shared" si="18"/>
        <v>ELEM</v>
      </c>
      <c r="K348" s="52"/>
      <c r="L348" s="87"/>
      <c r="M348" s="52" t="e">
        <v>#N/A</v>
      </c>
      <c r="N348" s="52"/>
      <c r="O348" s="52"/>
      <c r="P348" s="52"/>
      <c r="Q348" s="52"/>
      <c r="R348" s="52"/>
      <c r="S348" s="52"/>
      <c r="T348" s="52"/>
      <c r="U348" s="52"/>
      <c r="V348" s="52"/>
      <c r="W348" s="53"/>
      <c r="X348" s="23"/>
      <c r="Y348" s="52"/>
      <c r="Z348" s="52"/>
      <c r="AA348" s="52"/>
      <c r="AB348" s="52"/>
      <c r="AC348" s="52"/>
      <c r="AD348" s="52"/>
      <c r="AE348" s="52"/>
    </row>
    <row r="349" spans="2:31" x14ac:dyDescent="0.25">
      <c r="B349" s="52"/>
      <c r="C349" s="52"/>
      <c r="D349" s="52"/>
      <c r="E349" s="52" t="str">
        <f t="shared" si="16"/>
        <v>PROG</v>
      </c>
      <c r="F349" s="52"/>
      <c r="G349" s="52" t="str">
        <f t="shared" si="17"/>
        <v>P</v>
      </c>
      <c r="H349" s="52"/>
      <c r="I349" s="52"/>
      <c r="J349" s="52" t="str">
        <f t="shared" si="18"/>
        <v>ELEM</v>
      </c>
      <c r="K349" s="52"/>
      <c r="L349" s="87"/>
      <c r="M349" s="52" t="e">
        <v>#N/A</v>
      </c>
      <c r="N349" s="52"/>
      <c r="O349" s="52"/>
      <c r="P349" s="52"/>
      <c r="Q349" s="52"/>
      <c r="R349" s="52"/>
      <c r="S349" s="52"/>
      <c r="T349" s="52"/>
      <c r="U349" s="52"/>
      <c r="V349" s="52"/>
      <c r="W349" s="53"/>
      <c r="X349" s="23"/>
      <c r="Y349" s="52"/>
      <c r="Z349" s="52"/>
      <c r="AA349" s="52"/>
      <c r="AB349" s="52"/>
      <c r="AC349" s="52"/>
      <c r="AD349" s="52"/>
      <c r="AE349" s="52"/>
    </row>
    <row r="350" spans="2:31" x14ac:dyDescent="0.25">
      <c r="B350" s="52"/>
      <c r="C350" s="52"/>
      <c r="D350" s="52"/>
      <c r="E350" s="52" t="str">
        <f t="shared" si="16"/>
        <v>PROG</v>
      </c>
      <c r="F350" s="52"/>
      <c r="G350" s="52" t="str">
        <f t="shared" si="17"/>
        <v>P</v>
      </c>
      <c r="H350" s="52"/>
      <c r="I350" s="52"/>
      <c r="J350" s="52" t="str">
        <f t="shared" si="18"/>
        <v>ELEM</v>
      </c>
      <c r="K350" s="52"/>
      <c r="L350" s="87"/>
      <c r="M350" s="52" t="e">
        <v>#N/A</v>
      </c>
      <c r="N350" s="52"/>
      <c r="O350" s="52"/>
      <c r="P350" s="52"/>
      <c r="Q350" s="52"/>
      <c r="R350" s="52"/>
      <c r="S350" s="52"/>
      <c r="T350" s="52"/>
      <c r="U350" s="52"/>
      <c r="V350" s="52"/>
      <c r="W350" s="53"/>
      <c r="X350" s="23"/>
      <c r="Y350" s="52"/>
      <c r="Z350" s="52"/>
      <c r="AA350" s="52"/>
      <c r="AB350" s="52"/>
      <c r="AC350" s="52"/>
      <c r="AD350" s="52"/>
      <c r="AE350" s="52"/>
    </row>
    <row r="351" spans="2:31" x14ac:dyDescent="0.25">
      <c r="B351" s="52"/>
      <c r="C351" s="52"/>
      <c r="D351" s="52"/>
      <c r="E351" s="52" t="str">
        <f t="shared" si="16"/>
        <v>PROG</v>
      </c>
      <c r="F351" s="52"/>
      <c r="G351" s="52" t="str">
        <f t="shared" si="17"/>
        <v>P</v>
      </c>
      <c r="H351" s="52"/>
      <c r="I351" s="52"/>
      <c r="J351" s="52" t="str">
        <f t="shared" si="18"/>
        <v>ELEM</v>
      </c>
      <c r="K351" s="52"/>
      <c r="L351" s="87"/>
      <c r="M351" s="52" t="e">
        <v>#N/A</v>
      </c>
      <c r="N351" s="52"/>
      <c r="O351" s="52"/>
      <c r="P351" s="52"/>
      <c r="Q351" s="52"/>
      <c r="R351" s="52"/>
      <c r="S351" s="52"/>
      <c r="T351" s="52"/>
      <c r="U351" s="52"/>
      <c r="V351" s="52"/>
      <c r="W351" s="53"/>
      <c r="X351" s="23"/>
      <c r="Y351" s="52"/>
      <c r="Z351" s="52"/>
      <c r="AA351" s="52"/>
      <c r="AB351" s="52"/>
      <c r="AC351" s="52"/>
      <c r="AD351" s="52"/>
      <c r="AE351" s="52"/>
    </row>
    <row r="352" spans="2:31" x14ac:dyDescent="0.25">
      <c r="B352" s="52"/>
      <c r="C352" s="52"/>
      <c r="D352" s="52"/>
      <c r="E352" s="52" t="str">
        <f t="shared" si="16"/>
        <v>PROG</v>
      </c>
      <c r="F352" s="52"/>
      <c r="G352" s="52" t="str">
        <f t="shared" si="17"/>
        <v>P</v>
      </c>
      <c r="H352" s="52"/>
      <c r="I352" s="52"/>
      <c r="J352" s="52" t="str">
        <f t="shared" si="18"/>
        <v>ELEM</v>
      </c>
      <c r="K352" s="52"/>
      <c r="L352" s="87"/>
      <c r="M352" s="52" t="e">
        <v>#N/A</v>
      </c>
      <c r="N352" s="52"/>
      <c r="O352" s="52"/>
      <c r="P352" s="52"/>
      <c r="Q352" s="52"/>
      <c r="R352" s="52"/>
      <c r="S352" s="52"/>
      <c r="T352" s="52"/>
      <c r="U352" s="52"/>
      <c r="V352" s="52"/>
      <c r="W352" s="53"/>
      <c r="X352" s="23"/>
      <c r="Y352" s="52"/>
      <c r="Z352" s="52"/>
      <c r="AA352" s="52"/>
      <c r="AB352" s="52"/>
      <c r="AC352" s="52"/>
      <c r="AD352" s="52"/>
      <c r="AE352" s="52"/>
    </row>
    <row r="353" spans="2:31" x14ac:dyDescent="0.25">
      <c r="B353" s="52"/>
      <c r="C353" s="52"/>
      <c r="D353" s="52"/>
      <c r="E353" s="52" t="str">
        <f t="shared" si="16"/>
        <v>PROG</v>
      </c>
      <c r="F353" s="52"/>
      <c r="G353" s="52" t="str">
        <f t="shared" si="17"/>
        <v>P</v>
      </c>
      <c r="H353" s="52"/>
      <c r="I353" s="52"/>
      <c r="J353" s="52" t="str">
        <f t="shared" si="18"/>
        <v>ELEM</v>
      </c>
      <c r="K353" s="52"/>
      <c r="L353" s="87"/>
      <c r="M353" s="52" t="e">
        <v>#N/A</v>
      </c>
      <c r="N353" s="52"/>
      <c r="O353" s="52"/>
      <c r="P353" s="52"/>
      <c r="Q353" s="52"/>
      <c r="R353" s="52"/>
      <c r="S353" s="52"/>
      <c r="T353" s="52"/>
      <c r="U353" s="52"/>
      <c r="V353" s="52"/>
      <c r="W353" s="53"/>
      <c r="X353" s="23"/>
      <c r="Y353" s="52"/>
      <c r="Z353" s="52"/>
      <c r="AA353" s="52"/>
      <c r="AB353" s="52"/>
      <c r="AC353" s="52"/>
      <c r="AD353" s="52"/>
      <c r="AE353" s="52"/>
    </row>
    <row r="354" spans="2:31" x14ac:dyDescent="0.25">
      <c r="B354" s="52"/>
      <c r="C354" s="52"/>
      <c r="D354" s="52"/>
      <c r="E354" s="52" t="str">
        <f t="shared" si="16"/>
        <v>PROG</v>
      </c>
      <c r="F354" s="52"/>
      <c r="G354" s="52" t="str">
        <f t="shared" si="17"/>
        <v>P</v>
      </c>
      <c r="H354" s="52"/>
      <c r="I354" s="52"/>
      <c r="J354" s="52" t="str">
        <f t="shared" si="18"/>
        <v>ELEM</v>
      </c>
      <c r="K354" s="52"/>
      <c r="L354" s="87"/>
      <c r="M354" s="52" t="e">
        <v>#N/A</v>
      </c>
      <c r="N354" s="52"/>
      <c r="O354" s="52"/>
      <c r="P354" s="52"/>
      <c r="Q354" s="52"/>
      <c r="R354" s="52"/>
      <c r="S354" s="52"/>
      <c r="T354" s="52"/>
      <c r="U354" s="52"/>
      <c r="V354" s="52"/>
      <c r="W354" s="53"/>
      <c r="X354" s="23"/>
      <c r="Y354" s="52"/>
      <c r="Z354" s="52"/>
      <c r="AA354" s="52"/>
      <c r="AB354" s="52"/>
      <c r="AC354" s="52"/>
      <c r="AD354" s="52"/>
      <c r="AE354" s="52"/>
    </row>
    <row r="355" spans="2:31" x14ac:dyDescent="0.25">
      <c r="B355" s="52"/>
      <c r="C355" s="52"/>
      <c r="D355" s="52"/>
      <c r="E355" s="52" t="str">
        <f t="shared" si="16"/>
        <v>PROG</v>
      </c>
      <c r="F355" s="52"/>
      <c r="G355" s="52" t="str">
        <f t="shared" si="17"/>
        <v>P</v>
      </c>
      <c r="H355" s="52"/>
      <c r="I355" s="52"/>
      <c r="J355" s="52" t="str">
        <f t="shared" si="18"/>
        <v>ELEM</v>
      </c>
      <c r="K355" s="52"/>
      <c r="L355" s="87"/>
      <c r="M355" s="52" t="e">
        <v>#N/A</v>
      </c>
      <c r="N355" s="52"/>
      <c r="O355" s="52"/>
      <c r="P355" s="52"/>
      <c r="Q355" s="52"/>
      <c r="R355" s="52"/>
      <c r="S355" s="52"/>
      <c r="T355" s="52"/>
      <c r="U355" s="52"/>
      <c r="V355" s="52"/>
      <c r="W355" s="53"/>
      <c r="X355" s="23"/>
      <c r="Y355" s="52"/>
      <c r="Z355" s="52"/>
      <c r="AA355" s="52"/>
      <c r="AB355" s="52"/>
      <c r="AC355" s="52"/>
      <c r="AD355" s="52"/>
      <c r="AE355" s="52"/>
    </row>
    <row r="356" spans="2:31" x14ac:dyDescent="0.25">
      <c r="B356" s="52"/>
      <c r="C356" s="52"/>
      <c r="D356" s="52"/>
      <c r="E356" s="52" t="str">
        <f t="shared" si="16"/>
        <v>PROG</v>
      </c>
      <c r="F356" s="52"/>
      <c r="G356" s="52" t="str">
        <f t="shared" si="17"/>
        <v>P</v>
      </c>
      <c r="H356" s="52"/>
      <c r="I356" s="52"/>
      <c r="J356" s="52" t="str">
        <f t="shared" si="18"/>
        <v>ELEM</v>
      </c>
      <c r="K356" s="52"/>
      <c r="L356" s="87"/>
      <c r="M356" s="52" t="e">
        <v>#N/A</v>
      </c>
      <c r="N356" s="52"/>
      <c r="O356" s="52"/>
      <c r="P356" s="52"/>
      <c r="Q356" s="52"/>
      <c r="R356" s="52"/>
      <c r="S356" s="52"/>
      <c r="T356" s="52"/>
      <c r="U356" s="52"/>
      <c r="V356" s="52"/>
      <c r="W356" s="53"/>
      <c r="X356" s="23"/>
      <c r="Y356" s="52"/>
      <c r="Z356" s="52"/>
      <c r="AA356" s="52"/>
      <c r="AB356" s="52"/>
      <c r="AC356" s="52"/>
      <c r="AD356" s="52"/>
      <c r="AE356" s="52"/>
    </row>
    <row r="357" spans="2:31" x14ac:dyDescent="0.25">
      <c r="B357" s="52"/>
      <c r="C357" s="52"/>
      <c r="D357" s="52"/>
      <c r="E357" s="52" t="str">
        <f t="shared" si="16"/>
        <v>PROG</v>
      </c>
      <c r="F357" s="52"/>
      <c r="G357" s="52" t="str">
        <f t="shared" si="17"/>
        <v>P</v>
      </c>
      <c r="H357" s="52"/>
      <c r="I357" s="52"/>
      <c r="J357" s="52" t="str">
        <f t="shared" si="18"/>
        <v>ELEM</v>
      </c>
      <c r="K357" s="52"/>
      <c r="L357" s="87"/>
      <c r="M357" s="52" t="e">
        <v>#N/A</v>
      </c>
      <c r="N357" s="52"/>
      <c r="O357" s="52"/>
      <c r="P357" s="52"/>
      <c r="Q357" s="52"/>
      <c r="R357" s="52"/>
      <c r="S357" s="52"/>
      <c r="T357" s="52"/>
      <c r="U357" s="52"/>
      <c r="V357" s="52"/>
      <c r="W357" s="53"/>
      <c r="X357" s="23"/>
      <c r="Y357" s="52"/>
      <c r="Z357" s="52"/>
      <c r="AA357" s="52"/>
      <c r="AB357" s="52"/>
      <c r="AC357" s="52"/>
      <c r="AD357" s="52"/>
      <c r="AE357" s="52"/>
    </row>
    <row r="358" spans="2:31" x14ac:dyDescent="0.25">
      <c r="B358" s="52"/>
      <c r="C358" s="52"/>
      <c r="D358" s="52"/>
      <c r="E358" s="52" t="str">
        <f t="shared" si="16"/>
        <v>PROG</v>
      </c>
      <c r="F358" s="52"/>
      <c r="G358" s="52" t="str">
        <f t="shared" si="17"/>
        <v>P</v>
      </c>
      <c r="H358" s="52"/>
      <c r="I358" s="52"/>
      <c r="J358" s="52" t="str">
        <f t="shared" si="18"/>
        <v>ELEM</v>
      </c>
      <c r="K358" s="52"/>
      <c r="L358" s="87"/>
      <c r="M358" s="52" t="e">
        <v>#N/A</v>
      </c>
      <c r="N358" s="52"/>
      <c r="O358" s="52"/>
      <c r="P358" s="52"/>
      <c r="Q358" s="52"/>
      <c r="R358" s="52"/>
      <c r="S358" s="52"/>
      <c r="T358" s="52"/>
      <c r="U358" s="52"/>
      <c r="V358" s="52"/>
      <c r="W358" s="53"/>
      <c r="X358" s="23"/>
      <c r="Y358" s="52"/>
      <c r="Z358" s="52"/>
      <c r="AA358" s="52"/>
      <c r="AB358" s="52"/>
      <c r="AC358" s="52"/>
      <c r="AD358" s="52"/>
      <c r="AE358" s="52"/>
    </row>
    <row r="359" spans="2:31" x14ac:dyDescent="0.25">
      <c r="B359" s="52"/>
      <c r="C359" s="52"/>
      <c r="D359" s="52"/>
      <c r="E359" s="52" t="str">
        <f t="shared" si="16"/>
        <v>PROG</v>
      </c>
      <c r="F359" s="52"/>
      <c r="G359" s="52" t="str">
        <f t="shared" si="17"/>
        <v>P</v>
      </c>
      <c r="H359" s="52"/>
      <c r="I359" s="52"/>
      <c r="J359" s="52" t="str">
        <f t="shared" si="18"/>
        <v>ELEM</v>
      </c>
      <c r="K359" s="52"/>
      <c r="L359" s="87"/>
      <c r="M359" s="52" t="e">
        <v>#N/A</v>
      </c>
      <c r="N359" s="52"/>
      <c r="O359" s="52"/>
      <c r="P359" s="52"/>
      <c r="Q359" s="52"/>
      <c r="R359" s="52"/>
      <c r="S359" s="52"/>
      <c r="T359" s="52"/>
      <c r="U359" s="52"/>
      <c r="V359" s="52"/>
      <c r="W359" s="53"/>
      <c r="X359" s="23"/>
      <c r="Y359" s="52"/>
      <c r="Z359" s="52"/>
      <c r="AA359" s="52"/>
      <c r="AB359" s="52"/>
      <c r="AC359" s="52"/>
      <c r="AD359" s="52"/>
      <c r="AE359" s="52"/>
    </row>
    <row r="360" spans="2:31" x14ac:dyDescent="0.25">
      <c r="B360" s="52"/>
      <c r="C360" s="52"/>
      <c r="D360" s="52"/>
      <c r="E360" s="52" t="str">
        <f t="shared" si="16"/>
        <v>PROG</v>
      </c>
      <c r="F360" s="52"/>
      <c r="G360" s="52" t="str">
        <f t="shared" si="17"/>
        <v>P</v>
      </c>
      <c r="H360" s="52"/>
      <c r="I360" s="52"/>
      <c r="J360" s="52" t="str">
        <f t="shared" si="18"/>
        <v>ELEM</v>
      </c>
      <c r="K360" s="52"/>
      <c r="L360" s="87"/>
      <c r="M360" s="52" t="e">
        <v>#N/A</v>
      </c>
      <c r="N360" s="52"/>
      <c r="O360" s="52"/>
      <c r="P360" s="52"/>
      <c r="Q360" s="52"/>
      <c r="R360" s="52"/>
      <c r="S360" s="52"/>
      <c r="T360" s="52"/>
      <c r="U360" s="52"/>
      <c r="V360" s="52"/>
      <c r="W360" s="53"/>
      <c r="X360" s="23"/>
      <c r="Y360" s="52"/>
      <c r="Z360" s="52"/>
      <c r="AA360" s="52"/>
      <c r="AB360" s="52"/>
      <c r="AC360" s="52"/>
      <c r="AD360" s="52"/>
      <c r="AE360" s="52"/>
    </row>
    <row r="361" spans="2:31" x14ac:dyDescent="0.25">
      <c r="B361" s="52"/>
      <c r="C361" s="52"/>
      <c r="D361" s="52"/>
      <c r="E361" s="52" t="str">
        <f t="shared" si="16"/>
        <v>PROG</v>
      </c>
      <c r="F361" s="52"/>
      <c r="G361" s="52" t="str">
        <f t="shared" si="17"/>
        <v>P</v>
      </c>
      <c r="H361" s="52"/>
      <c r="I361" s="52"/>
      <c r="J361" s="52" t="str">
        <f t="shared" si="18"/>
        <v>ELEM</v>
      </c>
      <c r="K361" s="52"/>
      <c r="L361" s="87"/>
      <c r="M361" s="52" t="e">
        <v>#N/A</v>
      </c>
      <c r="N361" s="52"/>
      <c r="O361" s="52"/>
      <c r="P361" s="52"/>
      <c r="Q361" s="52"/>
      <c r="R361" s="52"/>
      <c r="S361" s="52"/>
      <c r="T361" s="52"/>
      <c r="U361" s="52"/>
      <c r="V361" s="52"/>
      <c r="W361" s="53"/>
      <c r="X361" s="23"/>
      <c r="Y361" s="52"/>
      <c r="Z361" s="52"/>
      <c r="AA361" s="52"/>
      <c r="AB361" s="52"/>
      <c r="AC361" s="52"/>
      <c r="AD361" s="52"/>
      <c r="AE361" s="52"/>
    </row>
    <row r="362" spans="2:31" x14ac:dyDescent="0.25">
      <c r="B362" s="52"/>
      <c r="C362" s="52"/>
      <c r="D362" s="52"/>
      <c r="E362" s="52" t="str">
        <f t="shared" si="16"/>
        <v>PROG</v>
      </c>
      <c r="F362" s="52"/>
      <c r="G362" s="52" t="str">
        <f t="shared" si="17"/>
        <v>P</v>
      </c>
      <c r="H362" s="52"/>
      <c r="I362" s="52"/>
      <c r="J362" s="52" t="str">
        <f t="shared" si="18"/>
        <v>ELEM</v>
      </c>
      <c r="K362" s="52"/>
      <c r="L362" s="87"/>
      <c r="M362" s="52" t="e">
        <v>#N/A</v>
      </c>
      <c r="N362" s="52"/>
      <c r="O362" s="52"/>
      <c r="P362" s="52"/>
      <c r="Q362" s="52"/>
      <c r="R362" s="52"/>
      <c r="S362" s="52"/>
      <c r="T362" s="52"/>
      <c r="U362" s="52"/>
      <c r="V362" s="52"/>
      <c r="W362" s="53"/>
      <c r="X362" s="23"/>
      <c r="Y362" s="52"/>
      <c r="Z362" s="52"/>
      <c r="AA362" s="52"/>
      <c r="AB362" s="52"/>
      <c r="AC362" s="52"/>
      <c r="AD362" s="52"/>
      <c r="AE362" s="52"/>
    </row>
    <row r="363" spans="2:31" x14ac:dyDescent="0.25">
      <c r="B363" s="52"/>
      <c r="C363" s="52"/>
      <c r="D363" s="52"/>
      <c r="E363" s="52" t="str">
        <f t="shared" si="16"/>
        <v>PROG</v>
      </c>
      <c r="F363" s="52"/>
      <c r="G363" s="52" t="str">
        <f t="shared" si="17"/>
        <v>P</v>
      </c>
      <c r="H363" s="52"/>
      <c r="I363" s="52"/>
      <c r="J363" s="52" t="str">
        <f t="shared" si="18"/>
        <v>ELEM</v>
      </c>
      <c r="K363" s="52"/>
      <c r="L363" s="87"/>
      <c r="M363" s="52" t="e">
        <v>#N/A</v>
      </c>
      <c r="N363" s="52"/>
      <c r="O363" s="52"/>
      <c r="P363" s="52"/>
      <c r="Q363" s="52"/>
      <c r="R363" s="52"/>
      <c r="S363" s="52"/>
      <c r="T363" s="52"/>
      <c r="U363" s="52"/>
      <c r="V363" s="52"/>
      <c r="W363" s="53"/>
      <c r="X363" s="23"/>
      <c r="Y363" s="52"/>
      <c r="Z363" s="52"/>
      <c r="AA363" s="52"/>
      <c r="AB363" s="52"/>
      <c r="AC363" s="52"/>
      <c r="AD363" s="52"/>
      <c r="AE363" s="52"/>
    </row>
    <row r="364" spans="2:31" x14ac:dyDescent="0.25">
      <c r="B364" s="52"/>
      <c r="C364" s="52"/>
      <c r="D364" s="52"/>
      <c r="E364" s="52" t="str">
        <f t="shared" si="16"/>
        <v>PROG</v>
      </c>
      <c r="F364" s="52"/>
      <c r="G364" s="52" t="str">
        <f t="shared" si="17"/>
        <v>P</v>
      </c>
      <c r="H364" s="52"/>
      <c r="I364" s="52"/>
      <c r="J364" s="52" t="str">
        <f t="shared" si="18"/>
        <v>ELEM</v>
      </c>
      <c r="K364" s="52"/>
      <c r="L364" s="87"/>
      <c r="M364" s="52" t="e">
        <v>#N/A</v>
      </c>
      <c r="N364" s="52"/>
      <c r="O364" s="52"/>
      <c r="P364" s="52"/>
      <c r="Q364" s="52"/>
      <c r="R364" s="52"/>
      <c r="S364" s="52"/>
      <c r="T364" s="52"/>
      <c r="U364" s="52"/>
      <c r="V364" s="52"/>
      <c r="W364" s="53"/>
      <c r="X364" s="23"/>
      <c r="Y364" s="52"/>
      <c r="Z364" s="52"/>
      <c r="AA364" s="52"/>
      <c r="AB364" s="52"/>
      <c r="AC364" s="52"/>
      <c r="AD364" s="52"/>
      <c r="AE364" s="52"/>
    </row>
    <row r="365" spans="2:31" x14ac:dyDescent="0.25">
      <c r="B365" s="52"/>
      <c r="C365" s="52"/>
      <c r="D365" s="52"/>
      <c r="E365" s="52" t="str">
        <f t="shared" si="16"/>
        <v>PROG</v>
      </c>
      <c r="F365" s="52"/>
      <c r="G365" s="52" t="str">
        <f t="shared" si="17"/>
        <v>P</v>
      </c>
      <c r="H365" s="52"/>
      <c r="I365" s="52"/>
      <c r="J365" s="52" t="str">
        <f t="shared" si="18"/>
        <v>ELEM</v>
      </c>
      <c r="K365" s="52"/>
      <c r="L365" s="87"/>
      <c r="M365" s="52" t="e">
        <v>#N/A</v>
      </c>
      <c r="N365" s="52"/>
      <c r="O365" s="52"/>
      <c r="P365" s="52"/>
      <c r="Q365" s="52"/>
      <c r="R365" s="52"/>
      <c r="S365" s="52"/>
      <c r="T365" s="52"/>
      <c r="U365" s="52"/>
      <c r="V365" s="52"/>
      <c r="W365" s="53"/>
      <c r="X365" s="23"/>
      <c r="Y365" s="52"/>
      <c r="Z365" s="52"/>
      <c r="AA365" s="52"/>
      <c r="AB365" s="52"/>
      <c r="AC365" s="52"/>
      <c r="AD365" s="52"/>
      <c r="AE365" s="52"/>
    </row>
    <row r="366" spans="2:31" x14ac:dyDescent="0.25">
      <c r="B366" s="52"/>
      <c r="C366" s="52"/>
      <c r="D366" s="52"/>
      <c r="E366" s="52" t="str">
        <f t="shared" si="16"/>
        <v>PROG</v>
      </c>
      <c r="F366" s="52"/>
      <c r="G366" s="52" t="str">
        <f t="shared" si="17"/>
        <v>P</v>
      </c>
      <c r="H366" s="52"/>
      <c r="I366" s="52"/>
      <c r="J366" s="52" t="str">
        <f t="shared" si="18"/>
        <v>ELEM</v>
      </c>
      <c r="K366" s="52"/>
      <c r="L366" s="87"/>
      <c r="M366" s="52" t="e">
        <v>#N/A</v>
      </c>
      <c r="N366" s="52"/>
      <c r="O366" s="52"/>
      <c r="P366" s="52"/>
      <c r="Q366" s="52"/>
      <c r="R366" s="52"/>
      <c r="S366" s="52"/>
      <c r="T366" s="52"/>
      <c r="U366" s="52"/>
      <c r="V366" s="52"/>
      <c r="W366" s="53"/>
      <c r="X366" s="23"/>
      <c r="Y366" s="52"/>
      <c r="Z366" s="52"/>
      <c r="AA366" s="52"/>
      <c r="AB366" s="52"/>
      <c r="AC366" s="52"/>
      <c r="AD366" s="52"/>
      <c r="AE366" s="52"/>
    </row>
    <row r="367" spans="2:31" x14ac:dyDescent="0.25">
      <c r="B367" s="52"/>
      <c r="C367" s="52"/>
      <c r="D367" s="52"/>
      <c r="E367" s="52" t="str">
        <f t="shared" si="16"/>
        <v>PROG</v>
      </c>
      <c r="F367" s="52"/>
      <c r="G367" s="52" t="str">
        <f t="shared" si="17"/>
        <v>P</v>
      </c>
      <c r="H367" s="52"/>
      <c r="I367" s="52"/>
      <c r="J367" s="52" t="str">
        <f t="shared" si="18"/>
        <v>ELEM</v>
      </c>
      <c r="K367" s="52"/>
      <c r="L367" s="87"/>
      <c r="M367" s="52" t="e">
        <v>#N/A</v>
      </c>
      <c r="N367" s="52"/>
      <c r="O367" s="52"/>
      <c r="P367" s="52"/>
      <c r="Q367" s="52"/>
      <c r="R367" s="52"/>
      <c r="S367" s="52"/>
      <c r="T367" s="52"/>
      <c r="U367" s="52"/>
      <c r="V367" s="52"/>
      <c r="W367" s="53"/>
      <c r="X367" s="23"/>
      <c r="Y367" s="52"/>
      <c r="Z367" s="52"/>
      <c r="AA367" s="52"/>
      <c r="AB367" s="52"/>
      <c r="AC367" s="52"/>
      <c r="AD367" s="52"/>
      <c r="AE367" s="52"/>
    </row>
    <row r="368" spans="2:31" x14ac:dyDescent="0.25">
      <c r="B368" s="52"/>
      <c r="C368" s="52"/>
      <c r="D368" s="52"/>
      <c r="E368" s="52" t="str">
        <f t="shared" si="16"/>
        <v>PROG</v>
      </c>
      <c r="F368" s="52"/>
      <c r="G368" s="52" t="str">
        <f t="shared" si="17"/>
        <v>P</v>
      </c>
      <c r="H368" s="52"/>
      <c r="I368" s="52"/>
      <c r="J368" s="52" t="str">
        <f t="shared" si="18"/>
        <v>ELEM</v>
      </c>
      <c r="K368" s="52"/>
      <c r="L368" s="87"/>
      <c r="M368" s="52" t="e">
        <v>#N/A</v>
      </c>
      <c r="N368" s="52"/>
      <c r="O368" s="52"/>
      <c r="P368" s="52"/>
      <c r="Q368" s="52"/>
      <c r="R368" s="52"/>
      <c r="S368" s="52"/>
      <c r="T368" s="52"/>
      <c r="U368" s="52"/>
      <c r="V368" s="52"/>
      <c r="W368" s="53"/>
      <c r="X368" s="23"/>
      <c r="Y368" s="52"/>
      <c r="Z368" s="52"/>
      <c r="AA368" s="52"/>
      <c r="AB368" s="52"/>
      <c r="AC368" s="52"/>
      <c r="AD368" s="52"/>
      <c r="AE368" s="52"/>
    </row>
    <row r="369" spans="2:31" x14ac:dyDescent="0.25">
      <c r="B369" s="52"/>
      <c r="C369" s="52"/>
      <c r="D369" s="52"/>
      <c r="E369" s="52" t="str">
        <f t="shared" si="16"/>
        <v>PROG</v>
      </c>
      <c r="F369" s="52"/>
      <c r="G369" s="52" t="str">
        <f t="shared" si="17"/>
        <v>P</v>
      </c>
      <c r="H369" s="52"/>
      <c r="I369" s="52"/>
      <c r="J369" s="52" t="str">
        <f t="shared" si="18"/>
        <v>ELEM</v>
      </c>
      <c r="K369" s="52"/>
      <c r="L369" s="87"/>
      <c r="M369" s="52" t="e">
        <v>#N/A</v>
      </c>
      <c r="N369" s="52"/>
      <c r="O369" s="52"/>
      <c r="P369" s="52"/>
      <c r="Q369" s="52"/>
      <c r="R369" s="52"/>
      <c r="S369" s="52"/>
      <c r="T369" s="52"/>
      <c r="U369" s="52"/>
      <c r="V369" s="52"/>
      <c r="W369" s="53"/>
      <c r="X369" s="23"/>
      <c r="Y369" s="52"/>
      <c r="Z369" s="52"/>
      <c r="AA369" s="52"/>
      <c r="AB369" s="52"/>
      <c r="AC369" s="52"/>
      <c r="AD369" s="52"/>
      <c r="AE369" s="52"/>
    </row>
    <row r="370" spans="2:31" x14ac:dyDescent="0.25">
      <c r="B370" s="52"/>
      <c r="C370" s="52"/>
      <c r="D370" s="52"/>
      <c r="E370" s="52" t="str">
        <f t="shared" si="16"/>
        <v>PROG</v>
      </c>
      <c r="F370" s="52"/>
      <c r="G370" s="52" t="str">
        <f t="shared" si="17"/>
        <v>P</v>
      </c>
      <c r="H370" s="52"/>
      <c r="I370" s="52"/>
      <c r="J370" s="52" t="str">
        <f t="shared" si="18"/>
        <v>ELEM</v>
      </c>
      <c r="K370" s="52"/>
      <c r="L370" s="87"/>
      <c r="M370" s="52" t="e">
        <v>#N/A</v>
      </c>
      <c r="N370" s="52"/>
      <c r="O370" s="52"/>
      <c r="P370" s="52"/>
      <c r="Q370" s="52"/>
      <c r="R370" s="52"/>
      <c r="S370" s="52"/>
      <c r="T370" s="52"/>
      <c r="U370" s="52"/>
      <c r="V370" s="52"/>
      <c r="W370" s="53"/>
      <c r="X370" s="23"/>
      <c r="Y370" s="52"/>
      <c r="Z370" s="52"/>
      <c r="AA370" s="52"/>
      <c r="AB370" s="52"/>
      <c r="AC370" s="52"/>
      <c r="AD370" s="52"/>
      <c r="AE370" s="52"/>
    </row>
    <row r="371" spans="2:31" x14ac:dyDescent="0.25">
      <c r="B371" s="52"/>
      <c r="C371" s="52"/>
      <c r="D371" s="52"/>
      <c r="E371" s="52" t="str">
        <f t="shared" si="16"/>
        <v>PROG</v>
      </c>
      <c r="F371" s="52"/>
      <c r="G371" s="52" t="str">
        <f t="shared" si="17"/>
        <v>P</v>
      </c>
      <c r="H371" s="52"/>
      <c r="I371" s="52"/>
      <c r="J371" s="52" t="str">
        <f t="shared" si="18"/>
        <v>ELEM</v>
      </c>
      <c r="K371" s="52"/>
      <c r="L371" s="87"/>
      <c r="M371" s="52" t="e">
        <v>#N/A</v>
      </c>
      <c r="N371" s="52"/>
      <c r="O371" s="52"/>
      <c r="P371" s="52"/>
      <c r="Q371" s="52"/>
      <c r="R371" s="52"/>
      <c r="S371" s="52"/>
      <c r="T371" s="52"/>
      <c r="U371" s="52"/>
      <c r="V371" s="52"/>
      <c r="W371" s="53"/>
      <c r="X371" s="23"/>
      <c r="Y371" s="52"/>
      <c r="Z371" s="52"/>
      <c r="AA371" s="52"/>
      <c r="AB371" s="52"/>
      <c r="AC371" s="52"/>
      <c r="AD371" s="52"/>
      <c r="AE371" s="52"/>
    </row>
    <row r="372" spans="2:31" x14ac:dyDescent="0.25">
      <c r="B372" s="52"/>
      <c r="C372" s="52"/>
      <c r="D372" s="52"/>
      <c r="E372" s="52" t="str">
        <f t="shared" si="16"/>
        <v>PROG</v>
      </c>
      <c r="F372" s="52"/>
      <c r="G372" s="52" t="str">
        <f t="shared" si="17"/>
        <v>P</v>
      </c>
      <c r="H372" s="52"/>
      <c r="I372" s="52"/>
      <c r="J372" s="52" t="str">
        <f t="shared" si="18"/>
        <v>ELEM</v>
      </c>
      <c r="K372" s="52"/>
      <c r="L372" s="87"/>
      <c r="M372" s="52" t="e">
        <v>#N/A</v>
      </c>
      <c r="N372" s="52"/>
      <c r="O372" s="52"/>
      <c r="P372" s="52"/>
      <c r="Q372" s="52"/>
      <c r="R372" s="52"/>
      <c r="S372" s="52"/>
      <c r="T372" s="52"/>
      <c r="U372" s="52"/>
      <c r="V372" s="52"/>
      <c r="W372" s="53"/>
      <c r="X372" s="23"/>
      <c r="Y372" s="52"/>
      <c r="Z372" s="52"/>
      <c r="AA372" s="52"/>
      <c r="AB372" s="52"/>
      <c r="AC372" s="52"/>
      <c r="AD372" s="52"/>
      <c r="AE372" s="52"/>
    </row>
    <row r="373" spans="2:31" x14ac:dyDescent="0.25">
      <c r="B373" s="52"/>
      <c r="C373" s="52"/>
      <c r="D373" s="52"/>
      <c r="E373" s="52" t="str">
        <f t="shared" si="16"/>
        <v>PROG</v>
      </c>
      <c r="F373" s="52"/>
      <c r="G373" s="52" t="str">
        <f t="shared" si="17"/>
        <v>P</v>
      </c>
      <c r="H373" s="52"/>
      <c r="I373" s="52"/>
      <c r="J373" s="52" t="str">
        <f t="shared" si="18"/>
        <v>ELEM</v>
      </c>
      <c r="K373" s="52"/>
      <c r="L373" s="87"/>
      <c r="M373" s="52" t="e">
        <v>#N/A</v>
      </c>
      <c r="N373" s="52"/>
      <c r="O373" s="52"/>
      <c r="P373" s="52"/>
      <c r="Q373" s="52"/>
      <c r="R373" s="52"/>
      <c r="S373" s="52"/>
      <c r="T373" s="52"/>
      <c r="U373" s="52"/>
      <c r="V373" s="52"/>
      <c r="W373" s="53"/>
      <c r="X373" s="23"/>
      <c r="Y373" s="52"/>
      <c r="Z373" s="52"/>
      <c r="AA373" s="52"/>
      <c r="AB373" s="52"/>
      <c r="AC373" s="52"/>
      <c r="AD373" s="52"/>
      <c r="AE373" s="52"/>
    </row>
    <row r="374" spans="2:31" x14ac:dyDescent="0.25">
      <c r="B374" s="52"/>
      <c r="C374" s="52"/>
      <c r="D374" s="52"/>
      <c r="E374" s="52" t="str">
        <f t="shared" si="16"/>
        <v>PROG</v>
      </c>
      <c r="F374" s="52"/>
      <c r="G374" s="52" t="str">
        <f t="shared" si="17"/>
        <v>P</v>
      </c>
      <c r="H374" s="52"/>
      <c r="I374" s="52"/>
      <c r="J374" s="52" t="str">
        <f t="shared" si="18"/>
        <v>ELEM</v>
      </c>
      <c r="K374" s="52"/>
      <c r="L374" s="87"/>
      <c r="M374" s="52" t="e">
        <v>#N/A</v>
      </c>
      <c r="N374" s="52"/>
      <c r="O374" s="52"/>
      <c r="P374" s="52"/>
      <c r="Q374" s="52"/>
      <c r="R374" s="52"/>
      <c r="S374" s="52"/>
      <c r="T374" s="52"/>
      <c r="U374" s="52"/>
      <c r="V374" s="52"/>
      <c r="W374" s="53"/>
      <c r="X374" s="23"/>
      <c r="Y374" s="52"/>
      <c r="Z374" s="52"/>
      <c r="AA374" s="52"/>
      <c r="AB374" s="52"/>
      <c r="AC374" s="52"/>
      <c r="AD374" s="52"/>
      <c r="AE374" s="52"/>
    </row>
    <row r="375" spans="2:31" x14ac:dyDescent="0.25">
      <c r="B375" s="52"/>
      <c r="C375" s="52"/>
      <c r="D375" s="52"/>
      <c r="E375" s="52" t="str">
        <f t="shared" si="16"/>
        <v>PROG</v>
      </c>
      <c r="F375" s="52"/>
      <c r="G375" s="52" t="str">
        <f t="shared" si="17"/>
        <v>P</v>
      </c>
      <c r="H375" s="52"/>
      <c r="I375" s="52"/>
      <c r="J375" s="52" t="str">
        <f t="shared" si="18"/>
        <v>ELEM</v>
      </c>
      <c r="K375" s="52"/>
      <c r="L375" s="87"/>
      <c r="M375" s="52" t="e">
        <v>#N/A</v>
      </c>
      <c r="N375" s="52"/>
      <c r="O375" s="52"/>
      <c r="P375" s="52"/>
      <c r="Q375" s="52"/>
      <c r="R375" s="52"/>
      <c r="S375" s="52"/>
      <c r="T375" s="52"/>
      <c r="U375" s="52"/>
      <c r="V375" s="52"/>
      <c r="W375" s="53"/>
      <c r="X375" s="23"/>
      <c r="Y375" s="52"/>
      <c r="Z375" s="52"/>
      <c r="AA375" s="52"/>
      <c r="AB375" s="52"/>
      <c r="AC375" s="52"/>
      <c r="AD375" s="52"/>
      <c r="AE375" s="52"/>
    </row>
    <row r="376" spans="2:31" x14ac:dyDescent="0.25">
      <c r="B376" s="52"/>
      <c r="C376" s="52"/>
      <c r="D376" s="52"/>
      <c r="E376" s="52" t="str">
        <f t="shared" si="16"/>
        <v>PROG</v>
      </c>
      <c r="F376" s="52"/>
      <c r="G376" s="52" t="str">
        <f t="shared" si="17"/>
        <v>P</v>
      </c>
      <c r="H376" s="52"/>
      <c r="I376" s="52"/>
      <c r="J376" s="52" t="str">
        <f t="shared" si="18"/>
        <v>ELEM</v>
      </c>
      <c r="K376" s="52"/>
      <c r="L376" s="87"/>
      <c r="M376" s="52" t="e">
        <v>#N/A</v>
      </c>
      <c r="N376" s="52"/>
      <c r="O376" s="52"/>
      <c r="P376" s="52"/>
      <c r="Q376" s="52"/>
      <c r="R376" s="52"/>
      <c r="S376" s="52"/>
      <c r="T376" s="52"/>
      <c r="U376" s="52"/>
      <c r="V376" s="52"/>
      <c r="W376" s="53"/>
      <c r="X376" s="23"/>
      <c r="Y376" s="52"/>
      <c r="Z376" s="52"/>
      <c r="AA376" s="52"/>
      <c r="AB376" s="52"/>
      <c r="AC376" s="52"/>
      <c r="AD376" s="52"/>
      <c r="AE376" s="52"/>
    </row>
    <row r="377" spans="2:31" x14ac:dyDescent="0.25">
      <c r="B377" s="52"/>
      <c r="C377" s="52"/>
      <c r="D377" s="52"/>
      <c r="E377" s="52" t="str">
        <f t="shared" si="16"/>
        <v>PROG</v>
      </c>
      <c r="F377" s="52"/>
      <c r="G377" s="52" t="str">
        <f t="shared" si="17"/>
        <v>P</v>
      </c>
      <c r="H377" s="52"/>
      <c r="I377" s="52"/>
      <c r="J377" s="52" t="str">
        <f t="shared" si="18"/>
        <v>ELEM</v>
      </c>
      <c r="K377" s="52"/>
      <c r="L377" s="87"/>
      <c r="M377" s="52" t="e">
        <v>#N/A</v>
      </c>
      <c r="N377" s="52"/>
      <c r="O377" s="52"/>
      <c r="P377" s="52"/>
      <c r="Q377" s="52"/>
      <c r="R377" s="52"/>
      <c r="S377" s="52"/>
      <c r="T377" s="52"/>
      <c r="U377" s="52"/>
      <c r="V377" s="52"/>
      <c r="W377" s="53"/>
      <c r="X377" s="23"/>
      <c r="Y377" s="52"/>
      <c r="Z377" s="52"/>
      <c r="AA377" s="52"/>
      <c r="AB377" s="52"/>
      <c r="AC377" s="52"/>
      <c r="AD377" s="52"/>
      <c r="AE377" s="52"/>
    </row>
    <row r="378" spans="2:31" x14ac:dyDescent="0.25">
      <c r="B378" s="52"/>
      <c r="C378" s="52"/>
      <c r="D378" s="52"/>
      <c r="E378" s="52" t="str">
        <f t="shared" si="16"/>
        <v>PROG</v>
      </c>
      <c r="F378" s="52"/>
      <c r="G378" s="52" t="str">
        <f t="shared" si="17"/>
        <v>P</v>
      </c>
      <c r="H378" s="52"/>
      <c r="I378" s="52"/>
      <c r="J378" s="52" t="str">
        <f t="shared" si="18"/>
        <v>ELEM</v>
      </c>
      <c r="K378" s="52"/>
      <c r="L378" s="87"/>
      <c r="M378" s="52" t="e">
        <v>#N/A</v>
      </c>
      <c r="N378" s="52"/>
      <c r="O378" s="52"/>
      <c r="P378" s="52"/>
      <c r="Q378" s="52"/>
      <c r="R378" s="52"/>
      <c r="S378" s="52"/>
      <c r="T378" s="52"/>
      <c r="U378" s="52"/>
      <c r="V378" s="52"/>
      <c r="W378" s="53"/>
      <c r="X378" s="23"/>
      <c r="Y378" s="52"/>
      <c r="Z378" s="52"/>
      <c r="AA378" s="52"/>
      <c r="AB378" s="52"/>
      <c r="AC378" s="52"/>
      <c r="AD378" s="52"/>
      <c r="AE378" s="52"/>
    </row>
    <row r="379" spans="2:31" x14ac:dyDescent="0.25">
      <c r="B379" s="52"/>
      <c r="C379" s="52"/>
      <c r="D379" s="52"/>
      <c r="E379" s="52" t="str">
        <f t="shared" si="16"/>
        <v>PROG</v>
      </c>
      <c r="F379" s="52"/>
      <c r="G379" s="52" t="str">
        <f t="shared" si="17"/>
        <v>P</v>
      </c>
      <c r="H379" s="52"/>
      <c r="I379" s="52"/>
      <c r="J379" s="52" t="str">
        <f t="shared" si="18"/>
        <v>ELEM</v>
      </c>
      <c r="K379" s="52"/>
      <c r="L379" s="87"/>
      <c r="M379" s="52" t="e">
        <v>#N/A</v>
      </c>
      <c r="N379" s="52"/>
      <c r="O379" s="52"/>
      <c r="P379" s="52"/>
      <c r="Q379" s="52"/>
      <c r="R379" s="52"/>
      <c r="S379" s="52"/>
      <c r="T379" s="52"/>
      <c r="U379" s="52"/>
      <c r="V379" s="52"/>
      <c r="W379" s="53"/>
      <c r="X379" s="23"/>
      <c r="Y379" s="52"/>
      <c r="Z379" s="52"/>
      <c r="AA379" s="52"/>
      <c r="AB379" s="52"/>
      <c r="AC379" s="52"/>
      <c r="AD379" s="52"/>
      <c r="AE379" s="52"/>
    </row>
    <row r="380" spans="2:31" x14ac:dyDescent="0.25">
      <c r="B380" s="52"/>
      <c r="C380" s="52"/>
      <c r="D380" s="52"/>
      <c r="E380" s="52" t="str">
        <f t="shared" si="16"/>
        <v>PROG</v>
      </c>
      <c r="F380" s="52"/>
      <c r="G380" s="52" t="str">
        <f t="shared" si="17"/>
        <v>P</v>
      </c>
      <c r="H380" s="52"/>
      <c r="I380" s="52"/>
      <c r="J380" s="52" t="str">
        <f t="shared" si="18"/>
        <v>ELEM</v>
      </c>
      <c r="K380" s="52"/>
      <c r="L380" s="87"/>
      <c r="M380" s="52" t="e">
        <v>#N/A</v>
      </c>
      <c r="N380" s="52"/>
      <c r="O380" s="52"/>
      <c r="P380" s="52"/>
      <c r="Q380" s="52"/>
      <c r="R380" s="52"/>
      <c r="S380" s="52"/>
      <c r="T380" s="52"/>
      <c r="U380" s="52"/>
      <c r="V380" s="52"/>
      <c r="W380" s="53"/>
      <c r="X380" s="23"/>
      <c r="Y380" s="52"/>
      <c r="Z380" s="52"/>
      <c r="AA380" s="52"/>
      <c r="AB380" s="52"/>
      <c r="AC380" s="52"/>
      <c r="AD380" s="52"/>
      <c r="AE380" s="52"/>
    </row>
    <row r="381" spans="2:31" x14ac:dyDescent="0.25">
      <c r="B381" s="52"/>
      <c r="C381" s="52"/>
      <c r="D381" s="52"/>
      <c r="E381" s="52" t="str">
        <f t="shared" si="16"/>
        <v>PROG</v>
      </c>
      <c r="F381" s="52"/>
      <c r="G381" s="52" t="str">
        <f t="shared" si="17"/>
        <v>P</v>
      </c>
      <c r="H381" s="52"/>
      <c r="I381" s="52"/>
      <c r="J381" s="52" t="str">
        <f t="shared" si="18"/>
        <v>ELEM</v>
      </c>
      <c r="K381" s="52"/>
      <c r="L381" s="87"/>
      <c r="M381" s="52" t="e">
        <v>#N/A</v>
      </c>
      <c r="N381" s="52"/>
      <c r="O381" s="52"/>
      <c r="P381" s="52"/>
      <c r="Q381" s="52"/>
      <c r="R381" s="52"/>
      <c r="S381" s="52"/>
      <c r="T381" s="52"/>
      <c r="U381" s="52"/>
      <c r="V381" s="52"/>
      <c r="W381" s="53"/>
      <c r="X381" s="23"/>
      <c r="Y381" s="52"/>
      <c r="Z381" s="52"/>
      <c r="AA381" s="52"/>
      <c r="AB381" s="52"/>
      <c r="AC381" s="52"/>
      <c r="AD381" s="52"/>
      <c r="AE381" s="52"/>
    </row>
    <row r="382" spans="2:31" x14ac:dyDescent="0.25">
      <c r="B382" s="52"/>
      <c r="C382" s="52"/>
      <c r="D382" s="52"/>
      <c r="E382" s="52" t="str">
        <f t="shared" si="16"/>
        <v>PROG</v>
      </c>
      <c r="F382" s="52"/>
      <c r="G382" s="52" t="str">
        <f t="shared" si="17"/>
        <v>P</v>
      </c>
      <c r="H382" s="52"/>
      <c r="I382" s="52"/>
      <c r="J382" s="52" t="str">
        <f t="shared" si="18"/>
        <v>ELEM</v>
      </c>
      <c r="K382" s="52"/>
      <c r="L382" s="87"/>
      <c r="M382" s="52" t="e">
        <v>#N/A</v>
      </c>
      <c r="N382" s="52"/>
      <c r="O382" s="52"/>
      <c r="P382" s="52"/>
      <c r="Q382" s="52"/>
      <c r="R382" s="52"/>
      <c r="S382" s="52"/>
      <c r="T382" s="52"/>
      <c r="U382" s="52"/>
      <c r="V382" s="52"/>
      <c r="W382" s="53"/>
      <c r="X382" s="23"/>
      <c r="Y382" s="52"/>
      <c r="Z382" s="52"/>
      <c r="AA382" s="52"/>
      <c r="AB382" s="52"/>
      <c r="AC382" s="52"/>
      <c r="AD382" s="52"/>
      <c r="AE382" s="52"/>
    </row>
    <row r="383" spans="2:31" x14ac:dyDescent="0.25">
      <c r="B383" s="52"/>
      <c r="C383" s="52"/>
      <c r="D383" s="52"/>
      <c r="E383" s="52" t="str">
        <f t="shared" si="16"/>
        <v>PROG</v>
      </c>
      <c r="F383" s="52"/>
      <c r="G383" s="52" t="str">
        <f t="shared" si="17"/>
        <v>P</v>
      </c>
      <c r="H383" s="52"/>
      <c r="I383" s="52"/>
      <c r="J383" s="52" t="str">
        <f t="shared" si="18"/>
        <v>ELEM</v>
      </c>
      <c r="K383" s="52"/>
      <c r="L383" s="87"/>
      <c r="M383" s="52" t="e">
        <v>#N/A</v>
      </c>
      <c r="N383" s="52"/>
      <c r="O383" s="52"/>
      <c r="P383" s="52"/>
      <c r="Q383" s="52"/>
      <c r="R383" s="52"/>
      <c r="S383" s="52"/>
      <c r="T383" s="52"/>
      <c r="U383" s="52"/>
      <c r="V383" s="52"/>
      <c r="W383" s="53"/>
      <c r="X383" s="23"/>
      <c r="Y383" s="52"/>
      <c r="Z383" s="52"/>
      <c r="AA383" s="52"/>
      <c r="AB383" s="52"/>
      <c r="AC383" s="52"/>
      <c r="AD383" s="52"/>
      <c r="AE383" s="52"/>
    </row>
    <row r="384" spans="2:31" x14ac:dyDescent="0.25">
      <c r="B384" s="52"/>
      <c r="C384" s="52"/>
      <c r="D384" s="52"/>
      <c r="E384" s="52" t="str">
        <f t="shared" si="16"/>
        <v>PROG</v>
      </c>
      <c r="F384" s="52"/>
      <c r="G384" s="52" t="str">
        <f t="shared" si="17"/>
        <v>P</v>
      </c>
      <c r="H384" s="52"/>
      <c r="I384" s="52"/>
      <c r="J384" s="52" t="str">
        <f t="shared" si="18"/>
        <v>ELEM</v>
      </c>
      <c r="K384" s="52"/>
      <c r="L384" s="87"/>
      <c r="M384" s="52" t="e">
        <v>#N/A</v>
      </c>
      <c r="N384" s="52"/>
      <c r="O384" s="52"/>
      <c r="P384" s="52"/>
      <c r="Q384" s="52"/>
      <c r="R384" s="52"/>
      <c r="S384" s="52"/>
      <c r="T384" s="52"/>
      <c r="U384" s="52"/>
      <c r="V384" s="52"/>
      <c r="W384" s="53"/>
      <c r="X384" s="23"/>
      <c r="Y384" s="52"/>
      <c r="Z384" s="52"/>
      <c r="AA384" s="52"/>
      <c r="AB384" s="52"/>
      <c r="AC384" s="52"/>
      <c r="AD384" s="52"/>
      <c r="AE384" s="52"/>
    </row>
    <row r="385" spans="2:31" x14ac:dyDescent="0.25">
      <c r="B385" s="52"/>
      <c r="C385" s="52"/>
      <c r="D385" s="52"/>
      <c r="E385" s="52" t="str">
        <f t="shared" si="16"/>
        <v>PROG</v>
      </c>
      <c r="F385" s="52"/>
      <c r="G385" s="52" t="str">
        <f t="shared" si="17"/>
        <v>P</v>
      </c>
      <c r="H385" s="52"/>
      <c r="I385" s="52"/>
      <c r="J385" s="52" t="str">
        <f t="shared" si="18"/>
        <v>ELEM</v>
      </c>
      <c r="K385" s="52"/>
      <c r="L385" s="87"/>
      <c r="M385" s="52" t="e">
        <v>#N/A</v>
      </c>
      <c r="N385" s="52"/>
      <c r="O385" s="52"/>
      <c r="P385" s="52"/>
      <c r="Q385" s="52"/>
      <c r="R385" s="52"/>
      <c r="S385" s="52"/>
      <c r="T385" s="52"/>
      <c r="U385" s="52"/>
      <c r="V385" s="52"/>
      <c r="W385" s="53"/>
      <c r="X385" s="23"/>
      <c r="Y385" s="52"/>
      <c r="Z385" s="52"/>
      <c r="AA385" s="52"/>
      <c r="AB385" s="52"/>
      <c r="AC385" s="52"/>
      <c r="AD385" s="52"/>
      <c r="AE385" s="52"/>
    </row>
    <row r="386" spans="2:31" x14ac:dyDescent="0.25">
      <c r="B386" s="52"/>
      <c r="C386" s="52"/>
      <c r="D386" s="52"/>
      <c r="E386" s="52" t="str">
        <f t="shared" si="16"/>
        <v>PROG</v>
      </c>
      <c r="F386" s="52"/>
      <c r="G386" s="52" t="str">
        <f t="shared" si="17"/>
        <v>P</v>
      </c>
      <c r="H386" s="52"/>
      <c r="I386" s="52"/>
      <c r="J386" s="52" t="str">
        <f t="shared" si="18"/>
        <v>ELEM</v>
      </c>
      <c r="K386" s="52"/>
      <c r="L386" s="87"/>
      <c r="M386" s="52" t="e">
        <v>#N/A</v>
      </c>
      <c r="N386" s="52"/>
      <c r="O386" s="52"/>
      <c r="P386" s="52"/>
      <c r="Q386" s="52"/>
      <c r="R386" s="52"/>
      <c r="S386" s="52"/>
      <c r="T386" s="52"/>
      <c r="U386" s="52"/>
      <c r="V386" s="52"/>
      <c r="W386" s="53"/>
      <c r="X386" s="23"/>
      <c r="Y386" s="52"/>
      <c r="Z386" s="52"/>
      <c r="AA386" s="52"/>
      <c r="AB386" s="52"/>
      <c r="AC386" s="52"/>
      <c r="AD386" s="52"/>
      <c r="AE386" s="52"/>
    </row>
    <row r="387" spans="2:31" x14ac:dyDescent="0.25">
      <c r="B387" s="52"/>
      <c r="C387" s="52"/>
      <c r="D387" s="52"/>
      <c r="E387" s="52" t="str">
        <f t="shared" ref="E387:E450" si="19">CONCATENATE(A387,"PROG")</f>
        <v>PROG</v>
      </c>
      <c r="F387" s="52"/>
      <c r="G387" s="52" t="str">
        <f t="shared" ref="G387:G450" si="20">CONCATENATE("P",(LEFT(F387,3)),A387)</f>
        <v>P</v>
      </c>
      <c r="H387" s="52"/>
      <c r="I387" s="52"/>
      <c r="J387" s="52" t="str">
        <f t="shared" ref="J387:J450" si="21">CONCATENATE("ELEM",LEFT(I387,2))</f>
        <v>ELEM</v>
      </c>
      <c r="K387" s="52"/>
      <c r="L387" s="87"/>
      <c r="M387" s="52" t="e">
        <v>#N/A</v>
      </c>
      <c r="N387" s="52"/>
      <c r="O387" s="52"/>
      <c r="P387" s="52"/>
      <c r="Q387" s="52"/>
      <c r="R387" s="52"/>
      <c r="S387" s="52"/>
      <c r="T387" s="52"/>
      <c r="U387" s="52"/>
      <c r="V387" s="52"/>
      <c r="W387" s="53"/>
      <c r="X387" s="23"/>
      <c r="Y387" s="52"/>
      <c r="Z387" s="52"/>
      <c r="AA387" s="52"/>
      <c r="AB387" s="52"/>
      <c r="AC387" s="52"/>
      <c r="AD387" s="52"/>
      <c r="AE387" s="52"/>
    </row>
    <row r="388" spans="2:31" x14ac:dyDescent="0.25">
      <c r="B388" s="52"/>
      <c r="C388" s="52"/>
      <c r="D388" s="52"/>
      <c r="E388" s="52" t="str">
        <f t="shared" si="19"/>
        <v>PROG</v>
      </c>
      <c r="F388" s="52"/>
      <c r="G388" s="52" t="str">
        <f t="shared" si="20"/>
        <v>P</v>
      </c>
      <c r="H388" s="52"/>
      <c r="I388" s="52"/>
      <c r="J388" s="52" t="str">
        <f t="shared" si="21"/>
        <v>ELEM</v>
      </c>
      <c r="K388" s="52"/>
      <c r="L388" s="87"/>
      <c r="M388" s="52" t="e">
        <v>#N/A</v>
      </c>
      <c r="N388" s="52"/>
      <c r="O388" s="52"/>
      <c r="P388" s="52"/>
      <c r="Q388" s="52"/>
      <c r="R388" s="52"/>
      <c r="S388" s="52"/>
      <c r="T388" s="52"/>
      <c r="U388" s="52"/>
      <c r="V388" s="52"/>
      <c r="W388" s="53"/>
      <c r="X388" s="23"/>
      <c r="Y388" s="52"/>
      <c r="Z388" s="52"/>
      <c r="AA388" s="52"/>
      <c r="AB388" s="52"/>
      <c r="AC388" s="52"/>
      <c r="AD388" s="52"/>
      <c r="AE388" s="52"/>
    </row>
    <row r="389" spans="2:31" x14ac:dyDescent="0.25">
      <c r="B389" s="52"/>
      <c r="C389" s="52"/>
      <c r="D389" s="52"/>
      <c r="E389" s="52" t="str">
        <f t="shared" si="19"/>
        <v>PROG</v>
      </c>
      <c r="F389" s="52"/>
      <c r="G389" s="52" t="str">
        <f t="shared" si="20"/>
        <v>P</v>
      </c>
      <c r="H389" s="52"/>
      <c r="I389" s="52"/>
      <c r="J389" s="52" t="str">
        <f t="shared" si="21"/>
        <v>ELEM</v>
      </c>
      <c r="K389" s="52"/>
      <c r="L389" s="87"/>
      <c r="M389" s="52" t="e">
        <v>#N/A</v>
      </c>
      <c r="N389" s="52"/>
      <c r="O389" s="52"/>
      <c r="P389" s="52"/>
      <c r="Q389" s="52"/>
      <c r="R389" s="52"/>
      <c r="S389" s="52"/>
      <c r="T389" s="52"/>
      <c r="U389" s="52"/>
      <c r="V389" s="52"/>
      <c r="W389" s="53"/>
      <c r="X389" s="23"/>
      <c r="Y389" s="52"/>
      <c r="Z389" s="52"/>
      <c r="AA389" s="52"/>
      <c r="AB389" s="52"/>
      <c r="AC389" s="52"/>
      <c r="AD389" s="52"/>
      <c r="AE389" s="52"/>
    </row>
    <row r="390" spans="2:31" x14ac:dyDescent="0.25">
      <c r="B390" s="52"/>
      <c r="C390" s="52"/>
      <c r="D390" s="52"/>
      <c r="E390" s="52" t="str">
        <f t="shared" si="19"/>
        <v>PROG</v>
      </c>
      <c r="F390" s="52"/>
      <c r="G390" s="52" t="str">
        <f t="shared" si="20"/>
        <v>P</v>
      </c>
      <c r="H390" s="52"/>
      <c r="I390" s="52"/>
      <c r="J390" s="52" t="str">
        <f t="shared" si="21"/>
        <v>ELEM</v>
      </c>
      <c r="K390" s="52"/>
      <c r="L390" s="87"/>
      <c r="M390" s="52" t="e">
        <v>#N/A</v>
      </c>
      <c r="N390" s="52"/>
      <c r="O390" s="52"/>
      <c r="P390" s="52"/>
      <c r="Q390" s="52"/>
      <c r="R390" s="52"/>
      <c r="S390" s="52"/>
      <c r="T390" s="52"/>
      <c r="U390" s="52"/>
      <c r="V390" s="52"/>
      <c r="W390" s="53"/>
      <c r="X390" s="23"/>
      <c r="Y390" s="52"/>
      <c r="Z390" s="52"/>
      <c r="AA390" s="52"/>
      <c r="AB390" s="52"/>
      <c r="AC390" s="52"/>
      <c r="AD390" s="52"/>
      <c r="AE390" s="52"/>
    </row>
    <row r="391" spans="2:31" x14ac:dyDescent="0.25">
      <c r="B391" s="52"/>
      <c r="C391" s="52"/>
      <c r="D391" s="52"/>
      <c r="E391" s="52" t="str">
        <f t="shared" si="19"/>
        <v>PROG</v>
      </c>
      <c r="F391" s="52"/>
      <c r="G391" s="52" t="str">
        <f t="shared" si="20"/>
        <v>P</v>
      </c>
      <c r="H391" s="52"/>
      <c r="I391" s="52"/>
      <c r="J391" s="52" t="str">
        <f t="shared" si="21"/>
        <v>ELEM</v>
      </c>
      <c r="K391" s="52"/>
      <c r="L391" s="87"/>
      <c r="M391" s="52" t="e">
        <v>#N/A</v>
      </c>
      <c r="N391" s="52"/>
      <c r="O391" s="52"/>
      <c r="P391" s="52"/>
      <c r="Q391" s="52"/>
      <c r="R391" s="52"/>
      <c r="S391" s="52"/>
      <c r="T391" s="52"/>
      <c r="U391" s="52"/>
      <c r="V391" s="52"/>
      <c r="W391" s="53"/>
      <c r="X391" s="23"/>
      <c r="Y391" s="52"/>
      <c r="Z391" s="52"/>
      <c r="AA391" s="52"/>
      <c r="AB391" s="52"/>
      <c r="AC391" s="52"/>
      <c r="AD391" s="52"/>
      <c r="AE391" s="52"/>
    </row>
    <row r="392" spans="2:31" x14ac:dyDescent="0.25">
      <c r="B392" s="52"/>
      <c r="C392" s="52"/>
      <c r="D392" s="52"/>
      <c r="E392" s="52" t="str">
        <f t="shared" si="19"/>
        <v>PROG</v>
      </c>
      <c r="F392" s="52"/>
      <c r="G392" s="52" t="str">
        <f t="shared" si="20"/>
        <v>P</v>
      </c>
      <c r="H392" s="52"/>
      <c r="I392" s="52"/>
      <c r="J392" s="52" t="str">
        <f t="shared" si="21"/>
        <v>ELEM</v>
      </c>
      <c r="K392" s="52"/>
      <c r="L392" s="87"/>
      <c r="M392" s="52" t="e">
        <v>#N/A</v>
      </c>
      <c r="N392" s="52"/>
      <c r="O392" s="52"/>
      <c r="P392" s="52"/>
      <c r="Q392" s="52"/>
      <c r="R392" s="52"/>
      <c r="S392" s="52"/>
      <c r="T392" s="52"/>
      <c r="U392" s="52"/>
      <c r="V392" s="52"/>
      <c r="W392" s="53"/>
      <c r="X392" s="23"/>
      <c r="Y392" s="52"/>
      <c r="Z392" s="52"/>
      <c r="AA392" s="52"/>
      <c r="AB392" s="52"/>
      <c r="AC392" s="52"/>
      <c r="AD392" s="52"/>
      <c r="AE392" s="52"/>
    </row>
    <row r="393" spans="2:31" x14ac:dyDescent="0.25">
      <c r="B393" s="52"/>
      <c r="C393" s="52"/>
      <c r="D393" s="52"/>
      <c r="E393" s="52" t="str">
        <f t="shared" si="19"/>
        <v>PROG</v>
      </c>
      <c r="F393" s="52"/>
      <c r="G393" s="52" t="str">
        <f t="shared" si="20"/>
        <v>P</v>
      </c>
      <c r="H393" s="52"/>
      <c r="I393" s="52"/>
      <c r="J393" s="52" t="str">
        <f t="shared" si="21"/>
        <v>ELEM</v>
      </c>
      <c r="K393" s="52"/>
      <c r="L393" s="87"/>
      <c r="M393" s="52" t="e">
        <v>#N/A</v>
      </c>
      <c r="N393" s="52"/>
      <c r="O393" s="52"/>
      <c r="P393" s="52"/>
      <c r="Q393" s="52"/>
      <c r="R393" s="52"/>
      <c r="S393" s="52"/>
      <c r="T393" s="52"/>
      <c r="U393" s="52"/>
      <c r="V393" s="52"/>
      <c r="W393" s="53"/>
      <c r="X393" s="23"/>
      <c r="Y393" s="52"/>
      <c r="Z393" s="52"/>
      <c r="AA393" s="52"/>
      <c r="AB393" s="52"/>
      <c r="AC393" s="52"/>
      <c r="AD393" s="52"/>
      <c r="AE393" s="52"/>
    </row>
    <row r="394" spans="2:31" x14ac:dyDescent="0.25">
      <c r="B394" s="52"/>
      <c r="C394" s="52"/>
      <c r="D394" s="52"/>
      <c r="E394" s="52" t="str">
        <f t="shared" si="19"/>
        <v>PROG</v>
      </c>
      <c r="F394" s="52"/>
      <c r="G394" s="52" t="str">
        <f t="shared" si="20"/>
        <v>P</v>
      </c>
      <c r="H394" s="52"/>
      <c r="I394" s="52"/>
      <c r="J394" s="52" t="str">
        <f t="shared" si="21"/>
        <v>ELEM</v>
      </c>
      <c r="K394" s="52"/>
      <c r="L394" s="87"/>
      <c r="M394" s="52" t="e">
        <v>#N/A</v>
      </c>
      <c r="N394" s="52"/>
      <c r="O394" s="52"/>
      <c r="P394" s="52"/>
      <c r="Q394" s="52"/>
      <c r="R394" s="52"/>
      <c r="S394" s="52"/>
      <c r="T394" s="52"/>
      <c r="U394" s="52"/>
      <c r="V394" s="52"/>
      <c r="W394" s="53"/>
      <c r="X394" s="23"/>
      <c r="Y394" s="52"/>
      <c r="Z394" s="52"/>
      <c r="AA394" s="52"/>
      <c r="AB394" s="52"/>
      <c r="AC394" s="52"/>
      <c r="AD394" s="52"/>
      <c r="AE394" s="52"/>
    </row>
    <row r="395" spans="2:31" x14ac:dyDescent="0.25">
      <c r="B395" s="52"/>
      <c r="C395" s="52"/>
      <c r="D395" s="52"/>
      <c r="E395" s="52" t="str">
        <f t="shared" si="19"/>
        <v>PROG</v>
      </c>
      <c r="F395" s="52"/>
      <c r="G395" s="52" t="str">
        <f t="shared" si="20"/>
        <v>P</v>
      </c>
      <c r="H395" s="52"/>
      <c r="I395" s="52"/>
      <c r="J395" s="52" t="str">
        <f t="shared" si="21"/>
        <v>ELEM</v>
      </c>
      <c r="K395" s="52"/>
      <c r="L395" s="87"/>
      <c r="M395" s="52" t="e">
        <v>#N/A</v>
      </c>
      <c r="N395" s="52"/>
      <c r="O395" s="52"/>
      <c r="P395" s="52"/>
      <c r="Q395" s="52"/>
      <c r="R395" s="52"/>
      <c r="S395" s="52"/>
      <c r="T395" s="52"/>
      <c r="U395" s="52"/>
      <c r="V395" s="52"/>
      <c r="W395" s="53"/>
      <c r="X395" s="23"/>
      <c r="Y395" s="52"/>
      <c r="Z395" s="52"/>
      <c r="AA395" s="52"/>
      <c r="AB395" s="52"/>
      <c r="AC395" s="52"/>
      <c r="AD395" s="52"/>
      <c r="AE395" s="52"/>
    </row>
    <row r="396" spans="2:31" x14ac:dyDescent="0.25">
      <c r="B396" s="52"/>
      <c r="C396" s="52"/>
      <c r="D396" s="52"/>
      <c r="E396" s="52" t="str">
        <f t="shared" si="19"/>
        <v>PROG</v>
      </c>
      <c r="F396" s="52"/>
      <c r="G396" s="52" t="str">
        <f t="shared" si="20"/>
        <v>P</v>
      </c>
      <c r="H396" s="52"/>
      <c r="I396" s="52"/>
      <c r="J396" s="52" t="str">
        <f t="shared" si="21"/>
        <v>ELEM</v>
      </c>
      <c r="K396" s="52"/>
      <c r="L396" s="87"/>
      <c r="M396" s="52" t="e">
        <v>#N/A</v>
      </c>
      <c r="N396" s="52"/>
      <c r="O396" s="52"/>
      <c r="P396" s="52"/>
      <c r="Q396" s="52"/>
      <c r="R396" s="52"/>
      <c r="S396" s="52"/>
      <c r="T396" s="52"/>
      <c r="U396" s="52"/>
      <c r="V396" s="52"/>
      <c r="W396" s="53"/>
      <c r="X396" s="23"/>
      <c r="Y396" s="52"/>
      <c r="Z396" s="52"/>
      <c r="AA396" s="52"/>
      <c r="AB396" s="52"/>
      <c r="AC396" s="52"/>
      <c r="AD396" s="52"/>
      <c r="AE396" s="52"/>
    </row>
    <row r="397" spans="2:31" x14ac:dyDescent="0.25">
      <c r="B397" s="52"/>
      <c r="C397" s="52"/>
      <c r="D397" s="52"/>
      <c r="E397" s="52" t="str">
        <f t="shared" si="19"/>
        <v>PROG</v>
      </c>
      <c r="F397" s="52"/>
      <c r="G397" s="52" t="str">
        <f t="shared" si="20"/>
        <v>P</v>
      </c>
      <c r="H397" s="52"/>
      <c r="I397" s="52"/>
      <c r="J397" s="52" t="str">
        <f t="shared" si="21"/>
        <v>ELEM</v>
      </c>
      <c r="K397" s="52"/>
      <c r="L397" s="87"/>
      <c r="M397" s="52" t="e">
        <v>#N/A</v>
      </c>
      <c r="N397" s="52"/>
      <c r="O397" s="52"/>
      <c r="P397" s="52"/>
      <c r="Q397" s="52"/>
      <c r="R397" s="52"/>
      <c r="S397" s="52"/>
      <c r="T397" s="52"/>
      <c r="U397" s="52"/>
      <c r="V397" s="52"/>
      <c r="W397" s="53"/>
      <c r="X397" s="23"/>
      <c r="Y397" s="52"/>
      <c r="Z397" s="52"/>
      <c r="AA397" s="52"/>
      <c r="AB397" s="52"/>
      <c r="AC397" s="52"/>
      <c r="AD397" s="52"/>
      <c r="AE397" s="52"/>
    </row>
    <row r="398" spans="2:31" x14ac:dyDescent="0.25">
      <c r="B398" s="52"/>
      <c r="C398" s="52"/>
      <c r="D398" s="52"/>
      <c r="E398" s="52" t="str">
        <f t="shared" si="19"/>
        <v>PROG</v>
      </c>
      <c r="F398" s="52"/>
      <c r="G398" s="52" t="str">
        <f t="shared" si="20"/>
        <v>P</v>
      </c>
      <c r="H398" s="52"/>
      <c r="I398" s="52"/>
      <c r="J398" s="52" t="str">
        <f t="shared" si="21"/>
        <v>ELEM</v>
      </c>
      <c r="K398" s="52"/>
      <c r="L398" s="87"/>
      <c r="M398" s="52" t="e">
        <v>#N/A</v>
      </c>
      <c r="N398" s="52"/>
      <c r="O398" s="52"/>
      <c r="P398" s="52"/>
      <c r="Q398" s="52"/>
      <c r="R398" s="52"/>
      <c r="S398" s="52"/>
      <c r="T398" s="52"/>
      <c r="U398" s="52"/>
      <c r="V398" s="52"/>
      <c r="W398" s="53"/>
      <c r="X398" s="23"/>
      <c r="Y398" s="52"/>
      <c r="Z398" s="52"/>
      <c r="AA398" s="52"/>
      <c r="AB398" s="52"/>
      <c r="AC398" s="52"/>
      <c r="AD398" s="52"/>
      <c r="AE398" s="52"/>
    </row>
    <row r="399" spans="2:31" x14ac:dyDescent="0.25">
      <c r="B399" s="52"/>
      <c r="C399" s="52"/>
      <c r="D399" s="52"/>
      <c r="E399" s="52" t="str">
        <f t="shared" si="19"/>
        <v>PROG</v>
      </c>
      <c r="F399" s="52"/>
      <c r="G399" s="52" t="str">
        <f t="shared" si="20"/>
        <v>P</v>
      </c>
      <c r="H399" s="52"/>
      <c r="I399" s="52"/>
      <c r="J399" s="52" t="str">
        <f t="shared" si="21"/>
        <v>ELEM</v>
      </c>
      <c r="K399" s="52"/>
      <c r="L399" s="87"/>
      <c r="M399" s="52" t="e">
        <v>#N/A</v>
      </c>
      <c r="N399" s="52"/>
      <c r="O399" s="52"/>
      <c r="P399" s="52"/>
      <c r="Q399" s="52"/>
      <c r="R399" s="52"/>
      <c r="S399" s="52"/>
      <c r="T399" s="52"/>
      <c r="U399" s="52"/>
      <c r="V399" s="52"/>
      <c r="W399" s="53"/>
      <c r="X399" s="23"/>
      <c r="Y399" s="52"/>
      <c r="Z399" s="52"/>
      <c r="AA399" s="52"/>
      <c r="AB399" s="52"/>
      <c r="AC399" s="52"/>
      <c r="AD399" s="52"/>
      <c r="AE399" s="52"/>
    </row>
    <row r="400" spans="2:31" x14ac:dyDescent="0.25">
      <c r="B400" s="52"/>
      <c r="C400" s="52"/>
      <c r="D400" s="52"/>
      <c r="E400" s="52" t="str">
        <f t="shared" si="19"/>
        <v>PROG</v>
      </c>
      <c r="F400" s="52"/>
      <c r="G400" s="52" t="str">
        <f t="shared" si="20"/>
        <v>P</v>
      </c>
      <c r="H400" s="52"/>
      <c r="I400" s="52"/>
      <c r="J400" s="52" t="str">
        <f t="shared" si="21"/>
        <v>ELEM</v>
      </c>
      <c r="K400" s="52"/>
      <c r="L400" s="87"/>
      <c r="M400" s="52" t="e">
        <v>#N/A</v>
      </c>
      <c r="N400" s="52"/>
      <c r="O400" s="52"/>
      <c r="P400" s="52"/>
      <c r="Q400" s="52"/>
      <c r="R400" s="52"/>
      <c r="S400" s="52"/>
      <c r="T400" s="52"/>
      <c r="U400" s="52"/>
      <c r="V400" s="52"/>
      <c r="W400" s="53"/>
      <c r="X400" s="23"/>
      <c r="Y400" s="52"/>
      <c r="Z400" s="52"/>
      <c r="AA400" s="52"/>
      <c r="AB400" s="52"/>
      <c r="AC400" s="52"/>
      <c r="AD400" s="52"/>
      <c r="AE400" s="52"/>
    </row>
    <row r="401" spans="2:31" x14ac:dyDescent="0.25">
      <c r="B401" s="52"/>
      <c r="C401" s="52"/>
      <c r="D401" s="52"/>
      <c r="E401" s="52" t="str">
        <f t="shared" si="19"/>
        <v>PROG</v>
      </c>
      <c r="F401" s="52"/>
      <c r="G401" s="52" t="str">
        <f t="shared" si="20"/>
        <v>P</v>
      </c>
      <c r="H401" s="52"/>
      <c r="I401" s="52"/>
      <c r="J401" s="52" t="str">
        <f t="shared" si="21"/>
        <v>ELEM</v>
      </c>
      <c r="K401" s="52"/>
      <c r="L401" s="87"/>
      <c r="M401" s="52" t="e">
        <v>#N/A</v>
      </c>
      <c r="N401" s="52"/>
      <c r="O401" s="52"/>
      <c r="P401" s="52"/>
      <c r="Q401" s="52"/>
      <c r="R401" s="52"/>
      <c r="S401" s="52"/>
      <c r="T401" s="52"/>
      <c r="U401" s="52"/>
      <c r="V401" s="52"/>
      <c r="W401" s="53"/>
      <c r="X401" s="23"/>
      <c r="Y401" s="52"/>
      <c r="Z401" s="52"/>
      <c r="AA401" s="52"/>
      <c r="AB401" s="52"/>
      <c r="AC401" s="52"/>
      <c r="AD401" s="52"/>
      <c r="AE401" s="52"/>
    </row>
    <row r="402" spans="2:31" x14ac:dyDescent="0.25">
      <c r="B402" s="52"/>
      <c r="C402" s="52"/>
      <c r="D402" s="52"/>
      <c r="E402" s="52" t="str">
        <f t="shared" si="19"/>
        <v>PROG</v>
      </c>
      <c r="F402" s="52"/>
      <c r="G402" s="52" t="str">
        <f t="shared" si="20"/>
        <v>P</v>
      </c>
      <c r="H402" s="52"/>
      <c r="I402" s="52"/>
      <c r="J402" s="52" t="str">
        <f t="shared" si="21"/>
        <v>ELEM</v>
      </c>
      <c r="K402" s="52"/>
      <c r="L402" s="87"/>
      <c r="M402" s="52" t="e">
        <v>#N/A</v>
      </c>
      <c r="N402" s="52"/>
      <c r="O402" s="52"/>
      <c r="P402" s="52"/>
      <c r="Q402" s="52"/>
      <c r="R402" s="52"/>
      <c r="S402" s="52"/>
      <c r="T402" s="52"/>
      <c r="U402" s="52"/>
      <c r="V402" s="52"/>
      <c r="W402" s="53"/>
      <c r="X402" s="23"/>
      <c r="Y402" s="52"/>
      <c r="Z402" s="52"/>
      <c r="AA402" s="52"/>
      <c r="AB402" s="52"/>
      <c r="AC402" s="52"/>
      <c r="AD402" s="52"/>
      <c r="AE402" s="52"/>
    </row>
    <row r="403" spans="2:31" x14ac:dyDescent="0.25">
      <c r="B403" s="52"/>
      <c r="C403" s="52"/>
      <c r="D403" s="52"/>
      <c r="E403" s="52" t="str">
        <f t="shared" si="19"/>
        <v>PROG</v>
      </c>
      <c r="F403" s="52"/>
      <c r="G403" s="52" t="str">
        <f t="shared" si="20"/>
        <v>P</v>
      </c>
      <c r="H403" s="52"/>
      <c r="I403" s="52"/>
      <c r="J403" s="52" t="str">
        <f t="shared" si="21"/>
        <v>ELEM</v>
      </c>
      <c r="K403" s="52"/>
      <c r="L403" s="87"/>
      <c r="M403" s="52" t="e">
        <v>#N/A</v>
      </c>
      <c r="N403" s="52"/>
      <c r="O403" s="52"/>
      <c r="P403" s="52"/>
      <c r="Q403" s="52"/>
      <c r="R403" s="52"/>
      <c r="S403" s="52"/>
      <c r="T403" s="52"/>
      <c r="U403" s="52"/>
      <c r="V403" s="52"/>
      <c r="W403" s="53"/>
      <c r="X403" s="23"/>
      <c r="Y403" s="52"/>
      <c r="Z403" s="52"/>
      <c r="AA403" s="52"/>
      <c r="AB403" s="52"/>
      <c r="AC403" s="52"/>
      <c r="AD403" s="52"/>
      <c r="AE403" s="52"/>
    </row>
    <row r="404" spans="2:31" x14ac:dyDescent="0.25">
      <c r="B404" s="52"/>
      <c r="C404" s="52"/>
      <c r="D404" s="52"/>
      <c r="E404" s="52" t="str">
        <f t="shared" si="19"/>
        <v>PROG</v>
      </c>
      <c r="F404" s="52"/>
      <c r="G404" s="52" t="str">
        <f t="shared" si="20"/>
        <v>P</v>
      </c>
      <c r="H404" s="52"/>
      <c r="I404" s="52"/>
      <c r="J404" s="52" t="str">
        <f t="shared" si="21"/>
        <v>ELEM</v>
      </c>
      <c r="K404" s="52"/>
      <c r="L404" s="87"/>
      <c r="M404" s="52" t="e">
        <v>#N/A</v>
      </c>
      <c r="N404" s="52"/>
      <c r="O404" s="52"/>
      <c r="P404" s="52"/>
      <c r="Q404" s="52"/>
      <c r="R404" s="52"/>
      <c r="S404" s="52"/>
      <c r="T404" s="52"/>
      <c r="U404" s="52"/>
      <c r="V404" s="52"/>
      <c r="W404" s="53"/>
      <c r="X404" s="23"/>
      <c r="Y404" s="52"/>
      <c r="Z404" s="52"/>
      <c r="AA404" s="52"/>
      <c r="AB404" s="52"/>
      <c r="AC404" s="52"/>
      <c r="AD404" s="52"/>
      <c r="AE404" s="52"/>
    </row>
    <row r="405" spans="2:31" x14ac:dyDescent="0.25">
      <c r="B405" s="52"/>
      <c r="C405" s="52"/>
      <c r="D405" s="52"/>
      <c r="E405" s="52" t="str">
        <f t="shared" si="19"/>
        <v>PROG</v>
      </c>
      <c r="F405" s="52"/>
      <c r="G405" s="52" t="str">
        <f t="shared" si="20"/>
        <v>P</v>
      </c>
      <c r="H405" s="52"/>
      <c r="I405" s="52"/>
      <c r="J405" s="52" t="str">
        <f t="shared" si="21"/>
        <v>ELEM</v>
      </c>
      <c r="K405" s="52"/>
      <c r="L405" s="87"/>
      <c r="M405" s="52" t="e">
        <v>#N/A</v>
      </c>
      <c r="N405" s="52"/>
      <c r="O405" s="52"/>
      <c r="P405" s="52"/>
      <c r="Q405" s="52"/>
      <c r="R405" s="52"/>
      <c r="S405" s="52"/>
      <c r="T405" s="52"/>
      <c r="U405" s="52"/>
      <c r="V405" s="52"/>
      <c r="W405" s="53"/>
      <c r="X405" s="23"/>
      <c r="Y405" s="52"/>
      <c r="Z405" s="52"/>
      <c r="AA405" s="52"/>
      <c r="AB405" s="52"/>
      <c r="AC405" s="52"/>
      <c r="AD405" s="52"/>
      <c r="AE405" s="52"/>
    </row>
    <row r="406" spans="2:31" x14ac:dyDescent="0.25">
      <c r="B406" s="52"/>
      <c r="C406" s="52"/>
      <c r="D406" s="52"/>
      <c r="E406" s="52" t="str">
        <f t="shared" si="19"/>
        <v>PROG</v>
      </c>
      <c r="F406" s="52"/>
      <c r="G406" s="52" t="str">
        <f t="shared" si="20"/>
        <v>P</v>
      </c>
      <c r="H406" s="52"/>
      <c r="I406" s="52"/>
      <c r="J406" s="52" t="str">
        <f t="shared" si="21"/>
        <v>ELEM</v>
      </c>
      <c r="K406" s="52"/>
      <c r="L406" s="87"/>
      <c r="M406" s="52" t="e">
        <v>#N/A</v>
      </c>
      <c r="N406" s="52"/>
      <c r="O406" s="52"/>
      <c r="P406" s="52"/>
      <c r="Q406" s="52"/>
      <c r="R406" s="52"/>
      <c r="S406" s="52"/>
      <c r="T406" s="52"/>
      <c r="U406" s="52"/>
      <c r="V406" s="52"/>
      <c r="W406" s="53"/>
      <c r="X406" s="23"/>
      <c r="Y406" s="52"/>
      <c r="Z406" s="52"/>
      <c r="AA406" s="52"/>
      <c r="AB406" s="52"/>
      <c r="AC406" s="52"/>
      <c r="AD406" s="52"/>
      <c r="AE406" s="52"/>
    </row>
    <row r="407" spans="2:31" x14ac:dyDescent="0.25">
      <c r="B407" s="52"/>
      <c r="C407" s="52"/>
      <c r="D407" s="52"/>
      <c r="E407" s="52" t="str">
        <f t="shared" si="19"/>
        <v>PROG</v>
      </c>
      <c r="F407" s="52"/>
      <c r="G407" s="52" t="str">
        <f t="shared" si="20"/>
        <v>P</v>
      </c>
      <c r="H407" s="52"/>
      <c r="I407" s="52"/>
      <c r="J407" s="52" t="str">
        <f t="shared" si="21"/>
        <v>ELEM</v>
      </c>
      <c r="K407" s="52"/>
      <c r="L407" s="87"/>
      <c r="M407" s="52" t="e">
        <v>#N/A</v>
      </c>
      <c r="N407" s="52"/>
      <c r="O407" s="52"/>
      <c r="P407" s="52"/>
      <c r="Q407" s="52"/>
      <c r="R407" s="52"/>
      <c r="S407" s="52"/>
      <c r="T407" s="52"/>
      <c r="U407" s="52"/>
      <c r="V407" s="52"/>
      <c r="W407" s="53"/>
      <c r="X407" s="23"/>
      <c r="Y407" s="52"/>
      <c r="Z407" s="52"/>
      <c r="AA407" s="52"/>
      <c r="AB407" s="52"/>
      <c r="AC407" s="52"/>
      <c r="AD407" s="52"/>
      <c r="AE407" s="52"/>
    </row>
    <row r="408" spans="2:31" x14ac:dyDescent="0.25">
      <c r="B408" s="52"/>
      <c r="C408" s="52"/>
      <c r="D408" s="52"/>
      <c r="E408" s="52" t="str">
        <f t="shared" si="19"/>
        <v>PROG</v>
      </c>
      <c r="F408" s="52"/>
      <c r="G408" s="52" t="str">
        <f t="shared" si="20"/>
        <v>P</v>
      </c>
      <c r="H408" s="52"/>
      <c r="I408" s="52"/>
      <c r="J408" s="52" t="str">
        <f t="shared" si="21"/>
        <v>ELEM</v>
      </c>
      <c r="K408" s="52"/>
      <c r="L408" s="87"/>
      <c r="M408" s="52" t="e">
        <v>#N/A</v>
      </c>
      <c r="N408" s="52"/>
      <c r="O408" s="52"/>
      <c r="P408" s="52"/>
      <c r="Q408" s="52"/>
      <c r="R408" s="52"/>
      <c r="S408" s="52"/>
      <c r="T408" s="52"/>
      <c r="U408" s="52"/>
      <c r="V408" s="52"/>
      <c r="W408" s="53"/>
      <c r="X408" s="23"/>
      <c r="Y408" s="52"/>
      <c r="Z408" s="52"/>
      <c r="AA408" s="52"/>
      <c r="AB408" s="52"/>
      <c r="AC408" s="52"/>
      <c r="AD408" s="52"/>
      <c r="AE408" s="52"/>
    </row>
    <row r="409" spans="2:31" x14ac:dyDescent="0.25">
      <c r="B409" s="52"/>
      <c r="C409" s="52"/>
      <c r="D409" s="52"/>
      <c r="E409" s="52" t="str">
        <f t="shared" si="19"/>
        <v>PROG</v>
      </c>
      <c r="F409" s="52"/>
      <c r="G409" s="52" t="str">
        <f t="shared" si="20"/>
        <v>P</v>
      </c>
      <c r="H409" s="52"/>
      <c r="I409" s="52"/>
      <c r="J409" s="52" t="str">
        <f t="shared" si="21"/>
        <v>ELEM</v>
      </c>
      <c r="K409" s="52"/>
      <c r="L409" s="87"/>
      <c r="M409" s="52" t="e">
        <v>#N/A</v>
      </c>
      <c r="N409" s="52"/>
      <c r="O409" s="52"/>
      <c r="P409" s="52"/>
      <c r="Q409" s="52"/>
      <c r="R409" s="52"/>
      <c r="S409" s="52"/>
      <c r="T409" s="52"/>
      <c r="U409" s="52"/>
      <c r="V409" s="52"/>
      <c r="W409" s="53"/>
      <c r="X409" s="23"/>
      <c r="Y409" s="52"/>
      <c r="Z409" s="52"/>
      <c r="AA409" s="52"/>
      <c r="AB409" s="52"/>
      <c r="AC409" s="52"/>
      <c r="AD409" s="52"/>
      <c r="AE409" s="52"/>
    </row>
    <row r="410" spans="2:31" x14ac:dyDescent="0.25">
      <c r="B410" s="52"/>
      <c r="C410" s="52"/>
      <c r="D410" s="52"/>
      <c r="E410" s="52" t="str">
        <f t="shared" si="19"/>
        <v>PROG</v>
      </c>
      <c r="F410" s="52"/>
      <c r="G410" s="52" t="str">
        <f t="shared" si="20"/>
        <v>P</v>
      </c>
      <c r="H410" s="52"/>
      <c r="I410" s="52"/>
      <c r="J410" s="52" t="str">
        <f t="shared" si="21"/>
        <v>ELEM</v>
      </c>
      <c r="K410" s="52"/>
      <c r="L410" s="87"/>
      <c r="M410" s="52" t="e">
        <v>#N/A</v>
      </c>
      <c r="N410" s="52"/>
      <c r="O410" s="52"/>
      <c r="P410" s="52"/>
      <c r="Q410" s="52"/>
      <c r="R410" s="52"/>
      <c r="S410" s="52"/>
      <c r="T410" s="52"/>
      <c r="U410" s="52"/>
      <c r="V410" s="52"/>
      <c r="W410" s="53"/>
      <c r="X410" s="23"/>
      <c r="Y410" s="52"/>
      <c r="Z410" s="52"/>
      <c r="AA410" s="52"/>
      <c r="AB410" s="52"/>
      <c r="AC410" s="52"/>
      <c r="AD410" s="52"/>
      <c r="AE410" s="52"/>
    </row>
    <row r="411" spans="2:31" x14ac:dyDescent="0.25">
      <c r="B411" s="52"/>
      <c r="C411" s="52"/>
      <c r="D411" s="52"/>
      <c r="E411" s="52" t="str">
        <f t="shared" si="19"/>
        <v>PROG</v>
      </c>
      <c r="F411" s="52"/>
      <c r="G411" s="52" t="str">
        <f t="shared" si="20"/>
        <v>P</v>
      </c>
      <c r="H411" s="52"/>
      <c r="I411" s="52"/>
      <c r="J411" s="52" t="str">
        <f t="shared" si="21"/>
        <v>ELEM</v>
      </c>
      <c r="K411" s="52"/>
      <c r="L411" s="87"/>
      <c r="M411" s="52" t="e">
        <v>#N/A</v>
      </c>
      <c r="N411" s="52"/>
      <c r="O411" s="52"/>
      <c r="P411" s="52"/>
      <c r="Q411" s="52"/>
      <c r="R411" s="52"/>
      <c r="S411" s="52"/>
      <c r="T411" s="52"/>
      <c r="U411" s="52"/>
      <c r="V411" s="52"/>
      <c r="W411" s="53"/>
      <c r="X411" s="23"/>
      <c r="Y411" s="52"/>
      <c r="Z411" s="52"/>
      <c r="AA411" s="52"/>
      <c r="AB411" s="52"/>
      <c r="AC411" s="52"/>
      <c r="AD411" s="52"/>
      <c r="AE411" s="52"/>
    </row>
    <row r="412" spans="2:31" x14ac:dyDescent="0.25">
      <c r="B412" s="52"/>
      <c r="C412" s="52"/>
      <c r="D412" s="52"/>
      <c r="E412" s="52" t="str">
        <f t="shared" si="19"/>
        <v>PROG</v>
      </c>
      <c r="F412" s="52"/>
      <c r="G412" s="52" t="str">
        <f t="shared" si="20"/>
        <v>P</v>
      </c>
      <c r="H412" s="52"/>
      <c r="I412" s="52"/>
      <c r="J412" s="52" t="str">
        <f t="shared" si="21"/>
        <v>ELEM</v>
      </c>
      <c r="K412" s="52"/>
      <c r="L412" s="87"/>
      <c r="M412" s="52" t="e">
        <v>#N/A</v>
      </c>
      <c r="N412" s="52"/>
      <c r="O412" s="52"/>
      <c r="P412" s="52"/>
      <c r="Q412" s="52"/>
      <c r="R412" s="52"/>
      <c r="S412" s="52"/>
      <c r="T412" s="52"/>
      <c r="U412" s="52"/>
      <c r="V412" s="52"/>
      <c r="W412" s="53"/>
      <c r="X412" s="23"/>
      <c r="Y412" s="52"/>
      <c r="Z412" s="52"/>
      <c r="AA412" s="52"/>
      <c r="AB412" s="52"/>
      <c r="AC412" s="52"/>
      <c r="AD412" s="52"/>
      <c r="AE412" s="52"/>
    </row>
    <row r="413" spans="2:31" x14ac:dyDescent="0.25">
      <c r="B413" s="52"/>
      <c r="C413" s="52"/>
      <c r="D413" s="52"/>
      <c r="E413" s="52" t="str">
        <f t="shared" si="19"/>
        <v>PROG</v>
      </c>
      <c r="F413" s="52"/>
      <c r="G413" s="52" t="str">
        <f t="shared" si="20"/>
        <v>P</v>
      </c>
      <c r="H413" s="52"/>
      <c r="I413" s="52"/>
      <c r="J413" s="52" t="str">
        <f t="shared" si="21"/>
        <v>ELEM</v>
      </c>
      <c r="K413" s="52"/>
      <c r="L413" s="87"/>
      <c r="M413" s="52" t="e">
        <v>#N/A</v>
      </c>
      <c r="N413" s="52"/>
      <c r="O413" s="52"/>
      <c r="P413" s="52"/>
      <c r="Q413" s="52"/>
      <c r="R413" s="52"/>
      <c r="S413" s="52"/>
      <c r="T413" s="52"/>
      <c r="U413" s="52"/>
      <c r="V413" s="52"/>
      <c r="W413" s="53"/>
      <c r="X413" s="23"/>
      <c r="Y413" s="52"/>
      <c r="Z413" s="52"/>
      <c r="AA413" s="52"/>
      <c r="AB413" s="52"/>
      <c r="AC413" s="52"/>
      <c r="AD413" s="52"/>
      <c r="AE413" s="52"/>
    </row>
    <row r="414" spans="2:31" x14ac:dyDescent="0.25">
      <c r="B414" s="52"/>
      <c r="C414" s="52"/>
      <c r="D414" s="52"/>
      <c r="E414" s="52" t="str">
        <f t="shared" si="19"/>
        <v>PROG</v>
      </c>
      <c r="F414" s="52"/>
      <c r="G414" s="52" t="str">
        <f t="shared" si="20"/>
        <v>P</v>
      </c>
      <c r="H414" s="52"/>
      <c r="I414" s="52"/>
      <c r="J414" s="52" t="str">
        <f t="shared" si="21"/>
        <v>ELEM</v>
      </c>
      <c r="K414" s="52"/>
      <c r="L414" s="87"/>
      <c r="M414" s="52" t="e">
        <v>#N/A</v>
      </c>
      <c r="N414" s="52"/>
      <c r="O414" s="52"/>
      <c r="P414" s="52"/>
      <c r="Q414" s="52"/>
      <c r="R414" s="52"/>
      <c r="S414" s="52"/>
      <c r="T414" s="52"/>
      <c r="U414" s="52"/>
      <c r="V414" s="52"/>
      <c r="W414" s="53"/>
      <c r="X414" s="23"/>
      <c r="Y414" s="52"/>
      <c r="Z414" s="52"/>
      <c r="AA414" s="52"/>
      <c r="AB414" s="52"/>
      <c r="AC414" s="52"/>
      <c r="AD414" s="52"/>
      <c r="AE414" s="52"/>
    </row>
    <row r="415" spans="2:31" x14ac:dyDescent="0.25">
      <c r="B415" s="52"/>
      <c r="C415" s="52"/>
      <c r="D415" s="52"/>
      <c r="E415" s="52" t="str">
        <f t="shared" si="19"/>
        <v>PROG</v>
      </c>
      <c r="F415" s="52"/>
      <c r="G415" s="52" t="str">
        <f t="shared" si="20"/>
        <v>P</v>
      </c>
      <c r="H415" s="52"/>
      <c r="I415" s="52"/>
      <c r="J415" s="52" t="str">
        <f t="shared" si="21"/>
        <v>ELEM</v>
      </c>
      <c r="K415" s="52"/>
      <c r="L415" s="87"/>
      <c r="M415" s="52" t="e">
        <v>#N/A</v>
      </c>
      <c r="N415" s="52"/>
      <c r="O415" s="52"/>
      <c r="P415" s="52"/>
      <c r="Q415" s="52"/>
      <c r="R415" s="52"/>
      <c r="S415" s="52"/>
      <c r="T415" s="52"/>
      <c r="U415" s="52"/>
      <c r="V415" s="52"/>
      <c r="W415" s="53"/>
      <c r="X415" s="23"/>
      <c r="Y415" s="52"/>
      <c r="Z415" s="52"/>
      <c r="AA415" s="52"/>
      <c r="AB415" s="52"/>
      <c r="AC415" s="52"/>
      <c r="AD415" s="52"/>
      <c r="AE415" s="52"/>
    </row>
    <row r="416" spans="2:31" x14ac:dyDescent="0.25">
      <c r="B416" s="52"/>
      <c r="C416" s="52"/>
      <c r="D416" s="52"/>
      <c r="E416" s="52" t="str">
        <f t="shared" si="19"/>
        <v>PROG</v>
      </c>
      <c r="F416" s="52"/>
      <c r="G416" s="52" t="str">
        <f t="shared" si="20"/>
        <v>P</v>
      </c>
      <c r="H416" s="52"/>
      <c r="I416" s="52"/>
      <c r="J416" s="52" t="str">
        <f t="shared" si="21"/>
        <v>ELEM</v>
      </c>
      <c r="K416" s="52"/>
      <c r="L416" s="87"/>
      <c r="M416" s="52" t="e">
        <v>#N/A</v>
      </c>
      <c r="N416" s="52"/>
      <c r="O416" s="52"/>
      <c r="P416" s="52"/>
      <c r="Q416" s="52"/>
      <c r="R416" s="52"/>
      <c r="S416" s="52"/>
      <c r="T416" s="52"/>
      <c r="U416" s="52"/>
      <c r="V416" s="52"/>
      <c r="W416" s="53"/>
      <c r="X416" s="23"/>
      <c r="Y416" s="52"/>
      <c r="Z416" s="52"/>
      <c r="AA416" s="52"/>
      <c r="AB416" s="52"/>
      <c r="AC416" s="52"/>
      <c r="AD416" s="52"/>
      <c r="AE416" s="52"/>
    </row>
    <row r="417" spans="2:31" x14ac:dyDescent="0.25">
      <c r="B417" s="52"/>
      <c r="C417" s="52"/>
      <c r="D417" s="52"/>
      <c r="E417" s="52" t="str">
        <f t="shared" si="19"/>
        <v>PROG</v>
      </c>
      <c r="F417" s="52"/>
      <c r="G417" s="52" t="str">
        <f t="shared" si="20"/>
        <v>P</v>
      </c>
      <c r="H417" s="52"/>
      <c r="I417" s="52"/>
      <c r="J417" s="52" t="str">
        <f t="shared" si="21"/>
        <v>ELEM</v>
      </c>
      <c r="K417" s="52"/>
      <c r="L417" s="87"/>
      <c r="M417" s="52" t="e">
        <v>#N/A</v>
      </c>
      <c r="N417" s="52"/>
      <c r="O417" s="52"/>
      <c r="P417" s="52"/>
      <c r="Q417" s="52"/>
      <c r="R417" s="52"/>
      <c r="S417" s="52"/>
      <c r="T417" s="52"/>
      <c r="U417" s="52"/>
      <c r="V417" s="52"/>
      <c r="W417" s="53"/>
      <c r="X417" s="23"/>
      <c r="Y417" s="52"/>
      <c r="Z417" s="52"/>
      <c r="AA417" s="52"/>
      <c r="AB417" s="52"/>
      <c r="AC417" s="52"/>
      <c r="AD417" s="52"/>
      <c r="AE417" s="52"/>
    </row>
    <row r="418" spans="2:31" x14ac:dyDescent="0.25">
      <c r="B418" s="52"/>
      <c r="C418" s="52"/>
      <c r="D418" s="52"/>
      <c r="E418" s="52" t="str">
        <f t="shared" si="19"/>
        <v>PROG</v>
      </c>
      <c r="F418" s="52"/>
      <c r="G418" s="52" t="str">
        <f t="shared" si="20"/>
        <v>P</v>
      </c>
      <c r="H418" s="52"/>
      <c r="I418" s="52"/>
      <c r="J418" s="52" t="str">
        <f t="shared" si="21"/>
        <v>ELEM</v>
      </c>
      <c r="K418" s="52"/>
      <c r="L418" s="87"/>
      <c r="M418" s="52" t="e">
        <v>#N/A</v>
      </c>
      <c r="N418" s="52"/>
      <c r="O418" s="52"/>
      <c r="P418" s="52"/>
      <c r="Q418" s="52"/>
      <c r="R418" s="52"/>
      <c r="S418" s="52"/>
      <c r="T418" s="52"/>
      <c r="U418" s="52"/>
      <c r="V418" s="52"/>
      <c r="W418" s="53"/>
      <c r="X418" s="23"/>
      <c r="Y418" s="52"/>
      <c r="Z418" s="52"/>
      <c r="AA418" s="52"/>
      <c r="AB418" s="52"/>
      <c r="AC418" s="52"/>
      <c r="AD418" s="52"/>
      <c r="AE418" s="52"/>
    </row>
    <row r="419" spans="2:31" x14ac:dyDescent="0.25">
      <c r="B419" s="52"/>
      <c r="C419" s="52"/>
      <c r="D419" s="52"/>
      <c r="E419" s="52" t="str">
        <f t="shared" si="19"/>
        <v>PROG</v>
      </c>
      <c r="F419" s="52"/>
      <c r="G419" s="52" t="str">
        <f t="shared" si="20"/>
        <v>P</v>
      </c>
      <c r="H419" s="52"/>
      <c r="I419" s="52"/>
      <c r="J419" s="52" t="str">
        <f t="shared" si="21"/>
        <v>ELEM</v>
      </c>
      <c r="K419" s="52"/>
      <c r="L419" s="87"/>
      <c r="M419" s="52" t="e">
        <v>#N/A</v>
      </c>
      <c r="N419" s="52"/>
      <c r="O419" s="52"/>
      <c r="P419" s="52"/>
      <c r="Q419" s="52"/>
      <c r="R419" s="52"/>
      <c r="S419" s="52"/>
      <c r="T419" s="52"/>
      <c r="U419" s="52"/>
      <c r="V419" s="52"/>
      <c r="W419" s="53"/>
      <c r="X419" s="23"/>
      <c r="Y419" s="52"/>
      <c r="Z419" s="52"/>
      <c r="AA419" s="52"/>
      <c r="AB419" s="52"/>
      <c r="AC419" s="52"/>
      <c r="AD419" s="52"/>
      <c r="AE419" s="52"/>
    </row>
    <row r="420" spans="2:31" x14ac:dyDescent="0.25">
      <c r="B420" s="52"/>
      <c r="C420" s="52"/>
      <c r="D420" s="52"/>
      <c r="E420" s="52" t="str">
        <f t="shared" si="19"/>
        <v>PROG</v>
      </c>
      <c r="F420" s="52"/>
      <c r="G420" s="52" t="str">
        <f t="shared" si="20"/>
        <v>P</v>
      </c>
      <c r="H420" s="52"/>
      <c r="I420" s="52"/>
      <c r="J420" s="52" t="str">
        <f t="shared" si="21"/>
        <v>ELEM</v>
      </c>
      <c r="K420" s="52"/>
      <c r="L420" s="87"/>
      <c r="M420" s="52" t="e">
        <v>#N/A</v>
      </c>
      <c r="N420" s="52"/>
      <c r="O420" s="52"/>
      <c r="P420" s="52"/>
      <c r="Q420" s="52"/>
      <c r="R420" s="52"/>
      <c r="S420" s="52"/>
      <c r="T420" s="52"/>
      <c r="U420" s="52"/>
      <c r="V420" s="52"/>
      <c r="W420" s="53"/>
      <c r="X420" s="23"/>
      <c r="Y420" s="52"/>
      <c r="Z420" s="52"/>
      <c r="AA420" s="52"/>
      <c r="AB420" s="52"/>
      <c r="AC420" s="52"/>
      <c r="AD420" s="52"/>
      <c r="AE420" s="52"/>
    </row>
    <row r="421" spans="2:31" x14ac:dyDescent="0.25">
      <c r="B421" s="52"/>
      <c r="C421" s="52"/>
      <c r="D421" s="52"/>
      <c r="E421" s="52" t="str">
        <f t="shared" si="19"/>
        <v>PROG</v>
      </c>
      <c r="F421" s="52"/>
      <c r="G421" s="52" t="str">
        <f t="shared" si="20"/>
        <v>P</v>
      </c>
      <c r="H421" s="52"/>
      <c r="I421" s="52"/>
      <c r="J421" s="52" t="str">
        <f t="shared" si="21"/>
        <v>ELEM</v>
      </c>
      <c r="K421" s="52"/>
      <c r="L421" s="87"/>
      <c r="M421" s="52" t="e">
        <v>#N/A</v>
      </c>
      <c r="N421" s="52"/>
      <c r="O421" s="52"/>
      <c r="P421" s="52"/>
      <c r="Q421" s="52"/>
      <c r="R421" s="52"/>
      <c r="S421" s="52"/>
      <c r="T421" s="52"/>
      <c r="U421" s="52"/>
      <c r="V421" s="52"/>
      <c r="W421" s="53"/>
      <c r="X421" s="23"/>
      <c r="Y421" s="52"/>
      <c r="Z421" s="52"/>
      <c r="AA421" s="52"/>
      <c r="AB421" s="52"/>
      <c r="AC421" s="52"/>
      <c r="AD421" s="52"/>
      <c r="AE421" s="52"/>
    </row>
    <row r="422" spans="2:31" x14ac:dyDescent="0.25">
      <c r="B422" s="52"/>
      <c r="C422" s="52"/>
      <c r="D422" s="52"/>
      <c r="E422" s="52" t="str">
        <f t="shared" si="19"/>
        <v>PROG</v>
      </c>
      <c r="F422" s="52"/>
      <c r="G422" s="52" t="str">
        <f t="shared" si="20"/>
        <v>P</v>
      </c>
      <c r="H422" s="52"/>
      <c r="I422" s="52"/>
      <c r="J422" s="52" t="str">
        <f t="shared" si="21"/>
        <v>ELEM</v>
      </c>
      <c r="K422" s="52"/>
      <c r="L422" s="87"/>
      <c r="M422" s="52" t="e">
        <v>#N/A</v>
      </c>
      <c r="N422" s="52"/>
      <c r="O422" s="52"/>
      <c r="P422" s="52"/>
      <c r="Q422" s="52"/>
      <c r="R422" s="52"/>
      <c r="S422" s="52"/>
      <c r="T422" s="52"/>
      <c r="U422" s="52"/>
      <c r="V422" s="52"/>
      <c r="W422" s="53"/>
      <c r="X422" s="23"/>
      <c r="Y422" s="52"/>
      <c r="Z422" s="52"/>
      <c r="AA422" s="52"/>
      <c r="AB422" s="52"/>
      <c r="AC422" s="52"/>
      <c r="AD422" s="52"/>
      <c r="AE422" s="52"/>
    </row>
    <row r="423" spans="2:31" x14ac:dyDescent="0.25">
      <c r="B423" s="52"/>
      <c r="C423" s="52"/>
      <c r="D423" s="52"/>
      <c r="E423" s="52" t="str">
        <f t="shared" si="19"/>
        <v>PROG</v>
      </c>
      <c r="F423" s="52"/>
      <c r="G423" s="52" t="str">
        <f t="shared" si="20"/>
        <v>P</v>
      </c>
      <c r="H423" s="52"/>
      <c r="I423" s="52"/>
      <c r="J423" s="52" t="str">
        <f t="shared" si="21"/>
        <v>ELEM</v>
      </c>
      <c r="K423" s="52"/>
      <c r="L423" s="87"/>
      <c r="M423" s="52" t="e">
        <v>#N/A</v>
      </c>
      <c r="N423" s="52"/>
      <c r="O423" s="52"/>
      <c r="P423" s="52"/>
      <c r="Q423" s="52"/>
      <c r="R423" s="52"/>
      <c r="S423" s="52"/>
      <c r="T423" s="52"/>
      <c r="U423" s="52"/>
      <c r="V423" s="52"/>
      <c r="W423" s="53"/>
      <c r="X423" s="23"/>
      <c r="Y423" s="52"/>
      <c r="Z423" s="52"/>
      <c r="AA423" s="52"/>
      <c r="AB423" s="52"/>
      <c r="AC423" s="52"/>
      <c r="AD423" s="52"/>
      <c r="AE423" s="52"/>
    </row>
    <row r="424" spans="2:31" x14ac:dyDescent="0.25">
      <c r="B424" s="52"/>
      <c r="C424" s="52"/>
      <c r="D424" s="52"/>
      <c r="E424" s="52" t="str">
        <f t="shared" si="19"/>
        <v>PROG</v>
      </c>
      <c r="F424" s="52"/>
      <c r="G424" s="52" t="str">
        <f t="shared" si="20"/>
        <v>P</v>
      </c>
      <c r="H424" s="52"/>
      <c r="I424" s="52"/>
      <c r="J424" s="52" t="str">
        <f t="shared" si="21"/>
        <v>ELEM</v>
      </c>
      <c r="K424" s="52"/>
      <c r="L424" s="87"/>
      <c r="M424" s="52" t="e">
        <v>#N/A</v>
      </c>
      <c r="N424" s="52"/>
      <c r="O424" s="52"/>
      <c r="P424" s="52"/>
      <c r="Q424" s="52"/>
      <c r="R424" s="52"/>
      <c r="S424" s="52"/>
      <c r="T424" s="52"/>
      <c r="U424" s="52"/>
      <c r="V424" s="52"/>
      <c r="W424" s="53"/>
      <c r="X424" s="23"/>
      <c r="Y424" s="52"/>
      <c r="Z424" s="52"/>
      <c r="AA424" s="52"/>
      <c r="AB424" s="52"/>
      <c r="AC424" s="52"/>
      <c r="AD424" s="52"/>
      <c r="AE424" s="52"/>
    </row>
    <row r="425" spans="2:31" x14ac:dyDescent="0.25">
      <c r="B425" s="52"/>
      <c r="C425" s="52"/>
      <c r="D425" s="52"/>
      <c r="E425" s="52" t="str">
        <f t="shared" si="19"/>
        <v>PROG</v>
      </c>
      <c r="F425" s="52"/>
      <c r="G425" s="52" t="str">
        <f t="shared" si="20"/>
        <v>P</v>
      </c>
      <c r="H425" s="52"/>
      <c r="I425" s="52"/>
      <c r="J425" s="52" t="str">
        <f t="shared" si="21"/>
        <v>ELEM</v>
      </c>
      <c r="K425" s="52"/>
      <c r="L425" s="87"/>
      <c r="M425" s="52" t="e">
        <v>#N/A</v>
      </c>
      <c r="N425" s="52"/>
      <c r="O425" s="52"/>
      <c r="P425" s="52"/>
      <c r="Q425" s="52"/>
      <c r="R425" s="52"/>
      <c r="S425" s="52"/>
      <c r="T425" s="52"/>
      <c r="U425" s="52"/>
      <c r="V425" s="52"/>
      <c r="W425" s="53"/>
      <c r="X425" s="23"/>
      <c r="Y425" s="52"/>
      <c r="Z425" s="52"/>
      <c r="AA425" s="52"/>
      <c r="AB425" s="52"/>
      <c r="AC425" s="52"/>
      <c r="AD425" s="52"/>
      <c r="AE425" s="52"/>
    </row>
    <row r="426" spans="2:31" x14ac:dyDescent="0.25">
      <c r="B426" s="52"/>
      <c r="C426" s="52"/>
      <c r="D426" s="52"/>
      <c r="E426" s="52" t="str">
        <f t="shared" si="19"/>
        <v>PROG</v>
      </c>
      <c r="F426" s="52"/>
      <c r="G426" s="52" t="str">
        <f t="shared" si="20"/>
        <v>P</v>
      </c>
      <c r="H426" s="52"/>
      <c r="I426" s="52"/>
      <c r="J426" s="52" t="str">
        <f t="shared" si="21"/>
        <v>ELEM</v>
      </c>
      <c r="K426" s="52"/>
      <c r="L426" s="87"/>
      <c r="M426" s="52" t="e">
        <v>#N/A</v>
      </c>
      <c r="N426" s="52"/>
      <c r="O426" s="52"/>
      <c r="P426" s="52"/>
      <c r="Q426" s="52"/>
      <c r="R426" s="52"/>
      <c r="S426" s="52"/>
      <c r="T426" s="52"/>
      <c r="U426" s="52"/>
      <c r="V426" s="52"/>
      <c r="W426" s="53"/>
      <c r="X426" s="23"/>
      <c r="Y426" s="52"/>
      <c r="Z426" s="52"/>
      <c r="AA426" s="52"/>
      <c r="AB426" s="52"/>
      <c r="AC426" s="52"/>
      <c r="AD426" s="52"/>
      <c r="AE426" s="52"/>
    </row>
    <row r="427" spans="2:31" x14ac:dyDescent="0.25">
      <c r="B427" s="52"/>
      <c r="C427" s="52"/>
      <c r="D427" s="52"/>
      <c r="E427" s="52" t="str">
        <f t="shared" si="19"/>
        <v>PROG</v>
      </c>
      <c r="F427" s="52"/>
      <c r="G427" s="52" t="str">
        <f t="shared" si="20"/>
        <v>P</v>
      </c>
      <c r="H427" s="52"/>
      <c r="I427" s="52"/>
      <c r="J427" s="52" t="str">
        <f t="shared" si="21"/>
        <v>ELEM</v>
      </c>
      <c r="K427" s="52"/>
      <c r="L427" s="87"/>
      <c r="M427" s="52" t="e">
        <v>#N/A</v>
      </c>
      <c r="N427" s="52"/>
      <c r="O427" s="52"/>
      <c r="P427" s="52"/>
      <c r="Q427" s="52"/>
      <c r="R427" s="52"/>
      <c r="S427" s="52"/>
      <c r="T427" s="52"/>
      <c r="U427" s="52"/>
      <c r="V427" s="52"/>
      <c r="W427" s="53"/>
      <c r="X427" s="23"/>
      <c r="Y427" s="52"/>
      <c r="Z427" s="52"/>
      <c r="AA427" s="52"/>
      <c r="AB427" s="52"/>
      <c r="AC427" s="52"/>
      <c r="AD427" s="52"/>
      <c r="AE427" s="52"/>
    </row>
    <row r="428" spans="2:31" x14ac:dyDescent="0.25">
      <c r="B428" s="52"/>
      <c r="C428" s="52"/>
      <c r="D428" s="52"/>
      <c r="E428" s="52" t="str">
        <f t="shared" si="19"/>
        <v>PROG</v>
      </c>
      <c r="F428" s="52"/>
      <c r="G428" s="52" t="str">
        <f t="shared" si="20"/>
        <v>P</v>
      </c>
      <c r="H428" s="52"/>
      <c r="I428" s="52"/>
      <c r="J428" s="52" t="str">
        <f t="shared" si="21"/>
        <v>ELEM</v>
      </c>
      <c r="K428" s="52"/>
      <c r="L428" s="87"/>
      <c r="M428" s="52" t="e">
        <v>#N/A</v>
      </c>
      <c r="N428" s="52"/>
      <c r="O428" s="52"/>
      <c r="P428" s="52"/>
      <c r="Q428" s="52"/>
      <c r="R428" s="52"/>
      <c r="S428" s="52"/>
      <c r="T428" s="52"/>
      <c r="U428" s="52"/>
      <c r="V428" s="52"/>
      <c r="W428" s="53"/>
      <c r="X428" s="23"/>
      <c r="Y428" s="52"/>
      <c r="Z428" s="52"/>
      <c r="AA428" s="52"/>
      <c r="AB428" s="52"/>
      <c r="AC428" s="52"/>
      <c r="AD428" s="52"/>
      <c r="AE428" s="52"/>
    </row>
    <row r="429" spans="2:31" x14ac:dyDescent="0.25">
      <c r="B429" s="52"/>
      <c r="C429" s="52"/>
      <c r="D429" s="52"/>
      <c r="E429" s="52" t="str">
        <f t="shared" si="19"/>
        <v>PROG</v>
      </c>
      <c r="F429" s="52"/>
      <c r="G429" s="52" t="str">
        <f t="shared" si="20"/>
        <v>P</v>
      </c>
      <c r="H429" s="52"/>
      <c r="I429" s="52"/>
      <c r="J429" s="52" t="str">
        <f t="shared" si="21"/>
        <v>ELEM</v>
      </c>
      <c r="K429" s="52"/>
      <c r="L429" s="87"/>
      <c r="M429" s="52" t="e">
        <v>#N/A</v>
      </c>
      <c r="N429" s="52"/>
      <c r="O429" s="52"/>
      <c r="P429" s="52"/>
      <c r="Q429" s="52"/>
      <c r="R429" s="52"/>
      <c r="S429" s="52"/>
      <c r="T429" s="52"/>
      <c r="U429" s="52"/>
      <c r="V429" s="52"/>
      <c r="W429" s="53"/>
      <c r="X429" s="23"/>
      <c r="Y429" s="52"/>
      <c r="Z429" s="52"/>
      <c r="AA429" s="52"/>
      <c r="AB429" s="52"/>
      <c r="AC429" s="52"/>
      <c r="AD429" s="52"/>
      <c r="AE429" s="52"/>
    </row>
    <row r="430" spans="2:31" x14ac:dyDescent="0.25">
      <c r="B430" s="52"/>
      <c r="C430" s="52"/>
      <c r="D430" s="52"/>
      <c r="E430" s="52" t="str">
        <f t="shared" si="19"/>
        <v>PROG</v>
      </c>
      <c r="F430" s="52"/>
      <c r="G430" s="52" t="str">
        <f t="shared" si="20"/>
        <v>P</v>
      </c>
      <c r="H430" s="52"/>
      <c r="I430" s="52"/>
      <c r="J430" s="52" t="str">
        <f t="shared" si="21"/>
        <v>ELEM</v>
      </c>
      <c r="K430" s="52"/>
      <c r="L430" s="87"/>
      <c r="M430" s="52" t="e">
        <v>#N/A</v>
      </c>
      <c r="N430" s="52"/>
      <c r="O430" s="52"/>
      <c r="P430" s="52"/>
      <c r="Q430" s="52"/>
      <c r="R430" s="52"/>
      <c r="S430" s="52"/>
      <c r="T430" s="52"/>
      <c r="U430" s="52"/>
      <c r="V430" s="52"/>
      <c r="W430" s="53"/>
      <c r="X430" s="23"/>
      <c r="Y430" s="52"/>
      <c r="Z430" s="52"/>
      <c r="AA430" s="52"/>
      <c r="AB430" s="52"/>
      <c r="AC430" s="52"/>
      <c r="AD430" s="52"/>
      <c r="AE430" s="52"/>
    </row>
    <row r="431" spans="2:31" x14ac:dyDescent="0.25">
      <c r="B431" s="52"/>
      <c r="C431" s="52"/>
      <c r="D431" s="52"/>
      <c r="E431" s="52" t="str">
        <f t="shared" si="19"/>
        <v>PROG</v>
      </c>
      <c r="F431" s="52"/>
      <c r="G431" s="52" t="str">
        <f t="shared" si="20"/>
        <v>P</v>
      </c>
      <c r="H431" s="52"/>
      <c r="I431" s="52"/>
      <c r="J431" s="52" t="str">
        <f t="shared" si="21"/>
        <v>ELEM</v>
      </c>
      <c r="K431" s="52"/>
      <c r="L431" s="87"/>
      <c r="M431" s="52" t="e">
        <v>#N/A</v>
      </c>
      <c r="N431" s="52"/>
      <c r="O431" s="52"/>
      <c r="P431" s="52"/>
      <c r="Q431" s="52"/>
      <c r="R431" s="52"/>
      <c r="S431" s="52"/>
      <c r="T431" s="52"/>
      <c r="U431" s="52"/>
      <c r="V431" s="52"/>
      <c r="W431" s="53"/>
      <c r="X431" s="23"/>
      <c r="Y431" s="52"/>
      <c r="Z431" s="52"/>
      <c r="AA431" s="52"/>
      <c r="AB431" s="52"/>
      <c r="AC431" s="52"/>
      <c r="AD431" s="52"/>
      <c r="AE431" s="52"/>
    </row>
    <row r="432" spans="2:31" x14ac:dyDescent="0.25">
      <c r="B432" s="52"/>
      <c r="C432" s="52"/>
      <c r="D432" s="52"/>
      <c r="E432" s="52" t="str">
        <f t="shared" si="19"/>
        <v>PROG</v>
      </c>
      <c r="F432" s="52"/>
      <c r="G432" s="52" t="str">
        <f t="shared" si="20"/>
        <v>P</v>
      </c>
      <c r="H432" s="52"/>
      <c r="I432" s="52"/>
      <c r="J432" s="52" t="str">
        <f t="shared" si="21"/>
        <v>ELEM</v>
      </c>
      <c r="K432" s="52"/>
      <c r="L432" s="87"/>
      <c r="M432" s="52" t="e">
        <v>#N/A</v>
      </c>
      <c r="N432" s="52"/>
      <c r="O432" s="52"/>
      <c r="P432" s="52"/>
      <c r="Q432" s="52"/>
      <c r="R432" s="52"/>
      <c r="S432" s="52"/>
      <c r="T432" s="52"/>
      <c r="U432" s="52"/>
      <c r="V432" s="52"/>
      <c r="W432" s="53"/>
      <c r="X432" s="23"/>
      <c r="Y432" s="52"/>
      <c r="Z432" s="52"/>
      <c r="AA432" s="52"/>
      <c r="AB432" s="52"/>
      <c r="AC432" s="52"/>
      <c r="AD432" s="52"/>
      <c r="AE432" s="52"/>
    </row>
    <row r="433" spans="2:31" x14ac:dyDescent="0.25">
      <c r="B433" s="52"/>
      <c r="C433" s="52"/>
      <c r="D433" s="52"/>
      <c r="E433" s="52" t="str">
        <f t="shared" si="19"/>
        <v>PROG</v>
      </c>
      <c r="F433" s="52"/>
      <c r="G433" s="52" t="str">
        <f t="shared" si="20"/>
        <v>P</v>
      </c>
      <c r="H433" s="52"/>
      <c r="I433" s="52"/>
      <c r="J433" s="52" t="str">
        <f t="shared" si="21"/>
        <v>ELEM</v>
      </c>
      <c r="K433" s="52"/>
      <c r="L433" s="87"/>
      <c r="M433" s="52" t="e">
        <v>#N/A</v>
      </c>
      <c r="N433" s="52"/>
      <c r="O433" s="52"/>
      <c r="P433" s="52"/>
      <c r="Q433" s="52"/>
      <c r="R433" s="52"/>
      <c r="S433" s="52"/>
      <c r="T433" s="52"/>
      <c r="U433" s="52"/>
      <c r="V433" s="52"/>
      <c r="W433" s="53"/>
      <c r="X433" s="23"/>
      <c r="Y433" s="52"/>
      <c r="Z433" s="52"/>
      <c r="AA433" s="52"/>
      <c r="AB433" s="52"/>
      <c r="AC433" s="52"/>
      <c r="AD433" s="52"/>
      <c r="AE433" s="52"/>
    </row>
    <row r="434" spans="2:31" x14ac:dyDescent="0.25">
      <c r="B434" s="52"/>
      <c r="C434" s="52"/>
      <c r="D434" s="52"/>
      <c r="E434" s="52" t="str">
        <f t="shared" si="19"/>
        <v>PROG</v>
      </c>
      <c r="F434" s="52"/>
      <c r="G434" s="52" t="str">
        <f t="shared" si="20"/>
        <v>P</v>
      </c>
      <c r="H434" s="52"/>
      <c r="I434" s="52"/>
      <c r="J434" s="52" t="str">
        <f t="shared" si="21"/>
        <v>ELEM</v>
      </c>
      <c r="K434" s="52"/>
      <c r="L434" s="87"/>
      <c r="M434" s="52" t="e">
        <v>#N/A</v>
      </c>
      <c r="N434" s="52"/>
      <c r="O434" s="52"/>
      <c r="P434" s="52"/>
      <c r="Q434" s="52"/>
      <c r="R434" s="52"/>
      <c r="S434" s="52"/>
      <c r="T434" s="52"/>
      <c r="U434" s="52"/>
      <c r="V434" s="52"/>
      <c r="W434" s="53"/>
      <c r="X434" s="23"/>
      <c r="Y434" s="52"/>
      <c r="Z434" s="52"/>
      <c r="AA434" s="52"/>
      <c r="AB434" s="52"/>
      <c r="AC434" s="52"/>
      <c r="AD434" s="52"/>
      <c r="AE434" s="52"/>
    </row>
    <row r="435" spans="2:31" x14ac:dyDescent="0.25">
      <c r="B435" s="52"/>
      <c r="C435" s="52"/>
      <c r="D435" s="52"/>
      <c r="E435" s="52" t="str">
        <f t="shared" si="19"/>
        <v>PROG</v>
      </c>
      <c r="F435" s="52"/>
      <c r="G435" s="52" t="str">
        <f t="shared" si="20"/>
        <v>P</v>
      </c>
      <c r="H435" s="52"/>
      <c r="I435" s="52"/>
      <c r="J435" s="52" t="str">
        <f t="shared" si="21"/>
        <v>ELEM</v>
      </c>
      <c r="K435" s="52"/>
      <c r="L435" s="87"/>
      <c r="M435" s="52" t="e">
        <v>#N/A</v>
      </c>
      <c r="N435" s="52"/>
      <c r="O435" s="52"/>
      <c r="P435" s="52"/>
      <c r="Q435" s="52"/>
      <c r="R435" s="52"/>
      <c r="S435" s="52"/>
      <c r="T435" s="52"/>
      <c r="U435" s="52"/>
      <c r="V435" s="52"/>
      <c r="W435" s="53"/>
      <c r="X435" s="23"/>
      <c r="Y435" s="52"/>
      <c r="Z435" s="52"/>
      <c r="AA435" s="52"/>
      <c r="AB435" s="52"/>
      <c r="AC435" s="52"/>
      <c r="AD435" s="52"/>
      <c r="AE435" s="52"/>
    </row>
    <row r="436" spans="2:31" x14ac:dyDescent="0.25">
      <c r="B436" s="52"/>
      <c r="C436" s="52"/>
      <c r="D436" s="52"/>
      <c r="E436" s="52" t="str">
        <f t="shared" si="19"/>
        <v>PROG</v>
      </c>
      <c r="F436" s="52"/>
      <c r="G436" s="52" t="str">
        <f t="shared" si="20"/>
        <v>P</v>
      </c>
      <c r="H436" s="52"/>
      <c r="I436" s="52"/>
      <c r="J436" s="52" t="str">
        <f t="shared" si="21"/>
        <v>ELEM</v>
      </c>
      <c r="K436" s="52"/>
      <c r="L436" s="87"/>
      <c r="M436" s="52" t="e">
        <v>#N/A</v>
      </c>
      <c r="N436" s="52"/>
      <c r="O436" s="52"/>
      <c r="P436" s="52"/>
      <c r="Q436" s="52"/>
      <c r="R436" s="52"/>
      <c r="S436" s="52"/>
      <c r="T436" s="52"/>
      <c r="U436" s="52"/>
      <c r="V436" s="52"/>
      <c r="W436" s="53"/>
      <c r="X436" s="23"/>
      <c r="Y436" s="52"/>
      <c r="Z436" s="52"/>
      <c r="AA436" s="52"/>
      <c r="AB436" s="52"/>
      <c r="AC436" s="52"/>
      <c r="AD436" s="52"/>
      <c r="AE436" s="52"/>
    </row>
    <row r="437" spans="2:31" x14ac:dyDescent="0.25">
      <c r="B437" s="52"/>
      <c r="C437" s="52"/>
      <c r="D437" s="52"/>
      <c r="E437" s="52" t="str">
        <f t="shared" si="19"/>
        <v>PROG</v>
      </c>
      <c r="F437" s="52"/>
      <c r="G437" s="52" t="str">
        <f t="shared" si="20"/>
        <v>P</v>
      </c>
      <c r="H437" s="52"/>
      <c r="I437" s="52"/>
      <c r="J437" s="52" t="str">
        <f t="shared" si="21"/>
        <v>ELEM</v>
      </c>
      <c r="K437" s="52"/>
      <c r="L437" s="87"/>
      <c r="M437" s="52" t="e">
        <v>#N/A</v>
      </c>
      <c r="N437" s="52"/>
      <c r="O437" s="52"/>
      <c r="P437" s="52"/>
      <c r="Q437" s="52"/>
      <c r="R437" s="52"/>
      <c r="S437" s="52"/>
      <c r="T437" s="52"/>
      <c r="U437" s="52"/>
      <c r="V437" s="52"/>
      <c r="W437" s="53"/>
      <c r="X437" s="23"/>
      <c r="Y437" s="52"/>
      <c r="Z437" s="52"/>
      <c r="AA437" s="52"/>
      <c r="AB437" s="52"/>
      <c r="AC437" s="52"/>
      <c r="AD437" s="52"/>
      <c r="AE437" s="52"/>
    </row>
    <row r="438" spans="2:31" x14ac:dyDescent="0.25">
      <c r="B438" s="52"/>
      <c r="C438" s="52"/>
      <c r="D438" s="52"/>
      <c r="E438" s="52" t="str">
        <f t="shared" si="19"/>
        <v>PROG</v>
      </c>
      <c r="F438" s="52"/>
      <c r="G438" s="52" t="str">
        <f t="shared" si="20"/>
        <v>P</v>
      </c>
      <c r="H438" s="52"/>
      <c r="I438" s="52"/>
      <c r="J438" s="52" t="str">
        <f t="shared" si="21"/>
        <v>ELEM</v>
      </c>
      <c r="K438" s="52"/>
      <c r="L438" s="87"/>
      <c r="M438" s="52" t="e">
        <v>#N/A</v>
      </c>
      <c r="N438" s="52"/>
      <c r="O438" s="52"/>
      <c r="P438" s="52"/>
      <c r="Q438" s="52"/>
      <c r="R438" s="52"/>
      <c r="S438" s="52"/>
      <c r="T438" s="52"/>
      <c r="U438" s="52"/>
      <c r="V438" s="52"/>
      <c r="W438" s="53"/>
      <c r="X438" s="23"/>
      <c r="Y438" s="52"/>
      <c r="Z438" s="52"/>
      <c r="AA438" s="52"/>
      <c r="AB438" s="52"/>
      <c r="AC438" s="52"/>
      <c r="AD438" s="52"/>
      <c r="AE438" s="52"/>
    </row>
    <row r="439" spans="2:31" x14ac:dyDescent="0.25">
      <c r="B439" s="52"/>
      <c r="C439" s="52"/>
      <c r="D439" s="52"/>
      <c r="E439" s="52" t="str">
        <f t="shared" si="19"/>
        <v>PROG</v>
      </c>
      <c r="F439" s="52"/>
      <c r="G439" s="52" t="str">
        <f t="shared" si="20"/>
        <v>P</v>
      </c>
      <c r="H439" s="52"/>
      <c r="I439" s="52"/>
      <c r="J439" s="52" t="str">
        <f t="shared" si="21"/>
        <v>ELEM</v>
      </c>
      <c r="K439" s="52"/>
      <c r="L439" s="87"/>
      <c r="M439" s="52" t="e">
        <v>#N/A</v>
      </c>
      <c r="N439" s="52"/>
      <c r="O439" s="52"/>
      <c r="P439" s="52"/>
      <c r="Q439" s="52"/>
      <c r="R439" s="52"/>
      <c r="S439" s="52"/>
      <c r="T439" s="52"/>
      <c r="U439" s="52"/>
      <c r="V439" s="52"/>
      <c r="W439" s="53"/>
      <c r="X439" s="23"/>
      <c r="Y439" s="52"/>
      <c r="Z439" s="52"/>
      <c r="AA439" s="52"/>
      <c r="AB439" s="52"/>
      <c r="AC439" s="52"/>
      <c r="AD439" s="52"/>
      <c r="AE439" s="52"/>
    </row>
    <row r="440" spans="2:31" x14ac:dyDescent="0.25">
      <c r="B440" s="52"/>
      <c r="C440" s="52"/>
      <c r="D440" s="52"/>
      <c r="E440" s="52" t="str">
        <f t="shared" si="19"/>
        <v>PROG</v>
      </c>
      <c r="F440" s="52"/>
      <c r="G440" s="52" t="str">
        <f t="shared" si="20"/>
        <v>P</v>
      </c>
      <c r="H440" s="52"/>
      <c r="I440" s="52"/>
      <c r="J440" s="52" t="str">
        <f t="shared" si="21"/>
        <v>ELEM</v>
      </c>
      <c r="K440" s="52"/>
      <c r="L440" s="87"/>
      <c r="M440" s="52" t="e">
        <v>#N/A</v>
      </c>
      <c r="N440" s="52"/>
      <c r="O440" s="52"/>
      <c r="P440" s="52"/>
      <c r="Q440" s="52"/>
      <c r="R440" s="52"/>
      <c r="S440" s="52"/>
      <c r="T440" s="52"/>
      <c r="U440" s="52"/>
      <c r="V440" s="52"/>
      <c r="W440" s="53"/>
      <c r="X440" s="23"/>
      <c r="Y440" s="52"/>
      <c r="Z440" s="52"/>
      <c r="AA440" s="52"/>
      <c r="AB440" s="52"/>
      <c r="AC440" s="52"/>
      <c r="AD440" s="52"/>
      <c r="AE440" s="52"/>
    </row>
    <row r="441" spans="2:31" x14ac:dyDescent="0.25">
      <c r="B441" s="52"/>
      <c r="C441" s="52"/>
      <c r="D441" s="52"/>
      <c r="E441" s="52" t="str">
        <f t="shared" si="19"/>
        <v>PROG</v>
      </c>
      <c r="F441" s="52"/>
      <c r="G441" s="52" t="str">
        <f t="shared" si="20"/>
        <v>P</v>
      </c>
      <c r="H441" s="52"/>
      <c r="I441" s="52"/>
      <c r="J441" s="52" t="str">
        <f t="shared" si="21"/>
        <v>ELEM</v>
      </c>
      <c r="K441" s="52"/>
      <c r="L441" s="87"/>
      <c r="M441" s="52" t="e">
        <v>#N/A</v>
      </c>
      <c r="N441" s="52"/>
      <c r="O441" s="52"/>
      <c r="P441" s="52"/>
      <c r="Q441" s="52"/>
      <c r="R441" s="52"/>
      <c r="S441" s="52"/>
      <c r="T441" s="52"/>
      <c r="U441" s="52"/>
      <c r="V441" s="52"/>
      <c r="W441" s="53"/>
      <c r="X441" s="23"/>
      <c r="Y441" s="52"/>
      <c r="Z441" s="52"/>
      <c r="AA441" s="52"/>
      <c r="AB441" s="52"/>
      <c r="AC441" s="52"/>
      <c r="AD441" s="52"/>
      <c r="AE441" s="52"/>
    </row>
    <row r="442" spans="2:31" x14ac:dyDescent="0.25">
      <c r="B442" s="52"/>
      <c r="C442" s="52"/>
      <c r="D442" s="52"/>
      <c r="E442" s="52" t="str">
        <f t="shared" si="19"/>
        <v>PROG</v>
      </c>
      <c r="F442" s="52"/>
      <c r="G442" s="52" t="str">
        <f t="shared" si="20"/>
        <v>P</v>
      </c>
      <c r="H442" s="52"/>
      <c r="I442" s="52"/>
      <c r="J442" s="52" t="str">
        <f t="shared" si="21"/>
        <v>ELEM</v>
      </c>
      <c r="K442" s="52"/>
      <c r="L442" s="87"/>
      <c r="M442" s="52" t="e">
        <v>#N/A</v>
      </c>
      <c r="N442" s="52"/>
      <c r="O442" s="52"/>
      <c r="P442" s="52"/>
      <c r="Q442" s="52"/>
      <c r="R442" s="52"/>
      <c r="S442" s="52"/>
      <c r="T442" s="52"/>
      <c r="U442" s="52"/>
      <c r="V442" s="52"/>
      <c r="W442" s="53"/>
      <c r="X442" s="23"/>
      <c r="Y442" s="52"/>
      <c r="Z442" s="52"/>
      <c r="AA442" s="52"/>
      <c r="AB442" s="52"/>
      <c r="AC442" s="52"/>
      <c r="AD442" s="52"/>
      <c r="AE442" s="52"/>
    </row>
    <row r="443" spans="2:31" x14ac:dyDescent="0.25">
      <c r="B443" s="52"/>
      <c r="C443" s="52"/>
      <c r="D443" s="52"/>
      <c r="E443" s="52" t="str">
        <f t="shared" si="19"/>
        <v>PROG</v>
      </c>
      <c r="F443" s="52"/>
      <c r="G443" s="52" t="str">
        <f t="shared" si="20"/>
        <v>P</v>
      </c>
      <c r="H443" s="52"/>
      <c r="I443" s="52"/>
      <c r="J443" s="52" t="str">
        <f t="shared" si="21"/>
        <v>ELEM</v>
      </c>
      <c r="K443" s="52"/>
      <c r="L443" s="87"/>
      <c r="M443" s="52" t="e">
        <v>#N/A</v>
      </c>
      <c r="N443" s="52"/>
      <c r="O443" s="52"/>
      <c r="P443" s="52"/>
      <c r="Q443" s="52"/>
      <c r="R443" s="52"/>
      <c r="S443" s="52"/>
      <c r="T443" s="52"/>
      <c r="U443" s="52"/>
      <c r="V443" s="52"/>
      <c r="W443" s="53"/>
      <c r="X443" s="23"/>
      <c r="Y443" s="52"/>
      <c r="Z443" s="52"/>
      <c r="AA443" s="52"/>
      <c r="AB443" s="52"/>
      <c r="AC443" s="52"/>
      <c r="AD443" s="52"/>
      <c r="AE443" s="52"/>
    </row>
    <row r="444" spans="2:31" x14ac:dyDescent="0.25">
      <c r="B444" s="52"/>
      <c r="C444" s="52"/>
      <c r="D444" s="52"/>
      <c r="E444" s="52" t="str">
        <f t="shared" si="19"/>
        <v>PROG</v>
      </c>
      <c r="F444" s="52"/>
      <c r="G444" s="52" t="str">
        <f t="shared" si="20"/>
        <v>P</v>
      </c>
      <c r="H444" s="52"/>
      <c r="I444" s="52"/>
      <c r="J444" s="52" t="str">
        <f t="shared" si="21"/>
        <v>ELEM</v>
      </c>
      <c r="K444" s="52"/>
      <c r="L444" s="87"/>
      <c r="M444" s="52" t="e">
        <v>#N/A</v>
      </c>
      <c r="N444" s="52"/>
      <c r="O444" s="52"/>
      <c r="P444" s="52"/>
      <c r="Q444" s="52"/>
      <c r="R444" s="52"/>
      <c r="S444" s="52"/>
      <c r="T444" s="52"/>
      <c r="U444" s="52"/>
      <c r="V444" s="52"/>
      <c r="W444" s="53"/>
      <c r="X444" s="23"/>
      <c r="Y444" s="52"/>
      <c r="Z444" s="52"/>
      <c r="AA444" s="52"/>
      <c r="AB444" s="52"/>
      <c r="AC444" s="52"/>
      <c r="AD444" s="52"/>
      <c r="AE444" s="52"/>
    </row>
    <row r="445" spans="2:31" x14ac:dyDescent="0.25">
      <c r="B445" s="52"/>
      <c r="C445" s="52"/>
      <c r="D445" s="52"/>
      <c r="E445" s="52" t="str">
        <f t="shared" si="19"/>
        <v>PROG</v>
      </c>
      <c r="F445" s="52"/>
      <c r="G445" s="52" t="str">
        <f t="shared" si="20"/>
        <v>P</v>
      </c>
      <c r="H445" s="52"/>
      <c r="I445" s="52"/>
      <c r="J445" s="52" t="str">
        <f t="shared" si="21"/>
        <v>ELEM</v>
      </c>
      <c r="K445" s="52"/>
      <c r="L445" s="87"/>
      <c r="M445" s="52" t="e">
        <v>#N/A</v>
      </c>
      <c r="N445" s="52"/>
      <c r="O445" s="52"/>
      <c r="P445" s="52"/>
      <c r="Q445" s="52"/>
      <c r="R445" s="52"/>
      <c r="S445" s="52"/>
      <c r="T445" s="52"/>
      <c r="U445" s="52"/>
      <c r="V445" s="52"/>
      <c r="W445" s="53"/>
      <c r="X445" s="23"/>
      <c r="Y445" s="52"/>
      <c r="Z445" s="52"/>
      <c r="AA445" s="52"/>
      <c r="AB445" s="52"/>
      <c r="AC445" s="52"/>
      <c r="AD445" s="52"/>
      <c r="AE445" s="52"/>
    </row>
    <row r="446" spans="2:31" x14ac:dyDescent="0.25">
      <c r="B446" s="52"/>
      <c r="C446" s="52"/>
      <c r="D446" s="52"/>
      <c r="E446" s="52" t="str">
        <f t="shared" si="19"/>
        <v>PROG</v>
      </c>
      <c r="F446" s="52"/>
      <c r="G446" s="52" t="str">
        <f t="shared" si="20"/>
        <v>P</v>
      </c>
      <c r="H446" s="52"/>
      <c r="I446" s="52"/>
      <c r="J446" s="52" t="str">
        <f t="shared" si="21"/>
        <v>ELEM</v>
      </c>
      <c r="K446" s="52"/>
      <c r="L446" s="87"/>
      <c r="M446" s="52" t="e">
        <v>#N/A</v>
      </c>
      <c r="N446" s="52"/>
      <c r="O446" s="52"/>
      <c r="P446" s="52"/>
      <c r="Q446" s="52"/>
      <c r="R446" s="52"/>
      <c r="S446" s="52"/>
      <c r="T446" s="52"/>
      <c r="U446" s="52"/>
      <c r="V446" s="52"/>
      <c r="W446" s="53"/>
      <c r="X446" s="23"/>
      <c r="Y446" s="52"/>
      <c r="Z446" s="52"/>
      <c r="AA446" s="52"/>
      <c r="AB446" s="52"/>
      <c r="AC446" s="52"/>
      <c r="AD446" s="52"/>
      <c r="AE446" s="52"/>
    </row>
    <row r="447" spans="2:31" x14ac:dyDescent="0.25">
      <c r="B447" s="52"/>
      <c r="C447" s="52"/>
      <c r="D447" s="52"/>
      <c r="E447" s="52" t="str">
        <f t="shared" si="19"/>
        <v>PROG</v>
      </c>
      <c r="F447" s="52"/>
      <c r="G447" s="52" t="str">
        <f t="shared" si="20"/>
        <v>P</v>
      </c>
      <c r="H447" s="52"/>
      <c r="I447" s="52"/>
      <c r="J447" s="52" t="str">
        <f t="shared" si="21"/>
        <v>ELEM</v>
      </c>
      <c r="K447" s="52"/>
      <c r="L447" s="87"/>
      <c r="M447" s="52" t="e">
        <v>#N/A</v>
      </c>
      <c r="N447" s="52"/>
      <c r="O447" s="52"/>
      <c r="P447" s="52"/>
      <c r="Q447" s="52"/>
      <c r="R447" s="52"/>
      <c r="S447" s="52"/>
      <c r="T447" s="52"/>
      <c r="U447" s="52"/>
      <c r="V447" s="52"/>
      <c r="W447" s="53"/>
      <c r="X447" s="23"/>
      <c r="Y447" s="52"/>
      <c r="Z447" s="52"/>
      <c r="AA447" s="52"/>
      <c r="AB447" s="52"/>
      <c r="AC447" s="52"/>
      <c r="AD447" s="52"/>
      <c r="AE447" s="52"/>
    </row>
    <row r="448" spans="2:31" x14ac:dyDescent="0.25">
      <c r="B448" s="52"/>
      <c r="C448" s="52"/>
      <c r="D448" s="52"/>
      <c r="E448" s="52" t="str">
        <f t="shared" si="19"/>
        <v>PROG</v>
      </c>
      <c r="F448" s="52"/>
      <c r="G448" s="52" t="str">
        <f t="shared" si="20"/>
        <v>P</v>
      </c>
      <c r="H448" s="52"/>
      <c r="I448" s="52"/>
      <c r="J448" s="52" t="str">
        <f t="shared" si="21"/>
        <v>ELEM</v>
      </c>
      <c r="K448" s="52"/>
      <c r="L448" s="87"/>
      <c r="M448" s="52" t="e">
        <v>#N/A</v>
      </c>
      <c r="N448" s="52"/>
      <c r="O448" s="52"/>
      <c r="P448" s="52"/>
      <c r="Q448" s="52"/>
      <c r="R448" s="52"/>
      <c r="S448" s="52"/>
      <c r="T448" s="52"/>
      <c r="U448" s="52"/>
      <c r="V448" s="52"/>
      <c r="W448" s="53"/>
      <c r="X448" s="23"/>
      <c r="Y448" s="52"/>
      <c r="Z448" s="52"/>
      <c r="AA448" s="52"/>
      <c r="AB448" s="52"/>
      <c r="AC448" s="52"/>
      <c r="AD448" s="52"/>
      <c r="AE448" s="52"/>
    </row>
    <row r="449" spans="2:31" x14ac:dyDescent="0.25">
      <c r="B449" s="52"/>
      <c r="C449" s="52"/>
      <c r="D449" s="52"/>
      <c r="E449" s="52" t="str">
        <f t="shared" si="19"/>
        <v>PROG</v>
      </c>
      <c r="F449" s="52"/>
      <c r="G449" s="52" t="str">
        <f t="shared" si="20"/>
        <v>P</v>
      </c>
      <c r="H449" s="52"/>
      <c r="I449" s="52"/>
      <c r="J449" s="52" t="str">
        <f t="shared" si="21"/>
        <v>ELEM</v>
      </c>
      <c r="K449" s="52"/>
      <c r="L449" s="87"/>
      <c r="M449" s="52" t="e">
        <v>#N/A</v>
      </c>
      <c r="N449" s="52"/>
      <c r="O449" s="52"/>
      <c r="P449" s="52"/>
      <c r="Q449" s="52"/>
      <c r="R449" s="52"/>
      <c r="S449" s="52"/>
      <c r="T449" s="52"/>
      <c r="U449" s="52"/>
      <c r="V449" s="52"/>
      <c r="W449" s="53"/>
      <c r="X449" s="23"/>
      <c r="Y449" s="52"/>
      <c r="Z449" s="52"/>
      <c r="AA449" s="52"/>
      <c r="AB449" s="52"/>
      <c r="AC449" s="52"/>
      <c r="AD449" s="52"/>
      <c r="AE449" s="52"/>
    </row>
    <row r="450" spans="2:31" x14ac:dyDescent="0.25">
      <c r="B450" s="52"/>
      <c r="C450" s="52"/>
      <c r="D450" s="52"/>
      <c r="E450" s="52" t="str">
        <f t="shared" si="19"/>
        <v>PROG</v>
      </c>
      <c r="F450" s="52"/>
      <c r="G450" s="52" t="str">
        <f t="shared" si="20"/>
        <v>P</v>
      </c>
      <c r="H450" s="52"/>
      <c r="I450" s="52"/>
      <c r="J450" s="52" t="str">
        <f t="shared" si="21"/>
        <v>ELEM</v>
      </c>
      <c r="K450" s="52"/>
      <c r="L450" s="87"/>
      <c r="M450" s="52" t="e">
        <v>#N/A</v>
      </c>
      <c r="N450" s="52"/>
      <c r="O450" s="52"/>
      <c r="P450" s="52"/>
      <c r="Q450" s="52"/>
      <c r="R450" s="52"/>
      <c r="S450" s="52"/>
      <c r="T450" s="52"/>
      <c r="U450" s="52"/>
      <c r="V450" s="52"/>
      <c r="W450" s="53"/>
      <c r="X450" s="23"/>
      <c r="Y450" s="52"/>
      <c r="Z450" s="52"/>
      <c r="AA450" s="52"/>
      <c r="AB450" s="52"/>
      <c r="AC450" s="52"/>
      <c r="AD450" s="52"/>
      <c r="AE450" s="52"/>
    </row>
    <row r="451" spans="2:31" x14ac:dyDescent="0.25">
      <c r="B451" s="52"/>
      <c r="C451" s="52"/>
      <c r="D451" s="52"/>
      <c r="E451" s="52" t="str">
        <f t="shared" ref="E451:E501" si="22">CONCATENATE(A451,"PROG")</f>
        <v>PROG</v>
      </c>
      <c r="F451" s="52"/>
      <c r="G451" s="52" t="str">
        <f t="shared" ref="G451:G501" si="23">CONCATENATE("P",(LEFT(F451,3)),A451)</f>
        <v>P</v>
      </c>
      <c r="H451" s="52"/>
      <c r="I451" s="52"/>
      <c r="J451" s="52" t="str">
        <f t="shared" ref="J451:J501" si="24">CONCATENATE("ELEM",LEFT(I451,2))</f>
        <v>ELEM</v>
      </c>
      <c r="K451" s="52"/>
      <c r="L451" s="87"/>
      <c r="M451" s="52" t="e">
        <v>#N/A</v>
      </c>
      <c r="N451" s="52"/>
      <c r="O451" s="52"/>
      <c r="P451" s="52"/>
      <c r="Q451" s="52"/>
      <c r="R451" s="52"/>
      <c r="S451" s="52"/>
      <c r="T451" s="52"/>
      <c r="U451" s="52"/>
      <c r="V451" s="52"/>
      <c r="W451" s="53"/>
      <c r="X451" s="23"/>
      <c r="Y451" s="52"/>
      <c r="Z451" s="52"/>
      <c r="AA451" s="52"/>
      <c r="AB451" s="52"/>
      <c r="AC451" s="52"/>
      <c r="AD451" s="52"/>
      <c r="AE451" s="52"/>
    </row>
    <row r="452" spans="2:31" x14ac:dyDescent="0.25">
      <c r="B452" s="52"/>
      <c r="C452" s="52"/>
      <c r="D452" s="52"/>
      <c r="E452" s="52" t="str">
        <f t="shared" si="22"/>
        <v>PROG</v>
      </c>
      <c r="F452" s="52"/>
      <c r="G452" s="52" t="str">
        <f t="shared" si="23"/>
        <v>P</v>
      </c>
      <c r="H452" s="52"/>
      <c r="I452" s="52"/>
      <c r="J452" s="52" t="str">
        <f t="shared" si="24"/>
        <v>ELEM</v>
      </c>
      <c r="K452" s="52"/>
      <c r="L452" s="87"/>
      <c r="M452" s="52" t="e">
        <v>#N/A</v>
      </c>
      <c r="N452" s="52"/>
      <c r="O452" s="52"/>
      <c r="P452" s="52"/>
      <c r="Q452" s="52"/>
      <c r="R452" s="52"/>
      <c r="S452" s="52"/>
      <c r="T452" s="52"/>
      <c r="U452" s="52"/>
      <c r="V452" s="52"/>
      <c r="W452" s="53"/>
      <c r="X452" s="23"/>
      <c r="Y452" s="52"/>
      <c r="Z452" s="52"/>
      <c r="AA452" s="52"/>
      <c r="AB452" s="52"/>
      <c r="AC452" s="52"/>
      <c r="AD452" s="52"/>
      <c r="AE452" s="52"/>
    </row>
    <row r="453" spans="2:31" x14ac:dyDescent="0.25">
      <c r="B453" s="52"/>
      <c r="C453" s="52"/>
      <c r="D453" s="52"/>
      <c r="E453" s="52" t="str">
        <f t="shared" si="22"/>
        <v>PROG</v>
      </c>
      <c r="F453" s="52"/>
      <c r="G453" s="52" t="str">
        <f t="shared" si="23"/>
        <v>P</v>
      </c>
      <c r="H453" s="52"/>
      <c r="I453" s="52"/>
      <c r="J453" s="52" t="str">
        <f t="shared" si="24"/>
        <v>ELEM</v>
      </c>
      <c r="K453" s="52"/>
      <c r="L453" s="87"/>
      <c r="M453" s="52" t="e">
        <v>#N/A</v>
      </c>
      <c r="N453" s="52"/>
      <c r="O453" s="52"/>
      <c r="P453" s="52"/>
      <c r="Q453" s="52"/>
      <c r="R453" s="52"/>
      <c r="S453" s="52"/>
      <c r="T453" s="52"/>
      <c r="U453" s="52"/>
      <c r="V453" s="52"/>
      <c r="W453" s="53"/>
      <c r="X453" s="23"/>
      <c r="Y453" s="52"/>
      <c r="Z453" s="52"/>
      <c r="AA453" s="52"/>
      <c r="AB453" s="52"/>
      <c r="AC453" s="52"/>
      <c r="AD453" s="52"/>
      <c r="AE453" s="52"/>
    </row>
    <row r="454" spans="2:31" x14ac:dyDescent="0.25">
      <c r="B454" s="52"/>
      <c r="C454" s="52"/>
      <c r="D454" s="52"/>
      <c r="E454" s="52" t="str">
        <f t="shared" si="22"/>
        <v>PROG</v>
      </c>
      <c r="F454" s="52"/>
      <c r="G454" s="52" t="str">
        <f t="shared" si="23"/>
        <v>P</v>
      </c>
      <c r="H454" s="52"/>
      <c r="I454" s="52"/>
      <c r="J454" s="52" t="str">
        <f t="shared" si="24"/>
        <v>ELEM</v>
      </c>
      <c r="K454" s="52"/>
      <c r="L454" s="87"/>
      <c r="M454" s="52" t="e">
        <v>#N/A</v>
      </c>
      <c r="N454" s="52"/>
      <c r="O454" s="52"/>
      <c r="P454" s="52"/>
      <c r="Q454" s="52"/>
      <c r="R454" s="52"/>
      <c r="S454" s="52"/>
      <c r="T454" s="52"/>
      <c r="U454" s="52"/>
      <c r="V454" s="52"/>
      <c r="W454" s="53"/>
      <c r="X454" s="23"/>
      <c r="Y454" s="52"/>
      <c r="Z454" s="52"/>
      <c r="AA454" s="52"/>
      <c r="AB454" s="52"/>
      <c r="AC454" s="52"/>
      <c r="AD454" s="52"/>
      <c r="AE454" s="52"/>
    </row>
    <row r="455" spans="2:31" x14ac:dyDescent="0.25">
      <c r="B455" s="52"/>
      <c r="C455" s="52"/>
      <c r="D455" s="52"/>
      <c r="E455" s="52" t="str">
        <f t="shared" si="22"/>
        <v>PROG</v>
      </c>
      <c r="F455" s="52"/>
      <c r="G455" s="52" t="str">
        <f t="shared" si="23"/>
        <v>P</v>
      </c>
      <c r="H455" s="52"/>
      <c r="I455" s="52"/>
      <c r="J455" s="52" t="str">
        <f t="shared" si="24"/>
        <v>ELEM</v>
      </c>
      <c r="K455" s="52"/>
      <c r="L455" s="87"/>
      <c r="M455" s="52" t="e">
        <v>#N/A</v>
      </c>
      <c r="N455" s="52"/>
      <c r="O455" s="52"/>
      <c r="P455" s="52"/>
      <c r="Q455" s="52"/>
      <c r="R455" s="52"/>
      <c r="S455" s="52"/>
      <c r="T455" s="52"/>
      <c r="U455" s="52"/>
      <c r="V455" s="52"/>
      <c r="W455" s="53"/>
      <c r="X455" s="23"/>
      <c r="Y455" s="52"/>
      <c r="Z455" s="52"/>
      <c r="AA455" s="52"/>
      <c r="AB455" s="52"/>
      <c r="AC455" s="52"/>
      <c r="AD455" s="52"/>
      <c r="AE455" s="52"/>
    </row>
    <row r="456" spans="2:31" x14ac:dyDescent="0.25">
      <c r="B456" s="52"/>
      <c r="C456" s="52"/>
      <c r="D456" s="52"/>
      <c r="E456" s="52" t="str">
        <f t="shared" si="22"/>
        <v>PROG</v>
      </c>
      <c r="F456" s="52"/>
      <c r="G456" s="52" t="str">
        <f t="shared" si="23"/>
        <v>P</v>
      </c>
      <c r="H456" s="52"/>
      <c r="I456" s="52"/>
      <c r="J456" s="52" t="str">
        <f t="shared" si="24"/>
        <v>ELEM</v>
      </c>
      <c r="K456" s="52"/>
      <c r="L456" s="87"/>
      <c r="M456" s="52" t="e">
        <v>#N/A</v>
      </c>
      <c r="N456" s="52"/>
      <c r="O456" s="52"/>
      <c r="P456" s="52"/>
      <c r="Q456" s="52"/>
      <c r="R456" s="52"/>
      <c r="S456" s="52"/>
      <c r="T456" s="52"/>
      <c r="U456" s="52"/>
      <c r="V456" s="52"/>
      <c r="W456" s="53"/>
      <c r="X456" s="23"/>
      <c r="Y456" s="52"/>
      <c r="Z456" s="52"/>
      <c r="AA456" s="52"/>
      <c r="AB456" s="52"/>
      <c r="AC456" s="52"/>
      <c r="AD456" s="52"/>
      <c r="AE456" s="52"/>
    </row>
    <row r="457" spans="2:31" x14ac:dyDescent="0.25">
      <c r="B457" s="52"/>
      <c r="C457" s="52"/>
      <c r="D457" s="52"/>
      <c r="E457" s="52" t="str">
        <f t="shared" si="22"/>
        <v>PROG</v>
      </c>
      <c r="F457" s="52"/>
      <c r="G457" s="52" t="str">
        <f t="shared" si="23"/>
        <v>P</v>
      </c>
      <c r="H457" s="52"/>
      <c r="I457" s="52"/>
      <c r="J457" s="52" t="str">
        <f t="shared" si="24"/>
        <v>ELEM</v>
      </c>
      <c r="K457" s="52"/>
      <c r="L457" s="87"/>
      <c r="M457" s="52" t="e">
        <v>#N/A</v>
      </c>
      <c r="N457" s="52"/>
      <c r="O457" s="52"/>
      <c r="P457" s="52"/>
      <c r="Q457" s="52"/>
      <c r="R457" s="52"/>
      <c r="S457" s="52"/>
      <c r="T457" s="52"/>
      <c r="U457" s="52"/>
      <c r="V457" s="52"/>
      <c r="W457" s="53"/>
      <c r="X457" s="23"/>
      <c r="Y457" s="52"/>
      <c r="Z457" s="52"/>
      <c r="AA457" s="52"/>
      <c r="AB457" s="52"/>
      <c r="AC457" s="52"/>
      <c r="AD457" s="52"/>
      <c r="AE457" s="52"/>
    </row>
    <row r="458" spans="2:31" x14ac:dyDescent="0.25">
      <c r="B458" s="52"/>
      <c r="C458" s="52"/>
      <c r="D458" s="52"/>
      <c r="E458" s="52" t="str">
        <f t="shared" si="22"/>
        <v>PROG</v>
      </c>
      <c r="F458" s="52"/>
      <c r="G458" s="52" t="str">
        <f t="shared" si="23"/>
        <v>P</v>
      </c>
      <c r="H458" s="52"/>
      <c r="I458" s="52"/>
      <c r="J458" s="52" t="str">
        <f t="shared" si="24"/>
        <v>ELEM</v>
      </c>
      <c r="K458" s="52"/>
      <c r="L458" s="87"/>
      <c r="M458" s="52" t="e">
        <v>#N/A</v>
      </c>
      <c r="N458" s="52"/>
      <c r="O458" s="52"/>
      <c r="P458" s="52"/>
      <c r="Q458" s="52"/>
      <c r="R458" s="52"/>
      <c r="S458" s="52"/>
      <c r="T458" s="52"/>
      <c r="U458" s="52"/>
      <c r="V458" s="52"/>
      <c r="W458" s="53"/>
      <c r="X458" s="23"/>
      <c r="Y458" s="52"/>
      <c r="Z458" s="52"/>
      <c r="AA458" s="52"/>
      <c r="AB458" s="52"/>
      <c r="AC458" s="52"/>
      <c r="AD458" s="52"/>
      <c r="AE458" s="52"/>
    </row>
    <row r="459" spans="2:31" x14ac:dyDescent="0.25">
      <c r="B459" s="52"/>
      <c r="C459" s="52"/>
      <c r="D459" s="52"/>
      <c r="E459" s="52" t="str">
        <f t="shared" si="22"/>
        <v>PROG</v>
      </c>
      <c r="F459" s="52"/>
      <c r="G459" s="52" t="str">
        <f t="shared" si="23"/>
        <v>P</v>
      </c>
      <c r="H459" s="52"/>
      <c r="I459" s="52"/>
      <c r="J459" s="52" t="str">
        <f t="shared" si="24"/>
        <v>ELEM</v>
      </c>
      <c r="K459" s="52"/>
      <c r="L459" s="87"/>
      <c r="M459" s="52" t="e">
        <v>#N/A</v>
      </c>
      <c r="N459" s="52"/>
      <c r="O459" s="52"/>
      <c r="P459" s="52"/>
      <c r="Q459" s="52"/>
      <c r="R459" s="52"/>
      <c r="S459" s="52"/>
      <c r="T459" s="52"/>
      <c r="U459" s="52"/>
      <c r="V459" s="52"/>
      <c r="W459" s="53"/>
      <c r="X459" s="23"/>
      <c r="Y459" s="52"/>
      <c r="Z459" s="52"/>
      <c r="AA459" s="52"/>
      <c r="AB459" s="52"/>
      <c r="AC459" s="52"/>
      <c r="AD459" s="52"/>
      <c r="AE459" s="52"/>
    </row>
    <row r="460" spans="2:31" x14ac:dyDescent="0.25">
      <c r="B460" s="52"/>
      <c r="C460" s="52"/>
      <c r="D460" s="52"/>
      <c r="E460" s="52" t="str">
        <f t="shared" si="22"/>
        <v>PROG</v>
      </c>
      <c r="F460" s="52"/>
      <c r="G460" s="52" t="str">
        <f t="shared" si="23"/>
        <v>P</v>
      </c>
      <c r="H460" s="52"/>
      <c r="I460" s="52"/>
      <c r="J460" s="52" t="str">
        <f t="shared" si="24"/>
        <v>ELEM</v>
      </c>
      <c r="K460" s="52"/>
      <c r="L460" s="87"/>
      <c r="M460" s="52" t="e">
        <v>#N/A</v>
      </c>
      <c r="N460" s="52"/>
      <c r="O460" s="52"/>
      <c r="P460" s="52"/>
      <c r="Q460" s="52"/>
      <c r="R460" s="52"/>
      <c r="S460" s="52"/>
      <c r="T460" s="52"/>
      <c r="U460" s="52"/>
      <c r="V460" s="52"/>
      <c r="W460" s="53"/>
      <c r="X460" s="23"/>
      <c r="Y460" s="52"/>
      <c r="Z460" s="52"/>
      <c r="AA460" s="52"/>
      <c r="AB460" s="52"/>
      <c r="AC460" s="52"/>
      <c r="AD460" s="52"/>
      <c r="AE460" s="52"/>
    </row>
    <row r="461" spans="2:31" x14ac:dyDescent="0.25">
      <c r="B461" s="52"/>
      <c r="C461" s="52"/>
      <c r="D461" s="52"/>
      <c r="E461" s="52" t="str">
        <f t="shared" si="22"/>
        <v>PROG</v>
      </c>
      <c r="F461" s="52"/>
      <c r="G461" s="52" t="str">
        <f t="shared" si="23"/>
        <v>P</v>
      </c>
      <c r="H461" s="52"/>
      <c r="I461" s="52"/>
      <c r="J461" s="52" t="str">
        <f t="shared" si="24"/>
        <v>ELEM</v>
      </c>
      <c r="K461" s="52"/>
      <c r="L461" s="87"/>
      <c r="M461" s="52" t="e">
        <v>#N/A</v>
      </c>
      <c r="N461" s="52"/>
      <c r="O461" s="52"/>
      <c r="P461" s="52"/>
      <c r="Q461" s="52"/>
      <c r="R461" s="52"/>
      <c r="S461" s="52"/>
      <c r="T461" s="52"/>
      <c r="U461" s="52"/>
      <c r="V461" s="52"/>
      <c r="W461" s="53"/>
      <c r="X461" s="23"/>
      <c r="Y461" s="52"/>
      <c r="Z461" s="52"/>
      <c r="AA461" s="52"/>
      <c r="AB461" s="52"/>
      <c r="AC461" s="52"/>
      <c r="AD461" s="52"/>
      <c r="AE461" s="52"/>
    </row>
    <row r="462" spans="2:31" x14ac:dyDescent="0.25">
      <c r="B462" s="52"/>
      <c r="C462" s="52"/>
      <c r="D462" s="52"/>
      <c r="E462" s="52" t="str">
        <f t="shared" si="22"/>
        <v>PROG</v>
      </c>
      <c r="F462" s="52"/>
      <c r="G462" s="52" t="str">
        <f t="shared" si="23"/>
        <v>P</v>
      </c>
      <c r="H462" s="52"/>
      <c r="I462" s="52"/>
      <c r="J462" s="52" t="str">
        <f t="shared" si="24"/>
        <v>ELEM</v>
      </c>
      <c r="K462" s="52"/>
      <c r="L462" s="87"/>
      <c r="M462" s="52" t="e">
        <v>#N/A</v>
      </c>
      <c r="N462" s="52"/>
      <c r="O462" s="52"/>
      <c r="P462" s="52"/>
      <c r="Q462" s="52"/>
      <c r="R462" s="52"/>
      <c r="S462" s="52"/>
      <c r="T462" s="52"/>
      <c r="U462" s="52"/>
      <c r="V462" s="52"/>
      <c r="W462" s="53"/>
      <c r="X462" s="23"/>
      <c r="Y462" s="52"/>
      <c r="Z462" s="52"/>
      <c r="AA462" s="52"/>
      <c r="AB462" s="52"/>
      <c r="AC462" s="52"/>
      <c r="AD462" s="52"/>
      <c r="AE462" s="52"/>
    </row>
    <row r="463" spans="2:31" x14ac:dyDescent="0.25">
      <c r="B463" s="52"/>
      <c r="C463" s="52"/>
      <c r="D463" s="52"/>
      <c r="E463" s="52" t="str">
        <f t="shared" si="22"/>
        <v>PROG</v>
      </c>
      <c r="F463" s="52"/>
      <c r="G463" s="52" t="str">
        <f t="shared" si="23"/>
        <v>P</v>
      </c>
      <c r="H463" s="52"/>
      <c r="I463" s="52"/>
      <c r="J463" s="52" t="str">
        <f t="shared" si="24"/>
        <v>ELEM</v>
      </c>
      <c r="K463" s="52"/>
      <c r="L463" s="87"/>
      <c r="M463" s="52" t="e">
        <v>#N/A</v>
      </c>
      <c r="N463" s="52"/>
      <c r="O463" s="52"/>
      <c r="P463" s="52"/>
      <c r="Q463" s="52"/>
      <c r="R463" s="52"/>
      <c r="S463" s="52"/>
      <c r="T463" s="52"/>
      <c r="U463" s="52"/>
      <c r="V463" s="52"/>
      <c r="W463" s="53"/>
      <c r="X463" s="23"/>
      <c r="Y463" s="52"/>
      <c r="Z463" s="52"/>
      <c r="AA463" s="52"/>
      <c r="AB463" s="52"/>
      <c r="AC463" s="52"/>
      <c r="AD463" s="52"/>
      <c r="AE463" s="52"/>
    </row>
    <row r="464" spans="2:31" x14ac:dyDescent="0.25">
      <c r="B464" s="52"/>
      <c r="C464" s="52"/>
      <c r="D464" s="52"/>
      <c r="E464" s="52" t="str">
        <f t="shared" si="22"/>
        <v>PROG</v>
      </c>
      <c r="F464" s="52"/>
      <c r="G464" s="52" t="str">
        <f t="shared" si="23"/>
        <v>P</v>
      </c>
      <c r="H464" s="52"/>
      <c r="I464" s="52"/>
      <c r="J464" s="52" t="str">
        <f t="shared" si="24"/>
        <v>ELEM</v>
      </c>
      <c r="K464" s="52"/>
      <c r="L464" s="87"/>
      <c r="M464" s="52" t="e">
        <v>#N/A</v>
      </c>
      <c r="N464" s="52"/>
      <c r="O464" s="52"/>
      <c r="P464" s="52"/>
      <c r="Q464" s="52"/>
      <c r="R464" s="52"/>
      <c r="S464" s="52"/>
      <c r="T464" s="52"/>
      <c r="U464" s="52"/>
      <c r="V464" s="52"/>
      <c r="W464" s="53"/>
      <c r="X464" s="23"/>
      <c r="Y464" s="52"/>
      <c r="Z464" s="52"/>
      <c r="AA464" s="52"/>
      <c r="AB464" s="52"/>
      <c r="AC464" s="52"/>
      <c r="AD464" s="52"/>
      <c r="AE464" s="52"/>
    </row>
    <row r="465" spans="2:31" x14ac:dyDescent="0.25">
      <c r="B465" s="52"/>
      <c r="C465" s="52"/>
      <c r="D465" s="52"/>
      <c r="E465" s="52" t="str">
        <f t="shared" si="22"/>
        <v>PROG</v>
      </c>
      <c r="F465" s="52"/>
      <c r="G465" s="52" t="str">
        <f t="shared" si="23"/>
        <v>P</v>
      </c>
      <c r="H465" s="52"/>
      <c r="I465" s="52"/>
      <c r="J465" s="52" t="str">
        <f t="shared" si="24"/>
        <v>ELEM</v>
      </c>
      <c r="K465" s="52"/>
      <c r="L465" s="87"/>
      <c r="M465" s="52" t="e">
        <v>#N/A</v>
      </c>
      <c r="N465" s="52"/>
      <c r="O465" s="52"/>
      <c r="P465" s="52"/>
      <c r="Q465" s="52"/>
      <c r="R465" s="52"/>
      <c r="S465" s="52"/>
      <c r="T465" s="52"/>
      <c r="U465" s="52"/>
      <c r="V465" s="52"/>
      <c r="W465" s="53"/>
      <c r="X465" s="23"/>
      <c r="Y465" s="52"/>
      <c r="Z465" s="52"/>
      <c r="AA465" s="52"/>
      <c r="AB465" s="52"/>
      <c r="AC465" s="52"/>
      <c r="AD465" s="52"/>
      <c r="AE465" s="52"/>
    </row>
    <row r="466" spans="2:31" x14ac:dyDescent="0.25">
      <c r="B466" s="52"/>
      <c r="C466" s="52"/>
      <c r="D466" s="52"/>
      <c r="E466" s="52" t="str">
        <f t="shared" si="22"/>
        <v>PROG</v>
      </c>
      <c r="F466" s="52"/>
      <c r="G466" s="52" t="str">
        <f t="shared" si="23"/>
        <v>P</v>
      </c>
      <c r="H466" s="52"/>
      <c r="I466" s="52"/>
      <c r="J466" s="52" t="str">
        <f t="shared" si="24"/>
        <v>ELEM</v>
      </c>
      <c r="K466" s="52"/>
      <c r="L466" s="87"/>
      <c r="M466" s="52" t="e">
        <v>#N/A</v>
      </c>
      <c r="N466" s="52"/>
      <c r="O466" s="52"/>
      <c r="P466" s="52"/>
      <c r="Q466" s="52"/>
      <c r="R466" s="52"/>
      <c r="S466" s="52"/>
      <c r="T466" s="52"/>
      <c r="U466" s="52"/>
      <c r="V466" s="52"/>
      <c r="W466" s="53"/>
      <c r="X466" s="23"/>
      <c r="Y466" s="52"/>
      <c r="Z466" s="52"/>
      <c r="AA466" s="52"/>
      <c r="AB466" s="52"/>
      <c r="AC466" s="52"/>
      <c r="AD466" s="52"/>
      <c r="AE466" s="52"/>
    </row>
    <row r="467" spans="2:31" x14ac:dyDescent="0.25">
      <c r="B467" s="52"/>
      <c r="C467" s="52"/>
      <c r="D467" s="52"/>
      <c r="E467" s="52" t="str">
        <f t="shared" si="22"/>
        <v>PROG</v>
      </c>
      <c r="F467" s="52"/>
      <c r="G467" s="52" t="str">
        <f t="shared" si="23"/>
        <v>P</v>
      </c>
      <c r="H467" s="52"/>
      <c r="I467" s="52"/>
      <c r="J467" s="52" t="str">
        <f t="shared" si="24"/>
        <v>ELEM</v>
      </c>
      <c r="K467" s="52"/>
      <c r="L467" s="87"/>
      <c r="M467" s="52" t="e">
        <v>#N/A</v>
      </c>
      <c r="N467" s="52"/>
      <c r="O467" s="52"/>
      <c r="P467" s="52"/>
      <c r="Q467" s="52"/>
      <c r="R467" s="52"/>
      <c r="S467" s="52"/>
      <c r="T467" s="52"/>
      <c r="U467" s="52"/>
      <c r="V467" s="52"/>
      <c r="W467" s="53"/>
      <c r="X467" s="23"/>
      <c r="Y467" s="52"/>
      <c r="Z467" s="52"/>
      <c r="AA467" s="52"/>
      <c r="AB467" s="52"/>
      <c r="AC467" s="52"/>
      <c r="AD467" s="52"/>
      <c r="AE467" s="52"/>
    </row>
    <row r="468" spans="2:31" x14ac:dyDescent="0.25">
      <c r="B468" s="52"/>
      <c r="C468" s="52"/>
      <c r="D468" s="52"/>
      <c r="E468" s="52" t="str">
        <f t="shared" si="22"/>
        <v>PROG</v>
      </c>
      <c r="F468" s="52"/>
      <c r="G468" s="52" t="str">
        <f t="shared" si="23"/>
        <v>P</v>
      </c>
      <c r="H468" s="52"/>
      <c r="I468" s="52"/>
      <c r="J468" s="52" t="str">
        <f t="shared" si="24"/>
        <v>ELEM</v>
      </c>
      <c r="K468" s="52"/>
      <c r="L468" s="87"/>
      <c r="M468" s="52" t="e">
        <v>#N/A</v>
      </c>
      <c r="N468" s="52"/>
      <c r="O468" s="52"/>
      <c r="P468" s="52"/>
      <c r="Q468" s="52"/>
      <c r="R468" s="52"/>
      <c r="S468" s="52"/>
      <c r="T468" s="52"/>
      <c r="U468" s="52"/>
      <c r="V468" s="52"/>
      <c r="W468" s="53"/>
      <c r="X468" s="23"/>
      <c r="Y468" s="52"/>
      <c r="Z468" s="52"/>
      <c r="AA468" s="52"/>
      <c r="AB468" s="52"/>
      <c r="AC468" s="52"/>
      <c r="AD468" s="52"/>
      <c r="AE468" s="52"/>
    </row>
    <row r="469" spans="2:31" x14ac:dyDescent="0.25">
      <c r="B469" s="52"/>
      <c r="C469" s="52"/>
      <c r="D469" s="52"/>
      <c r="E469" s="52" t="str">
        <f t="shared" si="22"/>
        <v>PROG</v>
      </c>
      <c r="F469" s="52"/>
      <c r="G469" s="52" t="str">
        <f t="shared" si="23"/>
        <v>P</v>
      </c>
      <c r="H469" s="52"/>
      <c r="I469" s="52"/>
      <c r="J469" s="52" t="str">
        <f t="shared" si="24"/>
        <v>ELEM</v>
      </c>
      <c r="K469" s="52"/>
      <c r="L469" s="87"/>
      <c r="M469" s="52" t="e">
        <v>#N/A</v>
      </c>
      <c r="N469" s="52"/>
      <c r="O469" s="52"/>
      <c r="P469" s="52"/>
      <c r="Q469" s="52"/>
      <c r="R469" s="52"/>
      <c r="S469" s="52"/>
      <c r="T469" s="52"/>
      <c r="U469" s="52"/>
      <c r="V469" s="52"/>
      <c r="W469" s="53"/>
      <c r="X469" s="23"/>
      <c r="Y469" s="52"/>
      <c r="Z469" s="52"/>
      <c r="AA469" s="52"/>
      <c r="AB469" s="52"/>
      <c r="AC469" s="52"/>
      <c r="AD469" s="52"/>
      <c r="AE469" s="52"/>
    </row>
    <row r="470" spans="2:31" x14ac:dyDescent="0.25">
      <c r="B470" s="52"/>
      <c r="C470" s="52"/>
      <c r="D470" s="52"/>
      <c r="E470" s="52" t="str">
        <f t="shared" si="22"/>
        <v>PROG</v>
      </c>
      <c r="F470" s="52"/>
      <c r="G470" s="52" t="str">
        <f t="shared" si="23"/>
        <v>P</v>
      </c>
      <c r="H470" s="52"/>
      <c r="I470" s="52"/>
      <c r="J470" s="52" t="str">
        <f t="shared" si="24"/>
        <v>ELEM</v>
      </c>
      <c r="K470" s="52"/>
      <c r="L470" s="87"/>
      <c r="M470" s="52" t="e">
        <v>#N/A</v>
      </c>
      <c r="N470" s="52"/>
      <c r="O470" s="52"/>
      <c r="P470" s="52"/>
      <c r="Q470" s="52"/>
      <c r="R470" s="52"/>
      <c r="S470" s="52"/>
      <c r="T470" s="52"/>
      <c r="U470" s="52"/>
      <c r="V470" s="52"/>
      <c r="W470" s="53"/>
      <c r="X470" s="23"/>
      <c r="Y470" s="52"/>
      <c r="Z470" s="52"/>
      <c r="AA470" s="52"/>
      <c r="AB470" s="52"/>
      <c r="AC470" s="52"/>
      <c r="AD470" s="52"/>
      <c r="AE470" s="52"/>
    </row>
    <row r="471" spans="2:31" x14ac:dyDescent="0.25">
      <c r="B471" s="52"/>
      <c r="C471" s="52"/>
      <c r="D471" s="52"/>
      <c r="E471" s="52" t="str">
        <f t="shared" si="22"/>
        <v>PROG</v>
      </c>
      <c r="F471" s="52"/>
      <c r="G471" s="52" t="str">
        <f t="shared" si="23"/>
        <v>P</v>
      </c>
      <c r="H471" s="52"/>
      <c r="I471" s="52"/>
      <c r="J471" s="52" t="str">
        <f t="shared" si="24"/>
        <v>ELEM</v>
      </c>
      <c r="K471" s="52"/>
      <c r="L471" s="87"/>
      <c r="M471" s="52" t="e">
        <v>#N/A</v>
      </c>
      <c r="N471" s="52"/>
      <c r="O471" s="52"/>
      <c r="P471" s="52"/>
      <c r="Q471" s="52"/>
      <c r="R471" s="52"/>
      <c r="S471" s="52"/>
      <c r="T471" s="52"/>
      <c r="U471" s="52"/>
      <c r="V471" s="52"/>
      <c r="W471" s="53"/>
      <c r="X471" s="23"/>
      <c r="Y471" s="52"/>
      <c r="Z471" s="52"/>
      <c r="AA471" s="52"/>
      <c r="AB471" s="52"/>
      <c r="AC471" s="52"/>
      <c r="AD471" s="52"/>
      <c r="AE471" s="52"/>
    </row>
    <row r="472" spans="2:31" x14ac:dyDescent="0.25">
      <c r="B472" s="52"/>
      <c r="C472" s="52"/>
      <c r="D472" s="52"/>
      <c r="E472" s="52" t="str">
        <f t="shared" si="22"/>
        <v>PROG</v>
      </c>
      <c r="F472" s="52"/>
      <c r="G472" s="52" t="str">
        <f t="shared" si="23"/>
        <v>P</v>
      </c>
      <c r="H472" s="52"/>
      <c r="I472" s="52"/>
      <c r="J472" s="52" t="str">
        <f t="shared" si="24"/>
        <v>ELEM</v>
      </c>
      <c r="K472" s="52"/>
      <c r="L472" s="87"/>
      <c r="M472" s="52" t="e">
        <v>#N/A</v>
      </c>
      <c r="N472" s="52"/>
      <c r="O472" s="52"/>
      <c r="P472" s="52"/>
      <c r="Q472" s="52"/>
      <c r="R472" s="52"/>
      <c r="S472" s="52"/>
      <c r="T472" s="52"/>
      <c r="U472" s="52"/>
      <c r="V472" s="52"/>
      <c r="W472" s="53"/>
      <c r="X472" s="23"/>
      <c r="Y472" s="52"/>
      <c r="Z472" s="52"/>
      <c r="AA472" s="52"/>
      <c r="AB472" s="52"/>
      <c r="AC472" s="52"/>
      <c r="AD472" s="52"/>
      <c r="AE472" s="52"/>
    </row>
    <row r="473" spans="2:31" x14ac:dyDescent="0.25">
      <c r="B473" s="52"/>
      <c r="C473" s="52"/>
      <c r="D473" s="52"/>
      <c r="E473" s="52" t="str">
        <f t="shared" si="22"/>
        <v>PROG</v>
      </c>
      <c r="F473" s="52"/>
      <c r="G473" s="52" t="str">
        <f t="shared" si="23"/>
        <v>P</v>
      </c>
      <c r="H473" s="52"/>
      <c r="I473" s="52"/>
      <c r="J473" s="52" t="str">
        <f t="shared" si="24"/>
        <v>ELEM</v>
      </c>
      <c r="K473" s="52"/>
      <c r="L473" s="87"/>
      <c r="M473" s="52" t="e">
        <v>#N/A</v>
      </c>
      <c r="N473" s="52"/>
      <c r="O473" s="52"/>
      <c r="P473" s="52"/>
      <c r="Q473" s="52"/>
      <c r="R473" s="52"/>
      <c r="S473" s="52"/>
      <c r="T473" s="52"/>
      <c r="U473" s="52"/>
      <c r="V473" s="52"/>
      <c r="W473" s="53"/>
      <c r="X473" s="23"/>
      <c r="Y473" s="52"/>
      <c r="Z473" s="52"/>
      <c r="AA473" s="52"/>
      <c r="AB473" s="52"/>
      <c r="AC473" s="52"/>
      <c r="AD473" s="52"/>
      <c r="AE473" s="52"/>
    </row>
    <row r="474" spans="2:31" x14ac:dyDescent="0.25">
      <c r="B474" s="52"/>
      <c r="C474" s="52"/>
      <c r="D474" s="52"/>
      <c r="E474" s="52" t="str">
        <f t="shared" si="22"/>
        <v>PROG</v>
      </c>
      <c r="F474" s="52"/>
      <c r="G474" s="52" t="str">
        <f t="shared" si="23"/>
        <v>P</v>
      </c>
      <c r="H474" s="52"/>
      <c r="I474" s="52"/>
      <c r="J474" s="52" t="str">
        <f t="shared" si="24"/>
        <v>ELEM</v>
      </c>
      <c r="K474" s="52"/>
      <c r="L474" s="87"/>
      <c r="M474" s="52" t="e">
        <v>#N/A</v>
      </c>
      <c r="N474" s="52"/>
      <c r="O474" s="52"/>
      <c r="P474" s="52"/>
      <c r="Q474" s="52"/>
      <c r="R474" s="52"/>
      <c r="S474" s="52"/>
      <c r="T474" s="52"/>
      <c r="U474" s="52"/>
      <c r="V474" s="52"/>
      <c r="W474" s="53"/>
      <c r="X474" s="23"/>
      <c r="Y474" s="52"/>
      <c r="Z474" s="52"/>
      <c r="AA474" s="52"/>
      <c r="AB474" s="52"/>
      <c r="AC474" s="52"/>
      <c r="AD474" s="52"/>
      <c r="AE474" s="52"/>
    </row>
    <row r="475" spans="2:31" x14ac:dyDescent="0.25">
      <c r="B475" s="52"/>
      <c r="C475" s="52"/>
      <c r="D475" s="52"/>
      <c r="E475" s="52" t="str">
        <f t="shared" si="22"/>
        <v>PROG</v>
      </c>
      <c r="F475" s="52"/>
      <c r="G475" s="52" t="str">
        <f t="shared" si="23"/>
        <v>P</v>
      </c>
      <c r="H475" s="52"/>
      <c r="I475" s="52"/>
      <c r="J475" s="52" t="str">
        <f t="shared" si="24"/>
        <v>ELEM</v>
      </c>
      <c r="K475" s="52"/>
      <c r="L475" s="87"/>
      <c r="M475" s="52" t="e">
        <v>#N/A</v>
      </c>
      <c r="N475" s="52"/>
      <c r="O475" s="52"/>
      <c r="P475" s="52"/>
      <c r="Q475" s="52"/>
      <c r="R475" s="52"/>
      <c r="S475" s="52"/>
      <c r="T475" s="52"/>
      <c r="U475" s="52"/>
      <c r="V475" s="52"/>
      <c r="W475" s="53"/>
      <c r="X475" s="23"/>
      <c r="Y475" s="52"/>
      <c r="Z475" s="52"/>
      <c r="AA475" s="52"/>
      <c r="AB475" s="52"/>
      <c r="AC475" s="52"/>
      <c r="AD475" s="52"/>
      <c r="AE475" s="52"/>
    </row>
    <row r="476" spans="2:31" x14ac:dyDescent="0.25">
      <c r="B476" s="52"/>
      <c r="C476" s="52"/>
      <c r="D476" s="52"/>
      <c r="E476" s="52" t="str">
        <f t="shared" si="22"/>
        <v>PROG</v>
      </c>
      <c r="F476" s="52"/>
      <c r="G476" s="52" t="str">
        <f t="shared" si="23"/>
        <v>P</v>
      </c>
      <c r="H476" s="52"/>
      <c r="I476" s="52"/>
      <c r="J476" s="52" t="str">
        <f t="shared" si="24"/>
        <v>ELEM</v>
      </c>
      <c r="K476" s="52"/>
      <c r="L476" s="87"/>
      <c r="M476" s="52" t="e">
        <v>#N/A</v>
      </c>
      <c r="N476" s="52"/>
      <c r="O476" s="52"/>
      <c r="P476" s="52"/>
      <c r="Q476" s="52"/>
      <c r="R476" s="52"/>
      <c r="S476" s="52"/>
      <c r="T476" s="52"/>
      <c r="U476" s="52"/>
      <c r="V476" s="52"/>
      <c r="W476" s="53"/>
      <c r="X476" s="23"/>
      <c r="Y476" s="52"/>
      <c r="Z476" s="52"/>
      <c r="AA476" s="52"/>
      <c r="AB476" s="52"/>
      <c r="AC476" s="52"/>
      <c r="AD476" s="52"/>
      <c r="AE476" s="52"/>
    </row>
    <row r="477" spans="2:31" x14ac:dyDescent="0.25">
      <c r="B477" s="52"/>
      <c r="C477" s="52"/>
      <c r="D477" s="52"/>
      <c r="E477" s="52" t="str">
        <f t="shared" si="22"/>
        <v>PROG</v>
      </c>
      <c r="F477" s="52"/>
      <c r="G477" s="52" t="str">
        <f t="shared" si="23"/>
        <v>P</v>
      </c>
      <c r="H477" s="52"/>
      <c r="I477" s="52"/>
      <c r="J477" s="52" t="str">
        <f t="shared" si="24"/>
        <v>ELEM</v>
      </c>
      <c r="K477" s="52"/>
      <c r="L477" s="87"/>
      <c r="M477" s="52" t="e">
        <v>#N/A</v>
      </c>
      <c r="N477" s="52"/>
      <c r="O477" s="52"/>
      <c r="P477" s="52"/>
      <c r="Q477" s="52"/>
      <c r="R477" s="52"/>
      <c r="S477" s="52"/>
      <c r="T477" s="52"/>
      <c r="U477" s="52"/>
      <c r="V477" s="52"/>
      <c r="W477" s="53"/>
      <c r="X477" s="23"/>
      <c r="Y477" s="52"/>
      <c r="Z477" s="52"/>
      <c r="AA477" s="52"/>
      <c r="AB477" s="52"/>
      <c r="AC477" s="52"/>
      <c r="AD477" s="52"/>
      <c r="AE477" s="52"/>
    </row>
    <row r="478" spans="2:31" x14ac:dyDescent="0.25">
      <c r="B478" s="52"/>
      <c r="C478" s="52"/>
      <c r="D478" s="52"/>
      <c r="E478" s="52" t="str">
        <f t="shared" si="22"/>
        <v>PROG</v>
      </c>
      <c r="F478" s="52"/>
      <c r="G478" s="52" t="str">
        <f t="shared" si="23"/>
        <v>P</v>
      </c>
      <c r="H478" s="52"/>
      <c r="I478" s="52"/>
      <c r="J478" s="52" t="str">
        <f t="shared" si="24"/>
        <v>ELEM</v>
      </c>
      <c r="K478" s="52"/>
      <c r="L478" s="87"/>
      <c r="M478" s="52" t="e">
        <v>#N/A</v>
      </c>
      <c r="N478" s="52"/>
      <c r="O478" s="52"/>
      <c r="P478" s="52"/>
      <c r="Q478" s="52"/>
      <c r="R478" s="52"/>
      <c r="S478" s="52"/>
      <c r="T478" s="52"/>
      <c r="U478" s="52"/>
      <c r="V478" s="52"/>
      <c r="W478" s="53"/>
      <c r="X478" s="23"/>
      <c r="Y478" s="52"/>
      <c r="Z478" s="52"/>
      <c r="AA478" s="52"/>
      <c r="AB478" s="52"/>
      <c r="AC478" s="52"/>
      <c r="AD478" s="52"/>
      <c r="AE478" s="52"/>
    </row>
    <row r="479" spans="2:31" x14ac:dyDescent="0.25">
      <c r="B479" s="52"/>
      <c r="C479" s="52"/>
      <c r="D479" s="52"/>
      <c r="E479" s="52" t="str">
        <f t="shared" si="22"/>
        <v>PROG</v>
      </c>
      <c r="F479" s="52"/>
      <c r="G479" s="52" t="str">
        <f t="shared" si="23"/>
        <v>P</v>
      </c>
      <c r="H479" s="52"/>
      <c r="I479" s="52"/>
      <c r="J479" s="52" t="str">
        <f t="shared" si="24"/>
        <v>ELEM</v>
      </c>
      <c r="K479" s="52"/>
      <c r="L479" s="87"/>
      <c r="M479" s="52" t="e">
        <v>#N/A</v>
      </c>
      <c r="N479" s="52"/>
      <c r="O479" s="52"/>
      <c r="P479" s="52"/>
      <c r="Q479" s="52"/>
      <c r="R479" s="52"/>
      <c r="S479" s="52"/>
      <c r="T479" s="52"/>
      <c r="U479" s="52"/>
      <c r="V479" s="52"/>
      <c r="W479" s="53"/>
      <c r="X479" s="23"/>
      <c r="Y479" s="52"/>
      <c r="Z479" s="52"/>
      <c r="AA479" s="52"/>
      <c r="AB479" s="52"/>
      <c r="AC479" s="52"/>
      <c r="AD479" s="52"/>
      <c r="AE479" s="52"/>
    </row>
    <row r="480" spans="2:31" x14ac:dyDescent="0.25">
      <c r="B480" s="52"/>
      <c r="C480" s="52"/>
      <c r="D480" s="52"/>
      <c r="E480" s="52" t="str">
        <f t="shared" si="22"/>
        <v>PROG</v>
      </c>
      <c r="F480" s="52"/>
      <c r="G480" s="52" t="str">
        <f t="shared" si="23"/>
        <v>P</v>
      </c>
      <c r="H480" s="52"/>
      <c r="I480" s="52"/>
      <c r="J480" s="52" t="str">
        <f t="shared" si="24"/>
        <v>ELEM</v>
      </c>
      <c r="K480" s="52"/>
      <c r="L480" s="87"/>
      <c r="M480" s="52" t="e">
        <v>#N/A</v>
      </c>
      <c r="N480" s="52"/>
      <c r="O480" s="52"/>
      <c r="P480" s="52"/>
      <c r="Q480" s="52"/>
      <c r="R480" s="52"/>
      <c r="S480" s="52"/>
      <c r="T480" s="52"/>
      <c r="U480" s="52"/>
      <c r="V480" s="52"/>
      <c r="W480" s="53"/>
      <c r="X480" s="23"/>
      <c r="Y480" s="52"/>
      <c r="Z480" s="52"/>
      <c r="AA480" s="52"/>
      <c r="AB480" s="52"/>
      <c r="AC480" s="52"/>
      <c r="AD480" s="52"/>
      <c r="AE480" s="52"/>
    </row>
    <row r="481" spans="2:31" x14ac:dyDescent="0.25">
      <c r="B481" s="52"/>
      <c r="C481" s="52"/>
      <c r="D481" s="52"/>
      <c r="E481" s="52" t="str">
        <f t="shared" si="22"/>
        <v>PROG</v>
      </c>
      <c r="F481" s="52"/>
      <c r="G481" s="52" t="str">
        <f t="shared" si="23"/>
        <v>P</v>
      </c>
      <c r="H481" s="52"/>
      <c r="I481" s="52"/>
      <c r="J481" s="52" t="str">
        <f t="shared" si="24"/>
        <v>ELEM</v>
      </c>
      <c r="K481" s="52"/>
      <c r="L481" s="87"/>
      <c r="M481" s="52" t="e">
        <v>#N/A</v>
      </c>
      <c r="N481" s="52"/>
      <c r="O481" s="52"/>
      <c r="P481" s="52"/>
      <c r="Q481" s="52"/>
      <c r="R481" s="52"/>
      <c r="S481" s="52"/>
      <c r="T481" s="52"/>
      <c r="U481" s="52"/>
      <c r="V481" s="52"/>
      <c r="W481" s="53"/>
      <c r="X481" s="23"/>
      <c r="Y481" s="52"/>
      <c r="Z481" s="52"/>
      <c r="AA481" s="52"/>
      <c r="AB481" s="52"/>
      <c r="AC481" s="52"/>
      <c r="AD481" s="52"/>
      <c r="AE481" s="52"/>
    </row>
    <row r="482" spans="2:31" x14ac:dyDescent="0.25">
      <c r="B482" s="52"/>
      <c r="C482" s="52"/>
      <c r="D482" s="52"/>
      <c r="E482" s="52" t="str">
        <f t="shared" si="22"/>
        <v>PROG</v>
      </c>
      <c r="F482" s="52"/>
      <c r="G482" s="52" t="str">
        <f t="shared" si="23"/>
        <v>P</v>
      </c>
      <c r="H482" s="52"/>
      <c r="I482" s="52"/>
      <c r="J482" s="52" t="str">
        <f t="shared" si="24"/>
        <v>ELEM</v>
      </c>
      <c r="K482" s="52"/>
      <c r="L482" s="87"/>
      <c r="M482" s="52" t="e">
        <v>#N/A</v>
      </c>
      <c r="N482" s="52"/>
      <c r="O482" s="52"/>
      <c r="P482" s="52"/>
      <c r="Q482" s="52"/>
      <c r="R482" s="52"/>
      <c r="S482" s="52"/>
      <c r="T482" s="52"/>
      <c r="U482" s="52"/>
      <c r="V482" s="52"/>
      <c r="W482" s="53"/>
      <c r="X482" s="23"/>
      <c r="Y482" s="52"/>
      <c r="Z482" s="52"/>
      <c r="AA482" s="52"/>
      <c r="AB482" s="52"/>
      <c r="AC482" s="52"/>
      <c r="AD482" s="52"/>
      <c r="AE482" s="52"/>
    </row>
    <row r="483" spans="2:31" x14ac:dyDescent="0.25">
      <c r="B483" s="52"/>
      <c r="C483" s="52"/>
      <c r="D483" s="52"/>
      <c r="E483" s="52" t="str">
        <f t="shared" si="22"/>
        <v>PROG</v>
      </c>
      <c r="F483" s="52"/>
      <c r="G483" s="52" t="str">
        <f t="shared" si="23"/>
        <v>P</v>
      </c>
      <c r="H483" s="52"/>
      <c r="I483" s="52"/>
      <c r="J483" s="52" t="str">
        <f t="shared" si="24"/>
        <v>ELEM</v>
      </c>
      <c r="K483" s="52"/>
      <c r="L483" s="87"/>
      <c r="M483" s="52" t="e">
        <v>#N/A</v>
      </c>
      <c r="N483" s="52"/>
      <c r="O483" s="52"/>
      <c r="P483" s="52"/>
      <c r="Q483" s="52"/>
      <c r="R483" s="52"/>
      <c r="S483" s="52"/>
      <c r="T483" s="52"/>
      <c r="U483" s="52"/>
      <c r="V483" s="52"/>
      <c r="W483" s="53"/>
      <c r="X483" s="23"/>
      <c r="Y483" s="52"/>
      <c r="Z483" s="52"/>
      <c r="AA483" s="52"/>
      <c r="AB483" s="52"/>
      <c r="AC483" s="52"/>
      <c r="AD483" s="52"/>
      <c r="AE483" s="52"/>
    </row>
    <row r="484" spans="2:31" x14ac:dyDescent="0.25">
      <c r="B484" s="52"/>
      <c r="C484" s="52"/>
      <c r="D484" s="52"/>
      <c r="E484" s="52" t="str">
        <f t="shared" si="22"/>
        <v>PROG</v>
      </c>
      <c r="F484" s="52"/>
      <c r="G484" s="52" t="str">
        <f t="shared" si="23"/>
        <v>P</v>
      </c>
      <c r="H484" s="52"/>
      <c r="I484" s="52"/>
      <c r="J484" s="52" t="str">
        <f t="shared" si="24"/>
        <v>ELEM</v>
      </c>
      <c r="K484" s="52"/>
      <c r="L484" s="87"/>
      <c r="M484" s="52" t="e">
        <v>#N/A</v>
      </c>
      <c r="N484" s="52"/>
      <c r="O484" s="52"/>
      <c r="P484" s="52"/>
      <c r="Q484" s="52"/>
      <c r="R484" s="52"/>
      <c r="S484" s="52"/>
      <c r="T484" s="52"/>
      <c r="U484" s="52"/>
      <c r="V484" s="52"/>
      <c r="W484" s="53"/>
      <c r="X484" s="23"/>
      <c r="Y484" s="52"/>
      <c r="Z484" s="52"/>
      <c r="AA484" s="52"/>
      <c r="AB484" s="52"/>
      <c r="AC484" s="52"/>
      <c r="AD484" s="52"/>
      <c r="AE484" s="52"/>
    </row>
    <row r="485" spans="2:31" x14ac:dyDescent="0.25">
      <c r="B485" s="52"/>
      <c r="C485" s="52"/>
      <c r="D485" s="52"/>
      <c r="E485" s="52" t="str">
        <f t="shared" si="22"/>
        <v>PROG</v>
      </c>
      <c r="F485" s="52"/>
      <c r="G485" s="52" t="str">
        <f t="shared" si="23"/>
        <v>P</v>
      </c>
      <c r="H485" s="52"/>
      <c r="I485" s="52"/>
      <c r="J485" s="52" t="str">
        <f t="shared" si="24"/>
        <v>ELEM</v>
      </c>
      <c r="K485" s="52"/>
      <c r="L485" s="87"/>
      <c r="M485" s="52" t="e">
        <v>#N/A</v>
      </c>
      <c r="N485" s="52"/>
      <c r="O485" s="52"/>
      <c r="P485" s="52"/>
      <c r="Q485" s="52"/>
      <c r="R485" s="52"/>
      <c r="S485" s="52"/>
      <c r="T485" s="52"/>
      <c r="U485" s="52"/>
      <c r="V485" s="52"/>
      <c r="W485" s="53"/>
      <c r="X485" s="23"/>
      <c r="Y485" s="52"/>
      <c r="Z485" s="52"/>
      <c r="AA485" s="52"/>
      <c r="AB485" s="52"/>
      <c r="AC485" s="52"/>
      <c r="AD485" s="52"/>
      <c r="AE485" s="52"/>
    </row>
    <row r="486" spans="2:31" x14ac:dyDescent="0.25">
      <c r="B486" s="52"/>
      <c r="C486" s="52"/>
      <c r="D486" s="52"/>
      <c r="E486" s="52" t="str">
        <f t="shared" si="22"/>
        <v>PROG</v>
      </c>
      <c r="F486" s="52"/>
      <c r="G486" s="52" t="str">
        <f t="shared" si="23"/>
        <v>P</v>
      </c>
      <c r="H486" s="52"/>
      <c r="I486" s="52"/>
      <c r="J486" s="52" t="str">
        <f t="shared" si="24"/>
        <v>ELEM</v>
      </c>
      <c r="K486" s="52"/>
      <c r="L486" s="87"/>
      <c r="M486" s="52" t="e">
        <v>#N/A</v>
      </c>
      <c r="N486" s="52"/>
      <c r="O486" s="52"/>
      <c r="P486" s="52"/>
      <c r="Q486" s="52"/>
      <c r="R486" s="52"/>
      <c r="S486" s="52"/>
      <c r="T486" s="52"/>
      <c r="U486" s="52"/>
      <c r="V486" s="52"/>
      <c r="W486" s="53"/>
      <c r="X486" s="23"/>
      <c r="Y486" s="52"/>
      <c r="Z486" s="52"/>
      <c r="AA486" s="52"/>
      <c r="AB486" s="52"/>
      <c r="AC486" s="52"/>
      <c r="AD486" s="52"/>
      <c r="AE486" s="52"/>
    </row>
    <row r="487" spans="2:31" x14ac:dyDescent="0.25">
      <c r="B487" s="52"/>
      <c r="C487" s="52"/>
      <c r="D487" s="52"/>
      <c r="E487" s="52" t="str">
        <f t="shared" si="22"/>
        <v>PROG</v>
      </c>
      <c r="F487" s="52"/>
      <c r="G487" s="52" t="str">
        <f t="shared" si="23"/>
        <v>P</v>
      </c>
      <c r="H487" s="52"/>
      <c r="I487" s="52"/>
      <c r="J487" s="52" t="str">
        <f t="shared" si="24"/>
        <v>ELEM</v>
      </c>
      <c r="K487" s="52"/>
      <c r="L487" s="87"/>
      <c r="M487" s="52" t="e">
        <v>#N/A</v>
      </c>
      <c r="N487" s="52"/>
      <c r="O487" s="52"/>
      <c r="P487" s="52"/>
      <c r="Q487" s="52"/>
      <c r="R487" s="52"/>
      <c r="S487" s="52"/>
      <c r="T487" s="52"/>
      <c r="U487" s="52"/>
      <c r="V487" s="52"/>
      <c r="W487" s="53"/>
      <c r="X487" s="23"/>
      <c r="Y487" s="52"/>
      <c r="Z487" s="52"/>
      <c r="AA487" s="52"/>
      <c r="AB487" s="52"/>
      <c r="AC487" s="52"/>
      <c r="AD487" s="52"/>
      <c r="AE487" s="52"/>
    </row>
    <row r="488" spans="2:31" x14ac:dyDescent="0.25">
      <c r="B488" s="52"/>
      <c r="C488" s="52"/>
      <c r="D488" s="52"/>
      <c r="E488" s="52" t="str">
        <f t="shared" si="22"/>
        <v>PROG</v>
      </c>
      <c r="F488" s="52"/>
      <c r="G488" s="52" t="str">
        <f t="shared" si="23"/>
        <v>P</v>
      </c>
      <c r="H488" s="52"/>
      <c r="I488" s="52"/>
      <c r="J488" s="52" t="str">
        <f t="shared" si="24"/>
        <v>ELEM</v>
      </c>
      <c r="K488" s="52"/>
      <c r="L488" s="87"/>
      <c r="M488" s="52" t="e">
        <v>#N/A</v>
      </c>
      <c r="N488" s="52"/>
      <c r="O488" s="52"/>
      <c r="P488" s="52"/>
      <c r="Q488" s="52"/>
      <c r="R488" s="52"/>
      <c r="S488" s="52"/>
      <c r="T488" s="52"/>
      <c r="U488" s="52"/>
      <c r="V488" s="52"/>
      <c r="W488" s="53"/>
      <c r="X488" s="23"/>
      <c r="Y488" s="52"/>
      <c r="Z488" s="52"/>
      <c r="AA488" s="52"/>
      <c r="AB488" s="52"/>
      <c r="AC488" s="52"/>
      <c r="AD488" s="52"/>
      <c r="AE488" s="52"/>
    </row>
    <row r="489" spans="2:31" x14ac:dyDescent="0.25">
      <c r="B489" s="52"/>
      <c r="C489" s="52"/>
      <c r="D489" s="52"/>
      <c r="E489" s="52" t="str">
        <f t="shared" si="22"/>
        <v>PROG</v>
      </c>
      <c r="F489" s="52"/>
      <c r="G489" s="52" t="str">
        <f t="shared" si="23"/>
        <v>P</v>
      </c>
      <c r="H489" s="52"/>
      <c r="I489" s="52"/>
      <c r="J489" s="52" t="str">
        <f t="shared" si="24"/>
        <v>ELEM</v>
      </c>
      <c r="K489" s="52"/>
      <c r="L489" s="87"/>
      <c r="M489" s="52" t="e">
        <v>#N/A</v>
      </c>
      <c r="N489" s="52"/>
      <c r="O489" s="52"/>
      <c r="P489" s="52"/>
      <c r="Q489" s="52"/>
      <c r="R489" s="52"/>
      <c r="S489" s="52"/>
      <c r="T489" s="52"/>
      <c r="U489" s="52"/>
      <c r="V489" s="52"/>
      <c r="W489" s="53"/>
      <c r="X489" s="23"/>
      <c r="Y489" s="52"/>
      <c r="Z489" s="52"/>
      <c r="AA489" s="52"/>
      <c r="AB489" s="52"/>
      <c r="AC489" s="52"/>
      <c r="AD489" s="52"/>
      <c r="AE489" s="52"/>
    </row>
    <row r="490" spans="2:31" x14ac:dyDescent="0.25">
      <c r="B490" s="52"/>
      <c r="C490" s="52"/>
      <c r="D490" s="52"/>
      <c r="E490" s="52" t="str">
        <f t="shared" si="22"/>
        <v>PROG</v>
      </c>
      <c r="F490" s="52"/>
      <c r="G490" s="52" t="str">
        <f t="shared" si="23"/>
        <v>P</v>
      </c>
      <c r="H490" s="52"/>
      <c r="I490" s="52"/>
      <c r="J490" s="52" t="str">
        <f t="shared" si="24"/>
        <v>ELEM</v>
      </c>
      <c r="K490" s="52"/>
      <c r="L490" s="87"/>
      <c r="M490" s="52" t="e">
        <v>#N/A</v>
      </c>
      <c r="N490" s="52"/>
      <c r="O490" s="52"/>
      <c r="P490" s="52"/>
      <c r="Q490" s="52"/>
      <c r="R490" s="52"/>
      <c r="S490" s="52"/>
      <c r="T490" s="52"/>
      <c r="U490" s="52"/>
      <c r="V490" s="52"/>
      <c r="W490" s="53"/>
      <c r="X490" s="23"/>
      <c r="Y490" s="52"/>
      <c r="Z490" s="52"/>
      <c r="AA490" s="52"/>
      <c r="AB490" s="52"/>
      <c r="AC490" s="52"/>
      <c r="AD490" s="52"/>
      <c r="AE490" s="52"/>
    </row>
    <row r="491" spans="2:31" x14ac:dyDescent="0.25">
      <c r="B491" s="52"/>
      <c r="C491" s="52"/>
      <c r="D491" s="52"/>
      <c r="E491" s="52" t="str">
        <f t="shared" si="22"/>
        <v>PROG</v>
      </c>
      <c r="F491" s="52"/>
      <c r="G491" s="52" t="str">
        <f t="shared" si="23"/>
        <v>P</v>
      </c>
      <c r="H491" s="52"/>
      <c r="I491" s="52"/>
      <c r="J491" s="52" t="str">
        <f t="shared" si="24"/>
        <v>ELEM</v>
      </c>
      <c r="K491" s="52"/>
      <c r="L491" s="87"/>
      <c r="M491" s="52" t="e">
        <v>#N/A</v>
      </c>
      <c r="N491" s="52"/>
      <c r="O491" s="52"/>
      <c r="P491" s="52"/>
      <c r="Q491" s="52"/>
      <c r="R491" s="52"/>
      <c r="S491" s="52"/>
      <c r="T491" s="52"/>
      <c r="U491" s="52"/>
      <c r="V491" s="52"/>
      <c r="W491" s="53"/>
      <c r="X491" s="23"/>
      <c r="Y491" s="52"/>
      <c r="Z491" s="52"/>
      <c r="AA491" s="52"/>
      <c r="AB491" s="52"/>
      <c r="AC491" s="52"/>
      <c r="AD491" s="52"/>
      <c r="AE491" s="52"/>
    </row>
    <row r="492" spans="2:31" x14ac:dyDescent="0.25">
      <c r="B492" s="52"/>
      <c r="C492" s="52"/>
      <c r="D492" s="52"/>
      <c r="E492" s="52" t="str">
        <f t="shared" si="22"/>
        <v>PROG</v>
      </c>
      <c r="F492" s="52"/>
      <c r="G492" s="52" t="str">
        <f t="shared" si="23"/>
        <v>P</v>
      </c>
      <c r="H492" s="52"/>
      <c r="I492" s="52"/>
      <c r="J492" s="52" t="str">
        <f t="shared" si="24"/>
        <v>ELEM</v>
      </c>
      <c r="K492" s="52"/>
      <c r="L492" s="87"/>
      <c r="M492" s="52" t="e">
        <v>#N/A</v>
      </c>
      <c r="N492" s="52"/>
      <c r="O492" s="52"/>
      <c r="P492" s="52"/>
      <c r="Q492" s="52"/>
      <c r="R492" s="52"/>
      <c r="S492" s="52"/>
      <c r="T492" s="52"/>
      <c r="U492" s="52"/>
      <c r="V492" s="52"/>
      <c r="W492" s="53"/>
      <c r="X492" s="23"/>
      <c r="Y492" s="52"/>
      <c r="Z492" s="52"/>
      <c r="AA492" s="52"/>
      <c r="AB492" s="52"/>
      <c r="AC492" s="52"/>
      <c r="AD492" s="52"/>
      <c r="AE492" s="52"/>
    </row>
    <row r="493" spans="2:31" x14ac:dyDescent="0.25">
      <c r="B493" s="52"/>
      <c r="C493" s="52"/>
      <c r="D493" s="52"/>
      <c r="E493" s="52" t="str">
        <f t="shared" si="22"/>
        <v>PROG</v>
      </c>
      <c r="F493" s="52"/>
      <c r="G493" s="52" t="str">
        <f t="shared" si="23"/>
        <v>P</v>
      </c>
      <c r="H493" s="52"/>
      <c r="I493" s="52"/>
      <c r="J493" s="52" t="str">
        <f t="shared" si="24"/>
        <v>ELEM</v>
      </c>
      <c r="K493" s="52"/>
      <c r="L493" s="87"/>
      <c r="M493" s="52" t="e">
        <v>#N/A</v>
      </c>
      <c r="N493" s="52"/>
      <c r="O493" s="52"/>
      <c r="P493" s="52"/>
      <c r="Q493" s="52"/>
      <c r="R493" s="52"/>
      <c r="S493" s="52"/>
      <c r="T493" s="52"/>
      <c r="U493" s="52"/>
      <c r="V493" s="52"/>
      <c r="W493" s="53"/>
      <c r="X493" s="23"/>
      <c r="Y493" s="52"/>
      <c r="Z493" s="52"/>
      <c r="AA493" s="52"/>
      <c r="AB493" s="52"/>
      <c r="AC493" s="52"/>
      <c r="AD493" s="52"/>
      <c r="AE493" s="52"/>
    </row>
    <row r="494" spans="2:31" x14ac:dyDescent="0.25">
      <c r="B494" s="52"/>
      <c r="C494" s="52"/>
      <c r="D494" s="52"/>
      <c r="E494" s="52" t="str">
        <f t="shared" si="22"/>
        <v>PROG</v>
      </c>
      <c r="F494" s="52"/>
      <c r="G494" s="52" t="str">
        <f t="shared" si="23"/>
        <v>P</v>
      </c>
      <c r="H494" s="52"/>
      <c r="I494" s="52"/>
      <c r="J494" s="52" t="str">
        <f t="shared" si="24"/>
        <v>ELEM</v>
      </c>
      <c r="K494" s="52"/>
      <c r="L494" s="87"/>
      <c r="M494" s="52" t="e">
        <v>#N/A</v>
      </c>
      <c r="N494" s="52"/>
      <c r="O494" s="52"/>
      <c r="P494" s="52"/>
      <c r="Q494" s="52"/>
      <c r="R494" s="52"/>
      <c r="S494" s="52"/>
      <c r="T494" s="52"/>
      <c r="U494" s="52"/>
      <c r="V494" s="52"/>
      <c r="W494" s="53"/>
      <c r="X494" s="23"/>
      <c r="Y494" s="52"/>
      <c r="Z494" s="52"/>
      <c r="AA494" s="52"/>
      <c r="AB494" s="52"/>
      <c r="AC494" s="52"/>
      <c r="AD494" s="52"/>
      <c r="AE494" s="52"/>
    </row>
    <row r="495" spans="2:31" x14ac:dyDescent="0.25">
      <c r="B495" s="52"/>
      <c r="C495" s="52"/>
      <c r="D495" s="52"/>
      <c r="E495" s="52" t="str">
        <f t="shared" si="22"/>
        <v>PROG</v>
      </c>
      <c r="F495" s="52"/>
      <c r="G495" s="52" t="str">
        <f t="shared" si="23"/>
        <v>P</v>
      </c>
      <c r="H495" s="52"/>
      <c r="I495" s="52"/>
      <c r="J495" s="52" t="str">
        <f t="shared" si="24"/>
        <v>ELEM</v>
      </c>
      <c r="K495" s="52"/>
      <c r="L495" s="87"/>
      <c r="M495" s="52" t="e">
        <v>#N/A</v>
      </c>
      <c r="N495" s="52"/>
      <c r="O495" s="52"/>
      <c r="P495" s="52"/>
      <c r="Q495" s="52"/>
      <c r="R495" s="52"/>
      <c r="S495" s="52"/>
      <c r="T495" s="52"/>
      <c r="U495" s="52"/>
      <c r="V495" s="52"/>
      <c r="W495" s="53"/>
      <c r="X495" s="23"/>
      <c r="Y495" s="52"/>
      <c r="Z495" s="52"/>
      <c r="AA495" s="52"/>
      <c r="AB495" s="52"/>
      <c r="AC495" s="52"/>
      <c r="AD495" s="52"/>
      <c r="AE495" s="52"/>
    </row>
    <row r="496" spans="2:31" x14ac:dyDescent="0.25">
      <c r="B496" s="52"/>
      <c r="C496" s="52"/>
      <c r="D496" s="52"/>
      <c r="E496" s="52" t="str">
        <f t="shared" si="22"/>
        <v>PROG</v>
      </c>
      <c r="F496" s="52"/>
      <c r="G496" s="52" t="str">
        <f t="shared" si="23"/>
        <v>P</v>
      </c>
      <c r="H496" s="52"/>
      <c r="I496" s="52"/>
      <c r="J496" s="52" t="str">
        <f t="shared" si="24"/>
        <v>ELEM</v>
      </c>
      <c r="K496" s="52"/>
      <c r="L496" s="87"/>
      <c r="M496" s="52" t="e">
        <v>#N/A</v>
      </c>
      <c r="N496" s="52"/>
      <c r="O496" s="52"/>
      <c r="P496" s="52"/>
      <c r="Q496" s="52"/>
      <c r="R496" s="52"/>
      <c r="S496" s="52"/>
      <c r="T496" s="52"/>
      <c r="U496" s="52"/>
      <c r="V496" s="52"/>
      <c r="W496" s="53"/>
      <c r="X496" s="23"/>
      <c r="Y496" s="52"/>
      <c r="Z496" s="52"/>
      <c r="AA496" s="52"/>
      <c r="AB496" s="52"/>
      <c r="AC496" s="52"/>
      <c r="AD496" s="52"/>
      <c r="AE496" s="52"/>
    </row>
    <row r="497" spans="2:31" x14ac:dyDescent="0.25">
      <c r="B497" s="52"/>
      <c r="C497" s="52"/>
      <c r="D497" s="52"/>
      <c r="E497" s="52" t="str">
        <f t="shared" si="22"/>
        <v>PROG</v>
      </c>
      <c r="F497" s="52"/>
      <c r="G497" s="52" t="str">
        <f t="shared" si="23"/>
        <v>P</v>
      </c>
      <c r="H497" s="52"/>
      <c r="I497" s="52"/>
      <c r="J497" s="52" t="str">
        <f t="shared" si="24"/>
        <v>ELEM</v>
      </c>
      <c r="K497" s="52"/>
      <c r="L497" s="87"/>
      <c r="M497" s="52" t="e">
        <v>#N/A</v>
      </c>
      <c r="N497" s="52"/>
      <c r="O497" s="52"/>
      <c r="P497" s="52"/>
      <c r="Q497" s="52"/>
      <c r="R497" s="52"/>
      <c r="S497" s="52"/>
      <c r="T497" s="52"/>
      <c r="U497" s="52"/>
      <c r="V497" s="52"/>
      <c r="W497" s="53"/>
      <c r="X497" s="23"/>
      <c r="Y497" s="52"/>
      <c r="Z497" s="52"/>
      <c r="AA497" s="52"/>
      <c r="AB497" s="52"/>
      <c r="AC497" s="52"/>
      <c r="AD497" s="52"/>
      <c r="AE497" s="52"/>
    </row>
    <row r="498" spans="2:31" x14ac:dyDescent="0.25">
      <c r="B498" s="52"/>
      <c r="C498" s="52"/>
      <c r="D498" s="52"/>
      <c r="E498" s="52" t="str">
        <f t="shared" si="22"/>
        <v>PROG</v>
      </c>
      <c r="F498" s="52"/>
      <c r="G498" s="52" t="str">
        <f t="shared" si="23"/>
        <v>P</v>
      </c>
      <c r="H498" s="52"/>
      <c r="I498" s="52"/>
      <c r="J498" s="52" t="str">
        <f t="shared" si="24"/>
        <v>ELEM</v>
      </c>
      <c r="K498" s="52"/>
      <c r="L498" s="87"/>
      <c r="M498" s="52" t="e">
        <v>#N/A</v>
      </c>
      <c r="N498" s="52"/>
      <c r="O498" s="52"/>
      <c r="P498" s="52"/>
      <c r="Q498" s="52"/>
      <c r="R498" s="52"/>
      <c r="S498" s="52"/>
      <c r="T498" s="52"/>
      <c r="U498" s="52"/>
      <c r="V498" s="52"/>
      <c r="W498" s="53"/>
      <c r="X498" s="23"/>
      <c r="Y498" s="52"/>
      <c r="Z498" s="52"/>
      <c r="AA498" s="52"/>
      <c r="AB498" s="52"/>
      <c r="AC498" s="52"/>
      <c r="AD498" s="52"/>
      <c r="AE498" s="52"/>
    </row>
    <row r="499" spans="2:31" x14ac:dyDescent="0.25">
      <c r="B499" s="52"/>
      <c r="C499" s="52"/>
      <c r="D499" s="52"/>
      <c r="E499" s="52" t="str">
        <f t="shared" si="22"/>
        <v>PROG</v>
      </c>
      <c r="F499" s="52"/>
      <c r="G499" s="52" t="str">
        <f t="shared" si="23"/>
        <v>P</v>
      </c>
      <c r="H499" s="52"/>
      <c r="I499" s="52"/>
      <c r="J499" s="52" t="str">
        <f t="shared" si="24"/>
        <v>ELEM</v>
      </c>
      <c r="K499" s="52"/>
      <c r="L499" s="87"/>
      <c r="M499" s="52" t="e">
        <v>#N/A</v>
      </c>
      <c r="N499" s="52"/>
      <c r="O499" s="52"/>
      <c r="P499" s="52"/>
      <c r="Q499" s="52"/>
      <c r="R499" s="52"/>
      <c r="S499" s="52"/>
      <c r="T499" s="52"/>
      <c r="U499" s="52"/>
      <c r="V499" s="52"/>
      <c r="W499" s="53"/>
      <c r="X499" s="23"/>
      <c r="Y499" s="52"/>
      <c r="Z499" s="52"/>
      <c r="AA499" s="52"/>
      <c r="AB499" s="52"/>
      <c r="AC499" s="52"/>
      <c r="AD499" s="52"/>
      <c r="AE499" s="52"/>
    </row>
    <row r="500" spans="2:31" x14ac:dyDescent="0.25">
      <c r="B500" s="52"/>
      <c r="C500" s="52"/>
      <c r="D500" s="52"/>
      <c r="E500" s="52" t="str">
        <f t="shared" si="22"/>
        <v>PROG</v>
      </c>
      <c r="F500" s="52"/>
      <c r="G500" s="52" t="str">
        <f t="shared" si="23"/>
        <v>P</v>
      </c>
      <c r="H500" s="52"/>
      <c r="I500" s="52"/>
      <c r="J500" s="52" t="str">
        <f t="shared" si="24"/>
        <v>ELEM</v>
      </c>
      <c r="K500" s="52"/>
      <c r="L500" s="87"/>
      <c r="M500" s="52" t="e">
        <v>#N/A</v>
      </c>
      <c r="N500" s="52"/>
      <c r="O500" s="52"/>
      <c r="P500" s="52"/>
      <c r="Q500" s="52"/>
      <c r="R500" s="52"/>
      <c r="S500" s="52"/>
      <c r="T500" s="52"/>
      <c r="U500" s="52"/>
      <c r="V500" s="52"/>
      <c r="W500" s="53"/>
      <c r="X500" s="23"/>
      <c r="Y500" s="52"/>
      <c r="Z500" s="52"/>
      <c r="AA500" s="52"/>
      <c r="AB500" s="52"/>
      <c r="AC500" s="52"/>
      <c r="AD500" s="52"/>
      <c r="AE500" s="52"/>
    </row>
    <row r="501" spans="2:31" x14ac:dyDescent="0.25">
      <c r="B501" s="52"/>
      <c r="C501" s="52"/>
      <c r="D501" s="52"/>
      <c r="E501" s="52" t="str">
        <f t="shared" si="22"/>
        <v>PROG</v>
      </c>
      <c r="F501" s="52"/>
      <c r="G501" s="52" t="str">
        <f t="shared" si="23"/>
        <v>P</v>
      </c>
      <c r="H501" s="52"/>
      <c r="I501" s="52"/>
      <c r="J501" s="52" t="str">
        <f t="shared" si="24"/>
        <v>ELEM</v>
      </c>
      <c r="K501" s="52"/>
      <c r="L501" s="87"/>
      <c r="M501" s="52" t="e">
        <v>#N/A</v>
      </c>
      <c r="N501" s="52"/>
      <c r="O501" s="52"/>
      <c r="P501" s="52"/>
      <c r="Q501" s="52"/>
      <c r="R501" s="52"/>
      <c r="S501" s="52"/>
      <c r="T501" s="52"/>
      <c r="U501" s="52"/>
      <c r="V501" s="52"/>
      <c r="W501" s="53"/>
      <c r="X501" s="23"/>
      <c r="Y501" s="52"/>
      <c r="Z501" s="52"/>
      <c r="AA501" s="52"/>
      <c r="AB501" s="52"/>
      <c r="AC501" s="52"/>
      <c r="AD501" s="52"/>
      <c r="AE501" s="52"/>
    </row>
  </sheetData>
  <mergeCells count="1">
    <mergeCell ref="H1:I1"/>
  </mergeCells>
  <dataValidations count="15">
    <dataValidation allowBlank="1" showInputMessage="1" showErrorMessage="1" errorTitle="Erro de seleção" error="Selecione apenas as fontes disponiveis!" sqref="P3:P1048576 N3:N15"/>
    <dataValidation type="list" allowBlank="1" error="Favor selecionar uma opção disponível na lista. Nela aparecem somente os programas vinculados à UO escolhida na coluna A. " sqref="F21">
      <formula1>INDIRECT(E21)</formula1>
    </dataValidation>
    <dataValidation type="decimal" allowBlank="1" showInputMessage="1" showErrorMessage="1" errorTitle="Preço Unitário" error="Esse campo deve ser preenchido com valores núméricos (números inteiros e decimais)." sqref="V16:V501">
      <formula1>0</formula1>
      <formula2>1E+35</formula2>
    </dataValidation>
    <dataValidation type="decimal" allowBlank="1" showInputMessage="1" showErrorMessage="1" errorTitle="Volume" error="Esse campo deve ser preenchido com valores núméricos (números inteiros e decimais)." sqref="T16:T501">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W16:W501">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C17:AE501">
      <formula1>0</formula1>
      <formula2>10000</formula2>
    </dataValidation>
    <dataValidation type="list" allowBlank="1" showInputMessage="1" showErrorMessage="1" error="Favor selecionar uma opção disponível na lista. Nela aparecem somente os ações vinculadas ao programa escolhido na coluna F. " sqref="H3:H501">
      <formula1>INDIRECT(G3)</formula1>
    </dataValidation>
    <dataValidation type="list" allowBlank="1" showInputMessage="1" showErrorMessage="1" error="Favor selecionar uma opção disponível na lista. Nela aparecem somente os programas vinculados à UO escolhida na coluna A. " sqref="F22:F501 F3:F20">
      <formula1>INDIRECT(E3)</formula1>
    </dataValidation>
    <dataValidation type="list" allowBlank="1" showInputMessage="1" showErrorMessage="1" sqref="C16:C501">
      <formula1>INDIRECT($A$3)</formula1>
    </dataValidation>
    <dataValidation allowBlank="1" showInputMessage="1" showErrorMessage="1" error="Favor selecionar uma opção disponível na lista. " sqref="A3:A15"/>
    <dataValidation type="whole" allowBlank="1" showInputMessage="1" showErrorMessage="1" sqref="AC3:AC16">
      <formula1>0</formula1>
      <formula2>1000000000000000</formula2>
    </dataValidation>
    <dataValidation type="whole" allowBlank="1" showInputMessage="1" showErrorMessage="1" sqref="AD3:AE15">
      <formula1>1</formula1>
      <formula2>200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D16:AE16">
      <formula1>1</formula1>
      <formula2>10000</formula2>
    </dataValidation>
    <dataValidation type="list" allowBlank="1" showInputMessage="1" showErrorMessage="1" sqref="K16:K501">
      <formula1>INDIRECT(J16)</formula1>
    </dataValidation>
    <dataValidation type="list" allowBlank="1" showInputMessage="1" showErrorMessage="1" sqref="I3:I15">
      <formula1>INDIRECT(J3)</formula1>
    </dataValidation>
  </dataValidations>
  <hyperlinks>
    <hyperlink ref="F1" location="INDICE!A1" display="INDICE"/>
  </hyperlink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ELEMENTO!$A$1:$AK$1</xm:f>
          </x14:formula1>
          <xm:sqref>I3:I501</xm:sqref>
        </x14:dataValidation>
        <x14:dataValidation type="list" allowBlank="1" showInputMessage="1" showErrorMessage="1">
          <x14:formula1>
            <xm:f>CENÁRIO!$A$8:$A$9</xm:f>
          </x14:formula1>
          <xm:sqref>N16:N1048576</xm:sqref>
        </x14:dataValidation>
        <x14:dataValidation type="list" allowBlank="1" showInputMessage="1" showErrorMessage="1">
          <x14:formula1>
            <xm:f>CENÁRIO!$A$2:$A$3</xm:f>
          </x14:formula1>
          <xm:sqref>Y16:Y1048576</xm:sqref>
        </x14:dataValidation>
        <x14:dataValidation type="list" allowBlank="1" showInputMessage="1" showErrorMessage="1">
          <x14:formula1>
            <xm:f>CENÁRIO!$C$2:$C$3</xm:f>
          </x14:formula1>
          <xm:sqref>R3:R1048576</xm:sqref>
        </x14:dataValidation>
        <x14:dataValidation type="list" allowBlank="1" showInputMessage="1" showErrorMessage="1">
          <x14:formula1>
            <xm:f>CENÁRIO!$A$2:$A$4</xm:f>
          </x14:formula1>
          <xm:sqref>Y3:Y15</xm:sqref>
        </x14:dataValidation>
        <x14:dataValidation type="list" allowBlank="1" showInputMessage="1" showErrorMessage="1" error="Favor selecionar uma opção disponível na lista. ">
          <x14:formula1>
            <xm:f>ORGANOGRAMA!$A$1:$L$1</xm:f>
          </x14:formula1>
          <xm:sqref>A16:A1048576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sheetPr>
  <dimension ref="A1:AD215"/>
  <sheetViews>
    <sheetView topLeftCell="L1" workbookViewId="0">
      <selection activeCell="U2" sqref="U2"/>
    </sheetView>
  </sheetViews>
  <sheetFormatPr defaultColWidth="8.85546875" defaultRowHeight="15" x14ac:dyDescent="0.25"/>
  <cols>
    <col min="1" max="1" width="32.140625" style="6" bestFit="1" customWidth="1"/>
    <col min="2" max="2" width="23.28515625" style="6" bestFit="1" customWidth="1"/>
    <col min="3" max="3" width="23.28515625" style="6" customWidth="1"/>
    <col min="4" max="4" width="26.5703125" style="6" customWidth="1"/>
    <col min="5" max="5" width="26.85546875" style="6" customWidth="1"/>
    <col min="6" max="6" width="31.28515625" style="6" bestFit="1" customWidth="1"/>
    <col min="7" max="7" width="11.140625" style="6" hidden="1" customWidth="1"/>
    <col min="8" max="8" width="31.85546875" style="6" customWidth="1"/>
    <col min="9" max="9" width="30.85546875" style="6" customWidth="1"/>
    <col min="10" max="10" width="40.28515625" style="6" customWidth="1"/>
    <col min="11" max="11" width="25.28515625" style="6" hidden="1" customWidth="1"/>
    <col min="12" max="12" width="55" style="6" customWidth="1"/>
    <col min="13" max="13" width="26.42578125" style="6" bestFit="1" customWidth="1"/>
    <col min="14" max="14" width="22.85546875" style="6" hidden="1" customWidth="1"/>
    <col min="15" max="15" width="26.28515625" style="6" bestFit="1" customWidth="1"/>
    <col min="16" max="16" width="26.28515625" style="6" customWidth="1"/>
    <col min="17" max="17" width="7.140625" style="6" bestFit="1" customWidth="1"/>
    <col min="18" max="18" width="18" style="6" bestFit="1" customWidth="1"/>
    <col min="19" max="19" width="8.5703125" style="6" bestFit="1" customWidth="1"/>
    <col min="20" max="20" width="18.7109375" style="6" bestFit="1" customWidth="1"/>
    <col min="21" max="21" width="15.7109375" style="6" bestFit="1" customWidth="1"/>
    <col min="22" max="22" width="23.85546875" style="6" bestFit="1" customWidth="1"/>
    <col min="23" max="23" width="17.7109375" style="6" bestFit="1" customWidth="1"/>
    <col min="24" max="24" width="22.7109375" style="6" bestFit="1" customWidth="1"/>
    <col min="25" max="25" width="22.140625" style="6" customWidth="1"/>
    <col min="26" max="26" width="19" style="6" bestFit="1" customWidth="1"/>
    <col min="27" max="27" width="18.7109375" style="6" bestFit="1" customWidth="1"/>
    <col min="28" max="30" width="14.28515625" style="6" bestFit="1" customWidth="1"/>
    <col min="31" max="16384" width="8.85546875" style="6"/>
  </cols>
  <sheetData>
    <row r="1" spans="1:30" s="15" customFormat="1" ht="60" x14ac:dyDescent="0.25">
      <c r="A1" s="11" t="s">
        <v>126</v>
      </c>
      <c r="B1" s="11" t="s">
        <v>127</v>
      </c>
      <c r="C1" s="11" t="s">
        <v>10</v>
      </c>
      <c r="D1" s="11" t="s">
        <v>128</v>
      </c>
      <c r="E1" s="11" t="s">
        <v>12</v>
      </c>
      <c r="F1" s="7" t="s">
        <v>13</v>
      </c>
      <c r="G1" s="7" t="s">
        <v>14</v>
      </c>
      <c r="H1" s="7" t="s">
        <v>15</v>
      </c>
      <c r="I1" s="7" t="s">
        <v>129</v>
      </c>
      <c r="J1" s="7" t="s">
        <v>16</v>
      </c>
      <c r="K1" s="7" t="s">
        <v>130</v>
      </c>
      <c r="L1" s="7" t="s">
        <v>131</v>
      </c>
      <c r="M1" s="7" t="s">
        <v>19</v>
      </c>
      <c r="N1" s="7" t="s">
        <v>20</v>
      </c>
      <c r="O1" s="7" t="s">
        <v>132</v>
      </c>
      <c r="P1" s="7" t="s">
        <v>133</v>
      </c>
      <c r="Q1" s="7" t="s">
        <v>23</v>
      </c>
      <c r="R1" s="12" t="s">
        <v>24</v>
      </c>
      <c r="S1" s="12" t="s">
        <v>25</v>
      </c>
      <c r="T1" s="12" t="s">
        <v>26</v>
      </c>
      <c r="U1" s="12" t="s">
        <v>27</v>
      </c>
      <c r="V1" s="12" t="s">
        <v>28</v>
      </c>
      <c r="W1" s="12" t="s">
        <v>29</v>
      </c>
      <c r="X1" s="13" t="s">
        <v>30</v>
      </c>
      <c r="Y1" s="35" t="s">
        <v>134</v>
      </c>
      <c r="Z1" s="13" t="s">
        <v>32</v>
      </c>
      <c r="AA1" s="13" t="s">
        <v>33</v>
      </c>
      <c r="AB1" s="14" t="s">
        <v>34</v>
      </c>
      <c r="AC1" s="14" t="s">
        <v>35</v>
      </c>
      <c r="AD1" s="14" t="s">
        <v>36</v>
      </c>
    </row>
    <row r="2" spans="1:30" s="21" customFormat="1" ht="90" x14ac:dyDescent="0.25">
      <c r="A2" s="30" t="s">
        <v>37</v>
      </c>
      <c r="B2" s="30"/>
      <c r="C2" s="30"/>
      <c r="D2" s="30"/>
      <c r="E2" s="30" t="str">
        <f t="shared" ref="E2:E9" si="0">CONCATENATE(A2,"PROG")</f>
        <v>FAOPPROG</v>
      </c>
      <c r="F2" s="30" t="s">
        <v>40</v>
      </c>
      <c r="G2" s="30" t="str">
        <f>CONCATENATE("P",(LEFT(F2,3)),A2)</f>
        <v>P060FAOP</v>
      </c>
      <c r="H2" s="30" t="s">
        <v>41</v>
      </c>
      <c r="I2" s="30" t="s">
        <v>135</v>
      </c>
      <c r="J2" s="30" t="s">
        <v>136</v>
      </c>
      <c r="K2" s="30" t="str">
        <f t="shared" ref="K2:K9" si="1">CONCATENATE("ELEM",LEFT(J2,2))</f>
        <v>ELEM30</v>
      </c>
      <c r="L2" s="30" t="s">
        <v>137</v>
      </c>
      <c r="M2" s="30" t="s">
        <v>44</v>
      </c>
      <c r="N2" s="30" t="str">
        <f>CONCATENATE("FONTE",A2)</f>
        <v>FONTEFAOP</v>
      </c>
      <c r="O2" s="30">
        <v>45</v>
      </c>
      <c r="P2" s="30"/>
      <c r="Q2" s="30" t="s">
        <v>46</v>
      </c>
      <c r="R2" s="30" t="s">
        <v>47</v>
      </c>
      <c r="S2" s="30">
        <v>2</v>
      </c>
      <c r="T2" s="30" t="s">
        <v>138</v>
      </c>
      <c r="U2" s="31">
        <v>200</v>
      </c>
      <c r="V2" s="32">
        <v>1</v>
      </c>
      <c r="W2" s="33">
        <f t="shared" ref="W2:W9" si="2">S2*U2*V2</f>
        <v>400</v>
      </c>
      <c r="X2" s="30" t="s">
        <v>49</v>
      </c>
      <c r="Y2" s="30" t="s">
        <v>139</v>
      </c>
      <c r="Z2" s="34" t="s">
        <v>140</v>
      </c>
      <c r="AA2" s="34" t="s">
        <v>141</v>
      </c>
      <c r="AB2" s="30"/>
      <c r="AC2" s="30"/>
      <c r="AD2" s="30"/>
    </row>
    <row r="3" spans="1:30" s="21" customFormat="1" ht="60" x14ac:dyDescent="0.25">
      <c r="A3" s="30" t="s">
        <v>37</v>
      </c>
      <c r="B3" s="30"/>
      <c r="C3" s="30"/>
      <c r="D3" s="30"/>
      <c r="E3" s="30" t="str">
        <f t="shared" si="0"/>
        <v>FAOPPROG</v>
      </c>
      <c r="F3" s="30" t="s">
        <v>40</v>
      </c>
      <c r="G3" s="30" t="str">
        <f>CONCATENATE("P",(LEFT(F3,3)),A3)</f>
        <v>P060FAOP</v>
      </c>
      <c r="H3" s="30" t="s">
        <v>41</v>
      </c>
      <c r="I3" s="30" t="s">
        <v>135</v>
      </c>
      <c r="J3" s="30" t="s">
        <v>142</v>
      </c>
      <c r="K3" s="30" t="str">
        <f t="shared" si="1"/>
        <v>ELEM33</v>
      </c>
      <c r="L3" s="30" t="s">
        <v>53</v>
      </c>
      <c r="M3" s="30" t="s">
        <v>44</v>
      </c>
      <c r="N3" s="30" t="str">
        <f>CONCATENATE("FONTE",A3)</f>
        <v>FONTEFAOP</v>
      </c>
      <c r="O3" s="30">
        <v>45</v>
      </c>
      <c r="P3" s="30"/>
      <c r="Q3" s="30" t="s">
        <v>46</v>
      </c>
      <c r="R3" s="30" t="s">
        <v>143</v>
      </c>
      <c r="S3" s="30">
        <v>1</v>
      </c>
      <c r="T3" s="30" t="s">
        <v>56</v>
      </c>
      <c r="U3" s="31">
        <v>45</v>
      </c>
      <c r="V3" s="32">
        <v>1</v>
      </c>
      <c r="W3" s="33">
        <f t="shared" si="2"/>
        <v>45</v>
      </c>
      <c r="X3" s="30" t="s">
        <v>49</v>
      </c>
      <c r="Y3" s="30" t="s">
        <v>139</v>
      </c>
      <c r="Z3" s="34" t="s">
        <v>140</v>
      </c>
      <c r="AA3" s="34" t="s">
        <v>141</v>
      </c>
      <c r="AB3" s="30"/>
      <c r="AC3" s="30"/>
      <c r="AD3" s="30"/>
    </row>
    <row r="4" spans="1:30" s="21" customFormat="1" ht="105" x14ac:dyDescent="0.25">
      <c r="A4" s="30" t="s">
        <v>37</v>
      </c>
      <c r="B4" s="30"/>
      <c r="C4" s="30"/>
      <c r="D4" s="30"/>
      <c r="E4" s="30" t="str">
        <f t="shared" si="0"/>
        <v>FAOPPROG</v>
      </c>
      <c r="F4" s="30" t="s">
        <v>40</v>
      </c>
      <c r="G4" s="30" t="str">
        <f>CONCATENATE("P",(LEFT(F4,3)),A4)</f>
        <v>P060FAOP</v>
      </c>
      <c r="H4" s="30" t="s">
        <v>41</v>
      </c>
      <c r="I4" s="30" t="s">
        <v>135</v>
      </c>
      <c r="J4" s="30" t="s">
        <v>144</v>
      </c>
      <c r="K4" s="30" t="str">
        <f t="shared" si="1"/>
        <v>ELEM14</v>
      </c>
      <c r="L4" s="30" t="s">
        <v>42</v>
      </c>
      <c r="M4" s="30" t="s">
        <v>44</v>
      </c>
      <c r="N4" s="30" t="str">
        <f>CONCATENATE("FONTE",A4)</f>
        <v>FONTEFAOP</v>
      </c>
      <c r="O4" s="30">
        <v>45</v>
      </c>
      <c r="P4" s="30"/>
      <c r="Q4" s="30" t="s">
        <v>46</v>
      </c>
      <c r="R4" s="30" t="s">
        <v>47</v>
      </c>
      <c r="S4" s="30">
        <v>2</v>
      </c>
      <c r="T4" s="30" t="s">
        <v>138</v>
      </c>
      <c r="U4" s="31">
        <v>200</v>
      </c>
      <c r="V4" s="32">
        <v>1</v>
      </c>
      <c r="W4" s="33">
        <f t="shared" si="2"/>
        <v>400</v>
      </c>
      <c r="X4" s="30" t="s">
        <v>68</v>
      </c>
      <c r="Y4" s="30" t="s">
        <v>145</v>
      </c>
      <c r="Z4" s="30" t="s">
        <v>146</v>
      </c>
      <c r="AA4" s="30">
        <v>1</v>
      </c>
      <c r="AB4" s="30">
        <v>1</v>
      </c>
      <c r="AC4" s="30"/>
      <c r="AD4" s="30"/>
    </row>
    <row r="5" spans="1:30" s="21" customFormat="1" ht="105" x14ac:dyDescent="0.25">
      <c r="A5" s="30" t="s">
        <v>37</v>
      </c>
      <c r="B5" s="30"/>
      <c r="C5" s="30"/>
      <c r="D5" s="30"/>
      <c r="E5" s="30" t="str">
        <f t="shared" si="0"/>
        <v>FAOPPROG</v>
      </c>
      <c r="F5" s="30" t="s">
        <v>40</v>
      </c>
      <c r="G5" s="30" t="str">
        <f t="shared" ref="G5:G80" si="3">CONCATENATE("P",(LEFT(F5,3)),A5)</f>
        <v>P060FAOP</v>
      </c>
      <c r="H5" s="30" t="s">
        <v>41</v>
      </c>
      <c r="I5" s="30" t="s">
        <v>147</v>
      </c>
      <c r="J5" s="30" t="s">
        <v>142</v>
      </c>
      <c r="K5" s="30" t="str">
        <f t="shared" si="1"/>
        <v>ELEM33</v>
      </c>
      <c r="L5" s="30" t="s">
        <v>53</v>
      </c>
      <c r="M5" s="30" t="s">
        <v>44</v>
      </c>
      <c r="N5" s="30" t="str">
        <f t="shared" ref="N5:N79" si="4">CONCATENATE("FONTE",A5)</f>
        <v>FONTEFAOP</v>
      </c>
      <c r="O5" s="30">
        <v>45</v>
      </c>
      <c r="P5" s="30"/>
      <c r="Q5" s="30" t="s">
        <v>46</v>
      </c>
      <c r="R5" s="30" t="s">
        <v>143</v>
      </c>
      <c r="S5" s="30">
        <v>1</v>
      </c>
      <c r="T5" s="30" t="s">
        <v>56</v>
      </c>
      <c r="U5" s="31">
        <v>45</v>
      </c>
      <c r="V5" s="32">
        <v>1</v>
      </c>
      <c r="W5" s="33">
        <f t="shared" si="2"/>
        <v>45</v>
      </c>
      <c r="X5" s="30" t="s">
        <v>68</v>
      </c>
      <c r="Y5" s="30" t="s">
        <v>145</v>
      </c>
      <c r="Z5" s="30" t="s">
        <v>146</v>
      </c>
      <c r="AA5" s="30" t="s">
        <v>61</v>
      </c>
      <c r="AB5" s="30">
        <v>1</v>
      </c>
      <c r="AC5" s="30"/>
      <c r="AD5" s="30"/>
    </row>
    <row r="6" spans="1:30" s="21" customFormat="1" ht="120" x14ac:dyDescent="0.25">
      <c r="A6" s="30" t="s">
        <v>37</v>
      </c>
      <c r="B6" s="30"/>
      <c r="C6" s="30"/>
      <c r="D6" s="30"/>
      <c r="E6" s="30" t="str">
        <f t="shared" si="0"/>
        <v>FAOPPROG</v>
      </c>
      <c r="F6" s="30" t="s">
        <v>40</v>
      </c>
      <c r="G6" s="30" t="str">
        <f>CONCATENATE("P",(LEFT(F6,3)),A6)</f>
        <v>P060FAOP</v>
      </c>
      <c r="H6" s="30" t="s">
        <v>41</v>
      </c>
      <c r="I6" s="30" t="s">
        <v>147</v>
      </c>
      <c r="J6" s="30" t="s">
        <v>136</v>
      </c>
      <c r="K6" s="30" t="str">
        <f t="shared" si="1"/>
        <v>ELEM30</v>
      </c>
      <c r="L6" s="30" t="s">
        <v>148</v>
      </c>
      <c r="M6" s="30" t="s">
        <v>44</v>
      </c>
      <c r="N6" s="30" t="str">
        <f>CONCATENATE("FONTE",A6)</f>
        <v>FONTEFAOP</v>
      </c>
      <c r="O6" s="30">
        <v>45</v>
      </c>
      <c r="P6" s="30" t="s">
        <v>149</v>
      </c>
      <c r="Q6" s="30" t="s">
        <v>46</v>
      </c>
      <c r="R6" s="30" t="s">
        <v>150</v>
      </c>
      <c r="S6" s="30">
        <v>300</v>
      </c>
      <c r="T6" s="30" t="s">
        <v>151</v>
      </c>
      <c r="U6" s="31">
        <v>0.3</v>
      </c>
      <c r="V6" s="32">
        <v>1</v>
      </c>
      <c r="W6" s="33">
        <f t="shared" si="2"/>
        <v>90</v>
      </c>
      <c r="X6" s="30" t="s">
        <v>68</v>
      </c>
      <c r="Y6" s="30" t="s">
        <v>139</v>
      </c>
      <c r="Z6" s="30" t="s">
        <v>152</v>
      </c>
      <c r="AA6" s="30" t="s">
        <v>153</v>
      </c>
      <c r="AB6" s="30">
        <v>1</v>
      </c>
      <c r="AC6" s="30"/>
      <c r="AD6" s="30"/>
    </row>
    <row r="7" spans="1:30" s="21" customFormat="1" ht="90" x14ac:dyDescent="0.25">
      <c r="A7" s="30" t="s">
        <v>37</v>
      </c>
      <c r="B7" s="30"/>
      <c r="C7" s="30"/>
      <c r="D7" s="30"/>
      <c r="E7" s="30" t="str">
        <f t="shared" si="0"/>
        <v>FAOPPROG</v>
      </c>
      <c r="F7" s="30" t="s">
        <v>40</v>
      </c>
      <c r="G7" s="30" t="str">
        <f>CONCATENATE("P",(LEFT(F7,3)),A7)</f>
        <v>P060FAOP</v>
      </c>
      <c r="H7" s="30" t="s">
        <v>41</v>
      </c>
      <c r="I7" s="30" t="s">
        <v>147</v>
      </c>
      <c r="J7" s="30" t="s">
        <v>136</v>
      </c>
      <c r="K7" s="30" t="str">
        <f t="shared" si="1"/>
        <v>ELEM30</v>
      </c>
      <c r="L7" s="30" t="s">
        <v>148</v>
      </c>
      <c r="M7" s="30" t="s">
        <v>44</v>
      </c>
      <c r="N7" s="30" t="str">
        <f>CONCATENATE("FONTE",A7)</f>
        <v>FONTEFAOP</v>
      </c>
      <c r="O7" s="30">
        <v>45</v>
      </c>
      <c r="P7" s="30" t="s">
        <v>149</v>
      </c>
      <c r="Q7" s="30" t="s">
        <v>58</v>
      </c>
      <c r="R7" s="30" t="s">
        <v>150</v>
      </c>
      <c r="S7" s="30">
        <v>200</v>
      </c>
      <c r="T7" s="30" t="s">
        <v>151</v>
      </c>
      <c r="U7" s="31">
        <v>0.3</v>
      </c>
      <c r="V7" s="32">
        <v>1</v>
      </c>
      <c r="W7" s="33">
        <f t="shared" si="2"/>
        <v>60</v>
      </c>
      <c r="X7" s="30" t="s">
        <v>68</v>
      </c>
      <c r="Y7" s="30" t="s">
        <v>154</v>
      </c>
      <c r="Z7" s="30" t="s">
        <v>155</v>
      </c>
      <c r="AA7" s="30" t="s">
        <v>153</v>
      </c>
      <c r="AB7" s="30">
        <v>2</v>
      </c>
      <c r="AC7" s="30"/>
      <c r="AD7" s="30"/>
    </row>
    <row r="8" spans="1:30" s="21" customFormat="1" ht="60" x14ac:dyDescent="0.25">
      <c r="A8" s="30" t="s">
        <v>37</v>
      </c>
      <c r="B8" s="30"/>
      <c r="C8" s="30"/>
      <c r="D8" s="30"/>
      <c r="E8" s="30" t="str">
        <f>CONCATENATE(A8,"PROG")</f>
        <v>FAOPPROG</v>
      </c>
      <c r="F8" s="30" t="s">
        <v>40</v>
      </c>
      <c r="G8" s="30" t="str">
        <f>CONCATENATE("P",(LEFT(F8,3)),A8)</f>
        <v>P060FAOP</v>
      </c>
      <c r="H8" s="30" t="s">
        <v>41</v>
      </c>
      <c r="I8" s="30" t="s">
        <v>147</v>
      </c>
      <c r="J8" s="30" t="s">
        <v>136</v>
      </c>
      <c r="K8" s="30" t="str">
        <f t="shared" si="1"/>
        <v>ELEM30</v>
      </c>
      <c r="L8" s="30" t="s">
        <v>72</v>
      </c>
      <c r="M8" s="30" t="s">
        <v>44</v>
      </c>
      <c r="N8" s="30" t="str">
        <f>CONCATENATE("FONTE",A8)</f>
        <v>FONTEFAOP</v>
      </c>
      <c r="O8" s="30">
        <v>45</v>
      </c>
      <c r="P8" s="30" t="s">
        <v>156</v>
      </c>
      <c r="Q8" s="30" t="s">
        <v>46</v>
      </c>
      <c r="R8" s="30" t="s">
        <v>75</v>
      </c>
      <c r="S8" s="30">
        <v>1</v>
      </c>
      <c r="T8" s="30" t="s">
        <v>76</v>
      </c>
      <c r="U8" s="31">
        <v>25</v>
      </c>
      <c r="V8" s="32">
        <v>1</v>
      </c>
      <c r="W8" s="33">
        <f>S8*U8*V8</f>
        <v>25</v>
      </c>
      <c r="X8" s="30" t="s">
        <v>49</v>
      </c>
      <c r="Y8" s="30" t="s">
        <v>154</v>
      </c>
      <c r="Z8" s="30"/>
      <c r="AA8" s="30"/>
      <c r="AB8" s="30"/>
      <c r="AC8" s="30"/>
      <c r="AD8" s="30"/>
    </row>
    <row r="9" spans="1:30" s="21" customFormat="1" ht="60" x14ac:dyDescent="0.25">
      <c r="A9" s="30" t="s">
        <v>37</v>
      </c>
      <c r="B9" s="30"/>
      <c r="C9" s="30"/>
      <c r="D9" s="30"/>
      <c r="E9" s="30" t="str">
        <f t="shared" si="0"/>
        <v>FAOPPROG</v>
      </c>
      <c r="F9" s="30" t="s">
        <v>40</v>
      </c>
      <c r="G9" s="30" t="str">
        <f>CONCATENATE("P",(LEFT(F9,3)),A9)</f>
        <v>P060FAOP</v>
      </c>
      <c r="H9" s="30" t="s">
        <v>41</v>
      </c>
      <c r="I9" s="30" t="s">
        <v>147</v>
      </c>
      <c r="J9" s="30" t="s">
        <v>136</v>
      </c>
      <c r="K9" s="30" t="str">
        <f t="shared" si="1"/>
        <v>ELEM30</v>
      </c>
      <c r="L9" s="30" t="s">
        <v>72</v>
      </c>
      <c r="M9" s="30" t="s">
        <v>44</v>
      </c>
      <c r="N9" s="30" t="str">
        <f>CONCATENATE("FONTE",A9)</f>
        <v>FONTEFAOP</v>
      </c>
      <c r="O9" s="30">
        <v>45</v>
      </c>
      <c r="P9" s="30" t="s">
        <v>156</v>
      </c>
      <c r="Q9" s="30" t="s">
        <v>46</v>
      </c>
      <c r="R9" s="30" t="s">
        <v>75</v>
      </c>
      <c r="S9" s="30">
        <v>1</v>
      </c>
      <c r="T9" s="30" t="s">
        <v>76</v>
      </c>
      <c r="U9" s="31">
        <v>25</v>
      </c>
      <c r="V9" s="32">
        <v>1</v>
      </c>
      <c r="W9" s="33">
        <f t="shared" si="2"/>
        <v>25</v>
      </c>
      <c r="X9" s="30" t="s">
        <v>49</v>
      </c>
      <c r="Y9" s="30" t="s">
        <v>139</v>
      </c>
      <c r="Z9" s="30"/>
      <c r="AA9" s="30"/>
      <c r="AB9" s="30"/>
      <c r="AC9" s="30"/>
      <c r="AD9" s="30"/>
    </row>
    <row r="10" spans="1:30" s="21" customFormat="1" x14ac:dyDescent="0.25">
      <c r="A10" s="30"/>
      <c r="B10" s="30"/>
      <c r="C10" s="30"/>
      <c r="D10" s="30"/>
      <c r="E10" s="30"/>
      <c r="F10" s="30"/>
      <c r="G10" s="30"/>
      <c r="H10" s="30"/>
      <c r="I10" s="30"/>
      <c r="J10" s="30"/>
      <c r="K10" s="30"/>
      <c r="L10" s="30"/>
      <c r="M10" s="30"/>
      <c r="N10" s="30"/>
      <c r="O10" s="30"/>
      <c r="P10" s="30"/>
      <c r="Q10" s="30"/>
      <c r="R10" s="30"/>
      <c r="S10" s="30"/>
      <c r="T10" s="30"/>
      <c r="U10" s="31"/>
      <c r="V10" s="32"/>
      <c r="W10" s="33"/>
      <c r="X10" s="30" t="s">
        <v>68</v>
      </c>
      <c r="Y10" s="30" t="s">
        <v>157</v>
      </c>
      <c r="Z10" s="30"/>
      <c r="AA10" s="30"/>
      <c r="AB10" s="30"/>
      <c r="AC10" s="30"/>
      <c r="AD10" s="30"/>
    </row>
    <row r="11" spans="1:30" s="21" customFormat="1" x14ac:dyDescent="0.25">
      <c r="A11" s="30"/>
      <c r="B11" s="30"/>
      <c r="C11" s="30"/>
      <c r="D11" s="30"/>
      <c r="E11" s="30"/>
      <c r="F11" s="30"/>
      <c r="G11" s="30"/>
      <c r="H11" s="30"/>
      <c r="I11" s="30"/>
      <c r="J11" s="30"/>
      <c r="K11" s="30"/>
      <c r="L11" s="30"/>
      <c r="M11" s="30"/>
      <c r="N11" s="30"/>
      <c r="O11" s="30"/>
      <c r="P11" s="30"/>
      <c r="Q11" s="30"/>
      <c r="R11" s="30"/>
      <c r="S11" s="30"/>
      <c r="T11" s="30"/>
      <c r="U11" s="31"/>
      <c r="V11" s="32"/>
      <c r="W11" s="33"/>
      <c r="X11" s="30" t="s">
        <v>68</v>
      </c>
      <c r="Y11" s="30" t="s">
        <v>157</v>
      </c>
      <c r="Z11" s="30"/>
      <c r="AA11" s="30"/>
      <c r="AB11" s="30"/>
      <c r="AC11" s="30"/>
      <c r="AD11" s="30"/>
    </row>
    <row r="12" spans="1:30" s="21" customFormat="1" ht="75" x14ac:dyDescent="0.25">
      <c r="A12" s="30" t="s">
        <v>37</v>
      </c>
      <c r="B12" s="30"/>
      <c r="C12" s="30"/>
      <c r="D12" s="30"/>
      <c r="E12" s="30" t="str">
        <f>CONCATENATE(A12,"PROG")</f>
        <v>FAOPPROG</v>
      </c>
      <c r="F12" s="30" t="s">
        <v>40</v>
      </c>
      <c r="G12" s="30" t="str">
        <f>CONCATENATE("P",(LEFT(F12,3)),A12)</f>
        <v>P060FAOP</v>
      </c>
      <c r="H12" s="30" t="s">
        <v>41</v>
      </c>
      <c r="I12" s="30" t="s">
        <v>158</v>
      </c>
      <c r="J12" s="30" t="s">
        <v>159</v>
      </c>
      <c r="K12" s="30" t="str">
        <f>CONCATENATE("ELEM",LEFT(J12,2))</f>
        <v>ELEM37</v>
      </c>
      <c r="L12" s="30" t="s">
        <v>115</v>
      </c>
      <c r="M12" s="30" t="s">
        <v>44</v>
      </c>
      <c r="N12" s="30" t="str">
        <f>CONCATENATE("FONTE",A12)</f>
        <v>FONTEFAOP</v>
      </c>
      <c r="O12" s="30"/>
      <c r="P12" s="30"/>
      <c r="Q12" s="30" t="s">
        <v>46</v>
      </c>
      <c r="R12" s="30" t="s">
        <v>160</v>
      </c>
      <c r="S12" s="30">
        <v>2</v>
      </c>
      <c r="T12" s="30" t="s">
        <v>119</v>
      </c>
      <c r="U12" s="31">
        <v>2000</v>
      </c>
      <c r="V12" s="32">
        <v>12</v>
      </c>
      <c r="W12" s="33">
        <f>S12*U12*V12</f>
        <v>48000</v>
      </c>
      <c r="X12" s="30" t="s">
        <v>49</v>
      </c>
      <c r="Y12" s="30"/>
      <c r="Z12" s="30"/>
      <c r="AA12" s="30"/>
      <c r="AB12" s="30"/>
      <c r="AC12" s="30"/>
      <c r="AD12" s="30"/>
    </row>
    <row r="13" spans="1:30" s="21" customFormat="1" ht="75" x14ac:dyDescent="0.25">
      <c r="A13" s="30" t="s">
        <v>37</v>
      </c>
      <c r="B13" s="30"/>
      <c r="C13" s="30"/>
      <c r="D13" s="30"/>
      <c r="E13" s="30" t="str">
        <f t="shared" ref="E13:E80" si="5">CONCATENATE(A13,"PROG")</f>
        <v>FAOPPROG</v>
      </c>
      <c r="F13" s="30" t="s">
        <v>40</v>
      </c>
      <c r="G13" s="30" t="str">
        <f t="shared" si="3"/>
        <v>P060FAOP</v>
      </c>
      <c r="H13" s="30" t="s">
        <v>41</v>
      </c>
      <c r="I13" s="30" t="s">
        <v>158</v>
      </c>
      <c r="J13" s="30" t="s">
        <v>159</v>
      </c>
      <c r="K13" s="30" t="str">
        <f t="shared" ref="K13:K80" si="6">CONCATENATE("ELEM",LEFT(J13,2))</f>
        <v>ELEM37</v>
      </c>
      <c r="L13" s="30" t="s">
        <v>115</v>
      </c>
      <c r="M13" s="30" t="s">
        <v>44</v>
      </c>
      <c r="N13" s="30" t="str">
        <f t="shared" si="4"/>
        <v>FONTEFAOP</v>
      </c>
      <c r="O13" s="30"/>
      <c r="P13" s="30"/>
      <c r="Q13" s="30" t="s">
        <v>58</v>
      </c>
      <c r="R13" s="30" t="s">
        <v>161</v>
      </c>
      <c r="S13" s="30">
        <v>2</v>
      </c>
      <c r="T13" s="30" t="s">
        <v>119</v>
      </c>
      <c r="U13" s="31">
        <v>2000</v>
      </c>
      <c r="V13" s="32">
        <v>12</v>
      </c>
      <c r="W13" s="33">
        <f t="shared" ref="W13:W80" si="7">S13*U13*V13</f>
        <v>48000</v>
      </c>
      <c r="X13" s="30" t="s">
        <v>68</v>
      </c>
      <c r="Y13" s="30"/>
      <c r="Z13" s="30"/>
      <c r="AA13" s="30"/>
      <c r="AB13" s="30"/>
      <c r="AC13" s="30"/>
      <c r="AD13" s="30"/>
    </row>
    <row r="14" spans="1:30" s="21" customFormat="1" ht="75" x14ac:dyDescent="0.25">
      <c r="A14" s="30" t="s">
        <v>37</v>
      </c>
      <c r="B14" s="30"/>
      <c r="C14" s="30"/>
      <c r="D14" s="30"/>
      <c r="E14" s="30" t="str">
        <f>CONCATENATE(A14,"PROG")</f>
        <v>FAOPPROG</v>
      </c>
      <c r="F14" s="30" t="s">
        <v>40</v>
      </c>
      <c r="G14" s="30" t="str">
        <f>CONCATENATE("P",(LEFT(F14,3)),A14)</f>
        <v>P060FAOP</v>
      </c>
      <c r="H14" s="30" t="s">
        <v>41</v>
      </c>
      <c r="I14" s="30" t="s">
        <v>158</v>
      </c>
      <c r="J14" s="30" t="s">
        <v>159</v>
      </c>
      <c r="K14" s="30" t="str">
        <f>CONCATENATE("ELEM",LEFT(J14,2))</f>
        <v>ELEM37</v>
      </c>
      <c r="L14" s="30" t="s">
        <v>115</v>
      </c>
      <c r="M14" s="30" t="s">
        <v>44</v>
      </c>
      <c r="N14" s="30" t="str">
        <f>CONCATENATE("FONTE",A14)</f>
        <v>FONTEFAOP</v>
      </c>
      <c r="O14" s="30"/>
      <c r="P14" s="30"/>
      <c r="Q14" s="30" t="s">
        <v>46</v>
      </c>
      <c r="R14" s="30" t="s">
        <v>162</v>
      </c>
      <c r="S14" s="30">
        <v>1</v>
      </c>
      <c r="T14" s="30" t="s">
        <v>119</v>
      </c>
      <c r="U14" s="31">
        <v>1500</v>
      </c>
      <c r="V14" s="32">
        <v>12</v>
      </c>
      <c r="W14" s="33">
        <f>S14*U14*V14</f>
        <v>18000</v>
      </c>
      <c r="X14" s="30" t="s">
        <v>49</v>
      </c>
      <c r="Y14" s="30" t="s">
        <v>163</v>
      </c>
      <c r="Z14" s="30"/>
      <c r="AA14" s="30"/>
      <c r="AB14" s="30">
        <v>1</v>
      </c>
      <c r="AC14" s="30"/>
      <c r="AD14" s="30"/>
    </row>
    <row r="15" spans="1:30" s="39" customFormat="1" ht="75" x14ac:dyDescent="0.25">
      <c r="A15" s="34" t="s">
        <v>37</v>
      </c>
      <c r="B15" s="34"/>
      <c r="C15" s="34"/>
      <c r="D15" s="34"/>
      <c r="E15" s="34" t="str">
        <f>CONCATENATE(A15,"PROG")</f>
        <v>FAOPPROG</v>
      </c>
      <c r="F15" s="34" t="s">
        <v>40</v>
      </c>
      <c r="G15" s="34" t="str">
        <f>CONCATENATE("P",(LEFT(F15,3)),A15)</f>
        <v>P060FAOP</v>
      </c>
      <c r="H15" s="34" t="s">
        <v>41</v>
      </c>
      <c r="I15" s="34" t="s">
        <v>158</v>
      </c>
      <c r="J15" s="34" t="s">
        <v>164</v>
      </c>
      <c r="K15" s="34" t="str">
        <f>CONCATENATE("ELEM",LEFT(J15,2))</f>
        <v>ELEM39</v>
      </c>
      <c r="L15" s="34" t="s">
        <v>165</v>
      </c>
      <c r="M15" s="34" t="s">
        <v>44</v>
      </c>
      <c r="N15" s="34" t="str">
        <f>CONCATENATE("FONTE",A15)</f>
        <v>FONTEFAOP</v>
      </c>
      <c r="O15" s="34"/>
      <c r="P15" s="34"/>
      <c r="Q15" s="34" t="s">
        <v>46</v>
      </c>
      <c r="R15" s="34" t="s">
        <v>166</v>
      </c>
      <c r="S15" s="34">
        <v>1</v>
      </c>
      <c r="T15" s="34" t="s">
        <v>119</v>
      </c>
      <c r="U15" s="36">
        <v>1500</v>
      </c>
      <c r="V15" s="37">
        <v>12</v>
      </c>
      <c r="W15" s="38">
        <f>S15*U15*V15</f>
        <v>18000</v>
      </c>
      <c r="X15" s="34" t="s">
        <v>49</v>
      </c>
      <c r="Y15" s="34"/>
      <c r="Z15" s="34"/>
      <c r="AA15" s="34"/>
      <c r="AB15" s="34"/>
      <c r="AC15" s="34"/>
      <c r="AD15" s="34"/>
    </row>
    <row r="16" spans="1:30" s="21" customFormat="1" ht="30" x14ac:dyDescent="0.25">
      <c r="A16" s="22"/>
      <c r="B16" s="22"/>
      <c r="C16" s="22"/>
      <c r="D16" s="22"/>
      <c r="E16" s="22"/>
      <c r="F16" s="22"/>
      <c r="G16" s="22"/>
      <c r="H16" s="22"/>
      <c r="I16" s="22"/>
      <c r="J16" s="22" t="s">
        <v>164</v>
      </c>
      <c r="K16" s="22"/>
      <c r="L16" s="22"/>
      <c r="M16" s="22"/>
      <c r="N16" s="22"/>
      <c r="O16" s="22"/>
      <c r="P16" s="22"/>
      <c r="Q16" s="22"/>
      <c r="R16" s="22"/>
      <c r="S16" s="22"/>
      <c r="T16" s="22"/>
      <c r="U16" s="25"/>
      <c r="V16" s="24"/>
      <c r="W16" s="23"/>
      <c r="X16" s="22"/>
      <c r="Y16" s="22"/>
      <c r="Z16" s="22"/>
      <c r="AA16" s="22"/>
      <c r="AB16" s="22"/>
      <c r="AC16" s="22"/>
      <c r="AD16" s="22"/>
    </row>
    <row r="17" spans="1:30" s="21" customFormat="1" x14ac:dyDescent="0.25">
      <c r="A17" s="22"/>
      <c r="B17" s="22"/>
      <c r="C17" s="22"/>
      <c r="D17" s="22"/>
      <c r="E17" s="22"/>
      <c r="F17" s="22"/>
      <c r="G17" s="22"/>
      <c r="H17" s="22"/>
      <c r="I17" s="22"/>
      <c r="J17" s="22"/>
      <c r="K17" s="22"/>
      <c r="L17" s="22"/>
      <c r="M17" s="22"/>
      <c r="N17" s="22"/>
      <c r="O17" s="22"/>
      <c r="P17" s="22"/>
      <c r="Q17" s="22"/>
      <c r="R17" s="22"/>
      <c r="S17" s="22"/>
      <c r="T17" s="22"/>
      <c r="U17" s="25"/>
      <c r="V17" s="24"/>
      <c r="W17" s="23"/>
      <c r="X17" s="22"/>
      <c r="Y17" s="22"/>
      <c r="Z17" s="22"/>
      <c r="AA17" s="22"/>
      <c r="AB17" s="22"/>
      <c r="AC17" s="22"/>
      <c r="AD17" s="22"/>
    </row>
    <row r="18" spans="1:30" s="21" customFormat="1" ht="45" x14ac:dyDescent="0.25">
      <c r="A18" s="26" t="s">
        <v>167</v>
      </c>
      <c r="B18" s="26"/>
      <c r="C18" s="26"/>
      <c r="D18" s="26"/>
      <c r="E18" s="26" t="str">
        <f t="shared" si="5"/>
        <v>DERPROG</v>
      </c>
      <c r="F18" s="26" t="s">
        <v>168</v>
      </c>
      <c r="G18" s="26" t="str">
        <f t="shared" si="3"/>
        <v>P081DER</v>
      </c>
      <c r="H18" s="26" t="s">
        <v>169</v>
      </c>
      <c r="I18" s="26" t="s">
        <v>170</v>
      </c>
      <c r="J18" s="26" t="s">
        <v>171</v>
      </c>
      <c r="K18" s="26" t="str">
        <f t="shared" si="6"/>
        <v>ELEM51</v>
      </c>
      <c r="L18" s="26" t="s">
        <v>172</v>
      </c>
      <c r="M18" s="26" t="s">
        <v>94</v>
      </c>
      <c r="N18" s="26" t="str">
        <f t="shared" si="4"/>
        <v>FONTEDER</v>
      </c>
      <c r="O18" s="26"/>
      <c r="P18" s="26"/>
      <c r="Q18" s="26" t="s">
        <v>46</v>
      </c>
      <c r="R18" s="26" t="s">
        <v>173</v>
      </c>
      <c r="S18" s="26">
        <v>500</v>
      </c>
      <c r="T18" s="26" t="s">
        <v>174</v>
      </c>
      <c r="U18" s="27">
        <v>50000</v>
      </c>
      <c r="V18" s="28">
        <v>1</v>
      </c>
      <c r="W18" s="29">
        <f t="shared" si="7"/>
        <v>25000000</v>
      </c>
      <c r="X18" s="26"/>
      <c r="Y18" s="26"/>
      <c r="Z18" s="26"/>
      <c r="AA18" s="26"/>
      <c r="AB18" s="26"/>
      <c r="AC18" s="26"/>
      <c r="AD18" s="26"/>
    </row>
    <row r="19" spans="1:30" s="21" customFormat="1" ht="60" x14ac:dyDescent="0.25">
      <c r="A19" s="26" t="s">
        <v>167</v>
      </c>
      <c r="B19" s="26"/>
      <c r="C19" s="26"/>
      <c r="D19" s="26"/>
      <c r="E19" s="26" t="str">
        <f>CONCATENATE(A19,"PROG")</f>
        <v>DERPROG</v>
      </c>
      <c r="F19" s="26" t="s">
        <v>168</v>
      </c>
      <c r="G19" s="26" t="str">
        <f>CONCATENATE("P",(LEFT(F19,3)),A19)</f>
        <v>P081DER</v>
      </c>
      <c r="H19" s="26" t="s">
        <v>169</v>
      </c>
      <c r="I19" s="26" t="s">
        <v>170</v>
      </c>
      <c r="J19" s="26" t="s">
        <v>175</v>
      </c>
      <c r="K19" s="26" t="str">
        <f t="shared" si="6"/>
        <v>ELEM35</v>
      </c>
      <c r="L19" s="26" t="s">
        <v>176</v>
      </c>
      <c r="M19" s="26" t="s">
        <v>44</v>
      </c>
      <c r="N19" s="26" t="str">
        <f t="shared" si="4"/>
        <v>FONTEDER</v>
      </c>
      <c r="O19" s="26"/>
      <c r="P19" s="26" t="s">
        <v>177</v>
      </c>
      <c r="Q19" s="26" t="s">
        <v>58</v>
      </c>
      <c r="R19" s="26" t="s">
        <v>88</v>
      </c>
      <c r="S19" s="26">
        <v>1</v>
      </c>
      <c r="T19" s="26" t="s">
        <v>178</v>
      </c>
      <c r="U19" s="27">
        <v>25000</v>
      </c>
      <c r="V19" s="28">
        <v>1</v>
      </c>
      <c r="W19" s="29">
        <f t="shared" si="7"/>
        <v>25000</v>
      </c>
      <c r="X19" s="26"/>
      <c r="Y19" s="26"/>
      <c r="Z19" s="26"/>
      <c r="AA19" s="26"/>
      <c r="AB19" s="26"/>
      <c r="AC19" s="26"/>
      <c r="AD19" s="26"/>
    </row>
    <row r="20" spans="1:30" s="21" customFormat="1" x14ac:dyDescent="0.25">
      <c r="A20" s="22"/>
      <c r="B20" s="22"/>
      <c r="C20" s="22"/>
      <c r="D20" s="22"/>
      <c r="E20" s="22" t="str">
        <f t="shared" si="5"/>
        <v>PROG</v>
      </c>
      <c r="F20" s="22"/>
      <c r="G20" s="22" t="str">
        <f t="shared" si="3"/>
        <v>P</v>
      </c>
      <c r="H20" s="22"/>
      <c r="I20" s="22"/>
      <c r="J20" s="22"/>
      <c r="K20" s="22" t="str">
        <f t="shared" si="6"/>
        <v>ELEM</v>
      </c>
      <c r="L20" s="22"/>
      <c r="M20" s="22"/>
      <c r="N20" s="22" t="str">
        <f t="shared" si="4"/>
        <v>FONTE</v>
      </c>
      <c r="O20" s="22"/>
      <c r="P20" s="22"/>
      <c r="Q20" s="22"/>
      <c r="R20" s="22"/>
      <c r="S20" s="22"/>
      <c r="T20" s="22"/>
      <c r="U20" s="25"/>
      <c r="V20" s="24"/>
      <c r="W20" s="23">
        <f t="shared" si="7"/>
        <v>0</v>
      </c>
      <c r="X20" s="22"/>
      <c r="Y20" s="22"/>
      <c r="Z20" s="22"/>
      <c r="AA20" s="22"/>
      <c r="AB20" s="22"/>
      <c r="AC20" s="22"/>
      <c r="AD20" s="22"/>
    </row>
    <row r="21" spans="1:30" s="21" customFormat="1" x14ac:dyDescent="0.25">
      <c r="A21" s="22"/>
      <c r="B21" s="22"/>
      <c r="C21" s="22"/>
      <c r="D21" s="22"/>
      <c r="E21" s="22" t="str">
        <f t="shared" si="5"/>
        <v>PROG</v>
      </c>
      <c r="F21" s="22"/>
      <c r="G21" s="22" t="str">
        <f t="shared" si="3"/>
        <v>P</v>
      </c>
      <c r="H21" s="22"/>
      <c r="I21" s="22"/>
      <c r="J21" s="22"/>
      <c r="K21" s="22" t="str">
        <f t="shared" si="6"/>
        <v>ELEM</v>
      </c>
      <c r="L21" s="22"/>
      <c r="M21" s="22"/>
      <c r="N21" s="22" t="str">
        <f t="shared" si="4"/>
        <v>FONTE</v>
      </c>
      <c r="O21" s="22"/>
      <c r="P21" s="22"/>
      <c r="Q21" s="22"/>
      <c r="R21" s="22"/>
      <c r="S21" s="22"/>
      <c r="T21" s="22"/>
      <c r="U21" s="25"/>
      <c r="V21" s="24"/>
      <c r="W21" s="23">
        <f t="shared" si="7"/>
        <v>0</v>
      </c>
      <c r="X21" s="22"/>
      <c r="Y21" s="22"/>
      <c r="Z21" s="22"/>
      <c r="AA21" s="22"/>
      <c r="AB21" s="22"/>
      <c r="AC21" s="22"/>
      <c r="AD21" s="22"/>
    </row>
    <row r="22" spans="1:30" s="21" customFormat="1" x14ac:dyDescent="0.25">
      <c r="A22" s="22"/>
      <c r="B22" s="22"/>
      <c r="C22" s="22"/>
      <c r="D22" s="22"/>
      <c r="E22" s="22" t="str">
        <f t="shared" si="5"/>
        <v>PROG</v>
      </c>
      <c r="F22" s="22"/>
      <c r="G22" s="22" t="str">
        <f t="shared" si="3"/>
        <v>P</v>
      </c>
      <c r="H22" s="22"/>
      <c r="I22" s="22"/>
      <c r="J22" s="22"/>
      <c r="K22" s="22" t="str">
        <f t="shared" si="6"/>
        <v>ELEM</v>
      </c>
      <c r="L22" s="22"/>
      <c r="M22" s="22"/>
      <c r="N22" s="22" t="str">
        <f t="shared" si="4"/>
        <v>FONTE</v>
      </c>
      <c r="O22" s="22"/>
      <c r="P22" s="22"/>
      <c r="Q22" s="22"/>
      <c r="R22" s="22"/>
      <c r="S22" s="22"/>
      <c r="T22" s="22"/>
      <c r="U22" s="25"/>
      <c r="V22" s="24"/>
      <c r="W22" s="23">
        <f t="shared" si="7"/>
        <v>0</v>
      </c>
      <c r="X22" s="22"/>
      <c r="Y22" s="22"/>
      <c r="Z22" s="22"/>
      <c r="AA22" s="22"/>
      <c r="AB22" s="22"/>
      <c r="AC22" s="22"/>
      <c r="AD22" s="22"/>
    </row>
    <row r="23" spans="1:30" s="21" customFormat="1" x14ac:dyDescent="0.25">
      <c r="A23" s="22"/>
      <c r="B23" s="22"/>
      <c r="C23" s="22"/>
      <c r="D23" s="22"/>
      <c r="E23" s="22" t="str">
        <f t="shared" si="5"/>
        <v>PROG</v>
      </c>
      <c r="F23" s="22"/>
      <c r="G23" s="22" t="str">
        <f t="shared" si="3"/>
        <v>P</v>
      </c>
      <c r="H23" s="22"/>
      <c r="I23" s="22"/>
      <c r="J23" s="22"/>
      <c r="K23" s="22" t="str">
        <f t="shared" si="6"/>
        <v>ELEM</v>
      </c>
      <c r="L23" s="22"/>
      <c r="M23" s="22"/>
      <c r="N23" s="22" t="str">
        <f t="shared" si="4"/>
        <v>FONTE</v>
      </c>
      <c r="O23" s="22"/>
      <c r="P23" s="22"/>
      <c r="Q23" s="22"/>
      <c r="R23" s="22"/>
      <c r="S23" s="22"/>
      <c r="T23" s="22"/>
      <c r="U23" s="25"/>
      <c r="V23" s="24"/>
      <c r="W23" s="23">
        <f t="shared" si="7"/>
        <v>0</v>
      </c>
      <c r="X23" s="22"/>
      <c r="Y23" s="22"/>
      <c r="Z23" s="22"/>
      <c r="AA23" s="22"/>
      <c r="AB23" s="22"/>
      <c r="AC23" s="22"/>
      <c r="AD23" s="22"/>
    </row>
    <row r="24" spans="1:30" s="21" customFormat="1" x14ac:dyDescent="0.25">
      <c r="A24" s="22"/>
      <c r="B24" s="22"/>
      <c r="C24" s="22"/>
      <c r="D24" s="22"/>
      <c r="E24" s="22" t="str">
        <f t="shared" si="5"/>
        <v>PROG</v>
      </c>
      <c r="F24" s="22"/>
      <c r="G24" s="22" t="str">
        <f t="shared" si="3"/>
        <v>P</v>
      </c>
      <c r="H24" s="22"/>
      <c r="I24" s="22"/>
      <c r="J24" s="22"/>
      <c r="K24" s="22" t="str">
        <f t="shared" si="6"/>
        <v>ELEM</v>
      </c>
      <c r="L24" s="22"/>
      <c r="M24" s="22"/>
      <c r="N24" s="22" t="str">
        <f t="shared" si="4"/>
        <v>FONTE</v>
      </c>
      <c r="O24" s="22"/>
      <c r="P24" s="22"/>
      <c r="Q24" s="22"/>
      <c r="R24" s="22"/>
      <c r="S24" s="22"/>
      <c r="T24" s="22"/>
      <c r="U24" s="25"/>
      <c r="V24" s="24"/>
      <c r="W24" s="23">
        <f t="shared" si="7"/>
        <v>0</v>
      </c>
      <c r="X24" s="22"/>
      <c r="Y24" s="22"/>
      <c r="Z24" s="22"/>
      <c r="AA24" s="22"/>
      <c r="AB24" s="22"/>
      <c r="AC24" s="22"/>
      <c r="AD24" s="22"/>
    </row>
    <row r="25" spans="1:30" s="21" customFormat="1" x14ac:dyDescent="0.25">
      <c r="A25" s="22"/>
      <c r="B25" s="22"/>
      <c r="C25" s="22"/>
      <c r="D25" s="22"/>
      <c r="E25" s="22" t="str">
        <f t="shared" si="5"/>
        <v>PROG</v>
      </c>
      <c r="F25" s="22"/>
      <c r="G25" s="22" t="str">
        <f t="shared" si="3"/>
        <v>P</v>
      </c>
      <c r="H25" s="22"/>
      <c r="I25" s="22"/>
      <c r="J25" s="22"/>
      <c r="K25" s="22" t="str">
        <f t="shared" si="6"/>
        <v>ELEM</v>
      </c>
      <c r="L25" s="22"/>
      <c r="M25" s="22"/>
      <c r="N25" s="22" t="str">
        <f t="shared" si="4"/>
        <v>FONTE</v>
      </c>
      <c r="O25" s="22"/>
      <c r="P25" s="22"/>
      <c r="Q25" s="22"/>
      <c r="R25" s="22"/>
      <c r="S25" s="22"/>
      <c r="T25" s="22"/>
      <c r="U25" s="25"/>
      <c r="V25" s="24"/>
      <c r="W25" s="23">
        <f t="shared" si="7"/>
        <v>0</v>
      </c>
      <c r="X25" s="22"/>
      <c r="Y25" s="22"/>
      <c r="Z25" s="22"/>
      <c r="AA25" s="22"/>
      <c r="AB25" s="22"/>
      <c r="AC25" s="22"/>
      <c r="AD25" s="22"/>
    </row>
    <row r="26" spans="1:30" s="21" customFormat="1" x14ac:dyDescent="0.25">
      <c r="A26" s="22"/>
      <c r="B26" s="22"/>
      <c r="C26" s="22"/>
      <c r="D26" s="22"/>
      <c r="E26" s="22" t="str">
        <f t="shared" si="5"/>
        <v>PROG</v>
      </c>
      <c r="F26" s="22"/>
      <c r="G26" s="22" t="str">
        <f t="shared" si="3"/>
        <v>P</v>
      </c>
      <c r="H26" s="22"/>
      <c r="I26" s="22"/>
      <c r="J26" s="22"/>
      <c r="K26" s="22" t="str">
        <f t="shared" si="6"/>
        <v>ELEM</v>
      </c>
      <c r="L26" s="22"/>
      <c r="M26" s="22"/>
      <c r="N26" s="22" t="str">
        <f t="shared" si="4"/>
        <v>FONTE</v>
      </c>
      <c r="O26" s="22"/>
      <c r="P26" s="22"/>
      <c r="Q26" s="22"/>
      <c r="R26" s="22"/>
      <c r="S26" s="22"/>
      <c r="T26" s="22"/>
      <c r="U26" s="25"/>
      <c r="V26" s="24"/>
      <c r="W26" s="23">
        <f t="shared" si="7"/>
        <v>0</v>
      </c>
      <c r="X26" s="22"/>
      <c r="Y26" s="22"/>
      <c r="Z26" s="22"/>
      <c r="AA26" s="22"/>
      <c r="AB26" s="22"/>
      <c r="AC26" s="22"/>
      <c r="AD26" s="22"/>
    </row>
    <row r="27" spans="1:30" s="21" customFormat="1" x14ac:dyDescent="0.25">
      <c r="A27" s="22"/>
      <c r="B27" s="22"/>
      <c r="C27" s="22"/>
      <c r="D27" s="22"/>
      <c r="E27" s="22" t="str">
        <f t="shared" si="5"/>
        <v>PROG</v>
      </c>
      <c r="F27" s="22"/>
      <c r="G27" s="22" t="str">
        <f t="shared" si="3"/>
        <v>P</v>
      </c>
      <c r="H27" s="22"/>
      <c r="I27" s="22"/>
      <c r="J27" s="22"/>
      <c r="K27" s="22" t="str">
        <f t="shared" si="6"/>
        <v>ELEM</v>
      </c>
      <c r="L27" s="22"/>
      <c r="M27" s="22"/>
      <c r="N27" s="22" t="str">
        <f t="shared" si="4"/>
        <v>FONTE</v>
      </c>
      <c r="O27" s="22"/>
      <c r="P27" s="22"/>
      <c r="Q27" s="22"/>
      <c r="R27" s="22"/>
      <c r="S27" s="22"/>
      <c r="T27" s="22"/>
      <c r="U27" s="25"/>
      <c r="V27" s="24"/>
      <c r="W27" s="23">
        <f t="shared" si="7"/>
        <v>0</v>
      </c>
      <c r="X27" s="22"/>
      <c r="Y27" s="22"/>
      <c r="Z27" s="22"/>
      <c r="AA27" s="22"/>
      <c r="AB27" s="22"/>
      <c r="AC27" s="22"/>
      <c r="AD27" s="22"/>
    </row>
    <row r="28" spans="1:30" s="21" customFormat="1" x14ac:dyDescent="0.25">
      <c r="A28" s="22"/>
      <c r="B28" s="22"/>
      <c r="C28" s="22"/>
      <c r="D28" s="22"/>
      <c r="E28" s="22" t="str">
        <f t="shared" si="5"/>
        <v>PROG</v>
      </c>
      <c r="F28" s="22"/>
      <c r="G28" s="22" t="str">
        <f t="shared" si="3"/>
        <v>P</v>
      </c>
      <c r="H28" s="22"/>
      <c r="I28" s="22"/>
      <c r="J28" s="22"/>
      <c r="K28" s="22" t="str">
        <f t="shared" si="6"/>
        <v>ELEM</v>
      </c>
      <c r="L28" s="22"/>
      <c r="M28" s="22"/>
      <c r="N28" s="22" t="str">
        <f t="shared" si="4"/>
        <v>FONTE</v>
      </c>
      <c r="O28" s="22"/>
      <c r="P28" s="22"/>
      <c r="Q28" s="22"/>
      <c r="R28" s="22"/>
      <c r="S28" s="22"/>
      <c r="T28" s="22"/>
      <c r="U28" s="25"/>
      <c r="V28" s="24"/>
      <c r="W28" s="23">
        <f t="shared" si="7"/>
        <v>0</v>
      </c>
      <c r="X28" s="22"/>
      <c r="Y28" s="22"/>
      <c r="Z28" s="22"/>
      <c r="AA28" s="22"/>
      <c r="AB28" s="22"/>
      <c r="AC28" s="22"/>
      <c r="AD28" s="22"/>
    </row>
    <row r="29" spans="1:30" s="21" customFormat="1" x14ac:dyDescent="0.25">
      <c r="A29" s="22"/>
      <c r="B29" s="22"/>
      <c r="C29" s="22"/>
      <c r="D29" s="22"/>
      <c r="E29" s="22" t="str">
        <f t="shared" si="5"/>
        <v>PROG</v>
      </c>
      <c r="F29" s="22"/>
      <c r="G29" s="22" t="str">
        <f t="shared" si="3"/>
        <v>P</v>
      </c>
      <c r="H29" s="22"/>
      <c r="I29" s="22"/>
      <c r="J29" s="22"/>
      <c r="K29" s="22" t="str">
        <f t="shared" si="6"/>
        <v>ELEM</v>
      </c>
      <c r="L29" s="22"/>
      <c r="M29" s="22"/>
      <c r="N29" s="22" t="str">
        <f t="shared" si="4"/>
        <v>FONTE</v>
      </c>
      <c r="O29" s="22"/>
      <c r="P29" s="22"/>
      <c r="Q29" s="22"/>
      <c r="R29" s="22"/>
      <c r="S29" s="22"/>
      <c r="T29" s="22"/>
      <c r="U29" s="25"/>
      <c r="V29" s="24"/>
      <c r="W29" s="23">
        <f t="shared" si="7"/>
        <v>0</v>
      </c>
      <c r="X29" s="22"/>
      <c r="Y29" s="22"/>
      <c r="Z29" s="22"/>
      <c r="AA29" s="22"/>
      <c r="AB29" s="22"/>
      <c r="AC29" s="22"/>
      <c r="AD29" s="22"/>
    </row>
    <row r="30" spans="1:30" s="21" customFormat="1" x14ac:dyDescent="0.25">
      <c r="A30" s="22"/>
      <c r="B30" s="22"/>
      <c r="C30" s="22"/>
      <c r="D30" s="22"/>
      <c r="E30" s="22" t="str">
        <f t="shared" si="5"/>
        <v>PROG</v>
      </c>
      <c r="F30" s="22"/>
      <c r="G30" s="22" t="str">
        <f t="shared" si="3"/>
        <v>P</v>
      </c>
      <c r="H30" s="22"/>
      <c r="I30" s="22"/>
      <c r="J30" s="22"/>
      <c r="K30" s="22" t="str">
        <f t="shared" si="6"/>
        <v>ELEM</v>
      </c>
      <c r="L30" s="22"/>
      <c r="M30" s="22"/>
      <c r="N30" s="22" t="str">
        <f t="shared" si="4"/>
        <v>FONTE</v>
      </c>
      <c r="O30" s="22"/>
      <c r="P30" s="22"/>
      <c r="Q30" s="22"/>
      <c r="R30" s="22"/>
      <c r="S30" s="22"/>
      <c r="T30" s="22"/>
      <c r="U30" s="25"/>
      <c r="V30" s="24"/>
      <c r="W30" s="23">
        <f t="shared" si="7"/>
        <v>0</v>
      </c>
      <c r="X30" s="22"/>
      <c r="Y30" s="22"/>
      <c r="Z30" s="22"/>
      <c r="AA30" s="22"/>
      <c r="AB30" s="22"/>
      <c r="AC30" s="22"/>
      <c r="AD30" s="22"/>
    </row>
    <row r="31" spans="1:30" s="21" customFormat="1" x14ac:dyDescent="0.25">
      <c r="A31" s="22"/>
      <c r="B31" s="22"/>
      <c r="C31" s="22"/>
      <c r="D31" s="22"/>
      <c r="E31" s="22" t="str">
        <f t="shared" si="5"/>
        <v>PROG</v>
      </c>
      <c r="F31" s="22"/>
      <c r="G31" s="22" t="str">
        <f t="shared" si="3"/>
        <v>P</v>
      </c>
      <c r="H31" s="22"/>
      <c r="I31" s="22"/>
      <c r="J31" s="22"/>
      <c r="K31" s="22" t="str">
        <f t="shared" si="6"/>
        <v>ELEM</v>
      </c>
      <c r="L31" s="22"/>
      <c r="M31" s="22"/>
      <c r="N31" s="22" t="str">
        <f t="shared" si="4"/>
        <v>FONTE</v>
      </c>
      <c r="O31" s="22"/>
      <c r="P31" s="22"/>
      <c r="Q31" s="22"/>
      <c r="R31" s="22"/>
      <c r="S31" s="22"/>
      <c r="T31" s="22"/>
      <c r="U31" s="25"/>
      <c r="V31" s="24"/>
      <c r="W31" s="23">
        <f t="shared" si="7"/>
        <v>0</v>
      </c>
      <c r="X31" s="22"/>
      <c r="Y31" s="22"/>
      <c r="Z31" s="22"/>
      <c r="AA31" s="22"/>
      <c r="AB31" s="22"/>
      <c r="AC31" s="22"/>
      <c r="AD31" s="22"/>
    </row>
    <row r="32" spans="1:30" s="21" customFormat="1" x14ac:dyDescent="0.25">
      <c r="A32" s="22"/>
      <c r="B32" s="22"/>
      <c r="C32" s="22"/>
      <c r="D32" s="22"/>
      <c r="E32" s="22" t="str">
        <f t="shared" si="5"/>
        <v>PROG</v>
      </c>
      <c r="F32" s="22"/>
      <c r="G32" s="22" t="str">
        <f t="shared" si="3"/>
        <v>P</v>
      </c>
      <c r="H32" s="22"/>
      <c r="I32" s="22"/>
      <c r="J32" s="22"/>
      <c r="K32" s="22" t="str">
        <f t="shared" si="6"/>
        <v>ELEM</v>
      </c>
      <c r="L32" s="22"/>
      <c r="M32" s="22"/>
      <c r="N32" s="22" t="str">
        <f t="shared" si="4"/>
        <v>FONTE</v>
      </c>
      <c r="O32" s="22"/>
      <c r="P32" s="22"/>
      <c r="Q32" s="22"/>
      <c r="R32" s="22"/>
      <c r="S32" s="22"/>
      <c r="T32" s="22"/>
      <c r="U32" s="25"/>
      <c r="V32" s="24"/>
      <c r="W32" s="23">
        <f t="shared" si="7"/>
        <v>0</v>
      </c>
      <c r="X32" s="22"/>
      <c r="Y32" s="22"/>
      <c r="Z32" s="22"/>
      <c r="AA32" s="22"/>
      <c r="AB32" s="22"/>
      <c r="AC32" s="22"/>
      <c r="AD32" s="22"/>
    </row>
    <row r="33" spans="1:30" s="21" customFormat="1" x14ac:dyDescent="0.25">
      <c r="A33" s="22"/>
      <c r="B33" s="22"/>
      <c r="C33" s="22"/>
      <c r="D33" s="22"/>
      <c r="E33" s="22" t="str">
        <f t="shared" si="5"/>
        <v>PROG</v>
      </c>
      <c r="F33" s="22"/>
      <c r="G33" s="22" t="str">
        <f t="shared" si="3"/>
        <v>P</v>
      </c>
      <c r="H33" s="22"/>
      <c r="I33" s="22"/>
      <c r="J33" s="22"/>
      <c r="K33" s="22" t="str">
        <f t="shared" si="6"/>
        <v>ELEM</v>
      </c>
      <c r="L33" s="22"/>
      <c r="M33" s="22"/>
      <c r="N33" s="22" t="str">
        <f t="shared" si="4"/>
        <v>FONTE</v>
      </c>
      <c r="O33" s="22"/>
      <c r="P33" s="22"/>
      <c r="Q33" s="22"/>
      <c r="R33" s="22"/>
      <c r="S33" s="22"/>
      <c r="T33" s="22"/>
      <c r="U33" s="25"/>
      <c r="V33" s="24"/>
      <c r="W33" s="23">
        <f t="shared" si="7"/>
        <v>0</v>
      </c>
      <c r="X33" s="22"/>
      <c r="Y33" s="22"/>
      <c r="Z33" s="22"/>
      <c r="AA33" s="22"/>
      <c r="AB33" s="22"/>
      <c r="AC33" s="22"/>
      <c r="AD33" s="22"/>
    </row>
    <row r="34" spans="1:30" s="21" customFormat="1" x14ac:dyDescent="0.25">
      <c r="A34" s="22"/>
      <c r="B34" s="22"/>
      <c r="C34" s="22"/>
      <c r="D34" s="22"/>
      <c r="E34" s="22" t="str">
        <f t="shared" si="5"/>
        <v>PROG</v>
      </c>
      <c r="F34" s="22"/>
      <c r="G34" s="22" t="str">
        <f t="shared" si="3"/>
        <v>P</v>
      </c>
      <c r="H34" s="22"/>
      <c r="I34" s="22"/>
      <c r="J34" s="22"/>
      <c r="K34" s="22" t="str">
        <f t="shared" si="6"/>
        <v>ELEM</v>
      </c>
      <c r="L34" s="22"/>
      <c r="M34" s="22"/>
      <c r="N34" s="22" t="str">
        <f t="shared" si="4"/>
        <v>FONTE</v>
      </c>
      <c r="O34" s="22"/>
      <c r="P34" s="22"/>
      <c r="Q34" s="22"/>
      <c r="R34" s="22"/>
      <c r="S34" s="22"/>
      <c r="T34" s="22"/>
      <c r="U34" s="25"/>
      <c r="V34" s="24"/>
      <c r="W34" s="23">
        <f t="shared" si="7"/>
        <v>0</v>
      </c>
      <c r="X34" s="22"/>
      <c r="Y34" s="22"/>
      <c r="Z34" s="22"/>
      <c r="AA34" s="22"/>
      <c r="AB34" s="22"/>
      <c r="AC34" s="22"/>
      <c r="AD34" s="22"/>
    </row>
    <row r="35" spans="1:30" s="21" customFormat="1" x14ac:dyDescent="0.25">
      <c r="A35" s="22"/>
      <c r="B35" s="22"/>
      <c r="C35" s="22"/>
      <c r="D35" s="22"/>
      <c r="E35" s="22" t="str">
        <f t="shared" si="5"/>
        <v>PROG</v>
      </c>
      <c r="F35" s="22"/>
      <c r="G35" s="22" t="str">
        <f t="shared" si="3"/>
        <v>P</v>
      </c>
      <c r="H35" s="22"/>
      <c r="I35" s="22"/>
      <c r="J35" s="22"/>
      <c r="K35" s="22" t="str">
        <f t="shared" si="6"/>
        <v>ELEM</v>
      </c>
      <c r="L35" s="22"/>
      <c r="M35" s="22"/>
      <c r="N35" s="22" t="str">
        <f t="shared" si="4"/>
        <v>FONTE</v>
      </c>
      <c r="O35" s="22"/>
      <c r="P35" s="22"/>
      <c r="Q35" s="22"/>
      <c r="R35" s="22"/>
      <c r="S35" s="22"/>
      <c r="T35" s="22"/>
      <c r="U35" s="25"/>
      <c r="V35" s="24"/>
      <c r="W35" s="23">
        <f t="shared" si="7"/>
        <v>0</v>
      </c>
      <c r="X35" s="22"/>
      <c r="Y35" s="22"/>
      <c r="Z35" s="22"/>
      <c r="AA35" s="22"/>
      <c r="AB35" s="22"/>
      <c r="AC35" s="22"/>
      <c r="AD35" s="22"/>
    </row>
    <row r="36" spans="1:30" s="21" customFormat="1" x14ac:dyDescent="0.25">
      <c r="A36" s="22"/>
      <c r="B36" s="22"/>
      <c r="C36" s="22"/>
      <c r="D36" s="22"/>
      <c r="E36" s="22" t="str">
        <f t="shared" si="5"/>
        <v>PROG</v>
      </c>
      <c r="F36" s="22"/>
      <c r="G36" s="22" t="str">
        <f t="shared" si="3"/>
        <v>P</v>
      </c>
      <c r="H36" s="22"/>
      <c r="I36" s="22"/>
      <c r="J36" s="22"/>
      <c r="K36" s="22" t="str">
        <f t="shared" si="6"/>
        <v>ELEM</v>
      </c>
      <c r="L36" s="22"/>
      <c r="M36" s="22"/>
      <c r="N36" s="22" t="str">
        <f t="shared" si="4"/>
        <v>FONTE</v>
      </c>
      <c r="O36" s="22"/>
      <c r="P36" s="22"/>
      <c r="Q36" s="22"/>
      <c r="R36" s="22"/>
      <c r="S36" s="22"/>
      <c r="T36" s="22"/>
      <c r="U36" s="25"/>
      <c r="V36" s="24"/>
      <c r="W36" s="23">
        <f t="shared" si="7"/>
        <v>0</v>
      </c>
      <c r="X36" s="22"/>
      <c r="Y36" s="22"/>
      <c r="Z36" s="22"/>
      <c r="AA36" s="22"/>
      <c r="AB36" s="22"/>
      <c r="AC36" s="22"/>
      <c r="AD36" s="22"/>
    </row>
    <row r="37" spans="1:30" s="21" customFormat="1" x14ac:dyDescent="0.25">
      <c r="A37" s="22"/>
      <c r="B37" s="22"/>
      <c r="C37" s="22"/>
      <c r="D37" s="22"/>
      <c r="E37" s="22" t="str">
        <f t="shared" si="5"/>
        <v>PROG</v>
      </c>
      <c r="F37" s="22"/>
      <c r="G37" s="22" t="str">
        <f t="shared" si="3"/>
        <v>P</v>
      </c>
      <c r="H37" s="22"/>
      <c r="I37" s="22"/>
      <c r="J37" s="22"/>
      <c r="K37" s="22" t="str">
        <f t="shared" si="6"/>
        <v>ELEM</v>
      </c>
      <c r="L37" s="22"/>
      <c r="M37" s="22"/>
      <c r="N37" s="22" t="str">
        <f t="shared" si="4"/>
        <v>FONTE</v>
      </c>
      <c r="O37" s="22"/>
      <c r="P37" s="22"/>
      <c r="Q37" s="22"/>
      <c r="R37" s="22"/>
      <c r="S37" s="22"/>
      <c r="T37" s="22"/>
      <c r="U37" s="25"/>
      <c r="V37" s="24"/>
      <c r="W37" s="23">
        <f t="shared" si="7"/>
        <v>0</v>
      </c>
      <c r="X37" s="22"/>
      <c r="Y37" s="22"/>
      <c r="Z37" s="22"/>
      <c r="AA37" s="22"/>
      <c r="AB37" s="22"/>
      <c r="AC37" s="22"/>
      <c r="AD37" s="22"/>
    </row>
    <row r="38" spans="1:30" s="21" customFormat="1" x14ac:dyDescent="0.25">
      <c r="A38" s="22"/>
      <c r="B38" s="22"/>
      <c r="C38" s="22"/>
      <c r="D38" s="22"/>
      <c r="E38" s="22" t="str">
        <f t="shared" si="5"/>
        <v>PROG</v>
      </c>
      <c r="F38" s="22"/>
      <c r="G38" s="22" t="str">
        <f t="shared" si="3"/>
        <v>P</v>
      </c>
      <c r="H38" s="22"/>
      <c r="I38" s="22"/>
      <c r="J38" s="22"/>
      <c r="K38" s="22" t="str">
        <f t="shared" si="6"/>
        <v>ELEM</v>
      </c>
      <c r="L38" s="22"/>
      <c r="M38" s="22"/>
      <c r="N38" s="22" t="str">
        <f t="shared" si="4"/>
        <v>FONTE</v>
      </c>
      <c r="O38" s="22"/>
      <c r="P38" s="22"/>
      <c r="Q38" s="22"/>
      <c r="R38" s="22"/>
      <c r="S38" s="22"/>
      <c r="T38" s="22"/>
      <c r="U38" s="25"/>
      <c r="V38" s="24"/>
      <c r="W38" s="23">
        <f t="shared" si="7"/>
        <v>0</v>
      </c>
      <c r="X38" s="22"/>
      <c r="Y38" s="22"/>
      <c r="Z38" s="22"/>
      <c r="AA38" s="22"/>
      <c r="AB38" s="22"/>
      <c r="AC38" s="22"/>
      <c r="AD38" s="22"/>
    </row>
    <row r="39" spans="1:30" s="21" customFormat="1" x14ac:dyDescent="0.25">
      <c r="A39" s="22"/>
      <c r="B39" s="22"/>
      <c r="C39" s="22"/>
      <c r="D39" s="22"/>
      <c r="E39" s="22" t="str">
        <f t="shared" si="5"/>
        <v>PROG</v>
      </c>
      <c r="F39" s="22"/>
      <c r="G39" s="22" t="str">
        <f t="shared" si="3"/>
        <v>P</v>
      </c>
      <c r="H39" s="22"/>
      <c r="I39" s="22"/>
      <c r="J39" s="22"/>
      <c r="K39" s="22" t="str">
        <f t="shared" si="6"/>
        <v>ELEM</v>
      </c>
      <c r="L39" s="22"/>
      <c r="M39" s="22"/>
      <c r="N39" s="22" t="str">
        <f t="shared" si="4"/>
        <v>FONTE</v>
      </c>
      <c r="O39" s="22"/>
      <c r="P39" s="22"/>
      <c r="Q39" s="22"/>
      <c r="R39" s="22"/>
      <c r="S39" s="22"/>
      <c r="T39" s="22"/>
      <c r="U39" s="25"/>
      <c r="V39" s="24"/>
      <c r="W39" s="23">
        <f t="shared" si="7"/>
        <v>0</v>
      </c>
      <c r="X39" s="22"/>
      <c r="Y39" s="22"/>
      <c r="Z39" s="22"/>
      <c r="AA39" s="22"/>
      <c r="AB39" s="22"/>
      <c r="AC39" s="22"/>
      <c r="AD39" s="22"/>
    </row>
    <row r="40" spans="1:30" s="21" customFormat="1" x14ac:dyDescent="0.25">
      <c r="A40" s="22"/>
      <c r="B40" s="22"/>
      <c r="C40" s="22"/>
      <c r="D40" s="22"/>
      <c r="E40" s="22" t="str">
        <f t="shared" si="5"/>
        <v>PROG</v>
      </c>
      <c r="F40" s="22"/>
      <c r="G40" s="22" t="str">
        <f t="shared" si="3"/>
        <v>P</v>
      </c>
      <c r="H40" s="22"/>
      <c r="I40" s="22"/>
      <c r="J40" s="22"/>
      <c r="K40" s="22" t="str">
        <f t="shared" si="6"/>
        <v>ELEM</v>
      </c>
      <c r="L40" s="22"/>
      <c r="M40" s="22"/>
      <c r="N40" s="22" t="str">
        <f t="shared" si="4"/>
        <v>FONTE</v>
      </c>
      <c r="O40" s="22"/>
      <c r="P40" s="22"/>
      <c r="Q40" s="22"/>
      <c r="R40" s="22"/>
      <c r="S40" s="22"/>
      <c r="T40" s="22"/>
      <c r="U40" s="25"/>
      <c r="V40" s="24"/>
      <c r="W40" s="23">
        <f t="shared" si="7"/>
        <v>0</v>
      </c>
      <c r="X40" s="22"/>
      <c r="Y40" s="22"/>
      <c r="Z40" s="22"/>
      <c r="AA40" s="22"/>
      <c r="AB40" s="22"/>
      <c r="AC40" s="22"/>
      <c r="AD40" s="22"/>
    </row>
    <row r="41" spans="1:30" s="21" customFormat="1" x14ac:dyDescent="0.25">
      <c r="A41" s="22"/>
      <c r="B41" s="22"/>
      <c r="C41" s="22"/>
      <c r="D41" s="22"/>
      <c r="E41" s="22" t="str">
        <f t="shared" si="5"/>
        <v>PROG</v>
      </c>
      <c r="F41" s="22"/>
      <c r="G41" s="22" t="str">
        <f t="shared" si="3"/>
        <v>P</v>
      </c>
      <c r="H41" s="22"/>
      <c r="I41" s="22"/>
      <c r="J41" s="22"/>
      <c r="K41" s="22" t="str">
        <f t="shared" si="6"/>
        <v>ELEM</v>
      </c>
      <c r="L41" s="22"/>
      <c r="M41" s="22"/>
      <c r="N41" s="22" t="str">
        <f t="shared" si="4"/>
        <v>FONTE</v>
      </c>
      <c r="O41" s="22"/>
      <c r="P41" s="22"/>
      <c r="Q41" s="22"/>
      <c r="R41" s="22"/>
      <c r="S41" s="22"/>
      <c r="T41" s="22"/>
      <c r="U41" s="25"/>
      <c r="V41" s="24"/>
      <c r="W41" s="23">
        <f t="shared" si="7"/>
        <v>0</v>
      </c>
      <c r="X41" s="22"/>
      <c r="Y41" s="22"/>
      <c r="Z41" s="22"/>
      <c r="AA41" s="22"/>
      <c r="AB41" s="22"/>
      <c r="AC41" s="22"/>
      <c r="AD41" s="22"/>
    </row>
    <row r="42" spans="1:30" s="21" customFormat="1" x14ac:dyDescent="0.25">
      <c r="A42" s="22"/>
      <c r="B42" s="22"/>
      <c r="C42" s="22"/>
      <c r="D42" s="22"/>
      <c r="E42" s="22" t="str">
        <f t="shared" si="5"/>
        <v>PROG</v>
      </c>
      <c r="F42" s="22"/>
      <c r="G42" s="22" t="str">
        <f t="shared" si="3"/>
        <v>P</v>
      </c>
      <c r="H42" s="22"/>
      <c r="I42" s="22"/>
      <c r="J42" s="22"/>
      <c r="K42" s="22" t="str">
        <f t="shared" si="6"/>
        <v>ELEM</v>
      </c>
      <c r="L42" s="22"/>
      <c r="M42" s="22"/>
      <c r="N42" s="22" t="str">
        <f t="shared" si="4"/>
        <v>FONTE</v>
      </c>
      <c r="O42" s="22"/>
      <c r="P42" s="22"/>
      <c r="Q42" s="22"/>
      <c r="R42" s="22"/>
      <c r="S42" s="22"/>
      <c r="T42" s="22"/>
      <c r="U42" s="25"/>
      <c r="V42" s="24"/>
      <c r="W42" s="23">
        <f t="shared" si="7"/>
        <v>0</v>
      </c>
      <c r="X42" s="22"/>
      <c r="Y42" s="22"/>
      <c r="Z42" s="22"/>
      <c r="AA42" s="22"/>
      <c r="AB42" s="22"/>
      <c r="AC42" s="22"/>
      <c r="AD42" s="22"/>
    </row>
    <row r="43" spans="1:30" s="21" customFormat="1" x14ac:dyDescent="0.25">
      <c r="A43" s="22"/>
      <c r="B43" s="22"/>
      <c r="C43" s="22"/>
      <c r="D43" s="22"/>
      <c r="E43" s="22" t="str">
        <f t="shared" si="5"/>
        <v>PROG</v>
      </c>
      <c r="F43" s="22"/>
      <c r="G43" s="22" t="str">
        <f t="shared" si="3"/>
        <v>P</v>
      </c>
      <c r="H43" s="22"/>
      <c r="I43" s="22"/>
      <c r="J43" s="22"/>
      <c r="K43" s="22" t="str">
        <f t="shared" si="6"/>
        <v>ELEM</v>
      </c>
      <c r="L43" s="22"/>
      <c r="M43" s="22"/>
      <c r="N43" s="22" t="str">
        <f t="shared" si="4"/>
        <v>FONTE</v>
      </c>
      <c r="O43" s="22"/>
      <c r="P43" s="22"/>
      <c r="Q43" s="22"/>
      <c r="R43" s="22"/>
      <c r="S43" s="22"/>
      <c r="T43" s="22"/>
      <c r="U43" s="25"/>
      <c r="V43" s="24"/>
      <c r="W43" s="23">
        <f t="shared" si="7"/>
        <v>0</v>
      </c>
      <c r="X43" s="22"/>
      <c r="Y43" s="22"/>
      <c r="Z43" s="22"/>
      <c r="AA43" s="22"/>
      <c r="AB43" s="22"/>
      <c r="AC43" s="22"/>
      <c r="AD43" s="22"/>
    </row>
    <row r="44" spans="1:30" s="21" customFormat="1" x14ac:dyDescent="0.25">
      <c r="A44" s="22"/>
      <c r="B44" s="22"/>
      <c r="C44" s="22"/>
      <c r="D44" s="22"/>
      <c r="E44" s="22" t="str">
        <f t="shared" si="5"/>
        <v>PROG</v>
      </c>
      <c r="F44" s="22"/>
      <c r="G44" s="22" t="str">
        <f t="shared" si="3"/>
        <v>P</v>
      </c>
      <c r="H44" s="22"/>
      <c r="I44" s="22"/>
      <c r="J44" s="22"/>
      <c r="K44" s="22" t="str">
        <f t="shared" si="6"/>
        <v>ELEM</v>
      </c>
      <c r="L44" s="22"/>
      <c r="M44" s="22"/>
      <c r="N44" s="22" t="str">
        <f t="shared" si="4"/>
        <v>FONTE</v>
      </c>
      <c r="O44" s="22"/>
      <c r="P44" s="22"/>
      <c r="Q44" s="22"/>
      <c r="R44" s="22"/>
      <c r="S44" s="22"/>
      <c r="T44" s="22"/>
      <c r="U44" s="25"/>
      <c r="V44" s="24"/>
      <c r="W44" s="23">
        <f t="shared" si="7"/>
        <v>0</v>
      </c>
      <c r="X44" s="22"/>
      <c r="Y44" s="22"/>
      <c r="Z44" s="22"/>
      <c r="AA44" s="22"/>
      <c r="AB44" s="22"/>
      <c r="AC44" s="22"/>
      <c r="AD44" s="22"/>
    </row>
    <row r="45" spans="1:30" s="21" customFormat="1" x14ac:dyDescent="0.25">
      <c r="A45" s="22"/>
      <c r="B45" s="22"/>
      <c r="C45" s="22"/>
      <c r="D45" s="22"/>
      <c r="E45" s="22" t="str">
        <f t="shared" si="5"/>
        <v>PROG</v>
      </c>
      <c r="F45" s="22"/>
      <c r="G45" s="22" t="str">
        <f t="shared" si="3"/>
        <v>P</v>
      </c>
      <c r="H45" s="22"/>
      <c r="I45" s="22"/>
      <c r="J45" s="22"/>
      <c r="K45" s="22" t="str">
        <f t="shared" si="6"/>
        <v>ELEM</v>
      </c>
      <c r="L45" s="22"/>
      <c r="M45" s="22"/>
      <c r="N45" s="22" t="str">
        <f t="shared" si="4"/>
        <v>FONTE</v>
      </c>
      <c r="O45" s="22"/>
      <c r="P45" s="22"/>
      <c r="Q45" s="22"/>
      <c r="R45" s="22"/>
      <c r="S45" s="22"/>
      <c r="T45" s="22"/>
      <c r="U45" s="25"/>
      <c r="V45" s="24"/>
      <c r="W45" s="23">
        <f t="shared" si="7"/>
        <v>0</v>
      </c>
      <c r="X45" s="22"/>
      <c r="Y45" s="22"/>
      <c r="Z45" s="22"/>
      <c r="AA45" s="22"/>
      <c r="AB45" s="22"/>
      <c r="AC45" s="22"/>
      <c r="AD45" s="22"/>
    </row>
    <row r="46" spans="1:30" s="21" customFormat="1" x14ac:dyDescent="0.25">
      <c r="A46" s="22"/>
      <c r="B46" s="22"/>
      <c r="C46" s="22"/>
      <c r="D46" s="22"/>
      <c r="E46" s="22" t="str">
        <f t="shared" si="5"/>
        <v>PROG</v>
      </c>
      <c r="F46" s="22"/>
      <c r="G46" s="22" t="str">
        <f t="shared" si="3"/>
        <v>P</v>
      </c>
      <c r="H46" s="22"/>
      <c r="I46" s="22"/>
      <c r="J46" s="22"/>
      <c r="K46" s="22" t="str">
        <f t="shared" si="6"/>
        <v>ELEM</v>
      </c>
      <c r="L46" s="22"/>
      <c r="M46" s="22"/>
      <c r="N46" s="22" t="str">
        <f t="shared" si="4"/>
        <v>FONTE</v>
      </c>
      <c r="O46" s="22"/>
      <c r="P46" s="22"/>
      <c r="Q46" s="22"/>
      <c r="R46" s="22"/>
      <c r="S46" s="22"/>
      <c r="T46" s="22"/>
      <c r="U46" s="25"/>
      <c r="V46" s="24"/>
      <c r="W46" s="23">
        <f t="shared" si="7"/>
        <v>0</v>
      </c>
      <c r="X46" s="22"/>
      <c r="Y46" s="22"/>
      <c r="Z46" s="22"/>
      <c r="AA46" s="22"/>
      <c r="AB46" s="22"/>
      <c r="AC46" s="22"/>
      <c r="AD46" s="22"/>
    </row>
    <row r="47" spans="1:30" s="21" customFormat="1" x14ac:dyDescent="0.25">
      <c r="A47" s="22"/>
      <c r="B47" s="22"/>
      <c r="C47" s="22"/>
      <c r="D47" s="22"/>
      <c r="E47" s="22" t="str">
        <f t="shared" si="5"/>
        <v>PROG</v>
      </c>
      <c r="F47" s="22"/>
      <c r="G47" s="22" t="str">
        <f t="shared" si="3"/>
        <v>P</v>
      </c>
      <c r="H47" s="22"/>
      <c r="I47" s="22"/>
      <c r="J47" s="22"/>
      <c r="K47" s="22" t="str">
        <f t="shared" si="6"/>
        <v>ELEM</v>
      </c>
      <c r="L47" s="22"/>
      <c r="M47" s="22"/>
      <c r="N47" s="22" t="str">
        <f t="shared" si="4"/>
        <v>FONTE</v>
      </c>
      <c r="O47" s="22"/>
      <c r="P47" s="22"/>
      <c r="Q47" s="22"/>
      <c r="R47" s="22"/>
      <c r="S47" s="22"/>
      <c r="T47" s="22"/>
      <c r="U47" s="25"/>
      <c r="V47" s="24"/>
      <c r="W47" s="23">
        <f t="shared" si="7"/>
        <v>0</v>
      </c>
      <c r="X47" s="22"/>
      <c r="Y47" s="22"/>
      <c r="Z47" s="22"/>
      <c r="AA47" s="22"/>
      <c r="AB47" s="22"/>
      <c r="AC47" s="22"/>
      <c r="AD47" s="22"/>
    </row>
    <row r="48" spans="1:30" s="21" customFormat="1" x14ac:dyDescent="0.25">
      <c r="A48" s="22"/>
      <c r="B48" s="22"/>
      <c r="C48" s="22"/>
      <c r="D48" s="22"/>
      <c r="E48" s="22" t="str">
        <f t="shared" si="5"/>
        <v>PROG</v>
      </c>
      <c r="F48" s="22"/>
      <c r="G48" s="22" t="str">
        <f t="shared" si="3"/>
        <v>P</v>
      </c>
      <c r="H48" s="22"/>
      <c r="I48" s="22"/>
      <c r="J48" s="22"/>
      <c r="K48" s="22" t="str">
        <f t="shared" si="6"/>
        <v>ELEM</v>
      </c>
      <c r="L48" s="22"/>
      <c r="M48" s="22"/>
      <c r="N48" s="22" t="str">
        <f t="shared" si="4"/>
        <v>FONTE</v>
      </c>
      <c r="O48" s="22"/>
      <c r="P48" s="22"/>
      <c r="Q48" s="22"/>
      <c r="R48" s="22"/>
      <c r="S48" s="22"/>
      <c r="T48" s="22"/>
      <c r="U48" s="25"/>
      <c r="V48" s="24"/>
      <c r="W48" s="23">
        <f t="shared" si="7"/>
        <v>0</v>
      </c>
      <c r="X48" s="22"/>
      <c r="Y48" s="22"/>
      <c r="Z48" s="22"/>
      <c r="AA48" s="22"/>
      <c r="AB48" s="22"/>
      <c r="AC48" s="22"/>
      <c r="AD48" s="22"/>
    </row>
    <row r="49" spans="1:30" s="21" customFormat="1" x14ac:dyDescent="0.25">
      <c r="A49" s="22"/>
      <c r="B49" s="22"/>
      <c r="C49" s="22"/>
      <c r="D49" s="22"/>
      <c r="E49" s="22" t="str">
        <f t="shared" si="5"/>
        <v>PROG</v>
      </c>
      <c r="F49" s="22"/>
      <c r="G49" s="22" t="str">
        <f t="shared" si="3"/>
        <v>P</v>
      </c>
      <c r="H49" s="22"/>
      <c r="I49" s="22"/>
      <c r="J49" s="22"/>
      <c r="K49" s="22" t="str">
        <f t="shared" si="6"/>
        <v>ELEM</v>
      </c>
      <c r="L49" s="22"/>
      <c r="M49" s="22"/>
      <c r="N49" s="22" t="str">
        <f t="shared" si="4"/>
        <v>FONTE</v>
      </c>
      <c r="O49" s="22"/>
      <c r="P49" s="22"/>
      <c r="Q49" s="22"/>
      <c r="R49" s="22"/>
      <c r="S49" s="22"/>
      <c r="T49" s="22"/>
      <c r="U49" s="25"/>
      <c r="V49" s="24"/>
      <c r="W49" s="23">
        <f t="shared" si="7"/>
        <v>0</v>
      </c>
      <c r="X49" s="22"/>
      <c r="Y49" s="22"/>
      <c r="Z49" s="22"/>
      <c r="AA49" s="22"/>
      <c r="AB49" s="22"/>
      <c r="AC49" s="22"/>
      <c r="AD49" s="22"/>
    </row>
    <row r="50" spans="1:30" s="21" customFormat="1" x14ac:dyDescent="0.25">
      <c r="A50" s="22"/>
      <c r="B50" s="22"/>
      <c r="C50" s="22"/>
      <c r="D50" s="22"/>
      <c r="E50" s="22" t="str">
        <f t="shared" si="5"/>
        <v>PROG</v>
      </c>
      <c r="F50" s="22"/>
      <c r="G50" s="22" t="str">
        <f t="shared" si="3"/>
        <v>P</v>
      </c>
      <c r="H50" s="22"/>
      <c r="I50" s="22"/>
      <c r="J50" s="22"/>
      <c r="K50" s="22" t="str">
        <f t="shared" si="6"/>
        <v>ELEM</v>
      </c>
      <c r="L50" s="22"/>
      <c r="M50" s="22"/>
      <c r="N50" s="22" t="str">
        <f t="shared" si="4"/>
        <v>FONTE</v>
      </c>
      <c r="O50" s="22"/>
      <c r="P50" s="22"/>
      <c r="Q50" s="22"/>
      <c r="R50" s="22"/>
      <c r="S50" s="22"/>
      <c r="T50" s="22"/>
      <c r="U50" s="25"/>
      <c r="V50" s="24"/>
      <c r="W50" s="23">
        <f t="shared" si="7"/>
        <v>0</v>
      </c>
      <c r="X50" s="22"/>
      <c r="Y50" s="22"/>
      <c r="Z50" s="22"/>
      <c r="AA50" s="22"/>
      <c r="AB50" s="22"/>
      <c r="AC50" s="22"/>
      <c r="AD50" s="22"/>
    </row>
    <row r="51" spans="1:30" s="21" customFormat="1" x14ac:dyDescent="0.25">
      <c r="A51" s="22"/>
      <c r="B51" s="22"/>
      <c r="C51" s="22"/>
      <c r="D51" s="22"/>
      <c r="E51" s="22" t="str">
        <f t="shared" si="5"/>
        <v>PROG</v>
      </c>
      <c r="F51" s="22"/>
      <c r="G51" s="22" t="str">
        <f t="shared" si="3"/>
        <v>P</v>
      </c>
      <c r="H51" s="22"/>
      <c r="I51" s="22"/>
      <c r="J51" s="22"/>
      <c r="K51" s="22" t="str">
        <f t="shared" si="6"/>
        <v>ELEM</v>
      </c>
      <c r="L51" s="22"/>
      <c r="M51" s="22"/>
      <c r="N51" s="22" t="str">
        <f t="shared" si="4"/>
        <v>FONTE</v>
      </c>
      <c r="O51" s="22"/>
      <c r="P51" s="22"/>
      <c r="Q51" s="22"/>
      <c r="R51" s="22"/>
      <c r="S51" s="22"/>
      <c r="T51" s="22"/>
      <c r="U51" s="25"/>
      <c r="V51" s="24"/>
      <c r="W51" s="23">
        <f t="shared" si="7"/>
        <v>0</v>
      </c>
      <c r="X51" s="22"/>
      <c r="Y51" s="22"/>
      <c r="Z51" s="22"/>
      <c r="AA51" s="22"/>
      <c r="AB51" s="22"/>
      <c r="AC51" s="22"/>
      <c r="AD51" s="22"/>
    </row>
    <row r="52" spans="1:30" s="21" customFormat="1" x14ac:dyDescent="0.25">
      <c r="A52" s="22"/>
      <c r="B52" s="22"/>
      <c r="C52" s="22"/>
      <c r="D52" s="22"/>
      <c r="E52" s="22" t="str">
        <f t="shared" si="5"/>
        <v>PROG</v>
      </c>
      <c r="F52" s="22"/>
      <c r="G52" s="22" t="str">
        <f t="shared" si="3"/>
        <v>P</v>
      </c>
      <c r="H52" s="22"/>
      <c r="I52" s="22"/>
      <c r="J52" s="22"/>
      <c r="K52" s="22" t="str">
        <f t="shared" si="6"/>
        <v>ELEM</v>
      </c>
      <c r="L52" s="22"/>
      <c r="M52" s="22"/>
      <c r="N52" s="22" t="str">
        <f t="shared" si="4"/>
        <v>FONTE</v>
      </c>
      <c r="O52" s="22"/>
      <c r="P52" s="22"/>
      <c r="Q52" s="22"/>
      <c r="R52" s="22"/>
      <c r="S52" s="22"/>
      <c r="T52" s="22"/>
      <c r="U52" s="25"/>
      <c r="V52" s="24"/>
      <c r="W52" s="23">
        <f t="shared" si="7"/>
        <v>0</v>
      </c>
      <c r="X52" s="22"/>
      <c r="Y52" s="22"/>
      <c r="Z52" s="22"/>
      <c r="AA52" s="22"/>
      <c r="AB52" s="22"/>
      <c r="AC52" s="22"/>
      <c r="AD52" s="22"/>
    </row>
    <row r="53" spans="1:30" s="21" customFormat="1" x14ac:dyDescent="0.25">
      <c r="A53" s="22"/>
      <c r="B53" s="22"/>
      <c r="C53" s="22"/>
      <c r="D53" s="22"/>
      <c r="E53" s="22" t="str">
        <f t="shared" si="5"/>
        <v>PROG</v>
      </c>
      <c r="F53" s="22"/>
      <c r="G53" s="22" t="str">
        <f t="shared" si="3"/>
        <v>P</v>
      </c>
      <c r="H53" s="22"/>
      <c r="I53" s="22"/>
      <c r="J53" s="22"/>
      <c r="K53" s="22" t="str">
        <f t="shared" si="6"/>
        <v>ELEM</v>
      </c>
      <c r="L53" s="22"/>
      <c r="M53" s="22"/>
      <c r="N53" s="22" t="str">
        <f t="shared" si="4"/>
        <v>FONTE</v>
      </c>
      <c r="O53" s="22"/>
      <c r="P53" s="22"/>
      <c r="Q53" s="22"/>
      <c r="R53" s="22"/>
      <c r="S53" s="22"/>
      <c r="T53" s="22"/>
      <c r="U53" s="25"/>
      <c r="V53" s="24"/>
      <c r="W53" s="23">
        <f t="shared" si="7"/>
        <v>0</v>
      </c>
      <c r="X53" s="22"/>
      <c r="Y53" s="22"/>
      <c r="Z53" s="22"/>
      <c r="AA53" s="22"/>
      <c r="AB53" s="22"/>
      <c r="AC53" s="22"/>
      <c r="AD53" s="22"/>
    </row>
    <row r="54" spans="1:30" s="21" customFormat="1" x14ac:dyDescent="0.25">
      <c r="A54" s="22"/>
      <c r="B54" s="22"/>
      <c r="C54" s="22"/>
      <c r="D54" s="22"/>
      <c r="E54" s="22" t="str">
        <f t="shared" si="5"/>
        <v>PROG</v>
      </c>
      <c r="F54" s="22"/>
      <c r="G54" s="22" t="str">
        <f t="shared" si="3"/>
        <v>P</v>
      </c>
      <c r="H54" s="22"/>
      <c r="I54" s="22"/>
      <c r="J54" s="22"/>
      <c r="K54" s="22" t="str">
        <f t="shared" si="6"/>
        <v>ELEM</v>
      </c>
      <c r="L54" s="22"/>
      <c r="M54" s="22"/>
      <c r="N54" s="22" t="str">
        <f t="shared" si="4"/>
        <v>FONTE</v>
      </c>
      <c r="O54" s="22"/>
      <c r="P54" s="22"/>
      <c r="Q54" s="22"/>
      <c r="R54" s="22"/>
      <c r="S54" s="22"/>
      <c r="T54" s="22"/>
      <c r="U54" s="25"/>
      <c r="V54" s="24"/>
      <c r="W54" s="23">
        <f t="shared" si="7"/>
        <v>0</v>
      </c>
      <c r="X54" s="22"/>
      <c r="Y54" s="22"/>
      <c r="Z54" s="22"/>
      <c r="AA54" s="22"/>
      <c r="AB54" s="22"/>
      <c r="AC54" s="22"/>
      <c r="AD54" s="22"/>
    </row>
    <row r="55" spans="1:30" s="21" customFormat="1" x14ac:dyDescent="0.25">
      <c r="A55" s="22"/>
      <c r="B55" s="22"/>
      <c r="C55" s="22"/>
      <c r="D55" s="22"/>
      <c r="E55" s="22" t="str">
        <f t="shared" si="5"/>
        <v>PROG</v>
      </c>
      <c r="F55" s="22"/>
      <c r="G55" s="22" t="str">
        <f t="shared" si="3"/>
        <v>P</v>
      </c>
      <c r="H55" s="22"/>
      <c r="I55" s="22"/>
      <c r="J55" s="22"/>
      <c r="K55" s="22" t="str">
        <f t="shared" si="6"/>
        <v>ELEM</v>
      </c>
      <c r="L55" s="22"/>
      <c r="M55" s="22"/>
      <c r="N55" s="22" t="str">
        <f t="shared" si="4"/>
        <v>FONTE</v>
      </c>
      <c r="O55" s="22"/>
      <c r="P55" s="22"/>
      <c r="Q55" s="22"/>
      <c r="R55" s="22"/>
      <c r="S55" s="22"/>
      <c r="T55" s="22"/>
      <c r="U55" s="25"/>
      <c r="V55" s="24"/>
      <c r="W55" s="23">
        <f t="shared" si="7"/>
        <v>0</v>
      </c>
      <c r="X55" s="22"/>
      <c r="Y55" s="22"/>
      <c r="Z55" s="22"/>
      <c r="AA55" s="22"/>
      <c r="AB55" s="22"/>
      <c r="AC55" s="22"/>
      <c r="AD55" s="22"/>
    </row>
    <row r="56" spans="1:30" s="21" customFormat="1" x14ac:dyDescent="0.25">
      <c r="A56" s="22"/>
      <c r="B56" s="22"/>
      <c r="C56" s="22"/>
      <c r="D56" s="22"/>
      <c r="E56" s="22" t="str">
        <f t="shared" si="5"/>
        <v>PROG</v>
      </c>
      <c r="F56" s="22"/>
      <c r="G56" s="22" t="str">
        <f t="shared" si="3"/>
        <v>P</v>
      </c>
      <c r="H56" s="22"/>
      <c r="I56" s="22"/>
      <c r="J56" s="22"/>
      <c r="K56" s="22" t="str">
        <f t="shared" si="6"/>
        <v>ELEM</v>
      </c>
      <c r="L56" s="22"/>
      <c r="M56" s="22"/>
      <c r="N56" s="22" t="str">
        <f t="shared" si="4"/>
        <v>FONTE</v>
      </c>
      <c r="O56" s="22"/>
      <c r="P56" s="22"/>
      <c r="Q56" s="22"/>
      <c r="R56" s="22"/>
      <c r="S56" s="22"/>
      <c r="T56" s="22"/>
      <c r="U56" s="25"/>
      <c r="V56" s="24"/>
      <c r="W56" s="23">
        <f t="shared" si="7"/>
        <v>0</v>
      </c>
      <c r="X56" s="22"/>
      <c r="Y56" s="22"/>
      <c r="Z56" s="22"/>
      <c r="AA56" s="22"/>
      <c r="AB56" s="22"/>
      <c r="AC56" s="22"/>
      <c r="AD56" s="22"/>
    </row>
    <row r="57" spans="1:30" s="21" customFormat="1" x14ac:dyDescent="0.25">
      <c r="A57" s="22"/>
      <c r="B57" s="22"/>
      <c r="C57" s="22"/>
      <c r="D57" s="22"/>
      <c r="E57" s="22" t="str">
        <f t="shared" si="5"/>
        <v>PROG</v>
      </c>
      <c r="F57" s="22"/>
      <c r="G57" s="22" t="str">
        <f t="shared" si="3"/>
        <v>P</v>
      </c>
      <c r="H57" s="22"/>
      <c r="I57" s="22"/>
      <c r="J57" s="22"/>
      <c r="K57" s="22" t="str">
        <f t="shared" si="6"/>
        <v>ELEM</v>
      </c>
      <c r="L57" s="22"/>
      <c r="M57" s="22"/>
      <c r="N57" s="22" t="str">
        <f t="shared" si="4"/>
        <v>FONTE</v>
      </c>
      <c r="O57" s="22"/>
      <c r="P57" s="22"/>
      <c r="Q57" s="22"/>
      <c r="R57" s="22"/>
      <c r="S57" s="22"/>
      <c r="T57" s="22"/>
      <c r="U57" s="25"/>
      <c r="V57" s="24"/>
      <c r="W57" s="23">
        <f t="shared" si="7"/>
        <v>0</v>
      </c>
      <c r="X57" s="22"/>
      <c r="Y57" s="22"/>
      <c r="Z57" s="22"/>
      <c r="AA57" s="22"/>
      <c r="AB57" s="22"/>
      <c r="AC57" s="22"/>
      <c r="AD57" s="22"/>
    </row>
    <row r="58" spans="1:30" s="21" customFormat="1" x14ac:dyDescent="0.25">
      <c r="A58" s="22"/>
      <c r="B58" s="22"/>
      <c r="C58" s="22"/>
      <c r="D58" s="22"/>
      <c r="E58" s="22" t="str">
        <f t="shared" si="5"/>
        <v>PROG</v>
      </c>
      <c r="F58" s="22"/>
      <c r="G58" s="22" t="str">
        <f t="shared" si="3"/>
        <v>P</v>
      </c>
      <c r="H58" s="22"/>
      <c r="I58" s="22"/>
      <c r="J58" s="22"/>
      <c r="K58" s="22" t="str">
        <f t="shared" si="6"/>
        <v>ELEM</v>
      </c>
      <c r="L58" s="22"/>
      <c r="M58" s="22"/>
      <c r="N58" s="22" t="str">
        <f t="shared" si="4"/>
        <v>FONTE</v>
      </c>
      <c r="O58" s="22"/>
      <c r="P58" s="22"/>
      <c r="Q58" s="22"/>
      <c r="R58" s="22"/>
      <c r="S58" s="22"/>
      <c r="T58" s="22"/>
      <c r="U58" s="25"/>
      <c r="V58" s="24"/>
      <c r="W58" s="23">
        <f t="shared" si="7"/>
        <v>0</v>
      </c>
      <c r="X58" s="22"/>
      <c r="Y58" s="22"/>
      <c r="Z58" s="22"/>
      <c r="AA58" s="22"/>
      <c r="AB58" s="22"/>
      <c r="AC58" s="22"/>
      <c r="AD58" s="22"/>
    </row>
    <row r="59" spans="1:30" s="21" customFormat="1" x14ac:dyDescent="0.25">
      <c r="A59" s="22"/>
      <c r="B59" s="22"/>
      <c r="C59" s="22"/>
      <c r="D59" s="22"/>
      <c r="E59" s="22" t="str">
        <f t="shared" si="5"/>
        <v>PROG</v>
      </c>
      <c r="F59" s="22"/>
      <c r="G59" s="22" t="str">
        <f t="shared" si="3"/>
        <v>P</v>
      </c>
      <c r="H59" s="22"/>
      <c r="I59" s="22"/>
      <c r="J59" s="22"/>
      <c r="K59" s="22" t="str">
        <f t="shared" si="6"/>
        <v>ELEM</v>
      </c>
      <c r="L59" s="22"/>
      <c r="M59" s="22"/>
      <c r="N59" s="22" t="str">
        <f t="shared" si="4"/>
        <v>FONTE</v>
      </c>
      <c r="O59" s="22"/>
      <c r="P59" s="22"/>
      <c r="Q59" s="22"/>
      <c r="R59" s="22"/>
      <c r="S59" s="22"/>
      <c r="T59" s="22"/>
      <c r="U59" s="25"/>
      <c r="V59" s="24"/>
      <c r="W59" s="23">
        <f t="shared" si="7"/>
        <v>0</v>
      </c>
      <c r="X59" s="22"/>
      <c r="Y59" s="22"/>
      <c r="Z59" s="22"/>
      <c r="AA59" s="22"/>
      <c r="AB59" s="22"/>
      <c r="AC59" s="22"/>
      <c r="AD59" s="22"/>
    </row>
    <row r="60" spans="1:30" s="21" customFormat="1" x14ac:dyDescent="0.25">
      <c r="A60" s="22"/>
      <c r="B60" s="22"/>
      <c r="C60" s="22"/>
      <c r="D60" s="22"/>
      <c r="E60" s="22" t="str">
        <f t="shared" si="5"/>
        <v>PROG</v>
      </c>
      <c r="F60" s="22"/>
      <c r="G60" s="22" t="str">
        <f t="shared" si="3"/>
        <v>P</v>
      </c>
      <c r="H60" s="22"/>
      <c r="I60" s="22"/>
      <c r="J60" s="22"/>
      <c r="K60" s="22" t="str">
        <f t="shared" si="6"/>
        <v>ELEM</v>
      </c>
      <c r="L60" s="22"/>
      <c r="M60" s="22"/>
      <c r="N60" s="22" t="str">
        <f t="shared" si="4"/>
        <v>FONTE</v>
      </c>
      <c r="O60" s="22"/>
      <c r="P60" s="22"/>
      <c r="Q60" s="22"/>
      <c r="R60" s="22"/>
      <c r="S60" s="22"/>
      <c r="T60" s="22"/>
      <c r="U60" s="25"/>
      <c r="V60" s="24"/>
      <c r="W60" s="23">
        <f t="shared" si="7"/>
        <v>0</v>
      </c>
      <c r="X60" s="22"/>
      <c r="Y60" s="22"/>
      <c r="Z60" s="22"/>
      <c r="AA60" s="22"/>
      <c r="AB60" s="22"/>
      <c r="AC60" s="22"/>
      <c r="AD60" s="22"/>
    </row>
    <row r="61" spans="1:30" s="21" customFormat="1" x14ac:dyDescent="0.25">
      <c r="A61" s="22"/>
      <c r="B61" s="22"/>
      <c r="C61" s="22"/>
      <c r="D61" s="22"/>
      <c r="E61" s="22" t="str">
        <f t="shared" si="5"/>
        <v>PROG</v>
      </c>
      <c r="F61" s="22"/>
      <c r="G61" s="22" t="str">
        <f t="shared" si="3"/>
        <v>P</v>
      </c>
      <c r="H61" s="22"/>
      <c r="I61" s="22"/>
      <c r="J61" s="22"/>
      <c r="K61" s="22" t="str">
        <f t="shared" si="6"/>
        <v>ELEM</v>
      </c>
      <c r="L61" s="22"/>
      <c r="M61" s="22"/>
      <c r="N61" s="22" t="str">
        <f t="shared" si="4"/>
        <v>FONTE</v>
      </c>
      <c r="O61" s="22"/>
      <c r="P61" s="22"/>
      <c r="Q61" s="22"/>
      <c r="R61" s="22"/>
      <c r="S61" s="22"/>
      <c r="T61" s="22"/>
      <c r="U61" s="25"/>
      <c r="V61" s="24"/>
      <c r="W61" s="23">
        <f t="shared" si="7"/>
        <v>0</v>
      </c>
      <c r="X61" s="22"/>
      <c r="Y61" s="22"/>
      <c r="Z61" s="22"/>
      <c r="AA61" s="22"/>
      <c r="AB61" s="22"/>
      <c r="AC61" s="22"/>
      <c r="AD61" s="22"/>
    </row>
    <row r="62" spans="1:30" s="21" customFormat="1" x14ac:dyDescent="0.25">
      <c r="A62" s="22"/>
      <c r="B62" s="22"/>
      <c r="C62" s="22"/>
      <c r="D62" s="22"/>
      <c r="E62" s="22" t="str">
        <f t="shared" si="5"/>
        <v>PROG</v>
      </c>
      <c r="F62" s="22"/>
      <c r="G62" s="22" t="str">
        <f t="shared" si="3"/>
        <v>P</v>
      </c>
      <c r="H62" s="22"/>
      <c r="I62" s="22"/>
      <c r="J62" s="22"/>
      <c r="K62" s="22" t="str">
        <f t="shared" si="6"/>
        <v>ELEM</v>
      </c>
      <c r="L62" s="22"/>
      <c r="M62" s="22"/>
      <c r="N62" s="22" t="str">
        <f t="shared" si="4"/>
        <v>FONTE</v>
      </c>
      <c r="O62" s="22"/>
      <c r="P62" s="22"/>
      <c r="Q62" s="22"/>
      <c r="R62" s="22"/>
      <c r="S62" s="22"/>
      <c r="T62" s="22"/>
      <c r="U62" s="25"/>
      <c r="V62" s="24"/>
      <c r="W62" s="23">
        <f t="shared" si="7"/>
        <v>0</v>
      </c>
      <c r="X62" s="22"/>
      <c r="Y62" s="22"/>
      <c r="Z62" s="22"/>
      <c r="AA62" s="22"/>
      <c r="AB62" s="22"/>
      <c r="AC62" s="22"/>
      <c r="AD62" s="22"/>
    </row>
    <row r="63" spans="1:30" s="21" customFormat="1" x14ac:dyDescent="0.25">
      <c r="A63" s="22"/>
      <c r="B63" s="22"/>
      <c r="C63" s="22"/>
      <c r="D63" s="22"/>
      <c r="E63" s="22" t="str">
        <f t="shared" si="5"/>
        <v>PROG</v>
      </c>
      <c r="F63" s="22"/>
      <c r="G63" s="22" t="str">
        <f t="shared" si="3"/>
        <v>P</v>
      </c>
      <c r="H63" s="22"/>
      <c r="I63" s="22"/>
      <c r="J63" s="22"/>
      <c r="K63" s="22" t="str">
        <f t="shared" si="6"/>
        <v>ELEM</v>
      </c>
      <c r="L63" s="22"/>
      <c r="M63" s="22"/>
      <c r="N63" s="22" t="str">
        <f t="shared" si="4"/>
        <v>FONTE</v>
      </c>
      <c r="O63" s="22"/>
      <c r="P63" s="22"/>
      <c r="Q63" s="22"/>
      <c r="R63" s="22"/>
      <c r="S63" s="22"/>
      <c r="T63" s="22"/>
      <c r="U63" s="25"/>
      <c r="V63" s="24"/>
      <c r="W63" s="23">
        <f t="shared" si="7"/>
        <v>0</v>
      </c>
      <c r="X63" s="22"/>
      <c r="Y63" s="22"/>
      <c r="Z63" s="22"/>
      <c r="AA63" s="22"/>
      <c r="AB63" s="22"/>
      <c r="AC63" s="22"/>
      <c r="AD63" s="22"/>
    </row>
    <row r="64" spans="1:30" s="21" customFormat="1" x14ac:dyDescent="0.25">
      <c r="A64" s="22"/>
      <c r="B64" s="22"/>
      <c r="C64" s="22"/>
      <c r="D64" s="22"/>
      <c r="E64" s="22" t="str">
        <f t="shared" si="5"/>
        <v>PROG</v>
      </c>
      <c r="F64" s="22"/>
      <c r="G64" s="22" t="str">
        <f t="shared" si="3"/>
        <v>P</v>
      </c>
      <c r="H64" s="22"/>
      <c r="I64" s="22"/>
      <c r="J64" s="22"/>
      <c r="K64" s="22" t="str">
        <f t="shared" si="6"/>
        <v>ELEM</v>
      </c>
      <c r="L64" s="22"/>
      <c r="M64" s="22"/>
      <c r="N64" s="22" t="str">
        <f t="shared" si="4"/>
        <v>FONTE</v>
      </c>
      <c r="O64" s="22"/>
      <c r="P64" s="22"/>
      <c r="Q64" s="22"/>
      <c r="R64" s="22"/>
      <c r="S64" s="22"/>
      <c r="T64" s="22"/>
      <c r="U64" s="25"/>
      <c r="V64" s="24"/>
      <c r="W64" s="23">
        <f t="shared" si="7"/>
        <v>0</v>
      </c>
      <c r="X64" s="22"/>
      <c r="Y64" s="22"/>
      <c r="Z64" s="22"/>
      <c r="AA64" s="22"/>
      <c r="AB64" s="22"/>
      <c r="AC64" s="22"/>
      <c r="AD64" s="22"/>
    </row>
    <row r="65" spans="1:30" s="21" customFormat="1" x14ac:dyDescent="0.25">
      <c r="A65" s="22"/>
      <c r="B65" s="22"/>
      <c r="C65" s="22"/>
      <c r="D65" s="22"/>
      <c r="E65" s="22" t="str">
        <f t="shared" si="5"/>
        <v>PROG</v>
      </c>
      <c r="F65" s="22"/>
      <c r="G65" s="22" t="str">
        <f t="shared" si="3"/>
        <v>P</v>
      </c>
      <c r="H65" s="22"/>
      <c r="I65" s="22"/>
      <c r="J65" s="22"/>
      <c r="K65" s="22" t="str">
        <f t="shared" si="6"/>
        <v>ELEM</v>
      </c>
      <c r="L65" s="22"/>
      <c r="M65" s="22"/>
      <c r="N65" s="22" t="str">
        <f t="shared" si="4"/>
        <v>FONTE</v>
      </c>
      <c r="O65" s="22"/>
      <c r="P65" s="22"/>
      <c r="Q65" s="22"/>
      <c r="R65" s="22"/>
      <c r="S65" s="22"/>
      <c r="T65" s="22"/>
      <c r="U65" s="25"/>
      <c r="V65" s="24"/>
      <c r="W65" s="23">
        <f t="shared" si="7"/>
        <v>0</v>
      </c>
      <c r="X65" s="22"/>
      <c r="Y65" s="22"/>
      <c r="Z65" s="22"/>
      <c r="AA65" s="22"/>
      <c r="AB65" s="22"/>
      <c r="AC65" s="22"/>
      <c r="AD65" s="22"/>
    </row>
    <row r="66" spans="1:30" s="21" customFormat="1" x14ac:dyDescent="0.25">
      <c r="A66" s="22"/>
      <c r="B66" s="22"/>
      <c r="C66" s="22"/>
      <c r="D66" s="22"/>
      <c r="E66" s="22" t="str">
        <f t="shared" si="5"/>
        <v>PROG</v>
      </c>
      <c r="F66" s="22"/>
      <c r="G66" s="22" t="str">
        <f t="shared" si="3"/>
        <v>P</v>
      </c>
      <c r="H66" s="22"/>
      <c r="I66" s="22"/>
      <c r="J66" s="22"/>
      <c r="K66" s="22" t="str">
        <f t="shared" si="6"/>
        <v>ELEM</v>
      </c>
      <c r="L66" s="22"/>
      <c r="M66" s="22"/>
      <c r="N66" s="22" t="str">
        <f t="shared" si="4"/>
        <v>FONTE</v>
      </c>
      <c r="O66" s="22"/>
      <c r="P66" s="22"/>
      <c r="Q66" s="22"/>
      <c r="R66" s="22"/>
      <c r="S66" s="22"/>
      <c r="T66" s="22"/>
      <c r="U66" s="25"/>
      <c r="V66" s="24"/>
      <c r="W66" s="23">
        <f t="shared" si="7"/>
        <v>0</v>
      </c>
      <c r="X66" s="22"/>
      <c r="Y66" s="22"/>
      <c r="Z66" s="22"/>
      <c r="AA66" s="22"/>
      <c r="AB66" s="22"/>
      <c r="AC66" s="22"/>
      <c r="AD66" s="22"/>
    </row>
    <row r="67" spans="1:30" s="21" customFormat="1" x14ac:dyDescent="0.25">
      <c r="A67" s="22"/>
      <c r="B67" s="22"/>
      <c r="C67" s="22"/>
      <c r="D67" s="22"/>
      <c r="E67" s="22" t="str">
        <f t="shared" si="5"/>
        <v>PROG</v>
      </c>
      <c r="F67" s="22"/>
      <c r="G67" s="22" t="str">
        <f t="shared" si="3"/>
        <v>P</v>
      </c>
      <c r="H67" s="22"/>
      <c r="I67" s="22"/>
      <c r="J67" s="22"/>
      <c r="K67" s="22" t="str">
        <f t="shared" si="6"/>
        <v>ELEM</v>
      </c>
      <c r="L67" s="22"/>
      <c r="M67" s="22"/>
      <c r="N67" s="22" t="str">
        <f t="shared" si="4"/>
        <v>FONTE</v>
      </c>
      <c r="O67" s="22"/>
      <c r="P67" s="22"/>
      <c r="Q67" s="22"/>
      <c r="R67" s="22"/>
      <c r="S67" s="22"/>
      <c r="T67" s="22"/>
      <c r="U67" s="25"/>
      <c r="V67" s="24"/>
      <c r="W67" s="23">
        <f t="shared" si="7"/>
        <v>0</v>
      </c>
      <c r="X67" s="22"/>
      <c r="Y67" s="22"/>
      <c r="Z67" s="22"/>
      <c r="AA67" s="22"/>
      <c r="AB67" s="22"/>
      <c r="AC67" s="22"/>
      <c r="AD67" s="22"/>
    </row>
    <row r="68" spans="1:30" s="21" customFormat="1" x14ac:dyDescent="0.25">
      <c r="A68" s="22"/>
      <c r="B68" s="22"/>
      <c r="C68" s="22"/>
      <c r="D68" s="22"/>
      <c r="E68" s="22" t="str">
        <f t="shared" si="5"/>
        <v>PROG</v>
      </c>
      <c r="F68" s="22"/>
      <c r="G68" s="22" t="str">
        <f t="shared" si="3"/>
        <v>P</v>
      </c>
      <c r="H68" s="22"/>
      <c r="I68" s="22"/>
      <c r="J68" s="22"/>
      <c r="K68" s="22" t="str">
        <f t="shared" si="6"/>
        <v>ELEM</v>
      </c>
      <c r="L68" s="22"/>
      <c r="M68" s="22"/>
      <c r="N68" s="22" t="str">
        <f t="shared" si="4"/>
        <v>FONTE</v>
      </c>
      <c r="O68" s="22"/>
      <c r="P68" s="22"/>
      <c r="Q68" s="22"/>
      <c r="R68" s="22"/>
      <c r="S68" s="22"/>
      <c r="T68" s="22"/>
      <c r="U68" s="25"/>
      <c r="V68" s="24"/>
      <c r="W68" s="23">
        <f t="shared" si="7"/>
        <v>0</v>
      </c>
      <c r="X68" s="22"/>
      <c r="Y68" s="22"/>
      <c r="Z68" s="22"/>
      <c r="AA68" s="22"/>
      <c r="AB68" s="22"/>
      <c r="AC68" s="22"/>
      <c r="AD68" s="22"/>
    </row>
    <row r="69" spans="1:30" s="21" customFormat="1" x14ac:dyDescent="0.25">
      <c r="A69" s="22"/>
      <c r="B69" s="22"/>
      <c r="C69" s="22"/>
      <c r="D69" s="22"/>
      <c r="E69" s="22" t="str">
        <f t="shared" si="5"/>
        <v>PROG</v>
      </c>
      <c r="F69" s="22"/>
      <c r="G69" s="22" t="str">
        <f t="shared" si="3"/>
        <v>P</v>
      </c>
      <c r="H69" s="22"/>
      <c r="I69" s="22"/>
      <c r="J69" s="22"/>
      <c r="K69" s="22" t="str">
        <f t="shared" si="6"/>
        <v>ELEM</v>
      </c>
      <c r="L69" s="22"/>
      <c r="M69" s="22"/>
      <c r="N69" s="22" t="str">
        <f t="shared" si="4"/>
        <v>FONTE</v>
      </c>
      <c r="O69" s="22"/>
      <c r="P69" s="22"/>
      <c r="Q69" s="22"/>
      <c r="R69" s="22"/>
      <c r="S69" s="22"/>
      <c r="T69" s="22"/>
      <c r="U69" s="25"/>
      <c r="V69" s="24"/>
      <c r="W69" s="23">
        <f t="shared" si="7"/>
        <v>0</v>
      </c>
      <c r="X69" s="22"/>
      <c r="Y69" s="22"/>
      <c r="Z69" s="22"/>
      <c r="AA69" s="22"/>
      <c r="AB69" s="22"/>
      <c r="AC69" s="22"/>
      <c r="AD69" s="22"/>
    </row>
    <row r="70" spans="1:30" s="21" customFormat="1" x14ac:dyDescent="0.25">
      <c r="A70" s="22"/>
      <c r="B70" s="22"/>
      <c r="C70" s="22"/>
      <c r="D70" s="22"/>
      <c r="E70" s="22" t="str">
        <f t="shared" si="5"/>
        <v>PROG</v>
      </c>
      <c r="F70" s="22"/>
      <c r="G70" s="22" t="str">
        <f t="shared" si="3"/>
        <v>P</v>
      </c>
      <c r="H70" s="22"/>
      <c r="I70" s="22"/>
      <c r="J70" s="22"/>
      <c r="K70" s="22" t="str">
        <f t="shared" si="6"/>
        <v>ELEM</v>
      </c>
      <c r="L70" s="22"/>
      <c r="M70" s="22"/>
      <c r="N70" s="22" t="str">
        <f t="shared" si="4"/>
        <v>FONTE</v>
      </c>
      <c r="O70" s="22"/>
      <c r="P70" s="22"/>
      <c r="Q70" s="22"/>
      <c r="R70" s="22"/>
      <c r="S70" s="22"/>
      <c r="T70" s="22"/>
      <c r="U70" s="25"/>
      <c r="V70" s="24"/>
      <c r="W70" s="23">
        <f t="shared" si="7"/>
        <v>0</v>
      </c>
      <c r="X70" s="22"/>
      <c r="Y70" s="22"/>
      <c r="Z70" s="22"/>
      <c r="AA70" s="22"/>
      <c r="AB70" s="22"/>
      <c r="AC70" s="22"/>
      <c r="AD70" s="22"/>
    </row>
    <row r="71" spans="1:30" s="21" customFormat="1" x14ac:dyDescent="0.25">
      <c r="A71" s="22"/>
      <c r="B71" s="22"/>
      <c r="C71" s="22"/>
      <c r="D71" s="22"/>
      <c r="E71" s="22" t="str">
        <f t="shared" si="5"/>
        <v>PROG</v>
      </c>
      <c r="F71" s="22"/>
      <c r="G71" s="22" t="str">
        <f t="shared" si="3"/>
        <v>P</v>
      </c>
      <c r="H71" s="22"/>
      <c r="I71" s="22"/>
      <c r="J71" s="22"/>
      <c r="K71" s="22" t="str">
        <f t="shared" si="6"/>
        <v>ELEM</v>
      </c>
      <c r="L71" s="22"/>
      <c r="M71" s="22"/>
      <c r="N71" s="22" t="str">
        <f t="shared" si="4"/>
        <v>FONTE</v>
      </c>
      <c r="O71" s="22"/>
      <c r="P71" s="22"/>
      <c r="Q71" s="22"/>
      <c r="R71" s="22"/>
      <c r="S71" s="22"/>
      <c r="T71" s="22"/>
      <c r="U71" s="25"/>
      <c r="V71" s="24"/>
      <c r="W71" s="23">
        <f t="shared" si="7"/>
        <v>0</v>
      </c>
      <c r="X71" s="22"/>
      <c r="Y71" s="22"/>
      <c r="Z71" s="22"/>
      <c r="AA71" s="22"/>
      <c r="AB71" s="22"/>
      <c r="AC71" s="22"/>
      <c r="AD71" s="22"/>
    </row>
    <row r="72" spans="1:30" s="21" customFormat="1" x14ac:dyDescent="0.25">
      <c r="A72" s="22"/>
      <c r="B72" s="22"/>
      <c r="C72" s="22"/>
      <c r="D72" s="22"/>
      <c r="E72" s="22" t="str">
        <f t="shared" si="5"/>
        <v>PROG</v>
      </c>
      <c r="F72" s="22"/>
      <c r="G72" s="22" t="str">
        <f t="shared" si="3"/>
        <v>P</v>
      </c>
      <c r="H72" s="22"/>
      <c r="I72" s="22"/>
      <c r="J72" s="22"/>
      <c r="K72" s="22" t="str">
        <f t="shared" si="6"/>
        <v>ELEM</v>
      </c>
      <c r="L72" s="22"/>
      <c r="M72" s="22"/>
      <c r="N72" s="22" t="str">
        <f t="shared" si="4"/>
        <v>FONTE</v>
      </c>
      <c r="O72" s="22"/>
      <c r="P72" s="22"/>
      <c r="Q72" s="22"/>
      <c r="R72" s="22"/>
      <c r="S72" s="22"/>
      <c r="T72" s="22"/>
      <c r="U72" s="25"/>
      <c r="V72" s="24"/>
      <c r="W72" s="23">
        <f t="shared" si="7"/>
        <v>0</v>
      </c>
      <c r="X72" s="22"/>
      <c r="Y72" s="22"/>
      <c r="Z72" s="22"/>
      <c r="AA72" s="22"/>
      <c r="AB72" s="22"/>
      <c r="AC72" s="22"/>
      <c r="AD72" s="22"/>
    </row>
    <row r="73" spans="1:30" s="21" customFormat="1" x14ac:dyDescent="0.25">
      <c r="A73" s="22"/>
      <c r="B73" s="22"/>
      <c r="C73" s="22"/>
      <c r="D73" s="22"/>
      <c r="E73" s="22" t="str">
        <f t="shared" si="5"/>
        <v>PROG</v>
      </c>
      <c r="F73" s="22"/>
      <c r="G73" s="22" t="str">
        <f t="shared" si="3"/>
        <v>P</v>
      </c>
      <c r="H73" s="22"/>
      <c r="I73" s="22"/>
      <c r="J73" s="22"/>
      <c r="K73" s="22" t="str">
        <f t="shared" si="6"/>
        <v>ELEM</v>
      </c>
      <c r="L73" s="22"/>
      <c r="M73" s="22"/>
      <c r="N73" s="22" t="str">
        <f t="shared" si="4"/>
        <v>FONTE</v>
      </c>
      <c r="O73" s="22"/>
      <c r="P73" s="22"/>
      <c r="Q73" s="22"/>
      <c r="R73" s="22"/>
      <c r="S73" s="22"/>
      <c r="T73" s="22"/>
      <c r="U73" s="25"/>
      <c r="V73" s="24"/>
      <c r="W73" s="23">
        <f t="shared" si="7"/>
        <v>0</v>
      </c>
      <c r="X73" s="22"/>
      <c r="Y73" s="22"/>
      <c r="Z73" s="22"/>
      <c r="AA73" s="22"/>
      <c r="AB73" s="22"/>
      <c r="AC73" s="22"/>
      <c r="AD73" s="22"/>
    </row>
    <row r="74" spans="1:30" s="21" customFormat="1" x14ac:dyDescent="0.25">
      <c r="A74" s="22"/>
      <c r="B74" s="22"/>
      <c r="C74" s="22"/>
      <c r="D74" s="22"/>
      <c r="E74" s="22" t="str">
        <f t="shared" si="5"/>
        <v>PROG</v>
      </c>
      <c r="F74" s="22"/>
      <c r="G74" s="22" t="str">
        <f t="shared" si="3"/>
        <v>P</v>
      </c>
      <c r="H74" s="22"/>
      <c r="I74" s="22"/>
      <c r="J74" s="22"/>
      <c r="K74" s="22" t="str">
        <f t="shared" si="6"/>
        <v>ELEM</v>
      </c>
      <c r="L74" s="22"/>
      <c r="M74" s="22"/>
      <c r="N74" s="22" t="str">
        <f t="shared" si="4"/>
        <v>FONTE</v>
      </c>
      <c r="O74" s="22"/>
      <c r="P74" s="22"/>
      <c r="Q74" s="22"/>
      <c r="R74" s="22"/>
      <c r="S74" s="22"/>
      <c r="T74" s="22"/>
      <c r="U74" s="25"/>
      <c r="V74" s="24"/>
      <c r="W74" s="23">
        <f t="shared" si="7"/>
        <v>0</v>
      </c>
      <c r="X74" s="22"/>
      <c r="Y74" s="22"/>
      <c r="Z74" s="22"/>
      <c r="AA74" s="22"/>
      <c r="AB74" s="22"/>
      <c r="AC74" s="22"/>
      <c r="AD74" s="22"/>
    </row>
    <row r="75" spans="1:30" s="21" customFormat="1" x14ac:dyDescent="0.25">
      <c r="A75" s="22"/>
      <c r="B75" s="22"/>
      <c r="C75" s="22"/>
      <c r="D75" s="22"/>
      <c r="E75" s="22" t="str">
        <f t="shared" si="5"/>
        <v>PROG</v>
      </c>
      <c r="F75" s="22"/>
      <c r="G75" s="22" t="str">
        <f t="shared" si="3"/>
        <v>P</v>
      </c>
      <c r="H75" s="22"/>
      <c r="I75" s="22"/>
      <c r="J75" s="22"/>
      <c r="K75" s="22" t="str">
        <f t="shared" si="6"/>
        <v>ELEM</v>
      </c>
      <c r="L75" s="22"/>
      <c r="M75" s="22"/>
      <c r="N75" s="22" t="str">
        <f t="shared" si="4"/>
        <v>FONTE</v>
      </c>
      <c r="O75" s="22"/>
      <c r="P75" s="22"/>
      <c r="Q75" s="22"/>
      <c r="R75" s="22"/>
      <c r="S75" s="22"/>
      <c r="T75" s="22"/>
      <c r="U75" s="25"/>
      <c r="V75" s="24"/>
      <c r="W75" s="23">
        <f t="shared" si="7"/>
        <v>0</v>
      </c>
      <c r="X75" s="22"/>
      <c r="Y75" s="22"/>
      <c r="Z75" s="22"/>
      <c r="AA75" s="22"/>
      <c r="AB75" s="22"/>
      <c r="AC75" s="22"/>
      <c r="AD75" s="22"/>
    </row>
    <row r="76" spans="1:30" s="21" customFormat="1" x14ac:dyDescent="0.25">
      <c r="A76" s="22"/>
      <c r="B76" s="22"/>
      <c r="C76" s="22"/>
      <c r="D76" s="22"/>
      <c r="E76" s="22" t="str">
        <f t="shared" si="5"/>
        <v>PROG</v>
      </c>
      <c r="F76" s="22"/>
      <c r="G76" s="22" t="str">
        <f t="shared" si="3"/>
        <v>P</v>
      </c>
      <c r="H76" s="22"/>
      <c r="I76" s="22"/>
      <c r="J76" s="22"/>
      <c r="K76" s="22" t="str">
        <f t="shared" si="6"/>
        <v>ELEM</v>
      </c>
      <c r="L76" s="22"/>
      <c r="M76" s="22"/>
      <c r="N76" s="22" t="str">
        <f t="shared" si="4"/>
        <v>FONTE</v>
      </c>
      <c r="O76" s="22"/>
      <c r="P76" s="22"/>
      <c r="Q76" s="22"/>
      <c r="R76" s="22"/>
      <c r="S76" s="22"/>
      <c r="T76" s="22"/>
      <c r="U76" s="25"/>
      <c r="V76" s="24"/>
      <c r="W76" s="23">
        <f t="shared" si="7"/>
        <v>0</v>
      </c>
      <c r="X76" s="22"/>
      <c r="Y76" s="22"/>
      <c r="Z76" s="22"/>
      <c r="AA76" s="22"/>
      <c r="AB76" s="22"/>
      <c r="AC76" s="22"/>
      <c r="AD76" s="22"/>
    </row>
    <row r="77" spans="1:30" s="21" customFormat="1" x14ac:dyDescent="0.25">
      <c r="A77" s="22"/>
      <c r="B77" s="22"/>
      <c r="C77" s="22"/>
      <c r="D77" s="22"/>
      <c r="E77" s="22" t="str">
        <f t="shared" si="5"/>
        <v>PROG</v>
      </c>
      <c r="F77" s="22"/>
      <c r="G77" s="22" t="str">
        <f t="shared" si="3"/>
        <v>P</v>
      </c>
      <c r="H77" s="22"/>
      <c r="I77" s="22"/>
      <c r="J77" s="22"/>
      <c r="K77" s="22" t="str">
        <f t="shared" si="6"/>
        <v>ELEM</v>
      </c>
      <c r="L77" s="22"/>
      <c r="M77" s="22"/>
      <c r="N77" s="22" t="str">
        <f t="shared" si="4"/>
        <v>FONTE</v>
      </c>
      <c r="O77" s="22"/>
      <c r="P77" s="22"/>
      <c r="Q77" s="22"/>
      <c r="R77" s="22"/>
      <c r="S77" s="22"/>
      <c r="T77" s="22"/>
      <c r="U77" s="25"/>
      <c r="V77" s="24"/>
      <c r="W77" s="23">
        <f t="shared" si="7"/>
        <v>0</v>
      </c>
      <c r="X77" s="22"/>
      <c r="Y77" s="22"/>
      <c r="Z77" s="22"/>
      <c r="AA77" s="22"/>
      <c r="AB77" s="22"/>
      <c r="AC77" s="22"/>
      <c r="AD77" s="22"/>
    </row>
    <row r="78" spans="1:30" s="21" customFormat="1" x14ac:dyDescent="0.25">
      <c r="A78" s="22"/>
      <c r="B78" s="22"/>
      <c r="C78" s="22"/>
      <c r="D78" s="22"/>
      <c r="E78" s="22" t="str">
        <f t="shared" si="5"/>
        <v>PROG</v>
      </c>
      <c r="F78" s="22"/>
      <c r="G78" s="22" t="str">
        <f t="shared" si="3"/>
        <v>P</v>
      </c>
      <c r="H78" s="22"/>
      <c r="I78" s="22"/>
      <c r="J78" s="22"/>
      <c r="K78" s="22" t="str">
        <f t="shared" si="6"/>
        <v>ELEM</v>
      </c>
      <c r="L78" s="22"/>
      <c r="M78" s="22"/>
      <c r="N78" s="22" t="str">
        <f t="shared" si="4"/>
        <v>FONTE</v>
      </c>
      <c r="O78" s="22"/>
      <c r="P78" s="22"/>
      <c r="Q78" s="22"/>
      <c r="R78" s="22"/>
      <c r="S78" s="22"/>
      <c r="T78" s="22"/>
      <c r="U78" s="25"/>
      <c r="V78" s="24"/>
      <c r="W78" s="23">
        <f t="shared" si="7"/>
        <v>0</v>
      </c>
      <c r="X78" s="22"/>
      <c r="Y78" s="22"/>
      <c r="Z78" s="22"/>
      <c r="AA78" s="22"/>
      <c r="AB78" s="22"/>
      <c r="AC78" s="22"/>
      <c r="AD78" s="22"/>
    </row>
    <row r="79" spans="1:30" s="21" customFormat="1" x14ac:dyDescent="0.25">
      <c r="A79" s="22"/>
      <c r="B79" s="22"/>
      <c r="C79" s="22"/>
      <c r="D79" s="22"/>
      <c r="E79" s="22" t="str">
        <f t="shared" si="5"/>
        <v>PROG</v>
      </c>
      <c r="F79" s="22"/>
      <c r="G79" s="22" t="str">
        <f t="shared" si="3"/>
        <v>P</v>
      </c>
      <c r="H79" s="22"/>
      <c r="I79" s="22"/>
      <c r="J79" s="22"/>
      <c r="K79" s="22" t="str">
        <f t="shared" si="6"/>
        <v>ELEM</v>
      </c>
      <c r="L79" s="22"/>
      <c r="M79" s="22"/>
      <c r="N79" s="22" t="str">
        <f t="shared" si="4"/>
        <v>FONTE</v>
      </c>
      <c r="O79" s="22"/>
      <c r="P79" s="22"/>
      <c r="Q79" s="22"/>
      <c r="R79" s="22"/>
      <c r="S79" s="22"/>
      <c r="T79" s="22"/>
      <c r="U79" s="25"/>
      <c r="V79" s="24"/>
      <c r="W79" s="23">
        <f t="shared" si="7"/>
        <v>0</v>
      </c>
      <c r="X79" s="22"/>
      <c r="Y79" s="22"/>
      <c r="Z79" s="22"/>
      <c r="AA79" s="22"/>
      <c r="AB79" s="22"/>
      <c r="AC79" s="22"/>
      <c r="AD79" s="22"/>
    </row>
    <row r="80" spans="1:30" s="21" customFormat="1" x14ac:dyDescent="0.25">
      <c r="A80" s="22"/>
      <c r="B80" s="22"/>
      <c r="C80" s="22"/>
      <c r="D80" s="22"/>
      <c r="E80" s="22" t="str">
        <f t="shared" si="5"/>
        <v>PROG</v>
      </c>
      <c r="F80" s="22"/>
      <c r="G80" s="22" t="str">
        <f t="shared" si="3"/>
        <v>P</v>
      </c>
      <c r="H80" s="22"/>
      <c r="I80" s="22"/>
      <c r="J80" s="22"/>
      <c r="K80" s="22" t="str">
        <f t="shared" si="6"/>
        <v>ELEM</v>
      </c>
      <c r="L80" s="22"/>
      <c r="M80" s="22"/>
      <c r="N80" s="22" t="str">
        <f t="shared" ref="N80:N143" si="8">CONCATENATE("FONTE",A80)</f>
        <v>FONTE</v>
      </c>
      <c r="O80" s="22"/>
      <c r="P80" s="22"/>
      <c r="Q80" s="22"/>
      <c r="R80" s="22"/>
      <c r="S80" s="22"/>
      <c r="T80" s="22"/>
      <c r="U80" s="25"/>
      <c r="V80" s="24"/>
      <c r="W80" s="23">
        <f t="shared" si="7"/>
        <v>0</v>
      </c>
      <c r="X80" s="22"/>
      <c r="Y80" s="22"/>
      <c r="Z80" s="22"/>
      <c r="AA80" s="22"/>
      <c r="AB80" s="22"/>
      <c r="AC80" s="22"/>
      <c r="AD80" s="22"/>
    </row>
    <row r="81" spans="1:30" s="21" customFormat="1" x14ac:dyDescent="0.25">
      <c r="A81" s="22"/>
      <c r="B81" s="22"/>
      <c r="C81" s="22"/>
      <c r="D81" s="22"/>
      <c r="E81" s="22" t="str">
        <f t="shared" ref="E81:E144" si="9">CONCATENATE(A81,"PROG")</f>
        <v>PROG</v>
      </c>
      <c r="F81" s="22"/>
      <c r="G81" s="22" t="str">
        <f t="shared" ref="G81:G144" si="10">CONCATENATE("P",(LEFT(F81,3)),A81)</f>
        <v>P</v>
      </c>
      <c r="H81" s="22"/>
      <c r="I81" s="22"/>
      <c r="J81" s="22"/>
      <c r="K81" s="22" t="str">
        <f t="shared" ref="K81:K144" si="11">CONCATENATE("ELEM",LEFT(J81,2))</f>
        <v>ELEM</v>
      </c>
      <c r="L81" s="22"/>
      <c r="M81" s="22"/>
      <c r="N81" s="22" t="str">
        <f t="shared" si="8"/>
        <v>FONTE</v>
      </c>
      <c r="O81" s="22"/>
      <c r="P81" s="22"/>
      <c r="Q81" s="22"/>
      <c r="R81" s="22"/>
      <c r="S81" s="22"/>
      <c r="T81" s="22"/>
      <c r="U81" s="25"/>
      <c r="V81" s="24"/>
      <c r="W81" s="23">
        <f t="shared" ref="W81:W144" si="12">S81*U81*V81</f>
        <v>0</v>
      </c>
      <c r="X81" s="22"/>
      <c r="Y81" s="22"/>
      <c r="Z81" s="22"/>
      <c r="AA81" s="22"/>
      <c r="AB81" s="22"/>
      <c r="AC81" s="22"/>
      <c r="AD81" s="22"/>
    </row>
    <row r="82" spans="1:30" s="21" customFormat="1" x14ac:dyDescent="0.25">
      <c r="A82" s="22"/>
      <c r="B82" s="22"/>
      <c r="C82" s="22"/>
      <c r="D82" s="22"/>
      <c r="E82" s="22" t="str">
        <f t="shared" si="9"/>
        <v>PROG</v>
      </c>
      <c r="F82" s="22"/>
      <c r="G82" s="22" t="str">
        <f t="shared" si="10"/>
        <v>P</v>
      </c>
      <c r="H82" s="22"/>
      <c r="I82" s="22"/>
      <c r="J82" s="22"/>
      <c r="K82" s="22" t="str">
        <f t="shared" si="11"/>
        <v>ELEM</v>
      </c>
      <c r="L82" s="22"/>
      <c r="M82" s="22"/>
      <c r="N82" s="22" t="str">
        <f t="shared" si="8"/>
        <v>FONTE</v>
      </c>
      <c r="O82" s="22"/>
      <c r="P82" s="22"/>
      <c r="Q82" s="22"/>
      <c r="R82" s="22"/>
      <c r="S82" s="22"/>
      <c r="T82" s="22"/>
      <c r="U82" s="25"/>
      <c r="V82" s="24"/>
      <c r="W82" s="23">
        <f t="shared" si="12"/>
        <v>0</v>
      </c>
      <c r="X82" s="22"/>
      <c r="Y82" s="22"/>
      <c r="Z82" s="22"/>
      <c r="AA82" s="22"/>
      <c r="AB82" s="22"/>
      <c r="AC82" s="22"/>
      <c r="AD82" s="22"/>
    </row>
    <row r="83" spans="1:30" s="21" customFormat="1" x14ac:dyDescent="0.25">
      <c r="A83" s="22"/>
      <c r="B83" s="22"/>
      <c r="C83" s="22"/>
      <c r="D83" s="22"/>
      <c r="E83" s="22" t="str">
        <f t="shared" si="9"/>
        <v>PROG</v>
      </c>
      <c r="F83" s="22"/>
      <c r="G83" s="22" t="str">
        <f t="shared" si="10"/>
        <v>P</v>
      </c>
      <c r="H83" s="22"/>
      <c r="I83" s="22"/>
      <c r="J83" s="22"/>
      <c r="K83" s="22" t="str">
        <f t="shared" si="11"/>
        <v>ELEM</v>
      </c>
      <c r="L83" s="22"/>
      <c r="M83" s="22"/>
      <c r="N83" s="22" t="str">
        <f t="shared" si="8"/>
        <v>FONTE</v>
      </c>
      <c r="O83" s="22"/>
      <c r="P83" s="22"/>
      <c r="Q83" s="22"/>
      <c r="R83" s="22"/>
      <c r="S83" s="22"/>
      <c r="T83" s="22"/>
      <c r="U83" s="25"/>
      <c r="V83" s="24"/>
      <c r="W83" s="23">
        <f t="shared" si="12"/>
        <v>0</v>
      </c>
      <c r="X83" s="22"/>
      <c r="Y83" s="22"/>
      <c r="Z83" s="22"/>
      <c r="AA83" s="22"/>
      <c r="AB83" s="22"/>
      <c r="AC83" s="22"/>
      <c r="AD83" s="22"/>
    </row>
    <row r="84" spans="1:30" s="21" customFormat="1" x14ac:dyDescent="0.25">
      <c r="A84" s="22"/>
      <c r="B84" s="22"/>
      <c r="C84" s="22"/>
      <c r="D84" s="22"/>
      <c r="E84" s="22" t="str">
        <f t="shared" si="9"/>
        <v>PROG</v>
      </c>
      <c r="F84" s="22"/>
      <c r="G84" s="22" t="str">
        <f t="shared" si="10"/>
        <v>P</v>
      </c>
      <c r="H84" s="22"/>
      <c r="I84" s="22"/>
      <c r="J84" s="22"/>
      <c r="K84" s="22" t="str">
        <f t="shared" si="11"/>
        <v>ELEM</v>
      </c>
      <c r="L84" s="22"/>
      <c r="M84" s="22"/>
      <c r="N84" s="22" t="str">
        <f t="shared" si="8"/>
        <v>FONTE</v>
      </c>
      <c r="O84" s="22"/>
      <c r="P84" s="22"/>
      <c r="Q84" s="22"/>
      <c r="R84" s="22"/>
      <c r="S84" s="22"/>
      <c r="T84" s="22"/>
      <c r="U84" s="25"/>
      <c r="V84" s="24"/>
      <c r="W84" s="23">
        <f t="shared" si="12"/>
        <v>0</v>
      </c>
      <c r="X84" s="22"/>
      <c r="Y84" s="22"/>
      <c r="Z84" s="22"/>
      <c r="AA84" s="22"/>
      <c r="AB84" s="22"/>
      <c r="AC84" s="22"/>
      <c r="AD84" s="22"/>
    </row>
    <row r="85" spans="1:30" s="21" customFormat="1" x14ac:dyDescent="0.25">
      <c r="A85" s="22"/>
      <c r="B85" s="22"/>
      <c r="C85" s="22"/>
      <c r="D85" s="22"/>
      <c r="E85" s="22" t="str">
        <f t="shared" si="9"/>
        <v>PROG</v>
      </c>
      <c r="F85" s="22"/>
      <c r="G85" s="22" t="str">
        <f t="shared" si="10"/>
        <v>P</v>
      </c>
      <c r="H85" s="22"/>
      <c r="I85" s="22"/>
      <c r="J85" s="22"/>
      <c r="K85" s="22" t="str">
        <f t="shared" si="11"/>
        <v>ELEM</v>
      </c>
      <c r="L85" s="22"/>
      <c r="M85" s="22"/>
      <c r="N85" s="22" t="str">
        <f t="shared" si="8"/>
        <v>FONTE</v>
      </c>
      <c r="O85" s="22"/>
      <c r="P85" s="22"/>
      <c r="Q85" s="22"/>
      <c r="R85" s="22"/>
      <c r="S85" s="22"/>
      <c r="T85" s="22"/>
      <c r="U85" s="25"/>
      <c r="V85" s="24"/>
      <c r="W85" s="23">
        <f t="shared" si="12"/>
        <v>0</v>
      </c>
      <c r="X85" s="22"/>
      <c r="Y85" s="22"/>
      <c r="Z85" s="22"/>
      <c r="AA85" s="22"/>
      <c r="AB85" s="22"/>
      <c r="AC85" s="22"/>
      <c r="AD85" s="22"/>
    </row>
    <row r="86" spans="1:30" s="21" customFormat="1" x14ac:dyDescent="0.25">
      <c r="A86" s="22"/>
      <c r="B86" s="22"/>
      <c r="C86" s="22"/>
      <c r="D86" s="22"/>
      <c r="E86" s="22" t="str">
        <f t="shared" si="9"/>
        <v>PROG</v>
      </c>
      <c r="F86" s="22"/>
      <c r="G86" s="22" t="str">
        <f t="shared" si="10"/>
        <v>P</v>
      </c>
      <c r="H86" s="22"/>
      <c r="I86" s="22"/>
      <c r="J86" s="22"/>
      <c r="K86" s="22" t="str">
        <f t="shared" si="11"/>
        <v>ELEM</v>
      </c>
      <c r="L86" s="22"/>
      <c r="M86" s="22"/>
      <c r="N86" s="22" t="str">
        <f t="shared" si="8"/>
        <v>FONTE</v>
      </c>
      <c r="O86" s="22"/>
      <c r="P86" s="22"/>
      <c r="Q86" s="22"/>
      <c r="R86" s="22"/>
      <c r="S86" s="22"/>
      <c r="T86" s="22"/>
      <c r="U86" s="25"/>
      <c r="V86" s="24"/>
      <c r="W86" s="23">
        <f t="shared" si="12"/>
        <v>0</v>
      </c>
      <c r="X86" s="22"/>
      <c r="Y86" s="22"/>
      <c r="Z86" s="22"/>
      <c r="AA86" s="22"/>
      <c r="AB86" s="22"/>
      <c r="AC86" s="22"/>
      <c r="AD86" s="22"/>
    </row>
    <row r="87" spans="1:30" s="21" customFormat="1" x14ac:dyDescent="0.25">
      <c r="A87" s="22"/>
      <c r="B87" s="22"/>
      <c r="C87" s="22"/>
      <c r="D87" s="22"/>
      <c r="E87" s="22" t="str">
        <f t="shared" si="9"/>
        <v>PROG</v>
      </c>
      <c r="F87" s="22"/>
      <c r="G87" s="22" t="str">
        <f t="shared" si="10"/>
        <v>P</v>
      </c>
      <c r="H87" s="22"/>
      <c r="I87" s="22"/>
      <c r="J87" s="22"/>
      <c r="K87" s="22" t="str">
        <f t="shared" si="11"/>
        <v>ELEM</v>
      </c>
      <c r="L87" s="22"/>
      <c r="M87" s="22"/>
      <c r="N87" s="22" t="str">
        <f t="shared" si="8"/>
        <v>FONTE</v>
      </c>
      <c r="O87" s="22"/>
      <c r="P87" s="22"/>
      <c r="Q87" s="22"/>
      <c r="R87" s="22"/>
      <c r="S87" s="22"/>
      <c r="T87" s="22"/>
      <c r="U87" s="25"/>
      <c r="V87" s="24"/>
      <c r="W87" s="23">
        <f t="shared" si="12"/>
        <v>0</v>
      </c>
      <c r="X87" s="22"/>
      <c r="Y87" s="22"/>
      <c r="Z87" s="22"/>
      <c r="AA87" s="22"/>
      <c r="AB87" s="22"/>
      <c r="AC87" s="22"/>
      <c r="AD87" s="22"/>
    </row>
    <row r="88" spans="1:30" s="21" customFormat="1" x14ac:dyDescent="0.25">
      <c r="A88" s="22"/>
      <c r="B88" s="22"/>
      <c r="C88" s="22"/>
      <c r="D88" s="22"/>
      <c r="E88" s="22" t="str">
        <f t="shared" si="9"/>
        <v>PROG</v>
      </c>
      <c r="F88" s="22"/>
      <c r="G88" s="22" t="str">
        <f t="shared" si="10"/>
        <v>P</v>
      </c>
      <c r="H88" s="22"/>
      <c r="I88" s="22"/>
      <c r="J88" s="22"/>
      <c r="K88" s="22" t="str">
        <f t="shared" si="11"/>
        <v>ELEM</v>
      </c>
      <c r="L88" s="22"/>
      <c r="M88" s="22"/>
      <c r="N88" s="22" t="str">
        <f t="shared" si="8"/>
        <v>FONTE</v>
      </c>
      <c r="O88" s="22"/>
      <c r="P88" s="22"/>
      <c r="Q88" s="22"/>
      <c r="R88" s="22"/>
      <c r="S88" s="22"/>
      <c r="T88" s="22"/>
      <c r="U88" s="25"/>
      <c r="V88" s="24"/>
      <c r="W88" s="23">
        <f t="shared" si="12"/>
        <v>0</v>
      </c>
      <c r="X88" s="22"/>
      <c r="Y88" s="22"/>
      <c r="Z88" s="22"/>
      <c r="AA88" s="22"/>
      <c r="AB88" s="22"/>
      <c r="AC88" s="22"/>
      <c r="AD88" s="22"/>
    </row>
    <row r="89" spans="1:30" s="21" customFormat="1" x14ac:dyDescent="0.25">
      <c r="A89" s="22"/>
      <c r="B89" s="22"/>
      <c r="C89" s="22"/>
      <c r="D89" s="22"/>
      <c r="E89" s="22" t="str">
        <f t="shared" si="9"/>
        <v>PROG</v>
      </c>
      <c r="F89" s="22"/>
      <c r="G89" s="22" t="str">
        <f t="shared" si="10"/>
        <v>P</v>
      </c>
      <c r="H89" s="22"/>
      <c r="I89" s="22"/>
      <c r="J89" s="22"/>
      <c r="K89" s="22" t="str">
        <f t="shared" si="11"/>
        <v>ELEM</v>
      </c>
      <c r="L89" s="22"/>
      <c r="M89" s="22"/>
      <c r="N89" s="22" t="str">
        <f t="shared" si="8"/>
        <v>FONTE</v>
      </c>
      <c r="O89" s="22"/>
      <c r="P89" s="22"/>
      <c r="Q89" s="22"/>
      <c r="R89" s="22"/>
      <c r="S89" s="22"/>
      <c r="T89" s="22"/>
      <c r="U89" s="25"/>
      <c r="V89" s="24"/>
      <c r="W89" s="23">
        <f t="shared" si="12"/>
        <v>0</v>
      </c>
      <c r="X89" s="22"/>
      <c r="Y89" s="22"/>
      <c r="Z89" s="22"/>
      <c r="AA89" s="22"/>
      <c r="AB89" s="22"/>
      <c r="AC89" s="22"/>
      <c r="AD89" s="22"/>
    </row>
    <row r="90" spans="1:30" s="21" customFormat="1" x14ac:dyDescent="0.25">
      <c r="A90" s="22"/>
      <c r="B90" s="22"/>
      <c r="C90" s="22"/>
      <c r="D90" s="22"/>
      <c r="E90" s="22" t="str">
        <f t="shared" si="9"/>
        <v>PROG</v>
      </c>
      <c r="F90" s="22"/>
      <c r="G90" s="22" t="str">
        <f t="shared" si="10"/>
        <v>P</v>
      </c>
      <c r="H90" s="22"/>
      <c r="I90" s="22"/>
      <c r="J90" s="22"/>
      <c r="K90" s="22" t="str">
        <f t="shared" si="11"/>
        <v>ELEM</v>
      </c>
      <c r="L90" s="22"/>
      <c r="M90" s="22"/>
      <c r="N90" s="22" t="str">
        <f t="shared" si="8"/>
        <v>FONTE</v>
      </c>
      <c r="O90" s="22"/>
      <c r="P90" s="22"/>
      <c r="Q90" s="22"/>
      <c r="R90" s="22"/>
      <c r="S90" s="22"/>
      <c r="T90" s="22"/>
      <c r="U90" s="25"/>
      <c r="V90" s="24"/>
      <c r="W90" s="23">
        <f t="shared" si="12"/>
        <v>0</v>
      </c>
      <c r="X90" s="22"/>
      <c r="Y90" s="22"/>
      <c r="Z90" s="22"/>
      <c r="AA90" s="22"/>
      <c r="AB90" s="22"/>
      <c r="AC90" s="22"/>
      <c r="AD90" s="22"/>
    </row>
    <row r="91" spans="1:30" s="21" customFormat="1" x14ac:dyDescent="0.25">
      <c r="A91" s="22"/>
      <c r="B91" s="22"/>
      <c r="C91" s="22"/>
      <c r="D91" s="22"/>
      <c r="E91" s="22" t="str">
        <f t="shared" si="9"/>
        <v>PROG</v>
      </c>
      <c r="F91" s="22"/>
      <c r="G91" s="22" t="str">
        <f t="shared" si="10"/>
        <v>P</v>
      </c>
      <c r="H91" s="22"/>
      <c r="I91" s="22"/>
      <c r="J91" s="22"/>
      <c r="K91" s="22" t="str">
        <f t="shared" si="11"/>
        <v>ELEM</v>
      </c>
      <c r="L91" s="22"/>
      <c r="M91" s="22"/>
      <c r="N91" s="22" t="str">
        <f t="shared" si="8"/>
        <v>FONTE</v>
      </c>
      <c r="O91" s="22"/>
      <c r="P91" s="22"/>
      <c r="Q91" s="22"/>
      <c r="R91" s="22"/>
      <c r="S91" s="22"/>
      <c r="T91" s="22"/>
      <c r="U91" s="25"/>
      <c r="V91" s="24"/>
      <c r="W91" s="23">
        <f t="shared" si="12"/>
        <v>0</v>
      </c>
      <c r="X91" s="22"/>
      <c r="Y91" s="22"/>
      <c r="Z91" s="22"/>
      <c r="AA91" s="22"/>
      <c r="AB91" s="22"/>
      <c r="AC91" s="22"/>
      <c r="AD91" s="22"/>
    </row>
    <row r="92" spans="1:30" s="21" customFormat="1" x14ac:dyDescent="0.25">
      <c r="A92" s="22"/>
      <c r="B92" s="22"/>
      <c r="C92" s="22"/>
      <c r="D92" s="22"/>
      <c r="E92" s="22" t="str">
        <f t="shared" si="9"/>
        <v>PROG</v>
      </c>
      <c r="F92" s="22"/>
      <c r="G92" s="22" t="str">
        <f t="shared" si="10"/>
        <v>P</v>
      </c>
      <c r="H92" s="22"/>
      <c r="I92" s="22"/>
      <c r="J92" s="22"/>
      <c r="K92" s="22" t="str">
        <f t="shared" si="11"/>
        <v>ELEM</v>
      </c>
      <c r="L92" s="22"/>
      <c r="M92" s="22"/>
      <c r="N92" s="22" t="str">
        <f t="shared" si="8"/>
        <v>FONTE</v>
      </c>
      <c r="O92" s="22"/>
      <c r="P92" s="22"/>
      <c r="Q92" s="22"/>
      <c r="R92" s="22"/>
      <c r="S92" s="22"/>
      <c r="T92" s="22"/>
      <c r="U92" s="25"/>
      <c r="V92" s="24"/>
      <c r="W92" s="23">
        <f t="shared" si="12"/>
        <v>0</v>
      </c>
      <c r="X92" s="22"/>
      <c r="Y92" s="22"/>
      <c r="Z92" s="22"/>
      <c r="AA92" s="22"/>
      <c r="AB92" s="22"/>
      <c r="AC92" s="22"/>
      <c r="AD92" s="22"/>
    </row>
    <row r="93" spans="1:30" s="21" customFormat="1" x14ac:dyDescent="0.25">
      <c r="A93" s="22"/>
      <c r="B93" s="22"/>
      <c r="C93" s="22"/>
      <c r="D93" s="22"/>
      <c r="E93" s="22" t="str">
        <f t="shared" si="9"/>
        <v>PROG</v>
      </c>
      <c r="F93" s="22"/>
      <c r="G93" s="22" t="str">
        <f t="shared" si="10"/>
        <v>P</v>
      </c>
      <c r="H93" s="22"/>
      <c r="I93" s="22"/>
      <c r="J93" s="22"/>
      <c r="K93" s="22" t="str">
        <f t="shared" si="11"/>
        <v>ELEM</v>
      </c>
      <c r="L93" s="22"/>
      <c r="M93" s="22"/>
      <c r="N93" s="22" t="str">
        <f t="shared" si="8"/>
        <v>FONTE</v>
      </c>
      <c r="O93" s="22"/>
      <c r="P93" s="22"/>
      <c r="Q93" s="22"/>
      <c r="R93" s="22"/>
      <c r="S93" s="22"/>
      <c r="T93" s="22"/>
      <c r="U93" s="25"/>
      <c r="V93" s="24"/>
      <c r="W93" s="23">
        <f t="shared" si="12"/>
        <v>0</v>
      </c>
      <c r="X93" s="22"/>
      <c r="Y93" s="22"/>
      <c r="Z93" s="22"/>
      <c r="AA93" s="22"/>
      <c r="AB93" s="22"/>
      <c r="AC93" s="22"/>
      <c r="AD93" s="22"/>
    </row>
    <row r="94" spans="1:30" s="21" customFormat="1" x14ac:dyDescent="0.25">
      <c r="A94" s="22"/>
      <c r="B94" s="22"/>
      <c r="C94" s="22"/>
      <c r="D94" s="22"/>
      <c r="E94" s="22" t="str">
        <f t="shared" si="9"/>
        <v>PROG</v>
      </c>
      <c r="F94" s="22"/>
      <c r="G94" s="22" t="str">
        <f t="shared" si="10"/>
        <v>P</v>
      </c>
      <c r="H94" s="22"/>
      <c r="I94" s="22"/>
      <c r="J94" s="22"/>
      <c r="K94" s="22" t="str">
        <f t="shared" si="11"/>
        <v>ELEM</v>
      </c>
      <c r="L94" s="22"/>
      <c r="M94" s="22"/>
      <c r="N94" s="22" t="str">
        <f t="shared" si="8"/>
        <v>FONTE</v>
      </c>
      <c r="O94" s="22"/>
      <c r="P94" s="22"/>
      <c r="Q94" s="22"/>
      <c r="R94" s="22"/>
      <c r="S94" s="22"/>
      <c r="T94" s="22"/>
      <c r="U94" s="25"/>
      <c r="V94" s="24"/>
      <c r="W94" s="23">
        <f t="shared" si="12"/>
        <v>0</v>
      </c>
      <c r="X94" s="22"/>
      <c r="Y94" s="22"/>
      <c r="Z94" s="22"/>
      <c r="AA94" s="22"/>
      <c r="AB94" s="22"/>
      <c r="AC94" s="22"/>
      <c r="AD94" s="22"/>
    </row>
    <row r="95" spans="1:30" s="21" customFormat="1" x14ac:dyDescent="0.25">
      <c r="A95" s="22"/>
      <c r="B95" s="22"/>
      <c r="C95" s="22"/>
      <c r="D95" s="22"/>
      <c r="E95" s="22" t="str">
        <f t="shared" si="9"/>
        <v>PROG</v>
      </c>
      <c r="F95" s="22"/>
      <c r="G95" s="22" t="str">
        <f t="shared" si="10"/>
        <v>P</v>
      </c>
      <c r="H95" s="22"/>
      <c r="I95" s="22"/>
      <c r="J95" s="22"/>
      <c r="K95" s="22" t="str">
        <f t="shared" si="11"/>
        <v>ELEM</v>
      </c>
      <c r="L95" s="22"/>
      <c r="M95" s="22"/>
      <c r="N95" s="22" t="str">
        <f t="shared" si="8"/>
        <v>FONTE</v>
      </c>
      <c r="O95" s="22"/>
      <c r="P95" s="22"/>
      <c r="Q95" s="22"/>
      <c r="R95" s="22"/>
      <c r="S95" s="22"/>
      <c r="T95" s="22"/>
      <c r="U95" s="25"/>
      <c r="V95" s="24"/>
      <c r="W95" s="23">
        <f t="shared" si="12"/>
        <v>0</v>
      </c>
      <c r="X95" s="22"/>
      <c r="Y95" s="22"/>
      <c r="Z95" s="22"/>
      <c r="AA95" s="22"/>
      <c r="AB95" s="22"/>
      <c r="AC95" s="22"/>
      <c r="AD95" s="22"/>
    </row>
    <row r="96" spans="1:30" s="21" customFormat="1" x14ac:dyDescent="0.25">
      <c r="A96" s="22"/>
      <c r="B96" s="22"/>
      <c r="C96" s="22"/>
      <c r="D96" s="22"/>
      <c r="E96" s="22" t="str">
        <f t="shared" si="9"/>
        <v>PROG</v>
      </c>
      <c r="F96" s="22"/>
      <c r="G96" s="22" t="str">
        <f t="shared" si="10"/>
        <v>P</v>
      </c>
      <c r="H96" s="22"/>
      <c r="I96" s="22"/>
      <c r="J96" s="22"/>
      <c r="K96" s="22" t="str">
        <f t="shared" si="11"/>
        <v>ELEM</v>
      </c>
      <c r="L96" s="22"/>
      <c r="M96" s="22"/>
      <c r="N96" s="22" t="str">
        <f t="shared" si="8"/>
        <v>FONTE</v>
      </c>
      <c r="O96" s="22"/>
      <c r="P96" s="22"/>
      <c r="Q96" s="22"/>
      <c r="R96" s="22"/>
      <c r="S96" s="22"/>
      <c r="T96" s="22"/>
      <c r="U96" s="25"/>
      <c r="V96" s="24"/>
      <c r="W96" s="23">
        <f t="shared" si="12"/>
        <v>0</v>
      </c>
      <c r="X96" s="22"/>
      <c r="Y96" s="22"/>
      <c r="Z96" s="22"/>
      <c r="AA96" s="22"/>
      <c r="AB96" s="22"/>
      <c r="AC96" s="22"/>
      <c r="AD96" s="22"/>
    </row>
    <row r="97" spans="1:30" s="21" customFormat="1" x14ac:dyDescent="0.25">
      <c r="A97" s="22"/>
      <c r="B97" s="22"/>
      <c r="C97" s="22"/>
      <c r="D97" s="22"/>
      <c r="E97" s="22" t="str">
        <f t="shared" si="9"/>
        <v>PROG</v>
      </c>
      <c r="F97" s="22"/>
      <c r="G97" s="22" t="str">
        <f t="shared" si="10"/>
        <v>P</v>
      </c>
      <c r="H97" s="22"/>
      <c r="I97" s="22"/>
      <c r="J97" s="22"/>
      <c r="K97" s="22" t="str">
        <f t="shared" si="11"/>
        <v>ELEM</v>
      </c>
      <c r="L97" s="22"/>
      <c r="M97" s="22"/>
      <c r="N97" s="22" t="str">
        <f t="shared" si="8"/>
        <v>FONTE</v>
      </c>
      <c r="O97" s="22"/>
      <c r="P97" s="22"/>
      <c r="Q97" s="22"/>
      <c r="R97" s="22"/>
      <c r="S97" s="22"/>
      <c r="T97" s="22"/>
      <c r="U97" s="25"/>
      <c r="V97" s="24"/>
      <c r="W97" s="23">
        <f t="shared" si="12"/>
        <v>0</v>
      </c>
      <c r="X97" s="22"/>
      <c r="Y97" s="22"/>
      <c r="Z97" s="22"/>
      <c r="AA97" s="22"/>
      <c r="AB97" s="22"/>
      <c r="AC97" s="22"/>
      <c r="AD97" s="22"/>
    </row>
    <row r="98" spans="1:30" s="21" customFormat="1" x14ac:dyDescent="0.25">
      <c r="A98" s="22"/>
      <c r="B98" s="22"/>
      <c r="C98" s="22"/>
      <c r="D98" s="22"/>
      <c r="E98" s="22" t="str">
        <f t="shared" si="9"/>
        <v>PROG</v>
      </c>
      <c r="F98" s="22"/>
      <c r="G98" s="22" t="str">
        <f t="shared" si="10"/>
        <v>P</v>
      </c>
      <c r="H98" s="22"/>
      <c r="I98" s="22"/>
      <c r="J98" s="22"/>
      <c r="K98" s="22" t="str">
        <f t="shared" si="11"/>
        <v>ELEM</v>
      </c>
      <c r="L98" s="22"/>
      <c r="M98" s="22"/>
      <c r="N98" s="22" t="str">
        <f t="shared" si="8"/>
        <v>FONTE</v>
      </c>
      <c r="O98" s="22"/>
      <c r="P98" s="22"/>
      <c r="Q98" s="22"/>
      <c r="R98" s="22"/>
      <c r="S98" s="22"/>
      <c r="T98" s="22"/>
      <c r="U98" s="25"/>
      <c r="V98" s="24"/>
      <c r="W98" s="23">
        <f t="shared" si="12"/>
        <v>0</v>
      </c>
      <c r="X98" s="22"/>
      <c r="Y98" s="22"/>
      <c r="Z98" s="22"/>
      <c r="AA98" s="22"/>
      <c r="AB98" s="22"/>
      <c r="AC98" s="22"/>
      <c r="AD98" s="22"/>
    </row>
    <row r="99" spans="1:30" s="21" customFormat="1" x14ac:dyDescent="0.25">
      <c r="A99" s="22"/>
      <c r="B99" s="22"/>
      <c r="C99" s="22"/>
      <c r="D99" s="22"/>
      <c r="E99" s="22" t="str">
        <f t="shared" si="9"/>
        <v>PROG</v>
      </c>
      <c r="F99" s="22"/>
      <c r="G99" s="22" t="str">
        <f t="shared" si="10"/>
        <v>P</v>
      </c>
      <c r="H99" s="22"/>
      <c r="I99" s="22"/>
      <c r="J99" s="22"/>
      <c r="K99" s="22" t="str">
        <f t="shared" si="11"/>
        <v>ELEM</v>
      </c>
      <c r="L99" s="22"/>
      <c r="M99" s="22"/>
      <c r="N99" s="22" t="str">
        <f t="shared" si="8"/>
        <v>FONTE</v>
      </c>
      <c r="O99" s="22"/>
      <c r="P99" s="22"/>
      <c r="Q99" s="22"/>
      <c r="R99" s="22"/>
      <c r="S99" s="22"/>
      <c r="T99" s="22"/>
      <c r="U99" s="25"/>
      <c r="V99" s="24"/>
      <c r="W99" s="23">
        <f t="shared" si="12"/>
        <v>0</v>
      </c>
      <c r="X99" s="22"/>
      <c r="Y99" s="22"/>
      <c r="Z99" s="22"/>
      <c r="AA99" s="22"/>
      <c r="AB99" s="22"/>
      <c r="AC99" s="22"/>
      <c r="AD99" s="22"/>
    </row>
    <row r="100" spans="1:30" s="21" customFormat="1" x14ac:dyDescent="0.25">
      <c r="A100" s="22"/>
      <c r="B100" s="22"/>
      <c r="C100" s="22"/>
      <c r="D100" s="22"/>
      <c r="E100" s="22" t="str">
        <f t="shared" si="9"/>
        <v>PROG</v>
      </c>
      <c r="F100" s="22"/>
      <c r="G100" s="22" t="str">
        <f t="shared" si="10"/>
        <v>P</v>
      </c>
      <c r="H100" s="22"/>
      <c r="I100" s="22"/>
      <c r="J100" s="22"/>
      <c r="K100" s="22" t="str">
        <f t="shared" si="11"/>
        <v>ELEM</v>
      </c>
      <c r="L100" s="22"/>
      <c r="M100" s="22"/>
      <c r="N100" s="22" t="str">
        <f t="shared" si="8"/>
        <v>FONTE</v>
      </c>
      <c r="O100" s="22"/>
      <c r="P100" s="22"/>
      <c r="Q100" s="22"/>
      <c r="R100" s="22"/>
      <c r="S100" s="22"/>
      <c r="T100" s="22"/>
      <c r="U100" s="25"/>
      <c r="V100" s="24"/>
      <c r="W100" s="23">
        <f t="shared" si="12"/>
        <v>0</v>
      </c>
      <c r="X100" s="22"/>
      <c r="Y100" s="22"/>
      <c r="Z100" s="22"/>
      <c r="AA100" s="22"/>
      <c r="AB100" s="22"/>
      <c r="AC100" s="22"/>
      <c r="AD100" s="22"/>
    </row>
    <row r="101" spans="1:30" s="21" customFormat="1" x14ac:dyDescent="0.25">
      <c r="A101" s="22"/>
      <c r="B101" s="22"/>
      <c r="C101" s="22"/>
      <c r="D101" s="22"/>
      <c r="E101" s="22" t="str">
        <f t="shared" si="9"/>
        <v>PROG</v>
      </c>
      <c r="F101" s="22"/>
      <c r="G101" s="22" t="str">
        <f t="shared" si="10"/>
        <v>P</v>
      </c>
      <c r="H101" s="22"/>
      <c r="I101" s="22"/>
      <c r="J101" s="22"/>
      <c r="K101" s="22" t="str">
        <f t="shared" si="11"/>
        <v>ELEM</v>
      </c>
      <c r="L101" s="22"/>
      <c r="M101" s="22"/>
      <c r="N101" s="22" t="str">
        <f t="shared" si="8"/>
        <v>FONTE</v>
      </c>
      <c r="O101" s="22"/>
      <c r="P101" s="22"/>
      <c r="Q101" s="22"/>
      <c r="R101" s="22"/>
      <c r="S101" s="22"/>
      <c r="T101" s="22"/>
      <c r="U101" s="25"/>
      <c r="V101" s="24"/>
      <c r="W101" s="23">
        <f t="shared" si="12"/>
        <v>0</v>
      </c>
      <c r="X101" s="22"/>
      <c r="Y101" s="22"/>
      <c r="Z101" s="22"/>
      <c r="AA101" s="22"/>
      <c r="AB101" s="22"/>
      <c r="AC101" s="22"/>
      <c r="AD101" s="22"/>
    </row>
    <row r="102" spans="1:30" s="21" customFormat="1" x14ac:dyDescent="0.25">
      <c r="A102" s="22"/>
      <c r="B102" s="22"/>
      <c r="C102" s="22"/>
      <c r="D102" s="22"/>
      <c r="E102" s="22" t="str">
        <f t="shared" si="9"/>
        <v>PROG</v>
      </c>
      <c r="F102" s="22"/>
      <c r="G102" s="22" t="str">
        <f t="shared" si="10"/>
        <v>P</v>
      </c>
      <c r="H102" s="22"/>
      <c r="I102" s="22"/>
      <c r="J102" s="22"/>
      <c r="K102" s="22" t="str">
        <f t="shared" si="11"/>
        <v>ELEM</v>
      </c>
      <c r="L102" s="22"/>
      <c r="M102" s="22"/>
      <c r="N102" s="22" t="str">
        <f t="shared" si="8"/>
        <v>FONTE</v>
      </c>
      <c r="O102" s="22"/>
      <c r="P102" s="22"/>
      <c r="Q102" s="22"/>
      <c r="R102" s="22"/>
      <c r="S102" s="22"/>
      <c r="T102" s="22"/>
      <c r="U102" s="25"/>
      <c r="V102" s="24"/>
      <c r="W102" s="23">
        <f t="shared" si="12"/>
        <v>0</v>
      </c>
      <c r="X102" s="22"/>
      <c r="Y102" s="22"/>
      <c r="Z102" s="22"/>
      <c r="AA102" s="22"/>
      <c r="AB102" s="22"/>
      <c r="AC102" s="22"/>
      <c r="AD102" s="22"/>
    </row>
    <row r="103" spans="1:30" s="21" customFormat="1" x14ac:dyDescent="0.25">
      <c r="A103" s="22"/>
      <c r="B103" s="22"/>
      <c r="C103" s="22"/>
      <c r="D103" s="22"/>
      <c r="E103" s="22" t="str">
        <f t="shared" si="9"/>
        <v>PROG</v>
      </c>
      <c r="F103" s="22"/>
      <c r="G103" s="22" t="str">
        <f t="shared" si="10"/>
        <v>P</v>
      </c>
      <c r="H103" s="22"/>
      <c r="I103" s="22"/>
      <c r="J103" s="22"/>
      <c r="K103" s="22" t="str">
        <f t="shared" si="11"/>
        <v>ELEM</v>
      </c>
      <c r="L103" s="22"/>
      <c r="M103" s="22"/>
      <c r="N103" s="22" t="str">
        <f t="shared" si="8"/>
        <v>FONTE</v>
      </c>
      <c r="O103" s="22"/>
      <c r="P103" s="22"/>
      <c r="Q103" s="22"/>
      <c r="R103" s="22"/>
      <c r="S103" s="22"/>
      <c r="T103" s="22"/>
      <c r="U103" s="25"/>
      <c r="V103" s="24"/>
      <c r="W103" s="23">
        <f t="shared" si="12"/>
        <v>0</v>
      </c>
      <c r="X103" s="22"/>
      <c r="Y103" s="22"/>
      <c r="Z103" s="22"/>
      <c r="AA103" s="22"/>
      <c r="AB103" s="22"/>
      <c r="AC103" s="22"/>
      <c r="AD103" s="22"/>
    </row>
    <row r="104" spans="1:30" s="21" customFormat="1" x14ac:dyDescent="0.25">
      <c r="A104" s="22"/>
      <c r="B104" s="22"/>
      <c r="C104" s="22"/>
      <c r="D104" s="22"/>
      <c r="E104" s="22" t="str">
        <f t="shared" si="9"/>
        <v>PROG</v>
      </c>
      <c r="F104" s="22"/>
      <c r="G104" s="22" t="str">
        <f t="shared" si="10"/>
        <v>P</v>
      </c>
      <c r="H104" s="22"/>
      <c r="I104" s="22"/>
      <c r="J104" s="22"/>
      <c r="K104" s="22" t="str">
        <f t="shared" si="11"/>
        <v>ELEM</v>
      </c>
      <c r="L104" s="22"/>
      <c r="M104" s="22"/>
      <c r="N104" s="22" t="str">
        <f t="shared" si="8"/>
        <v>FONTE</v>
      </c>
      <c r="O104" s="22"/>
      <c r="P104" s="22"/>
      <c r="Q104" s="22"/>
      <c r="R104" s="22"/>
      <c r="S104" s="22"/>
      <c r="T104" s="22"/>
      <c r="U104" s="25"/>
      <c r="V104" s="24"/>
      <c r="W104" s="23">
        <f t="shared" si="12"/>
        <v>0</v>
      </c>
      <c r="X104" s="22"/>
      <c r="Y104" s="22"/>
      <c r="Z104" s="22"/>
      <c r="AA104" s="22"/>
      <c r="AB104" s="22"/>
      <c r="AC104" s="22"/>
      <c r="AD104" s="22"/>
    </row>
    <row r="105" spans="1:30" s="21" customFormat="1" x14ac:dyDescent="0.25">
      <c r="A105" s="22"/>
      <c r="B105" s="22"/>
      <c r="C105" s="22"/>
      <c r="D105" s="22"/>
      <c r="E105" s="22" t="str">
        <f t="shared" si="9"/>
        <v>PROG</v>
      </c>
      <c r="F105" s="22"/>
      <c r="G105" s="22" t="str">
        <f t="shared" si="10"/>
        <v>P</v>
      </c>
      <c r="H105" s="22"/>
      <c r="I105" s="22"/>
      <c r="J105" s="22"/>
      <c r="K105" s="22" t="str">
        <f t="shared" si="11"/>
        <v>ELEM</v>
      </c>
      <c r="L105" s="22"/>
      <c r="M105" s="22"/>
      <c r="N105" s="22" t="str">
        <f t="shared" si="8"/>
        <v>FONTE</v>
      </c>
      <c r="O105" s="22"/>
      <c r="P105" s="22"/>
      <c r="Q105" s="22"/>
      <c r="R105" s="22"/>
      <c r="S105" s="22"/>
      <c r="T105" s="22"/>
      <c r="U105" s="25"/>
      <c r="V105" s="24"/>
      <c r="W105" s="23">
        <f t="shared" si="12"/>
        <v>0</v>
      </c>
      <c r="X105" s="22"/>
      <c r="Y105" s="22"/>
      <c r="Z105" s="22"/>
      <c r="AA105" s="22"/>
      <c r="AB105" s="22"/>
      <c r="AC105" s="22"/>
      <c r="AD105" s="22"/>
    </row>
    <row r="106" spans="1:30" s="21" customFormat="1" x14ac:dyDescent="0.25">
      <c r="A106" s="22"/>
      <c r="B106" s="22"/>
      <c r="C106" s="22"/>
      <c r="D106" s="22"/>
      <c r="E106" s="22" t="str">
        <f t="shared" si="9"/>
        <v>PROG</v>
      </c>
      <c r="F106" s="22"/>
      <c r="G106" s="22" t="str">
        <f t="shared" si="10"/>
        <v>P</v>
      </c>
      <c r="H106" s="22"/>
      <c r="I106" s="22"/>
      <c r="J106" s="22"/>
      <c r="K106" s="22" t="str">
        <f t="shared" si="11"/>
        <v>ELEM</v>
      </c>
      <c r="L106" s="22"/>
      <c r="M106" s="22"/>
      <c r="N106" s="22" t="str">
        <f t="shared" si="8"/>
        <v>FONTE</v>
      </c>
      <c r="O106" s="22"/>
      <c r="P106" s="22"/>
      <c r="Q106" s="22"/>
      <c r="R106" s="22"/>
      <c r="S106" s="22"/>
      <c r="T106" s="22"/>
      <c r="U106" s="25"/>
      <c r="V106" s="24"/>
      <c r="W106" s="23">
        <f t="shared" si="12"/>
        <v>0</v>
      </c>
      <c r="X106" s="22"/>
      <c r="Y106" s="22"/>
      <c r="Z106" s="22"/>
      <c r="AA106" s="22"/>
      <c r="AB106" s="22"/>
      <c r="AC106" s="22"/>
      <c r="AD106" s="22"/>
    </row>
    <row r="107" spans="1:30" s="21" customFormat="1" x14ac:dyDescent="0.25">
      <c r="A107" s="22"/>
      <c r="B107" s="22"/>
      <c r="C107" s="22"/>
      <c r="D107" s="22"/>
      <c r="E107" s="22" t="str">
        <f t="shared" si="9"/>
        <v>PROG</v>
      </c>
      <c r="F107" s="22"/>
      <c r="G107" s="22" t="str">
        <f t="shared" si="10"/>
        <v>P</v>
      </c>
      <c r="H107" s="22"/>
      <c r="I107" s="22"/>
      <c r="J107" s="22"/>
      <c r="K107" s="22" t="str">
        <f t="shared" si="11"/>
        <v>ELEM</v>
      </c>
      <c r="L107" s="22"/>
      <c r="M107" s="22"/>
      <c r="N107" s="22" t="str">
        <f t="shared" si="8"/>
        <v>FONTE</v>
      </c>
      <c r="O107" s="22"/>
      <c r="P107" s="22"/>
      <c r="Q107" s="22"/>
      <c r="R107" s="22"/>
      <c r="S107" s="22"/>
      <c r="T107" s="22"/>
      <c r="U107" s="25"/>
      <c r="V107" s="24"/>
      <c r="W107" s="23">
        <f t="shared" si="12"/>
        <v>0</v>
      </c>
      <c r="X107" s="22"/>
      <c r="Y107" s="22"/>
      <c r="Z107" s="22"/>
      <c r="AA107" s="22"/>
      <c r="AB107" s="22"/>
      <c r="AC107" s="22"/>
      <c r="AD107" s="22"/>
    </row>
    <row r="108" spans="1:30" s="21" customFormat="1" x14ac:dyDescent="0.25">
      <c r="A108" s="22"/>
      <c r="B108" s="22"/>
      <c r="C108" s="22"/>
      <c r="D108" s="22"/>
      <c r="E108" s="22" t="str">
        <f t="shared" si="9"/>
        <v>PROG</v>
      </c>
      <c r="F108" s="22"/>
      <c r="G108" s="22" t="str">
        <f t="shared" si="10"/>
        <v>P</v>
      </c>
      <c r="H108" s="22"/>
      <c r="I108" s="22"/>
      <c r="J108" s="22"/>
      <c r="K108" s="22" t="str">
        <f t="shared" si="11"/>
        <v>ELEM</v>
      </c>
      <c r="L108" s="22"/>
      <c r="M108" s="22"/>
      <c r="N108" s="22" t="str">
        <f t="shared" si="8"/>
        <v>FONTE</v>
      </c>
      <c r="O108" s="22"/>
      <c r="P108" s="22"/>
      <c r="Q108" s="22"/>
      <c r="R108" s="22"/>
      <c r="S108" s="22"/>
      <c r="T108" s="22"/>
      <c r="U108" s="25"/>
      <c r="V108" s="24"/>
      <c r="W108" s="23">
        <f t="shared" si="12"/>
        <v>0</v>
      </c>
      <c r="X108" s="22"/>
      <c r="Y108" s="22"/>
      <c r="Z108" s="22"/>
      <c r="AA108" s="22"/>
      <c r="AB108" s="22"/>
      <c r="AC108" s="22"/>
      <c r="AD108" s="22"/>
    </row>
    <row r="109" spans="1:30" s="21" customFormat="1" x14ac:dyDescent="0.25">
      <c r="A109" s="22"/>
      <c r="B109" s="22"/>
      <c r="C109" s="22"/>
      <c r="D109" s="22"/>
      <c r="E109" s="22" t="str">
        <f t="shared" si="9"/>
        <v>PROG</v>
      </c>
      <c r="F109" s="22"/>
      <c r="G109" s="22" t="str">
        <f t="shared" si="10"/>
        <v>P</v>
      </c>
      <c r="H109" s="22"/>
      <c r="I109" s="22"/>
      <c r="J109" s="22"/>
      <c r="K109" s="22" t="str">
        <f t="shared" si="11"/>
        <v>ELEM</v>
      </c>
      <c r="L109" s="22"/>
      <c r="M109" s="22"/>
      <c r="N109" s="22" t="str">
        <f t="shared" si="8"/>
        <v>FONTE</v>
      </c>
      <c r="O109" s="22"/>
      <c r="P109" s="22"/>
      <c r="Q109" s="22"/>
      <c r="R109" s="22"/>
      <c r="S109" s="22"/>
      <c r="T109" s="22"/>
      <c r="U109" s="25"/>
      <c r="V109" s="24"/>
      <c r="W109" s="23">
        <f t="shared" si="12"/>
        <v>0</v>
      </c>
      <c r="X109" s="22"/>
      <c r="Y109" s="22"/>
      <c r="Z109" s="22"/>
      <c r="AA109" s="22"/>
      <c r="AB109" s="22"/>
      <c r="AC109" s="22"/>
      <c r="AD109" s="22"/>
    </row>
    <row r="110" spans="1:30" s="21" customFormat="1" x14ac:dyDescent="0.25">
      <c r="A110" s="22"/>
      <c r="B110" s="22"/>
      <c r="C110" s="22"/>
      <c r="D110" s="22"/>
      <c r="E110" s="22" t="str">
        <f t="shared" si="9"/>
        <v>PROG</v>
      </c>
      <c r="F110" s="22"/>
      <c r="G110" s="22" t="str">
        <f t="shared" si="10"/>
        <v>P</v>
      </c>
      <c r="H110" s="22"/>
      <c r="I110" s="22"/>
      <c r="J110" s="22"/>
      <c r="K110" s="22" t="str">
        <f t="shared" si="11"/>
        <v>ELEM</v>
      </c>
      <c r="L110" s="22"/>
      <c r="M110" s="22"/>
      <c r="N110" s="22" t="str">
        <f t="shared" si="8"/>
        <v>FONTE</v>
      </c>
      <c r="O110" s="22"/>
      <c r="P110" s="22"/>
      <c r="Q110" s="22"/>
      <c r="R110" s="22"/>
      <c r="S110" s="22"/>
      <c r="T110" s="22"/>
      <c r="U110" s="25"/>
      <c r="V110" s="24"/>
      <c r="W110" s="23">
        <f t="shared" si="12"/>
        <v>0</v>
      </c>
      <c r="X110" s="22"/>
      <c r="Y110" s="22"/>
      <c r="Z110" s="22"/>
      <c r="AA110" s="22"/>
      <c r="AB110" s="22"/>
      <c r="AC110" s="22"/>
      <c r="AD110" s="22"/>
    </row>
    <row r="111" spans="1:30" s="21" customFormat="1" x14ac:dyDescent="0.25">
      <c r="A111" s="22"/>
      <c r="B111" s="22"/>
      <c r="C111" s="22"/>
      <c r="D111" s="22"/>
      <c r="E111" s="22" t="str">
        <f t="shared" si="9"/>
        <v>PROG</v>
      </c>
      <c r="F111" s="22"/>
      <c r="G111" s="22" t="str">
        <f t="shared" si="10"/>
        <v>P</v>
      </c>
      <c r="H111" s="22"/>
      <c r="I111" s="22"/>
      <c r="J111" s="22"/>
      <c r="K111" s="22" t="str">
        <f t="shared" si="11"/>
        <v>ELEM</v>
      </c>
      <c r="L111" s="22"/>
      <c r="M111" s="22"/>
      <c r="N111" s="22" t="str">
        <f t="shared" si="8"/>
        <v>FONTE</v>
      </c>
      <c r="O111" s="22"/>
      <c r="P111" s="22"/>
      <c r="Q111" s="22"/>
      <c r="R111" s="22"/>
      <c r="S111" s="22"/>
      <c r="T111" s="22"/>
      <c r="U111" s="25"/>
      <c r="V111" s="24"/>
      <c r="W111" s="23">
        <f t="shared" si="12"/>
        <v>0</v>
      </c>
      <c r="X111" s="22"/>
      <c r="Y111" s="22"/>
      <c r="Z111" s="22"/>
      <c r="AA111" s="22"/>
      <c r="AB111" s="22"/>
      <c r="AC111" s="22"/>
      <c r="AD111" s="22"/>
    </row>
    <row r="112" spans="1:30" s="21" customFormat="1" x14ac:dyDescent="0.25">
      <c r="A112" s="22"/>
      <c r="B112" s="22"/>
      <c r="C112" s="22"/>
      <c r="D112" s="22"/>
      <c r="E112" s="22" t="str">
        <f t="shared" si="9"/>
        <v>PROG</v>
      </c>
      <c r="F112" s="22"/>
      <c r="G112" s="22" t="str">
        <f t="shared" si="10"/>
        <v>P</v>
      </c>
      <c r="H112" s="22"/>
      <c r="I112" s="22"/>
      <c r="J112" s="22"/>
      <c r="K112" s="22" t="str">
        <f t="shared" si="11"/>
        <v>ELEM</v>
      </c>
      <c r="L112" s="22"/>
      <c r="M112" s="22"/>
      <c r="N112" s="22" t="str">
        <f t="shared" si="8"/>
        <v>FONTE</v>
      </c>
      <c r="O112" s="22"/>
      <c r="P112" s="22"/>
      <c r="Q112" s="22"/>
      <c r="R112" s="22"/>
      <c r="S112" s="22"/>
      <c r="T112" s="22"/>
      <c r="U112" s="25"/>
      <c r="V112" s="24"/>
      <c r="W112" s="23">
        <f t="shared" si="12"/>
        <v>0</v>
      </c>
      <c r="X112" s="22"/>
      <c r="Y112" s="22"/>
      <c r="Z112" s="22"/>
      <c r="AA112" s="22"/>
      <c r="AB112" s="22"/>
      <c r="AC112" s="22"/>
      <c r="AD112" s="22"/>
    </row>
    <row r="113" spans="1:30" s="21" customFormat="1" x14ac:dyDescent="0.25">
      <c r="A113" s="22"/>
      <c r="B113" s="22"/>
      <c r="C113" s="22"/>
      <c r="D113" s="22"/>
      <c r="E113" s="22" t="str">
        <f t="shared" si="9"/>
        <v>PROG</v>
      </c>
      <c r="F113" s="22"/>
      <c r="G113" s="22" t="str">
        <f t="shared" si="10"/>
        <v>P</v>
      </c>
      <c r="H113" s="22"/>
      <c r="I113" s="22"/>
      <c r="J113" s="22"/>
      <c r="K113" s="22" t="str">
        <f t="shared" si="11"/>
        <v>ELEM</v>
      </c>
      <c r="L113" s="22"/>
      <c r="M113" s="22"/>
      <c r="N113" s="22" t="str">
        <f t="shared" si="8"/>
        <v>FONTE</v>
      </c>
      <c r="O113" s="22"/>
      <c r="P113" s="22"/>
      <c r="Q113" s="22"/>
      <c r="R113" s="22"/>
      <c r="S113" s="22"/>
      <c r="T113" s="22"/>
      <c r="U113" s="25"/>
      <c r="V113" s="24"/>
      <c r="W113" s="23">
        <f t="shared" si="12"/>
        <v>0</v>
      </c>
      <c r="X113" s="22"/>
      <c r="Y113" s="22"/>
      <c r="Z113" s="22"/>
      <c r="AA113" s="22"/>
      <c r="AB113" s="22"/>
      <c r="AC113" s="22"/>
      <c r="AD113" s="22"/>
    </row>
    <row r="114" spans="1:30" s="21" customFormat="1" x14ac:dyDescent="0.25">
      <c r="A114" s="22"/>
      <c r="B114" s="22"/>
      <c r="C114" s="22"/>
      <c r="D114" s="22"/>
      <c r="E114" s="22" t="str">
        <f t="shared" si="9"/>
        <v>PROG</v>
      </c>
      <c r="F114" s="22"/>
      <c r="G114" s="22" t="str">
        <f t="shared" si="10"/>
        <v>P</v>
      </c>
      <c r="H114" s="22"/>
      <c r="I114" s="22"/>
      <c r="J114" s="22"/>
      <c r="K114" s="22" t="str">
        <f t="shared" si="11"/>
        <v>ELEM</v>
      </c>
      <c r="L114" s="22"/>
      <c r="M114" s="22"/>
      <c r="N114" s="22" t="str">
        <f t="shared" si="8"/>
        <v>FONTE</v>
      </c>
      <c r="O114" s="22"/>
      <c r="P114" s="22"/>
      <c r="Q114" s="22"/>
      <c r="R114" s="22"/>
      <c r="S114" s="22"/>
      <c r="T114" s="22"/>
      <c r="U114" s="25"/>
      <c r="V114" s="24"/>
      <c r="W114" s="23">
        <f t="shared" si="12"/>
        <v>0</v>
      </c>
      <c r="X114" s="22"/>
      <c r="Y114" s="22"/>
      <c r="Z114" s="22"/>
      <c r="AA114" s="22"/>
      <c r="AB114" s="22"/>
      <c r="AC114" s="22"/>
      <c r="AD114" s="22"/>
    </row>
    <row r="115" spans="1:30" s="21" customFormat="1" x14ac:dyDescent="0.25">
      <c r="A115" s="22"/>
      <c r="B115" s="22"/>
      <c r="C115" s="22"/>
      <c r="D115" s="22"/>
      <c r="E115" s="22" t="str">
        <f t="shared" si="9"/>
        <v>PROG</v>
      </c>
      <c r="F115" s="22"/>
      <c r="G115" s="22" t="str">
        <f t="shared" si="10"/>
        <v>P</v>
      </c>
      <c r="H115" s="22"/>
      <c r="I115" s="22"/>
      <c r="J115" s="22"/>
      <c r="K115" s="22" t="str">
        <f t="shared" si="11"/>
        <v>ELEM</v>
      </c>
      <c r="L115" s="22"/>
      <c r="M115" s="22"/>
      <c r="N115" s="22" t="str">
        <f t="shared" si="8"/>
        <v>FONTE</v>
      </c>
      <c r="O115" s="22"/>
      <c r="P115" s="22"/>
      <c r="Q115" s="22"/>
      <c r="R115" s="22"/>
      <c r="S115" s="22"/>
      <c r="T115" s="22"/>
      <c r="U115" s="25"/>
      <c r="V115" s="24"/>
      <c r="W115" s="23">
        <f t="shared" si="12"/>
        <v>0</v>
      </c>
      <c r="X115" s="22"/>
      <c r="Y115" s="22"/>
      <c r="Z115" s="22"/>
      <c r="AA115" s="22"/>
      <c r="AB115" s="22"/>
      <c r="AC115" s="22"/>
      <c r="AD115" s="22"/>
    </row>
    <row r="116" spans="1:30" s="21" customFormat="1" x14ac:dyDescent="0.25">
      <c r="A116" s="22"/>
      <c r="B116" s="22"/>
      <c r="C116" s="22"/>
      <c r="D116" s="22"/>
      <c r="E116" s="22" t="str">
        <f t="shared" si="9"/>
        <v>PROG</v>
      </c>
      <c r="F116" s="22"/>
      <c r="G116" s="22" t="str">
        <f t="shared" si="10"/>
        <v>P</v>
      </c>
      <c r="H116" s="22"/>
      <c r="I116" s="22"/>
      <c r="J116" s="22"/>
      <c r="K116" s="22" t="str">
        <f t="shared" si="11"/>
        <v>ELEM</v>
      </c>
      <c r="L116" s="22"/>
      <c r="M116" s="22"/>
      <c r="N116" s="22" t="str">
        <f t="shared" si="8"/>
        <v>FONTE</v>
      </c>
      <c r="O116" s="22"/>
      <c r="P116" s="22"/>
      <c r="Q116" s="22"/>
      <c r="R116" s="22"/>
      <c r="S116" s="22"/>
      <c r="T116" s="22"/>
      <c r="U116" s="25"/>
      <c r="V116" s="24"/>
      <c r="W116" s="23">
        <f t="shared" si="12"/>
        <v>0</v>
      </c>
      <c r="X116" s="22"/>
      <c r="Y116" s="22"/>
      <c r="Z116" s="22"/>
      <c r="AA116" s="22"/>
      <c r="AB116" s="22"/>
      <c r="AC116" s="22"/>
      <c r="AD116" s="22"/>
    </row>
    <row r="117" spans="1:30" s="21" customFormat="1" x14ac:dyDescent="0.25">
      <c r="A117" s="22"/>
      <c r="B117" s="22"/>
      <c r="C117" s="22"/>
      <c r="D117" s="22"/>
      <c r="E117" s="22" t="str">
        <f t="shared" si="9"/>
        <v>PROG</v>
      </c>
      <c r="F117" s="22"/>
      <c r="G117" s="22" t="str">
        <f t="shared" si="10"/>
        <v>P</v>
      </c>
      <c r="H117" s="22"/>
      <c r="I117" s="22"/>
      <c r="J117" s="22"/>
      <c r="K117" s="22" t="str">
        <f t="shared" si="11"/>
        <v>ELEM</v>
      </c>
      <c r="L117" s="22"/>
      <c r="M117" s="22"/>
      <c r="N117" s="22" t="str">
        <f t="shared" si="8"/>
        <v>FONTE</v>
      </c>
      <c r="O117" s="22"/>
      <c r="P117" s="22"/>
      <c r="Q117" s="22"/>
      <c r="R117" s="22"/>
      <c r="S117" s="22"/>
      <c r="T117" s="22"/>
      <c r="U117" s="25"/>
      <c r="V117" s="24"/>
      <c r="W117" s="23">
        <f t="shared" si="12"/>
        <v>0</v>
      </c>
      <c r="X117" s="22"/>
      <c r="Y117" s="22"/>
      <c r="Z117" s="22"/>
      <c r="AA117" s="22"/>
      <c r="AB117" s="22"/>
      <c r="AC117" s="22"/>
      <c r="AD117" s="22"/>
    </row>
    <row r="118" spans="1:30" s="21" customFormat="1" x14ac:dyDescent="0.25">
      <c r="A118" s="22"/>
      <c r="B118" s="22"/>
      <c r="C118" s="22"/>
      <c r="D118" s="22"/>
      <c r="E118" s="22" t="str">
        <f t="shared" si="9"/>
        <v>PROG</v>
      </c>
      <c r="F118" s="22"/>
      <c r="G118" s="22" t="str">
        <f t="shared" si="10"/>
        <v>P</v>
      </c>
      <c r="H118" s="22"/>
      <c r="I118" s="22"/>
      <c r="J118" s="22"/>
      <c r="K118" s="22" t="str">
        <f t="shared" si="11"/>
        <v>ELEM</v>
      </c>
      <c r="L118" s="22"/>
      <c r="M118" s="22"/>
      <c r="N118" s="22" t="str">
        <f t="shared" si="8"/>
        <v>FONTE</v>
      </c>
      <c r="O118" s="22"/>
      <c r="P118" s="22"/>
      <c r="Q118" s="22"/>
      <c r="R118" s="22"/>
      <c r="S118" s="22"/>
      <c r="T118" s="22"/>
      <c r="U118" s="25"/>
      <c r="V118" s="24"/>
      <c r="W118" s="23">
        <f t="shared" si="12"/>
        <v>0</v>
      </c>
      <c r="X118" s="22"/>
      <c r="Y118" s="22"/>
      <c r="Z118" s="22"/>
      <c r="AA118" s="22"/>
      <c r="AB118" s="22"/>
      <c r="AC118" s="22"/>
      <c r="AD118" s="22"/>
    </row>
    <row r="119" spans="1:30" s="21" customFormat="1" x14ac:dyDescent="0.25">
      <c r="A119" s="22"/>
      <c r="B119" s="22"/>
      <c r="C119" s="22"/>
      <c r="D119" s="22"/>
      <c r="E119" s="22" t="str">
        <f t="shared" si="9"/>
        <v>PROG</v>
      </c>
      <c r="F119" s="22"/>
      <c r="G119" s="22" t="str">
        <f t="shared" si="10"/>
        <v>P</v>
      </c>
      <c r="H119" s="22"/>
      <c r="I119" s="22"/>
      <c r="J119" s="22"/>
      <c r="K119" s="22" t="str">
        <f t="shared" si="11"/>
        <v>ELEM</v>
      </c>
      <c r="L119" s="22"/>
      <c r="M119" s="22"/>
      <c r="N119" s="22" t="str">
        <f t="shared" si="8"/>
        <v>FONTE</v>
      </c>
      <c r="O119" s="22"/>
      <c r="P119" s="22"/>
      <c r="Q119" s="22"/>
      <c r="R119" s="22"/>
      <c r="S119" s="22"/>
      <c r="T119" s="22"/>
      <c r="U119" s="25"/>
      <c r="V119" s="24"/>
      <c r="W119" s="23">
        <f t="shared" si="12"/>
        <v>0</v>
      </c>
      <c r="X119" s="22"/>
      <c r="Y119" s="22"/>
      <c r="Z119" s="22"/>
      <c r="AA119" s="22"/>
      <c r="AB119" s="22"/>
      <c r="AC119" s="22"/>
      <c r="AD119" s="22"/>
    </row>
    <row r="120" spans="1:30" s="21" customFormat="1" x14ac:dyDescent="0.25">
      <c r="A120" s="22"/>
      <c r="B120" s="22"/>
      <c r="C120" s="22"/>
      <c r="D120" s="22"/>
      <c r="E120" s="22" t="str">
        <f t="shared" si="9"/>
        <v>PROG</v>
      </c>
      <c r="F120" s="22"/>
      <c r="G120" s="22" t="str">
        <f t="shared" si="10"/>
        <v>P</v>
      </c>
      <c r="H120" s="22"/>
      <c r="I120" s="22"/>
      <c r="J120" s="22"/>
      <c r="K120" s="22" t="str">
        <f t="shared" si="11"/>
        <v>ELEM</v>
      </c>
      <c r="L120" s="22"/>
      <c r="M120" s="22"/>
      <c r="N120" s="22" t="str">
        <f t="shared" si="8"/>
        <v>FONTE</v>
      </c>
      <c r="O120" s="22"/>
      <c r="P120" s="22"/>
      <c r="Q120" s="22"/>
      <c r="R120" s="22"/>
      <c r="S120" s="22"/>
      <c r="T120" s="22"/>
      <c r="U120" s="25"/>
      <c r="V120" s="24"/>
      <c r="W120" s="23">
        <f t="shared" si="12"/>
        <v>0</v>
      </c>
      <c r="X120" s="22"/>
      <c r="Y120" s="22"/>
      <c r="Z120" s="22"/>
      <c r="AA120" s="22"/>
      <c r="AB120" s="22"/>
      <c r="AC120" s="22"/>
      <c r="AD120" s="22"/>
    </row>
    <row r="121" spans="1:30" s="21" customFormat="1" x14ac:dyDescent="0.25">
      <c r="A121" s="22"/>
      <c r="B121" s="22"/>
      <c r="C121" s="22"/>
      <c r="D121" s="22"/>
      <c r="E121" s="22" t="str">
        <f t="shared" si="9"/>
        <v>PROG</v>
      </c>
      <c r="F121" s="22"/>
      <c r="G121" s="22" t="str">
        <f t="shared" si="10"/>
        <v>P</v>
      </c>
      <c r="H121" s="22"/>
      <c r="I121" s="22"/>
      <c r="J121" s="22"/>
      <c r="K121" s="22" t="str">
        <f t="shared" si="11"/>
        <v>ELEM</v>
      </c>
      <c r="L121" s="22"/>
      <c r="M121" s="22"/>
      <c r="N121" s="22" t="str">
        <f t="shared" si="8"/>
        <v>FONTE</v>
      </c>
      <c r="O121" s="22"/>
      <c r="P121" s="22"/>
      <c r="Q121" s="22"/>
      <c r="R121" s="22"/>
      <c r="S121" s="22"/>
      <c r="T121" s="22"/>
      <c r="U121" s="25"/>
      <c r="V121" s="24"/>
      <c r="W121" s="23">
        <f t="shared" si="12"/>
        <v>0</v>
      </c>
      <c r="X121" s="22"/>
      <c r="Y121" s="22"/>
      <c r="Z121" s="22"/>
      <c r="AA121" s="22"/>
      <c r="AB121" s="22"/>
      <c r="AC121" s="22"/>
      <c r="AD121" s="22"/>
    </row>
    <row r="122" spans="1:30" s="21" customFormat="1" x14ac:dyDescent="0.25">
      <c r="A122" s="22"/>
      <c r="B122" s="22"/>
      <c r="C122" s="22"/>
      <c r="D122" s="22"/>
      <c r="E122" s="22" t="str">
        <f t="shared" si="9"/>
        <v>PROG</v>
      </c>
      <c r="F122" s="22"/>
      <c r="G122" s="22" t="str">
        <f t="shared" si="10"/>
        <v>P</v>
      </c>
      <c r="H122" s="22"/>
      <c r="I122" s="22"/>
      <c r="J122" s="22"/>
      <c r="K122" s="22" t="str">
        <f t="shared" si="11"/>
        <v>ELEM</v>
      </c>
      <c r="L122" s="22"/>
      <c r="M122" s="22"/>
      <c r="N122" s="22" t="str">
        <f t="shared" si="8"/>
        <v>FONTE</v>
      </c>
      <c r="O122" s="22"/>
      <c r="P122" s="22"/>
      <c r="Q122" s="22"/>
      <c r="R122" s="22"/>
      <c r="S122" s="22"/>
      <c r="T122" s="22"/>
      <c r="U122" s="25"/>
      <c r="V122" s="24"/>
      <c r="W122" s="23">
        <f t="shared" si="12"/>
        <v>0</v>
      </c>
      <c r="X122" s="22"/>
      <c r="Y122" s="22"/>
      <c r="Z122" s="22"/>
      <c r="AA122" s="22"/>
      <c r="AB122" s="22"/>
      <c r="AC122" s="22"/>
      <c r="AD122" s="22"/>
    </row>
    <row r="123" spans="1:30" s="21" customFormat="1" x14ac:dyDescent="0.25">
      <c r="A123" s="22"/>
      <c r="B123" s="22"/>
      <c r="C123" s="22"/>
      <c r="D123" s="22"/>
      <c r="E123" s="22" t="str">
        <f t="shared" si="9"/>
        <v>PROG</v>
      </c>
      <c r="F123" s="22"/>
      <c r="G123" s="22" t="str">
        <f t="shared" si="10"/>
        <v>P</v>
      </c>
      <c r="H123" s="22"/>
      <c r="I123" s="22"/>
      <c r="J123" s="22"/>
      <c r="K123" s="22" t="str">
        <f t="shared" si="11"/>
        <v>ELEM</v>
      </c>
      <c r="L123" s="22"/>
      <c r="M123" s="22"/>
      <c r="N123" s="22" t="str">
        <f t="shared" si="8"/>
        <v>FONTE</v>
      </c>
      <c r="O123" s="22"/>
      <c r="P123" s="22"/>
      <c r="Q123" s="22"/>
      <c r="R123" s="22"/>
      <c r="S123" s="22"/>
      <c r="T123" s="22"/>
      <c r="U123" s="25"/>
      <c r="V123" s="24"/>
      <c r="W123" s="23">
        <f t="shared" si="12"/>
        <v>0</v>
      </c>
      <c r="X123" s="22"/>
      <c r="Y123" s="22"/>
      <c r="Z123" s="22"/>
      <c r="AA123" s="22"/>
      <c r="AB123" s="22"/>
      <c r="AC123" s="22"/>
      <c r="AD123" s="22"/>
    </row>
    <row r="124" spans="1:30" s="21" customFormat="1" x14ac:dyDescent="0.25">
      <c r="A124" s="22"/>
      <c r="B124" s="22"/>
      <c r="C124" s="22"/>
      <c r="D124" s="22"/>
      <c r="E124" s="22" t="str">
        <f t="shared" si="9"/>
        <v>PROG</v>
      </c>
      <c r="F124" s="22"/>
      <c r="G124" s="22" t="str">
        <f t="shared" si="10"/>
        <v>P</v>
      </c>
      <c r="H124" s="22"/>
      <c r="I124" s="22"/>
      <c r="J124" s="22"/>
      <c r="K124" s="22" t="str">
        <f t="shared" si="11"/>
        <v>ELEM</v>
      </c>
      <c r="L124" s="22"/>
      <c r="M124" s="22"/>
      <c r="N124" s="22" t="str">
        <f t="shared" si="8"/>
        <v>FONTE</v>
      </c>
      <c r="O124" s="22"/>
      <c r="P124" s="22"/>
      <c r="Q124" s="22"/>
      <c r="R124" s="22"/>
      <c r="S124" s="22"/>
      <c r="T124" s="22"/>
      <c r="U124" s="25"/>
      <c r="V124" s="24"/>
      <c r="W124" s="23">
        <f t="shared" si="12"/>
        <v>0</v>
      </c>
      <c r="X124" s="22"/>
      <c r="Y124" s="22"/>
      <c r="Z124" s="22"/>
      <c r="AA124" s="22"/>
      <c r="AB124" s="22"/>
      <c r="AC124" s="22"/>
      <c r="AD124" s="22"/>
    </row>
    <row r="125" spans="1:30" s="21" customFormat="1" x14ac:dyDescent="0.25">
      <c r="A125" s="22"/>
      <c r="B125" s="22"/>
      <c r="C125" s="22"/>
      <c r="D125" s="22"/>
      <c r="E125" s="22" t="str">
        <f t="shared" si="9"/>
        <v>PROG</v>
      </c>
      <c r="F125" s="22"/>
      <c r="G125" s="22" t="str">
        <f t="shared" si="10"/>
        <v>P</v>
      </c>
      <c r="H125" s="22"/>
      <c r="I125" s="22"/>
      <c r="J125" s="22"/>
      <c r="K125" s="22" t="str">
        <f t="shared" si="11"/>
        <v>ELEM</v>
      </c>
      <c r="L125" s="22"/>
      <c r="M125" s="22"/>
      <c r="N125" s="22" t="str">
        <f t="shared" si="8"/>
        <v>FONTE</v>
      </c>
      <c r="O125" s="22"/>
      <c r="P125" s="22"/>
      <c r="Q125" s="22"/>
      <c r="R125" s="22"/>
      <c r="S125" s="22"/>
      <c r="T125" s="22"/>
      <c r="U125" s="25"/>
      <c r="V125" s="24"/>
      <c r="W125" s="23">
        <f t="shared" si="12"/>
        <v>0</v>
      </c>
      <c r="X125" s="22"/>
      <c r="Y125" s="22"/>
      <c r="Z125" s="22"/>
      <c r="AA125" s="22"/>
      <c r="AB125" s="22"/>
      <c r="AC125" s="22"/>
      <c r="AD125" s="22"/>
    </row>
    <row r="126" spans="1:30" s="21" customFormat="1" x14ac:dyDescent="0.25">
      <c r="A126" s="22"/>
      <c r="B126" s="22"/>
      <c r="C126" s="22"/>
      <c r="D126" s="22"/>
      <c r="E126" s="22" t="str">
        <f t="shared" si="9"/>
        <v>PROG</v>
      </c>
      <c r="F126" s="22"/>
      <c r="G126" s="22" t="str">
        <f t="shared" si="10"/>
        <v>P</v>
      </c>
      <c r="H126" s="22"/>
      <c r="I126" s="22"/>
      <c r="J126" s="22"/>
      <c r="K126" s="22" t="str">
        <f t="shared" si="11"/>
        <v>ELEM</v>
      </c>
      <c r="L126" s="22"/>
      <c r="M126" s="22"/>
      <c r="N126" s="22" t="str">
        <f t="shared" si="8"/>
        <v>FONTE</v>
      </c>
      <c r="O126" s="22"/>
      <c r="P126" s="22"/>
      <c r="Q126" s="22"/>
      <c r="R126" s="22"/>
      <c r="S126" s="22"/>
      <c r="T126" s="22"/>
      <c r="U126" s="25"/>
      <c r="V126" s="24"/>
      <c r="W126" s="23">
        <f t="shared" si="12"/>
        <v>0</v>
      </c>
      <c r="X126" s="22"/>
      <c r="Y126" s="22"/>
      <c r="Z126" s="22"/>
      <c r="AA126" s="22"/>
      <c r="AB126" s="22"/>
      <c r="AC126" s="22"/>
      <c r="AD126" s="22"/>
    </row>
    <row r="127" spans="1:30" s="21" customFormat="1" x14ac:dyDescent="0.25">
      <c r="A127" s="22"/>
      <c r="B127" s="22"/>
      <c r="C127" s="22"/>
      <c r="D127" s="22"/>
      <c r="E127" s="22" t="str">
        <f t="shared" si="9"/>
        <v>PROG</v>
      </c>
      <c r="F127" s="22"/>
      <c r="G127" s="22" t="str">
        <f t="shared" si="10"/>
        <v>P</v>
      </c>
      <c r="H127" s="22"/>
      <c r="I127" s="22"/>
      <c r="J127" s="22"/>
      <c r="K127" s="22" t="str">
        <f t="shared" si="11"/>
        <v>ELEM</v>
      </c>
      <c r="L127" s="22"/>
      <c r="M127" s="22"/>
      <c r="N127" s="22" t="str">
        <f t="shared" si="8"/>
        <v>FONTE</v>
      </c>
      <c r="O127" s="22"/>
      <c r="P127" s="22"/>
      <c r="Q127" s="22"/>
      <c r="R127" s="22"/>
      <c r="S127" s="22"/>
      <c r="T127" s="22"/>
      <c r="U127" s="25"/>
      <c r="V127" s="24"/>
      <c r="W127" s="23">
        <f t="shared" si="12"/>
        <v>0</v>
      </c>
      <c r="X127" s="22"/>
      <c r="Y127" s="22"/>
      <c r="Z127" s="22"/>
      <c r="AA127" s="22"/>
      <c r="AB127" s="22"/>
      <c r="AC127" s="22"/>
      <c r="AD127" s="22"/>
    </row>
    <row r="128" spans="1:30" s="21" customFormat="1" x14ac:dyDescent="0.25">
      <c r="A128" s="22"/>
      <c r="B128" s="22"/>
      <c r="C128" s="22"/>
      <c r="D128" s="22"/>
      <c r="E128" s="22" t="str">
        <f t="shared" si="9"/>
        <v>PROG</v>
      </c>
      <c r="F128" s="22"/>
      <c r="G128" s="22" t="str">
        <f t="shared" si="10"/>
        <v>P</v>
      </c>
      <c r="H128" s="22"/>
      <c r="I128" s="22"/>
      <c r="J128" s="22"/>
      <c r="K128" s="22" t="str">
        <f t="shared" si="11"/>
        <v>ELEM</v>
      </c>
      <c r="L128" s="22"/>
      <c r="M128" s="22"/>
      <c r="N128" s="22" t="str">
        <f t="shared" si="8"/>
        <v>FONTE</v>
      </c>
      <c r="O128" s="22"/>
      <c r="P128" s="22"/>
      <c r="Q128" s="22"/>
      <c r="R128" s="22"/>
      <c r="S128" s="22"/>
      <c r="T128" s="22"/>
      <c r="U128" s="25"/>
      <c r="V128" s="24"/>
      <c r="W128" s="23">
        <f t="shared" si="12"/>
        <v>0</v>
      </c>
      <c r="X128" s="22"/>
      <c r="Y128" s="22"/>
      <c r="Z128" s="22"/>
      <c r="AA128" s="22"/>
      <c r="AB128" s="22"/>
      <c r="AC128" s="22"/>
      <c r="AD128" s="22"/>
    </row>
    <row r="129" spans="1:30" s="21" customFormat="1" x14ac:dyDescent="0.25">
      <c r="A129" s="22"/>
      <c r="B129" s="22"/>
      <c r="C129" s="22"/>
      <c r="D129" s="22"/>
      <c r="E129" s="22" t="str">
        <f t="shared" si="9"/>
        <v>PROG</v>
      </c>
      <c r="F129" s="22"/>
      <c r="G129" s="22" t="str">
        <f t="shared" si="10"/>
        <v>P</v>
      </c>
      <c r="H129" s="22"/>
      <c r="I129" s="22"/>
      <c r="J129" s="22"/>
      <c r="K129" s="22" t="str">
        <f t="shared" si="11"/>
        <v>ELEM</v>
      </c>
      <c r="L129" s="22"/>
      <c r="M129" s="22"/>
      <c r="N129" s="22" t="str">
        <f t="shared" si="8"/>
        <v>FONTE</v>
      </c>
      <c r="O129" s="22"/>
      <c r="P129" s="22"/>
      <c r="Q129" s="22"/>
      <c r="R129" s="22"/>
      <c r="S129" s="22"/>
      <c r="T129" s="22"/>
      <c r="U129" s="25"/>
      <c r="V129" s="24"/>
      <c r="W129" s="23">
        <f t="shared" si="12"/>
        <v>0</v>
      </c>
      <c r="X129" s="22"/>
      <c r="Y129" s="22"/>
      <c r="Z129" s="22"/>
      <c r="AA129" s="22"/>
      <c r="AB129" s="22"/>
      <c r="AC129" s="22"/>
      <c r="AD129" s="22"/>
    </row>
    <row r="130" spans="1:30" s="21" customFormat="1" x14ac:dyDescent="0.25">
      <c r="A130" s="22"/>
      <c r="B130" s="22"/>
      <c r="C130" s="22"/>
      <c r="D130" s="22"/>
      <c r="E130" s="22" t="str">
        <f t="shared" si="9"/>
        <v>PROG</v>
      </c>
      <c r="F130" s="22"/>
      <c r="G130" s="22" t="str">
        <f t="shared" si="10"/>
        <v>P</v>
      </c>
      <c r="H130" s="22"/>
      <c r="I130" s="22"/>
      <c r="J130" s="22"/>
      <c r="K130" s="22" t="str">
        <f t="shared" si="11"/>
        <v>ELEM</v>
      </c>
      <c r="L130" s="22"/>
      <c r="M130" s="22"/>
      <c r="N130" s="22" t="str">
        <f t="shared" si="8"/>
        <v>FONTE</v>
      </c>
      <c r="O130" s="22"/>
      <c r="P130" s="22"/>
      <c r="Q130" s="22"/>
      <c r="R130" s="22"/>
      <c r="S130" s="22"/>
      <c r="T130" s="22"/>
      <c r="U130" s="25"/>
      <c r="V130" s="24"/>
      <c r="W130" s="23">
        <f t="shared" si="12"/>
        <v>0</v>
      </c>
      <c r="X130" s="22"/>
      <c r="Y130" s="22"/>
      <c r="Z130" s="22"/>
      <c r="AA130" s="22"/>
      <c r="AB130" s="22"/>
      <c r="AC130" s="22"/>
      <c r="AD130" s="22"/>
    </row>
    <row r="131" spans="1:30" s="21" customFormat="1" x14ac:dyDescent="0.25">
      <c r="A131" s="22"/>
      <c r="B131" s="22"/>
      <c r="C131" s="22"/>
      <c r="D131" s="22"/>
      <c r="E131" s="22" t="str">
        <f t="shared" si="9"/>
        <v>PROG</v>
      </c>
      <c r="F131" s="22"/>
      <c r="G131" s="22" t="str">
        <f t="shared" si="10"/>
        <v>P</v>
      </c>
      <c r="H131" s="22"/>
      <c r="I131" s="22"/>
      <c r="J131" s="22"/>
      <c r="K131" s="22" t="str">
        <f t="shared" si="11"/>
        <v>ELEM</v>
      </c>
      <c r="L131" s="22"/>
      <c r="M131" s="22"/>
      <c r="N131" s="22" t="str">
        <f t="shared" si="8"/>
        <v>FONTE</v>
      </c>
      <c r="O131" s="22"/>
      <c r="P131" s="22"/>
      <c r="Q131" s="22"/>
      <c r="R131" s="22"/>
      <c r="S131" s="22"/>
      <c r="T131" s="22"/>
      <c r="U131" s="25"/>
      <c r="V131" s="24"/>
      <c r="W131" s="23">
        <f t="shared" si="12"/>
        <v>0</v>
      </c>
      <c r="X131" s="22"/>
      <c r="Y131" s="22"/>
      <c r="Z131" s="22"/>
      <c r="AA131" s="22"/>
      <c r="AB131" s="22"/>
      <c r="AC131" s="22"/>
      <c r="AD131" s="22"/>
    </row>
    <row r="132" spans="1:30" s="21" customFormat="1" x14ac:dyDescent="0.25">
      <c r="A132" s="22"/>
      <c r="B132" s="22"/>
      <c r="C132" s="22"/>
      <c r="D132" s="22"/>
      <c r="E132" s="22" t="str">
        <f t="shared" si="9"/>
        <v>PROG</v>
      </c>
      <c r="F132" s="22"/>
      <c r="G132" s="22" t="str">
        <f t="shared" si="10"/>
        <v>P</v>
      </c>
      <c r="H132" s="22"/>
      <c r="I132" s="22"/>
      <c r="J132" s="22"/>
      <c r="K132" s="22" t="str">
        <f t="shared" si="11"/>
        <v>ELEM</v>
      </c>
      <c r="L132" s="22"/>
      <c r="M132" s="22"/>
      <c r="N132" s="22" t="str">
        <f t="shared" si="8"/>
        <v>FONTE</v>
      </c>
      <c r="O132" s="22"/>
      <c r="P132" s="22"/>
      <c r="Q132" s="22"/>
      <c r="R132" s="22"/>
      <c r="S132" s="22"/>
      <c r="T132" s="22"/>
      <c r="U132" s="25"/>
      <c r="V132" s="24"/>
      <c r="W132" s="23">
        <f t="shared" si="12"/>
        <v>0</v>
      </c>
      <c r="X132" s="22"/>
      <c r="Y132" s="22"/>
      <c r="Z132" s="22"/>
      <c r="AA132" s="22"/>
      <c r="AB132" s="22"/>
      <c r="AC132" s="22"/>
      <c r="AD132" s="22"/>
    </row>
    <row r="133" spans="1:30" s="21" customFormat="1" x14ac:dyDescent="0.25">
      <c r="A133" s="22"/>
      <c r="B133" s="22"/>
      <c r="C133" s="22"/>
      <c r="D133" s="22"/>
      <c r="E133" s="22" t="str">
        <f t="shared" si="9"/>
        <v>PROG</v>
      </c>
      <c r="F133" s="22"/>
      <c r="G133" s="22" t="str">
        <f t="shared" si="10"/>
        <v>P</v>
      </c>
      <c r="H133" s="22"/>
      <c r="I133" s="22"/>
      <c r="J133" s="22"/>
      <c r="K133" s="22" t="str">
        <f t="shared" si="11"/>
        <v>ELEM</v>
      </c>
      <c r="L133" s="22"/>
      <c r="M133" s="22"/>
      <c r="N133" s="22" t="str">
        <f t="shared" si="8"/>
        <v>FONTE</v>
      </c>
      <c r="O133" s="22"/>
      <c r="P133" s="22"/>
      <c r="Q133" s="22"/>
      <c r="R133" s="22"/>
      <c r="S133" s="22"/>
      <c r="T133" s="22"/>
      <c r="U133" s="25"/>
      <c r="V133" s="24"/>
      <c r="W133" s="23">
        <f t="shared" si="12"/>
        <v>0</v>
      </c>
      <c r="X133" s="22"/>
      <c r="Y133" s="22"/>
      <c r="Z133" s="22"/>
      <c r="AA133" s="22"/>
      <c r="AB133" s="22"/>
      <c r="AC133" s="22"/>
      <c r="AD133" s="22"/>
    </row>
    <row r="134" spans="1:30" s="21" customFormat="1" x14ac:dyDescent="0.25">
      <c r="A134" s="22"/>
      <c r="B134" s="22"/>
      <c r="C134" s="22"/>
      <c r="D134" s="22"/>
      <c r="E134" s="22" t="str">
        <f t="shared" si="9"/>
        <v>PROG</v>
      </c>
      <c r="F134" s="22"/>
      <c r="G134" s="22" t="str">
        <f t="shared" si="10"/>
        <v>P</v>
      </c>
      <c r="H134" s="22"/>
      <c r="I134" s="22"/>
      <c r="J134" s="22"/>
      <c r="K134" s="22" t="str">
        <f t="shared" si="11"/>
        <v>ELEM</v>
      </c>
      <c r="L134" s="22"/>
      <c r="M134" s="22"/>
      <c r="N134" s="22" t="str">
        <f t="shared" si="8"/>
        <v>FONTE</v>
      </c>
      <c r="O134" s="22"/>
      <c r="P134" s="22"/>
      <c r="Q134" s="22"/>
      <c r="R134" s="22"/>
      <c r="S134" s="22"/>
      <c r="T134" s="22"/>
      <c r="U134" s="25"/>
      <c r="V134" s="24"/>
      <c r="W134" s="23">
        <f t="shared" si="12"/>
        <v>0</v>
      </c>
      <c r="X134" s="22"/>
      <c r="Y134" s="22"/>
      <c r="Z134" s="22"/>
      <c r="AA134" s="22"/>
      <c r="AB134" s="22"/>
      <c r="AC134" s="22"/>
      <c r="AD134" s="22"/>
    </row>
    <row r="135" spans="1:30" s="21" customFormat="1" x14ac:dyDescent="0.25">
      <c r="A135" s="22"/>
      <c r="B135" s="22"/>
      <c r="C135" s="22"/>
      <c r="D135" s="22"/>
      <c r="E135" s="22" t="str">
        <f t="shared" si="9"/>
        <v>PROG</v>
      </c>
      <c r="F135" s="22"/>
      <c r="G135" s="22" t="str">
        <f t="shared" si="10"/>
        <v>P</v>
      </c>
      <c r="H135" s="22"/>
      <c r="I135" s="22"/>
      <c r="J135" s="22"/>
      <c r="K135" s="22" t="str">
        <f t="shared" si="11"/>
        <v>ELEM</v>
      </c>
      <c r="L135" s="22"/>
      <c r="M135" s="22"/>
      <c r="N135" s="22" t="str">
        <f t="shared" si="8"/>
        <v>FONTE</v>
      </c>
      <c r="O135" s="22"/>
      <c r="P135" s="22"/>
      <c r="Q135" s="22"/>
      <c r="R135" s="22"/>
      <c r="S135" s="22"/>
      <c r="T135" s="22"/>
      <c r="U135" s="25"/>
      <c r="V135" s="24"/>
      <c r="W135" s="23">
        <f t="shared" si="12"/>
        <v>0</v>
      </c>
      <c r="X135" s="22"/>
      <c r="Y135" s="22"/>
      <c r="Z135" s="22"/>
      <c r="AA135" s="22"/>
      <c r="AB135" s="22"/>
      <c r="AC135" s="22"/>
      <c r="AD135" s="22"/>
    </row>
    <row r="136" spans="1:30" s="21" customFormat="1" x14ac:dyDescent="0.25">
      <c r="A136" s="22"/>
      <c r="B136" s="22"/>
      <c r="C136" s="22"/>
      <c r="D136" s="22"/>
      <c r="E136" s="22" t="str">
        <f t="shared" si="9"/>
        <v>PROG</v>
      </c>
      <c r="F136" s="22"/>
      <c r="G136" s="22" t="str">
        <f t="shared" si="10"/>
        <v>P</v>
      </c>
      <c r="H136" s="22"/>
      <c r="I136" s="22"/>
      <c r="J136" s="22"/>
      <c r="K136" s="22" t="str">
        <f t="shared" si="11"/>
        <v>ELEM</v>
      </c>
      <c r="L136" s="22"/>
      <c r="M136" s="22"/>
      <c r="N136" s="22" t="str">
        <f t="shared" si="8"/>
        <v>FONTE</v>
      </c>
      <c r="O136" s="22"/>
      <c r="P136" s="22"/>
      <c r="Q136" s="22"/>
      <c r="R136" s="22"/>
      <c r="S136" s="22"/>
      <c r="T136" s="22"/>
      <c r="U136" s="25"/>
      <c r="V136" s="24"/>
      <c r="W136" s="23">
        <f t="shared" si="12"/>
        <v>0</v>
      </c>
      <c r="X136" s="22"/>
      <c r="Y136" s="22"/>
      <c r="Z136" s="22"/>
      <c r="AA136" s="22"/>
      <c r="AB136" s="22"/>
      <c r="AC136" s="22"/>
      <c r="AD136" s="22"/>
    </row>
    <row r="137" spans="1:30" s="21" customFormat="1" x14ac:dyDescent="0.25">
      <c r="A137" s="22"/>
      <c r="B137" s="22"/>
      <c r="C137" s="22"/>
      <c r="D137" s="22"/>
      <c r="E137" s="22" t="str">
        <f t="shared" si="9"/>
        <v>PROG</v>
      </c>
      <c r="F137" s="22"/>
      <c r="G137" s="22" t="str">
        <f t="shared" si="10"/>
        <v>P</v>
      </c>
      <c r="H137" s="22"/>
      <c r="I137" s="22"/>
      <c r="J137" s="22"/>
      <c r="K137" s="22" t="str">
        <f t="shared" si="11"/>
        <v>ELEM</v>
      </c>
      <c r="L137" s="22"/>
      <c r="M137" s="22"/>
      <c r="N137" s="22" t="str">
        <f t="shared" si="8"/>
        <v>FONTE</v>
      </c>
      <c r="O137" s="22"/>
      <c r="P137" s="22"/>
      <c r="Q137" s="22"/>
      <c r="R137" s="22"/>
      <c r="S137" s="22"/>
      <c r="T137" s="22"/>
      <c r="U137" s="25"/>
      <c r="V137" s="24"/>
      <c r="W137" s="23">
        <f t="shared" si="12"/>
        <v>0</v>
      </c>
      <c r="X137" s="22"/>
      <c r="Y137" s="22"/>
      <c r="Z137" s="22"/>
      <c r="AA137" s="22"/>
      <c r="AB137" s="22"/>
      <c r="AC137" s="22"/>
      <c r="AD137" s="22"/>
    </row>
    <row r="138" spans="1:30" s="21" customFormat="1" x14ac:dyDescent="0.25">
      <c r="A138" s="22"/>
      <c r="B138" s="22"/>
      <c r="C138" s="22"/>
      <c r="D138" s="22"/>
      <c r="E138" s="22" t="str">
        <f t="shared" si="9"/>
        <v>PROG</v>
      </c>
      <c r="F138" s="22"/>
      <c r="G138" s="22" t="str">
        <f t="shared" si="10"/>
        <v>P</v>
      </c>
      <c r="H138" s="22"/>
      <c r="I138" s="22"/>
      <c r="J138" s="22"/>
      <c r="K138" s="22" t="str">
        <f t="shared" si="11"/>
        <v>ELEM</v>
      </c>
      <c r="L138" s="22"/>
      <c r="M138" s="22"/>
      <c r="N138" s="22" t="str">
        <f t="shared" si="8"/>
        <v>FONTE</v>
      </c>
      <c r="O138" s="22"/>
      <c r="P138" s="22"/>
      <c r="Q138" s="22"/>
      <c r="R138" s="22"/>
      <c r="S138" s="22"/>
      <c r="T138" s="22"/>
      <c r="U138" s="25"/>
      <c r="V138" s="24"/>
      <c r="W138" s="23">
        <f t="shared" si="12"/>
        <v>0</v>
      </c>
      <c r="X138" s="22"/>
      <c r="Y138" s="22"/>
      <c r="Z138" s="22"/>
      <c r="AA138" s="22"/>
      <c r="AB138" s="22"/>
      <c r="AC138" s="22"/>
      <c r="AD138" s="22"/>
    </row>
    <row r="139" spans="1:30" s="21" customFormat="1" x14ac:dyDescent="0.25">
      <c r="A139" s="22"/>
      <c r="B139" s="22"/>
      <c r="C139" s="22"/>
      <c r="D139" s="22"/>
      <c r="E139" s="22" t="str">
        <f t="shared" si="9"/>
        <v>PROG</v>
      </c>
      <c r="F139" s="22"/>
      <c r="G139" s="22" t="str">
        <f t="shared" si="10"/>
        <v>P</v>
      </c>
      <c r="H139" s="22"/>
      <c r="I139" s="22"/>
      <c r="J139" s="22"/>
      <c r="K139" s="22" t="str">
        <f t="shared" si="11"/>
        <v>ELEM</v>
      </c>
      <c r="L139" s="22"/>
      <c r="M139" s="22"/>
      <c r="N139" s="22" t="str">
        <f t="shared" si="8"/>
        <v>FONTE</v>
      </c>
      <c r="O139" s="22"/>
      <c r="P139" s="22"/>
      <c r="Q139" s="22"/>
      <c r="R139" s="22"/>
      <c r="S139" s="22"/>
      <c r="T139" s="22"/>
      <c r="U139" s="25"/>
      <c r="V139" s="24"/>
      <c r="W139" s="23">
        <f t="shared" si="12"/>
        <v>0</v>
      </c>
      <c r="X139" s="22"/>
      <c r="Y139" s="22"/>
      <c r="Z139" s="22"/>
      <c r="AA139" s="22"/>
      <c r="AB139" s="22"/>
      <c r="AC139" s="22"/>
      <c r="AD139" s="22"/>
    </row>
    <row r="140" spans="1:30" s="21" customFormat="1" x14ac:dyDescent="0.25">
      <c r="A140" s="22"/>
      <c r="B140" s="22"/>
      <c r="C140" s="22"/>
      <c r="D140" s="22"/>
      <c r="E140" s="22" t="str">
        <f t="shared" si="9"/>
        <v>PROG</v>
      </c>
      <c r="F140" s="22"/>
      <c r="G140" s="22" t="str">
        <f t="shared" si="10"/>
        <v>P</v>
      </c>
      <c r="H140" s="22"/>
      <c r="I140" s="22"/>
      <c r="J140" s="22"/>
      <c r="K140" s="22" t="str">
        <f t="shared" si="11"/>
        <v>ELEM</v>
      </c>
      <c r="L140" s="22"/>
      <c r="M140" s="22"/>
      <c r="N140" s="22" t="str">
        <f t="shared" si="8"/>
        <v>FONTE</v>
      </c>
      <c r="O140" s="22"/>
      <c r="P140" s="22"/>
      <c r="Q140" s="22"/>
      <c r="R140" s="22"/>
      <c r="S140" s="22"/>
      <c r="T140" s="22"/>
      <c r="U140" s="25"/>
      <c r="V140" s="24"/>
      <c r="W140" s="23">
        <f t="shared" si="12"/>
        <v>0</v>
      </c>
      <c r="X140" s="22"/>
      <c r="Y140" s="22"/>
      <c r="Z140" s="22"/>
      <c r="AA140" s="22"/>
      <c r="AB140" s="22"/>
      <c r="AC140" s="22"/>
      <c r="AD140" s="22"/>
    </row>
    <row r="141" spans="1:30" s="21" customFormat="1" x14ac:dyDescent="0.25">
      <c r="A141" s="22"/>
      <c r="B141" s="22"/>
      <c r="C141" s="22"/>
      <c r="D141" s="22"/>
      <c r="E141" s="22" t="str">
        <f t="shared" si="9"/>
        <v>PROG</v>
      </c>
      <c r="F141" s="22"/>
      <c r="G141" s="22" t="str">
        <f t="shared" si="10"/>
        <v>P</v>
      </c>
      <c r="H141" s="22"/>
      <c r="I141" s="22"/>
      <c r="J141" s="22"/>
      <c r="K141" s="22" t="str">
        <f t="shared" si="11"/>
        <v>ELEM</v>
      </c>
      <c r="L141" s="22"/>
      <c r="M141" s="22"/>
      <c r="N141" s="22" t="str">
        <f t="shared" si="8"/>
        <v>FONTE</v>
      </c>
      <c r="O141" s="22"/>
      <c r="P141" s="22"/>
      <c r="Q141" s="22"/>
      <c r="R141" s="22"/>
      <c r="S141" s="22"/>
      <c r="T141" s="22"/>
      <c r="U141" s="25"/>
      <c r="V141" s="24"/>
      <c r="W141" s="23">
        <f t="shared" si="12"/>
        <v>0</v>
      </c>
      <c r="X141" s="22"/>
      <c r="Y141" s="22"/>
      <c r="Z141" s="22"/>
      <c r="AA141" s="22"/>
      <c r="AB141" s="22"/>
      <c r="AC141" s="22"/>
      <c r="AD141" s="22"/>
    </row>
    <row r="142" spans="1:30" s="21" customFormat="1" x14ac:dyDescent="0.25">
      <c r="A142" s="22"/>
      <c r="B142" s="22"/>
      <c r="C142" s="22"/>
      <c r="D142" s="22"/>
      <c r="E142" s="22" t="str">
        <f t="shared" si="9"/>
        <v>PROG</v>
      </c>
      <c r="F142" s="22"/>
      <c r="G142" s="22" t="str">
        <f t="shared" si="10"/>
        <v>P</v>
      </c>
      <c r="H142" s="22"/>
      <c r="I142" s="22"/>
      <c r="J142" s="22"/>
      <c r="K142" s="22" t="str">
        <f t="shared" si="11"/>
        <v>ELEM</v>
      </c>
      <c r="L142" s="22"/>
      <c r="M142" s="22"/>
      <c r="N142" s="22" t="str">
        <f t="shared" si="8"/>
        <v>FONTE</v>
      </c>
      <c r="O142" s="22"/>
      <c r="P142" s="22"/>
      <c r="Q142" s="22"/>
      <c r="R142" s="22"/>
      <c r="S142" s="22"/>
      <c r="T142" s="22"/>
      <c r="U142" s="25"/>
      <c r="V142" s="24"/>
      <c r="W142" s="23">
        <f t="shared" si="12"/>
        <v>0</v>
      </c>
      <c r="X142" s="22"/>
      <c r="Y142" s="22"/>
      <c r="Z142" s="22"/>
      <c r="AA142" s="22"/>
      <c r="AB142" s="22"/>
      <c r="AC142" s="22"/>
      <c r="AD142" s="22"/>
    </row>
    <row r="143" spans="1:30" s="21" customFormat="1" x14ac:dyDescent="0.25">
      <c r="A143" s="22"/>
      <c r="B143" s="22"/>
      <c r="C143" s="22"/>
      <c r="D143" s="22"/>
      <c r="E143" s="22" t="str">
        <f t="shared" si="9"/>
        <v>PROG</v>
      </c>
      <c r="F143" s="22"/>
      <c r="G143" s="22" t="str">
        <f t="shared" si="10"/>
        <v>P</v>
      </c>
      <c r="H143" s="22"/>
      <c r="I143" s="22"/>
      <c r="J143" s="22"/>
      <c r="K143" s="22" t="str">
        <f t="shared" si="11"/>
        <v>ELEM</v>
      </c>
      <c r="L143" s="22"/>
      <c r="M143" s="22"/>
      <c r="N143" s="22" t="str">
        <f t="shared" si="8"/>
        <v>FONTE</v>
      </c>
      <c r="O143" s="22"/>
      <c r="P143" s="22"/>
      <c r="Q143" s="22"/>
      <c r="R143" s="22"/>
      <c r="S143" s="22"/>
      <c r="T143" s="22"/>
      <c r="U143" s="25"/>
      <c r="V143" s="24"/>
      <c r="W143" s="23">
        <f t="shared" si="12"/>
        <v>0</v>
      </c>
      <c r="X143" s="22"/>
      <c r="Y143" s="22"/>
      <c r="Z143" s="22"/>
      <c r="AA143" s="22"/>
      <c r="AB143" s="22"/>
      <c r="AC143" s="22"/>
      <c r="AD143" s="22"/>
    </row>
    <row r="144" spans="1:30" s="21" customFormat="1" x14ac:dyDescent="0.25">
      <c r="A144" s="22"/>
      <c r="B144" s="22"/>
      <c r="C144" s="22"/>
      <c r="D144" s="22"/>
      <c r="E144" s="22" t="str">
        <f t="shared" si="9"/>
        <v>PROG</v>
      </c>
      <c r="F144" s="22"/>
      <c r="G144" s="22" t="str">
        <f t="shared" si="10"/>
        <v>P</v>
      </c>
      <c r="H144" s="22"/>
      <c r="I144" s="22"/>
      <c r="J144" s="22"/>
      <c r="K144" s="22" t="str">
        <f t="shared" si="11"/>
        <v>ELEM</v>
      </c>
      <c r="L144" s="22"/>
      <c r="M144" s="22"/>
      <c r="N144" s="22" t="str">
        <f t="shared" ref="N144:N207" si="13">CONCATENATE("FONTE",A144)</f>
        <v>FONTE</v>
      </c>
      <c r="O144" s="22"/>
      <c r="P144" s="22"/>
      <c r="Q144" s="22"/>
      <c r="R144" s="22"/>
      <c r="S144" s="22"/>
      <c r="T144" s="22"/>
      <c r="U144" s="25"/>
      <c r="V144" s="24"/>
      <c r="W144" s="23">
        <f t="shared" si="12"/>
        <v>0</v>
      </c>
      <c r="X144" s="22"/>
      <c r="Y144" s="22"/>
      <c r="Z144" s="22"/>
      <c r="AA144" s="22"/>
      <c r="AB144" s="22"/>
      <c r="AC144" s="22"/>
      <c r="AD144" s="22"/>
    </row>
    <row r="145" spans="1:30" s="21" customFormat="1" x14ac:dyDescent="0.25">
      <c r="A145" s="22"/>
      <c r="B145" s="22"/>
      <c r="C145" s="22"/>
      <c r="D145" s="22"/>
      <c r="E145" s="22" t="str">
        <f t="shared" ref="E145:E208" si="14">CONCATENATE(A145,"PROG")</f>
        <v>PROG</v>
      </c>
      <c r="F145" s="22"/>
      <c r="G145" s="22" t="str">
        <f t="shared" ref="G145:G208" si="15">CONCATENATE("P",(LEFT(F145,3)),A145)</f>
        <v>P</v>
      </c>
      <c r="H145" s="22"/>
      <c r="I145" s="22"/>
      <c r="J145" s="22"/>
      <c r="K145" s="22" t="str">
        <f t="shared" ref="K145:K208" si="16">CONCATENATE("ELEM",LEFT(J145,2))</f>
        <v>ELEM</v>
      </c>
      <c r="L145" s="22"/>
      <c r="M145" s="22"/>
      <c r="N145" s="22" t="str">
        <f t="shared" si="13"/>
        <v>FONTE</v>
      </c>
      <c r="O145" s="22"/>
      <c r="P145" s="22"/>
      <c r="Q145" s="22"/>
      <c r="R145" s="22"/>
      <c r="S145" s="22"/>
      <c r="T145" s="22"/>
      <c r="U145" s="25"/>
      <c r="V145" s="24"/>
      <c r="W145" s="23">
        <f t="shared" ref="W145:W208" si="17">S145*U145*V145</f>
        <v>0</v>
      </c>
      <c r="X145" s="22"/>
      <c r="Y145" s="22"/>
      <c r="Z145" s="22"/>
      <c r="AA145" s="22"/>
      <c r="AB145" s="22"/>
      <c r="AC145" s="22"/>
      <c r="AD145" s="22"/>
    </row>
    <row r="146" spans="1:30" s="21" customFormat="1" x14ac:dyDescent="0.25">
      <c r="A146" s="22"/>
      <c r="B146" s="22"/>
      <c r="C146" s="22"/>
      <c r="D146" s="22"/>
      <c r="E146" s="22" t="str">
        <f t="shared" si="14"/>
        <v>PROG</v>
      </c>
      <c r="F146" s="22"/>
      <c r="G146" s="22" t="str">
        <f t="shared" si="15"/>
        <v>P</v>
      </c>
      <c r="H146" s="22"/>
      <c r="I146" s="22"/>
      <c r="J146" s="22"/>
      <c r="K146" s="22" t="str">
        <f t="shared" si="16"/>
        <v>ELEM</v>
      </c>
      <c r="L146" s="22"/>
      <c r="M146" s="22"/>
      <c r="N146" s="22" t="str">
        <f t="shared" si="13"/>
        <v>FONTE</v>
      </c>
      <c r="O146" s="22"/>
      <c r="P146" s="22"/>
      <c r="Q146" s="22"/>
      <c r="R146" s="22"/>
      <c r="S146" s="22"/>
      <c r="T146" s="22"/>
      <c r="U146" s="25"/>
      <c r="V146" s="24"/>
      <c r="W146" s="23">
        <f t="shared" si="17"/>
        <v>0</v>
      </c>
      <c r="X146" s="22"/>
      <c r="Y146" s="22"/>
      <c r="Z146" s="22"/>
      <c r="AA146" s="22"/>
      <c r="AB146" s="22"/>
      <c r="AC146" s="22"/>
      <c r="AD146" s="22"/>
    </row>
    <row r="147" spans="1:30" s="21" customFormat="1" x14ac:dyDescent="0.25">
      <c r="A147" s="22"/>
      <c r="B147" s="22"/>
      <c r="C147" s="22"/>
      <c r="D147" s="22"/>
      <c r="E147" s="22" t="str">
        <f t="shared" si="14"/>
        <v>PROG</v>
      </c>
      <c r="F147" s="22"/>
      <c r="G147" s="22" t="str">
        <f t="shared" si="15"/>
        <v>P</v>
      </c>
      <c r="H147" s="22"/>
      <c r="I147" s="22"/>
      <c r="J147" s="22"/>
      <c r="K147" s="22" t="str">
        <f t="shared" si="16"/>
        <v>ELEM</v>
      </c>
      <c r="L147" s="22"/>
      <c r="M147" s="22"/>
      <c r="N147" s="22" t="str">
        <f t="shared" si="13"/>
        <v>FONTE</v>
      </c>
      <c r="O147" s="22"/>
      <c r="P147" s="22"/>
      <c r="Q147" s="22"/>
      <c r="R147" s="22"/>
      <c r="S147" s="22"/>
      <c r="T147" s="22"/>
      <c r="U147" s="25"/>
      <c r="V147" s="24"/>
      <c r="W147" s="23">
        <f t="shared" si="17"/>
        <v>0</v>
      </c>
      <c r="X147" s="22"/>
      <c r="Y147" s="22"/>
      <c r="Z147" s="22"/>
      <c r="AA147" s="22"/>
      <c r="AB147" s="22"/>
      <c r="AC147" s="22"/>
      <c r="AD147" s="22"/>
    </row>
    <row r="148" spans="1:30" s="21" customFormat="1" x14ac:dyDescent="0.25">
      <c r="A148" s="22"/>
      <c r="B148" s="22"/>
      <c r="C148" s="22"/>
      <c r="D148" s="22"/>
      <c r="E148" s="22" t="str">
        <f t="shared" si="14"/>
        <v>PROG</v>
      </c>
      <c r="F148" s="22"/>
      <c r="G148" s="22" t="str">
        <f t="shared" si="15"/>
        <v>P</v>
      </c>
      <c r="H148" s="22"/>
      <c r="I148" s="22"/>
      <c r="J148" s="22"/>
      <c r="K148" s="22" t="str">
        <f t="shared" si="16"/>
        <v>ELEM</v>
      </c>
      <c r="L148" s="22"/>
      <c r="M148" s="22"/>
      <c r="N148" s="22" t="str">
        <f t="shared" si="13"/>
        <v>FONTE</v>
      </c>
      <c r="O148" s="22"/>
      <c r="P148" s="22"/>
      <c r="Q148" s="22"/>
      <c r="R148" s="22"/>
      <c r="S148" s="22"/>
      <c r="T148" s="22"/>
      <c r="U148" s="25"/>
      <c r="V148" s="24"/>
      <c r="W148" s="23">
        <f t="shared" si="17"/>
        <v>0</v>
      </c>
      <c r="X148" s="22"/>
      <c r="Y148" s="22"/>
      <c r="Z148" s="22"/>
      <c r="AA148" s="22"/>
      <c r="AB148" s="22"/>
      <c r="AC148" s="22"/>
      <c r="AD148" s="22"/>
    </row>
    <row r="149" spans="1:30" s="21" customFormat="1" x14ac:dyDescent="0.25">
      <c r="A149" s="22"/>
      <c r="B149" s="22"/>
      <c r="C149" s="22"/>
      <c r="D149" s="22"/>
      <c r="E149" s="22" t="str">
        <f t="shared" si="14"/>
        <v>PROG</v>
      </c>
      <c r="F149" s="22"/>
      <c r="G149" s="22" t="str">
        <f t="shared" si="15"/>
        <v>P</v>
      </c>
      <c r="H149" s="22"/>
      <c r="I149" s="22"/>
      <c r="J149" s="22"/>
      <c r="K149" s="22" t="str">
        <f t="shared" si="16"/>
        <v>ELEM</v>
      </c>
      <c r="L149" s="22"/>
      <c r="M149" s="22"/>
      <c r="N149" s="22" t="str">
        <f t="shared" si="13"/>
        <v>FONTE</v>
      </c>
      <c r="O149" s="22"/>
      <c r="P149" s="22"/>
      <c r="Q149" s="22"/>
      <c r="R149" s="22"/>
      <c r="S149" s="22"/>
      <c r="T149" s="22"/>
      <c r="U149" s="25"/>
      <c r="V149" s="24"/>
      <c r="W149" s="23">
        <f t="shared" si="17"/>
        <v>0</v>
      </c>
      <c r="X149" s="22"/>
      <c r="Y149" s="22"/>
      <c r="Z149" s="22"/>
      <c r="AA149" s="22"/>
      <c r="AB149" s="22"/>
      <c r="AC149" s="22"/>
      <c r="AD149" s="22"/>
    </row>
    <row r="150" spans="1:30" s="21" customFormat="1" x14ac:dyDescent="0.25">
      <c r="A150" s="22"/>
      <c r="B150" s="22"/>
      <c r="C150" s="22"/>
      <c r="D150" s="22"/>
      <c r="E150" s="22" t="str">
        <f t="shared" si="14"/>
        <v>PROG</v>
      </c>
      <c r="F150" s="22"/>
      <c r="G150" s="22" t="str">
        <f t="shared" si="15"/>
        <v>P</v>
      </c>
      <c r="H150" s="22"/>
      <c r="I150" s="22"/>
      <c r="J150" s="22"/>
      <c r="K150" s="22" t="str">
        <f t="shared" si="16"/>
        <v>ELEM</v>
      </c>
      <c r="L150" s="22"/>
      <c r="M150" s="22"/>
      <c r="N150" s="22" t="str">
        <f t="shared" si="13"/>
        <v>FONTE</v>
      </c>
      <c r="O150" s="22"/>
      <c r="P150" s="22"/>
      <c r="Q150" s="22"/>
      <c r="R150" s="22"/>
      <c r="S150" s="22"/>
      <c r="T150" s="22"/>
      <c r="U150" s="25"/>
      <c r="V150" s="24"/>
      <c r="W150" s="23">
        <f t="shared" si="17"/>
        <v>0</v>
      </c>
      <c r="X150" s="22"/>
      <c r="Y150" s="22"/>
      <c r="Z150" s="22"/>
      <c r="AA150" s="22"/>
      <c r="AB150" s="22"/>
      <c r="AC150" s="22"/>
      <c r="AD150" s="22"/>
    </row>
    <row r="151" spans="1:30" s="21" customFormat="1" x14ac:dyDescent="0.25">
      <c r="A151" s="22"/>
      <c r="B151" s="22"/>
      <c r="C151" s="22"/>
      <c r="D151" s="22"/>
      <c r="E151" s="22" t="str">
        <f t="shared" si="14"/>
        <v>PROG</v>
      </c>
      <c r="F151" s="22"/>
      <c r="G151" s="22" t="str">
        <f t="shared" si="15"/>
        <v>P</v>
      </c>
      <c r="H151" s="22"/>
      <c r="I151" s="22"/>
      <c r="J151" s="22"/>
      <c r="K151" s="22" t="str">
        <f t="shared" si="16"/>
        <v>ELEM</v>
      </c>
      <c r="L151" s="22"/>
      <c r="M151" s="22"/>
      <c r="N151" s="22" t="str">
        <f t="shared" si="13"/>
        <v>FONTE</v>
      </c>
      <c r="O151" s="22"/>
      <c r="P151" s="22"/>
      <c r="Q151" s="22"/>
      <c r="R151" s="22"/>
      <c r="S151" s="22"/>
      <c r="T151" s="22"/>
      <c r="U151" s="25"/>
      <c r="V151" s="24"/>
      <c r="W151" s="23">
        <f t="shared" si="17"/>
        <v>0</v>
      </c>
      <c r="X151" s="22"/>
      <c r="Y151" s="22"/>
      <c r="Z151" s="22"/>
      <c r="AA151" s="22"/>
      <c r="AB151" s="22"/>
      <c r="AC151" s="22"/>
      <c r="AD151" s="22"/>
    </row>
    <row r="152" spans="1:30" s="21" customFormat="1" x14ac:dyDescent="0.25">
      <c r="A152" s="22"/>
      <c r="B152" s="22"/>
      <c r="C152" s="22"/>
      <c r="D152" s="22"/>
      <c r="E152" s="22" t="str">
        <f t="shared" si="14"/>
        <v>PROG</v>
      </c>
      <c r="F152" s="22"/>
      <c r="G152" s="22" t="str">
        <f t="shared" si="15"/>
        <v>P</v>
      </c>
      <c r="H152" s="22"/>
      <c r="I152" s="22"/>
      <c r="J152" s="22"/>
      <c r="K152" s="22" t="str">
        <f t="shared" si="16"/>
        <v>ELEM</v>
      </c>
      <c r="L152" s="22"/>
      <c r="M152" s="22"/>
      <c r="N152" s="22" t="str">
        <f t="shared" si="13"/>
        <v>FONTE</v>
      </c>
      <c r="O152" s="22"/>
      <c r="P152" s="22"/>
      <c r="Q152" s="22"/>
      <c r="R152" s="22"/>
      <c r="S152" s="22"/>
      <c r="T152" s="22"/>
      <c r="U152" s="25"/>
      <c r="V152" s="24"/>
      <c r="W152" s="23">
        <f t="shared" si="17"/>
        <v>0</v>
      </c>
      <c r="X152" s="22"/>
      <c r="Y152" s="22"/>
      <c r="Z152" s="22"/>
      <c r="AA152" s="22"/>
      <c r="AB152" s="22"/>
      <c r="AC152" s="22"/>
      <c r="AD152" s="22"/>
    </row>
    <row r="153" spans="1:30" s="21" customFormat="1" x14ac:dyDescent="0.25">
      <c r="A153" s="22"/>
      <c r="B153" s="22"/>
      <c r="C153" s="22"/>
      <c r="D153" s="22"/>
      <c r="E153" s="22" t="str">
        <f t="shared" si="14"/>
        <v>PROG</v>
      </c>
      <c r="F153" s="22"/>
      <c r="G153" s="22" t="str">
        <f t="shared" si="15"/>
        <v>P</v>
      </c>
      <c r="H153" s="22"/>
      <c r="I153" s="22"/>
      <c r="J153" s="22"/>
      <c r="K153" s="22" t="str">
        <f t="shared" si="16"/>
        <v>ELEM</v>
      </c>
      <c r="L153" s="22"/>
      <c r="M153" s="22"/>
      <c r="N153" s="22" t="str">
        <f t="shared" si="13"/>
        <v>FONTE</v>
      </c>
      <c r="O153" s="22"/>
      <c r="P153" s="22"/>
      <c r="Q153" s="22"/>
      <c r="R153" s="22"/>
      <c r="S153" s="22"/>
      <c r="T153" s="22"/>
      <c r="U153" s="25"/>
      <c r="V153" s="24"/>
      <c r="W153" s="23">
        <f t="shared" si="17"/>
        <v>0</v>
      </c>
      <c r="X153" s="22"/>
      <c r="Y153" s="22"/>
      <c r="Z153" s="22"/>
      <c r="AA153" s="22"/>
      <c r="AB153" s="22"/>
      <c r="AC153" s="22"/>
      <c r="AD153" s="22"/>
    </row>
    <row r="154" spans="1:30" s="21" customFormat="1" x14ac:dyDescent="0.25">
      <c r="A154" s="22"/>
      <c r="B154" s="22"/>
      <c r="C154" s="22"/>
      <c r="D154" s="22"/>
      <c r="E154" s="22" t="str">
        <f t="shared" si="14"/>
        <v>PROG</v>
      </c>
      <c r="F154" s="22"/>
      <c r="G154" s="22" t="str">
        <f t="shared" si="15"/>
        <v>P</v>
      </c>
      <c r="H154" s="22"/>
      <c r="I154" s="22"/>
      <c r="J154" s="22"/>
      <c r="K154" s="22" t="str">
        <f t="shared" si="16"/>
        <v>ELEM</v>
      </c>
      <c r="L154" s="22"/>
      <c r="M154" s="22"/>
      <c r="N154" s="22" t="str">
        <f t="shared" si="13"/>
        <v>FONTE</v>
      </c>
      <c r="O154" s="22"/>
      <c r="P154" s="22"/>
      <c r="Q154" s="22"/>
      <c r="R154" s="22"/>
      <c r="S154" s="22"/>
      <c r="T154" s="22"/>
      <c r="U154" s="25"/>
      <c r="V154" s="24"/>
      <c r="W154" s="23">
        <f t="shared" si="17"/>
        <v>0</v>
      </c>
      <c r="X154" s="22"/>
      <c r="Y154" s="22"/>
      <c r="Z154" s="22"/>
      <c r="AA154" s="22"/>
      <c r="AB154" s="22"/>
      <c r="AC154" s="22"/>
      <c r="AD154" s="22"/>
    </row>
    <row r="155" spans="1:30" s="21" customFormat="1" x14ac:dyDescent="0.25">
      <c r="A155" s="22"/>
      <c r="B155" s="22"/>
      <c r="C155" s="22"/>
      <c r="D155" s="22"/>
      <c r="E155" s="22" t="str">
        <f t="shared" si="14"/>
        <v>PROG</v>
      </c>
      <c r="F155" s="22"/>
      <c r="G155" s="22" t="str">
        <f t="shared" si="15"/>
        <v>P</v>
      </c>
      <c r="H155" s="22"/>
      <c r="I155" s="22"/>
      <c r="J155" s="22"/>
      <c r="K155" s="22" t="str">
        <f t="shared" si="16"/>
        <v>ELEM</v>
      </c>
      <c r="L155" s="22"/>
      <c r="M155" s="22"/>
      <c r="N155" s="22" t="str">
        <f t="shared" si="13"/>
        <v>FONTE</v>
      </c>
      <c r="O155" s="22"/>
      <c r="P155" s="22"/>
      <c r="Q155" s="22"/>
      <c r="R155" s="22"/>
      <c r="S155" s="22"/>
      <c r="T155" s="22"/>
      <c r="U155" s="25"/>
      <c r="V155" s="24"/>
      <c r="W155" s="23">
        <f t="shared" si="17"/>
        <v>0</v>
      </c>
      <c r="X155" s="22"/>
      <c r="Y155" s="22"/>
      <c r="Z155" s="22"/>
      <c r="AA155" s="22"/>
      <c r="AB155" s="22"/>
      <c r="AC155" s="22"/>
      <c r="AD155" s="22"/>
    </row>
    <row r="156" spans="1:30" s="21" customFormat="1" x14ac:dyDescent="0.25">
      <c r="A156" s="22"/>
      <c r="B156" s="22"/>
      <c r="C156" s="22"/>
      <c r="D156" s="22"/>
      <c r="E156" s="22" t="str">
        <f t="shared" si="14"/>
        <v>PROG</v>
      </c>
      <c r="F156" s="22"/>
      <c r="G156" s="22" t="str">
        <f t="shared" si="15"/>
        <v>P</v>
      </c>
      <c r="H156" s="22"/>
      <c r="I156" s="22"/>
      <c r="J156" s="22"/>
      <c r="K156" s="22" t="str">
        <f t="shared" si="16"/>
        <v>ELEM</v>
      </c>
      <c r="L156" s="22"/>
      <c r="M156" s="22"/>
      <c r="N156" s="22" t="str">
        <f t="shared" si="13"/>
        <v>FONTE</v>
      </c>
      <c r="O156" s="22"/>
      <c r="P156" s="22"/>
      <c r="Q156" s="22"/>
      <c r="R156" s="22"/>
      <c r="S156" s="22"/>
      <c r="T156" s="22"/>
      <c r="U156" s="25"/>
      <c r="V156" s="24"/>
      <c r="W156" s="23">
        <f t="shared" si="17"/>
        <v>0</v>
      </c>
      <c r="X156" s="22"/>
      <c r="Y156" s="22"/>
      <c r="Z156" s="22"/>
      <c r="AA156" s="22"/>
      <c r="AB156" s="22"/>
      <c r="AC156" s="22"/>
      <c r="AD156" s="22"/>
    </row>
    <row r="157" spans="1:30" s="21" customFormat="1" x14ac:dyDescent="0.25">
      <c r="A157" s="22"/>
      <c r="B157" s="22"/>
      <c r="C157" s="22"/>
      <c r="D157" s="22"/>
      <c r="E157" s="22" t="str">
        <f t="shared" si="14"/>
        <v>PROG</v>
      </c>
      <c r="F157" s="22"/>
      <c r="G157" s="22" t="str">
        <f t="shared" si="15"/>
        <v>P</v>
      </c>
      <c r="H157" s="22"/>
      <c r="I157" s="22"/>
      <c r="J157" s="22"/>
      <c r="K157" s="22" t="str">
        <f t="shared" si="16"/>
        <v>ELEM</v>
      </c>
      <c r="L157" s="22"/>
      <c r="M157" s="22"/>
      <c r="N157" s="22" t="str">
        <f t="shared" si="13"/>
        <v>FONTE</v>
      </c>
      <c r="O157" s="22"/>
      <c r="P157" s="22"/>
      <c r="Q157" s="22"/>
      <c r="R157" s="22"/>
      <c r="S157" s="22"/>
      <c r="T157" s="22"/>
      <c r="U157" s="25"/>
      <c r="V157" s="24"/>
      <c r="W157" s="23">
        <f t="shared" si="17"/>
        <v>0</v>
      </c>
      <c r="X157" s="22"/>
      <c r="Y157" s="22"/>
      <c r="Z157" s="22"/>
      <c r="AA157" s="22"/>
      <c r="AB157" s="22"/>
      <c r="AC157" s="22"/>
      <c r="AD157" s="22"/>
    </row>
    <row r="158" spans="1:30" s="21" customFormat="1" x14ac:dyDescent="0.25">
      <c r="A158" s="22"/>
      <c r="B158" s="22"/>
      <c r="C158" s="22"/>
      <c r="D158" s="22"/>
      <c r="E158" s="22" t="str">
        <f t="shared" si="14"/>
        <v>PROG</v>
      </c>
      <c r="F158" s="22"/>
      <c r="G158" s="22" t="str">
        <f t="shared" si="15"/>
        <v>P</v>
      </c>
      <c r="H158" s="22"/>
      <c r="I158" s="22"/>
      <c r="J158" s="22"/>
      <c r="K158" s="22" t="str">
        <f t="shared" si="16"/>
        <v>ELEM</v>
      </c>
      <c r="L158" s="22"/>
      <c r="M158" s="22"/>
      <c r="N158" s="22" t="str">
        <f t="shared" si="13"/>
        <v>FONTE</v>
      </c>
      <c r="O158" s="22"/>
      <c r="P158" s="22"/>
      <c r="Q158" s="22"/>
      <c r="R158" s="22"/>
      <c r="S158" s="22"/>
      <c r="T158" s="22"/>
      <c r="U158" s="25"/>
      <c r="V158" s="24"/>
      <c r="W158" s="23">
        <f t="shared" si="17"/>
        <v>0</v>
      </c>
      <c r="X158" s="22"/>
      <c r="Y158" s="22"/>
      <c r="Z158" s="22"/>
      <c r="AA158" s="22"/>
      <c r="AB158" s="22"/>
      <c r="AC158" s="22"/>
      <c r="AD158" s="22"/>
    </row>
    <row r="159" spans="1:30" s="21" customFormat="1" x14ac:dyDescent="0.25">
      <c r="A159" s="22"/>
      <c r="B159" s="22"/>
      <c r="C159" s="22"/>
      <c r="D159" s="22"/>
      <c r="E159" s="22" t="str">
        <f t="shared" si="14"/>
        <v>PROG</v>
      </c>
      <c r="F159" s="22"/>
      <c r="G159" s="22" t="str">
        <f t="shared" si="15"/>
        <v>P</v>
      </c>
      <c r="H159" s="22"/>
      <c r="I159" s="22"/>
      <c r="J159" s="22"/>
      <c r="K159" s="22" t="str">
        <f t="shared" si="16"/>
        <v>ELEM</v>
      </c>
      <c r="L159" s="22"/>
      <c r="M159" s="22"/>
      <c r="N159" s="22" t="str">
        <f t="shared" si="13"/>
        <v>FONTE</v>
      </c>
      <c r="O159" s="22"/>
      <c r="P159" s="22"/>
      <c r="Q159" s="22"/>
      <c r="R159" s="22"/>
      <c r="S159" s="22"/>
      <c r="T159" s="22"/>
      <c r="U159" s="25"/>
      <c r="V159" s="24"/>
      <c r="W159" s="23">
        <f t="shared" si="17"/>
        <v>0</v>
      </c>
      <c r="X159" s="22"/>
      <c r="Y159" s="22"/>
      <c r="Z159" s="22"/>
      <c r="AA159" s="22"/>
      <c r="AB159" s="22"/>
      <c r="AC159" s="22"/>
      <c r="AD159" s="22"/>
    </row>
    <row r="160" spans="1:30" s="21" customFormat="1" x14ac:dyDescent="0.25">
      <c r="A160" s="22"/>
      <c r="B160" s="22"/>
      <c r="C160" s="22"/>
      <c r="D160" s="22"/>
      <c r="E160" s="22" t="str">
        <f t="shared" si="14"/>
        <v>PROG</v>
      </c>
      <c r="F160" s="22"/>
      <c r="G160" s="22" t="str">
        <f t="shared" si="15"/>
        <v>P</v>
      </c>
      <c r="H160" s="22"/>
      <c r="I160" s="22"/>
      <c r="J160" s="22"/>
      <c r="K160" s="22" t="str">
        <f t="shared" si="16"/>
        <v>ELEM</v>
      </c>
      <c r="L160" s="22"/>
      <c r="M160" s="22"/>
      <c r="N160" s="22" t="str">
        <f t="shared" si="13"/>
        <v>FONTE</v>
      </c>
      <c r="O160" s="22"/>
      <c r="P160" s="22"/>
      <c r="Q160" s="22"/>
      <c r="R160" s="22"/>
      <c r="S160" s="22"/>
      <c r="T160" s="22"/>
      <c r="U160" s="25"/>
      <c r="V160" s="24"/>
      <c r="W160" s="23">
        <f t="shared" si="17"/>
        <v>0</v>
      </c>
      <c r="X160" s="22"/>
      <c r="Y160" s="22"/>
      <c r="Z160" s="22"/>
      <c r="AA160" s="22"/>
      <c r="AB160" s="22"/>
      <c r="AC160" s="22"/>
      <c r="AD160" s="22"/>
    </row>
    <row r="161" spans="1:30" s="21" customFormat="1" x14ac:dyDescent="0.25">
      <c r="A161" s="22"/>
      <c r="B161" s="22"/>
      <c r="C161" s="22"/>
      <c r="D161" s="22"/>
      <c r="E161" s="22" t="str">
        <f t="shared" si="14"/>
        <v>PROG</v>
      </c>
      <c r="F161" s="22"/>
      <c r="G161" s="22" t="str">
        <f t="shared" si="15"/>
        <v>P</v>
      </c>
      <c r="H161" s="22"/>
      <c r="I161" s="22"/>
      <c r="J161" s="22"/>
      <c r="K161" s="22" t="str">
        <f t="shared" si="16"/>
        <v>ELEM</v>
      </c>
      <c r="L161" s="22"/>
      <c r="M161" s="22"/>
      <c r="N161" s="22" t="str">
        <f t="shared" si="13"/>
        <v>FONTE</v>
      </c>
      <c r="O161" s="22"/>
      <c r="P161" s="22"/>
      <c r="Q161" s="22"/>
      <c r="R161" s="22"/>
      <c r="S161" s="22"/>
      <c r="T161" s="22"/>
      <c r="U161" s="25"/>
      <c r="V161" s="24"/>
      <c r="W161" s="23">
        <f t="shared" si="17"/>
        <v>0</v>
      </c>
      <c r="X161" s="22"/>
      <c r="Y161" s="22"/>
      <c r="Z161" s="22"/>
      <c r="AA161" s="22"/>
      <c r="AB161" s="22"/>
      <c r="AC161" s="22"/>
      <c r="AD161" s="22"/>
    </row>
    <row r="162" spans="1:30" s="21" customFormat="1" x14ac:dyDescent="0.25">
      <c r="A162" s="22"/>
      <c r="B162" s="22"/>
      <c r="C162" s="22"/>
      <c r="D162" s="22"/>
      <c r="E162" s="22" t="str">
        <f t="shared" si="14"/>
        <v>PROG</v>
      </c>
      <c r="F162" s="22"/>
      <c r="G162" s="22" t="str">
        <f t="shared" si="15"/>
        <v>P</v>
      </c>
      <c r="H162" s="22"/>
      <c r="I162" s="22"/>
      <c r="J162" s="22"/>
      <c r="K162" s="22" t="str">
        <f t="shared" si="16"/>
        <v>ELEM</v>
      </c>
      <c r="L162" s="22"/>
      <c r="M162" s="22"/>
      <c r="N162" s="22" t="str">
        <f t="shared" si="13"/>
        <v>FONTE</v>
      </c>
      <c r="O162" s="22"/>
      <c r="P162" s="22"/>
      <c r="Q162" s="22"/>
      <c r="R162" s="22"/>
      <c r="S162" s="22"/>
      <c r="T162" s="22"/>
      <c r="U162" s="25"/>
      <c r="V162" s="24"/>
      <c r="W162" s="23">
        <f t="shared" si="17"/>
        <v>0</v>
      </c>
      <c r="X162" s="22"/>
      <c r="Y162" s="22"/>
      <c r="Z162" s="22"/>
      <c r="AA162" s="22"/>
      <c r="AB162" s="22"/>
      <c r="AC162" s="22"/>
      <c r="AD162" s="22"/>
    </row>
    <row r="163" spans="1:30" s="21" customFormat="1" x14ac:dyDescent="0.25">
      <c r="A163" s="22"/>
      <c r="B163" s="22"/>
      <c r="C163" s="22"/>
      <c r="D163" s="22"/>
      <c r="E163" s="22" t="str">
        <f t="shared" si="14"/>
        <v>PROG</v>
      </c>
      <c r="F163" s="22"/>
      <c r="G163" s="22" t="str">
        <f t="shared" si="15"/>
        <v>P</v>
      </c>
      <c r="H163" s="22"/>
      <c r="I163" s="22"/>
      <c r="J163" s="22"/>
      <c r="K163" s="22" t="str">
        <f t="shared" si="16"/>
        <v>ELEM</v>
      </c>
      <c r="L163" s="22"/>
      <c r="M163" s="22"/>
      <c r="N163" s="22" t="str">
        <f t="shared" si="13"/>
        <v>FONTE</v>
      </c>
      <c r="O163" s="22"/>
      <c r="P163" s="22"/>
      <c r="Q163" s="22"/>
      <c r="R163" s="22"/>
      <c r="S163" s="22"/>
      <c r="T163" s="22"/>
      <c r="U163" s="25"/>
      <c r="V163" s="24"/>
      <c r="W163" s="23">
        <f t="shared" si="17"/>
        <v>0</v>
      </c>
      <c r="X163" s="22"/>
      <c r="Y163" s="22"/>
      <c r="Z163" s="22"/>
      <c r="AA163" s="22"/>
      <c r="AB163" s="22"/>
      <c r="AC163" s="22"/>
      <c r="AD163" s="22"/>
    </row>
    <row r="164" spans="1:30" s="21" customFormat="1" x14ac:dyDescent="0.25">
      <c r="A164" s="22"/>
      <c r="B164" s="22"/>
      <c r="C164" s="22"/>
      <c r="D164" s="22"/>
      <c r="E164" s="22" t="str">
        <f t="shared" si="14"/>
        <v>PROG</v>
      </c>
      <c r="F164" s="22"/>
      <c r="G164" s="22" t="str">
        <f t="shared" si="15"/>
        <v>P</v>
      </c>
      <c r="H164" s="22"/>
      <c r="I164" s="22"/>
      <c r="J164" s="22"/>
      <c r="K164" s="22" t="str">
        <f t="shared" si="16"/>
        <v>ELEM</v>
      </c>
      <c r="L164" s="22"/>
      <c r="M164" s="22"/>
      <c r="N164" s="22" t="str">
        <f t="shared" si="13"/>
        <v>FONTE</v>
      </c>
      <c r="O164" s="22"/>
      <c r="P164" s="22"/>
      <c r="Q164" s="22"/>
      <c r="R164" s="22"/>
      <c r="S164" s="22"/>
      <c r="T164" s="22"/>
      <c r="U164" s="25"/>
      <c r="V164" s="24"/>
      <c r="W164" s="23">
        <f t="shared" si="17"/>
        <v>0</v>
      </c>
      <c r="X164" s="22"/>
      <c r="Y164" s="22"/>
      <c r="Z164" s="22"/>
      <c r="AA164" s="22"/>
      <c r="AB164" s="22"/>
      <c r="AC164" s="22"/>
      <c r="AD164" s="22"/>
    </row>
    <row r="165" spans="1:30" s="21" customFormat="1" x14ac:dyDescent="0.25">
      <c r="A165" s="22"/>
      <c r="B165" s="22"/>
      <c r="C165" s="22"/>
      <c r="D165" s="22"/>
      <c r="E165" s="22" t="str">
        <f t="shared" si="14"/>
        <v>PROG</v>
      </c>
      <c r="F165" s="22"/>
      <c r="G165" s="22" t="str">
        <f t="shared" si="15"/>
        <v>P</v>
      </c>
      <c r="H165" s="22"/>
      <c r="I165" s="22"/>
      <c r="J165" s="22"/>
      <c r="K165" s="22" t="str">
        <f t="shared" si="16"/>
        <v>ELEM</v>
      </c>
      <c r="L165" s="22"/>
      <c r="M165" s="22"/>
      <c r="N165" s="22" t="str">
        <f t="shared" si="13"/>
        <v>FONTE</v>
      </c>
      <c r="O165" s="22"/>
      <c r="P165" s="22"/>
      <c r="Q165" s="22"/>
      <c r="R165" s="22"/>
      <c r="S165" s="22"/>
      <c r="T165" s="22"/>
      <c r="U165" s="25"/>
      <c r="V165" s="24"/>
      <c r="W165" s="23">
        <f t="shared" si="17"/>
        <v>0</v>
      </c>
      <c r="X165" s="22"/>
      <c r="Y165" s="22"/>
      <c r="Z165" s="22"/>
      <c r="AA165" s="22"/>
      <c r="AB165" s="22"/>
      <c r="AC165" s="22"/>
      <c r="AD165" s="22"/>
    </row>
    <row r="166" spans="1:30" s="21" customFormat="1" x14ac:dyDescent="0.25">
      <c r="A166" s="22"/>
      <c r="B166" s="22"/>
      <c r="C166" s="22"/>
      <c r="D166" s="22"/>
      <c r="E166" s="22" t="str">
        <f t="shared" si="14"/>
        <v>PROG</v>
      </c>
      <c r="F166" s="22"/>
      <c r="G166" s="22" t="str">
        <f t="shared" si="15"/>
        <v>P</v>
      </c>
      <c r="H166" s="22"/>
      <c r="I166" s="22"/>
      <c r="J166" s="22"/>
      <c r="K166" s="22" t="str">
        <f t="shared" si="16"/>
        <v>ELEM</v>
      </c>
      <c r="L166" s="22"/>
      <c r="M166" s="22"/>
      <c r="N166" s="22" t="str">
        <f t="shared" si="13"/>
        <v>FONTE</v>
      </c>
      <c r="O166" s="22"/>
      <c r="P166" s="22"/>
      <c r="Q166" s="22"/>
      <c r="R166" s="22"/>
      <c r="S166" s="22"/>
      <c r="T166" s="22"/>
      <c r="U166" s="25"/>
      <c r="V166" s="24"/>
      <c r="W166" s="23">
        <f t="shared" si="17"/>
        <v>0</v>
      </c>
      <c r="X166" s="22"/>
      <c r="Y166" s="22"/>
      <c r="Z166" s="22"/>
      <c r="AA166" s="22"/>
      <c r="AB166" s="22"/>
      <c r="AC166" s="22"/>
      <c r="AD166" s="22"/>
    </row>
    <row r="167" spans="1:30" s="21" customFormat="1" x14ac:dyDescent="0.25">
      <c r="A167" s="22"/>
      <c r="B167" s="22"/>
      <c r="C167" s="22"/>
      <c r="D167" s="22"/>
      <c r="E167" s="22" t="str">
        <f t="shared" si="14"/>
        <v>PROG</v>
      </c>
      <c r="F167" s="22"/>
      <c r="G167" s="22" t="str">
        <f t="shared" si="15"/>
        <v>P</v>
      </c>
      <c r="H167" s="22"/>
      <c r="I167" s="22"/>
      <c r="J167" s="22"/>
      <c r="K167" s="22" t="str">
        <f t="shared" si="16"/>
        <v>ELEM</v>
      </c>
      <c r="L167" s="22"/>
      <c r="M167" s="22"/>
      <c r="N167" s="22" t="str">
        <f t="shared" si="13"/>
        <v>FONTE</v>
      </c>
      <c r="O167" s="22"/>
      <c r="P167" s="22"/>
      <c r="Q167" s="22"/>
      <c r="R167" s="22"/>
      <c r="S167" s="22"/>
      <c r="T167" s="22"/>
      <c r="U167" s="25"/>
      <c r="V167" s="24"/>
      <c r="W167" s="23">
        <f t="shared" si="17"/>
        <v>0</v>
      </c>
      <c r="X167" s="22"/>
      <c r="Y167" s="22"/>
      <c r="Z167" s="22"/>
      <c r="AA167" s="22"/>
      <c r="AB167" s="22"/>
      <c r="AC167" s="22"/>
      <c r="AD167" s="22"/>
    </row>
    <row r="168" spans="1:30" s="21" customFormat="1" x14ac:dyDescent="0.25">
      <c r="A168" s="22"/>
      <c r="B168" s="22"/>
      <c r="C168" s="22"/>
      <c r="D168" s="22"/>
      <c r="E168" s="22" t="str">
        <f t="shared" si="14"/>
        <v>PROG</v>
      </c>
      <c r="F168" s="22"/>
      <c r="G168" s="22" t="str">
        <f t="shared" si="15"/>
        <v>P</v>
      </c>
      <c r="H168" s="22"/>
      <c r="I168" s="22"/>
      <c r="J168" s="22"/>
      <c r="K168" s="22" t="str">
        <f t="shared" si="16"/>
        <v>ELEM</v>
      </c>
      <c r="L168" s="22"/>
      <c r="M168" s="22"/>
      <c r="N168" s="22" t="str">
        <f t="shared" si="13"/>
        <v>FONTE</v>
      </c>
      <c r="O168" s="22"/>
      <c r="P168" s="22"/>
      <c r="Q168" s="22"/>
      <c r="R168" s="22"/>
      <c r="S168" s="22"/>
      <c r="T168" s="22"/>
      <c r="U168" s="25"/>
      <c r="V168" s="24"/>
      <c r="W168" s="23">
        <f t="shared" si="17"/>
        <v>0</v>
      </c>
      <c r="X168" s="22"/>
      <c r="Y168" s="22"/>
      <c r="Z168" s="22"/>
      <c r="AA168" s="22"/>
      <c r="AB168" s="22"/>
      <c r="AC168" s="22"/>
      <c r="AD168" s="22"/>
    </row>
    <row r="169" spans="1:30" s="21" customFormat="1" x14ac:dyDescent="0.25">
      <c r="A169" s="22"/>
      <c r="B169" s="22"/>
      <c r="C169" s="22"/>
      <c r="D169" s="22"/>
      <c r="E169" s="22" t="str">
        <f t="shared" si="14"/>
        <v>PROG</v>
      </c>
      <c r="F169" s="22"/>
      <c r="G169" s="22" t="str">
        <f t="shared" si="15"/>
        <v>P</v>
      </c>
      <c r="H169" s="22"/>
      <c r="I169" s="22"/>
      <c r="J169" s="22"/>
      <c r="K169" s="22" t="str">
        <f t="shared" si="16"/>
        <v>ELEM</v>
      </c>
      <c r="L169" s="22"/>
      <c r="M169" s="22"/>
      <c r="N169" s="22" t="str">
        <f t="shared" si="13"/>
        <v>FONTE</v>
      </c>
      <c r="O169" s="22"/>
      <c r="P169" s="22"/>
      <c r="Q169" s="22"/>
      <c r="R169" s="22"/>
      <c r="S169" s="22"/>
      <c r="T169" s="22"/>
      <c r="U169" s="25"/>
      <c r="V169" s="24"/>
      <c r="W169" s="23">
        <f t="shared" si="17"/>
        <v>0</v>
      </c>
      <c r="X169" s="22"/>
      <c r="Y169" s="22"/>
      <c r="Z169" s="22"/>
      <c r="AA169" s="22"/>
      <c r="AB169" s="22"/>
      <c r="AC169" s="22"/>
      <c r="AD169" s="22"/>
    </row>
    <row r="170" spans="1:30" s="21" customFormat="1" x14ac:dyDescent="0.25">
      <c r="A170" s="22"/>
      <c r="B170" s="22"/>
      <c r="C170" s="22"/>
      <c r="D170" s="22"/>
      <c r="E170" s="22" t="str">
        <f t="shared" si="14"/>
        <v>PROG</v>
      </c>
      <c r="F170" s="22"/>
      <c r="G170" s="22" t="str">
        <f t="shared" si="15"/>
        <v>P</v>
      </c>
      <c r="H170" s="22"/>
      <c r="I170" s="22"/>
      <c r="J170" s="22"/>
      <c r="K170" s="22" t="str">
        <f t="shared" si="16"/>
        <v>ELEM</v>
      </c>
      <c r="L170" s="22"/>
      <c r="M170" s="22"/>
      <c r="N170" s="22" t="str">
        <f t="shared" si="13"/>
        <v>FONTE</v>
      </c>
      <c r="O170" s="22"/>
      <c r="P170" s="22"/>
      <c r="Q170" s="22"/>
      <c r="R170" s="22"/>
      <c r="S170" s="22"/>
      <c r="T170" s="22"/>
      <c r="U170" s="25"/>
      <c r="V170" s="24"/>
      <c r="W170" s="23">
        <f t="shared" si="17"/>
        <v>0</v>
      </c>
      <c r="X170" s="22"/>
      <c r="Y170" s="22"/>
      <c r="Z170" s="22"/>
      <c r="AA170" s="22"/>
      <c r="AB170" s="22"/>
      <c r="AC170" s="22"/>
      <c r="AD170" s="22"/>
    </row>
    <row r="171" spans="1:30" s="21" customFormat="1" x14ac:dyDescent="0.25">
      <c r="A171" s="22"/>
      <c r="B171" s="22"/>
      <c r="C171" s="22"/>
      <c r="D171" s="22"/>
      <c r="E171" s="22" t="str">
        <f t="shared" si="14"/>
        <v>PROG</v>
      </c>
      <c r="F171" s="22"/>
      <c r="G171" s="22" t="str">
        <f t="shared" si="15"/>
        <v>P</v>
      </c>
      <c r="H171" s="22"/>
      <c r="I171" s="22"/>
      <c r="J171" s="22"/>
      <c r="K171" s="22" t="str">
        <f t="shared" si="16"/>
        <v>ELEM</v>
      </c>
      <c r="L171" s="22"/>
      <c r="M171" s="22"/>
      <c r="N171" s="22" t="str">
        <f t="shared" si="13"/>
        <v>FONTE</v>
      </c>
      <c r="O171" s="22"/>
      <c r="P171" s="22"/>
      <c r="Q171" s="22"/>
      <c r="R171" s="22"/>
      <c r="S171" s="22"/>
      <c r="T171" s="22"/>
      <c r="U171" s="25"/>
      <c r="V171" s="24"/>
      <c r="W171" s="23">
        <f t="shared" si="17"/>
        <v>0</v>
      </c>
      <c r="X171" s="22"/>
      <c r="Y171" s="22"/>
      <c r="Z171" s="22"/>
      <c r="AA171" s="22"/>
      <c r="AB171" s="22"/>
      <c r="AC171" s="22"/>
      <c r="AD171" s="22"/>
    </row>
    <row r="172" spans="1:30" s="21" customFormat="1" x14ac:dyDescent="0.25">
      <c r="A172" s="22"/>
      <c r="B172" s="22"/>
      <c r="C172" s="22"/>
      <c r="D172" s="22"/>
      <c r="E172" s="22" t="str">
        <f t="shared" si="14"/>
        <v>PROG</v>
      </c>
      <c r="F172" s="22"/>
      <c r="G172" s="22" t="str">
        <f t="shared" si="15"/>
        <v>P</v>
      </c>
      <c r="H172" s="22"/>
      <c r="I172" s="22"/>
      <c r="J172" s="22"/>
      <c r="K172" s="22" t="str">
        <f t="shared" si="16"/>
        <v>ELEM</v>
      </c>
      <c r="L172" s="22"/>
      <c r="M172" s="22"/>
      <c r="N172" s="22" t="str">
        <f t="shared" si="13"/>
        <v>FONTE</v>
      </c>
      <c r="O172" s="22"/>
      <c r="P172" s="22"/>
      <c r="Q172" s="22"/>
      <c r="R172" s="22"/>
      <c r="S172" s="22"/>
      <c r="T172" s="22"/>
      <c r="U172" s="25"/>
      <c r="V172" s="24"/>
      <c r="W172" s="23">
        <f t="shared" si="17"/>
        <v>0</v>
      </c>
      <c r="X172" s="22"/>
      <c r="Y172" s="22"/>
      <c r="Z172" s="22"/>
      <c r="AA172" s="22"/>
      <c r="AB172" s="22"/>
      <c r="AC172" s="22"/>
      <c r="AD172" s="22"/>
    </row>
    <row r="173" spans="1:30" s="21" customFormat="1" x14ac:dyDescent="0.25">
      <c r="A173" s="22"/>
      <c r="B173" s="22"/>
      <c r="C173" s="22"/>
      <c r="D173" s="22"/>
      <c r="E173" s="22" t="str">
        <f t="shared" si="14"/>
        <v>PROG</v>
      </c>
      <c r="F173" s="22"/>
      <c r="G173" s="22" t="str">
        <f t="shared" si="15"/>
        <v>P</v>
      </c>
      <c r="H173" s="22"/>
      <c r="I173" s="22"/>
      <c r="J173" s="22"/>
      <c r="K173" s="22" t="str">
        <f t="shared" si="16"/>
        <v>ELEM</v>
      </c>
      <c r="L173" s="22"/>
      <c r="M173" s="22"/>
      <c r="N173" s="22" t="str">
        <f t="shared" si="13"/>
        <v>FONTE</v>
      </c>
      <c r="O173" s="22"/>
      <c r="P173" s="22"/>
      <c r="Q173" s="22"/>
      <c r="R173" s="22"/>
      <c r="S173" s="22"/>
      <c r="T173" s="22"/>
      <c r="U173" s="25"/>
      <c r="V173" s="24"/>
      <c r="W173" s="23">
        <f t="shared" si="17"/>
        <v>0</v>
      </c>
      <c r="X173" s="22"/>
      <c r="Y173" s="22"/>
      <c r="Z173" s="22"/>
      <c r="AA173" s="22"/>
      <c r="AB173" s="22"/>
      <c r="AC173" s="22"/>
      <c r="AD173" s="22"/>
    </row>
    <row r="174" spans="1:30" s="21" customFormat="1" x14ac:dyDescent="0.25">
      <c r="A174" s="22"/>
      <c r="B174" s="22"/>
      <c r="C174" s="22"/>
      <c r="D174" s="22"/>
      <c r="E174" s="22" t="str">
        <f t="shared" si="14"/>
        <v>PROG</v>
      </c>
      <c r="F174" s="22"/>
      <c r="G174" s="22" t="str">
        <f t="shared" si="15"/>
        <v>P</v>
      </c>
      <c r="H174" s="22"/>
      <c r="I174" s="22"/>
      <c r="J174" s="22"/>
      <c r="K174" s="22" t="str">
        <f t="shared" si="16"/>
        <v>ELEM</v>
      </c>
      <c r="L174" s="22"/>
      <c r="M174" s="22"/>
      <c r="N174" s="22" t="str">
        <f t="shared" si="13"/>
        <v>FONTE</v>
      </c>
      <c r="O174" s="22"/>
      <c r="P174" s="22"/>
      <c r="Q174" s="22"/>
      <c r="R174" s="22"/>
      <c r="S174" s="22"/>
      <c r="T174" s="22"/>
      <c r="U174" s="25"/>
      <c r="V174" s="24"/>
      <c r="W174" s="23">
        <f t="shared" si="17"/>
        <v>0</v>
      </c>
      <c r="X174" s="22"/>
      <c r="Y174" s="22"/>
      <c r="Z174" s="22"/>
      <c r="AA174" s="22"/>
      <c r="AB174" s="22"/>
      <c r="AC174" s="22"/>
      <c r="AD174" s="22"/>
    </row>
    <row r="175" spans="1:30" s="21" customFormat="1" x14ac:dyDescent="0.25">
      <c r="A175" s="22"/>
      <c r="B175" s="22"/>
      <c r="C175" s="22"/>
      <c r="D175" s="22"/>
      <c r="E175" s="22" t="str">
        <f t="shared" si="14"/>
        <v>PROG</v>
      </c>
      <c r="F175" s="22"/>
      <c r="G175" s="22" t="str">
        <f t="shared" si="15"/>
        <v>P</v>
      </c>
      <c r="H175" s="22"/>
      <c r="I175" s="22"/>
      <c r="J175" s="22"/>
      <c r="K175" s="22" t="str">
        <f t="shared" si="16"/>
        <v>ELEM</v>
      </c>
      <c r="L175" s="22"/>
      <c r="M175" s="22"/>
      <c r="N175" s="22" t="str">
        <f t="shared" si="13"/>
        <v>FONTE</v>
      </c>
      <c r="O175" s="22"/>
      <c r="P175" s="22"/>
      <c r="Q175" s="22"/>
      <c r="R175" s="22"/>
      <c r="S175" s="22"/>
      <c r="T175" s="22"/>
      <c r="U175" s="25"/>
      <c r="V175" s="24"/>
      <c r="W175" s="23">
        <f t="shared" si="17"/>
        <v>0</v>
      </c>
      <c r="X175" s="22"/>
      <c r="Y175" s="22"/>
      <c r="Z175" s="22"/>
      <c r="AA175" s="22"/>
      <c r="AB175" s="22"/>
      <c r="AC175" s="22"/>
      <c r="AD175" s="22"/>
    </row>
    <row r="176" spans="1:30" s="21" customFormat="1" x14ac:dyDescent="0.25">
      <c r="A176" s="22"/>
      <c r="B176" s="22"/>
      <c r="C176" s="22"/>
      <c r="D176" s="22"/>
      <c r="E176" s="22" t="str">
        <f t="shared" si="14"/>
        <v>PROG</v>
      </c>
      <c r="F176" s="22"/>
      <c r="G176" s="22" t="str">
        <f t="shared" si="15"/>
        <v>P</v>
      </c>
      <c r="H176" s="22"/>
      <c r="I176" s="22"/>
      <c r="J176" s="22"/>
      <c r="K176" s="22" t="str">
        <f t="shared" si="16"/>
        <v>ELEM</v>
      </c>
      <c r="L176" s="22"/>
      <c r="M176" s="22"/>
      <c r="N176" s="22" t="str">
        <f t="shared" si="13"/>
        <v>FONTE</v>
      </c>
      <c r="O176" s="22"/>
      <c r="P176" s="22"/>
      <c r="Q176" s="22"/>
      <c r="R176" s="22"/>
      <c r="S176" s="22"/>
      <c r="T176" s="22"/>
      <c r="U176" s="25"/>
      <c r="V176" s="24"/>
      <c r="W176" s="23">
        <f t="shared" si="17"/>
        <v>0</v>
      </c>
      <c r="X176" s="22"/>
      <c r="Y176" s="22"/>
      <c r="Z176" s="22"/>
      <c r="AA176" s="22"/>
      <c r="AB176" s="22"/>
      <c r="AC176" s="22"/>
      <c r="AD176" s="22"/>
    </row>
    <row r="177" spans="1:30" s="21" customFormat="1" x14ac:dyDescent="0.25">
      <c r="A177" s="22"/>
      <c r="B177" s="22"/>
      <c r="C177" s="22"/>
      <c r="D177" s="22"/>
      <c r="E177" s="22" t="str">
        <f t="shared" si="14"/>
        <v>PROG</v>
      </c>
      <c r="F177" s="22"/>
      <c r="G177" s="22" t="str">
        <f t="shared" si="15"/>
        <v>P</v>
      </c>
      <c r="H177" s="22"/>
      <c r="I177" s="22"/>
      <c r="J177" s="22"/>
      <c r="K177" s="22" t="str">
        <f t="shared" si="16"/>
        <v>ELEM</v>
      </c>
      <c r="L177" s="22"/>
      <c r="M177" s="22"/>
      <c r="N177" s="22" t="str">
        <f t="shared" si="13"/>
        <v>FONTE</v>
      </c>
      <c r="O177" s="22"/>
      <c r="P177" s="22"/>
      <c r="Q177" s="22"/>
      <c r="R177" s="22"/>
      <c r="S177" s="22"/>
      <c r="T177" s="22"/>
      <c r="U177" s="25"/>
      <c r="V177" s="24"/>
      <c r="W177" s="23">
        <f t="shared" si="17"/>
        <v>0</v>
      </c>
      <c r="X177" s="22"/>
      <c r="Y177" s="22"/>
      <c r="Z177" s="22"/>
      <c r="AA177" s="22"/>
      <c r="AB177" s="22"/>
      <c r="AC177" s="22"/>
      <c r="AD177" s="22"/>
    </row>
    <row r="178" spans="1:30" s="21" customFormat="1" x14ac:dyDescent="0.25">
      <c r="A178" s="22"/>
      <c r="B178" s="22"/>
      <c r="C178" s="22"/>
      <c r="D178" s="22"/>
      <c r="E178" s="22" t="str">
        <f t="shared" si="14"/>
        <v>PROG</v>
      </c>
      <c r="F178" s="22"/>
      <c r="G178" s="22" t="str">
        <f t="shared" si="15"/>
        <v>P</v>
      </c>
      <c r="H178" s="22"/>
      <c r="I178" s="22"/>
      <c r="J178" s="22"/>
      <c r="K178" s="22" t="str">
        <f t="shared" si="16"/>
        <v>ELEM</v>
      </c>
      <c r="L178" s="22"/>
      <c r="M178" s="22"/>
      <c r="N178" s="22" t="str">
        <f t="shared" si="13"/>
        <v>FONTE</v>
      </c>
      <c r="O178" s="22"/>
      <c r="P178" s="22"/>
      <c r="Q178" s="22"/>
      <c r="R178" s="22"/>
      <c r="S178" s="22"/>
      <c r="T178" s="22"/>
      <c r="U178" s="25"/>
      <c r="V178" s="24"/>
      <c r="W178" s="23">
        <f t="shared" si="17"/>
        <v>0</v>
      </c>
      <c r="X178" s="22"/>
      <c r="Y178" s="22"/>
      <c r="Z178" s="22"/>
      <c r="AA178" s="22"/>
      <c r="AB178" s="22"/>
      <c r="AC178" s="22"/>
      <c r="AD178" s="22"/>
    </row>
    <row r="179" spans="1:30" s="21" customFormat="1" x14ac:dyDescent="0.25">
      <c r="A179" s="22"/>
      <c r="B179" s="22"/>
      <c r="C179" s="22"/>
      <c r="D179" s="22"/>
      <c r="E179" s="22" t="str">
        <f t="shared" si="14"/>
        <v>PROG</v>
      </c>
      <c r="F179" s="22"/>
      <c r="G179" s="22" t="str">
        <f t="shared" si="15"/>
        <v>P</v>
      </c>
      <c r="H179" s="22"/>
      <c r="I179" s="22"/>
      <c r="J179" s="22"/>
      <c r="K179" s="22" t="str">
        <f t="shared" si="16"/>
        <v>ELEM</v>
      </c>
      <c r="L179" s="22"/>
      <c r="M179" s="22"/>
      <c r="N179" s="22" t="str">
        <f t="shared" si="13"/>
        <v>FONTE</v>
      </c>
      <c r="O179" s="22"/>
      <c r="P179" s="22"/>
      <c r="Q179" s="22"/>
      <c r="R179" s="22"/>
      <c r="S179" s="22"/>
      <c r="T179" s="22"/>
      <c r="U179" s="25"/>
      <c r="V179" s="24"/>
      <c r="W179" s="23">
        <f t="shared" si="17"/>
        <v>0</v>
      </c>
      <c r="X179" s="22"/>
      <c r="Y179" s="22"/>
      <c r="Z179" s="22"/>
      <c r="AA179" s="22"/>
      <c r="AB179" s="22"/>
      <c r="AC179" s="22"/>
      <c r="AD179" s="22"/>
    </row>
    <row r="180" spans="1:30" s="21" customFormat="1" x14ac:dyDescent="0.25">
      <c r="A180" s="22"/>
      <c r="B180" s="22"/>
      <c r="C180" s="22"/>
      <c r="D180" s="22"/>
      <c r="E180" s="22" t="str">
        <f t="shared" si="14"/>
        <v>PROG</v>
      </c>
      <c r="F180" s="22"/>
      <c r="G180" s="22" t="str">
        <f t="shared" si="15"/>
        <v>P</v>
      </c>
      <c r="H180" s="22"/>
      <c r="I180" s="22"/>
      <c r="J180" s="22"/>
      <c r="K180" s="22" t="str">
        <f t="shared" si="16"/>
        <v>ELEM</v>
      </c>
      <c r="L180" s="22"/>
      <c r="M180" s="22"/>
      <c r="N180" s="22" t="str">
        <f t="shared" si="13"/>
        <v>FONTE</v>
      </c>
      <c r="O180" s="22"/>
      <c r="P180" s="22"/>
      <c r="Q180" s="22"/>
      <c r="R180" s="22"/>
      <c r="S180" s="22"/>
      <c r="T180" s="22"/>
      <c r="U180" s="25"/>
      <c r="V180" s="24"/>
      <c r="W180" s="23">
        <f t="shared" si="17"/>
        <v>0</v>
      </c>
      <c r="X180" s="22"/>
      <c r="Y180" s="22"/>
      <c r="Z180" s="22"/>
      <c r="AA180" s="22"/>
      <c r="AB180" s="22"/>
      <c r="AC180" s="22"/>
      <c r="AD180" s="22"/>
    </row>
    <row r="181" spans="1:30" s="21" customFormat="1" x14ac:dyDescent="0.25">
      <c r="A181" s="22"/>
      <c r="B181" s="22"/>
      <c r="C181" s="22"/>
      <c r="D181" s="22"/>
      <c r="E181" s="22" t="str">
        <f t="shared" si="14"/>
        <v>PROG</v>
      </c>
      <c r="F181" s="22"/>
      <c r="G181" s="22" t="str">
        <f t="shared" si="15"/>
        <v>P</v>
      </c>
      <c r="H181" s="22"/>
      <c r="I181" s="22"/>
      <c r="J181" s="22"/>
      <c r="K181" s="22" t="str">
        <f t="shared" si="16"/>
        <v>ELEM</v>
      </c>
      <c r="L181" s="22"/>
      <c r="M181" s="22"/>
      <c r="N181" s="22" t="str">
        <f t="shared" si="13"/>
        <v>FONTE</v>
      </c>
      <c r="O181" s="22"/>
      <c r="P181" s="22"/>
      <c r="Q181" s="22"/>
      <c r="R181" s="22"/>
      <c r="S181" s="22"/>
      <c r="T181" s="22"/>
      <c r="U181" s="25"/>
      <c r="V181" s="24"/>
      <c r="W181" s="23">
        <f t="shared" si="17"/>
        <v>0</v>
      </c>
      <c r="X181" s="22"/>
      <c r="Y181" s="22"/>
      <c r="Z181" s="22"/>
      <c r="AA181" s="22"/>
      <c r="AB181" s="22"/>
      <c r="AC181" s="22"/>
      <c r="AD181" s="22"/>
    </row>
    <row r="182" spans="1:30" s="21" customFormat="1" x14ac:dyDescent="0.25">
      <c r="A182" s="22"/>
      <c r="B182" s="22"/>
      <c r="C182" s="22"/>
      <c r="D182" s="22"/>
      <c r="E182" s="22" t="str">
        <f t="shared" si="14"/>
        <v>PROG</v>
      </c>
      <c r="F182" s="22"/>
      <c r="G182" s="22" t="str">
        <f t="shared" si="15"/>
        <v>P</v>
      </c>
      <c r="H182" s="22"/>
      <c r="I182" s="22"/>
      <c r="J182" s="22"/>
      <c r="K182" s="22" t="str">
        <f t="shared" si="16"/>
        <v>ELEM</v>
      </c>
      <c r="L182" s="22"/>
      <c r="M182" s="22"/>
      <c r="N182" s="22" t="str">
        <f t="shared" si="13"/>
        <v>FONTE</v>
      </c>
      <c r="O182" s="22"/>
      <c r="P182" s="22"/>
      <c r="Q182" s="22"/>
      <c r="R182" s="22"/>
      <c r="S182" s="22"/>
      <c r="T182" s="22"/>
      <c r="U182" s="25"/>
      <c r="V182" s="24"/>
      <c r="W182" s="23">
        <f t="shared" si="17"/>
        <v>0</v>
      </c>
      <c r="X182" s="22"/>
      <c r="Y182" s="22"/>
      <c r="Z182" s="22"/>
      <c r="AA182" s="22"/>
      <c r="AB182" s="22"/>
      <c r="AC182" s="22"/>
      <c r="AD182" s="22"/>
    </row>
    <row r="183" spans="1:30" s="21" customFormat="1" x14ac:dyDescent="0.25">
      <c r="A183" s="22"/>
      <c r="B183" s="22"/>
      <c r="C183" s="22"/>
      <c r="D183" s="22"/>
      <c r="E183" s="22" t="str">
        <f t="shared" si="14"/>
        <v>PROG</v>
      </c>
      <c r="F183" s="22"/>
      <c r="G183" s="22" t="str">
        <f t="shared" si="15"/>
        <v>P</v>
      </c>
      <c r="H183" s="22"/>
      <c r="I183" s="22"/>
      <c r="J183" s="22"/>
      <c r="K183" s="22" t="str">
        <f t="shared" si="16"/>
        <v>ELEM</v>
      </c>
      <c r="L183" s="22"/>
      <c r="M183" s="22"/>
      <c r="N183" s="22" t="str">
        <f t="shared" si="13"/>
        <v>FONTE</v>
      </c>
      <c r="O183" s="22"/>
      <c r="P183" s="22"/>
      <c r="Q183" s="22"/>
      <c r="R183" s="22"/>
      <c r="S183" s="22"/>
      <c r="T183" s="22"/>
      <c r="U183" s="25"/>
      <c r="V183" s="24"/>
      <c r="W183" s="23">
        <f t="shared" si="17"/>
        <v>0</v>
      </c>
      <c r="X183" s="22"/>
      <c r="Y183" s="22"/>
      <c r="Z183" s="22"/>
      <c r="AA183" s="22"/>
      <c r="AB183" s="22"/>
      <c r="AC183" s="22"/>
      <c r="AD183" s="22"/>
    </row>
    <row r="184" spans="1:30" s="21" customFormat="1" x14ac:dyDescent="0.25">
      <c r="A184" s="22"/>
      <c r="B184" s="22"/>
      <c r="C184" s="22"/>
      <c r="D184" s="22"/>
      <c r="E184" s="22" t="str">
        <f t="shared" si="14"/>
        <v>PROG</v>
      </c>
      <c r="F184" s="22"/>
      <c r="G184" s="22" t="str">
        <f t="shared" si="15"/>
        <v>P</v>
      </c>
      <c r="H184" s="22"/>
      <c r="I184" s="22"/>
      <c r="J184" s="22"/>
      <c r="K184" s="22" t="str">
        <f t="shared" si="16"/>
        <v>ELEM</v>
      </c>
      <c r="L184" s="22"/>
      <c r="M184" s="22"/>
      <c r="N184" s="22" t="str">
        <f t="shared" si="13"/>
        <v>FONTE</v>
      </c>
      <c r="O184" s="22"/>
      <c r="P184" s="22"/>
      <c r="Q184" s="22"/>
      <c r="R184" s="22"/>
      <c r="S184" s="22"/>
      <c r="T184" s="22"/>
      <c r="U184" s="25"/>
      <c r="V184" s="24"/>
      <c r="W184" s="23">
        <f t="shared" si="17"/>
        <v>0</v>
      </c>
      <c r="X184" s="22"/>
      <c r="Y184" s="22"/>
      <c r="Z184" s="22"/>
      <c r="AA184" s="22"/>
      <c r="AB184" s="22"/>
      <c r="AC184" s="22"/>
      <c r="AD184" s="22"/>
    </row>
    <row r="185" spans="1:30" s="21" customFormat="1" x14ac:dyDescent="0.25">
      <c r="A185" s="22"/>
      <c r="B185" s="22"/>
      <c r="C185" s="22"/>
      <c r="D185" s="22"/>
      <c r="E185" s="22" t="str">
        <f t="shared" si="14"/>
        <v>PROG</v>
      </c>
      <c r="F185" s="22"/>
      <c r="G185" s="22" t="str">
        <f t="shared" si="15"/>
        <v>P</v>
      </c>
      <c r="H185" s="22"/>
      <c r="I185" s="22"/>
      <c r="J185" s="22"/>
      <c r="K185" s="22" t="str">
        <f t="shared" si="16"/>
        <v>ELEM</v>
      </c>
      <c r="L185" s="22"/>
      <c r="M185" s="22"/>
      <c r="N185" s="22" t="str">
        <f t="shared" si="13"/>
        <v>FONTE</v>
      </c>
      <c r="O185" s="22"/>
      <c r="P185" s="22"/>
      <c r="Q185" s="22"/>
      <c r="R185" s="22"/>
      <c r="S185" s="22"/>
      <c r="T185" s="22"/>
      <c r="U185" s="25"/>
      <c r="V185" s="24"/>
      <c r="W185" s="23">
        <f t="shared" si="17"/>
        <v>0</v>
      </c>
      <c r="X185" s="22"/>
      <c r="Y185" s="22"/>
      <c r="Z185" s="22"/>
      <c r="AA185" s="22"/>
      <c r="AB185" s="22"/>
      <c r="AC185" s="22"/>
      <c r="AD185" s="22"/>
    </row>
    <row r="186" spans="1:30" s="21" customFormat="1" x14ac:dyDescent="0.25">
      <c r="A186" s="22"/>
      <c r="B186" s="22"/>
      <c r="C186" s="22"/>
      <c r="D186" s="22"/>
      <c r="E186" s="22" t="str">
        <f t="shared" si="14"/>
        <v>PROG</v>
      </c>
      <c r="F186" s="22"/>
      <c r="G186" s="22" t="str">
        <f t="shared" si="15"/>
        <v>P</v>
      </c>
      <c r="H186" s="22"/>
      <c r="I186" s="22"/>
      <c r="J186" s="22"/>
      <c r="K186" s="22" t="str">
        <f t="shared" si="16"/>
        <v>ELEM</v>
      </c>
      <c r="L186" s="22"/>
      <c r="M186" s="22"/>
      <c r="N186" s="22" t="str">
        <f t="shared" si="13"/>
        <v>FONTE</v>
      </c>
      <c r="O186" s="22"/>
      <c r="P186" s="22"/>
      <c r="Q186" s="22"/>
      <c r="R186" s="22"/>
      <c r="S186" s="22"/>
      <c r="T186" s="22"/>
      <c r="U186" s="25"/>
      <c r="V186" s="24"/>
      <c r="W186" s="23">
        <f t="shared" si="17"/>
        <v>0</v>
      </c>
      <c r="X186" s="22"/>
      <c r="Y186" s="22"/>
      <c r="Z186" s="22"/>
      <c r="AA186" s="22"/>
      <c r="AB186" s="22"/>
      <c r="AC186" s="22"/>
      <c r="AD186" s="22"/>
    </row>
    <row r="187" spans="1:30" s="21" customFormat="1" x14ac:dyDescent="0.25">
      <c r="A187" s="22"/>
      <c r="B187" s="22"/>
      <c r="C187" s="22"/>
      <c r="D187" s="22"/>
      <c r="E187" s="22" t="str">
        <f t="shared" si="14"/>
        <v>PROG</v>
      </c>
      <c r="F187" s="22"/>
      <c r="G187" s="22" t="str">
        <f t="shared" si="15"/>
        <v>P</v>
      </c>
      <c r="H187" s="22"/>
      <c r="I187" s="22"/>
      <c r="J187" s="22"/>
      <c r="K187" s="22" t="str">
        <f t="shared" si="16"/>
        <v>ELEM</v>
      </c>
      <c r="L187" s="22"/>
      <c r="M187" s="22"/>
      <c r="N187" s="22" t="str">
        <f t="shared" si="13"/>
        <v>FONTE</v>
      </c>
      <c r="O187" s="22"/>
      <c r="P187" s="22"/>
      <c r="Q187" s="22"/>
      <c r="R187" s="22"/>
      <c r="S187" s="22"/>
      <c r="T187" s="22"/>
      <c r="U187" s="25"/>
      <c r="V187" s="24"/>
      <c r="W187" s="23">
        <f t="shared" si="17"/>
        <v>0</v>
      </c>
      <c r="X187" s="22"/>
      <c r="Y187" s="22"/>
      <c r="Z187" s="22"/>
      <c r="AA187" s="22"/>
      <c r="AB187" s="22"/>
      <c r="AC187" s="22"/>
      <c r="AD187" s="22"/>
    </row>
    <row r="188" spans="1:30" s="21" customFormat="1" x14ac:dyDescent="0.25">
      <c r="A188" s="22"/>
      <c r="B188" s="22"/>
      <c r="C188" s="22"/>
      <c r="D188" s="22"/>
      <c r="E188" s="22" t="str">
        <f t="shared" si="14"/>
        <v>PROG</v>
      </c>
      <c r="F188" s="22"/>
      <c r="G188" s="22" t="str">
        <f t="shared" si="15"/>
        <v>P</v>
      </c>
      <c r="H188" s="22"/>
      <c r="I188" s="22"/>
      <c r="J188" s="22"/>
      <c r="K188" s="22" t="str">
        <f t="shared" si="16"/>
        <v>ELEM</v>
      </c>
      <c r="L188" s="22"/>
      <c r="M188" s="22"/>
      <c r="N188" s="22" t="str">
        <f t="shared" si="13"/>
        <v>FONTE</v>
      </c>
      <c r="O188" s="22"/>
      <c r="P188" s="22"/>
      <c r="Q188" s="22"/>
      <c r="R188" s="22"/>
      <c r="S188" s="22"/>
      <c r="T188" s="22"/>
      <c r="U188" s="25"/>
      <c r="V188" s="24"/>
      <c r="W188" s="23">
        <f t="shared" si="17"/>
        <v>0</v>
      </c>
      <c r="X188" s="22"/>
      <c r="Y188" s="22"/>
      <c r="Z188" s="22"/>
      <c r="AA188" s="22"/>
      <c r="AB188" s="22"/>
      <c r="AC188" s="22"/>
      <c r="AD188" s="22"/>
    </row>
    <row r="189" spans="1:30" s="21" customFormat="1" x14ac:dyDescent="0.25">
      <c r="A189" s="22"/>
      <c r="B189" s="22"/>
      <c r="C189" s="22"/>
      <c r="D189" s="22"/>
      <c r="E189" s="22" t="str">
        <f t="shared" si="14"/>
        <v>PROG</v>
      </c>
      <c r="F189" s="22"/>
      <c r="G189" s="22" t="str">
        <f t="shared" si="15"/>
        <v>P</v>
      </c>
      <c r="H189" s="22"/>
      <c r="I189" s="22"/>
      <c r="J189" s="22"/>
      <c r="K189" s="22" t="str">
        <f t="shared" si="16"/>
        <v>ELEM</v>
      </c>
      <c r="L189" s="22"/>
      <c r="M189" s="22"/>
      <c r="N189" s="22" t="str">
        <f t="shared" si="13"/>
        <v>FONTE</v>
      </c>
      <c r="O189" s="22"/>
      <c r="P189" s="22"/>
      <c r="Q189" s="22"/>
      <c r="R189" s="22"/>
      <c r="S189" s="22"/>
      <c r="T189" s="22"/>
      <c r="U189" s="25"/>
      <c r="V189" s="24"/>
      <c r="W189" s="23">
        <f t="shared" si="17"/>
        <v>0</v>
      </c>
      <c r="X189" s="22"/>
      <c r="Y189" s="22"/>
      <c r="Z189" s="22"/>
      <c r="AA189" s="22"/>
      <c r="AB189" s="22"/>
      <c r="AC189" s="22"/>
      <c r="AD189" s="22"/>
    </row>
    <row r="190" spans="1:30" s="21" customFormat="1" x14ac:dyDescent="0.25">
      <c r="A190" s="22"/>
      <c r="B190" s="22"/>
      <c r="C190" s="22"/>
      <c r="D190" s="22"/>
      <c r="E190" s="22" t="str">
        <f t="shared" si="14"/>
        <v>PROG</v>
      </c>
      <c r="F190" s="22"/>
      <c r="G190" s="22" t="str">
        <f t="shared" si="15"/>
        <v>P</v>
      </c>
      <c r="H190" s="22"/>
      <c r="I190" s="22"/>
      <c r="J190" s="22"/>
      <c r="K190" s="22" t="str">
        <f t="shared" si="16"/>
        <v>ELEM</v>
      </c>
      <c r="L190" s="22"/>
      <c r="M190" s="22"/>
      <c r="N190" s="22" t="str">
        <f t="shared" si="13"/>
        <v>FONTE</v>
      </c>
      <c r="O190" s="22"/>
      <c r="P190" s="22"/>
      <c r="Q190" s="22"/>
      <c r="R190" s="22"/>
      <c r="S190" s="22"/>
      <c r="T190" s="22"/>
      <c r="U190" s="25"/>
      <c r="V190" s="24"/>
      <c r="W190" s="23">
        <f t="shared" si="17"/>
        <v>0</v>
      </c>
      <c r="X190" s="22"/>
      <c r="Y190" s="22"/>
      <c r="Z190" s="22"/>
      <c r="AA190" s="22"/>
      <c r="AB190" s="22"/>
      <c r="AC190" s="22"/>
      <c r="AD190" s="22"/>
    </row>
    <row r="191" spans="1:30" s="21" customFormat="1" x14ac:dyDescent="0.25">
      <c r="A191" s="22"/>
      <c r="B191" s="22"/>
      <c r="C191" s="22"/>
      <c r="D191" s="22"/>
      <c r="E191" s="22" t="str">
        <f t="shared" si="14"/>
        <v>PROG</v>
      </c>
      <c r="F191" s="22"/>
      <c r="G191" s="22" t="str">
        <f t="shared" si="15"/>
        <v>P</v>
      </c>
      <c r="H191" s="22"/>
      <c r="I191" s="22"/>
      <c r="J191" s="22"/>
      <c r="K191" s="22" t="str">
        <f t="shared" si="16"/>
        <v>ELEM</v>
      </c>
      <c r="L191" s="22"/>
      <c r="M191" s="22"/>
      <c r="N191" s="22" t="str">
        <f t="shared" si="13"/>
        <v>FONTE</v>
      </c>
      <c r="O191" s="22"/>
      <c r="P191" s="22"/>
      <c r="Q191" s="22"/>
      <c r="R191" s="22"/>
      <c r="S191" s="22"/>
      <c r="T191" s="22"/>
      <c r="U191" s="25"/>
      <c r="V191" s="24"/>
      <c r="W191" s="23">
        <f t="shared" si="17"/>
        <v>0</v>
      </c>
      <c r="X191" s="22"/>
      <c r="Y191" s="22"/>
      <c r="Z191" s="22"/>
      <c r="AA191" s="22"/>
      <c r="AB191" s="22"/>
      <c r="AC191" s="22"/>
      <c r="AD191" s="22"/>
    </row>
    <row r="192" spans="1:30" s="21" customFormat="1" x14ac:dyDescent="0.25">
      <c r="A192" s="22"/>
      <c r="B192" s="22"/>
      <c r="C192" s="22"/>
      <c r="D192" s="22"/>
      <c r="E192" s="22" t="str">
        <f t="shared" si="14"/>
        <v>PROG</v>
      </c>
      <c r="F192" s="22"/>
      <c r="G192" s="22" t="str">
        <f t="shared" si="15"/>
        <v>P</v>
      </c>
      <c r="H192" s="22"/>
      <c r="I192" s="22"/>
      <c r="J192" s="22"/>
      <c r="K192" s="22" t="str">
        <f t="shared" si="16"/>
        <v>ELEM</v>
      </c>
      <c r="L192" s="22"/>
      <c r="M192" s="22"/>
      <c r="N192" s="22" t="str">
        <f t="shared" si="13"/>
        <v>FONTE</v>
      </c>
      <c r="O192" s="22"/>
      <c r="P192" s="22"/>
      <c r="Q192" s="22"/>
      <c r="R192" s="22"/>
      <c r="S192" s="22"/>
      <c r="T192" s="22"/>
      <c r="U192" s="25"/>
      <c r="V192" s="24"/>
      <c r="W192" s="23">
        <f t="shared" si="17"/>
        <v>0</v>
      </c>
      <c r="X192" s="22"/>
      <c r="Y192" s="22"/>
      <c r="Z192" s="22"/>
      <c r="AA192" s="22"/>
      <c r="AB192" s="22"/>
      <c r="AC192" s="22"/>
      <c r="AD192" s="22"/>
    </row>
    <row r="193" spans="1:30" s="21" customFormat="1" x14ac:dyDescent="0.25">
      <c r="A193" s="22"/>
      <c r="B193" s="22"/>
      <c r="C193" s="22"/>
      <c r="D193" s="22"/>
      <c r="E193" s="22" t="str">
        <f t="shared" si="14"/>
        <v>PROG</v>
      </c>
      <c r="F193" s="22"/>
      <c r="G193" s="22" t="str">
        <f t="shared" si="15"/>
        <v>P</v>
      </c>
      <c r="H193" s="22"/>
      <c r="I193" s="22"/>
      <c r="J193" s="22"/>
      <c r="K193" s="22" t="str">
        <f t="shared" si="16"/>
        <v>ELEM</v>
      </c>
      <c r="L193" s="22"/>
      <c r="M193" s="22"/>
      <c r="N193" s="22" t="str">
        <f t="shared" si="13"/>
        <v>FONTE</v>
      </c>
      <c r="O193" s="22"/>
      <c r="P193" s="22"/>
      <c r="Q193" s="22"/>
      <c r="R193" s="22"/>
      <c r="S193" s="22"/>
      <c r="T193" s="22"/>
      <c r="U193" s="25"/>
      <c r="V193" s="24"/>
      <c r="W193" s="23">
        <f t="shared" si="17"/>
        <v>0</v>
      </c>
      <c r="X193" s="22"/>
      <c r="Y193" s="22"/>
      <c r="Z193" s="22"/>
      <c r="AA193" s="22"/>
      <c r="AB193" s="22"/>
      <c r="AC193" s="22"/>
      <c r="AD193" s="22"/>
    </row>
    <row r="194" spans="1:30" s="21" customFormat="1" x14ac:dyDescent="0.25">
      <c r="A194" s="22"/>
      <c r="B194" s="22"/>
      <c r="C194" s="22"/>
      <c r="D194" s="22"/>
      <c r="E194" s="22" t="str">
        <f t="shared" si="14"/>
        <v>PROG</v>
      </c>
      <c r="F194" s="22"/>
      <c r="G194" s="22" t="str">
        <f t="shared" si="15"/>
        <v>P</v>
      </c>
      <c r="H194" s="22"/>
      <c r="I194" s="22"/>
      <c r="J194" s="22"/>
      <c r="K194" s="22" t="str">
        <f t="shared" si="16"/>
        <v>ELEM</v>
      </c>
      <c r="L194" s="22"/>
      <c r="M194" s="22"/>
      <c r="N194" s="22" t="str">
        <f t="shared" si="13"/>
        <v>FONTE</v>
      </c>
      <c r="O194" s="22"/>
      <c r="P194" s="22"/>
      <c r="Q194" s="22"/>
      <c r="R194" s="22"/>
      <c r="S194" s="22"/>
      <c r="T194" s="22"/>
      <c r="U194" s="25"/>
      <c r="V194" s="24"/>
      <c r="W194" s="23">
        <f t="shared" si="17"/>
        <v>0</v>
      </c>
      <c r="X194" s="22"/>
      <c r="Y194" s="22"/>
      <c r="Z194" s="22"/>
      <c r="AA194" s="22"/>
      <c r="AB194" s="22"/>
      <c r="AC194" s="22"/>
      <c r="AD194" s="22"/>
    </row>
    <row r="195" spans="1:30" s="21" customFormat="1" x14ac:dyDescent="0.25">
      <c r="A195" s="22"/>
      <c r="B195" s="22"/>
      <c r="C195" s="22"/>
      <c r="D195" s="22"/>
      <c r="E195" s="22" t="str">
        <f t="shared" si="14"/>
        <v>PROG</v>
      </c>
      <c r="F195" s="22"/>
      <c r="G195" s="22" t="str">
        <f t="shared" si="15"/>
        <v>P</v>
      </c>
      <c r="H195" s="22"/>
      <c r="I195" s="22"/>
      <c r="J195" s="22"/>
      <c r="K195" s="22" t="str">
        <f t="shared" si="16"/>
        <v>ELEM</v>
      </c>
      <c r="L195" s="22"/>
      <c r="M195" s="22"/>
      <c r="N195" s="22" t="str">
        <f t="shared" si="13"/>
        <v>FONTE</v>
      </c>
      <c r="O195" s="22"/>
      <c r="P195" s="22"/>
      <c r="Q195" s="22"/>
      <c r="R195" s="22"/>
      <c r="S195" s="22"/>
      <c r="T195" s="22"/>
      <c r="U195" s="25"/>
      <c r="V195" s="24"/>
      <c r="W195" s="23">
        <f t="shared" si="17"/>
        <v>0</v>
      </c>
      <c r="X195" s="22"/>
      <c r="Y195" s="22"/>
      <c r="Z195" s="22"/>
      <c r="AA195" s="22"/>
      <c r="AB195" s="22"/>
      <c r="AC195" s="22"/>
      <c r="AD195" s="22"/>
    </row>
    <row r="196" spans="1:30" s="21" customFormat="1" x14ac:dyDescent="0.25">
      <c r="A196" s="22"/>
      <c r="B196" s="22"/>
      <c r="C196" s="22"/>
      <c r="D196" s="22"/>
      <c r="E196" s="22" t="str">
        <f t="shared" si="14"/>
        <v>PROG</v>
      </c>
      <c r="F196" s="22"/>
      <c r="G196" s="22" t="str">
        <f t="shared" si="15"/>
        <v>P</v>
      </c>
      <c r="H196" s="22"/>
      <c r="I196" s="22"/>
      <c r="J196" s="22"/>
      <c r="K196" s="22" t="str">
        <f t="shared" si="16"/>
        <v>ELEM</v>
      </c>
      <c r="L196" s="22"/>
      <c r="M196" s="22"/>
      <c r="N196" s="22" t="str">
        <f t="shared" si="13"/>
        <v>FONTE</v>
      </c>
      <c r="O196" s="22"/>
      <c r="P196" s="22"/>
      <c r="Q196" s="22"/>
      <c r="R196" s="22"/>
      <c r="S196" s="22"/>
      <c r="T196" s="22"/>
      <c r="U196" s="25"/>
      <c r="V196" s="24"/>
      <c r="W196" s="23">
        <f t="shared" si="17"/>
        <v>0</v>
      </c>
      <c r="X196" s="22"/>
      <c r="Y196" s="22"/>
      <c r="Z196" s="22"/>
      <c r="AA196" s="22"/>
      <c r="AB196" s="22"/>
      <c r="AC196" s="22"/>
      <c r="AD196" s="22"/>
    </row>
    <row r="197" spans="1:30" s="21" customFormat="1" x14ac:dyDescent="0.25">
      <c r="A197" s="22"/>
      <c r="B197" s="22"/>
      <c r="C197" s="22"/>
      <c r="D197" s="22"/>
      <c r="E197" s="22" t="str">
        <f t="shared" si="14"/>
        <v>PROG</v>
      </c>
      <c r="F197" s="22"/>
      <c r="G197" s="22" t="str">
        <f t="shared" si="15"/>
        <v>P</v>
      </c>
      <c r="H197" s="22"/>
      <c r="I197" s="22"/>
      <c r="J197" s="22"/>
      <c r="K197" s="22" t="str">
        <f t="shared" si="16"/>
        <v>ELEM</v>
      </c>
      <c r="L197" s="22"/>
      <c r="M197" s="22"/>
      <c r="N197" s="22" t="str">
        <f t="shared" si="13"/>
        <v>FONTE</v>
      </c>
      <c r="O197" s="22"/>
      <c r="P197" s="22"/>
      <c r="Q197" s="22"/>
      <c r="R197" s="22"/>
      <c r="S197" s="22"/>
      <c r="T197" s="22"/>
      <c r="U197" s="25"/>
      <c r="V197" s="24"/>
      <c r="W197" s="23">
        <f t="shared" si="17"/>
        <v>0</v>
      </c>
      <c r="X197" s="22"/>
      <c r="Y197" s="22"/>
      <c r="Z197" s="22"/>
      <c r="AA197" s="22"/>
      <c r="AB197" s="22"/>
      <c r="AC197" s="22"/>
      <c r="AD197" s="22"/>
    </row>
    <row r="198" spans="1:30" s="21" customFormat="1" x14ac:dyDescent="0.25">
      <c r="A198" s="22"/>
      <c r="B198" s="22"/>
      <c r="C198" s="22"/>
      <c r="D198" s="22"/>
      <c r="E198" s="22" t="str">
        <f t="shared" si="14"/>
        <v>PROG</v>
      </c>
      <c r="F198" s="22"/>
      <c r="G198" s="22" t="str">
        <f t="shared" si="15"/>
        <v>P</v>
      </c>
      <c r="H198" s="22"/>
      <c r="I198" s="22"/>
      <c r="J198" s="22"/>
      <c r="K198" s="22" t="str">
        <f t="shared" si="16"/>
        <v>ELEM</v>
      </c>
      <c r="L198" s="22"/>
      <c r="M198" s="22"/>
      <c r="N198" s="22" t="str">
        <f t="shared" si="13"/>
        <v>FONTE</v>
      </c>
      <c r="O198" s="22"/>
      <c r="P198" s="22"/>
      <c r="Q198" s="22"/>
      <c r="R198" s="22"/>
      <c r="S198" s="22"/>
      <c r="T198" s="22"/>
      <c r="U198" s="25"/>
      <c r="V198" s="24"/>
      <c r="W198" s="23">
        <f t="shared" si="17"/>
        <v>0</v>
      </c>
      <c r="X198" s="22"/>
      <c r="Y198" s="22"/>
      <c r="Z198" s="22"/>
      <c r="AA198" s="22"/>
      <c r="AB198" s="22"/>
      <c r="AC198" s="22"/>
      <c r="AD198" s="22"/>
    </row>
    <row r="199" spans="1:30" s="21" customFormat="1" x14ac:dyDescent="0.25">
      <c r="A199" s="22"/>
      <c r="B199" s="22"/>
      <c r="C199" s="22"/>
      <c r="D199" s="22"/>
      <c r="E199" s="22" t="str">
        <f t="shared" si="14"/>
        <v>PROG</v>
      </c>
      <c r="F199" s="22"/>
      <c r="G199" s="22" t="str">
        <f t="shared" si="15"/>
        <v>P</v>
      </c>
      <c r="H199" s="22"/>
      <c r="I199" s="22"/>
      <c r="J199" s="22"/>
      <c r="K199" s="22" t="str">
        <f t="shared" si="16"/>
        <v>ELEM</v>
      </c>
      <c r="L199" s="22"/>
      <c r="M199" s="22"/>
      <c r="N199" s="22" t="str">
        <f t="shared" si="13"/>
        <v>FONTE</v>
      </c>
      <c r="O199" s="22"/>
      <c r="P199" s="22"/>
      <c r="Q199" s="22"/>
      <c r="R199" s="22"/>
      <c r="S199" s="22"/>
      <c r="T199" s="22"/>
      <c r="U199" s="25"/>
      <c r="V199" s="24"/>
      <c r="W199" s="23">
        <f t="shared" si="17"/>
        <v>0</v>
      </c>
      <c r="X199" s="22"/>
      <c r="Y199" s="22"/>
      <c r="Z199" s="22"/>
      <c r="AA199" s="22"/>
      <c r="AB199" s="22"/>
      <c r="AC199" s="22"/>
      <c r="AD199" s="22"/>
    </row>
    <row r="200" spans="1:30" s="21" customFormat="1" x14ac:dyDescent="0.25">
      <c r="A200" s="22"/>
      <c r="B200" s="22"/>
      <c r="C200" s="22"/>
      <c r="D200" s="22"/>
      <c r="E200" s="22" t="str">
        <f t="shared" si="14"/>
        <v>PROG</v>
      </c>
      <c r="F200" s="22"/>
      <c r="G200" s="22" t="str">
        <f t="shared" si="15"/>
        <v>P</v>
      </c>
      <c r="H200" s="22"/>
      <c r="I200" s="22"/>
      <c r="J200" s="22"/>
      <c r="K200" s="22" t="str">
        <f t="shared" si="16"/>
        <v>ELEM</v>
      </c>
      <c r="L200" s="22"/>
      <c r="M200" s="22"/>
      <c r="N200" s="22" t="str">
        <f t="shared" si="13"/>
        <v>FONTE</v>
      </c>
      <c r="O200" s="22"/>
      <c r="P200" s="22"/>
      <c r="Q200" s="22"/>
      <c r="R200" s="22"/>
      <c r="S200" s="22"/>
      <c r="T200" s="22"/>
      <c r="U200" s="25"/>
      <c r="V200" s="24"/>
      <c r="W200" s="23">
        <f t="shared" si="17"/>
        <v>0</v>
      </c>
      <c r="X200" s="22"/>
      <c r="Y200" s="22"/>
      <c r="Z200" s="22"/>
      <c r="AA200" s="22"/>
      <c r="AB200" s="22"/>
      <c r="AC200" s="22"/>
      <c r="AD200" s="22"/>
    </row>
    <row r="201" spans="1:30" s="21" customFormat="1" x14ac:dyDescent="0.25">
      <c r="A201" s="22"/>
      <c r="B201" s="22"/>
      <c r="C201" s="22"/>
      <c r="D201" s="22"/>
      <c r="E201" s="22" t="str">
        <f t="shared" si="14"/>
        <v>PROG</v>
      </c>
      <c r="F201" s="22"/>
      <c r="G201" s="22" t="str">
        <f t="shared" si="15"/>
        <v>P</v>
      </c>
      <c r="H201" s="22"/>
      <c r="I201" s="22"/>
      <c r="J201" s="22"/>
      <c r="K201" s="22" t="str">
        <f t="shared" si="16"/>
        <v>ELEM</v>
      </c>
      <c r="L201" s="22"/>
      <c r="M201" s="22"/>
      <c r="N201" s="22" t="str">
        <f t="shared" si="13"/>
        <v>FONTE</v>
      </c>
      <c r="O201" s="22"/>
      <c r="P201" s="22"/>
      <c r="Q201" s="22"/>
      <c r="R201" s="22"/>
      <c r="S201" s="22"/>
      <c r="T201" s="22"/>
      <c r="U201" s="25"/>
      <c r="V201" s="24"/>
      <c r="W201" s="23">
        <f t="shared" si="17"/>
        <v>0</v>
      </c>
      <c r="X201" s="22"/>
      <c r="Y201" s="22"/>
      <c r="Z201" s="22"/>
      <c r="AA201" s="22"/>
      <c r="AB201" s="22"/>
      <c r="AC201" s="22"/>
      <c r="AD201" s="22"/>
    </row>
    <row r="202" spans="1:30" s="21" customFormat="1" x14ac:dyDescent="0.25">
      <c r="A202" s="22"/>
      <c r="B202" s="22"/>
      <c r="C202" s="22"/>
      <c r="D202" s="22"/>
      <c r="E202" s="22" t="str">
        <f t="shared" si="14"/>
        <v>PROG</v>
      </c>
      <c r="F202" s="22"/>
      <c r="G202" s="22" t="str">
        <f t="shared" si="15"/>
        <v>P</v>
      </c>
      <c r="H202" s="22"/>
      <c r="I202" s="22"/>
      <c r="J202" s="22"/>
      <c r="K202" s="22" t="str">
        <f t="shared" si="16"/>
        <v>ELEM</v>
      </c>
      <c r="L202" s="22"/>
      <c r="M202" s="22"/>
      <c r="N202" s="22" t="str">
        <f t="shared" si="13"/>
        <v>FONTE</v>
      </c>
      <c r="O202" s="22"/>
      <c r="P202" s="22"/>
      <c r="Q202" s="22"/>
      <c r="R202" s="22"/>
      <c r="S202" s="22"/>
      <c r="T202" s="22"/>
      <c r="U202" s="25"/>
      <c r="V202" s="24"/>
      <c r="W202" s="23">
        <f t="shared" si="17"/>
        <v>0</v>
      </c>
      <c r="X202" s="22"/>
      <c r="Y202" s="22"/>
      <c r="Z202" s="22"/>
      <c r="AA202" s="22"/>
      <c r="AB202" s="22"/>
      <c r="AC202" s="22"/>
      <c r="AD202" s="22"/>
    </row>
    <row r="203" spans="1:30" s="21" customFormat="1" x14ac:dyDescent="0.25">
      <c r="A203" s="22"/>
      <c r="B203" s="22"/>
      <c r="C203" s="22"/>
      <c r="D203" s="22"/>
      <c r="E203" s="22" t="str">
        <f t="shared" si="14"/>
        <v>PROG</v>
      </c>
      <c r="F203" s="22"/>
      <c r="G203" s="22" t="str">
        <f t="shared" si="15"/>
        <v>P</v>
      </c>
      <c r="H203" s="22"/>
      <c r="I203" s="22"/>
      <c r="J203" s="22"/>
      <c r="K203" s="22" t="str">
        <f t="shared" si="16"/>
        <v>ELEM</v>
      </c>
      <c r="L203" s="22"/>
      <c r="M203" s="22"/>
      <c r="N203" s="22" t="str">
        <f t="shared" si="13"/>
        <v>FONTE</v>
      </c>
      <c r="O203" s="22"/>
      <c r="P203" s="22"/>
      <c r="Q203" s="22"/>
      <c r="R203" s="22"/>
      <c r="S203" s="22"/>
      <c r="T203" s="22"/>
      <c r="U203" s="25"/>
      <c r="V203" s="24"/>
      <c r="W203" s="23">
        <f t="shared" si="17"/>
        <v>0</v>
      </c>
      <c r="X203" s="22"/>
      <c r="Y203" s="22"/>
      <c r="Z203" s="22"/>
      <c r="AA203" s="22"/>
      <c r="AB203" s="22"/>
      <c r="AC203" s="22"/>
      <c r="AD203" s="22"/>
    </row>
    <row r="204" spans="1:30" s="21" customFormat="1" x14ac:dyDescent="0.25">
      <c r="A204" s="22"/>
      <c r="B204" s="22"/>
      <c r="C204" s="22"/>
      <c r="D204" s="22"/>
      <c r="E204" s="22" t="str">
        <f t="shared" si="14"/>
        <v>PROG</v>
      </c>
      <c r="F204" s="22"/>
      <c r="G204" s="22" t="str">
        <f t="shared" si="15"/>
        <v>P</v>
      </c>
      <c r="H204" s="22"/>
      <c r="I204" s="22"/>
      <c r="J204" s="22"/>
      <c r="K204" s="22" t="str">
        <f t="shared" si="16"/>
        <v>ELEM</v>
      </c>
      <c r="L204" s="22"/>
      <c r="M204" s="22"/>
      <c r="N204" s="22" t="str">
        <f t="shared" si="13"/>
        <v>FONTE</v>
      </c>
      <c r="O204" s="22"/>
      <c r="P204" s="22"/>
      <c r="Q204" s="22"/>
      <c r="R204" s="22"/>
      <c r="S204" s="22"/>
      <c r="T204" s="22"/>
      <c r="U204" s="25"/>
      <c r="V204" s="24"/>
      <c r="W204" s="23">
        <f t="shared" si="17"/>
        <v>0</v>
      </c>
      <c r="X204" s="22"/>
      <c r="Y204" s="22"/>
      <c r="Z204" s="22"/>
      <c r="AA204" s="22"/>
      <c r="AB204" s="22"/>
      <c r="AC204" s="22"/>
      <c r="AD204" s="22"/>
    </row>
    <row r="205" spans="1:30" s="21" customFormat="1" x14ac:dyDescent="0.25">
      <c r="A205" s="22"/>
      <c r="B205" s="22"/>
      <c r="C205" s="22"/>
      <c r="D205" s="22"/>
      <c r="E205" s="22" t="str">
        <f t="shared" si="14"/>
        <v>PROG</v>
      </c>
      <c r="F205" s="22"/>
      <c r="G205" s="22" t="str">
        <f t="shared" si="15"/>
        <v>P</v>
      </c>
      <c r="H205" s="22"/>
      <c r="I205" s="22"/>
      <c r="J205" s="22"/>
      <c r="K205" s="22" t="str">
        <f t="shared" si="16"/>
        <v>ELEM</v>
      </c>
      <c r="L205" s="22"/>
      <c r="M205" s="22"/>
      <c r="N205" s="22" t="str">
        <f t="shared" si="13"/>
        <v>FONTE</v>
      </c>
      <c r="O205" s="22"/>
      <c r="P205" s="22"/>
      <c r="Q205" s="22"/>
      <c r="R205" s="22"/>
      <c r="S205" s="22"/>
      <c r="T205" s="22"/>
      <c r="U205" s="25"/>
      <c r="V205" s="24"/>
      <c r="W205" s="23">
        <f t="shared" si="17"/>
        <v>0</v>
      </c>
      <c r="X205" s="22"/>
      <c r="Y205" s="22"/>
      <c r="Z205" s="22"/>
      <c r="AA205" s="22"/>
      <c r="AB205" s="22"/>
      <c r="AC205" s="22"/>
      <c r="AD205" s="22"/>
    </row>
    <row r="206" spans="1:30" s="21" customFormat="1" x14ac:dyDescent="0.25">
      <c r="A206" s="22"/>
      <c r="B206" s="22"/>
      <c r="C206" s="22"/>
      <c r="D206" s="22"/>
      <c r="E206" s="22" t="str">
        <f t="shared" si="14"/>
        <v>PROG</v>
      </c>
      <c r="F206" s="22"/>
      <c r="G206" s="22" t="str">
        <f t="shared" si="15"/>
        <v>P</v>
      </c>
      <c r="H206" s="22"/>
      <c r="I206" s="22"/>
      <c r="J206" s="22"/>
      <c r="K206" s="22" t="str">
        <f t="shared" si="16"/>
        <v>ELEM</v>
      </c>
      <c r="L206" s="22"/>
      <c r="M206" s="22"/>
      <c r="N206" s="22" t="str">
        <f t="shared" si="13"/>
        <v>FONTE</v>
      </c>
      <c r="O206" s="22"/>
      <c r="P206" s="22"/>
      <c r="Q206" s="22"/>
      <c r="R206" s="22"/>
      <c r="S206" s="22"/>
      <c r="T206" s="22"/>
      <c r="U206" s="25"/>
      <c r="V206" s="24"/>
      <c r="W206" s="23">
        <f t="shared" si="17"/>
        <v>0</v>
      </c>
      <c r="X206" s="22"/>
      <c r="Y206" s="22"/>
      <c r="Z206" s="22"/>
      <c r="AA206" s="22"/>
      <c r="AB206" s="22"/>
      <c r="AC206" s="22"/>
      <c r="AD206" s="22"/>
    </row>
    <row r="207" spans="1:30" s="21" customFormat="1" x14ac:dyDescent="0.25">
      <c r="A207" s="22"/>
      <c r="B207" s="22"/>
      <c r="C207" s="22"/>
      <c r="D207" s="22"/>
      <c r="E207" s="22" t="str">
        <f t="shared" si="14"/>
        <v>PROG</v>
      </c>
      <c r="F207" s="22"/>
      <c r="G207" s="22" t="str">
        <f t="shared" si="15"/>
        <v>P</v>
      </c>
      <c r="H207" s="22"/>
      <c r="I207" s="22"/>
      <c r="J207" s="22"/>
      <c r="K207" s="22" t="str">
        <f t="shared" si="16"/>
        <v>ELEM</v>
      </c>
      <c r="L207" s="22"/>
      <c r="M207" s="22"/>
      <c r="N207" s="22" t="str">
        <f t="shared" si="13"/>
        <v>FONTE</v>
      </c>
      <c r="O207" s="22"/>
      <c r="P207" s="22"/>
      <c r="Q207" s="22"/>
      <c r="R207" s="22"/>
      <c r="S207" s="22"/>
      <c r="T207" s="22"/>
      <c r="U207" s="25"/>
      <c r="V207" s="24"/>
      <c r="W207" s="23">
        <f t="shared" si="17"/>
        <v>0</v>
      </c>
      <c r="X207" s="22"/>
      <c r="Y207" s="22"/>
      <c r="Z207" s="22"/>
      <c r="AA207" s="22"/>
      <c r="AB207" s="22"/>
      <c r="AC207" s="22"/>
      <c r="AD207" s="22"/>
    </row>
    <row r="208" spans="1:30" s="21" customFormat="1" x14ac:dyDescent="0.25">
      <c r="A208" s="22"/>
      <c r="B208" s="22"/>
      <c r="C208" s="22"/>
      <c r="D208" s="22"/>
      <c r="E208" s="22" t="str">
        <f t="shared" si="14"/>
        <v>PROG</v>
      </c>
      <c r="F208" s="22"/>
      <c r="G208" s="22" t="str">
        <f t="shared" si="15"/>
        <v>P</v>
      </c>
      <c r="H208" s="22"/>
      <c r="I208" s="22"/>
      <c r="J208" s="22"/>
      <c r="K208" s="22" t="str">
        <f t="shared" si="16"/>
        <v>ELEM</v>
      </c>
      <c r="L208" s="22"/>
      <c r="M208" s="22"/>
      <c r="N208" s="22" t="str">
        <f t="shared" ref="N208:N215" si="18">CONCATENATE("FONTE",A208)</f>
        <v>FONTE</v>
      </c>
      <c r="O208" s="22"/>
      <c r="P208" s="22"/>
      <c r="Q208" s="22"/>
      <c r="R208" s="22"/>
      <c r="S208" s="22"/>
      <c r="T208" s="22"/>
      <c r="U208" s="25"/>
      <c r="V208" s="24"/>
      <c r="W208" s="23">
        <f t="shared" si="17"/>
        <v>0</v>
      </c>
      <c r="X208" s="22"/>
      <c r="Y208" s="22"/>
      <c r="Z208" s="22"/>
      <c r="AA208" s="22"/>
      <c r="AB208" s="22"/>
      <c r="AC208" s="22"/>
      <c r="AD208" s="22"/>
    </row>
    <row r="209" spans="1:30" s="21" customFormat="1" x14ac:dyDescent="0.25">
      <c r="A209" s="22"/>
      <c r="B209" s="22"/>
      <c r="C209" s="22"/>
      <c r="D209" s="22"/>
      <c r="E209" s="22" t="str">
        <f t="shared" ref="E209:E215" si="19">CONCATENATE(A209,"PROG")</f>
        <v>PROG</v>
      </c>
      <c r="F209" s="22"/>
      <c r="G209" s="22" t="str">
        <f t="shared" ref="G209:G215" si="20">CONCATENATE("P",(LEFT(F209,3)),A209)</f>
        <v>P</v>
      </c>
      <c r="H209" s="22"/>
      <c r="I209" s="22"/>
      <c r="J209" s="22"/>
      <c r="K209" s="22" t="str">
        <f t="shared" ref="K209:K215" si="21">CONCATENATE("ELEM",LEFT(J209,2))</f>
        <v>ELEM</v>
      </c>
      <c r="L209" s="22"/>
      <c r="M209" s="22"/>
      <c r="N209" s="22" t="str">
        <f t="shared" si="18"/>
        <v>FONTE</v>
      </c>
      <c r="O209" s="22"/>
      <c r="P209" s="22"/>
      <c r="Q209" s="22"/>
      <c r="R209" s="22"/>
      <c r="S209" s="22"/>
      <c r="T209" s="22"/>
      <c r="U209" s="25"/>
      <c r="V209" s="24"/>
      <c r="W209" s="23">
        <f t="shared" ref="W209:W215" si="22">S209*U209*V209</f>
        <v>0</v>
      </c>
      <c r="X209" s="22"/>
      <c r="Y209" s="22"/>
      <c r="Z209" s="22"/>
      <c r="AA209" s="22"/>
      <c r="AB209" s="22"/>
      <c r="AC209" s="22"/>
      <c r="AD209" s="22"/>
    </row>
    <row r="210" spans="1:30" s="21" customFormat="1" x14ac:dyDescent="0.25">
      <c r="A210" s="22"/>
      <c r="B210" s="22"/>
      <c r="C210" s="22"/>
      <c r="D210" s="22"/>
      <c r="E210" s="22" t="str">
        <f t="shared" si="19"/>
        <v>PROG</v>
      </c>
      <c r="F210" s="22"/>
      <c r="G210" s="22" t="str">
        <f t="shared" si="20"/>
        <v>P</v>
      </c>
      <c r="H210" s="22"/>
      <c r="I210" s="22"/>
      <c r="J210" s="22"/>
      <c r="K210" s="22" t="str">
        <f t="shared" si="21"/>
        <v>ELEM</v>
      </c>
      <c r="L210" s="22"/>
      <c r="M210" s="22"/>
      <c r="N210" s="22" t="str">
        <f t="shared" si="18"/>
        <v>FONTE</v>
      </c>
      <c r="O210" s="22"/>
      <c r="P210" s="22"/>
      <c r="Q210" s="22"/>
      <c r="R210" s="22"/>
      <c r="S210" s="22"/>
      <c r="T210" s="22"/>
      <c r="U210" s="25"/>
      <c r="V210" s="24"/>
      <c r="W210" s="23">
        <f t="shared" si="22"/>
        <v>0</v>
      </c>
      <c r="X210" s="22"/>
      <c r="Y210" s="22"/>
      <c r="Z210" s="22"/>
      <c r="AA210" s="22"/>
      <c r="AB210" s="22"/>
      <c r="AC210" s="22"/>
      <c r="AD210" s="22"/>
    </row>
    <row r="211" spans="1:30" s="21" customFormat="1" x14ac:dyDescent="0.25">
      <c r="A211" s="22"/>
      <c r="B211" s="22"/>
      <c r="C211" s="22"/>
      <c r="D211" s="22"/>
      <c r="E211" s="22" t="str">
        <f t="shared" si="19"/>
        <v>PROG</v>
      </c>
      <c r="F211" s="22"/>
      <c r="G211" s="22" t="str">
        <f t="shared" si="20"/>
        <v>P</v>
      </c>
      <c r="H211" s="22"/>
      <c r="I211" s="22"/>
      <c r="J211" s="22"/>
      <c r="K211" s="22" t="str">
        <f t="shared" si="21"/>
        <v>ELEM</v>
      </c>
      <c r="L211" s="22"/>
      <c r="M211" s="22"/>
      <c r="N211" s="22" t="str">
        <f t="shared" si="18"/>
        <v>FONTE</v>
      </c>
      <c r="O211" s="22"/>
      <c r="P211" s="22"/>
      <c r="Q211" s="22"/>
      <c r="R211" s="22"/>
      <c r="S211" s="22"/>
      <c r="T211" s="22"/>
      <c r="U211" s="25"/>
      <c r="V211" s="24"/>
      <c r="W211" s="23">
        <f t="shared" si="22"/>
        <v>0</v>
      </c>
      <c r="X211" s="22"/>
      <c r="Y211" s="22"/>
      <c r="Z211" s="22"/>
      <c r="AA211" s="22"/>
      <c r="AB211" s="22"/>
      <c r="AC211" s="22"/>
      <c r="AD211" s="22"/>
    </row>
    <row r="212" spans="1:30" s="21" customFormat="1" x14ac:dyDescent="0.25">
      <c r="A212" s="22"/>
      <c r="B212" s="22"/>
      <c r="C212" s="22"/>
      <c r="D212" s="22"/>
      <c r="E212" s="22" t="str">
        <f t="shared" si="19"/>
        <v>PROG</v>
      </c>
      <c r="F212" s="22"/>
      <c r="G212" s="22" t="str">
        <f t="shared" si="20"/>
        <v>P</v>
      </c>
      <c r="H212" s="22"/>
      <c r="I212" s="22"/>
      <c r="J212" s="22"/>
      <c r="K212" s="22" t="str">
        <f t="shared" si="21"/>
        <v>ELEM</v>
      </c>
      <c r="L212" s="22"/>
      <c r="M212" s="22"/>
      <c r="N212" s="22" t="str">
        <f t="shared" si="18"/>
        <v>FONTE</v>
      </c>
      <c r="O212" s="22"/>
      <c r="P212" s="22"/>
      <c r="Q212" s="22"/>
      <c r="R212" s="22"/>
      <c r="S212" s="22"/>
      <c r="T212" s="22"/>
      <c r="U212" s="22"/>
      <c r="V212" s="24"/>
      <c r="W212" s="23">
        <f t="shared" si="22"/>
        <v>0</v>
      </c>
      <c r="X212" s="22"/>
      <c r="Y212" s="22"/>
      <c r="Z212" s="22"/>
      <c r="AA212" s="22"/>
      <c r="AB212" s="22"/>
      <c r="AC212" s="22"/>
      <c r="AD212" s="22"/>
    </row>
    <row r="213" spans="1:30" s="21" customFormat="1" x14ac:dyDescent="0.25">
      <c r="A213" s="22"/>
      <c r="B213" s="22"/>
      <c r="C213" s="22"/>
      <c r="D213" s="22"/>
      <c r="E213" s="22" t="str">
        <f t="shared" si="19"/>
        <v>PROG</v>
      </c>
      <c r="F213" s="22"/>
      <c r="G213" s="22" t="str">
        <f t="shared" si="20"/>
        <v>P</v>
      </c>
      <c r="H213" s="22"/>
      <c r="I213" s="22"/>
      <c r="J213" s="22"/>
      <c r="K213" s="22" t="str">
        <f t="shared" si="21"/>
        <v>ELEM</v>
      </c>
      <c r="L213" s="22"/>
      <c r="M213" s="22"/>
      <c r="N213" s="22" t="str">
        <f t="shared" si="18"/>
        <v>FONTE</v>
      </c>
      <c r="O213" s="22"/>
      <c r="P213" s="22"/>
      <c r="Q213" s="22"/>
      <c r="R213" s="22"/>
      <c r="S213" s="22"/>
      <c r="T213" s="22"/>
      <c r="U213" s="22"/>
      <c r="V213" s="24"/>
      <c r="W213" s="23">
        <f t="shared" si="22"/>
        <v>0</v>
      </c>
      <c r="X213" s="22"/>
      <c r="Y213" s="22"/>
      <c r="Z213" s="22"/>
      <c r="AA213" s="22"/>
      <c r="AB213" s="22"/>
      <c r="AC213" s="22"/>
      <c r="AD213" s="22"/>
    </row>
    <row r="214" spans="1:30" s="21" customFormat="1" x14ac:dyDescent="0.25">
      <c r="A214" s="22"/>
      <c r="B214" s="22"/>
      <c r="C214" s="22"/>
      <c r="D214" s="22"/>
      <c r="E214" s="22" t="str">
        <f t="shared" si="19"/>
        <v>PROG</v>
      </c>
      <c r="F214" s="22"/>
      <c r="G214" s="22" t="str">
        <f t="shared" si="20"/>
        <v>P</v>
      </c>
      <c r="H214" s="22"/>
      <c r="I214" s="22"/>
      <c r="J214" s="22"/>
      <c r="K214" s="22" t="str">
        <f t="shared" si="21"/>
        <v>ELEM</v>
      </c>
      <c r="L214" s="22"/>
      <c r="M214" s="22"/>
      <c r="N214" s="22" t="str">
        <f t="shared" si="18"/>
        <v>FONTE</v>
      </c>
      <c r="O214" s="22"/>
      <c r="P214" s="22"/>
      <c r="Q214" s="22"/>
      <c r="R214" s="22"/>
      <c r="S214" s="22"/>
      <c r="T214" s="22"/>
      <c r="U214" s="22"/>
      <c r="V214" s="24"/>
      <c r="W214" s="23">
        <f t="shared" si="22"/>
        <v>0</v>
      </c>
      <c r="X214" s="22"/>
      <c r="Y214" s="22"/>
      <c r="Z214" s="22"/>
      <c r="AA214" s="22"/>
      <c r="AB214" s="22"/>
      <c r="AC214" s="22"/>
      <c r="AD214" s="22"/>
    </row>
    <row r="215" spans="1:30" s="21" customFormat="1" x14ac:dyDescent="0.25">
      <c r="A215" s="22"/>
      <c r="B215" s="22"/>
      <c r="C215" s="22"/>
      <c r="D215" s="22"/>
      <c r="E215" s="22" t="str">
        <f t="shared" si="19"/>
        <v>PROG</v>
      </c>
      <c r="F215" s="22"/>
      <c r="G215" s="22" t="str">
        <f t="shared" si="20"/>
        <v>P</v>
      </c>
      <c r="H215" s="22"/>
      <c r="I215" s="22"/>
      <c r="J215" s="22"/>
      <c r="K215" s="22" t="str">
        <f t="shared" si="21"/>
        <v>ELEM</v>
      </c>
      <c r="L215" s="22"/>
      <c r="M215" s="22"/>
      <c r="N215" s="22" t="str">
        <f t="shared" si="18"/>
        <v>FONTE</v>
      </c>
      <c r="O215" s="22"/>
      <c r="P215" s="22"/>
      <c r="Q215" s="22"/>
      <c r="R215" s="22"/>
      <c r="S215" s="22"/>
      <c r="T215" s="22"/>
      <c r="U215" s="22"/>
      <c r="V215" s="24"/>
      <c r="W215" s="23">
        <f t="shared" si="22"/>
        <v>0</v>
      </c>
      <c r="X215" s="22"/>
      <c r="Y215" s="22"/>
      <c r="Z215" s="22"/>
      <c r="AA215" s="22"/>
      <c r="AB215" s="22"/>
      <c r="AC215" s="22"/>
      <c r="AD215" s="22"/>
    </row>
  </sheetData>
  <sheetProtection formatCells="0" formatRows="0" insertRows="0" deleteRows="0" sort="0" autoFilter="0" pivotTables="0"/>
  <dataValidations count="6">
    <dataValidation type="whole" allowBlank="1" showInputMessage="1" showErrorMessage="1" sqref="AB2:AD215">
      <formula1>1</formula1>
      <formula2>200</formula2>
    </dataValidation>
    <dataValidation type="list" allowBlank="1" showInputMessage="1" showErrorMessage="1" error="Favor selecionar uma opção disponível na lista. Nela aparecem somente os ações vinculadas ao programa escolhido na coluna F. " sqref="H2:H215">
      <formula1>INDIRECT(G2)</formula1>
    </dataValidation>
    <dataValidation type="list" allowBlank="1" showInputMessage="1" showErrorMessage="1" error="Favor selecionar uma opção disponível na lista. Nela aparecem somente os programas vinculados à UO escolhida na coluna A. " sqref="F2:F215">
      <formula1>INDIRECT(E2)</formula1>
    </dataValidation>
    <dataValidation type="list" allowBlank="1" showInputMessage="1" showErrorMessage="1" sqref="F216:F1048576">
      <formula1>INDIRECT(E217)</formula1>
    </dataValidation>
    <dataValidation type="list" allowBlank="1" showInputMessage="1" showErrorMessage="1" sqref="L2:L215 H216:H1048576 O2:O1048576">
      <formula1>INDIRECT(G2)</formula1>
    </dataValidation>
    <dataValidation type="list" allowBlank="1" showInputMessage="1" showErrorMessage="1" sqref="B216:B1048576 B2:C215">
      <formula1>INDIRECT($A$5)</formula1>
    </dataValidation>
  </dataValidations>
  <pageMargins left="0.511811024" right="0.511811024" top="0.78740157499999996" bottom="0.78740157499999996" header="0.31496062000000002" footer="0.31496062000000002"/>
  <pageSetup paperSize="9" orientation="portrait"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ELEMENTO!$A$1:$AK$1</xm:f>
          </x14:formula1>
          <xm:sqref>J2:J215</xm:sqref>
        </x14:dataValidation>
        <x14:dataValidation type="list" allowBlank="1" showInputMessage="1" showErrorMessage="1">
          <x14:formula1>
            <xm:f>CENÁRIO!$A$8:$A$9</xm:f>
          </x14:formula1>
          <xm:sqref>M2:M1048576</xm:sqref>
        </x14:dataValidation>
        <x14:dataValidation type="list" allowBlank="1" showInputMessage="1" showErrorMessage="1">
          <x14:formula1>
            <xm:f>CENÁRIO!$A$2:$A$3</xm:f>
          </x14:formula1>
          <xm:sqref>X2:X1048576</xm:sqref>
        </x14:dataValidation>
        <x14:dataValidation type="list" allowBlank="1" showInputMessage="1" showErrorMessage="1">
          <x14:formula1>
            <xm:f>CENÁRIO!$C$2:$C$3</xm:f>
          </x14:formula1>
          <xm:sqref>Q2:Q1048576</xm:sqref>
        </x14:dataValidation>
        <x14:dataValidation type="list" allowBlank="1" showInputMessage="1" showErrorMessage="1" error="Favor selecionar uma opção disponível na lista. ">
          <x14:formula1>
            <xm:f>ORGANOGRAMA!$A$1:$L$1</xm:f>
          </x14:formula1>
          <xm:sqref>A2:A215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Q12"/>
  <sheetViews>
    <sheetView showGridLines="0" zoomScale="110" zoomScaleNormal="110" workbookViewId="0">
      <pane ySplit="1" topLeftCell="A2" activePane="bottomLeft" state="frozen"/>
      <selection activeCell="G1" sqref="G1:G2"/>
      <selection pane="bottomLeft" activeCell="H1" sqref="H1"/>
    </sheetView>
  </sheetViews>
  <sheetFormatPr defaultColWidth="8.85546875" defaultRowHeight="15" x14ac:dyDescent="0.25"/>
  <cols>
    <col min="1" max="1" width="2.28515625" style="6" customWidth="1"/>
    <col min="2" max="2" width="32.140625" style="6" customWidth="1"/>
    <col min="3" max="3" width="23.28515625" style="6" bestFit="1" customWidth="1"/>
    <col min="4" max="4" width="3.28515625" style="6" customWidth="1"/>
    <col min="5" max="5" width="9.5703125" style="6" customWidth="1"/>
    <col min="6" max="6" width="50.28515625" style="6" customWidth="1"/>
    <col min="7" max="7" width="3.85546875" style="6" customWidth="1"/>
    <col min="8" max="8" width="15" style="6" customWidth="1"/>
    <col min="9" max="9" width="39" style="6" customWidth="1"/>
    <col min="10" max="10" width="30.85546875" style="6" customWidth="1"/>
    <col min="11" max="11" width="42.85546875" style="6" customWidth="1"/>
    <col min="12" max="12" width="25.28515625" style="6" hidden="1" customWidth="1"/>
    <col min="13" max="13" width="20.85546875" style="6" customWidth="1"/>
    <col min="14" max="14" width="26.42578125" style="6" bestFit="1" customWidth="1"/>
    <col min="15" max="15" width="22.85546875" style="6" hidden="1" customWidth="1"/>
    <col min="16" max="16" width="26.28515625" style="6" bestFit="1" customWidth="1"/>
    <col min="17" max="17" width="26.28515625" style="21" customWidth="1"/>
    <col min="18" max="18" width="7.140625" style="6" bestFit="1" customWidth="1"/>
    <col min="19" max="19" width="18" style="6" bestFit="1" customWidth="1"/>
    <col min="20" max="20" width="8.5703125" style="6" bestFit="1" customWidth="1"/>
    <col min="21" max="21" width="18.7109375" style="6" bestFit="1" customWidth="1"/>
    <col min="22" max="22" width="15.7109375" style="6" bestFit="1" customWidth="1"/>
    <col min="23" max="23" width="23.85546875" style="6" bestFit="1" customWidth="1"/>
    <col min="24" max="24" width="17.7109375" style="6" bestFit="1" customWidth="1"/>
    <col min="25" max="25" width="22.7109375" style="6" bestFit="1" customWidth="1"/>
    <col min="26" max="26" width="22.140625" style="6" bestFit="1" customWidth="1"/>
    <col min="27" max="27" width="19" style="6" bestFit="1" customWidth="1"/>
    <col min="28" max="28" width="18.7109375" style="6" bestFit="1" customWidth="1"/>
    <col min="29" max="29" width="33.7109375" style="6" bestFit="1" customWidth="1"/>
    <col min="30" max="30" width="31.140625" style="6" bestFit="1" customWidth="1"/>
    <col min="31" max="31" width="26.5703125" style="6" bestFit="1" customWidth="1"/>
    <col min="32" max="16384" width="8.85546875" style="6"/>
  </cols>
  <sheetData>
    <row r="1" spans="2:17" s="44" customFormat="1" ht="60.75" customHeight="1" x14ac:dyDescent="0.25">
      <c r="G1"/>
      <c r="H1" s="45" t="s">
        <v>6</v>
      </c>
      <c r="I1" s="324"/>
      <c r="J1" s="324"/>
      <c r="K1" s="324"/>
    </row>
    <row r="2" spans="2:17" s="44" customFormat="1" ht="24.75" customHeight="1" x14ac:dyDescent="0.25">
      <c r="B2" s="325" t="s">
        <v>179</v>
      </c>
      <c r="C2" s="325"/>
      <c r="D2" s="325"/>
      <c r="E2" s="325"/>
      <c r="F2" s="325"/>
      <c r="G2" s="79"/>
      <c r="H2" s="79"/>
      <c r="I2" s="79"/>
      <c r="J2" s="51"/>
      <c r="K2" s="51"/>
    </row>
    <row r="3" spans="2:17" ht="6.75" customHeight="1" x14ac:dyDescent="0.25"/>
    <row r="4" spans="2:17" ht="63" customHeight="1" x14ac:dyDescent="0.25">
      <c r="B4" s="320" t="s">
        <v>180</v>
      </c>
      <c r="C4" s="322"/>
      <c r="E4" s="320" t="s">
        <v>181</v>
      </c>
      <c r="F4" s="322"/>
      <c r="N4" s="21"/>
      <c r="Q4" s="6"/>
    </row>
    <row r="5" spans="2:17" x14ac:dyDescent="0.25">
      <c r="N5" s="21"/>
      <c r="Q5" s="6"/>
    </row>
    <row r="6" spans="2:17" ht="69.75" customHeight="1" x14ac:dyDescent="0.25">
      <c r="B6" s="319" t="s">
        <v>182</v>
      </c>
      <c r="C6" s="323"/>
      <c r="D6" s="323"/>
      <c r="E6" s="323"/>
      <c r="F6" s="323"/>
      <c r="G6" s="323"/>
      <c r="H6" s="318"/>
      <c r="N6" s="21"/>
      <c r="Q6" s="6"/>
    </row>
    <row r="8" spans="2:17" ht="28.5" customHeight="1" x14ac:dyDescent="0.25">
      <c r="B8" s="325" t="s">
        <v>183</v>
      </c>
      <c r="C8" s="325"/>
      <c r="D8" s="325"/>
      <c r="E8" s="325"/>
      <c r="F8" s="325"/>
    </row>
    <row r="10" spans="2:17" ht="50.25" customHeight="1" x14ac:dyDescent="0.25">
      <c r="B10" s="317" t="s">
        <v>184</v>
      </c>
      <c r="C10" s="318"/>
      <c r="E10" s="319" t="s">
        <v>185</v>
      </c>
      <c r="F10" s="318"/>
    </row>
    <row r="12" spans="2:17" ht="48" customHeight="1" x14ac:dyDescent="0.25">
      <c r="B12" s="320" t="s">
        <v>186</v>
      </c>
      <c r="C12" s="321"/>
      <c r="D12" s="321"/>
      <c r="E12" s="321"/>
      <c r="F12" s="322"/>
    </row>
  </sheetData>
  <sheetProtection formatCells="0" formatRows="0" insertRows="0" deleteRows="0" sort="0" autoFilter="0" pivotTables="0"/>
  <mergeCells count="9">
    <mergeCell ref="B10:C10"/>
    <mergeCell ref="E10:F10"/>
    <mergeCell ref="B12:F12"/>
    <mergeCell ref="B6:H6"/>
    <mergeCell ref="I1:K1"/>
    <mergeCell ref="B4:C4"/>
    <mergeCell ref="E4:F4"/>
    <mergeCell ref="B2:F2"/>
    <mergeCell ref="B8:F8"/>
  </mergeCells>
  <hyperlinks>
    <hyperlink ref="H1" location="INDICE!A1" display="INDICE"/>
  </hyperlinks>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K199"/>
  <sheetViews>
    <sheetView topLeftCell="I1" workbookViewId="0">
      <selection activeCell="R1" sqref="R1"/>
    </sheetView>
  </sheetViews>
  <sheetFormatPr defaultColWidth="18.28515625" defaultRowHeight="44.45" customHeight="1" x14ac:dyDescent="0.2"/>
  <cols>
    <col min="1" max="36" width="18.28515625" style="19"/>
    <col min="37" max="37" width="53.28515625" style="19" bestFit="1" customWidth="1"/>
    <col min="38" max="16384" width="18.28515625" style="19"/>
  </cols>
  <sheetData>
    <row r="1" spans="1:63" s="17" customFormat="1" ht="12" x14ac:dyDescent="0.2">
      <c r="A1" s="16" t="s">
        <v>187</v>
      </c>
      <c r="B1" s="16" t="s">
        <v>144</v>
      </c>
      <c r="C1" s="16" t="s">
        <v>188</v>
      </c>
      <c r="D1" s="16" t="s">
        <v>189</v>
      </c>
      <c r="E1" s="16" t="s">
        <v>190</v>
      </c>
      <c r="F1" s="16" t="s">
        <v>191</v>
      </c>
      <c r="G1" s="16" t="s">
        <v>192</v>
      </c>
      <c r="H1" s="16" t="s">
        <v>193</v>
      </c>
      <c r="I1" s="16" t="s">
        <v>136</v>
      </c>
      <c r="J1" s="16" t="s">
        <v>194</v>
      </c>
      <c r="K1" s="16" t="s">
        <v>195</v>
      </c>
      <c r="L1" s="16" t="s">
        <v>142</v>
      </c>
      <c r="M1" s="16" t="s">
        <v>196</v>
      </c>
      <c r="N1" s="16" t="s">
        <v>175</v>
      </c>
      <c r="O1" s="16" t="s">
        <v>197</v>
      </c>
      <c r="P1" s="16" t="s">
        <v>159</v>
      </c>
      <c r="Q1" s="16" t="s">
        <v>198</v>
      </c>
      <c r="R1" s="16" t="s">
        <v>164</v>
      </c>
      <c r="S1" s="16" t="s">
        <v>199</v>
      </c>
      <c r="T1" s="16" t="s">
        <v>200</v>
      </c>
      <c r="U1" s="16" t="s">
        <v>201</v>
      </c>
      <c r="V1" s="16" t="s">
        <v>202</v>
      </c>
      <c r="W1" s="16" t="s">
        <v>203</v>
      </c>
      <c r="X1" s="16" t="s">
        <v>204</v>
      </c>
      <c r="Y1" s="16" t="s">
        <v>205</v>
      </c>
      <c r="Z1" s="16" t="s">
        <v>171</v>
      </c>
      <c r="AA1" s="16" t="s">
        <v>206</v>
      </c>
      <c r="AB1" s="16" t="s">
        <v>207</v>
      </c>
      <c r="AC1" s="16" t="s">
        <v>208</v>
      </c>
      <c r="AD1" s="16" t="s">
        <v>209</v>
      </c>
      <c r="AE1" s="16" t="s">
        <v>210</v>
      </c>
      <c r="AF1" s="16" t="s">
        <v>211</v>
      </c>
      <c r="AG1" s="16" t="s">
        <v>212</v>
      </c>
      <c r="AH1" s="16" t="s">
        <v>213</v>
      </c>
      <c r="AI1" s="16" t="s">
        <v>214</v>
      </c>
      <c r="AJ1" s="16" t="s">
        <v>215</v>
      </c>
      <c r="AK1" s="16" t="s">
        <v>216</v>
      </c>
    </row>
    <row r="2" spans="1:63" ht="44.45" customHeight="1" x14ac:dyDescent="0.2">
      <c r="A2" s="18" t="s">
        <v>217</v>
      </c>
      <c r="B2" s="18" t="s">
        <v>42</v>
      </c>
      <c r="C2" s="18" t="s">
        <v>218</v>
      </c>
      <c r="D2" s="18" t="s">
        <v>219</v>
      </c>
      <c r="E2" s="18" t="s">
        <v>220</v>
      </c>
      <c r="F2" s="18" t="s">
        <v>221</v>
      </c>
      <c r="G2" s="18" t="s">
        <v>222</v>
      </c>
      <c r="H2" s="18" t="s">
        <v>223</v>
      </c>
      <c r="I2" s="18" t="s">
        <v>224</v>
      </c>
      <c r="J2" s="18" t="s">
        <v>225</v>
      </c>
      <c r="K2" s="18" t="s">
        <v>226</v>
      </c>
      <c r="L2" s="18" t="s">
        <v>53</v>
      </c>
      <c r="M2" s="18" t="s">
        <v>227</v>
      </c>
      <c r="N2" s="18" t="s">
        <v>228</v>
      </c>
      <c r="O2" s="18" t="s">
        <v>229</v>
      </c>
      <c r="P2" s="18" t="s">
        <v>230</v>
      </c>
      <c r="Q2" s="18" t="s">
        <v>231</v>
      </c>
      <c r="R2" s="18" t="s">
        <v>232</v>
      </c>
      <c r="S2" s="18" t="s">
        <v>233</v>
      </c>
      <c r="T2" s="18" t="s">
        <v>234</v>
      </c>
      <c r="U2" s="18" t="s">
        <v>235</v>
      </c>
      <c r="V2" s="18" t="s">
        <v>236</v>
      </c>
      <c r="W2" s="18" t="s">
        <v>237</v>
      </c>
      <c r="X2" s="18" t="s">
        <v>238</v>
      </c>
      <c r="Y2" s="18" t="s">
        <v>239</v>
      </c>
      <c r="Z2" s="18" t="s">
        <v>240</v>
      </c>
      <c r="AA2" s="18" t="s">
        <v>241</v>
      </c>
      <c r="AB2" s="18" t="s">
        <v>242</v>
      </c>
      <c r="AC2" s="18" t="s">
        <v>243</v>
      </c>
      <c r="AD2" s="18" t="s">
        <v>244</v>
      </c>
      <c r="AE2" s="18" t="s">
        <v>245</v>
      </c>
      <c r="AF2" s="18" t="s">
        <v>246</v>
      </c>
      <c r="AG2" s="18" t="s">
        <v>247</v>
      </c>
      <c r="AH2" s="18" t="s">
        <v>248</v>
      </c>
      <c r="AI2" s="18" t="s">
        <v>249</v>
      </c>
      <c r="AJ2" s="18" t="s">
        <v>250</v>
      </c>
      <c r="AK2" s="18" t="s">
        <v>251</v>
      </c>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row>
    <row r="3" spans="1:63" ht="44.45" customHeight="1" x14ac:dyDescent="0.2">
      <c r="A3" s="18" t="s">
        <v>252</v>
      </c>
      <c r="B3" s="18"/>
      <c r="C3" s="18"/>
      <c r="D3" s="18" t="s">
        <v>253</v>
      </c>
      <c r="E3" s="18"/>
      <c r="F3" s="18"/>
      <c r="G3" s="18" t="s">
        <v>254</v>
      </c>
      <c r="H3" s="18"/>
      <c r="I3" s="18" t="s">
        <v>255</v>
      </c>
      <c r="J3" s="18" t="s">
        <v>256</v>
      </c>
      <c r="K3" s="18" t="s">
        <v>257</v>
      </c>
      <c r="L3" s="18" t="s">
        <v>258</v>
      </c>
      <c r="M3" s="18" t="s">
        <v>259</v>
      </c>
      <c r="N3" s="18" t="s">
        <v>176</v>
      </c>
      <c r="O3" s="18" t="s">
        <v>260</v>
      </c>
      <c r="P3" s="18" t="s">
        <v>101</v>
      </c>
      <c r="Q3" s="18"/>
      <c r="R3" s="18" t="s">
        <v>261</v>
      </c>
      <c r="S3" s="18" t="s">
        <v>262</v>
      </c>
      <c r="T3" s="18" t="s">
        <v>263</v>
      </c>
      <c r="U3" s="18"/>
      <c r="V3" s="18"/>
      <c r="W3" s="18"/>
      <c r="X3" s="18" t="s">
        <v>264</v>
      </c>
      <c r="Y3" s="18" t="s">
        <v>265</v>
      </c>
      <c r="Z3" s="18" t="s">
        <v>266</v>
      </c>
      <c r="AA3" s="18" t="s">
        <v>267</v>
      </c>
      <c r="AB3" s="18" t="s">
        <v>268</v>
      </c>
      <c r="AC3" s="18"/>
      <c r="AD3" s="18"/>
      <c r="AE3" s="18"/>
      <c r="AF3" s="18" t="s">
        <v>269</v>
      </c>
      <c r="AG3" s="18" t="s">
        <v>270</v>
      </c>
      <c r="AH3" s="18"/>
      <c r="AI3" s="18" t="s">
        <v>271</v>
      </c>
      <c r="AJ3" s="18" t="s">
        <v>272</v>
      </c>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row>
    <row r="4" spans="1:63" ht="44.45" customHeight="1" x14ac:dyDescent="0.2">
      <c r="A4" s="18" t="s">
        <v>273</v>
      </c>
      <c r="B4" s="18"/>
      <c r="C4" s="18"/>
      <c r="D4" s="18" t="s">
        <v>274</v>
      </c>
      <c r="E4" s="18"/>
      <c r="F4" s="18"/>
      <c r="G4" s="18" t="s">
        <v>275</v>
      </c>
      <c r="H4" s="18"/>
      <c r="I4" s="18" t="s">
        <v>276</v>
      </c>
      <c r="J4" s="18" t="s">
        <v>277</v>
      </c>
      <c r="K4" s="18"/>
      <c r="L4" s="18" t="s">
        <v>278</v>
      </c>
      <c r="M4" s="18" t="s">
        <v>279</v>
      </c>
      <c r="N4" s="18" t="s">
        <v>280</v>
      </c>
      <c r="O4" s="18" t="s">
        <v>281</v>
      </c>
      <c r="P4" s="18" t="s">
        <v>115</v>
      </c>
      <c r="Q4" s="18"/>
      <c r="R4" s="18" t="s">
        <v>85</v>
      </c>
      <c r="S4" s="18" t="s">
        <v>282</v>
      </c>
      <c r="T4" s="18" t="s">
        <v>283</v>
      </c>
      <c r="U4" s="18"/>
      <c r="V4" s="18"/>
      <c r="W4" s="18"/>
      <c r="X4" s="18" t="s">
        <v>284</v>
      </c>
      <c r="Y4" s="18" t="s">
        <v>285</v>
      </c>
      <c r="Z4" s="18" t="s">
        <v>286</v>
      </c>
      <c r="AA4" s="18" t="s">
        <v>287</v>
      </c>
      <c r="AB4" s="18" t="s">
        <v>288</v>
      </c>
      <c r="AC4" s="18"/>
      <c r="AD4" s="18"/>
      <c r="AE4" s="18"/>
      <c r="AF4" s="18"/>
      <c r="AG4" s="18" t="s">
        <v>289</v>
      </c>
      <c r="AH4" s="18"/>
      <c r="AI4" s="18" t="s">
        <v>290</v>
      </c>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row>
    <row r="5" spans="1:63" ht="44.45" customHeight="1" x14ac:dyDescent="0.2">
      <c r="A5" s="18" t="s">
        <v>291</v>
      </c>
      <c r="B5" s="18"/>
      <c r="C5" s="18"/>
      <c r="D5" s="18" t="s">
        <v>292</v>
      </c>
      <c r="E5" s="18"/>
      <c r="F5" s="18"/>
      <c r="G5" s="18"/>
      <c r="H5" s="18"/>
      <c r="I5" s="18" t="s">
        <v>148</v>
      </c>
      <c r="J5" s="18" t="s">
        <v>293</v>
      </c>
      <c r="K5" s="18"/>
      <c r="L5" s="18" t="s">
        <v>294</v>
      </c>
      <c r="M5" s="18" t="s">
        <v>295</v>
      </c>
      <c r="N5" s="18"/>
      <c r="O5" s="18" t="s">
        <v>296</v>
      </c>
      <c r="P5" s="18" t="s">
        <v>297</v>
      </c>
      <c r="Q5" s="18"/>
      <c r="R5" s="18" t="s">
        <v>298</v>
      </c>
      <c r="S5" s="18" t="s">
        <v>299</v>
      </c>
      <c r="T5" s="18" t="s">
        <v>300</v>
      </c>
      <c r="U5" s="18"/>
      <c r="V5" s="18"/>
      <c r="W5" s="18"/>
      <c r="X5" s="18" t="s">
        <v>301</v>
      </c>
      <c r="Y5" s="18"/>
      <c r="Z5" s="18" t="s">
        <v>302</v>
      </c>
      <c r="AA5" s="18" t="s">
        <v>303</v>
      </c>
      <c r="AB5" s="18" t="s">
        <v>304</v>
      </c>
      <c r="AC5" s="18"/>
      <c r="AD5" s="18"/>
      <c r="AE5" s="18"/>
      <c r="AF5" s="18"/>
      <c r="AG5" s="18"/>
      <c r="AH5" s="18"/>
      <c r="AI5" s="18" t="s">
        <v>305</v>
      </c>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row>
    <row r="6" spans="1:63" ht="44.45" customHeight="1" x14ac:dyDescent="0.2">
      <c r="A6" s="18" t="s">
        <v>306</v>
      </c>
      <c r="B6" s="18"/>
      <c r="C6" s="18"/>
      <c r="D6" s="18" t="s">
        <v>307</v>
      </c>
      <c r="E6" s="18"/>
      <c r="F6" s="18"/>
      <c r="G6" s="18"/>
      <c r="H6" s="18"/>
      <c r="I6" s="18" t="s">
        <v>72</v>
      </c>
      <c r="J6" s="18"/>
      <c r="K6" s="18"/>
      <c r="L6" s="18" t="s">
        <v>308</v>
      </c>
      <c r="M6" s="18" t="s">
        <v>309</v>
      </c>
      <c r="N6" s="18"/>
      <c r="O6" s="18" t="s">
        <v>310</v>
      </c>
      <c r="P6" s="18" t="s">
        <v>311</v>
      </c>
      <c r="Q6" s="18"/>
      <c r="R6" s="18" t="s">
        <v>312</v>
      </c>
      <c r="S6" s="18" t="s">
        <v>313</v>
      </c>
      <c r="T6" s="18" t="s">
        <v>314</v>
      </c>
      <c r="U6" s="18"/>
      <c r="V6" s="18"/>
      <c r="W6" s="18"/>
      <c r="X6" s="18" t="s">
        <v>315</v>
      </c>
      <c r="Y6" s="18"/>
      <c r="Z6" s="18" t="s">
        <v>316</v>
      </c>
      <c r="AA6" s="18" t="s">
        <v>317</v>
      </c>
      <c r="AB6" s="18" t="s">
        <v>318</v>
      </c>
      <c r="AC6" s="18"/>
      <c r="AD6" s="18"/>
      <c r="AE6" s="18"/>
      <c r="AF6" s="18"/>
      <c r="AG6" s="18"/>
      <c r="AH6" s="18"/>
      <c r="AI6" s="18" t="s">
        <v>319</v>
      </c>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row>
    <row r="7" spans="1:63" ht="44.45" customHeight="1" x14ac:dyDescent="0.2">
      <c r="A7" s="18" t="s">
        <v>320</v>
      </c>
      <c r="B7" s="18"/>
      <c r="C7" s="18"/>
      <c r="D7" s="18" t="s">
        <v>321</v>
      </c>
      <c r="E7" s="18"/>
      <c r="F7" s="18"/>
      <c r="G7" s="18"/>
      <c r="H7" s="18"/>
      <c r="I7" s="18" t="s">
        <v>322</v>
      </c>
      <c r="J7" s="18"/>
      <c r="K7" s="18"/>
      <c r="L7" s="18"/>
      <c r="M7" s="18"/>
      <c r="N7" s="18"/>
      <c r="O7" s="18" t="s">
        <v>323</v>
      </c>
      <c r="P7" s="18" t="s">
        <v>324</v>
      </c>
      <c r="Q7" s="18"/>
      <c r="R7" s="18" t="s">
        <v>325</v>
      </c>
      <c r="S7" s="18" t="s">
        <v>92</v>
      </c>
      <c r="T7" s="18" t="s">
        <v>326</v>
      </c>
      <c r="U7" s="18"/>
      <c r="V7" s="18"/>
      <c r="W7" s="18"/>
      <c r="X7" s="18" t="s">
        <v>327</v>
      </c>
      <c r="Y7" s="18"/>
      <c r="Z7" s="18" t="s">
        <v>172</v>
      </c>
      <c r="AA7" s="18" t="s">
        <v>328</v>
      </c>
      <c r="AB7" s="18" t="s">
        <v>329</v>
      </c>
      <c r="AC7" s="18"/>
      <c r="AD7" s="18"/>
      <c r="AE7" s="18"/>
      <c r="AF7" s="18"/>
      <c r="AG7" s="18"/>
      <c r="AH7" s="18"/>
      <c r="AI7" s="18" t="s">
        <v>330</v>
      </c>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row>
    <row r="8" spans="1:63" ht="44.45" customHeight="1" x14ac:dyDescent="0.2">
      <c r="A8" s="18" t="s">
        <v>331</v>
      </c>
      <c r="B8" s="18"/>
      <c r="C8" s="18"/>
      <c r="D8" s="18"/>
      <c r="E8" s="18"/>
      <c r="F8" s="18"/>
      <c r="G8" s="18"/>
      <c r="H8" s="18"/>
      <c r="I8" s="18" t="s">
        <v>332</v>
      </c>
      <c r="J8" s="18"/>
      <c r="K8" s="18"/>
      <c r="L8" s="18"/>
      <c r="M8" s="18"/>
      <c r="N8" s="18"/>
      <c r="O8" s="18" t="s">
        <v>333</v>
      </c>
      <c r="P8" s="18" t="s">
        <v>334</v>
      </c>
      <c r="Q8" s="18"/>
      <c r="R8" s="18" t="s">
        <v>335</v>
      </c>
      <c r="S8" s="18"/>
      <c r="T8" s="18" t="s">
        <v>336</v>
      </c>
      <c r="U8" s="18"/>
      <c r="V8" s="18"/>
      <c r="W8" s="18"/>
      <c r="X8" s="18" t="s">
        <v>337</v>
      </c>
      <c r="Y8" s="18"/>
      <c r="Z8" s="18" t="s">
        <v>338</v>
      </c>
      <c r="AA8" s="18" t="s">
        <v>339</v>
      </c>
      <c r="AB8" s="18" t="s">
        <v>340</v>
      </c>
      <c r="AC8" s="18"/>
      <c r="AD8" s="18"/>
      <c r="AE8" s="18"/>
      <c r="AF8" s="18"/>
      <c r="AG8" s="18"/>
      <c r="AH8" s="18"/>
      <c r="AI8" s="18" t="s">
        <v>341</v>
      </c>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row>
    <row r="9" spans="1:63" ht="44.45" customHeight="1" x14ac:dyDescent="0.2">
      <c r="A9" s="18" t="s">
        <v>342</v>
      </c>
      <c r="B9" s="18"/>
      <c r="C9" s="18"/>
      <c r="D9" s="18"/>
      <c r="E9" s="18"/>
      <c r="F9" s="18"/>
      <c r="G9" s="18"/>
      <c r="H9" s="18"/>
      <c r="I9" s="18" t="s">
        <v>343</v>
      </c>
      <c r="J9" s="18"/>
      <c r="K9" s="18"/>
      <c r="L9" s="18"/>
      <c r="M9" s="18"/>
      <c r="N9" s="18"/>
      <c r="O9" s="18" t="s">
        <v>344</v>
      </c>
      <c r="P9" s="18"/>
      <c r="Q9" s="18"/>
      <c r="R9" s="18" t="s">
        <v>345</v>
      </c>
      <c r="S9" s="18"/>
      <c r="T9" s="18" t="s">
        <v>346</v>
      </c>
      <c r="U9" s="18"/>
      <c r="V9" s="18"/>
      <c r="W9" s="18"/>
      <c r="X9" s="18" t="s">
        <v>347</v>
      </c>
      <c r="Y9" s="18"/>
      <c r="Z9" s="18" t="s">
        <v>348</v>
      </c>
      <c r="AA9" s="18" t="s">
        <v>349</v>
      </c>
      <c r="AB9" s="18" t="s">
        <v>350</v>
      </c>
      <c r="AC9" s="18"/>
      <c r="AD9" s="18"/>
      <c r="AE9" s="18"/>
      <c r="AF9" s="18"/>
      <c r="AG9" s="18"/>
      <c r="AH9" s="18"/>
      <c r="AI9" s="18" t="s">
        <v>351</v>
      </c>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row>
    <row r="10" spans="1:63" ht="44.45" customHeight="1" x14ac:dyDescent="0.2">
      <c r="A10" s="18" t="s">
        <v>352</v>
      </c>
      <c r="B10" s="18"/>
      <c r="C10" s="18"/>
      <c r="D10" s="18"/>
      <c r="E10" s="18"/>
      <c r="F10" s="18"/>
      <c r="G10" s="18"/>
      <c r="H10" s="18"/>
      <c r="I10" s="18" t="s">
        <v>353</v>
      </c>
      <c r="J10" s="18"/>
      <c r="K10" s="18"/>
      <c r="L10" s="18"/>
      <c r="M10" s="18"/>
      <c r="N10" s="18"/>
      <c r="O10" s="18" t="s">
        <v>354</v>
      </c>
      <c r="P10" s="18"/>
      <c r="Q10" s="18"/>
      <c r="R10" s="18" t="s">
        <v>355</v>
      </c>
      <c r="S10" s="18"/>
      <c r="T10" s="18"/>
      <c r="U10" s="18"/>
      <c r="V10" s="18"/>
      <c r="W10" s="18"/>
      <c r="X10" s="18" t="s">
        <v>356</v>
      </c>
      <c r="Y10" s="18"/>
      <c r="Z10" s="18" t="s">
        <v>357</v>
      </c>
      <c r="AA10" s="18" t="s">
        <v>358</v>
      </c>
      <c r="AB10" s="18"/>
      <c r="AC10" s="18"/>
      <c r="AD10" s="18"/>
      <c r="AE10" s="18"/>
      <c r="AF10" s="18"/>
      <c r="AG10" s="18"/>
      <c r="AH10" s="18"/>
      <c r="AI10" s="18" t="s">
        <v>359</v>
      </c>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row>
    <row r="11" spans="1:63" ht="44.45" customHeight="1" x14ac:dyDescent="0.2">
      <c r="A11" s="18" t="s">
        <v>360</v>
      </c>
      <c r="B11" s="18"/>
      <c r="C11" s="18"/>
      <c r="D11" s="18"/>
      <c r="E11" s="18"/>
      <c r="F11" s="18"/>
      <c r="G11" s="18"/>
      <c r="H11" s="18"/>
      <c r="I11" s="18" t="s">
        <v>361</v>
      </c>
      <c r="J11" s="18"/>
      <c r="K11" s="18"/>
      <c r="L11" s="18"/>
      <c r="M11" s="18"/>
      <c r="N11" s="18"/>
      <c r="O11" s="18" t="s">
        <v>362</v>
      </c>
      <c r="P11" s="18"/>
      <c r="Q11" s="18"/>
      <c r="R11" s="18" t="s">
        <v>165</v>
      </c>
      <c r="S11" s="18"/>
      <c r="T11" s="18"/>
      <c r="U11" s="18"/>
      <c r="V11" s="18"/>
      <c r="W11" s="18"/>
      <c r="X11" s="18" t="s">
        <v>363</v>
      </c>
      <c r="Y11" s="18"/>
      <c r="Z11" s="18" t="s">
        <v>364</v>
      </c>
      <c r="AA11" s="18" t="s">
        <v>365</v>
      </c>
      <c r="AB11" s="18"/>
      <c r="AC11" s="18"/>
      <c r="AD11" s="18"/>
      <c r="AE11" s="18"/>
      <c r="AF11" s="18"/>
      <c r="AG11" s="18"/>
      <c r="AH11" s="18"/>
      <c r="AI11" s="18" t="s">
        <v>366</v>
      </c>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row>
    <row r="12" spans="1:63" ht="44.45" customHeight="1" x14ac:dyDescent="0.2">
      <c r="A12" s="18" t="s">
        <v>367</v>
      </c>
      <c r="B12" s="18"/>
      <c r="C12" s="18"/>
      <c r="D12" s="18"/>
      <c r="E12" s="18"/>
      <c r="F12" s="18"/>
      <c r="G12" s="18"/>
      <c r="H12" s="18"/>
      <c r="I12" s="18" t="s">
        <v>368</v>
      </c>
      <c r="J12" s="18"/>
      <c r="K12" s="18"/>
      <c r="L12" s="18"/>
      <c r="M12" s="18"/>
      <c r="N12" s="18"/>
      <c r="O12" s="18" t="s">
        <v>369</v>
      </c>
      <c r="P12" s="18"/>
      <c r="Q12" s="18"/>
      <c r="R12" s="18" t="s">
        <v>370</v>
      </c>
      <c r="S12" s="18"/>
      <c r="T12" s="18"/>
      <c r="U12" s="18"/>
      <c r="V12" s="18"/>
      <c r="W12" s="18"/>
      <c r="X12" s="18"/>
      <c r="Y12" s="18"/>
      <c r="Z12" s="18" t="s">
        <v>371</v>
      </c>
      <c r="AA12" s="18" t="s">
        <v>372</v>
      </c>
      <c r="AB12" s="18"/>
      <c r="AC12" s="18"/>
      <c r="AD12" s="18"/>
      <c r="AE12" s="18"/>
      <c r="AF12" s="18"/>
      <c r="AG12" s="18"/>
      <c r="AH12" s="18"/>
      <c r="AI12" s="18" t="s">
        <v>373</v>
      </c>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row>
    <row r="13" spans="1:63" ht="44.45" customHeight="1" x14ac:dyDescent="0.2">
      <c r="A13" s="18" t="s">
        <v>374</v>
      </c>
      <c r="B13" s="18"/>
      <c r="C13" s="18"/>
      <c r="D13" s="18"/>
      <c r="E13" s="18"/>
      <c r="F13" s="18"/>
      <c r="G13" s="18"/>
      <c r="H13" s="18"/>
      <c r="I13" s="18" t="s">
        <v>137</v>
      </c>
      <c r="J13" s="18"/>
      <c r="K13" s="18"/>
      <c r="L13" s="18"/>
      <c r="M13" s="18"/>
      <c r="N13" s="18"/>
      <c r="O13" s="18" t="s">
        <v>375</v>
      </c>
      <c r="P13" s="18"/>
      <c r="Q13" s="18"/>
      <c r="R13" s="18" t="s">
        <v>376</v>
      </c>
      <c r="S13" s="18"/>
      <c r="T13" s="18"/>
      <c r="U13" s="18"/>
      <c r="V13" s="18"/>
      <c r="W13" s="18"/>
      <c r="X13" s="18"/>
      <c r="Y13" s="18"/>
      <c r="Z13" s="18" t="s">
        <v>377</v>
      </c>
      <c r="AA13" s="18" t="s">
        <v>378</v>
      </c>
      <c r="AB13" s="18"/>
      <c r="AC13" s="18"/>
      <c r="AD13" s="18"/>
      <c r="AE13" s="18"/>
      <c r="AF13" s="18"/>
      <c r="AG13" s="18"/>
      <c r="AH13" s="18"/>
      <c r="AI13" s="18" t="s">
        <v>379</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row>
    <row r="14" spans="1:63" ht="44.45" customHeight="1" x14ac:dyDescent="0.2">
      <c r="A14" s="18" t="s">
        <v>380</v>
      </c>
      <c r="B14" s="18"/>
      <c r="C14" s="18"/>
      <c r="D14" s="18"/>
      <c r="E14" s="18"/>
      <c r="F14" s="18"/>
      <c r="G14" s="18"/>
      <c r="H14" s="18"/>
      <c r="I14" s="18" t="s">
        <v>381</v>
      </c>
      <c r="J14" s="18"/>
      <c r="K14" s="18"/>
      <c r="L14" s="18"/>
      <c r="M14" s="18"/>
      <c r="N14" s="18"/>
      <c r="O14" s="18" t="s">
        <v>382</v>
      </c>
      <c r="P14" s="18"/>
      <c r="Q14" s="18"/>
      <c r="R14" s="18" t="s">
        <v>383</v>
      </c>
      <c r="S14" s="18"/>
      <c r="T14" s="18"/>
      <c r="U14" s="18"/>
      <c r="V14" s="18"/>
      <c r="W14" s="18"/>
      <c r="X14" s="18"/>
      <c r="Y14" s="18"/>
      <c r="Z14" s="18"/>
      <c r="AA14" s="18" t="s">
        <v>384</v>
      </c>
      <c r="AB14" s="18"/>
      <c r="AC14" s="18"/>
      <c r="AD14" s="18"/>
      <c r="AE14" s="18"/>
      <c r="AF14" s="18"/>
      <c r="AG14" s="18"/>
      <c r="AH14" s="18"/>
      <c r="AI14" s="18" t="s">
        <v>385</v>
      </c>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row>
    <row r="15" spans="1:63" ht="44.45" customHeight="1" x14ac:dyDescent="0.2">
      <c r="A15" s="18" t="s">
        <v>386</v>
      </c>
      <c r="B15" s="18"/>
      <c r="C15" s="18"/>
      <c r="D15" s="18"/>
      <c r="E15" s="18"/>
      <c r="F15" s="18"/>
      <c r="G15" s="18"/>
      <c r="H15" s="18"/>
      <c r="I15" s="18" t="s">
        <v>387</v>
      </c>
      <c r="J15" s="18"/>
      <c r="K15" s="18"/>
      <c r="L15" s="18"/>
      <c r="M15" s="18"/>
      <c r="N15" s="18"/>
      <c r="O15" s="18" t="s">
        <v>388</v>
      </c>
      <c r="P15" s="18"/>
      <c r="Q15" s="18"/>
      <c r="R15" s="18" t="s">
        <v>389</v>
      </c>
      <c r="S15" s="18"/>
      <c r="T15" s="18"/>
      <c r="U15" s="18"/>
      <c r="V15" s="18"/>
      <c r="W15" s="18"/>
      <c r="X15" s="18"/>
      <c r="Y15" s="18"/>
      <c r="Z15" s="18"/>
      <c r="AA15" s="18" t="s">
        <v>390</v>
      </c>
      <c r="AB15" s="18"/>
      <c r="AC15" s="18"/>
      <c r="AD15" s="18"/>
      <c r="AE15" s="18"/>
      <c r="AF15" s="18"/>
      <c r="AG15" s="18"/>
      <c r="AH15" s="18"/>
      <c r="AI15" s="18" t="s">
        <v>391</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row>
    <row r="16" spans="1:63" ht="44.45" customHeight="1" x14ac:dyDescent="0.2">
      <c r="A16" s="18" t="s">
        <v>392</v>
      </c>
      <c r="B16" s="18"/>
      <c r="C16" s="18"/>
      <c r="D16" s="18"/>
      <c r="E16" s="18"/>
      <c r="F16" s="18"/>
      <c r="G16" s="18"/>
      <c r="H16" s="18"/>
      <c r="I16" s="18" t="s">
        <v>393</v>
      </c>
      <c r="J16" s="18"/>
      <c r="K16" s="18"/>
      <c r="L16" s="18"/>
      <c r="M16" s="18"/>
      <c r="N16" s="18"/>
      <c r="O16" s="18" t="s">
        <v>394</v>
      </c>
      <c r="P16" s="18"/>
      <c r="Q16" s="18"/>
      <c r="R16" s="18" t="s">
        <v>395</v>
      </c>
      <c r="S16" s="18"/>
      <c r="T16" s="18"/>
      <c r="U16" s="18"/>
      <c r="V16" s="18"/>
      <c r="W16" s="18"/>
      <c r="X16" s="18"/>
      <c r="Y16" s="18"/>
      <c r="Z16" s="18"/>
      <c r="AA16" s="18" t="s">
        <v>396</v>
      </c>
      <c r="AB16" s="18"/>
      <c r="AC16" s="18"/>
      <c r="AD16" s="18"/>
      <c r="AE16" s="18"/>
      <c r="AF16" s="18"/>
      <c r="AG16" s="18"/>
      <c r="AH16" s="18"/>
      <c r="AI16" s="18" t="s">
        <v>397</v>
      </c>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row>
    <row r="17" spans="1:63" ht="44.45" customHeight="1" x14ac:dyDescent="0.2">
      <c r="A17" s="18" t="s">
        <v>398</v>
      </c>
      <c r="B17" s="18"/>
      <c r="C17" s="18"/>
      <c r="D17" s="18"/>
      <c r="E17" s="18"/>
      <c r="F17" s="18"/>
      <c r="G17" s="18"/>
      <c r="H17" s="18"/>
      <c r="I17" s="18" t="s">
        <v>399</v>
      </c>
      <c r="J17" s="18"/>
      <c r="K17" s="18"/>
      <c r="L17" s="18"/>
      <c r="M17" s="18"/>
      <c r="N17" s="18"/>
      <c r="O17" s="18" t="s">
        <v>400</v>
      </c>
      <c r="P17" s="18"/>
      <c r="Q17" s="18"/>
      <c r="R17" s="18" t="s">
        <v>401</v>
      </c>
      <c r="S17" s="18"/>
      <c r="T17" s="18"/>
      <c r="U17" s="18"/>
      <c r="V17" s="18"/>
      <c r="W17" s="18"/>
      <c r="X17" s="18"/>
      <c r="Y17" s="18"/>
      <c r="Z17" s="18"/>
      <c r="AA17" s="18" t="s">
        <v>402</v>
      </c>
      <c r="AB17" s="18"/>
      <c r="AC17" s="18"/>
      <c r="AD17" s="18"/>
      <c r="AE17" s="18"/>
      <c r="AF17" s="18"/>
      <c r="AG17" s="18"/>
      <c r="AH17" s="18"/>
      <c r="AI17" s="18" t="s">
        <v>403</v>
      </c>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row>
    <row r="18" spans="1:63" ht="44.45" customHeight="1" x14ac:dyDescent="0.2">
      <c r="A18" s="18" t="s">
        <v>404</v>
      </c>
      <c r="B18" s="18"/>
      <c r="C18" s="18"/>
      <c r="D18" s="18"/>
      <c r="E18" s="18"/>
      <c r="F18" s="18"/>
      <c r="G18" s="18"/>
      <c r="H18" s="18"/>
      <c r="I18" s="18" t="s">
        <v>405</v>
      </c>
      <c r="J18" s="18"/>
      <c r="K18" s="18"/>
      <c r="L18" s="18"/>
      <c r="M18" s="18"/>
      <c r="N18" s="18"/>
      <c r="O18" s="18" t="s">
        <v>406</v>
      </c>
      <c r="P18" s="18"/>
      <c r="Q18" s="18"/>
      <c r="R18" s="18" t="s">
        <v>407</v>
      </c>
      <c r="S18" s="18"/>
      <c r="T18" s="18"/>
      <c r="U18" s="18"/>
      <c r="V18" s="18"/>
      <c r="W18" s="18"/>
      <c r="X18" s="18"/>
      <c r="Y18" s="18"/>
      <c r="Z18" s="18"/>
      <c r="AA18" s="18" t="s">
        <v>408</v>
      </c>
      <c r="AB18" s="18"/>
      <c r="AC18" s="18"/>
      <c r="AD18" s="18"/>
      <c r="AE18" s="18"/>
      <c r="AF18" s="18"/>
      <c r="AG18" s="18"/>
      <c r="AH18" s="18"/>
      <c r="AI18" s="18" t="s">
        <v>409</v>
      </c>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row>
    <row r="19" spans="1:63" ht="44.45" customHeight="1" x14ac:dyDescent="0.2">
      <c r="A19" s="18"/>
      <c r="B19" s="18"/>
      <c r="C19" s="18"/>
      <c r="D19" s="18"/>
      <c r="E19" s="18"/>
      <c r="F19" s="18"/>
      <c r="G19" s="18"/>
      <c r="H19" s="18"/>
      <c r="I19" s="18" t="s">
        <v>410</v>
      </c>
      <c r="J19" s="18"/>
      <c r="K19" s="18"/>
      <c r="L19" s="18"/>
      <c r="M19" s="18"/>
      <c r="N19" s="18"/>
      <c r="O19" s="18" t="s">
        <v>411</v>
      </c>
      <c r="P19" s="18"/>
      <c r="Q19" s="18"/>
      <c r="R19" s="18" t="s">
        <v>412</v>
      </c>
      <c r="S19" s="18"/>
      <c r="T19" s="18"/>
      <c r="U19" s="18"/>
      <c r="V19" s="18"/>
      <c r="W19" s="18"/>
      <c r="X19" s="18"/>
      <c r="Y19" s="18"/>
      <c r="Z19" s="18"/>
      <c r="AA19" s="18" t="s">
        <v>413</v>
      </c>
      <c r="AB19" s="18"/>
      <c r="AC19" s="18"/>
      <c r="AD19" s="18"/>
      <c r="AE19" s="18"/>
      <c r="AF19" s="18"/>
      <c r="AG19" s="18"/>
      <c r="AH19" s="18"/>
      <c r="AI19" s="18" t="s">
        <v>414</v>
      </c>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row>
    <row r="20" spans="1:63" ht="44.45" customHeight="1" x14ac:dyDescent="0.2">
      <c r="A20" s="18"/>
      <c r="B20" s="18"/>
      <c r="C20" s="18"/>
      <c r="D20" s="18"/>
      <c r="E20" s="18"/>
      <c r="F20" s="18"/>
      <c r="G20" s="18"/>
      <c r="H20" s="18"/>
      <c r="I20" s="18" t="s">
        <v>415</v>
      </c>
      <c r="J20" s="18"/>
      <c r="K20" s="18"/>
      <c r="L20" s="18"/>
      <c r="M20" s="18"/>
      <c r="N20" s="18"/>
      <c r="O20" s="18" t="s">
        <v>416</v>
      </c>
      <c r="P20" s="18"/>
      <c r="Q20" s="18"/>
      <c r="R20" s="18" t="s">
        <v>417</v>
      </c>
      <c r="S20" s="18"/>
      <c r="T20" s="18"/>
      <c r="U20" s="18"/>
      <c r="V20" s="18"/>
      <c r="W20" s="18"/>
      <c r="X20" s="18"/>
      <c r="Y20" s="18"/>
      <c r="Z20" s="18"/>
      <c r="AA20" s="18" t="s">
        <v>418</v>
      </c>
      <c r="AB20" s="18"/>
      <c r="AC20" s="18"/>
      <c r="AD20" s="18"/>
      <c r="AE20" s="18"/>
      <c r="AF20" s="18"/>
      <c r="AG20" s="18"/>
      <c r="AH20" s="18"/>
      <c r="AI20" s="18" t="s">
        <v>419</v>
      </c>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row>
    <row r="21" spans="1:63" ht="44.45" customHeight="1" x14ac:dyDescent="0.2">
      <c r="A21" s="18"/>
      <c r="B21" s="18"/>
      <c r="C21" s="18"/>
      <c r="D21" s="18"/>
      <c r="E21" s="18"/>
      <c r="F21" s="18"/>
      <c r="G21" s="18"/>
      <c r="H21" s="18"/>
      <c r="I21" s="18" t="s">
        <v>420</v>
      </c>
      <c r="J21" s="18"/>
      <c r="K21" s="18"/>
      <c r="L21" s="18"/>
      <c r="M21" s="18"/>
      <c r="N21" s="18"/>
      <c r="O21" s="18" t="s">
        <v>421</v>
      </c>
      <c r="P21" s="18"/>
      <c r="Q21" s="18"/>
      <c r="R21" s="18" t="s">
        <v>422</v>
      </c>
      <c r="S21" s="18"/>
      <c r="T21" s="18"/>
      <c r="U21" s="18"/>
      <c r="V21" s="18"/>
      <c r="W21" s="18"/>
      <c r="X21" s="18"/>
      <c r="Y21" s="18"/>
      <c r="Z21" s="18"/>
      <c r="AA21" s="18" t="s">
        <v>423</v>
      </c>
      <c r="AB21" s="18"/>
      <c r="AC21" s="18"/>
      <c r="AD21" s="18"/>
      <c r="AE21" s="18"/>
      <c r="AF21" s="18"/>
      <c r="AG21" s="18"/>
      <c r="AH21" s="18"/>
      <c r="AI21" s="18" t="s">
        <v>424</v>
      </c>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row>
    <row r="22" spans="1:63" ht="44.45" customHeight="1" x14ac:dyDescent="0.2">
      <c r="A22" s="18"/>
      <c r="B22" s="18"/>
      <c r="C22" s="18"/>
      <c r="D22" s="18"/>
      <c r="E22" s="18"/>
      <c r="F22" s="18"/>
      <c r="G22" s="18"/>
      <c r="H22" s="18"/>
      <c r="I22" s="18" t="s">
        <v>425</v>
      </c>
      <c r="J22" s="18"/>
      <c r="K22" s="18"/>
      <c r="L22" s="18"/>
      <c r="M22" s="18"/>
      <c r="N22" s="18"/>
      <c r="O22" s="18" t="s">
        <v>426</v>
      </c>
      <c r="P22" s="18"/>
      <c r="Q22" s="18"/>
      <c r="R22" s="18" t="s">
        <v>427</v>
      </c>
      <c r="S22" s="18"/>
      <c r="T22" s="18"/>
      <c r="U22" s="18"/>
      <c r="V22" s="18"/>
      <c r="W22" s="18"/>
      <c r="X22" s="18"/>
      <c r="Y22" s="18"/>
      <c r="Z22" s="18"/>
      <c r="AA22" s="18" t="s">
        <v>428</v>
      </c>
      <c r="AB22" s="18"/>
      <c r="AC22" s="18"/>
      <c r="AD22" s="18"/>
      <c r="AE22" s="18"/>
      <c r="AF22" s="18"/>
      <c r="AG22" s="18"/>
      <c r="AH22" s="18"/>
      <c r="AI22" s="18" t="s">
        <v>429</v>
      </c>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row>
    <row r="23" spans="1:63" ht="44.45" customHeight="1" x14ac:dyDescent="0.2">
      <c r="A23" s="18"/>
      <c r="B23" s="18"/>
      <c r="C23" s="18"/>
      <c r="D23" s="18"/>
      <c r="E23" s="18"/>
      <c r="F23" s="18"/>
      <c r="G23" s="18"/>
      <c r="H23" s="18"/>
      <c r="I23" s="18" t="s">
        <v>430</v>
      </c>
      <c r="J23" s="18"/>
      <c r="K23" s="18"/>
      <c r="L23" s="18"/>
      <c r="M23" s="18"/>
      <c r="N23" s="18"/>
      <c r="O23" s="18" t="s">
        <v>431</v>
      </c>
      <c r="P23" s="18"/>
      <c r="Q23" s="18"/>
      <c r="R23" s="18" t="s">
        <v>432</v>
      </c>
      <c r="S23" s="18"/>
      <c r="T23" s="18"/>
      <c r="U23" s="18"/>
      <c r="V23" s="18"/>
      <c r="W23" s="18"/>
      <c r="X23" s="18"/>
      <c r="Y23" s="18"/>
      <c r="Z23" s="18"/>
      <c r="AA23" s="18" t="s">
        <v>433</v>
      </c>
      <c r="AB23" s="18"/>
      <c r="AC23" s="18"/>
      <c r="AD23" s="18"/>
      <c r="AE23" s="18"/>
      <c r="AF23" s="18"/>
      <c r="AG23" s="18"/>
      <c r="AH23" s="18"/>
      <c r="AI23" s="18" t="s">
        <v>434</v>
      </c>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row>
    <row r="24" spans="1:63" ht="44.45" customHeight="1" x14ac:dyDescent="0.2">
      <c r="A24" s="18"/>
      <c r="B24" s="18"/>
      <c r="C24" s="18"/>
      <c r="D24" s="18"/>
      <c r="E24" s="18"/>
      <c r="F24" s="18"/>
      <c r="G24" s="18"/>
      <c r="H24" s="18"/>
      <c r="I24" s="18" t="s">
        <v>435</v>
      </c>
      <c r="J24" s="18"/>
      <c r="K24" s="18"/>
      <c r="L24" s="18"/>
      <c r="M24" s="18"/>
      <c r="N24" s="18"/>
      <c r="O24" s="18" t="s">
        <v>436</v>
      </c>
      <c r="P24" s="18"/>
      <c r="Q24" s="18"/>
      <c r="R24" s="18" t="s">
        <v>437</v>
      </c>
      <c r="S24" s="18"/>
      <c r="T24" s="18"/>
      <c r="U24" s="18"/>
      <c r="V24" s="18"/>
      <c r="W24" s="18"/>
      <c r="X24" s="18"/>
      <c r="Y24" s="18"/>
      <c r="Z24" s="18"/>
      <c r="AA24" s="18" t="s">
        <v>438</v>
      </c>
      <c r="AB24" s="18"/>
      <c r="AC24" s="18"/>
      <c r="AD24" s="18"/>
      <c r="AE24" s="18"/>
      <c r="AF24" s="18"/>
      <c r="AG24" s="18"/>
      <c r="AH24" s="18"/>
      <c r="AI24" s="18" t="s">
        <v>439</v>
      </c>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row>
    <row r="25" spans="1:63" ht="44.45" customHeight="1" x14ac:dyDescent="0.2">
      <c r="A25" s="18"/>
      <c r="B25" s="18"/>
      <c r="C25" s="18"/>
      <c r="D25" s="18"/>
      <c r="E25" s="18"/>
      <c r="F25" s="18"/>
      <c r="G25" s="18"/>
      <c r="H25" s="18"/>
      <c r="I25" s="18" t="s">
        <v>440</v>
      </c>
      <c r="J25" s="18"/>
      <c r="K25" s="18"/>
      <c r="L25" s="18"/>
      <c r="M25" s="18"/>
      <c r="N25" s="18"/>
      <c r="O25" s="18" t="s">
        <v>441</v>
      </c>
      <c r="P25" s="18"/>
      <c r="Q25" s="18"/>
      <c r="R25" s="18" t="s">
        <v>442</v>
      </c>
      <c r="S25" s="18"/>
      <c r="T25" s="18"/>
      <c r="U25" s="18"/>
      <c r="V25" s="18"/>
      <c r="W25" s="18"/>
      <c r="X25" s="18"/>
      <c r="Y25" s="18"/>
      <c r="Z25" s="18"/>
      <c r="AA25" s="18" t="s">
        <v>443</v>
      </c>
      <c r="AB25" s="18"/>
      <c r="AC25" s="18"/>
      <c r="AD25" s="18"/>
      <c r="AE25" s="18"/>
      <c r="AF25" s="18"/>
      <c r="AG25" s="18"/>
      <c r="AH25" s="18"/>
      <c r="AI25" s="18" t="s">
        <v>444</v>
      </c>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row>
    <row r="26" spans="1:63" ht="44.45" customHeight="1" x14ac:dyDescent="0.2">
      <c r="A26" s="18"/>
      <c r="B26" s="18"/>
      <c r="C26" s="18"/>
      <c r="D26" s="18"/>
      <c r="E26" s="18"/>
      <c r="F26" s="18"/>
      <c r="G26" s="18"/>
      <c r="H26" s="18"/>
      <c r="I26" s="18" t="s">
        <v>445</v>
      </c>
      <c r="J26" s="18"/>
      <c r="K26" s="18"/>
      <c r="L26" s="18"/>
      <c r="M26" s="18"/>
      <c r="N26" s="18"/>
      <c r="O26" s="18" t="s">
        <v>446</v>
      </c>
      <c r="P26" s="18"/>
      <c r="Q26" s="18"/>
      <c r="R26" s="18" t="s">
        <v>447</v>
      </c>
      <c r="S26" s="18"/>
      <c r="T26" s="18"/>
      <c r="U26" s="18"/>
      <c r="V26" s="18"/>
      <c r="W26" s="18"/>
      <c r="X26" s="18"/>
      <c r="Y26" s="18"/>
      <c r="Z26" s="18"/>
      <c r="AA26" s="18" t="s">
        <v>448</v>
      </c>
      <c r="AB26" s="18"/>
      <c r="AC26" s="18"/>
      <c r="AD26" s="18"/>
      <c r="AE26" s="18"/>
      <c r="AF26" s="18"/>
      <c r="AG26" s="18"/>
      <c r="AH26" s="18"/>
      <c r="AI26" s="18" t="s">
        <v>449</v>
      </c>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row>
    <row r="27" spans="1:63" ht="44.45" customHeight="1" x14ac:dyDescent="0.2">
      <c r="A27" s="18"/>
      <c r="B27" s="18"/>
      <c r="C27" s="18"/>
      <c r="D27" s="18"/>
      <c r="E27" s="18"/>
      <c r="F27" s="18"/>
      <c r="G27" s="18"/>
      <c r="H27" s="18"/>
      <c r="I27" s="18" t="s">
        <v>450</v>
      </c>
      <c r="J27" s="18"/>
      <c r="K27" s="18"/>
      <c r="L27" s="18"/>
      <c r="M27" s="18"/>
      <c r="N27" s="18"/>
      <c r="O27" s="18" t="s">
        <v>451</v>
      </c>
      <c r="P27" s="18"/>
      <c r="Q27" s="18"/>
      <c r="R27" s="18" t="s">
        <v>452</v>
      </c>
      <c r="S27" s="18"/>
      <c r="T27" s="18"/>
      <c r="U27" s="18"/>
      <c r="V27" s="18"/>
      <c r="W27" s="18"/>
      <c r="X27" s="18"/>
      <c r="Y27" s="18"/>
      <c r="Z27" s="18"/>
      <c r="AA27" s="18" t="s">
        <v>453</v>
      </c>
      <c r="AB27" s="18"/>
      <c r="AC27" s="18"/>
      <c r="AD27" s="18"/>
      <c r="AE27" s="18"/>
      <c r="AF27" s="18"/>
      <c r="AG27" s="18"/>
      <c r="AH27" s="18"/>
      <c r="AI27" s="18" t="s">
        <v>454</v>
      </c>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row>
    <row r="28" spans="1:63" ht="44.45" customHeight="1" x14ac:dyDescent="0.2">
      <c r="A28" s="18"/>
      <c r="B28" s="18"/>
      <c r="C28" s="18"/>
      <c r="D28" s="18"/>
      <c r="E28" s="18"/>
      <c r="F28" s="18"/>
      <c r="G28" s="18"/>
      <c r="H28" s="18"/>
      <c r="I28" s="18" t="s">
        <v>455</v>
      </c>
      <c r="J28" s="18"/>
      <c r="K28" s="18"/>
      <c r="L28" s="18"/>
      <c r="M28" s="18"/>
      <c r="N28" s="18"/>
      <c r="O28" s="18" t="s">
        <v>456</v>
      </c>
      <c r="P28" s="18"/>
      <c r="Q28" s="18"/>
      <c r="R28" s="18" t="s">
        <v>457</v>
      </c>
      <c r="S28" s="18"/>
      <c r="T28" s="18"/>
      <c r="U28" s="18"/>
      <c r="V28" s="18"/>
      <c r="W28" s="18"/>
      <c r="X28" s="18"/>
      <c r="Y28" s="18"/>
      <c r="Z28" s="18"/>
      <c r="AA28" s="18" t="s">
        <v>458</v>
      </c>
      <c r="AB28" s="18"/>
      <c r="AC28" s="18"/>
      <c r="AD28" s="18"/>
      <c r="AE28" s="18"/>
      <c r="AF28" s="18"/>
      <c r="AG28" s="18"/>
      <c r="AH28" s="18"/>
      <c r="AI28" s="18" t="s">
        <v>459</v>
      </c>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row>
    <row r="29" spans="1:63" ht="44.45" customHeight="1" x14ac:dyDescent="0.2">
      <c r="A29" s="18"/>
      <c r="B29" s="18"/>
      <c r="C29" s="18"/>
      <c r="D29" s="18"/>
      <c r="E29" s="18"/>
      <c r="F29" s="18"/>
      <c r="G29" s="18"/>
      <c r="H29" s="18"/>
      <c r="I29" s="18" t="s">
        <v>460</v>
      </c>
      <c r="J29" s="18"/>
      <c r="K29" s="18"/>
      <c r="L29" s="18"/>
      <c r="M29" s="18"/>
      <c r="N29" s="18"/>
      <c r="O29" s="18" t="s">
        <v>461</v>
      </c>
      <c r="P29" s="18"/>
      <c r="Q29" s="18"/>
      <c r="R29" s="18" t="s">
        <v>462</v>
      </c>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row>
    <row r="30" spans="1:63" ht="44.45" customHeight="1" x14ac:dyDescent="0.2">
      <c r="A30" s="18"/>
      <c r="B30" s="18"/>
      <c r="C30" s="18"/>
      <c r="D30" s="18"/>
      <c r="E30" s="18"/>
      <c r="F30" s="18"/>
      <c r="G30" s="18"/>
      <c r="H30" s="18"/>
      <c r="I30" s="18" t="s">
        <v>463</v>
      </c>
      <c r="J30" s="18"/>
      <c r="K30" s="18"/>
      <c r="L30" s="18"/>
      <c r="M30" s="18"/>
      <c r="N30" s="18"/>
      <c r="O30" s="18" t="s">
        <v>464</v>
      </c>
      <c r="P30" s="18"/>
      <c r="Q30" s="18"/>
      <c r="R30" s="18" t="s">
        <v>465</v>
      </c>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row>
    <row r="31" spans="1:63" ht="44.45" customHeight="1" x14ac:dyDescent="0.2">
      <c r="A31" s="18"/>
      <c r="B31" s="18"/>
      <c r="C31" s="18"/>
      <c r="D31" s="18"/>
      <c r="E31" s="18"/>
      <c r="F31" s="18"/>
      <c r="G31" s="18"/>
      <c r="H31" s="18"/>
      <c r="I31" s="18" t="s">
        <v>466</v>
      </c>
      <c r="J31" s="18"/>
      <c r="K31" s="18"/>
      <c r="L31" s="18"/>
      <c r="M31" s="18"/>
      <c r="N31" s="18"/>
      <c r="O31" s="18" t="s">
        <v>467</v>
      </c>
      <c r="P31" s="18"/>
      <c r="Q31" s="18"/>
      <c r="R31" s="18" t="s">
        <v>468</v>
      </c>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row>
    <row r="32" spans="1:63" ht="44.45" customHeight="1" x14ac:dyDescent="0.2">
      <c r="A32" s="18"/>
      <c r="B32" s="18"/>
      <c r="C32" s="18"/>
      <c r="D32" s="18"/>
      <c r="E32" s="18"/>
      <c r="F32" s="18"/>
      <c r="G32" s="18"/>
      <c r="H32" s="18"/>
      <c r="I32" s="18" t="s">
        <v>469</v>
      </c>
      <c r="J32" s="18"/>
      <c r="K32" s="18"/>
      <c r="L32" s="18"/>
      <c r="M32" s="18"/>
      <c r="N32" s="18"/>
      <c r="O32" s="18" t="s">
        <v>470</v>
      </c>
      <c r="P32" s="18"/>
      <c r="Q32" s="18"/>
      <c r="R32" s="18" t="s">
        <v>471</v>
      </c>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row>
    <row r="33" spans="1:63" ht="44.45" customHeight="1" x14ac:dyDescent="0.2">
      <c r="A33" s="18"/>
      <c r="B33" s="18"/>
      <c r="C33" s="18"/>
      <c r="D33" s="18"/>
      <c r="E33" s="18"/>
      <c r="F33" s="18"/>
      <c r="G33" s="18"/>
      <c r="H33" s="18"/>
      <c r="I33" s="18" t="s">
        <v>472</v>
      </c>
      <c r="J33" s="18"/>
      <c r="K33" s="18"/>
      <c r="L33" s="18"/>
      <c r="M33" s="18"/>
      <c r="N33" s="18"/>
      <c r="O33" s="18"/>
      <c r="P33" s="18"/>
      <c r="Q33" s="18"/>
      <c r="R33" s="18" t="s">
        <v>473</v>
      </c>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row>
    <row r="34" spans="1:63" ht="44.45" customHeight="1" x14ac:dyDescent="0.2">
      <c r="A34" s="18"/>
      <c r="B34" s="18"/>
      <c r="C34" s="18"/>
      <c r="D34" s="18"/>
      <c r="E34" s="18"/>
      <c r="F34" s="18"/>
      <c r="G34" s="18"/>
      <c r="H34" s="18"/>
      <c r="I34" s="18" t="s">
        <v>474</v>
      </c>
      <c r="J34" s="18"/>
      <c r="K34" s="18"/>
      <c r="L34" s="18"/>
      <c r="M34" s="18"/>
      <c r="N34" s="18"/>
      <c r="O34" s="18"/>
      <c r="P34" s="18"/>
      <c r="Q34" s="18"/>
      <c r="R34" s="18" t="s">
        <v>475</v>
      </c>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row>
    <row r="35" spans="1:63" ht="44.45" customHeight="1" x14ac:dyDescent="0.2">
      <c r="A35" s="18"/>
      <c r="B35" s="18"/>
      <c r="C35" s="18"/>
      <c r="D35" s="18"/>
      <c r="E35" s="18"/>
      <c r="F35" s="18"/>
      <c r="G35" s="18"/>
      <c r="H35" s="18"/>
      <c r="I35" s="18" t="s">
        <v>476</v>
      </c>
      <c r="J35" s="18"/>
      <c r="K35" s="18"/>
      <c r="L35" s="18"/>
      <c r="M35" s="18"/>
      <c r="N35" s="18"/>
      <c r="O35" s="18"/>
      <c r="P35" s="18"/>
      <c r="Q35" s="18"/>
      <c r="R35" s="18" t="s">
        <v>477</v>
      </c>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44.45" customHeight="1" x14ac:dyDescent="0.2">
      <c r="A36" s="18"/>
      <c r="B36" s="18"/>
      <c r="C36" s="18"/>
      <c r="D36" s="18"/>
      <c r="E36" s="18"/>
      <c r="F36" s="18"/>
      <c r="G36" s="18"/>
      <c r="H36" s="18"/>
      <c r="I36" s="18" t="s">
        <v>478</v>
      </c>
      <c r="J36" s="18"/>
      <c r="K36" s="18"/>
      <c r="L36" s="18"/>
      <c r="M36" s="18"/>
      <c r="N36" s="18"/>
      <c r="O36" s="18"/>
      <c r="P36" s="18"/>
      <c r="Q36" s="18"/>
      <c r="R36" s="18" t="s">
        <v>479</v>
      </c>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row>
    <row r="37" spans="1:63" ht="44.45" customHeight="1" x14ac:dyDescent="0.2">
      <c r="A37" s="18"/>
      <c r="B37" s="18"/>
      <c r="C37" s="18"/>
      <c r="D37" s="18"/>
      <c r="E37" s="18"/>
      <c r="F37" s="18"/>
      <c r="G37" s="18"/>
      <c r="H37" s="18"/>
      <c r="I37" s="18" t="s">
        <v>480</v>
      </c>
      <c r="J37" s="18"/>
      <c r="K37" s="18"/>
      <c r="L37" s="18"/>
      <c r="M37" s="18"/>
      <c r="N37" s="18"/>
      <c r="O37" s="18"/>
      <c r="P37" s="18"/>
      <c r="Q37" s="18"/>
      <c r="R37" s="18" t="s">
        <v>481</v>
      </c>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row>
    <row r="38" spans="1:63" ht="44.45" customHeight="1" x14ac:dyDescent="0.2">
      <c r="A38" s="18"/>
      <c r="B38" s="18"/>
      <c r="C38" s="18"/>
      <c r="D38" s="18"/>
      <c r="E38" s="18"/>
      <c r="F38" s="18"/>
      <c r="G38" s="18"/>
      <c r="H38" s="18"/>
      <c r="I38" s="18" t="s">
        <v>482</v>
      </c>
      <c r="J38" s="18"/>
      <c r="K38" s="18"/>
      <c r="L38" s="18"/>
      <c r="M38" s="18"/>
      <c r="N38" s="18"/>
      <c r="O38" s="18"/>
      <c r="P38" s="18"/>
      <c r="Q38" s="18"/>
      <c r="R38" s="18" t="s">
        <v>483</v>
      </c>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row>
    <row r="39" spans="1:63" ht="44.45" customHeight="1" x14ac:dyDescent="0.2">
      <c r="A39" s="18"/>
      <c r="B39" s="18"/>
      <c r="C39" s="18"/>
      <c r="D39" s="18"/>
      <c r="E39" s="18"/>
      <c r="F39" s="18"/>
      <c r="G39" s="18"/>
      <c r="H39" s="18"/>
      <c r="I39" s="18" t="s">
        <v>484</v>
      </c>
      <c r="J39" s="18"/>
      <c r="K39" s="18"/>
      <c r="L39" s="18"/>
      <c r="M39" s="18"/>
      <c r="N39" s="18"/>
      <c r="O39" s="18"/>
      <c r="P39" s="18"/>
      <c r="Q39" s="18"/>
      <c r="R39" s="18" t="s">
        <v>485</v>
      </c>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row>
    <row r="40" spans="1:63" ht="44.45" customHeight="1" x14ac:dyDescent="0.2">
      <c r="A40" s="18"/>
      <c r="B40" s="18"/>
      <c r="C40" s="18"/>
      <c r="D40" s="18"/>
      <c r="E40" s="18"/>
      <c r="F40" s="18"/>
      <c r="G40" s="18"/>
      <c r="H40" s="18"/>
      <c r="I40" s="18" t="s">
        <v>486</v>
      </c>
      <c r="J40" s="18"/>
      <c r="K40" s="18"/>
      <c r="L40" s="18"/>
      <c r="M40" s="18"/>
      <c r="N40" s="18"/>
      <c r="O40" s="18"/>
      <c r="P40" s="18"/>
      <c r="Q40" s="18"/>
      <c r="R40" s="18" t="s">
        <v>487</v>
      </c>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row>
    <row r="41" spans="1:63" ht="44.45" customHeight="1" x14ac:dyDescent="0.2">
      <c r="A41" s="18"/>
      <c r="B41" s="18"/>
      <c r="C41" s="18"/>
      <c r="D41" s="18"/>
      <c r="E41" s="18"/>
      <c r="F41" s="18"/>
      <c r="G41" s="18"/>
      <c r="H41" s="18"/>
      <c r="I41" s="18" t="s">
        <v>488</v>
      </c>
      <c r="J41" s="18"/>
      <c r="K41" s="18"/>
      <c r="L41" s="18"/>
      <c r="M41" s="18"/>
      <c r="N41" s="18"/>
      <c r="O41" s="18"/>
      <c r="P41" s="18"/>
      <c r="Q41" s="18"/>
      <c r="R41" s="18" t="s">
        <v>489</v>
      </c>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row>
    <row r="42" spans="1:63" ht="44.45" customHeight="1" x14ac:dyDescent="0.2">
      <c r="A42" s="18"/>
      <c r="B42" s="18"/>
      <c r="C42" s="18"/>
      <c r="D42" s="18"/>
      <c r="E42" s="18"/>
      <c r="F42" s="18"/>
      <c r="G42" s="18"/>
      <c r="H42" s="18"/>
      <c r="I42" s="18" t="s">
        <v>490</v>
      </c>
      <c r="J42" s="18"/>
      <c r="K42" s="18"/>
      <c r="L42" s="18"/>
      <c r="M42" s="18"/>
      <c r="N42" s="18"/>
      <c r="O42" s="18"/>
      <c r="P42" s="18"/>
      <c r="Q42" s="18"/>
      <c r="R42" s="18" t="s">
        <v>491</v>
      </c>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row>
    <row r="43" spans="1:63" ht="44.45" customHeight="1" x14ac:dyDescent="0.2">
      <c r="A43" s="18"/>
      <c r="B43" s="18"/>
      <c r="C43" s="18"/>
      <c r="D43" s="18"/>
      <c r="E43" s="18"/>
      <c r="F43" s="18"/>
      <c r="G43" s="18"/>
      <c r="H43" s="18"/>
      <c r="I43" s="18"/>
      <c r="J43" s="18"/>
      <c r="K43" s="18"/>
      <c r="L43" s="18"/>
      <c r="M43" s="18"/>
      <c r="N43" s="18"/>
      <c r="O43" s="18"/>
      <c r="P43" s="18"/>
      <c r="Q43" s="18"/>
      <c r="R43" s="18" t="s">
        <v>492</v>
      </c>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row>
    <row r="44" spans="1:63" ht="44.45" customHeight="1" x14ac:dyDescent="0.2">
      <c r="A44" s="18"/>
      <c r="B44" s="18"/>
      <c r="C44" s="18"/>
      <c r="D44" s="18"/>
      <c r="E44" s="18"/>
      <c r="F44" s="18"/>
      <c r="G44" s="18"/>
      <c r="H44" s="18"/>
      <c r="I44" s="18"/>
      <c r="J44" s="18"/>
      <c r="K44" s="18"/>
      <c r="L44" s="18"/>
      <c r="M44" s="18"/>
      <c r="N44" s="18"/>
      <c r="O44" s="18"/>
      <c r="P44" s="18"/>
      <c r="Q44" s="18"/>
      <c r="R44" s="18" t="s">
        <v>493</v>
      </c>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row>
    <row r="45" spans="1:63" ht="44.45" customHeight="1" x14ac:dyDescent="0.2">
      <c r="A45" s="18"/>
      <c r="B45" s="18"/>
      <c r="C45" s="18"/>
      <c r="D45" s="18"/>
      <c r="E45" s="18"/>
      <c r="F45" s="18"/>
      <c r="G45" s="18"/>
      <c r="H45" s="18"/>
      <c r="I45" s="18"/>
      <c r="J45" s="18"/>
      <c r="K45" s="18"/>
      <c r="L45" s="18"/>
      <c r="M45" s="18"/>
      <c r="N45" s="18"/>
      <c r="O45" s="18"/>
      <c r="P45" s="18"/>
      <c r="Q45" s="18"/>
      <c r="R45" s="18" t="s">
        <v>494</v>
      </c>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row>
    <row r="46" spans="1:63" ht="44.45" customHeight="1" x14ac:dyDescent="0.2">
      <c r="A46" s="18"/>
      <c r="B46" s="18"/>
      <c r="C46" s="18"/>
      <c r="D46" s="18"/>
      <c r="E46" s="18"/>
      <c r="F46" s="18"/>
      <c r="G46" s="18"/>
      <c r="H46" s="18"/>
      <c r="I46" s="18"/>
      <c r="J46" s="18"/>
      <c r="K46" s="18"/>
      <c r="L46" s="18"/>
      <c r="M46" s="18"/>
      <c r="N46" s="18"/>
      <c r="O46" s="18"/>
      <c r="P46" s="18"/>
      <c r="Q46" s="18"/>
      <c r="R46" s="18" t="s">
        <v>63</v>
      </c>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row>
    <row r="47" spans="1:63" ht="44.45" customHeight="1" x14ac:dyDescent="0.2">
      <c r="A47" s="18"/>
      <c r="B47" s="18"/>
      <c r="C47" s="18"/>
      <c r="D47" s="18"/>
      <c r="E47" s="18"/>
      <c r="F47" s="18"/>
      <c r="G47" s="18"/>
      <c r="H47" s="18"/>
      <c r="I47" s="18"/>
      <c r="J47" s="18"/>
      <c r="K47" s="18"/>
      <c r="L47" s="18"/>
      <c r="M47" s="18"/>
      <c r="N47" s="18"/>
      <c r="O47" s="18"/>
      <c r="P47" s="18"/>
      <c r="Q47" s="18"/>
      <c r="R47" s="18" t="s">
        <v>495</v>
      </c>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row>
    <row r="48" spans="1:63" ht="44.45" customHeight="1" x14ac:dyDescent="0.2">
      <c r="A48" s="18"/>
      <c r="B48" s="18"/>
      <c r="C48" s="18"/>
      <c r="D48" s="18"/>
      <c r="E48" s="18"/>
      <c r="F48" s="18"/>
      <c r="G48" s="18"/>
      <c r="H48" s="18"/>
      <c r="I48" s="18"/>
      <c r="J48" s="18"/>
      <c r="K48" s="18"/>
      <c r="L48" s="18"/>
      <c r="M48" s="18"/>
      <c r="N48" s="18"/>
      <c r="O48" s="18"/>
      <c r="P48" s="18"/>
      <c r="Q48" s="18"/>
      <c r="R48" s="18" t="s">
        <v>496</v>
      </c>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row>
    <row r="49" spans="1:63" ht="44.45" customHeight="1" x14ac:dyDescent="0.2">
      <c r="A49" s="18"/>
      <c r="B49" s="18"/>
      <c r="C49" s="18"/>
      <c r="D49" s="18"/>
      <c r="E49" s="18"/>
      <c r="F49" s="18"/>
      <c r="G49" s="18"/>
      <c r="H49" s="18"/>
      <c r="I49" s="18"/>
      <c r="J49" s="18"/>
      <c r="K49" s="18"/>
      <c r="L49" s="18"/>
      <c r="M49" s="18"/>
      <c r="N49" s="18"/>
      <c r="O49" s="18"/>
      <c r="P49" s="18"/>
      <c r="Q49" s="18"/>
      <c r="R49" s="18" t="s">
        <v>497</v>
      </c>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row>
    <row r="50" spans="1:63" ht="44.45" customHeight="1" x14ac:dyDescent="0.2">
      <c r="A50" s="18"/>
      <c r="B50" s="18"/>
      <c r="C50" s="18"/>
      <c r="D50" s="18"/>
      <c r="E50" s="18"/>
      <c r="F50" s="18"/>
      <c r="G50" s="18"/>
      <c r="H50" s="18"/>
      <c r="I50" s="18"/>
      <c r="J50" s="18"/>
      <c r="K50" s="18"/>
      <c r="L50" s="18"/>
      <c r="M50" s="18"/>
      <c r="N50" s="18"/>
      <c r="O50" s="18"/>
      <c r="P50" s="18"/>
      <c r="Q50" s="18"/>
      <c r="R50" s="18" t="s">
        <v>498</v>
      </c>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row>
    <row r="51" spans="1:63" ht="44.45" customHeight="1" x14ac:dyDescent="0.2">
      <c r="A51" s="18"/>
      <c r="B51" s="18"/>
      <c r="C51" s="18"/>
      <c r="D51" s="18"/>
      <c r="E51" s="18"/>
      <c r="F51" s="18"/>
      <c r="G51" s="18"/>
      <c r="H51" s="18"/>
      <c r="I51" s="18"/>
      <c r="J51" s="18"/>
      <c r="K51" s="18"/>
      <c r="L51" s="18"/>
      <c r="M51" s="18"/>
      <c r="N51" s="18"/>
      <c r="O51" s="18"/>
      <c r="P51" s="18"/>
      <c r="Q51" s="18"/>
      <c r="R51" s="18" t="s">
        <v>499</v>
      </c>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row>
    <row r="52" spans="1:63" ht="44.45" customHeight="1" x14ac:dyDescent="0.2">
      <c r="A52" s="18"/>
      <c r="B52" s="18"/>
      <c r="C52" s="18"/>
      <c r="D52" s="18"/>
      <c r="E52" s="18"/>
      <c r="F52" s="18"/>
      <c r="G52" s="18"/>
      <c r="H52" s="18"/>
      <c r="I52" s="18"/>
      <c r="J52" s="18"/>
      <c r="K52" s="18"/>
      <c r="L52" s="18"/>
      <c r="M52" s="18"/>
      <c r="N52" s="18"/>
      <c r="O52" s="18"/>
      <c r="P52" s="18"/>
      <c r="Q52" s="18"/>
      <c r="R52" s="18" t="s">
        <v>500</v>
      </c>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row>
    <row r="53" spans="1:63" ht="44.45" customHeight="1" x14ac:dyDescent="0.2">
      <c r="A53" s="18"/>
      <c r="B53" s="18"/>
      <c r="C53" s="18"/>
      <c r="D53" s="18"/>
      <c r="E53" s="18"/>
      <c r="F53" s="18"/>
      <c r="G53" s="18"/>
      <c r="H53" s="18"/>
      <c r="I53" s="18"/>
      <c r="J53" s="18"/>
      <c r="K53" s="18"/>
      <c r="L53" s="18"/>
      <c r="M53" s="18"/>
      <c r="N53" s="18"/>
      <c r="O53" s="18"/>
      <c r="P53" s="18"/>
      <c r="Q53" s="18"/>
      <c r="R53" s="18" t="s">
        <v>501</v>
      </c>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row>
    <row r="54" spans="1:63" ht="44.45" customHeight="1" x14ac:dyDescent="0.2">
      <c r="A54" s="18"/>
      <c r="B54" s="18"/>
      <c r="C54" s="18"/>
      <c r="D54" s="18"/>
      <c r="E54" s="18"/>
      <c r="F54" s="18"/>
      <c r="G54" s="18"/>
      <c r="H54" s="18"/>
      <c r="I54" s="18"/>
      <c r="J54" s="18"/>
      <c r="K54" s="18"/>
      <c r="L54" s="18"/>
      <c r="M54" s="18"/>
      <c r="N54" s="18"/>
      <c r="O54" s="18"/>
      <c r="P54" s="18"/>
      <c r="Q54" s="18"/>
      <c r="R54" s="18" t="s">
        <v>502</v>
      </c>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row>
    <row r="55" spans="1:63" ht="44.45" customHeight="1" x14ac:dyDescent="0.2">
      <c r="A55" s="18"/>
      <c r="B55" s="18"/>
      <c r="C55" s="18"/>
      <c r="D55" s="18"/>
      <c r="E55" s="18"/>
      <c r="F55" s="18"/>
      <c r="G55" s="18"/>
      <c r="H55" s="18"/>
      <c r="I55" s="18"/>
      <c r="J55" s="18"/>
      <c r="K55" s="18"/>
      <c r="L55" s="18"/>
      <c r="M55" s="18"/>
      <c r="N55" s="18"/>
      <c r="O55" s="18"/>
      <c r="P55" s="18"/>
      <c r="Q55" s="18"/>
      <c r="R55" s="18" t="s">
        <v>503</v>
      </c>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row>
    <row r="56" spans="1:63" ht="44.45" customHeight="1" x14ac:dyDescent="0.2">
      <c r="A56" s="18"/>
      <c r="B56" s="18"/>
      <c r="C56" s="18"/>
      <c r="D56" s="18"/>
      <c r="E56" s="18"/>
      <c r="F56" s="18"/>
      <c r="G56" s="18"/>
      <c r="H56" s="18"/>
      <c r="I56" s="18"/>
      <c r="J56" s="18"/>
      <c r="K56" s="18"/>
      <c r="L56" s="18"/>
      <c r="M56" s="18"/>
      <c r="N56" s="18"/>
      <c r="O56" s="18"/>
      <c r="P56" s="18"/>
      <c r="Q56" s="18"/>
      <c r="R56" s="18" t="s">
        <v>504</v>
      </c>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row>
    <row r="57" spans="1:63" ht="44.45" customHeight="1" x14ac:dyDescent="0.2">
      <c r="A57" s="18"/>
      <c r="B57" s="18"/>
      <c r="C57" s="18"/>
      <c r="D57" s="18"/>
      <c r="E57" s="18"/>
      <c r="F57" s="18"/>
      <c r="G57" s="18"/>
      <c r="H57" s="18"/>
      <c r="I57" s="18"/>
      <c r="J57" s="18"/>
      <c r="K57" s="18"/>
      <c r="L57" s="18"/>
      <c r="M57" s="18"/>
      <c r="N57" s="18"/>
      <c r="O57" s="18"/>
      <c r="P57" s="18"/>
      <c r="Q57" s="18"/>
      <c r="R57" s="18" t="s">
        <v>505</v>
      </c>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row>
    <row r="58" spans="1:63" ht="44.45" customHeight="1" x14ac:dyDescent="0.2">
      <c r="A58" s="18"/>
      <c r="B58" s="18"/>
      <c r="C58" s="18"/>
      <c r="D58" s="18"/>
      <c r="E58" s="18"/>
      <c r="F58" s="18"/>
      <c r="G58" s="18"/>
      <c r="H58" s="18"/>
      <c r="I58" s="18"/>
      <c r="J58" s="18"/>
      <c r="K58" s="18"/>
      <c r="L58" s="18"/>
      <c r="M58" s="18"/>
      <c r="N58" s="18"/>
      <c r="O58" s="18"/>
      <c r="P58" s="18"/>
      <c r="Q58" s="18"/>
      <c r="R58" s="18" t="s">
        <v>506</v>
      </c>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row>
    <row r="59" spans="1:63" ht="44.45" customHeight="1" x14ac:dyDescent="0.2">
      <c r="A59" s="18"/>
      <c r="B59" s="18"/>
      <c r="C59" s="18"/>
      <c r="D59" s="18"/>
      <c r="E59" s="18"/>
      <c r="F59" s="18"/>
      <c r="G59" s="18"/>
      <c r="H59" s="18"/>
      <c r="I59" s="18"/>
      <c r="J59" s="18"/>
      <c r="K59" s="18"/>
      <c r="L59" s="18"/>
      <c r="M59" s="18"/>
      <c r="N59" s="18"/>
      <c r="O59" s="18"/>
      <c r="P59" s="18"/>
      <c r="Q59" s="18"/>
      <c r="R59" s="18" t="s">
        <v>507</v>
      </c>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row>
    <row r="60" spans="1:63" ht="44.45" customHeight="1" x14ac:dyDescent="0.2">
      <c r="A60" s="18"/>
      <c r="B60" s="18"/>
      <c r="C60" s="18"/>
      <c r="D60" s="18"/>
      <c r="E60" s="18"/>
      <c r="F60" s="18"/>
      <c r="G60" s="18"/>
      <c r="H60" s="18"/>
      <c r="I60" s="18"/>
      <c r="J60" s="18"/>
      <c r="K60" s="18"/>
      <c r="L60" s="18"/>
      <c r="M60" s="18"/>
      <c r="N60" s="18"/>
      <c r="O60" s="18"/>
      <c r="P60" s="18"/>
      <c r="Q60" s="18"/>
      <c r="R60" s="18" t="s">
        <v>508</v>
      </c>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row>
    <row r="61" spans="1:63" ht="44.45" customHeight="1" x14ac:dyDescent="0.2">
      <c r="A61" s="18"/>
      <c r="B61" s="18"/>
      <c r="C61" s="18"/>
      <c r="D61" s="18"/>
      <c r="E61" s="18"/>
      <c r="F61" s="18"/>
      <c r="G61" s="18"/>
      <c r="H61" s="18"/>
      <c r="I61" s="18"/>
      <c r="J61" s="18"/>
      <c r="K61" s="18"/>
      <c r="L61" s="18"/>
      <c r="M61" s="18"/>
      <c r="N61" s="18"/>
      <c r="O61" s="18"/>
      <c r="P61" s="18"/>
      <c r="Q61" s="18"/>
      <c r="R61" s="18" t="s">
        <v>509</v>
      </c>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row>
    <row r="62" spans="1:63" ht="44.45" customHeight="1" x14ac:dyDescent="0.2">
      <c r="A62" s="18"/>
      <c r="B62" s="18"/>
      <c r="C62" s="18"/>
      <c r="D62" s="18"/>
      <c r="E62" s="18"/>
      <c r="F62" s="18"/>
      <c r="G62" s="18"/>
      <c r="H62" s="18"/>
      <c r="I62" s="18"/>
      <c r="J62" s="18"/>
      <c r="K62" s="18"/>
      <c r="L62" s="18"/>
      <c r="M62" s="18"/>
      <c r="N62" s="18"/>
      <c r="O62" s="18"/>
      <c r="P62" s="18"/>
      <c r="Q62" s="18"/>
      <c r="R62" s="18" t="s">
        <v>510</v>
      </c>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row>
    <row r="63" spans="1:63" ht="44.45" customHeight="1" x14ac:dyDescent="0.2">
      <c r="A63" s="18"/>
      <c r="B63" s="18"/>
      <c r="C63" s="18"/>
      <c r="D63" s="18"/>
      <c r="E63" s="18"/>
      <c r="F63" s="18"/>
      <c r="G63" s="18"/>
      <c r="H63" s="18"/>
      <c r="I63" s="18"/>
      <c r="J63" s="18"/>
      <c r="K63" s="18"/>
      <c r="L63" s="18"/>
      <c r="M63" s="18"/>
      <c r="N63" s="18"/>
      <c r="O63" s="18"/>
      <c r="P63" s="18"/>
      <c r="Q63" s="18"/>
      <c r="R63" s="18" t="s">
        <v>511</v>
      </c>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row>
    <row r="64" spans="1:63" ht="44.45" customHeight="1" x14ac:dyDescent="0.2">
      <c r="A64" s="18"/>
      <c r="B64" s="18"/>
      <c r="C64" s="18"/>
      <c r="D64" s="18"/>
      <c r="E64" s="18"/>
      <c r="F64" s="18"/>
      <c r="G64" s="18"/>
      <c r="H64" s="18"/>
      <c r="I64" s="18"/>
      <c r="J64" s="18"/>
      <c r="K64" s="18"/>
      <c r="L64" s="18"/>
      <c r="M64" s="18"/>
      <c r="N64" s="18"/>
      <c r="O64" s="18"/>
      <c r="P64" s="18"/>
      <c r="Q64" s="18"/>
      <c r="R64" s="18" t="s">
        <v>512</v>
      </c>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row>
    <row r="65" spans="1:63" ht="44.45" customHeight="1" x14ac:dyDescent="0.2">
      <c r="A65" s="18"/>
      <c r="B65" s="18"/>
      <c r="C65" s="18"/>
      <c r="D65" s="18"/>
      <c r="E65" s="18"/>
      <c r="F65" s="18"/>
      <c r="G65" s="18"/>
      <c r="H65" s="18"/>
      <c r="I65" s="18"/>
      <c r="J65" s="18"/>
      <c r="K65" s="18"/>
      <c r="L65" s="18"/>
      <c r="M65" s="18"/>
      <c r="N65" s="18"/>
      <c r="O65" s="18"/>
      <c r="P65" s="18"/>
      <c r="Q65" s="18"/>
      <c r="R65" s="18" t="s">
        <v>513</v>
      </c>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row>
    <row r="66" spans="1:63" ht="44.45" customHeight="1" x14ac:dyDescent="0.2">
      <c r="A66" s="18"/>
      <c r="B66" s="18"/>
      <c r="C66" s="18"/>
      <c r="D66" s="18"/>
      <c r="E66" s="18"/>
      <c r="F66" s="18"/>
      <c r="G66" s="18"/>
      <c r="H66" s="18"/>
      <c r="I66" s="18"/>
      <c r="J66" s="18"/>
      <c r="K66" s="18"/>
      <c r="L66" s="18"/>
      <c r="M66" s="18"/>
      <c r="N66" s="18"/>
      <c r="O66" s="18"/>
      <c r="P66" s="18"/>
      <c r="Q66" s="18"/>
      <c r="R66" s="18" t="s">
        <v>514</v>
      </c>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row>
    <row r="67" spans="1:63" ht="44.45" customHeight="1" x14ac:dyDescent="0.2">
      <c r="A67" s="18"/>
      <c r="B67" s="18"/>
      <c r="C67" s="18"/>
      <c r="D67" s="18"/>
      <c r="E67" s="18"/>
      <c r="F67" s="18"/>
      <c r="G67" s="18"/>
      <c r="H67" s="18"/>
      <c r="I67" s="18"/>
      <c r="J67" s="18"/>
      <c r="K67" s="18"/>
      <c r="L67" s="18"/>
      <c r="M67" s="18"/>
      <c r="N67" s="18"/>
      <c r="O67" s="18"/>
      <c r="P67" s="18"/>
      <c r="Q67" s="18"/>
      <c r="R67" s="18" t="s">
        <v>515</v>
      </c>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row>
    <row r="68" spans="1:63" ht="44.45" customHeight="1" x14ac:dyDescent="0.2">
      <c r="A68" s="18"/>
      <c r="B68" s="18"/>
      <c r="C68" s="18"/>
      <c r="D68" s="18"/>
      <c r="E68" s="18"/>
      <c r="F68" s="18"/>
      <c r="G68" s="18"/>
      <c r="H68" s="18"/>
      <c r="I68" s="18"/>
      <c r="J68" s="18"/>
      <c r="K68" s="18"/>
      <c r="L68" s="18"/>
      <c r="M68" s="18"/>
      <c r="N68" s="18"/>
      <c r="O68" s="18"/>
      <c r="P68" s="18"/>
      <c r="Q68" s="18"/>
      <c r="R68" s="18" t="s">
        <v>516</v>
      </c>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row>
    <row r="69" spans="1:63" ht="44.45" customHeight="1" x14ac:dyDescent="0.2">
      <c r="A69" s="18"/>
      <c r="B69" s="18"/>
      <c r="C69" s="18"/>
      <c r="D69" s="18"/>
      <c r="E69" s="18"/>
      <c r="F69" s="18"/>
      <c r="G69" s="18"/>
      <c r="H69" s="18"/>
      <c r="I69" s="18"/>
      <c r="J69" s="18"/>
      <c r="K69" s="18"/>
      <c r="L69" s="18"/>
      <c r="M69" s="18"/>
      <c r="N69" s="18"/>
      <c r="O69" s="18"/>
      <c r="P69" s="18"/>
      <c r="Q69" s="18"/>
      <c r="R69" s="18" t="s">
        <v>517</v>
      </c>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row>
    <row r="70" spans="1:63" ht="44.45" customHeight="1" x14ac:dyDescent="0.2">
      <c r="A70" s="18"/>
      <c r="B70" s="18"/>
      <c r="C70" s="18"/>
      <c r="D70" s="18"/>
      <c r="E70" s="18"/>
      <c r="F70" s="18"/>
      <c r="G70" s="18"/>
      <c r="H70" s="18"/>
      <c r="I70" s="18"/>
      <c r="J70" s="18"/>
      <c r="K70" s="18"/>
      <c r="L70" s="18"/>
      <c r="M70" s="18"/>
      <c r="N70" s="18"/>
      <c r="O70" s="18"/>
      <c r="P70" s="18"/>
      <c r="Q70" s="18"/>
      <c r="R70" s="18" t="s">
        <v>518</v>
      </c>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row>
    <row r="71" spans="1:63" ht="44.45" customHeight="1" x14ac:dyDescent="0.2">
      <c r="A71" s="18"/>
      <c r="B71" s="18"/>
      <c r="C71" s="18"/>
      <c r="D71" s="18"/>
      <c r="E71" s="18"/>
      <c r="F71" s="18"/>
      <c r="G71" s="18"/>
      <c r="H71" s="18"/>
      <c r="I71" s="18"/>
      <c r="J71" s="18"/>
      <c r="K71" s="18"/>
      <c r="L71" s="18"/>
      <c r="M71" s="18"/>
      <c r="N71" s="18"/>
      <c r="O71" s="18"/>
      <c r="P71" s="18"/>
      <c r="Q71" s="18"/>
      <c r="R71" s="18" t="s">
        <v>519</v>
      </c>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row>
    <row r="72" spans="1:63" ht="44.45" customHeight="1" x14ac:dyDescent="0.2">
      <c r="A72" s="18"/>
      <c r="B72" s="18"/>
      <c r="C72" s="18"/>
      <c r="D72" s="18"/>
      <c r="E72" s="18"/>
      <c r="F72" s="18"/>
      <c r="G72" s="18"/>
      <c r="H72" s="18"/>
      <c r="I72" s="18"/>
      <c r="J72" s="18"/>
      <c r="K72" s="18"/>
      <c r="L72" s="18"/>
      <c r="M72" s="18"/>
      <c r="N72" s="18"/>
      <c r="O72" s="18"/>
      <c r="P72" s="18"/>
      <c r="Q72" s="18"/>
      <c r="R72" s="18" t="s">
        <v>520</v>
      </c>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row>
    <row r="73" spans="1:63" ht="44.45" customHeight="1" x14ac:dyDescent="0.2">
      <c r="A73" s="18"/>
      <c r="B73" s="18"/>
      <c r="C73" s="18"/>
      <c r="D73" s="18"/>
      <c r="E73" s="18"/>
      <c r="F73" s="18"/>
      <c r="G73" s="18"/>
      <c r="H73" s="18"/>
      <c r="I73" s="18"/>
      <c r="J73" s="18"/>
      <c r="K73" s="18"/>
      <c r="L73" s="18"/>
      <c r="M73" s="18"/>
      <c r="N73" s="18"/>
      <c r="O73" s="18"/>
      <c r="P73" s="18"/>
      <c r="Q73" s="18"/>
      <c r="R73" s="18" t="s">
        <v>521</v>
      </c>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row>
    <row r="74" spans="1:63" ht="44.45" customHeight="1" x14ac:dyDescent="0.2">
      <c r="A74" s="18"/>
      <c r="B74" s="18"/>
      <c r="C74" s="18"/>
      <c r="D74" s="18"/>
      <c r="E74" s="18"/>
      <c r="F74" s="18"/>
      <c r="G74" s="18"/>
      <c r="H74" s="18"/>
      <c r="I74" s="18"/>
      <c r="J74" s="18"/>
      <c r="K74" s="18"/>
      <c r="L74" s="18"/>
      <c r="M74" s="18"/>
      <c r="N74" s="18"/>
      <c r="O74" s="18"/>
      <c r="P74" s="18"/>
      <c r="Q74" s="18"/>
      <c r="R74" s="18" t="s">
        <v>522</v>
      </c>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row>
    <row r="75" spans="1:63" ht="44.45" customHeight="1" x14ac:dyDescent="0.2">
      <c r="A75" s="18"/>
      <c r="B75" s="18"/>
      <c r="C75" s="18"/>
      <c r="D75" s="18"/>
      <c r="E75" s="18"/>
      <c r="F75" s="18"/>
      <c r="G75" s="18"/>
      <c r="H75" s="18"/>
      <c r="I75" s="18"/>
      <c r="J75" s="18"/>
      <c r="K75" s="18"/>
      <c r="L75" s="18"/>
      <c r="M75" s="18"/>
      <c r="N75" s="18"/>
      <c r="O75" s="18"/>
      <c r="P75" s="18"/>
      <c r="Q75" s="18"/>
      <c r="R75" s="18" t="s">
        <v>523</v>
      </c>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row>
    <row r="76" spans="1:63" ht="44.45" customHeight="1" x14ac:dyDescent="0.2">
      <c r="A76" s="18"/>
      <c r="B76" s="18"/>
      <c r="C76" s="18"/>
      <c r="D76" s="18"/>
      <c r="E76" s="18"/>
      <c r="F76" s="18"/>
      <c r="G76" s="18"/>
      <c r="H76" s="18"/>
      <c r="I76" s="18"/>
      <c r="J76" s="18"/>
      <c r="K76" s="18"/>
      <c r="L76" s="18"/>
      <c r="M76" s="18"/>
      <c r="N76" s="18"/>
      <c r="O76" s="18"/>
      <c r="P76" s="18"/>
      <c r="Q76" s="18"/>
      <c r="R76" s="18" t="s">
        <v>524</v>
      </c>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row>
    <row r="77" spans="1:63" ht="44.45" customHeight="1" x14ac:dyDescent="0.2">
      <c r="A77" s="18"/>
      <c r="B77" s="18"/>
      <c r="C77" s="18"/>
      <c r="D77" s="18"/>
      <c r="E77" s="18"/>
      <c r="F77" s="18"/>
      <c r="G77" s="18"/>
      <c r="H77" s="18"/>
      <c r="I77" s="18"/>
      <c r="J77" s="18"/>
      <c r="K77" s="18"/>
      <c r="L77" s="18"/>
      <c r="M77" s="18"/>
      <c r="N77" s="18"/>
      <c r="O77" s="18"/>
      <c r="P77" s="18"/>
      <c r="Q77" s="18"/>
      <c r="R77" s="18" t="s">
        <v>525</v>
      </c>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row>
    <row r="78" spans="1:63" ht="44.45" customHeight="1" x14ac:dyDescent="0.2">
      <c r="A78" s="18"/>
      <c r="B78" s="18"/>
      <c r="C78" s="18"/>
      <c r="D78" s="18"/>
      <c r="E78" s="18"/>
      <c r="F78" s="18"/>
      <c r="G78" s="18"/>
      <c r="H78" s="18"/>
      <c r="I78" s="18"/>
      <c r="J78" s="18"/>
      <c r="K78" s="18"/>
      <c r="L78" s="18"/>
      <c r="M78" s="18"/>
      <c r="N78" s="18"/>
      <c r="O78" s="18"/>
      <c r="P78" s="18"/>
      <c r="Q78" s="18"/>
      <c r="R78" s="18" t="s">
        <v>526</v>
      </c>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row>
    <row r="79" spans="1:63" ht="44.45" customHeight="1" x14ac:dyDescent="0.2">
      <c r="A79" s="18"/>
      <c r="B79" s="18"/>
      <c r="C79" s="18"/>
      <c r="D79" s="18"/>
      <c r="E79" s="18"/>
      <c r="F79" s="18"/>
      <c r="G79" s="18"/>
      <c r="H79" s="18"/>
      <c r="I79" s="18"/>
      <c r="J79" s="18"/>
      <c r="K79" s="18"/>
      <c r="L79" s="18"/>
      <c r="M79" s="18"/>
      <c r="N79" s="18"/>
      <c r="O79" s="18"/>
      <c r="P79" s="18"/>
      <c r="Q79" s="18"/>
      <c r="R79" s="18" t="s">
        <v>527</v>
      </c>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row>
    <row r="80" spans="1:63" ht="44.45" customHeight="1" x14ac:dyDescent="0.2">
      <c r="A80" s="18"/>
      <c r="B80" s="18"/>
      <c r="C80" s="18"/>
      <c r="D80" s="18"/>
      <c r="E80" s="18"/>
      <c r="F80" s="18"/>
      <c r="G80" s="18"/>
      <c r="H80" s="18"/>
      <c r="I80" s="18"/>
      <c r="J80" s="18"/>
      <c r="K80" s="18"/>
      <c r="L80" s="18"/>
      <c r="M80" s="18"/>
      <c r="N80" s="18"/>
      <c r="O80" s="18"/>
      <c r="P80" s="18"/>
      <c r="Q80" s="18"/>
      <c r="R80" s="18" t="s">
        <v>528</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row>
    <row r="81" spans="1:63" ht="44.45" customHeight="1" x14ac:dyDescent="0.2">
      <c r="A81" s="18"/>
      <c r="B81" s="18"/>
      <c r="C81" s="18"/>
      <c r="D81" s="18"/>
      <c r="E81" s="18"/>
      <c r="F81" s="18"/>
      <c r="G81" s="18"/>
      <c r="H81" s="18"/>
      <c r="I81" s="18"/>
      <c r="J81" s="18"/>
      <c r="K81" s="18"/>
      <c r="L81" s="18"/>
      <c r="M81" s="18"/>
      <c r="N81" s="18"/>
      <c r="O81" s="18"/>
      <c r="P81" s="18"/>
      <c r="Q81" s="18"/>
      <c r="R81" s="18" t="s">
        <v>529</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row>
    <row r="82" spans="1:63" ht="44.45" customHeight="1" x14ac:dyDescent="0.2">
      <c r="A82" s="18"/>
      <c r="B82" s="18"/>
      <c r="C82" s="18"/>
      <c r="D82" s="18"/>
      <c r="E82" s="18"/>
      <c r="F82" s="18"/>
      <c r="G82" s="18"/>
      <c r="H82" s="18"/>
      <c r="I82" s="18"/>
      <c r="J82" s="18"/>
      <c r="K82" s="18"/>
      <c r="L82" s="18"/>
      <c r="M82" s="18"/>
      <c r="N82" s="18"/>
      <c r="O82" s="18"/>
      <c r="P82" s="18"/>
      <c r="Q82" s="18"/>
      <c r="R82" s="18" t="s">
        <v>530</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row>
    <row r="83" spans="1:63" ht="44.45" customHeight="1" x14ac:dyDescent="0.2">
      <c r="A83" s="18"/>
      <c r="B83" s="18"/>
      <c r="C83" s="18"/>
      <c r="D83" s="18"/>
      <c r="E83" s="18"/>
      <c r="F83" s="18"/>
      <c r="G83" s="18"/>
      <c r="H83" s="18"/>
      <c r="I83" s="18"/>
      <c r="J83" s="18"/>
      <c r="K83" s="18"/>
      <c r="L83" s="18"/>
      <c r="M83" s="18"/>
      <c r="N83" s="18"/>
      <c r="O83" s="18"/>
      <c r="P83" s="18"/>
      <c r="Q83" s="18"/>
      <c r="R83" s="18" t="s">
        <v>531</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row>
    <row r="84" spans="1:63" ht="44.45" customHeight="1" x14ac:dyDescent="0.2">
      <c r="A84" s="18"/>
      <c r="B84" s="18"/>
      <c r="C84" s="18"/>
      <c r="D84" s="18"/>
      <c r="E84" s="18"/>
      <c r="F84" s="18"/>
      <c r="G84" s="18"/>
      <c r="H84" s="18"/>
      <c r="I84" s="18"/>
      <c r="J84" s="18"/>
      <c r="K84" s="18"/>
      <c r="L84" s="18"/>
      <c r="M84" s="18"/>
      <c r="N84" s="18"/>
      <c r="O84" s="18"/>
      <c r="P84" s="18"/>
      <c r="Q84" s="18"/>
      <c r="R84" s="18" t="s">
        <v>532</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row>
    <row r="85" spans="1:63" ht="44.45" customHeight="1" x14ac:dyDescent="0.2">
      <c r="A85" s="18"/>
      <c r="B85" s="18"/>
      <c r="C85" s="18"/>
      <c r="D85" s="18"/>
      <c r="E85" s="18"/>
      <c r="F85" s="18"/>
      <c r="G85" s="18"/>
      <c r="H85" s="18"/>
      <c r="I85" s="18"/>
      <c r="J85" s="18"/>
      <c r="K85" s="18"/>
      <c r="L85" s="18"/>
      <c r="M85" s="18"/>
      <c r="N85" s="18"/>
      <c r="O85" s="18"/>
      <c r="P85" s="18"/>
      <c r="Q85" s="18"/>
      <c r="R85" s="18" t="s">
        <v>533</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row>
    <row r="86" spans="1:63" ht="44.45" customHeight="1" x14ac:dyDescent="0.2">
      <c r="A86" s="18"/>
      <c r="B86" s="18"/>
      <c r="C86" s="18"/>
      <c r="D86" s="18"/>
      <c r="E86" s="18"/>
      <c r="F86" s="18"/>
      <c r="G86" s="18"/>
      <c r="H86" s="18"/>
      <c r="I86" s="18"/>
      <c r="J86" s="18"/>
      <c r="K86" s="18"/>
      <c r="L86" s="18"/>
      <c r="M86" s="18"/>
      <c r="N86" s="18"/>
      <c r="O86" s="18"/>
      <c r="P86" s="18"/>
      <c r="Q86" s="18"/>
      <c r="R86" s="18" t="s">
        <v>534</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row>
    <row r="87" spans="1:63" ht="44.45" customHeight="1" x14ac:dyDescent="0.2">
      <c r="A87" s="18"/>
      <c r="B87" s="18"/>
      <c r="C87" s="18"/>
      <c r="D87" s="18"/>
      <c r="E87" s="18"/>
      <c r="F87" s="18"/>
      <c r="G87" s="18"/>
      <c r="H87" s="18"/>
      <c r="I87" s="18"/>
      <c r="J87" s="18"/>
      <c r="K87" s="18"/>
      <c r="L87" s="18"/>
      <c r="M87" s="18"/>
      <c r="N87" s="18"/>
      <c r="O87" s="18"/>
      <c r="P87" s="18"/>
      <c r="Q87" s="18"/>
      <c r="R87" s="18" t="s">
        <v>535</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row>
    <row r="88" spans="1:63" ht="44.45" customHeight="1" x14ac:dyDescent="0.2">
      <c r="A88" s="18"/>
      <c r="B88" s="18"/>
      <c r="C88" s="18"/>
      <c r="D88" s="18"/>
      <c r="E88" s="18"/>
      <c r="F88" s="18"/>
      <c r="G88" s="18"/>
      <c r="H88" s="18"/>
      <c r="I88" s="18"/>
      <c r="J88" s="18"/>
      <c r="K88" s="18"/>
      <c r="L88" s="18"/>
      <c r="M88" s="18"/>
      <c r="N88" s="18"/>
      <c r="O88" s="18"/>
      <c r="P88" s="18"/>
      <c r="Q88" s="18"/>
      <c r="R88" s="18" t="s">
        <v>536</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row>
    <row r="89" spans="1:63" ht="44.45" customHeight="1" x14ac:dyDescent="0.2">
      <c r="A89" s="18"/>
      <c r="B89" s="18"/>
      <c r="C89" s="18"/>
      <c r="D89" s="18"/>
      <c r="E89" s="18"/>
      <c r="F89" s="18"/>
      <c r="G89" s="18"/>
      <c r="H89" s="18"/>
      <c r="I89" s="18"/>
      <c r="J89" s="18"/>
      <c r="K89" s="18"/>
      <c r="L89" s="18"/>
      <c r="M89" s="18"/>
      <c r="N89" s="18"/>
      <c r="O89" s="18"/>
      <c r="P89" s="18"/>
      <c r="Q89" s="18"/>
      <c r="R89" s="18" t="s">
        <v>537</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row>
    <row r="90" spans="1:63" ht="44.45" customHeight="1" x14ac:dyDescent="0.2">
      <c r="A90" s="18"/>
      <c r="B90" s="18"/>
      <c r="C90" s="18"/>
      <c r="D90" s="18"/>
      <c r="E90" s="18"/>
      <c r="F90" s="18"/>
      <c r="G90" s="18"/>
      <c r="H90" s="18"/>
      <c r="I90" s="18"/>
      <c r="J90" s="18"/>
      <c r="K90" s="18"/>
      <c r="L90" s="18"/>
      <c r="M90" s="18"/>
      <c r="N90" s="18"/>
      <c r="O90" s="18"/>
      <c r="P90" s="18"/>
      <c r="Q90" s="18"/>
      <c r="R90" s="18" t="s">
        <v>538</v>
      </c>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row>
    <row r="91" spans="1:63" ht="44.4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row>
    <row r="92" spans="1:63" ht="44.4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row>
    <row r="93" spans="1:63" ht="44.4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row>
    <row r="94" spans="1:63" ht="44.4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row>
    <row r="95" spans="1:63" ht="44.4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row>
    <row r="96" spans="1:63" ht="44.4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row>
    <row r="97" spans="1:63" ht="44.4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row>
    <row r="98" spans="1:63" ht="44.4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row>
    <row r="99" spans="1:63" ht="44.4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row>
    <row r="100" spans="1:63" ht="44.4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row>
    <row r="101" spans="1:63" ht="44.4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row>
    <row r="102" spans="1:63" ht="44.4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row>
    <row r="103" spans="1:63" ht="44.4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row>
    <row r="104" spans="1:63" ht="44.4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row>
    <row r="105" spans="1:63" ht="44.4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row>
    <row r="106" spans="1:63" ht="44.4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row>
    <row r="107" spans="1:63" ht="44.4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row>
    <row r="108" spans="1:63" ht="44.4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row>
    <row r="109" spans="1:63" ht="44.4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row>
    <row r="110" spans="1:63" ht="44.4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row>
    <row r="111" spans="1:63" ht="44.4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row>
    <row r="112" spans="1:63" ht="44.4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row>
    <row r="113" spans="1:63" ht="44.4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row>
    <row r="114" spans="1:63" ht="44.4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row>
    <row r="115" spans="1:63" ht="44.4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row>
    <row r="116" spans="1:63" ht="44.4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row>
    <row r="117" spans="1:63" ht="44.4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row>
    <row r="118" spans="1:63" ht="44.4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row>
    <row r="119" spans="1:63" ht="44.4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row>
    <row r="120" spans="1:63" ht="44.4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row>
    <row r="121" spans="1:63" ht="44.4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row>
    <row r="122" spans="1:63" ht="44.4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row>
    <row r="123" spans="1:63" ht="44.4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row>
    <row r="124" spans="1:63" ht="44.4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row>
    <row r="125" spans="1:63" ht="44.4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row>
    <row r="126" spans="1:63" ht="44.4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row>
    <row r="127" spans="1:63" ht="44.4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row>
    <row r="128" spans="1:63" ht="44.4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row>
    <row r="129" spans="1:63" ht="44.4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row>
    <row r="130" spans="1:63" ht="44.4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row>
    <row r="131" spans="1:63" ht="44.4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row>
    <row r="132" spans="1:63" ht="44.4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row>
    <row r="133" spans="1:63" ht="44.4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row>
    <row r="134" spans="1:63" ht="44.4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row>
    <row r="135" spans="1:63" ht="44.4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row>
    <row r="136" spans="1:63" ht="44.4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row>
    <row r="137" spans="1:63" ht="44.4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row>
    <row r="138" spans="1:63" ht="44.4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row>
    <row r="139" spans="1:63" ht="44.4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row>
    <row r="140" spans="1:63" ht="44.4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row>
    <row r="141" spans="1:63" ht="44.4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row>
    <row r="142" spans="1:63" ht="44.4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row>
    <row r="143" spans="1:63" ht="44.4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row>
    <row r="144" spans="1:63" ht="44.4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row>
    <row r="145" spans="1:63" ht="44.4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row>
    <row r="146" spans="1:63" ht="44.4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row>
    <row r="147" spans="1:63" ht="44.4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row>
    <row r="148" spans="1:63" ht="44.4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row>
    <row r="149" spans="1:63" ht="44.4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row>
    <row r="150" spans="1:63" ht="44.4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row>
    <row r="151" spans="1:63" ht="44.4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row>
    <row r="152" spans="1:63" ht="44.4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row>
    <row r="153" spans="1:63" ht="44.4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row>
    <row r="154" spans="1:63" ht="44.4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row>
    <row r="155" spans="1:63" ht="44.4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row>
    <row r="156" spans="1:63" ht="44.4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row>
    <row r="157" spans="1:63" ht="44.4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row>
    <row r="158" spans="1:63" ht="44.4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row>
    <row r="159" spans="1:63" ht="44.4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row>
    <row r="160" spans="1:63" ht="44.4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row>
    <row r="161" spans="1:63" ht="44.4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row>
    <row r="162" spans="1:63" ht="44.4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row>
    <row r="163" spans="1:63" ht="44.4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row>
    <row r="164" spans="1:63" ht="44.4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row>
    <row r="165" spans="1:63" ht="44.4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row>
    <row r="166" spans="1:63" ht="44.4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row>
    <row r="167" spans="1:63" ht="44.4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row>
    <row r="168" spans="1:63" ht="44.4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row>
    <row r="169" spans="1:63" ht="44.4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row>
    <row r="170" spans="1:63" ht="44.4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row>
    <row r="171" spans="1:63" ht="44.4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row>
    <row r="172" spans="1:63" ht="44.4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row>
    <row r="173" spans="1:63" ht="44.4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row>
    <row r="174" spans="1:63" ht="44.4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row>
    <row r="175" spans="1:63" ht="44.4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row>
    <row r="176" spans="1:63" ht="44.4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row>
    <row r="177" spans="1:63" ht="44.4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row>
    <row r="178" spans="1:63" ht="44.4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row>
    <row r="179" spans="1:63" ht="44.4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row>
    <row r="180" spans="1:63" ht="44.4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row>
    <row r="181" spans="1:63" ht="44.4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row>
    <row r="182" spans="1:63" ht="44.4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row>
    <row r="183" spans="1:63" ht="44.4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row>
    <row r="184" spans="1:63" ht="44.4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row>
    <row r="185" spans="1:63" ht="44.4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row>
    <row r="186" spans="1:63" ht="44.4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row>
    <row r="187" spans="1:63" ht="44.4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row>
    <row r="188" spans="1:63" ht="44.4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row>
    <row r="189" spans="1:63" ht="44.4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row>
    <row r="190" spans="1:63" ht="44.4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row>
    <row r="191" spans="1:63" ht="44.4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row>
    <row r="192" spans="1:63" ht="44.4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row>
    <row r="193" spans="1:63" ht="44.4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row>
    <row r="194" spans="1:63" ht="44.4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row>
    <row r="195" spans="1:63" ht="44.4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row>
    <row r="196" spans="1:63" ht="44.4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row>
    <row r="197" spans="1:63" ht="44.4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row>
    <row r="198" spans="1:63" ht="44.4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row>
    <row r="199" spans="1:63" ht="44.4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row>
  </sheetData>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H18"/>
  <sheetViews>
    <sheetView showGridLines="0" workbookViewId="0">
      <selection activeCell="G1" sqref="G1:G2"/>
    </sheetView>
  </sheetViews>
  <sheetFormatPr defaultRowHeight="15" x14ac:dyDescent="0.25"/>
  <cols>
    <col min="1" max="1" width="3.28515625" customWidth="1"/>
    <col min="2" max="2" width="46.5703125" customWidth="1"/>
    <col min="3" max="3" width="14" bestFit="1" customWidth="1"/>
    <col min="4" max="4" width="17.7109375" customWidth="1"/>
    <col min="5" max="5" width="4.42578125" customWidth="1"/>
    <col min="6" max="6" width="43.42578125" customWidth="1"/>
    <col min="7" max="7" width="24.42578125" customWidth="1"/>
    <col min="8" max="8" width="22.42578125" customWidth="1"/>
  </cols>
  <sheetData>
    <row r="1" spans="2:8" x14ac:dyDescent="0.25">
      <c r="G1" s="344" t="s">
        <v>6</v>
      </c>
    </row>
    <row r="2" spans="2:8" ht="43.5" customHeight="1" thickBot="1" x14ac:dyDescent="0.3">
      <c r="G2" s="345"/>
    </row>
    <row r="3" spans="2:8" x14ac:dyDescent="0.25">
      <c r="B3" s="341" t="s">
        <v>603</v>
      </c>
      <c r="C3" s="342"/>
      <c r="D3" s="342"/>
      <c r="E3" s="342"/>
      <c r="F3" s="342"/>
      <c r="G3" s="342"/>
      <c r="H3" s="343"/>
    </row>
    <row r="4" spans="2:8" ht="15.75" thickBot="1" x14ac:dyDescent="0.3">
      <c r="B4" s="326"/>
      <c r="C4" s="327"/>
      <c r="D4" s="327"/>
      <c r="E4" s="327"/>
      <c r="F4" s="327"/>
      <c r="G4" s="327"/>
      <c r="H4" s="328"/>
    </row>
    <row r="5" spans="2:8" ht="15.75" customHeight="1" thickBot="1" x14ac:dyDescent="0.3">
      <c r="B5" s="326" t="s">
        <v>604</v>
      </c>
      <c r="C5" s="327"/>
      <c r="D5" s="328"/>
      <c r="F5" s="326" t="s">
        <v>605</v>
      </c>
      <c r="G5" s="327"/>
      <c r="H5" s="328"/>
    </row>
    <row r="6" spans="2:8" ht="30" customHeight="1" thickBot="1" x14ac:dyDescent="0.3">
      <c r="B6" s="78" t="s">
        <v>606</v>
      </c>
      <c r="C6" s="78" t="s">
        <v>607</v>
      </c>
      <c r="D6" s="77" t="s">
        <v>608</v>
      </c>
      <c r="F6" s="346" t="s">
        <v>609</v>
      </c>
      <c r="G6" s="348" t="s">
        <v>610</v>
      </c>
      <c r="H6" s="349"/>
    </row>
    <row r="7" spans="2:8" ht="30.75" customHeight="1" thickBot="1" x14ac:dyDescent="0.3">
      <c r="B7" s="76" t="s">
        <v>611</v>
      </c>
      <c r="C7" s="75">
        <v>470</v>
      </c>
      <c r="D7" s="74">
        <v>665</v>
      </c>
      <c r="F7" s="347"/>
      <c r="G7" s="78" t="s">
        <v>612</v>
      </c>
      <c r="H7" s="77" t="s">
        <v>613</v>
      </c>
    </row>
    <row r="8" spans="2:8" ht="32.25" thickBot="1" x14ac:dyDescent="0.3">
      <c r="B8" s="76" t="s">
        <v>614</v>
      </c>
      <c r="C8" s="75">
        <v>362</v>
      </c>
      <c r="D8" s="74">
        <v>608</v>
      </c>
      <c r="F8" s="73" t="s">
        <v>615</v>
      </c>
      <c r="G8" s="72">
        <v>400</v>
      </c>
      <c r="H8" s="63">
        <v>550</v>
      </c>
    </row>
    <row r="9" spans="2:8" ht="32.25" thickBot="1" x14ac:dyDescent="0.3">
      <c r="B9" s="71" t="s">
        <v>616</v>
      </c>
      <c r="C9" s="70">
        <v>258</v>
      </c>
      <c r="D9" s="69">
        <v>354</v>
      </c>
      <c r="F9" s="68" t="s">
        <v>617</v>
      </c>
      <c r="G9" s="67">
        <v>350</v>
      </c>
      <c r="H9" s="66">
        <v>450</v>
      </c>
    </row>
    <row r="10" spans="2:8" ht="15" customHeight="1" x14ac:dyDescent="0.25">
      <c r="B10" s="329" t="s">
        <v>618</v>
      </c>
      <c r="C10" s="330"/>
      <c r="D10" s="331"/>
      <c r="F10" s="351" t="s">
        <v>619</v>
      </c>
      <c r="G10" s="354">
        <v>300</v>
      </c>
      <c r="H10" s="354">
        <v>400</v>
      </c>
    </row>
    <row r="11" spans="2:8" ht="15" customHeight="1" x14ac:dyDescent="0.25">
      <c r="B11" s="332"/>
      <c r="C11" s="333"/>
      <c r="D11" s="334"/>
      <c r="F11" s="352"/>
      <c r="G11" s="355"/>
      <c r="H11" s="355"/>
    </row>
    <row r="12" spans="2:8" ht="15" customHeight="1" x14ac:dyDescent="0.25">
      <c r="B12" s="332"/>
      <c r="C12" s="333"/>
      <c r="D12" s="334"/>
      <c r="F12" s="352"/>
      <c r="G12" s="355"/>
      <c r="H12" s="355"/>
    </row>
    <row r="13" spans="2:8" ht="15.75" customHeight="1" thickBot="1" x14ac:dyDescent="0.3">
      <c r="B13" s="335"/>
      <c r="C13" s="336"/>
      <c r="D13" s="337"/>
      <c r="F13" s="352"/>
      <c r="G13" s="355"/>
      <c r="H13" s="355"/>
    </row>
    <row r="14" spans="2:8" ht="123.75" customHeight="1" thickBot="1" x14ac:dyDescent="0.3">
      <c r="B14" s="338" t="s">
        <v>620</v>
      </c>
      <c r="C14" s="339"/>
      <c r="D14" s="340"/>
      <c r="F14" s="353"/>
      <c r="G14" s="356"/>
      <c r="H14" s="356"/>
    </row>
    <row r="15" spans="2:8" ht="16.5" customHeight="1" thickBot="1" x14ac:dyDescent="0.3">
      <c r="B15" s="329" t="s">
        <v>621</v>
      </c>
      <c r="C15" s="330"/>
      <c r="D15" s="331"/>
      <c r="E15" s="62"/>
      <c r="F15" s="65" t="s">
        <v>622</v>
      </c>
      <c r="G15" s="64">
        <v>300</v>
      </c>
      <c r="H15" s="63">
        <v>300</v>
      </c>
    </row>
    <row r="16" spans="2:8" ht="15.75" thickBot="1" x14ac:dyDescent="0.3">
      <c r="B16" s="335"/>
      <c r="C16" s="336"/>
      <c r="D16" s="337"/>
      <c r="E16" s="62"/>
    </row>
    <row r="17" spans="2:7" x14ac:dyDescent="0.25">
      <c r="B17" s="62"/>
      <c r="C17" s="62"/>
      <c r="D17" s="62"/>
    </row>
    <row r="18" spans="2:7" ht="15" customHeight="1" x14ac:dyDescent="0.25">
      <c r="B18" s="61" t="s">
        <v>623</v>
      </c>
      <c r="C18" s="350" t="s">
        <v>624</v>
      </c>
      <c r="D18" s="350"/>
      <c r="E18" s="350"/>
      <c r="F18" s="350"/>
      <c r="G18" s="350"/>
    </row>
  </sheetData>
  <mergeCells count="13">
    <mergeCell ref="C18:G18"/>
    <mergeCell ref="F10:F14"/>
    <mergeCell ref="G10:G14"/>
    <mergeCell ref="H10:H14"/>
    <mergeCell ref="B15:D16"/>
    <mergeCell ref="B5:D5"/>
    <mergeCell ref="B10:D13"/>
    <mergeCell ref="B14:D14"/>
    <mergeCell ref="B3:H4"/>
    <mergeCell ref="G1:G2"/>
    <mergeCell ref="F6:F7"/>
    <mergeCell ref="G6:H6"/>
    <mergeCell ref="F5:H5"/>
  </mergeCells>
  <hyperlinks>
    <hyperlink ref="C18" r:id="rId1"/>
    <hyperlink ref="G1:G2" location="INDICE!A1" display="INDICE"/>
  </hyperlinks>
  <pageMargins left="0.511811024" right="0.511811024" top="0.78740157499999996" bottom="0.78740157499999996" header="0.31496062000000002" footer="0.31496062000000002"/>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G4"/>
  <sheetViews>
    <sheetView workbookViewId="0">
      <selection activeCell="DJ33" sqref="DJ33"/>
    </sheetView>
  </sheetViews>
  <sheetFormatPr defaultColWidth="23.28515625" defaultRowHeight="15" x14ac:dyDescent="0.25"/>
  <cols>
    <col min="1" max="16384" width="23.28515625" style="2"/>
  </cols>
  <sheetData>
    <row r="1" spans="1:59" s="20" customFormat="1" ht="9" x14ac:dyDescent="0.15">
      <c r="A1" s="20" t="s">
        <v>539</v>
      </c>
      <c r="B1" s="59" t="s">
        <v>540</v>
      </c>
      <c r="C1" s="60" t="s">
        <v>541</v>
      </c>
      <c r="D1" s="60" t="s">
        <v>542</v>
      </c>
      <c r="E1" s="20" t="s">
        <v>2100</v>
      </c>
      <c r="F1" s="20" t="s">
        <v>543</v>
      </c>
      <c r="G1" s="20" t="s">
        <v>544</v>
      </c>
      <c r="H1" s="60" t="s">
        <v>167</v>
      </c>
      <c r="I1" s="90" t="s">
        <v>545</v>
      </c>
      <c r="J1" s="90" t="s">
        <v>546</v>
      </c>
      <c r="K1" s="90" t="s">
        <v>547</v>
      </c>
      <c r="L1" s="41" t="s">
        <v>548</v>
      </c>
      <c r="M1" s="60" t="s">
        <v>37</v>
      </c>
      <c r="N1" s="40" t="s">
        <v>549</v>
      </c>
      <c r="O1" s="60" t="s">
        <v>550</v>
      </c>
      <c r="P1" s="59" t="s">
        <v>551</v>
      </c>
      <c r="Q1" s="60" t="s">
        <v>552</v>
      </c>
      <c r="R1" s="59" t="s">
        <v>553</v>
      </c>
      <c r="S1" s="40" t="s">
        <v>554</v>
      </c>
      <c r="T1" s="40" t="s">
        <v>555</v>
      </c>
      <c r="U1" s="40" t="s">
        <v>556</v>
      </c>
      <c r="V1" s="20" t="s">
        <v>557</v>
      </c>
      <c r="W1" s="60" t="s">
        <v>558</v>
      </c>
      <c r="X1" s="40" t="s">
        <v>559</v>
      </c>
      <c r="Y1" s="41" t="s">
        <v>560</v>
      </c>
      <c r="Z1" s="40" t="s">
        <v>561</v>
      </c>
      <c r="AA1" s="59" t="s">
        <v>562</v>
      </c>
      <c r="AB1" s="20" t="s">
        <v>563</v>
      </c>
      <c r="AC1" s="40" t="s">
        <v>564</v>
      </c>
      <c r="AD1" s="60" t="s">
        <v>565</v>
      </c>
      <c r="AE1" s="60" t="s">
        <v>566</v>
      </c>
      <c r="AF1" s="60" t="s">
        <v>567</v>
      </c>
      <c r="AG1" s="60" t="s">
        <v>568</v>
      </c>
      <c r="AH1" s="60" t="s">
        <v>569</v>
      </c>
      <c r="AI1" s="40" t="s">
        <v>570</v>
      </c>
      <c r="AJ1" s="40" t="s">
        <v>571</v>
      </c>
      <c r="AK1" s="60" t="s">
        <v>572</v>
      </c>
      <c r="AL1" s="60" t="s">
        <v>573</v>
      </c>
      <c r="AM1" s="20" t="s">
        <v>574</v>
      </c>
      <c r="AN1" s="20" t="s">
        <v>575</v>
      </c>
      <c r="AO1" s="20" t="s">
        <v>576</v>
      </c>
      <c r="AP1" s="20" t="s">
        <v>577</v>
      </c>
      <c r="AQ1" s="20" t="s">
        <v>578</v>
      </c>
      <c r="AR1" s="20" t="s">
        <v>579</v>
      </c>
      <c r="AS1" s="20" t="s">
        <v>580</v>
      </c>
      <c r="AT1" s="20" t="s">
        <v>581</v>
      </c>
      <c r="AU1" s="20" t="s">
        <v>582</v>
      </c>
      <c r="AV1" s="60" t="s">
        <v>583</v>
      </c>
      <c r="AW1" s="20" t="s">
        <v>584</v>
      </c>
      <c r="AX1" s="20" t="s">
        <v>585</v>
      </c>
      <c r="AY1" s="20" t="s">
        <v>586</v>
      </c>
      <c r="AZ1" s="20" t="s">
        <v>587</v>
      </c>
      <c r="BA1" s="20" t="s">
        <v>588</v>
      </c>
      <c r="BB1" s="20" t="s">
        <v>589</v>
      </c>
      <c r="BC1" s="20" t="s">
        <v>590</v>
      </c>
      <c r="BD1" s="40" t="s">
        <v>591</v>
      </c>
      <c r="BE1" s="40" t="s">
        <v>592</v>
      </c>
      <c r="BF1" s="40" t="s">
        <v>593</v>
      </c>
      <c r="BG1" s="40" t="s">
        <v>594</v>
      </c>
    </row>
    <row r="2" spans="1:59" x14ac:dyDescent="0.25">
      <c r="A2" s="2" t="s">
        <v>595</v>
      </c>
      <c r="B2" s="2" t="s">
        <v>596</v>
      </c>
      <c r="C2" s="2" t="s">
        <v>597</v>
      </c>
    </row>
    <row r="3" spans="1:59" x14ac:dyDescent="0.25">
      <c r="A3" s="2" t="s">
        <v>598</v>
      </c>
      <c r="B3" s="2" t="s">
        <v>599</v>
      </c>
      <c r="C3" s="2" t="s">
        <v>600</v>
      </c>
    </row>
    <row r="4" spans="1:59" x14ac:dyDescent="0.25">
      <c r="A4" s="2" t="s">
        <v>601</v>
      </c>
      <c r="B4" s="2" t="s">
        <v>602</v>
      </c>
    </row>
  </sheetData>
  <sortState columnSort="1" ref="A1:AZ1">
    <sortCondition ref="A1:AZ1"/>
  </sortState>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10"/>
  <sheetViews>
    <sheetView workbookViewId="0">
      <selection activeCell="A10" sqref="A10"/>
    </sheetView>
  </sheetViews>
  <sheetFormatPr defaultRowHeight="15" x14ac:dyDescent="0.25"/>
  <cols>
    <col min="1" max="1" width="26.42578125" bestFit="1" customWidth="1"/>
  </cols>
  <sheetData>
    <row r="1" spans="1:3" x14ac:dyDescent="0.25">
      <c r="A1" s="5" t="s">
        <v>625</v>
      </c>
      <c r="C1" s="5" t="s">
        <v>626</v>
      </c>
    </row>
    <row r="2" spans="1:3" x14ac:dyDescent="0.25">
      <c r="A2" s="1" t="s">
        <v>49</v>
      </c>
      <c r="C2" s="1" t="s">
        <v>58</v>
      </c>
    </row>
    <row r="3" spans="1:3" x14ac:dyDescent="0.25">
      <c r="A3" s="1" t="s">
        <v>68</v>
      </c>
      <c r="C3" s="1" t="s">
        <v>46</v>
      </c>
    </row>
    <row r="4" spans="1:3" x14ac:dyDescent="0.25">
      <c r="B4" t="s">
        <v>627</v>
      </c>
      <c r="C4" t="s">
        <v>58</v>
      </c>
    </row>
    <row r="7" spans="1:3" x14ac:dyDescent="0.25">
      <c r="A7" s="5" t="s">
        <v>628</v>
      </c>
    </row>
    <row r="8" spans="1:3" x14ac:dyDescent="0.25">
      <c r="A8" t="s">
        <v>44</v>
      </c>
    </row>
    <row r="9" spans="1:3" x14ac:dyDescent="0.25">
      <c r="A9" t="s">
        <v>94</v>
      </c>
    </row>
    <row r="10" spans="1:3" x14ac:dyDescent="0.25">
      <c r="A10" t="s">
        <v>629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5" x14ac:dyDescent="0.25"/>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499984740745262"/>
  </sheetPr>
  <dimension ref="A1:AF1658"/>
  <sheetViews>
    <sheetView showGridLines="0" tabSelected="1" zoomScale="80" zoomScaleNormal="80" workbookViewId="0">
      <pane ySplit="2" topLeftCell="A3" activePane="bottomLeft" state="frozen"/>
      <selection activeCell="G1" sqref="G1:G2"/>
      <selection pane="bottomLeft" activeCell="D2" sqref="D2"/>
    </sheetView>
  </sheetViews>
  <sheetFormatPr defaultColWidth="8.85546875" defaultRowHeight="15" x14ac:dyDescent="0.25"/>
  <cols>
    <col min="1" max="1" width="32.140625" style="54" customWidth="1"/>
    <col min="2" max="2" width="23.28515625" style="54" customWidth="1"/>
    <col min="3" max="3" width="14.28515625" style="54" customWidth="1"/>
    <col min="4" max="4" width="26.5703125" style="54" customWidth="1"/>
    <col min="5" max="5" width="19.140625" style="54" customWidth="1"/>
    <col min="6" max="6" width="30.85546875" style="54" customWidth="1"/>
    <col min="7" max="7" width="10" style="54" customWidth="1"/>
    <col min="8" max="8" width="33.28515625" style="54" customWidth="1"/>
    <col min="9" max="9" width="29.85546875" style="54" customWidth="1"/>
    <col min="10" max="10" width="31.7109375" style="54" customWidth="1"/>
    <col min="11" max="11" width="20.85546875" style="54" customWidth="1"/>
    <col min="12" max="12" width="12.28515625" style="54" customWidth="1"/>
    <col min="13" max="13" width="22.85546875" style="54" customWidth="1"/>
    <col min="14" max="14" width="7.5703125" style="54" customWidth="1"/>
    <col min="15" max="15" width="26.28515625" style="54" customWidth="1"/>
    <col min="16" max="16" width="9.7109375" style="54" customWidth="1"/>
    <col min="17" max="17" width="18" style="54" customWidth="1"/>
    <col min="18" max="18" width="8.5703125" style="54" customWidth="1"/>
    <col min="19" max="19" width="18.7109375" style="54" customWidth="1"/>
    <col min="20" max="20" width="15.7109375" style="89" customWidth="1"/>
    <col min="21" max="21" width="23.85546875" style="54" customWidth="1"/>
    <col min="22" max="22" width="21.42578125" style="6" customWidth="1"/>
    <col min="23" max="23" width="22.7109375" style="54" bestFit="1" customWidth="1"/>
    <col min="24" max="24" width="22.140625" style="54" customWidth="1"/>
    <col min="25" max="25" width="19" style="54" customWidth="1"/>
    <col min="26" max="26" width="18.7109375" style="54" customWidth="1"/>
    <col min="27" max="27" width="33.7109375" style="54" customWidth="1"/>
    <col min="28" max="28" width="31.140625" style="54" customWidth="1"/>
    <col min="29" max="29" width="26.5703125" style="54" customWidth="1"/>
    <col min="30" max="30" width="10.42578125" style="54" customWidth="1"/>
    <col min="31" max="31" width="12.85546875" style="54" customWidth="1"/>
    <col min="32" max="32" width="15" style="54" bestFit="1" customWidth="1"/>
    <col min="33" max="16384" width="8.85546875" style="54"/>
  </cols>
  <sheetData>
    <row r="1" spans="1:32" s="56" customFormat="1" ht="78" customHeight="1" x14ac:dyDescent="0.25">
      <c r="F1" s="57" t="s">
        <v>6</v>
      </c>
      <c r="H1" s="357" t="s">
        <v>7</v>
      </c>
      <c r="I1" s="357"/>
      <c r="J1" s="91"/>
      <c r="V1" s="44"/>
    </row>
    <row r="2" spans="1:32" s="15" customFormat="1" ht="30" x14ac:dyDescent="0.25">
      <c r="A2" s="102" t="s">
        <v>8</v>
      </c>
      <c r="B2" s="102" t="s">
        <v>9</v>
      </c>
      <c r="C2" s="102" t="s">
        <v>10</v>
      </c>
      <c r="D2" s="102" t="s">
        <v>11</v>
      </c>
      <c r="E2" s="102" t="s">
        <v>12</v>
      </c>
      <c r="F2" s="102" t="s">
        <v>13</v>
      </c>
      <c r="G2" s="102" t="s">
        <v>14</v>
      </c>
      <c r="H2" s="102" t="s">
        <v>15</v>
      </c>
      <c r="I2" s="98" t="s">
        <v>16</v>
      </c>
      <c r="J2" s="98" t="s">
        <v>17</v>
      </c>
      <c r="K2" s="98" t="s">
        <v>18</v>
      </c>
      <c r="L2" s="98" t="s">
        <v>19</v>
      </c>
      <c r="M2" s="98" t="s">
        <v>20</v>
      </c>
      <c r="N2" s="98" t="s">
        <v>21</v>
      </c>
      <c r="O2" s="98" t="s">
        <v>22</v>
      </c>
      <c r="P2" s="98" t="s">
        <v>23</v>
      </c>
      <c r="Q2" s="80" t="s">
        <v>24</v>
      </c>
      <c r="R2" s="80" t="s">
        <v>25</v>
      </c>
      <c r="S2" s="80" t="s">
        <v>26</v>
      </c>
      <c r="T2" s="80" t="s">
        <v>27</v>
      </c>
      <c r="U2" s="80" t="s">
        <v>28</v>
      </c>
      <c r="V2" s="80" t="s">
        <v>29</v>
      </c>
      <c r="W2" s="99" t="s">
        <v>30</v>
      </c>
      <c r="X2" s="99" t="s">
        <v>31</v>
      </c>
      <c r="Y2" s="99" t="s">
        <v>32</v>
      </c>
      <c r="Z2" s="99" t="s">
        <v>33</v>
      </c>
      <c r="AA2" s="100" t="s">
        <v>34</v>
      </c>
      <c r="AB2" s="100" t="s">
        <v>35</v>
      </c>
      <c r="AC2" s="100" t="s">
        <v>36</v>
      </c>
      <c r="AD2" s="15" t="s">
        <v>5353</v>
      </c>
      <c r="AE2" s="15" t="s">
        <v>5354</v>
      </c>
    </row>
    <row r="3" spans="1:32" s="21" customFormat="1" ht="409.5" x14ac:dyDescent="0.25">
      <c r="A3" s="86" t="s">
        <v>588</v>
      </c>
      <c r="B3" s="52" t="s">
        <v>2268</v>
      </c>
      <c r="C3" s="52"/>
      <c r="D3" s="52" t="s">
        <v>2274</v>
      </c>
      <c r="E3" s="22" t="str">
        <f t="shared" ref="E3:E26" si="0">CONCATENATE(A3,"PROG")</f>
        <v>SEJUSPPROG</v>
      </c>
      <c r="F3" s="120" t="s">
        <v>681</v>
      </c>
      <c r="G3" s="22" t="str">
        <f t="shared" ref="G3" si="1">CONCATENATE("P",(LEFT(F3,3)),A3)</f>
        <v>P129SEJUSP</v>
      </c>
      <c r="H3" s="52" t="s">
        <v>1015</v>
      </c>
      <c r="I3" s="22" t="s">
        <v>16</v>
      </c>
      <c r="J3" s="52" t="s">
        <v>2245</v>
      </c>
      <c r="K3" s="22" t="str">
        <f>VLOOKUP(CONCATENATE(A3,LEFT(J3,4)),AGRUPAMENTO!$D$2:$E$6783,2,FALSE)</f>
        <v>Termos de parceria e contratos de gestão</v>
      </c>
      <c r="L3" s="52" t="s">
        <v>44</v>
      </c>
      <c r="M3" s="52" t="str">
        <f>CONCATENATE("FONTE",A3)</f>
        <v>FONTESEJUSP</v>
      </c>
      <c r="N3" s="52">
        <v>60</v>
      </c>
      <c r="O3" s="52" t="s">
        <v>2309</v>
      </c>
      <c r="P3" s="52" t="s">
        <v>46</v>
      </c>
      <c r="Q3" s="52" t="s">
        <v>3718</v>
      </c>
      <c r="R3" s="52">
        <v>1</v>
      </c>
      <c r="S3" s="52" t="s">
        <v>3719</v>
      </c>
      <c r="T3" s="88">
        <v>14252122.192540592</v>
      </c>
      <c r="U3" s="53">
        <v>4</v>
      </c>
      <c r="V3" s="58">
        <f>R3*T3*U3</f>
        <v>57008488.770162366</v>
      </c>
      <c r="W3" s="52" t="s">
        <v>49</v>
      </c>
      <c r="X3" s="52" t="s">
        <v>4331</v>
      </c>
      <c r="Y3" s="52" t="s">
        <v>4332</v>
      </c>
      <c r="Z3" s="52" t="s">
        <v>4333</v>
      </c>
      <c r="AA3" s="52">
        <v>0</v>
      </c>
      <c r="AB3" s="52">
        <v>0</v>
      </c>
      <c r="AC3" s="52">
        <v>0</v>
      </c>
      <c r="AD3" s="21">
        <v>0.7343679956527589</v>
      </c>
      <c r="AE3" s="21">
        <v>0.7343679956527589</v>
      </c>
      <c r="AF3" s="315">
        <f>AE3*V3</f>
        <v>41865209.633336954</v>
      </c>
    </row>
    <row r="4" spans="1:32" s="21" customFormat="1" ht="210" x14ac:dyDescent="0.25">
      <c r="A4" s="103" t="s">
        <v>588</v>
      </c>
      <c r="B4" s="114" t="s">
        <v>2269</v>
      </c>
      <c r="C4" s="52"/>
      <c r="D4" s="114" t="s">
        <v>2275</v>
      </c>
      <c r="E4" s="22" t="str">
        <f t="shared" si="0"/>
        <v>SEJUSPPROG</v>
      </c>
      <c r="F4" s="121" t="s">
        <v>729</v>
      </c>
      <c r="G4" s="22" t="str">
        <f t="shared" ref="G4:G67" si="2">CONCATENATE("P",(LEFT(F4,3)),A4)</f>
        <v>P130SEJUSP</v>
      </c>
      <c r="H4" s="118" t="s">
        <v>1148</v>
      </c>
      <c r="I4" s="22" t="s">
        <v>16</v>
      </c>
      <c r="J4" s="92" t="s">
        <v>2233</v>
      </c>
      <c r="K4" s="22" t="str">
        <f>VLOOKUP(CONCATENATE(A4,LEFT(J4,4)),AGRUPAMENTO!$D$2:$E$6783,2,FALSE)</f>
        <v>Demais despesas de capital</v>
      </c>
      <c r="L4" s="118" t="s">
        <v>94</v>
      </c>
      <c r="M4" s="52"/>
      <c r="N4" s="118">
        <v>10</v>
      </c>
      <c r="O4" s="118" t="s">
        <v>2310</v>
      </c>
      <c r="P4" s="118" t="s">
        <v>46</v>
      </c>
      <c r="Q4" s="118" t="s">
        <v>3720</v>
      </c>
      <c r="R4" s="118">
        <v>25</v>
      </c>
      <c r="S4" s="118" t="s">
        <v>3720</v>
      </c>
      <c r="T4" s="177">
        <v>828900</v>
      </c>
      <c r="U4" s="178">
        <v>1</v>
      </c>
      <c r="V4" s="58">
        <f>R4*T4*U4</f>
        <v>20722500</v>
      </c>
      <c r="W4" s="118" t="s">
        <v>68</v>
      </c>
      <c r="X4" s="118" t="s">
        <v>4334</v>
      </c>
      <c r="Y4" s="118" t="s">
        <v>4335</v>
      </c>
      <c r="Z4" s="118" t="s">
        <v>4336</v>
      </c>
      <c r="AA4" s="118">
        <v>1</v>
      </c>
      <c r="AB4" s="118">
        <v>1</v>
      </c>
      <c r="AC4" s="118">
        <v>1</v>
      </c>
      <c r="AD4" s="21">
        <v>0</v>
      </c>
      <c r="AE4" s="21">
        <v>0</v>
      </c>
      <c r="AF4" s="315">
        <f t="shared" ref="AF4:AF67" si="3">AE4*V4</f>
        <v>0</v>
      </c>
    </row>
    <row r="5" spans="1:32" s="55" customFormat="1" ht="105" x14ac:dyDescent="0.25">
      <c r="A5" s="104" t="s">
        <v>588</v>
      </c>
      <c r="B5" s="115" t="s">
        <v>2270</v>
      </c>
      <c r="C5" s="52"/>
      <c r="D5" s="115" t="s">
        <v>2276</v>
      </c>
      <c r="E5" s="22" t="str">
        <f t="shared" si="0"/>
        <v>SEJUSPPROG</v>
      </c>
      <c r="F5" s="121" t="s">
        <v>729</v>
      </c>
      <c r="G5" s="22" t="str">
        <f t="shared" si="2"/>
        <v>P130SEJUSP</v>
      </c>
      <c r="H5" s="123" t="s">
        <v>1183</v>
      </c>
      <c r="I5" s="22" t="s">
        <v>16</v>
      </c>
      <c r="J5" s="106" t="s">
        <v>1663</v>
      </c>
      <c r="K5" s="22" t="str">
        <f>VLOOKUP(CONCATENATE(A5,LEFT(J5,4)),AGRUPAMENTO!$D$2:$E$6783,2,FALSE)</f>
        <v>Demais despesas de custeio</v>
      </c>
      <c r="L5" s="123" t="s">
        <v>44</v>
      </c>
      <c r="M5" s="52" t="str">
        <f t="shared" ref="M5:M64" si="4">CONCATENATE("FONTE",A5)</f>
        <v>FONTESEJUSP</v>
      </c>
      <c r="N5" s="52">
        <v>60</v>
      </c>
      <c r="O5" s="123" t="s">
        <v>2311</v>
      </c>
      <c r="P5" s="123" t="s">
        <v>58</v>
      </c>
      <c r="Q5" s="179" t="s">
        <v>3721</v>
      </c>
      <c r="R5" s="123">
        <v>1</v>
      </c>
      <c r="S5" s="123" t="s">
        <v>3722</v>
      </c>
      <c r="T5" s="180">
        <v>400000</v>
      </c>
      <c r="U5" s="181">
        <v>12</v>
      </c>
      <c r="V5" s="58">
        <f t="shared" ref="V5:V65" si="5">R5*T5*U5</f>
        <v>4800000</v>
      </c>
      <c r="W5" s="123" t="s">
        <v>68</v>
      </c>
      <c r="X5" s="123" t="s">
        <v>4337</v>
      </c>
      <c r="Y5" s="123" t="s">
        <v>4338</v>
      </c>
      <c r="Z5" s="123" t="s">
        <v>4339</v>
      </c>
      <c r="AA5" s="123">
        <v>1</v>
      </c>
      <c r="AB5" s="123">
        <v>1</v>
      </c>
      <c r="AC5" s="123">
        <v>2</v>
      </c>
      <c r="AD5" s="21">
        <v>0</v>
      </c>
      <c r="AE5" s="55">
        <v>0</v>
      </c>
      <c r="AF5" s="315">
        <f t="shared" si="3"/>
        <v>0</v>
      </c>
    </row>
    <row r="6" spans="1:32" s="55" customFormat="1" ht="135" x14ac:dyDescent="0.25">
      <c r="A6" s="86" t="s">
        <v>588</v>
      </c>
      <c r="B6" s="52" t="s">
        <v>2268</v>
      </c>
      <c r="C6" s="52"/>
      <c r="D6" s="52" t="s">
        <v>2277</v>
      </c>
      <c r="E6" s="22" t="str">
        <f t="shared" si="0"/>
        <v>SEJUSPPROG</v>
      </c>
      <c r="F6" s="120" t="s">
        <v>681</v>
      </c>
      <c r="G6" s="22" t="str">
        <f t="shared" si="2"/>
        <v>P129SEJUSP</v>
      </c>
      <c r="H6" s="52" t="s">
        <v>1015</v>
      </c>
      <c r="I6" s="22" t="s">
        <v>16</v>
      </c>
      <c r="J6" s="52" t="s">
        <v>2131</v>
      </c>
      <c r="K6" s="22" t="str">
        <f>VLOOKUP(CONCATENATE(A6,LEFT(J6,4)),AGRUPAMENTO!$D$2:$E$6783,2,FALSE)</f>
        <v>Diárias e viagens</v>
      </c>
      <c r="L6" s="52" t="s">
        <v>44</v>
      </c>
      <c r="M6" s="52" t="str">
        <f t="shared" si="4"/>
        <v>FONTESEJUSP</v>
      </c>
      <c r="N6" s="52">
        <v>60</v>
      </c>
      <c r="O6" s="52" t="s">
        <v>2312</v>
      </c>
      <c r="P6" s="52" t="s">
        <v>46</v>
      </c>
      <c r="Q6" s="52" t="s">
        <v>3723</v>
      </c>
      <c r="R6" s="52">
        <v>1</v>
      </c>
      <c r="S6" s="52" t="s">
        <v>3724</v>
      </c>
      <c r="T6" s="88">
        <v>10000</v>
      </c>
      <c r="U6" s="53">
        <v>12</v>
      </c>
      <c r="V6" s="58">
        <f t="shared" si="5"/>
        <v>120000</v>
      </c>
      <c r="W6" s="52" t="s">
        <v>49</v>
      </c>
      <c r="X6" s="52"/>
      <c r="Y6" s="52" t="s">
        <v>4340</v>
      </c>
      <c r="Z6" s="52" t="s">
        <v>4341</v>
      </c>
      <c r="AA6" s="52">
        <v>0</v>
      </c>
      <c r="AB6" s="52">
        <v>0</v>
      </c>
      <c r="AC6" s="52">
        <v>0</v>
      </c>
      <c r="AD6" s="21">
        <v>0.86749884668513244</v>
      </c>
      <c r="AE6" s="55">
        <v>0.86749884668513244</v>
      </c>
      <c r="AF6" s="315">
        <f t="shared" si="3"/>
        <v>104099.8616022159</v>
      </c>
    </row>
    <row r="7" spans="1:32" s="55" customFormat="1" ht="135" x14ac:dyDescent="0.25">
      <c r="A7" s="86" t="s">
        <v>588</v>
      </c>
      <c r="B7" s="52" t="s">
        <v>2268</v>
      </c>
      <c r="C7" s="52"/>
      <c r="D7" s="52" t="s">
        <v>2277</v>
      </c>
      <c r="E7" s="22" t="str">
        <f t="shared" si="0"/>
        <v>SEJUSPPROG</v>
      </c>
      <c r="F7" s="120" t="s">
        <v>681</v>
      </c>
      <c r="G7" s="22" t="str">
        <f t="shared" si="2"/>
        <v>P129SEJUSP</v>
      </c>
      <c r="H7" s="52" t="s">
        <v>1015</v>
      </c>
      <c r="I7" s="22" t="s">
        <v>16</v>
      </c>
      <c r="J7" s="52" t="s">
        <v>2150</v>
      </c>
      <c r="K7" s="22" t="str">
        <f>VLOOKUP(CONCATENATE(A7,LEFT(J7,4)),AGRUPAMENTO!$D$2:$E$6783,2,FALSE)</f>
        <v>Diárias e viagens</v>
      </c>
      <c r="L7" s="52" t="s">
        <v>44</v>
      </c>
      <c r="M7" s="52" t="str">
        <f t="shared" si="4"/>
        <v>FONTESEJUSP</v>
      </c>
      <c r="N7" s="52">
        <v>60</v>
      </c>
      <c r="O7" s="52" t="s">
        <v>2313</v>
      </c>
      <c r="P7" s="52" t="s">
        <v>46</v>
      </c>
      <c r="Q7" s="52" t="s">
        <v>3725</v>
      </c>
      <c r="R7" s="52">
        <v>1</v>
      </c>
      <c r="S7" s="52" t="s">
        <v>3726</v>
      </c>
      <c r="T7" s="88">
        <v>300</v>
      </c>
      <c r="U7" s="53">
        <v>12</v>
      </c>
      <c r="V7" s="58">
        <f t="shared" si="5"/>
        <v>3600</v>
      </c>
      <c r="W7" s="52" t="s">
        <v>49</v>
      </c>
      <c r="X7" s="52"/>
      <c r="Y7" s="52" t="s">
        <v>4340</v>
      </c>
      <c r="Z7" s="52" t="s">
        <v>4341</v>
      </c>
      <c r="AA7" s="52">
        <v>0</v>
      </c>
      <c r="AB7" s="52">
        <v>0</v>
      </c>
      <c r="AC7" s="52">
        <v>0</v>
      </c>
      <c r="AD7" s="21">
        <v>0.86749884668513244</v>
      </c>
      <c r="AE7" s="55">
        <v>0.86749884668513244</v>
      </c>
      <c r="AF7" s="315">
        <f t="shared" si="3"/>
        <v>3122.9958480664768</v>
      </c>
    </row>
    <row r="8" spans="1:32" s="55" customFormat="1" ht="135" x14ac:dyDescent="0.25">
      <c r="A8" s="86" t="s">
        <v>588</v>
      </c>
      <c r="B8" s="52" t="s">
        <v>2268</v>
      </c>
      <c r="C8" s="52"/>
      <c r="D8" s="52" t="s">
        <v>2277</v>
      </c>
      <c r="E8" s="22" t="str">
        <f t="shared" si="0"/>
        <v>SEJUSPPROG</v>
      </c>
      <c r="F8" s="120" t="s">
        <v>681</v>
      </c>
      <c r="G8" s="22" t="str">
        <f t="shared" si="2"/>
        <v>P129SEJUSP</v>
      </c>
      <c r="H8" s="52" t="s">
        <v>1015</v>
      </c>
      <c r="I8" s="22" t="s">
        <v>16</v>
      </c>
      <c r="J8" s="52" t="s">
        <v>1628</v>
      </c>
      <c r="K8" s="22" t="str">
        <f>VLOOKUP(CONCATENATE(A8,LEFT(J8,4)),AGRUPAMENTO!$D$2:$E$6783,2,FALSE)</f>
        <v>Pronto Pagamento</v>
      </c>
      <c r="L8" s="52" t="s">
        <v>44</v>
      </c>
      <c r="M8" s="52" t="str">
        <f t="shared" si="4"/>
        <v>FONTESEJUSP</v>
      </c>
      <c r="N8" s="52">
        <v>60</v>
      </c>
      <c r="O8" s="52" t="s">
        <v>2314</v>
      </c>
      <c r="P8" s="52" t="s">
        <v>46</v>
      </c>
      <c r="Q8" s="52" t="s">
        <v>3727</v>
      </c>
      <c r="R8" s="52">
        <v>1</v>
      </c>
      <c r="S8" s="52" t="s">
        <v>3728</v>
      </c>
      <c r="T8" s="88">
        <v>200</v>
      </c>
      <c r="U8" s="53">
        <v>12</v>
      </c>
      <c r="V8" s="58">
        <f t="shared" si="5"/>
        <v>2400</v>
      </c>
      <c r="W8" s="52" t="s">
        <v>49</v>
      </c>
      <c r="X8" s="52"/>
      <c r="Y8" s="52" t="s">
        <v>4342</v>
      </c>
      <c r="Z8" s="52" t="s">
        <v>4341</v>
      </c>
      <c r="AA8" s="52">
        <v>0</v>
      </c>
      <c r="AB8" s="52">
        <v>0</v>
      </c>
      <c r="AC8" s="52">
        <v>0</v>
      </c>
      <c r="AD8" s="21">
        <v>1</v>
      </c>
      <c r="AE8" s="55">
        <v>1</v>
      </c>
      <c r="AF8" s="315">
        <f t="shared" si="3"/>
        <v>2400</v>
      </c>
    </row>
    <row r="9" spans="1:32" s="55" customFormat="1" ht="135" x14ac:dyDescent="0.25">
      <c r="A9" s="86" t="s">
        <v>588</v>
      </c>
      <c r="B9" s="52" t="s">
        <v>2268</v>
      </c>
      <c r="C9" s="52"/>
      <c r="D9" s="52" t="s">
        <v>2277</v>
      </c>
      <c r="E9" s="22" t="str">
        <f t="shared" si="0"/>
        <v>SEJUSPPROG</v>
      </c>
      <c r="F9" s="120" t="s">
        <v>681</v>
      </c>
      <c r="G9" s="22" t="str">
        <f t="shared" si="2"/>
        <v>P129SEJUSP</v>
      </c>
      <c r="H9" s="52" t="s">
        <v>1015</v>
      </c>
      <c r="I9" s="22" t="s">
        <v>16</v>
      </c>
      <c r="J9" s="52" t="s">
        <v>1636</v>
      </c>
      <c r="K9" s="22" t="str">
        <f>VLOOKUP(CONCATENATE(A9,LEFT(J9,4)),AGRUPAMENTO!$D$2:$E$6783,2,FALSE)</f>
        <v>Utilidade Pública</v>
      </c>
      <c r="L9" s="52" t="s">
        <v>44</v>
      </c>
      <c r="M9" s="52" t="str">
        <f t="shared" si="4"/>
        <v>FONTESEJUSP</v>
      </c>
      <c r="N9" s="52">
        <v>60</v>
      </c>
      <c r="O9" s="52" t="s">
        <v>2315</v>
      </c>
      <c r="P9" s="52" t="s">
        <v>46</v>
      </c>
      <c r="Q9" s="52" t="s">
        <v>3729</v>
      </c>
      <c r="R9" s="52">
        <v>22</v>
      </c>
      <c r="S9" s="52" t="s">
        <v>3730</v>
      </c>
      <c r="T9" s="88">
        <v>193.18</v>
      </c>
      <c r="U9" s="53">
        <v>12</v>
      </c>
      <c r="V9" s="58">
        <f t="shared" si="5"/>
        <v>50999.520000000004</v>
      </c>
      <c r="W9" s="52" t="s">
        <v>49</v>
      </c>
      <c r="X9" s="52"/>
      <c r="Y9" s="52" t="s">
        <v>4342</v>
      </c>
      <c r="Z9" s="52" t="s">
        <v>4341</v>
      </c>
      <c r="AA9" s="52">
        <v>0</v>
      </c>
      <c r="AB9" s="52">
        <v>0</v>
      </c>
      <c r="AC9" s="52">
        <v>0</v>
      </c>
      <c r="AD9" s="21">
        <v>0.96957830030776992</v>
      </c>
      <c r="AE9" s="55">
        <v>0.96957830030776992</v>
      </c>
      <c r="AF9" s="315">
        <f t="shared" si="3"/>
        <v>49448.027918112122</v>
      </c>
    </row>
    <row r="10" spans="1:32" s="55" customFormat="1" ht="135" x14ac:dyDescent="0.25">
      <c r="A10" s="86" t="s">
        <v>588</v>
      </c>
      <c r="B10" s="52" t="s">
        <v>2268</v>
      </c>
      <c r="C10" s="52"/>
      <c r="D10" s="52" t="s">
        <v>2277</v>
      </c>
      <c r="E10" s="22" t="str">
        <f t="shared" si="0"/>
        <v>SEJUSPPROG</v>
      </c>
      <c r="F10" s="120" t="s">
        <v>681</v>
      </c>
      <c r="G10" s="22" t="str">
        <f t="shared" si="2"/>
        <v>P129SEJUSP</v>
      </c>
      <c r="H10" s="52" t="s">
        <v>1015</v>
      </c>
      <c r="I10" s="22" t="s">
        <v>16</v>
      </c>
      <c r="J10" s="52" t="s">
        <v>1638</v>
      </c>
      <c r="K10" s="22" t="str">
        <f>VLOOKUP(CONCATENATE(A10,LEFT(J10,4)),AGRUPAMENTO!$D$2:$E$6783,2,FALSE)</f>
        <v>Utilidade Pública</v>
      </c>
      <c r="L10" s="52" t="s">
        <v>44</v>
      </c>
      <c r="M10" s="52" t="str">
        <f t="shared" si="4"/>
        <v>FONTESEJUSP</v>
      </c>
      <c r="N10" s="52">
        <v>60</v>
      </c>
      <c r="O10" s="52" t="s">
        <v>2316</v>
      </c>
      <c r="P10" s="52" t="s">
        <v>46</v>
      </c>
      <c r="Q10" s="52" t="s">
        <v>3731</v>
      </c>
      <c r="R10" s="52">
        <v>19</v>
      </c>
      <c r="S10" s="52" t="s">
        <v>3730</v>
      </c>
      <c r="T10" s="88">
        <v>144.74</v>
      </c>
      <c r="U10" s="53">
        <v>12</v>
      </c>
      <c r="V10" s="58">
        <f t="shared" si="5"/>
        <v>33000.720000000001</v>
      </c>
      <c r="W10" s="52" t="s">
        <v>49</v>
      </c>
      <c r="X10" s="52"/>
      <c r="Y10" s="52" t="s">
        <v>4342</v>
      </c>
      <c r="Z10" s="52" t="s">
        <v>4341</v>
      </c>
      <c r="AA10" s="52">
        <v>0</v>
      </c>
      <c r="AB10" s="52">
        <v>0</v>
      </c>
      <c r="AC10" s="52">
        <v>0</v>
      </c>
      <c r="AD10" s="21">
        <v>0.96957830030776992</v>
      </c>
      <c r="AE10" s="55">
        <v>0.96957830030776992</v>
      </c>
      <c r="AF10" s="315">
        <f t="shared" si="3"/>
        <v>31996.78200653263</v>
      </c>
    </row>
    <row r="11" spans="1:32" s="55" customFormat="1" ht="135" x14ac:dyDescent="0.25">
      <c r="A11" s="86" t="s">
        <v>588</v>
      </c>
      <c r="B11" s="52" t="s">
        <v>2268</v>
      </c>
      <c r="C11" s="52"/>
      <c r="D11" s="52" t="s">
        <v>2277</v>
      </c>
      <c r="E11" s="22" t="str">
        <f t="shared" si="0"/>
        <v>SEJUSPPROG</v>
      </c>
      <c r="F11" s="120" t="s">
        <v>681</v>
      </c>
      <c r="G11" s="22" t="str">
        <f t="shared" si="2"/>
        <v>P129SEJUSP</v>
      </c>
      <c r="H11" s="52" t="s">
        <v>1015</v>
      </c>
      <c r="I11" s="22" t="s">
        <v>16</v>
      </c>
      <c r="J11" s="52" t="s">
        <v>1695</v>
      </c>
      <c r="K11" s="22" t="str">
        <f>VLOOKUP(CONCATENATE(A11,LEFT(J11,4)),AGRUPAMENTO!$D$2:$E$6783,2,FALSE)</f>
        <v>Aluguéis e condomínios</v>
      </c>
      <c r="L11" s="52" t="s">
        <v>44</v>
      </c>
      <c r="M11" s="52" t="str">
        <f t="shared" si="4"/>
        <v>FONTESEJUSP</v>
      </c>
      <c r="N11" s="52">
        <v>60</v>
      </c>
      <c r="O11" s="52" t="s">
        <v>2317</v>
      </c>
      <c r="P11" s="52" t="s">
        <v>46</v>
      </c>
      <c r="Q11" s="52" t="s">
        <v>3732</v>
      </c>
      <c r="R11" s="52">
        <v>1</v>
      </c>
      <c r="S11" s="52" t="s">
        <v>3733</v>
      </c>
      <c r="T11" s="88">
        <v>5033.333333333333</v>
      </c>
      <c r="U11" s="53">
        <v>12</v>
      </c>
      <c r="V11" s="58">
        <f t="shared" si="5"/>
        <v>60400</v>
      </c>
      <c r="W11" s="52" t="s">
        <v>49</v>
      </c>
      <c r="X11" s="52"/>
      <c r="Y11" s="52" t="s">
        <v>4342</v>
      </c>
      <c r="Z11" s="52" t="s">
        <v>4341</v>
      </c>
      <c r="AA11" s="52">
        <v>0</v>
      </c>
      <c r="AB11" s="52">
        <v>0</v>
      </c>
      <c r="AC11" s="52">
        <v>0</v>
      </c>
      <c r="AD11" s="21">
        <v>1</v>
      </c>
      <c r="AE11" s="55">
        <v>1</v>
      </c>
      <c r="AF11" s="315">
        <f t="shared" si="3"/>
        <v>60400</v>
      </c>
    </row>
    <row r="12" spans="1:32" s="55" customFormat="1" ht="135" x14ac:dyDescent="0.25">
      <c r="A12" s="86" t="s">
        <v>588</v>
      </c>
      <c r="B12" s="52" t="s">
        <v>2268</v>
      </c>
      <c r="C12" s="52"/>
      <c r="D12" s="52" t="s">
        <v>2277</v>
      </c>
      <c r="E12" s="22" t="str">
        <f t="shared" si="0"/>
        <v>SEJUSPPROG</v>
      </c>
      <c r="F12" s="120" t="s">
        <v>681</v>
      </c>
      <c r="G12" s="22" t="str">
        <f t="shared" si="2"/>
        <v>P129SEJUSP</v>
      </c>
      <c r="H12" s="52" t="s">
        <v>1015</v>
      </c>
      <c r="I12" s="22" t="s">
        <v>16</v>
      </c>
      <c r="J12" s="52" t="s">
        <v>264</v>
      </c>
      <c r="K12" s="22" t="str">
        <f>VLOOKUP(CONCATENATE(A12,LEFT(J12,4)),AGRUPAMENTO!$D$2:$E$6783,2,FALSE)</f>
        <v>Obrigações tributárias</v>
      </c>
      <c r="L12" s="52" t="s">
        <v>44</v>
      </c>
      <c r="M12" s="52" t="str">
        <f t="shared" si="4"/>
        <v>FONTESEJUSP</v>
      </c>
      <c r="N12" s="52">
        <v>60</v>
      </c>
      <c r="O12" s="52" t="s">
        <v>2318</v>
      </c>
      <c r="P12" s="52" t="s">
        <v>46</v>
      </c>
      <c r="Q12" s="52" t="s">
        <v>3732</v>
      </c>
      <c r="R12" s="52">
        <v>9</v>
      </c>
      <c r="S12" s="52" t="s">
        <v>3733</v>
      </c>
      <c r="T12" s="88">
        <v>333.33</v>
      </c>
      <c r="U12" s="53">
        <v>1</v>
      </c>
      <c r="V12" s="58">
        <f t="shared" si="5"/>
        <v>2999.97</v>
      </c>
      <c r="W12" s="52" t="s">
        <v>49</v>
      </c>
      <c r="X12" s="52"/>
      <c r="Y12" s="52" t="s">
        <v>4342</v>
      </c>
      <c r="Z12" s="52" t="s">
        <v>4341</v>
      </c>
      <c r="AA12" s="52">
        <v>0</v>
      </c>
      <c r="AB12" s="52">
        <v>0</v>
      </c>
      <c r="AC12" s="52">
        <v>0</v>
      </c>
      <c r="AD12" s="21">
        <v>0.20034174244500716</v>
      </c>
      <c r="AE12" s="55">
        <v>0.20034174244500716</v>
      </c>
      <c r="AF12" s="315">
        <f t="shared" si="3"/>
        <v>601.01921708274813</v>
      </c>
    </row>
    <row r="13" spans="1:32" s="55" customFormat="1" ht="75" x14ac:dyDescent="0.25">
      <c r="A13" s="86" t="s">
        <v>588</v>
      </c>
      <c r="B13" s="116" t="s">
        <v>2270</v>
      </c>
      <c r="C13" s="52"/>
      <c r="D13" s="52" t="s">
        <v>2278</v>
      </c>
      <c r="E13" s="22" t="str">
        <f t="shared" si="0"/>
        <v>SEJUSPPROG</v>
      </c>
      <c r="F13" s="52" t="s">
        <v>687</v>
      </c>
      <c r="G13" s="22" t="str">
        <f t="shared" si="2"/>
        <v>P705SEJUSP</v>
      </c>
      <c r="H13" s="52" t="s">
        <v>914</v>
      </c>
      <c r="I13" s="22" t="s">
        <v>16</v>
      </c>
      <c r="J13" s="52" t="s">
        <v>1693</v>
      </c>
      <c r="K13" s="22" t="str">
        <f>VLOOKUP(CONCATENATE(A13,LEFT(J13,4)),AGRUPAMENTO!$D$2:$E$6783,2,FALSE)</f>
        <v>Terceirizados - Demais empresas</v>
      </c>
      <c r="L13" s="52" t="s">
        <v>44</v>
      </c>
      <c r="M13" s="52" t="str">
        <f t="shared" si="4"/>
        <v>FONTESEJUSP</v>
      </c>
      <c r="N13" s="52">
        <v>10</v>
      </c>
      <c r="O13" s="52" t="s">
        <v>46</v>
      </c>
      <c r="P13" s="52" t="s">
        <v>46</v>
      </c>
      <c r="Q13" s="52" t="s">
        <v>3734</v>
      </c>
      <c r="R13" s="52">
        <v>2</v>
      </c>
      <c r="S13" s="182" t="s">
        <v>3735</v>
      </c>
      <c r="T13" s="88">
        <v>4290</v>
      </c>
      <c r="U13" s="53">
        <v>12</v>
      </c>
      <c r="V13" s="58">
        <f t="shared" si="5"/>
        <v>102960</v>
      </c>
      <c r="W13" s="52" t="s">
        <v>49</v>
      </c>
      <c r="X13" s="52" t="s">
        <v>4343</v>
      </c>
      <c r="Y13" s="52" t="s">
        <v>4344</v>
      </c>
      <c r="Z13" s="52" t="s">
        <v>4345</v>
      </c>
      <c r="AA13" s="52">
        <v>0</v>
      </c>
      <c r="AB13" s="52">
        <v>0</v>
      </c>
      <c r="AC13" s="52">
        <v>0</v>
      </c>
      <c r="AD13" s="21">
        <v>0.35233925183244275</v>
      </c>
      <c r="AE13" s="55">
        <v>0.35233925183244275</v>
      </c>
      <c r="AF13" s="315">
        <f t="shared" si="3"/>
        <v>36276.849368668307</v>
      </c>
    </row>
    <row r="14" spans="1:32" s="55" customFormat="1" ht="75" x14ac:dyDescent="0.25">
      <c r="A14" s="86" t="s">
        <v>588</v>
      </c>
      <c r="B14" s="116" t="s">
        <v>2270</v>
      </c>
      <c r="C14" s="52"/>
      <c r="D14" s="52" t="s">
        <v>2278</v>
      </c>
      <c r="E14" s="22" t="str">
        <f t="shared" si="0"/>
        <v>SEJUSPPROG</v>
      </c>
      <c r="F14" s="52" t="s">
        <v>687</v>
      </c>
      <c r="G14" s="22" t="str">
        <f t="shared" si="2"/>
        <v>P705SEJUSP</v>
      </c>
      <c r="H14" s="52" t="s">
        <v>914</v>
      </c>
      <c r="I14" s="22" t="s">
        <v>16</v>
      </c>
      <c r="J14" s="52" t="s">
        <v>1693</v>
      </c>
      <c r="K14" s="22" t="str">
        <f>VLOOKUP(CONCATENATE(A14,LEFT(J14,4)),AGRUPAMENTO!$D$2:$E$6783,2,FALSE)</f>
        <v>Terceirizados - Demais empresas</v>
      </c>
      <c r="L14" s="52" t="s">
        <v>44</v>
      </c>
      <c r="M14" s="52" t="str">
        <f t="shared" si="4"/>
        <v>FONTESEJUSP</v>
      </c>
      <c r="N14" s="52">
        <v>10</v>
      </c>
      <c r="O14" s="52" t="s">
        <v>46</v>
      </c>
      <c r="P14" s="52" t="s">
        <v>46</v>
      </c>
      <c r="Q14" s="52" t="s">
        <v>3734</v>
      </c>
      <c r="R14" s="52">
        <v>6</v>
      </c>
      <c r="S14" s="182" t="s">
        <v>3735</v>
      </c>
      <c r="T14" s="88">
        <v>4290</v>
      </c>
      <c r="U14" s="53">
        <v>12</v>
      </c>
      <c r="V14" s="58">
        <f t="shared" si="5"/>
        <v>308880</v>
      </c>
      <c r="W14" s="52" t="s">
        <v>49</v>
      </c>
      <c r="X14" s="52" t="s">
        <v>4343</v>
      </c>
      <c r="Y14" s="52" t="s">
        <v>4344</v>
      </c>
      <c r="Z14" s="52" t="s">
        <v>4345</v>
      </c>
      <c r="AA14" s="52">
        <v>0</v>
      </c>
      <c r="AB14" s="52">
        <v>0</v>
      </c>
      <c r="AC14" s="52">
        <v>0</v>
      </c>
      <c r="AD14" s="21">
        <v>0.35233925183244275</v>
      </c>
      <c r="AE14" s="55">
        <v>0.35233925183244275</v>
      </c>
      <c r="AF14" s="315">
        <f t="shared" si="3"/>
        <v>108830.54810600492</v>
      </c>
    </row>
    <row r="15" spans="1:32" s="55" customFormat="1" ht="75" x14ac:dyDescent="0.25">
      <c r="A15" s="86" t="s">
        <v>588</v>
      </c>
      <c r="B15" s="116" t="s">
        <v>2270</v>
      </c>
      <c r="C15" s="52"/>
      <c r="D15" s="52" t="s">
        <v>2278</v>
      </c>
      <c r="E15" s="22" t="str">
        <f t="shared" si="0"/>
        <v>SEJUSPPROG</v>
      </c>
      <c r="F15" s="52" t="s">
        <v>699</v>
      </c>
      <c r="G15" s="22" t="str">
        <f t="shared" si="2"/>
        <v>P141SEJUSP</v>
      </c>
      <c r="H15" s="52" t="s">
        <v>1403</v>
      </c>
      <c r="I15" s="22" t="s">
        <v>16</v>
      </c>
      <c r="J15" s="52" t="s">
        <v>1701</v>
      </c>
      <c r="K15" s="22" t="str">
        <f>VLOOKUP(CONCATENATE(A15,LEFT(J15,4)),AGRUPAMENTO!$D$2:$E$6783,2,FALSE)</f>
        <v>Estagiários</v>
      </c>
      <c r="L15" s="52" t="s">
        <v>44</v>
      </c>
      <c r="M15" s="52" t="str">
        <f t="shared" si="4"/>
        <v>FONTESEJUSP</v>
      </c>
      <c r="N15" s="52">
        <v>10</v>
      </c>
      <c r="O15" s="52" t="s">
        <v>46</v>
      </c>
      <c r="P15" s="52" t="s">
        <v>46</v>
      </c>
      <c r="Q15" s="52" t="s">
        <v>3736</v>
      </c>
      <c r="R15" s="52">
        <v>95</v>
      </c>
      <c r="S15" s="182" t="s">
        <v>3737</v>
      </c>
      <c r="T15" s="88">
        <v>21</v>
      </c>
      <c r="U15" s="53">
        <v>12</v>
      </c>
      <c r="V15" s="58">
        <f t="shared" si="5"/>
        <v>23940</v>
      </c>
      <c r="W15" s="52" t="s">
        <v>49</v>
      </c>
      <c r="X15" s="52" t="s">
        <v>4346</v>
      </c>
      <c r="Y15" s="52" t="s">
        <v>4344</v>
      </c>
      <c r="Z15" s="52" t="s">
        <v>4345</v>
      </c>
      <c r="AA15" s="52">
        <v>0</v>
      </c>
      <c r="AB15" s="52">
        <v>0</v>
      </c>
      <c r="AC15" s="52">
        <v>0</v>
      </c>
      <c r="AD15" s="21">
        <v>1</v>
      </c>
      <c r="AE15" s="55">
        <v>1</v>
      </c>
      <c r="AF15" s="315">
        <f t="shared" si="3"/>
        <v>23940</v>
      </c>
    </row>
    <row r="16" spans="1:32" s="55" customFormat="1" ht="75" x14ac:dyDescent="0.25">
      <c r="A16" s="86" t="s">
        <v>588</v>
      </c>
      <c r="B16" s="116" t="s">
        <v>2270</v>
      </c>
      <c r="C16" s="52"/>
      <c r="D16" s="52" t="s">
        <v>2278</v>
      </c>
      <c r="E16" s="22" t="str">
        <f t="shared" si="0"/>
        <v>SEJUSPPROG</v>
      </c>
      <c r="F16" s="122" t="s">
        <v>886</v>
      </c>
      <c r="G16" s="22" t="str">
        <f t="shared" si="2"/>
        <v>P146SEJUSP</v>
      </c>
      <c r="H16" s="52" t="s">
        <v>1424</v>
      </c>
      <c r="I16" s="22" t="s">
        <v>16</v>
      </c>
      <c r="J16" s="52" t="s">
        <v>1701</v>
      </c>
      <c r="K16" s="22" t="str">
        <f>VLOOKUP(CONCATENATE(A16,LEFT(J16,4)),AGRUPAMENTO!$D$2:$E$6783,2,FALSE)</f>
        <v>Estagiários</v>
      </c>
      <c r="L16" s="52" t="s">
        <v>44</v>
      </c>
      <c r="M16" s="52" t="str">
        <f t="shared" si="4"/>
        <v>FONTESEJUSP</v>
      </c>
      <c r="N16" s="52">
        <v>10</v>
      </c>
      <c r="O16" s="52" t="s">
        <v>46</v>
      </c>
      <c r="P16" s="52" t="s">
        <v>46</v>
      </c>
      <c r="Q16" s="52" t="s">
        <v>3736</v>
      </c>
      <c r="R16" s="52">
        <v>2</v>
      </c>
      <c r="S16" s="182" t="s">
        <v>3737</v>
      </c>
      <c r="T16" s="88">
        <v>21</v>
      </c>
      <c r="U16" s="53">
        <v>12</v>
      </c>
      <c r="V16" s="58">
        <f t="shared" si="5"/>
        <v>504</v>
      </c>
      <c r="W16" s="52" t="s">
        <v>49</v>
      </c>
      <c r="X16" s="52" t="s">
        <v>4346</v>
      </c>
      <c r="Y16" s="52" t="s">
        <v>4344</v>
      </c>
      <c r="Z16" s="52" t="s">
        <v>4345</v>
      </c>
      <c r="AA16" s="52">
        <v>0</v>
      </c>
      <c r="AB16" s="52">
        <v>0</v>
      </c>
      <c r="AC16" s="52">
        <v>0</v>
      </c>
      <c r="AD16" s="21">
        <v>1</v>
      </c>
      <c r="AE16" s="55">
        <v>1</v>
      </c>
      <c r="AF16" s="315">
        <f t="shared" si="3"/>
        <v>504</v>
      </c>
    </row>
    <row r="17" spans="1:32" s="55" customFormat="1" ht="75" x14ac:dyDescent="0.25">
      <c r="A17" s="52" t="s">
        <v>588</v>
      </c>
      <c r="B17" s="116" t="s">
        <v>2270</v>
      </c>
      <c r="C17" s="52"/>
      <c r="D17" s="52" t="s">
        <v>2278</v>
      </c>
      <c r="E17" s="22" t="str">
        <f t="shared" si="0"/>
        <v>SEJUSPPROG</v>
      </c>
      <c r="F17" s="52" t="s">
        <v>705</v>
      </c>
      <c r="G17" s="22" t="str">
        <f t="shared" si="2"/>
        <v>P134SEJUSP</v>
      </c>
      <c r="H17" s="52" t="s">
        <v>1356</v>
      </c>
      <c r="I17" s="22" t="s">
        <v>16</v>
      </c>
      <c r="J17" s="52" t="s">
        <v>1701</v>
      </c>
      <c r="K17" s="22" t="str">
        <f>VLOOKUP(CONCATENATE(A17,LEFT(J17,4)),AGRUPAMENTO!$D$2:$E$6783,2,FALSE)</f>
        <v>Estagiários</v>
      </c>
      <c r="L17" s="52" t="s">
        <v>44</v>
      </c>
      <c r="M17" s="52" t="str">
        <f t="shared" si="4"/>
        <v>FONTESEJUSP</v>
      </c>
      <c r="N17" s="52">
        <v>10</v>
      </c>
      <c r="O17" s="52" t="s">
        <v>46</v>
      </c>
      <c r="P17" s="52" t="s">
        <v>46</v>
      </c>
      <c r="Q17" s="52" t="s">
        <v>3736</v>
      </c>
      <c r="R17" s="52">
        <v>3</v>
      </c>
      <c r="S17" s="182" t="s">
        <v>3737</v>
      </c>
      <c r="T17" s="88">
        <v>21</v>
      </c>
      <c r="U17" s="53">
        <v>12</v>
      </c>
      <c r="V17" s="58">
        <f t="shared" si="5"/>
        <v>756</v>
      </c>
      <c r="W17" s="52" t="s">
        <v>49</v>
      </c>
      <c r="X17" s="52" t="s">
        <v>4346</v>
      </c>
      <c r="Y17" s="52" t="s">
        <v>4344</v>
      </c>
      <c r="Z17" s="52" t="s">
        <v>4345</v>
      </c>
      <c r="AA17" s="52">
        <v>0</v>
      </c>
      <c r="AB17" s="52">
        <v>0</v>
      </c>
      <c r="AC17" s="52">
        <v>0</v>
      </c>
      <c r="AD17" s="21">
        <v>1</v>
      </c>
      <c r="AE17" s="55">
        <v>1</v>
      </c>
      <c r="AF17" s="315">
        <f t="shared" si="3"/>
        <v>756</v>
      </c>
    </row>
    <row r="18" spans="1:32" s="55" customFormat="1" ht="75" x14ac:dyDescent="0.25">
      <c r="A18" s="52" t="s">
        <v>588</v>
      </c>
      <c r="B18" s="116" t="s">
        <v>2270</v>
      </c>
      <c r="C18" s="52"/>
      <c r="D18" s="52" t="s">
        <v>2278</v>
      </c>
      <c r="E18" s="22" t="str">
        <f t="shared" si="0"/>
        <v>SEJUSPPROG</v>
      </c>
      <c r="F18" s="120" t="s">
        <v>681</v>
      </c>
      <c r="G18" s="22" t="str">
        <f t="shared" si="2"/>
        <v>P129SEJUSP</v>
      </c>
      <c r="H18" s="52" t="s">
        <v>1015</v>
      </c>
      <c r="I18" s="22" t="s">
        <v>16</v>
      </c>
      <c r="J18" s="52" t="s">
        <v>1701</v>
      </c>
      <c r="K18" s="22" t="str">
        <f>VLOOKUP(CONCATENATE(A18,LEFT(J18,4)),AGRUPAMENTO!$D$2:$E$6783,2,FALSE)</f>
        <v>Estagiários</v>
      </c>
      <c r="L18" s="52" t="s">
        <v>44</v>
      </c>
      <c r="M18" s="52" t="str">
        <f t="shared" si="4"/>
        <v>FONTESEJUSP</v>
      </c>
      <c r="N18" s="52">
        <v>60</v>
      </c>
      <c r="O18" s="52" t="s">
        <v>46</v>
      </c>
      <c r="P18" s="52" t="s">
        <v>46</v>
      </c>
      <c r="Q18" s="52" t="s">
        <v>3736</v>
      </c>
      <c r="R18" s="52">
        <v>2</v>
      </c>
      <c r="S18" s="182" t="s">
        <v>3737</v>
      </c>
      <c r="T18" s="88">
        <v>21</v>
      </c>
      <c r="U18" s="53">
        <v>12</v>
      </c>
      <c r="V18" s="58">
        <f t="shared" si="5"/>
        <v>504</v>
      </c>
      <c r="W18" s="52" t="s">
        <v>49</v>
      </c>
      <c r="X18" s="52" t="s">
        <v>4346</v>
      </c>
      <c r="Y18" s="52" t="s">
        <v>4344</v>
      </c>
      <c r="Z18" s="52" t="s">
        <v>4345</v>
      </c>
      <c r="AA18" s="52">
        <v>0</v>
      </c>
      <c r="AB18" s="52">
        <v>0</v>
      </c>
      <c r="AC18" s="52">
        <v>0</v>
      </c>
      <c r="AD18" s="21">
        <v>1</v>
      </c>
      <c r="AE18" s="55">
        <v>1</v>
      </c>
      <c r="AF18" s="315">
        <f t="shared" si="3"/>
        <v>504</v>
      </c>
    </row>
    <row r="19" spans="1:32" s="55" customFormat="1" ht="75" x14ac:dyDescent="0.25">
      <c r="A19" s="52" t="s">
        <v>588</v>
      </c>
      <c r="B19" s="116" t="s">
        <v>2270</v>
      </c>
      <c r="C19" s="52"/>
      <c r="D19" s="52" t="s">
        <v>2278</v>
      </c>
      <c r="E19" s="22" t="str">
        <f t="shared" si="0"/>
        <v>SEJUSPPROG</v>
      </c>
      <c r="F19" s="52" t="s">
        <v>729</v>
      </c>
      <c r="G19" s="22" t="str">
        <f t="shared" si="2"/>
        <v>P130SEJUSP</v>
      </c>
      <c r="H19" s="52" t="s">
        <v>1183</v>
      </c>
      <c r="I19" s="22" t="s">
        <v>16</v>
      </c>
      <c r="J19" s="52" t="s">
        <v>1701</v>
      </c>
      <c r="K19" s="22" t="str">
        <f>VLOOKUP(CONCATENATE(A19,LEFT(J19,4)),AGRUPAMENTO!$D$2:$E$6783,2,FALSE)</f>
        <v>Estagiários</v>
      </c>
      <c r="L19" s="52" t="s">
        <v>44</v>
      </c>
      <c r="M19" s="52" t="str">
        <f t="shared" si="4"/>
        <v>FONTESEJUSP</v>
      </c>
      <c r="N19" s="52">
        <v>60</v>
      </c>
      <c r="O19" s="52" t="s">
        <v>46</v>
      </c>
      <c r="P19" s="52" t="s">
        <v>46</v>
      </c>
      <c r="Q19" s="52" t="s">
        <v>3736</v>
      </c>
      <c r="R19" s="52">
        <v>3</v>
      </c>
      <c r="S19" s="182" t="s">
        <v>3737</v>
      </c>
      <c r="T19" s="88">
        <v>21</v>
      </c>
      <c r="U19" s="53">
        <v>12</v>
      </c>
      <c r="V19" s="58">
        <f t="shared" si="5"/>
        <v>756</v>
      </c>
      <c r="W19" s="52" t="s">
        <v>49</v>
      </c>
      <c r="X19" s="52" t="s">
        <v>4346</v>
      </c>
      <c r="Y19" s="52" t="s">
        <v>4344</v>
      </c>
      <c r="Z19" s="52" t="s">
        <v>4345</v>
      </c>
      <c r="AA19" s="52">
        <v>0</v>
      </c>
      <c r="AB19" s="52">
        <v>0</v>
      </c>
      <c r="AC19" s="52">
        <v>0</v>
      </c>
      <c r="AD19" s="21">
        <v>1</v>
      </c>
      <c r="AE19" s="55">
        <v>1</v>
      </c>
      <c r="AF19" s="315">
        <f t="shared" si="3"/>
        <v>756</v>
      </c>
    </row>
    <row r="20" spans="1:32" s="55" customFormat="1" ht="75" x14ac:dyDescent="0.25">
      <c r="A20" s="52" t="s">
        <v>588</v>
      </c>
      <c r="B20" s="116" t="s">
        <v>2270</v>
      </c>
      <c r="C20" s="52"/>
      <c r="D20" s="52" t="s">
        <v>2278</v>
      </c>
      <c r="E20" s="22" t="str">
        <f t="shared" si="0"/>
        <v>SEJUSPPROG</v>
      </c>
      <c r="F20" s="52" t="s">
        <v>687</v>
      </c>
      <c r="G20" s="22" t="str">
        <f t="shared" si="2"/>
        <v>P705SEJUSP</v>
      </c>
      <c r="H20" s="52" t="s">
        <v>914</v>
      </c>
      <c r="I20" s="22" t="s">
        <v>16</v>
      </c>
      <c r="J20" s="52" t="s">
        <v>1701</v>
      </c>
      <c r="K20" s="22" t="str">
        <f>VLOOKUP(CONCATENATE(A20,LEFT(J20,4)),AGRUPAMENTO!$D$2:$E$6783,2,FALSE)</f>
        <v>Estagiários</v>
      </c>
      <c r="L20" s="52" t="s">
        <v>44</v>
      </c>
      <c r="M20" s="52" t="str">
        <f t="shared" si="4"/>
        <v>FONTESEJUSP</v>
      </c>
      <c r="N20" s="52">
        <v>10</v>
      </c>
      <c r="O20" s="52" t="s">
        <v>46</v>
      </c>
      <c r="P20" s="52" t="s">
        <v>46</v>
      </c>
      <c r="Q20" s="52" t="s">
        <v>3736</v>
      </c>
      <c r="R20" s="52">
        <v>23</v>
      </c>
      <c r="S20" s="182" t="s">
        <v>3737</v>
      </c>
      <c r="T20" s="88">
        <v>21</v>
      </c>
      <c r="U20" s="53">
        <v>12</v>
      </c>
      <c r="V20" s="58">
        <f t="shared" si="5"/>
        <v>5796</v>
      </c>
      <c r="W20" s="52" t="s">
        <v>49</v>
      </c>
      <c r="X20" s="52" t="s">
        <v>4346</v>
      </c>
      <c r="Y20" s="52" t="s">
        <v>4344</v>
      </c>
      <c r="Z20" s="52" t="s">
        <v>4345</v>
      </c>
      <c r="AA20" s="52">
        <v>0</v>
      </c>
      <c r="AB20" s="52">
        <v>0</v>
      </c>
      <c r="AC20" s="52">
        <v>0</v>
      </c>
      <c r="AD20" s="21">
        <v>1</v>
      </c>
      <c r="AE20" s="55">
        <v>1</v>
      </c>
      <c r="AF20" s="315">
        <f t="shared" si="3"/>
        <v>5796</v>
      </c>
    </row>
    <row r="21" spans="1:32" s="55" customFormat="1" ht="255" x14ac:dyDescent="0.25">
      <c r="A21" s="52" t="s">
        <v>588</v>
      </c>
      <c r="B21" s="116" t="s">
        <v>2270</v>
      </c>
      <c r="C21" s="52"/>
      <c r="D21" s="52" t="s">
        <v>2278</v>
      </c>
      <c r="E21" s="22" t="str">
        <f t="shared" si="0"/>
        <v>SEJUSPPROG</v>
      </c>
      <c r="F21" s="52" t="s">
        <v>687</v>
      </c>
      <c r="G21" s="22" t="str">
        <f t="shared" si="2"/>
        <v>P705SEJUSP</v>
      </c>
      <c r="H21" s="52" t="s">
        <v>914</v>
      </c>
      <c r="I21" s="22" t="s">
        <v>16</v>
      </c>
      <c r="J21" s="52" t="s">
        <v>1632</v>
      </c>
      <c r="K21" s="22" t="str">
        <f>VLOOKUP(CONCATENATE(A21,LEFT(J21,4)),AGRUPAMENTO!$D$2:$E$6783,2,FALSE)</f>
        <v>Terceirizados - MGS</v>
      </c>
      <c r="L21" s="52" t="s">
        <v>44</v>
      </c>
      <c r="M21" s="52" t="str">
        <f t="shared" si="4"/>
        <v>FONTESEJUSP</v>
      </c>
      <c r="N21" s="52">
        <v>10</v>
      </c>
      <c r="O21" s="52" t="s">
        <v>46</v>
      </c>
      <c r="P21" s="52" t="s">
        <v>46</v>
      </c>
      <c r="Q21" s="52" t="s">
        <v>3738</v>
      </c>
      <c r="R21" s="52">
        <v>117</v>
      </c>
      <c r="S21" s="52" t="s">
        <v>3739</v>
      </c>
      <c r="T21" s="88">
        <v>7137.17</v>
      </c>
      <c r="U21" s="53">
        <v>12</v>
      </c>
      <c r="V21" s="58">
        <f t="shared" si="5"/>
        <v>10020586.68</v>
      </c>
      <c r="W21" s="52" t="s">
        <v>49</v>
      </c>
      <c r="X21" s="52" t="s">
        <v>4347</v>
      </c>
      <c r="Y21" s="52" t="s">
        <v>4348</v>
      </c>
      <c r="Z21" s="52" t="s">
        <v>4349</v>
      </c>
      <c r="AA21" s="52">
        <v>0</v>
      </c>
      <c r="AB21" s="52">
        <v>0</v>
      </c>
      <c r="AC21" s="52">
        <v>0</v>
      </c>
      <c r="AD21" s="21">
        <v>1</v>
      </c>
      <c r="AE21" s="55">
        <v>1</v>
      </c>
      <c r="AF21" s="315">
        <f t="shared" si="3"/>
        <v>10020586.68</v>
      </c>
    </row>
    <row r="22" spans="1:32" s="55" customFormat="1" ht="255" x14ac:dyDescent="0.25">
      <c r="A22" s="52" t="s">
        <v>588</v>
      </c>
      <c r="B22" s="116" t="s">
        <v>2270</v>
      </c>
      <c r="C22" s="52"/>
      <c r="D22" s="52" t="s">
        <v>2278</v>
      </c>
      <c r="E22" s="22" t="str">
        <f t="shared" si="0"/>
        <v>SEJUSPPROG</v>
      </c>
      <c r="F22" s="52" t="s">
        <v>687</v>
      </c>
      <c r="G22" s="22" t="str">
        <f t="shared" si="2"/>
        <v>P705SEJUSP</v>
      </c>
      <c r="H22" s="52" t="s">
        <v>914</v>
      </c>
      <c r="I22" s="22" t="s">
        <v>16</v>
      </c>
      <c r="J22" s="52" t="s">
        <v>1631</v>
      </c>
      <c r="K22" s="22" t="str">
        <f>VLOOKUP(CONCATENATE(A22,LEFT(J22,4)),AGRUPAMENTO!$D$2:$E$6783,2,FALSE)</f>
        <v>Terceirizados - MGS</v>
      </c>
      <c r="L22" s="52" t="s">
        <v>44</v>
      </c>
      <c r="M22" s="52" t="str">
        <f t="shared" si="4"/>
        <v>FONTESEJUSP</v>
      </c>
      <c r="N22" s="52">
        <v>10</v>
      </c>
      <c r="O22" s="52" t="s">
        <v>46</v>
      </c>
      <c r="P22" s="52" t="s">
        <v>46</v>
      </c>
      <c r="Q22" s="52" t="s">
        <v>3738</v>
      </c>
      <c r="R22" s="52">
        <v>19</v>
      </c>
      <c r="S22" s="52" t="s">
        <v>3739</v>
      </c>
      <c r="T22" s="88">
        <v>6214.9</v>
      </c>
      <c r="U22" s="53">
        <v>12</v>
      </c>
      <c r="V22" s="58">
        <f t="shared" si="5"/>
        <v>1416997.2</v>
      </c>
      <c r="W22" s="52" t="s">
        <v>49</v>
      </c>
      <c r="X22" s="52" t="s">
        <v>4347</v>
      </c>
      <c r="Y22" s="52" t="s">
        <v>4348</v>
      </c>
      <c r="Z22" s="52" t="s">
        <v>4349</v>
      </c>
      <c r="AA22" s="52">
        <v>0</v>
      </c>
      <c r="AB22" s="52">
        <v>0</v>
      </c>
      <c r="AC22" s="52">
        <v>0</v>
      </c>
      <c r="AD22" s="21">
        <v>1</v>
      </c>
      <c r="AE22" s="55">
        <v>1</v>
      </c>
      <c r="AF22" s="315">
        <f t="shared" si="3"/>
        <v>1416997.2</v>
      </c>
    </row>
    <row r="23" spans="1:32" s="55" customFormat="1" ht="255" x14ac:dyDescent="0.25">
      <c r="A23" s="52" t="s">
        <v>588</v>
      </c>
      <c r="B23" s="116" t="s">
        <v>2270</v>
      </c>
      <c r="C23" s="52"/>
      <c r="D23" s="52" t="s">
        <v>2278</v>
      </c>
      <c r="E23" s="22" t="str">
        <f t="shared" si="0"/>
        <v>SEJUSPPROG</v>
      </c>
      <c r="F23" s="120" t="s">
        <v>681</v>
      </c>
      <c r="G23" s="22" t="str">
        <f t="shared" si="2"/>
        <v>P129SEJUSP</v>
      </c>
      <c r="H23" s="52" t="s">
        <v>1015</v>
      </c>
      <c r="I23" s="22" t="s">
        <v>16</v>
      </c>
      <c r="J23" s="52" t="s">
        <v>1633</v>
      </c>
      <c r="K23" s="22" t="str">
        <f>VLOOKUP(CONCATENATE(A23,LEFT(J23,4)),AGRUPAMENTO!$D$2:$E$6783,2,FALSE)</f>
        <v>Terceirizados - MGS</v>
      </c>
      <c r="L23" s="52" t="s">
        <v>44</v>
      </c>
      <c r="M23" s="52" t="str">
        <f t="shared" si="4"/>
        <v>FONTESEJUSP</v>
      </c>
      <c r="N23" s="52">
        <v>60</v>
      </c>
      <c r="O23" s="52" t="s">
        <v>46</v>
      </c>
      <c r="P23" s="52" t="s">
        <v>46</v>
      </c>
      <c r="Q23" s="52" t="s">
        <v>3738</v>
      </c>
      <c r="R23" s="52">
        <v>1</v>
      </c>
      <c r="S23" s="52" t="s">
        <v>3739</v>
      </c>
      <c r="T23" s="88">
        <v>172000</v>
      </c>
      <c r="U23" s="53">
        <v>12</v>
      </c>
      <c r="V23" s="58">
        <f t="shared" si="5"/>
        <v>2064000</v>
      </c>
      <c r="W23" s="52" t="s">
        <v>49</v>
      </c>
      <c r="X23" s="52" t="s">
        <v>4347</v>
      </c>
      <c r="Y23" s="52" t="s">
        <v>4348</v>
      </c>
      <c r="Z23" s="52" t="s">
        <v>4349</v>
      </c>
      <c r="AA23" s="52">
        <v>0</v>
      </c>
      <c r="AB23" s="52">
        <v>0</v>
      </c>
      <c r="AC23" s="52">
        <v>0</v>
      </c>
      <c r="AD23" s="21">
        <v>1</v>
      </c>
      <c r="AE23" s="55">
        <v>1</v>
      </c>
      <c r="AF23" s="315">
        <f t="shared" si="3"/>
        <v>2064000</v>
      </c>
    </row>
    <row r="24" spans="1:32" s="55" customFormat="1" ht="255" x14ac:dyDescent="0.25">
      <c r="A24" s="86" t="s">
        <v>588</v>
      </c>
      <c r="B24" s="116" t="s">
        <v>2270</v>
      </c>
      <c r="C24" s="52"/>
      <c r="D24" s="52" t="s">
        <v>2278</v>
      </c>
      <c r="E24" s="22" t="str">
        <f t="shared" si="0"/>
        <v>SEJUSPPROG</v>
      </c>
      <c r="F24" s="120" t="s">
        <v>681</v>
      </c>
      <c r="G24" s="22" t="str">
        <f t="shared" si="2"/>
        <v>P129SEJUSP</v>
      </c>
      <c r="H24" s="52" t="s">
        <v>1015</v>
      </c>
      <c r="I24" s="22" t="s">
        <v>16</v>
      </c>
      <c r="J24" s="52" t="s">
        <v>1632</v>
      </c>
      <c r="K24" s="22" t="str">
        <f>VLOOKUP(CONCATENATE(A24,LEFT(J24,4)),AGRUPAMENTO!$D$2:$E$6783,2,FALSE)</f>
        <v>Terceirizados - MGS</v>
      </c>
      <c r="L24" s="52" t="s">
        <v>44</v>
      </c>
      <c r="M24" s="52" t="str">
        <f t="shared" si="4"/>
        <v>FONTESEJUSP</v>
      </c>
      <c r="N24" s="52">
        <v>60</v>
      </c>
      <c r="O24" s="52" t="s">
        <v>46</v>
      </c>
      <c r="P24" s="52" t="s">
        <v>46</v>
      </c>
      <c r="Q24" s="52" t="s">
        <v>3738</v>
      </c>
      <c r="R24" s="52">
        <v>33</v>
      </c>
      <c r="S24" s="52" t="s">
        <v>3739</v>
      </c>
      <c r="T24" s="88">
        <v>8581.7800000000007</v>
      </c>
      <c r="U24" s="53">
        <v>12</v>
      </c>
      <c r="V24" s="58">
        <f t="shared" si="5"/>
        <v>3398384.8800000008</v>
      </c>
      <c r="W24" s="52" t="s">
        <v>49</v>
      </c>
      <c r="X24" s="52" t="s">
        <v>4347</v>
      </c>
      <c r="Y24" s="52" t="s">
        <v>4348</v>
      </c>
      <c r="Z24" s="52" t="s">
        <v>4349</v>
      </c>
      <c r="AA24" s="52">
        <v>0</v>
      </c>
      <c r="AB24" s="52">
        <v>0</v>
      </c>
      <c r="AC24" s="52">
        <v>0</v>
      </c>
      <c r="AD24" s="21">
        <v>1</v>
      </c>
      <c r="AE24" s="55">
        <v>1</v>
      </c>
      <c r="AF24" s="315">
        <f t="shared" si="3"/>
        <v>3398384.8800000008</v>
      </c>
    </row>
    <row r="25" spans="1:32" s="55" customFormat="1" ht="255" x14ac:dyDescent="0.25">
      <c r="A25" s="86" t="s">
        <v>588</v>
      </c>
      <c r="B25" s="116" t="s">
        <v>2270</v>
      </c>
      <c r="C25" s="52"/>
      <c r="D25" s="52" t="s">
        <v>2278</v>
      </c>
      <c r="E25" s="22" t="str">
        <f t="shared" si="0"/>
        <v>SEJUSPPROG</v>
      </c>
      <c r="F25" s="120" t="s">
        <v>681</v>
      </c>
      <c r="G25" s="22" t="str">
        <f t="shared" si="2"/>
        <v>P129SEJUSP</v>
      </c>
      <c r="H25" s="52" t="s">
        <v>1015</v>
      </c>
      <c r="I25" s="22" t="s">
        <v>16</v>
      </c>
      <c r="J25" s="52" t="s">
        <v>1631</v>
      </c>
      <c r="K25" s="22" t="str">
        <f>VLOOKUP(CONCATENATE(A25,LEFT(J25,4)),AGRUPAMENTO!$D$2:$E$6783,2,FALSE)</f>
        <v>Terceirizados - MGS</v>
      </c>
      <c r="L25" s="52" t="s">
        <v>44</v>
      </c>
      <c r="M25" s="52" t="str">
        <f t="shared" si="4"/>
        <v>FONTESEJUSP</v>
      </c>
      <c r="N25" s="52">
        <v>60</v>
      </c>
      <c r="O25" s="52" t="s">
        <v>46</v>
      </c>
      <c r="P25" s="52" t="s">
        <v>46</v>
      </c>
      <c r="Q25" s="52" t="s">
        <v>3738</v>
      </c>
      <c r="R25" s="52">
        <v>23</v>
      </c>
      <c r="S25" s="52" t="s">
        <v>3739</v>
      </c>
      <c r="T25" s="88">
        <v>4582.26</v>
      </c>
      <c r="U25" s="53">
        <v>12</v>
      </c>
      <c r="V25" s="58">
        <f t="shared" si="5"/>
        <v>1264703.7600000002</v>
      </c>
      <c r="W25" s="52" t="s">
        <v>49</v>
      </c>
      <c r="X25" s="52" t="s">
        <v>4347</v>
      </c>
      <c r="Y25" s="52" t="s">
        <v>4348</v>
      </c>
      <c r="Z25" s="52" t="s">
        <v>4349</v>
      </c>
      <c r="AA25" s="52">
        <v>0</v>
      </c>
      <c r="AB25" s="52">
        <v>0</v>
      </c>
      <c r="AC25" s="52">
        <v>0</v>
      </c>
      <c r="AD25" s="21">
        <v>1</v>
      </c>
      <c r="AE25" s="55">
        <v>1</v>
      </c>
      <c r="AF25" s="315">
        <f t="shared" si="3"/>
        <v>1264703.7600000002</v>
      </c>
    </row>
    <row r="26" spans="1:32" s="55" customFormat="1" ht="255" x14ac:dyDescent="0.25">
      <c r="A26" s="86" t="s">
        <v>588</v>
      </c>
      <c r="B26" s="116" t="s">
        <v>2270</v>
      </c>
      <c r="C26" s="52"/>
      <c r="D26" s="52" t="s">
        <v>2278</v>
      </c>
      <c r="E26" s="22" t="str">
        <f t="shared" si="0"/>
        <v>SEJUSPPROG</v>
      </c>
      <c r="F26" s="52" t="s">
        <v>729</v>
      </c>
      <c r="G26" s="22" t="str">
        <f t="shared" si="2"/>
        <v>P130SEJUSP</v>
      </c>
      <c r="H26" s="52" t="s">
        <v>1183</v>
      </c>
      <c r="I26" s="22" t="s">
        <v>16</v>
      </c>
      <c r="J26" s="52" t="s">
        <v>1633</v>
      </c>
      <c r="K26" s="22" t="str">
        <f>VLOOKUP(CONCATENATE(A26,LEFT(J26,4)),AGRUPAMENTO!$D$2:$E$6783,2,FALSE)</f>
        <v>Terceirizados - MGS</v>
      </c>
      <c r="L26" s="52" t="s">
        <v>44</v>
      </c>
      <c r="M26" s="52" t="str">
        <f t="shared" si="4"/>
        <v>FONTESEJUSP</v>
      </c>
      <c r="N26" s="52">
        <v>60</v>
      </c>
      <c r="O26" s="52" t="s">
        <v>46</v>
      </c>
      <c r="P26" s="52" t="s">
        <v>46</v>
      </c>
      <c r="Q26" s="52" t="s">
        <v>3738</v>
      </c>
      <c r="R26" s="52">
        <v>1</v>
      </c>
      <c r="S26" s="52" t="s">
        <v>3739</v>
      </c>
      <c r="T26" s="88">
        <v>97000</v>
      </c>
      <c r="U26" s="53">
        <v>12</v>
      </c>
      <c r="V26" s="58">
        <f t="shared" si="5"/>
        <v>1164000</v>
      </c>
      <c r="W26" s="52" t="s">
        <v>49</v>
      </c>
      <c r="X26" s="52" t="s">
        <v>4347</v>
      </c>
      <c r="Y26" s="52" t="s">
        <v>4348</v>
      </c>
      <c r="Z26" s="52" t="s">
        <v>4349</v>
      </c>
      <c r="AA26" s="52">
        <v>0</v>
      </c>
      <c r="AB26" s="52">
        <v>0</v>
      </c>
      <c r="AC26" s="52">
        <v>0</v>
      </c>
      <c r="AD26" s="21">
        <v>1</v>
      </c>
      <c r="AE26" s="55">
        <v>1</v>
      </c>
      <c r="AF26" s="315">
        <f t="shared" si="3"/>
        <v>1164000</v>
      </c>
    </row>
    <row r="27" spans="1:32" s="55" customFormat="1" ht="255" x14ac:dyDescent="0.25">
      <c r="A27" s="86" t="s">
        <v>588</v>
      </c>
      <c r="B27" s="116" t="s">
        <v>2270</v>
      </c>
      <c r="C27" s="52"/>
      <c r="D27" s="52" t="s">
        <v>2278</v>
      </c>
      <c r="E27" s="22" t="str">
        <f t="shared" ref="E27:E66" si="6">CONCATENATE(A27,"PROG")</f>
        <v>SEJUSPPROG</v>
      </c>
      <c r="F27" s="52" t="s">
        <v>729</v>
      </c>
      <c r="G27" s="22" t="str">
        <f t="shared" si="2"/>
        <v>P130SEJUSP</v>
      </c>
      <c r="H27" s="52" t="s">
        <v>1183</v>
      </c>
      <c r="I27" s="22" t="s">
        <v>16</v>
      </c>
      <c r="J27" s="52" t="s">
        <v>1632</v>
      </c>
      <c r="K27" s="22" t="str">
        <f>VLOOKUP(CONCATENATE(A27,LEFT(J27,4)),AGRUPAMENTO!$D$2:$E$6783,2,FALSE)</f>
        <v>Terceirizados - MGS</v>
      </c>
      <c r="L27" s="52" t="s">
        <v>44</v>
      </c>
      <c r="M27" s="52" t="str">
        <f t="shared" si="4"/>
        <v>FONTESEJUSP</v>
      </c>
      <c r="N27" s="52">
        <v>60</v>
      </c>
      <c r="O27" s="52" t="s">
        <v>46</v>
      </c>
      <c r="P27" s="52" t="s">
        <v>46</v>
      </c>
      <c r="Q27" s="52" t="s">
        <v>3738</v>
      </c>
      <c r="R27" s="52">
        <v>7</v>
      </c>
      <c r="S27" s="52" t="s">
        <v>3739</v>
      </c>
      <c r="T27" s="88">
        <v>7025</v>
      </c>
      <c r="U27" s="53">
        <v>12</v>
      </c>
      <c r="V27" s="58">
        <f t="shared" si="5"/>
        <v>590100</v>
      </c>
      <c r="W27" s="52" t="s">
        <v>49</v>
      </c>
      <c r="X27" s="52" t="s">
        <v>4347</v>
      </c>
      <c r="Y27" s="52" t="s">
        <v>4348</v>
      </c>
      <c r="Z27" s="52" t="s">
        <v>4349</v>
      </c>
      <c r="AA27" s="52">
        <v>0</v>
      </c>
      <c r="AB27" s="52">
        <v>0</v>
      </c>
      <c r="AC27" s="52">
        <v>0</v>
      </c>
      <c r="AD27" s="21">
        <v>1</v>
      </c>
      <c r="AE27" s="55">
        <v>1</v>
      </c>
      <c r="AF27" s="315">
        <f t="shared" si="3"/>
        <v>590100</v>
      </c>
    </row>
    <row r="28" spans="1:32" s="55" customFormat="1" ht="255" x14ac:dyDescent="0.25">
      <c r="A28" s="86" t="s">
        <v>588</v>
      </c>
      <c r="B28" s="116" t="s">
        <v>2270</v>
      </c>
      <c r="C28" s="52"/>
      <c r="D28" s="52" t="s">
        <v>2278</v>
      </c>
      <c r="E28" s="22" t="str">
        <f t="shared" si="6"/>
        <v>SEJUSPPROG</v>
      </c>
      <c r="F28" s="52" t="s">
        <v>729</v>
      </c>
      <c r="G28" s="22" t="str">
        <f t="shared" si="2"/>
        <v>P130SEJUSP</v>
      </c>
      <c r="H28" s="52" t="s">
        <v>1183</v>
      </c>
      <c r="I28" s="22" t="s">
        <v>16</v>
      </c>
      <c r="J28" s="52" t="s">
        <v>1631</v>
      </c>
      <c r="K28" s="22" t="str">
        <f>VLOOKUP(CONCATENATE(A28,LEFT(J28,4)),AGRUPAMENTO!$D$2:$E$6783,2,FALSE)</f>
        <v>Terceirizados - MGS</v>
      </c>
      <c r="L28" s="52" t="s">
        <v>44</v>
      </c>
      <c r="M28" s="52" t="str">
        <f t="shared" si="4"/>
        <v>FONTESEJUSP</v>
      </c>
      <c r="N28" s="52">
        <v>60</v>
      </c>
      <c r="O28" s="52" t="s">
        <v>46</v>
      </c>
      <c r="P28" s="52" t="s">
        <v>46</v>
      </c>
      <c r="Q28" s="52" t="s">
        <v>3738</v>
      </c>
      <c r="R28" s="52">
        <v>12</v>
      </c>
      <c r="S28" s="52" t="s">
        <v>3739</v>
      </c>
      <c r="T28" s="88">
        <v>4850</v>
      </c>
      <c r="U28" s="53">
        <v>12</v>
      </c>
      <c r="V28" s="58">
        <f t="shared" si="5"/>
        <v>698400</v>
      </c>
      <c r="W28" s="52" t="s">
        <v>49</v>
      </c>
      <c r="X28" s="52" t="s">
        <v>4347</v>
      </c>
      <c r="Y28" s="52" t="s">
        <v>4348</v>
      </c>
      <c r="Z28" s="52" t="s">
        <v>4349</v>
      </c>
      <c r="AA28" s="52">
        <v>0</v>
      </c>
      <c r="AB28" s="52">
        <v>0</v>
      </c>
      <c r="AC28" s="52">
        <v>0</v>
      </c>
      <c r="AD28" s="21">
        <v>1</v>
      </c>
      <c r="AE28" s="55">
        <v>1</v>
      </c>
      <c r="AF28" s="315">
        <f t="shared" si="3"/>
        <v>698400</v>
      </c>
    </row>
    <row r="29" spans="1:32" s="55" customFormat="1" ht="255" x14ac:dyDescent="0.25">
      <c r="A29" s="86" t="s">
        <v>588</v>
      </c>
      <c r="B29" s="116" t="s">
        <v>2270</v>
      </c>
      <c r="C29" s="52"/>
      <c r="D29" s="52" t="s">
        <v>2278</v>
      </c>
      <c r="E29" s="22" t="str">
        <f t="shared" si="6"/>
        <v>SEJUSPPROG</v>
      </c>
      <c r="F29" s="52" t="s">
        <v>705</v>
      </c>
      <c r="G29" s="22" t="str">
        <f t="shared" si="2"/>
        <v>P134SEJUSP</v>
      </c>
      <c r="H29" s="52" t="s">
        <v>1326</v>
      </c>
      <c r="I29" s="22" t="s">
        <v>16</v>
      </c>
      <c r="J29" s="52" t="s">
        <v>1633</v>
      </c>
      <c r="K29" s="22" t="str">
        <f>VLOOKUP(CONCATENATE(A29,LEFT(J29,4)),AGRUPAMENTO!$D$2:$E$6783,2,FALSE)</f>
        <v>Terceirizados - MGS</v>
      </c>
      <c r="L29" s="52" t="s">
        <v>44</v>
      </c>
      <c r="M29" s="52" t="str">
        <f t="shared" si="4"/>
        <v>FONTESEJUSP</v>
      </c>
      <c r="N29" s="52">
        <v>10</v>
      </c>
      <c r="O29" s="52" t="s">
        <v>46</v>
      </c>
      <c r="P29" s="52" t="s">
        <v>46</v>
      </c>
      <c r="Q29" s="52" t="s">
        <v>3738</v>
      </c>
      <c r="R29" s="52">
        <v>1</v>
      </c>
      <c r="S29" s="52" t="s">
        <v>3739</v>
      </c>
      <c r="T29" s="88">
        <v>33000</v>
      </c>
      <c r="U29" s="53">
        <v>12</v>
      </c>
      <c r="V29" s="58">
        <f t="shared" si="5"/>
        <v>396000</v>
      </c>
      <c r="W29" s="52" t="s">
        <v>49</v>
      </c>
      <c r="X29" s="52" t="s">
        <v>4347</v>
      </c>
      <c r="Y29" s="52" t="s">
        <v>4348</v>
      </c>
      <c r="Z29" s="52" t="s">
        <v>4349</v>
      </c>
      <c r="AA29" s="52">
        <v>0</v>
      </c>
      <c r="AB29" s="52">
        <v>0</v>
      </c>
      <c r="AC29" s="52">
        <v>0</v>
      </c>
      <c r="AD29" s="21">
        <v>1</v>
      </c>
      <c r="AE29" s="55">
        <v>1</v>
      </c>
      <c r="AF29" s="315">
        <f t="shared" si="3"/>
        <v>396000</v>
      </c>
    </row>
    <row r="30" spans="1:32" s="55" customFormat="1" ht="255" x14ac:dyDescent="0.25">
      <c r="A30" s="86" t="s">
        <v>588</v>
      </c>
      <c r="B30" s="116" t="s">
        <v>2270</v>
      </c>
      <c r="C30" s="52"/>
      <c r="D30" s="52" t="s">
        <v>2278</v>
      </c>
      <c r="E30" s="22" t="str">
        <f t="shared" si="6"/>
        <v>SEJUSPPROG</v>
      </c>
      <c r="F30" s="52" t="s">
        <v>705</v>
      </c>
      <c r="G30" s="22" t="str">
        <f t="shared" si="2"/>
        <v>P134SEJUSP</v>
      </c>
      <c r="H30" s="52" t="s">
        <v>1326</v>
      </c>
      <c r="I30" s="22" t="s">
        <v>16</v>
      </c>
      <c r="J30" s="52" t="s">
        <v>1632</v>
      </c>
      <c r="K30" s="22" t="str">
        <f>VLOOKUP(CONCATENATE(A30,LEFT(J30,4)),AGRUPAMENTO!$D$2:$E$6783,2,FALSE)</f>
        <v>Terceirizados - MGS</v>
      </c>
      <c r="L30" s="52" t="s">
        <v>44</v>
      </c>
      <c r="M30" s="52" t="str">
        <f t="shared" si="4"/>
        <v>FONTESEJUSP</v>
      </c>
      <c r="N30" s="52">
        <v>10</v>
      </c>
      <c r="O30" s="52" t="s">
        <v>46</v>
      </c>
      <c r="P30" s="52" t="s">
        <v>46</v>
      </c>
      <c r="Q30" s="52" t="s">
        <v>3738</v>
      </c>
      <c r="R30" s="52">
        <v>462</v>
      </c>
      <c r="S30" s="52" t="s">
        <v>3739</v>
      </c>
      <c r="T30" s="88">
        <v>6503.37</v>
      </c>
      <c r="U30" s="53">
        <v>12</v>
      </c>
      <c r="V30" s="58">
        <f t="shared" si="5"/>
        <v>36054683.280000001</v>
      </c>
      <c r="W30" s="52" t="s">
        <v>49</v>
      </c>
      <c r="X30" s="52" t="s">
        <v>4347</v>
      </c>
      <c r="Y30" s="52" t="s">
        <v>4348</v>
      </c>
      <c r="Z30" s="52" t="s">
        <v>4349</v>
      </c>
      <c r="AA30" s="52">
        <v>0</v>
      </c>
      <c r="AB30" s="52">
        <v>0</v>
      </c>
      <c r="AC30" s="52">
        <v>0</v>
      </c>
      <c r="AD30" s="21">
        <v>1</v>
      </c>
      <c r="AE30" s="55">
        <v>1</v>
      </c>
      <c r="AF30" s="315">
        <f t="shared" si="3"/>
        <v>36054683.280000001</v>
      </c>
    </row>
    <row r="31" spans="1:32" s="55" customFormat="1" ht="255" x14ac:dyDescent="0.25">
      <c r="A31" s="86" t="s">
        <v>588</v>
      </c>
      <c r="B31" s="116" t="s">
        <v>2270</v>
      </c>
      <c r="C31" s="52"/>
      <c r="D31" s="52" t="s">
        <v>2278</v>
      </c>
      <c r="E31" s="22" t="str">
        <f t="shared" si="6"/>
        <v>SEJUSPPROG</v>
      </c>
      <c r="F31" s="52" t="s">
        <v>705</v>
      </c>
      <c r="G31" s="22" t="str">
        <f t="shared" si="2"/>
        <v>P134SEJUSP</v>
      </c>
      <c r="H31" s="52" t="s">
        <v>1326</v>
      </c>
      <c r="I31" s="22" t="s">
        <v>16</v>
      </c>
      <c r="J31" s="52" t="s">
        <v>1631</v>
      </c>
      <c r="K31" s="22" t="str">
        <f>VLOOKUP(CONCATENATE(A31,LEFT(J31,4)),AGRUPAMENTO!$D$2:$E$6783,2,FALSE)</f>
        <v>Terceirizados - MGS</v>
      </c>
      <c r="L31" s="52" t="s">
        <v>44</v>
      </c>
      <c r="M31" s="52" t="str">
        <f t="shared" si="4"/>
        <v>FONTESEJUSP</v>
      </c>
      <c r="N31" s="52">
        <v>10</v>
      </c>
      <c r="O31" s="52" t="s">
        <v>46</v>
      </c>
      <c r="P31" s="52" t="s">
        <v>46</v>
      </c>
      <c r="Q31" s="52" t="s">
        <v>3738</v>
      </c>
      <c r="R31" s="52">
        <v>12</v>
      </c>
      <c r="S31" s="52" t="s">
        <v>3739</v>
      </c>
      <c r="T31" s="88">
        <v>5606.3</v>
      </c>
      <c r="U31" s="53">
        <v>12</v>
      </c>
      <c r="V31" s="58">
        <f t="shared" si="5"/>
        <v>807307.20000000007</v>
      </c>
      <c r="W31" s="52" t="s">
        <v>49</v>
      </c>
      <c r="X31" s="52" t="s">
        <v>4347</v>
      </c>
      <c r="Y31" s="52" t="s">
        <v>4348</v>
      </c>
      <c r="Z31" s="52" t="s">
        <v>4349</v>
      </c>
      <c r="AA31" s="52">
        <v>0</v>
      </c>
      <c r="AB31" s="52">
        <v>0</v>
      </c>
      <c r="AC31" s="52">
        <v>0</v>
      </c>
      <c r="AD31" s="21">
        <v>1</v>
      </c>
      <c r="AE31" s="55">
        <v>1</v>
      </c>
      <c r="AF31" s="315">
        <f t="shared" si="3"/>
        <v>807307.20000000007</v>
      </c>
    </row>
    <row r="32" spans="1:32" s="55" customFormat="1" ht="255" x14ac:dyDescent="0.25">
      <c r="A32" s="86" t="s">
        <v>588</v>
      </c>
      <c r="B32" s="116" t="s">
        <v>2270</v>
      </c>
      <c r="C32" s="52"/>
      <c r="D32" s="52" t="s">
        <v>2278</v>
      </c>
      <c r="E32" s="22" t="str">
        <f t="shared" si="6"/>
        <v>SEJUSPPROG</v>
      </c>
      <c r="F32" s="52" t="s">
        <v>699</v>
      </c>
      <c r="G32" s="22" t="str">
        <f t="shared" si="2"/>
        <v>P141SEJUSP</v>
      </c>
      <c r="H32" s="52" t="s">
        <v>1403</v>
      </c>
      <c r="I32" s="22" t="s">
        <v>16</v>
      </c>
      <c r="J32" s="52" t="s">
        <v>1633</v>
      </c>
      <c r="K32" s="22" t="str">
        <f>VLOOKUP(CONCATENATE(A32,LEFT(J32,4)),AGRUPAMENTO!$D$2:$E$6783,2,FALSE)</f>
        <v>Terceirizados - MGS</v>
      </c>
      <c r="L32" s="52" t="s">
        <v>44</v>
      </c>
      <c r="M32" s="52" t="str">
        <f t="shared" si="4"/>
        <v>FONTESEJUSP</v>
      </c>
      <c r="N32" s="52">
        <v>10</v>
      </c>
      <c r="O32" s="52" t="s">
        <v>46</v>
      </c>
      <c r="P32" s="52" t="s">
        <v>46</v>
      </c>
      <c r="Q32" s="52" t="s">
        <v>3738</v>
      </c>
      <c r="R32" s="52">
        <v>1</v>
      </c>
      <c r="S32" s="52" t="s">
        <v>3739</v>
      </c>
      <c r="T32" s="88">
        <v>412000</v>
      </c>
      <c r="U32" s="53">
        <v>12</v>
      </c>
      <c r="V32" s="58">
        <f t="shared" si="5"/>
        <v>4944000</v>
      </c>
      <c r="W32" s="52" t="s">
        <v>49</v>
      </c>
      <c r="X32" s="52" t="s">
        <v>4347</v>
      </c>
      <c r="Y32" s="52" t="s">
        <v>4348</v>
      </c>
      <c r="Z32" s="52" t="s">
        <v>4349</v>
      </c>
      <c r="AA32" s="52">
        <v>0</v>
      </c>
      <c r="AB32" s="52">
        <v>0</v>
      </c>
      <c r="AC32" s="52">
        <v>0</v>
      </c>
      <c r="AD32" s="21">
        <v>1</v>
      </c>
      <c r="AE32" s="55">
        <v>1</v>
      </c>
      <c r="AF32" s="315">
        <f t="shared" si="3"/>
        <v>4944000</v>
      </c>
    </row>
    <row r="33" spans="1:32" s="55" customFormat="1" ht="255" x14ac:dyDescent="0.25">
      <c r="A33" s="86" t="s">
        <v>588</v>
      </c>
      <c r="B33" s="116" t="s">
        <v>2270</v>
      </c>
      <c r="C33" s="52"/>
      <c r="D33" s="52" t="s">
        <v>2278</v>
      </c>
      <c r="E33" s="22" t="str">
        <f t="shared" si="6"/>
        <v>SEJUSPPROG</v>
      </c>
      <c r="F33" s="52" t="s">
        <v>699</v>
      </c>
      <c r="G33" s="22" t="str">
        <f t="shared" si="2"/>
        <v>P141SEJUSP</v>
      </c>
      <c r="H33" s="52" t="s">
        <v>1403</v>
      </c>
      <c r="I33" s="22" t="s">
        <v>16</v>
      </c>
      <c r="J33" s="52" t="s">
        <v>1632</v>
      </c>
      <c r="K33" s="22" t="str">
        <f>VLOOKUP(CONCATENATE(A33,LEFT(J33,4)),AGRUPAMENTO!$D$2:$E$6783,2,FALSE)</f>
        <v>Terceirizados - MGS</v>
      </c>
      <c r="L33" s="52" t="s">
        <v>44</v>
      </c>
      <c r="M33" s="52" t="str">
        <f t="shared" si="4"/>
        <v>FONTESEJUSP</v>
      </c>
      <c r="N33" s="52">
        <v>10</v>
      </c>
      <c r="O33" s="52" t="s">
        <v>46</v>
      </c>
      <c r="P33" s="52" t="s">
        <v>46</v>
      </c>
      <c r="Q33" s="52" t="s">
        <v>3738</v>
      </c>
      <c r="R33" s="52">
        <v>5</v>
      </c>
      <c r="S33" s="52" t="s">
        <v>3739</v>
      </c>
      <c r="T33" s="88">
        <v>8400</v>
      </c>
      <c r="U33" s="53">
        <v>12</v>
      </c>
      <c r="V33" s="58">
        <f t="shared" si="5"/>
        <v>504000</v>
      </c>
      <c r="W33" s="52" t="s">
        <v>49</v>
      </c>
      <c r="X33" s="52" t="s">
        <v>4347</v>
      </c>
      <c r="Y33" s="52" t="s">
        <v>4348</v>
      </c>
      <c r="Z33" s="52" t="s">
        <v>4349</v>
      </c>
      <c r="AA33" s="52">
        <v>0</v>
      </c>
      <c r="AB33" s="52">
        <v>0</v>
      </c>
      <c r="AC33" s="52">
        <v>0</v>
      </c>
      <c r="AD33" s="21">
        <v>1</v>
      </c>
      <c r="AE33" s="55">
        <v>1</v>
      </c>
      <c r="AF33" s="315">
        <f t="shared" si="3"/>
        <v>504000</v>
      </c>
    </row>
    <row r="34" spans="1:32" s="55" customFormat="1" ht="255" x14ac:dyDescent="0.25">
      <c r="A34" s="86" t="s">
        <v>588</v>
      </c>
      <c r="B34" s="116" t="s">
        <v>2270</v>
      </c>
      <c r="C34" s="52"/>
      <c r="D34" s="52" t="s">
        <v>2278</v>
      </c>
      <c r="E34" s="22" t="str">
        <f t="shared" si="6"/>
        <v>SEJUSPPROG</v>
      </c>
      <c r="F34" s="52" t="s">
        <v>699</v>
      </c>
      <c r="G34" s="22" t="str">
        <f t="shared" si="2"/>
        <v>P141SEJUSP</v>
      </c>
      <c r="H34" s="52" t="s">
        <v>1393</v>
      </c>
      <c r="I34" s="22" t="s">
        <v>16</v>
      </c>
      <c r="J34" s="52" t="s">
        <v>1633</v>
      </c>
      <c r="K34" s="22" t="str">
        <f>VLOOKUP(CONCATENATE(A34,LEFT(J34,4)),AGRUPAMENTO!$D$2:$E$6783,2,FALSE)</f>
        <v>Terceirizados - MGS</v>
      </c>
      <c r="L34" s="52" t="s">
        <v>44</v>
      </c>
      <c r="M34" s="52" t="str">
        <f t="shared" si="4"/>
        <v>FONTESEJUSP</v>
      </c>
      <c r="N34" s="52">
        <v>10</v>
      </c>
      <c r="O34" s="52" t="s">
        <v>46</v>
      </c>
      <c r="P34" s="52" t="s">
        <v>46</v>
      </c>
      <c r="Q34" s="52" t="s">
        <v>3738</v>
      </c>
      <c r="R34" s="52">
        <v>1</v>
      </c>
      <c r="S34" s="52" t="s">
        <v>3739</v>
      </c>
      <c r="T34" s="88">
        <v>7000</v>
      </c>
      <c r="U34" s="53">
        <v>12</v>
      </c>
      <c r="V34" s="58">
        <f t="shared" si="5"/>
        <v>84000</v>
      </c>
      <c r="W34" s="52" t="s">
        <v>49</v>
      </c>
      <c r="X34" s="52" t="s">
        <v>4347</v>
      </c>
      <c r="Y34" s="52" t="s">
        <v>4348</v>
      </c>
      <c r="Z34" s="52" t="s">
        <v>4349</v>
      </c>
      <c r="AA34" s="52">
        <v>0</v>
      </c>
      <c r="AB34" s="52">
        <v>0</v>
      </c>
      <c r="AC34" s="52">
        <v>0</v>
      </c>
      <c r="AD34" s="21">
        <v>1</v>
      </c>
      <c r="AE34" s="55">
        <v>1</v>
      </c>
      <c r="AF34" s="315">
        <f t="shared" si="3"/>
        <v>84000</v>
      </c>
    </row>
    <row r="35" spans="1:32" s="55" customFormat="1" ht="255" x14ac:dyDescent="0.25">
      <c r="A35" s="86" t="s">
        <v>588</v>
      </c>
      <c r="B35" s="116" t="s">
        <v>2270</v>
      </c>
      <c r="C35" s="52"/>
      <c r="D35" s="52" t="s">
        <v>2278</v>
      </c>
      <c r="E35" s="22" t="str">
        <f t="shared" si="6"/>
        <v>SEJUSPPROG</v>
      </c>
      <c r="F35" s="52" t="s">
        <v>699</v>
      </c>
      <c r="G35" s="22" t="str">
        <f t="shared" si="2"/>
        <v>P141SEJUSP</v>
      </c>
      <c r="H35" s="52" t="s">
        <v>1393</v>
      </c>
      <c r="I35" s="22" t="s">
        <v>16</v>
      </c>
      <c r="J35" s="52" t="s">
        <v>1632</v>
      </c>
      <c r="K35" s="22" t="str">
        <f>VLOOKUP(CONCATENATE(A35,LEFT(J35,4)),AGRUPAMENTO!$D$2:$E$6783,2,FALSE)</f>
        <v>Terceirizados - MGS</v>
      </c>
      <c r="L35" s="52" t="s">
        <v>44</v>
      </c>
      <c r="M35" s="52" t="str">
        <f t="shared" si="4"/>
        <v>FONTESEJUSP</v>
      </c>
      <c r="N35" s="52">
        <v>10</v>
      </c>
      <c r="O35" s="52" t="s">
        <v>46</v>
      </c>
      <c r="P35" s="52" t="s">
        <v>46</v>
      </c>
      <c r="Q35" s="52" t="s">
        <v>3738</v>
      </c>
      <c r="R35" s="52">
        <v>3</v>
      </c>
      <c r="S35" s="52" t="s">
        <v>3739</v>
      </c>
      <c r="T35" s="88">
        <v>9016.66</v>
      </c>
      <c r="U35" s="53">
        <v>12</v>
      </c>
      <c r="V35" s="58">
        <f t="shared" si="5"/>
        <v>324599.76</v>
      </c>
      <c r="W35" s="52" t="s">
        <v>49</v>
      </c>
      <c r="X35" s="52" t="s">
        <v>4347</v>
      </c>
      <c r="Y35" s="52" t="s">
        <v>4348</v>
      </c>
      <c r="Z35" s="52" t="s">
        <v>4349</v>
      </c>
      <c r="AA35" s="52">
        <v>0</v>
      </c>
      <c r="AB35" s="52">
        <v>0</v>
      </c>
      <c r="AC35" s="52">
        <v>0</v>
      </c>
      <c r="AD35" s="21">
        <v>1</v>
      </c>
      <c r="AE35" s="55">
        <v>1</v>
      </c>
      <c r="AF35" s="315">
        <f t="shared" si="3"/>
        <v>324599.76</v>
      </c>
    </row>
    <row r="36" spans="1:32" s="55" customFormat="1" ht="255" x14ac:dyDescent="0.25">
      <c r="A36" s="86" t="s">
        <v>588</v>
      </c>
      <c r="B36" s="116" t="s">
        <v>2270</v>
      </c>
      <c r="C36" s="52"/>
      <c r="D36" s="52" t="s">
        <v>2278</v>
      </c>
      <c r="E36" s="22" t="str">
        <f t="shared" si="6"/>
        <v>SEJUSPPROG</v>
      </c>
      <c r="F36" s="122" t="s">
        <v>886</v>
      </c>
      <c r="G36" s="22" t="str">
        <f t="shared" si="2"/>
        <v>P146SEJUSP</v>
      </c>
      <c r="H36" s="52" t="s">
        <v>1424</v>
      </c>
      <c r="I36" s="22" t="s">
        <v>16</v>
      </c>
      <c r="J36" s="52" t="s">
        <v>1633</v>
      </c>
      <c r="K36" s="22" t="str">
        <f>VLOOKUP(CONCATENATE(A36,LEFT(J36,4)),AGRUPAMENTO!$D$2:$E$6783,2,FALSE)</f>
        <v>Terceirizados - MGS</v>
      </c>
      <c r="L36" s="52" t="s">
        <v>44</v>
      </c>
      <c r="M36" s="52" t="str">
        <f t="shared" si="4"/>
        <v>FONTESEJUSP</v>
      </c>
      <c r="N36" s="52">
        <v>10</v>
      </c>
      <c r="O36" s="52" t="s">
        <v>46</v>
      </c>
      <c r="P36" s="52" t="s">
        <v>46</v>
      </c>
      <c r="Q36" s="52" t="s">
        <v>3738</v>
      </c>
      <c r="R36" s="52">
        <v>1</v>
      </c>
      <c r="S36" s="52" t="s">
        <v>3739</v>
      </c>
      <c r="T36" s="88">
        <v>6400</v>
      </c>
      <c r="U36" s="53">
        <v>12</v>
      </c>
      <c r="V36" s="58">
        <f t="shared" si="5"/>
        <v>76800</v>
      </c>
      <c r="W36" s="52" t="s">
        <v>49</v>
      </c>
      <c r="X36" s="52" t="s">
        <v>4347</v>
      </c>
      <c r="Y36" s="52" t="s">
        <v>4348</v>
      </c>
      <c r="Z36" s="52" t="s">
        <v>4349</v>
      </c>
      <c r="AA36" s="52">
        <v>0</v>
      </c>
      <c r="AB36" s="52">
        <v>0</v>
      </c>
      <c r="AC36" s="52">
        <v>0</v>
      </c>
      <c r="AD36" s="21">
        <v>1</v>
      </c>
      <c r="AE36" s="55">
        <v>1</v>
      </c>
      <c r="AF36" s="315">
        <f t="shared" si="3"/>
        <v>76800</v>
      </c>
    </row>
    <row r="37" spans="1:32" s="55" customFormat="1" ht="255" x14ac:dyDescent="0.25">
      <c r="A37" s="86" t="s">
        <v>588</v>
      </c>
      <c r="B37" s="116" t="s">
        <v>2270</v>
      </c>
      <c r="C37" s="52"/>
      <c r="D37" s="52" t="s">
        <v>2278</v>
      </c>
      <c r="E37" s="22" t="str">
        <f t="shared" si="6"/>
        <v>SEJUSPPROG</v>
      </c>
      <c r="F37" s="122" t="s">
        <v>886</v>
      </c>
      <c r="G37" s="22" t="str">
        <f t="shared" si="2"/>
        <v>P146SEJUSP</v>
      </c>
      <c r="H37" s="52" t="s">
        <v>1424</v>
      </c>
      <c r="I37" s="22" t="s">
        <v>16</v>
      </c>
      <c r="J37" s="52" t="s">
        <v>1632</v>
      </c>
      <c r="K37" s="22" t="str">
        <f>VLOOKUP(CONCATENATE(A37,LEFT(J37,4)),AGRUPAMENTO!$D$2:$E$6783,2,FALSE)</f>
        <v>Terceirizados - MGS</v>
      </c>
      <c r="L37" s="52" t="s">
        <v>44</v>
      </c>
      <c r="M37" s="52" t="str">
        <f t="shared" si="4"/>
        <v>FONTESEJUSP</v>
      </c>
      <c r="N37" s="52">
        <v>10</v>
      </c>
      <c r="O37" s="52" t="s">
        <v>46</v>
      </c>
      <c r="P37" s="52" t="s">
        <v>46</v>
      </c>
      <c r="Q37" s="52" t="s">
        <v>3738</v>
      </c>
      <c r="R37" s="52">
        <v>49</v>
      </c>
      <c r="S37" s="52" t="s">
        <v>3739</v>
      </c>
      <c r="T37" s="88">
        <v>6213.65</v>
      </c>
      <c r="U37" s="53">
        <v>12</v>
      </c>
      <c r="V37" s="58">
        <f t="shared" si="5"/>
        <v>3653626.1999999997</v>
      </c>
      <c r="W37" s="52" t="s">
        <v>49</v>
      </c>
      <c r="X37" s="52" t="s">
        <v>4347</v>
      </c>
      <c r="Y37" s="52" t="s">
        <v>4348</v>
      </c>
      <c r="Z37" s="52" t="s">
        <v>4349</v>
      </c>
      <c r="AA37" s="52">
        <v>0</v>
      </c>
      <c r="AB37" s="52">
        <v>0</v>
      </c>
      <c r="AC37" s="52">
        <v>0</v>
      </c>
      <c r="AD37" s="21">
        <v>1</v>
      </c>
      <c r="AE37" s="55">
        <v>1</v>
      </c>
      <c r="AF37" s="315">
        <f t="shared" si="3"/>
        <v>3653626.1999999997</v>
      </c>
    </row>
    <row r="38" spans="1:32" s="55" customFormat="1" ht="255" x14ac:dyDescent="0.25">
      <c r="A38" s="86" t="s">
        <v>588</v>
      </c>
      <c r="B38" s="116" t="s">
        <v>2270</v>
      </c>
      <c r="C38" s="52"/>
      <c r="D38" s="52" t="s">
        <v>2278</v>
      </c>
      <c r="E38" s="22" t="str">
        <f t="shared" si="6"/>
        <v>SEJUSPPROG</v>
      </c>
      <c r="F38" s="122" t="s">
        <v>886</v>
      </c>
      <c r="G38" s="22" t="str">
        <f t="shared" si="2"/>
        <v>P146SEJUSP</v>
      </c>
      <c r="H38" s="52" t="s">
        <v>1424</v>
      </c>
      <c r="I38" s="22" t="s">
        <v>16</v>
      </c>
      <c r="J38" s="52" t="s">
        <v>1631</v>
      </c>
      <c r="K38" s="22" t="str">
        <f>VLOOKUP(CONCATENATE(A38,LEFT(J38,4)),AGRUPAMENTO!$D$2:$E$6783,2,FALSE)</f>
        <v>Terceirizados - MGS</v>
      </c>
      <c r="L38" s="52" t="s">
        <v>44</v>
      </c>
      <c r="M38" s="52" t="str">
        <f t="shared" si="4"/>
        <v>FONTESEJUSP</v>
      </c>
      <c r="N38" s="52">
        <v>10</v>
      </c>
      <c r="O38" s="52" t="s">
        <v>46</v>
      </c>
      <c r="P38" s="52" t="s">
        <v>46</v>
      </c>
      <c r="Q38" s="52" t="s">
        <v>3738</v>
      </c>
      <c r="R38" s="52">
        <v>41</v>
      </c>
      <c r="S38" s="52" t="s">
        <v>3739</v>
      </c>
      <c r="T38" s="88">
        <v>4244.1400000000003</v>
      </c>
      <c r="U38" s="53">
        <v>12</v>
      </c>
      <c r="V38" s="58">
        <f t="shared" si="5"/>
        <v>2088116.8800000004</v>
      </c>
      <c r="W38" s="52" t="s">
        <v>49</v>
      </c>
      <c r="X38" s="52" t="s">
        <v>4347</v>
      </c>
      <c r="Y38" s="52" t="s">
        <v>4348</v>
      </c>
      <c r="Z38" s="52" t="s">
        <v>4349</v>
      </c>
      <c r="AA38" s="52">
        <v>0</v>
      </c>
      <c r="AB38" s="52">
        <v>0</v>
      </c>
      <c r="AC38" s="52">
        <v>0</v>
      </c>
      <c r="AD38" s="21">
        <v>1</v>
      </c>
      <c r="AE38" s="55">
        <v>1</v>
      </c>
      <c r="AF38" s="315">
        <f t="shared" si="3"/>
        <v>2088116.8800000004</v>
      </c>
    </row>
    <row r="39" spans="1:32" s="55" customFormat="1" ht="255" x14ac:dyDescent="0.25">
      <c r="A39" s="86" t="s">
        <v>588</v>
      </c>
      <c r="B39" s="116" t="s">
        <v>2270</v>
      </c>
      <c r="C39" s="52"/>
      <c r="D39" s="52" t="s">
        <v>2278</v>
      </c>
      <c r="E39" s="22" t="str">
        <f t="shared" si="6"/>
        <v>SEJUSPPROG</v>
      </c>
      <c r="F39" s="116" t="s">
        <v>687</v>
      </c>
      <c r="G39" s="22" t="str">
        <f t="shared" si="2"/>
        <v>P705SEJUSP</v>
      </c>
      <c r="H39" s="116" t="s">
        <v>914</v>
      </c>
      <c r="I39" s="22" t="s">
        <v>16</v>
      </c>
      <c r="J39" s="52" t="s">
        <v>1633</v>
      </c>
      <c r="K39" s="22" t="str">
        <f>VLOOKUP(CONCATENATE(A39,LEFT(J39,4)),AGRUPAMENTO!$D$2:$E$6783,2,FALSE)</f>
        <v>Terceirizados - MGS</v>
      </c>
      <c r="L39" s="52" t="s">
        <v>44</v>
      </c>
      <c r="M39" s="52" t="str">
        <f t="shared" si="4"/>
        <v>FONTESEJUSP</v>
      </c>
      <c r="N39" s="52">
        <v>10</v>
      </c>
      <c r="O39" s="52" t="s">
        <v>46</v>
      </c>
      <c r="P39" s="52" t="s">
        <v>46</v>
      </c>
      <c r="Q39" s="52" t="s">
        <v>3738</v>
      </c>
      <c r="R39" s="52">
        <v>1</v>
      </c>
      <c r="S39" s="52" t="s">
        <v>3739</v>
      </c>
      <c r="T39" s="88">
        <v>94200</v>
      </c>
      <c r="U39" s="53">
        <v>12</v>
      </c>
      <c r="V39" s="58">
        <f t="shared" si="5"/>
        <v>1130400</v>
      </c>
      <c r="W39" s="52" t="s">
        <v>49</v>
      </c>
      <c r="X39" s="52" t="s">
        <v>4347</v>
      </c>
      <c r="Y39" s="52" t="s">
        <v>4348</v>
      </c>
      <c r="Z39" s="52" t="s">
        <v>4349</v>
      </c>
      <c r="AA39" s="52">
        <v>0</v>
      </c>
      <c r="AB39" s="52">
        <v>0</v>
      </c>
      <c r="AC39" s="52">
        <v>0</v>
      </c>
      <c r="AD39" s="21">
        <v>1</v>
      </c>
      <c r="AE39" s="55">
        <v>1</v>
      </c>
      <c r="AF39" s="315">
        <f t="shared" si="3"/>
        <v>1130400</v>
      </c>
    </row>
    <row r="40" spans="1:32" s="55" customFormat="1" ht="150" x14ac:dyDescent="0.25">
      <c r="A40" s="86" t="s">
        <v>588</v>
      </c>
      <c r="B40" s="116" t="s">
        <v>2270</v>
      </c>
      <c r="C40" s="52"/>
      <c r="D40" s="52" t="s">
        <v>2278</v>
      </c>
      <c r="E40" s="22" t="str">
        <f t="shared" si="6"/>
        <v>SEJUSPPROG</v>
      </c>
      <c r="F40" s="116" t="s">
        <v>687</v>
      </c>
      <c r="G40" s="22" t="str">
        <f t="shared" si="2"/>
        <v>P705SEJUSP</v>
      </c>
      <c r="H40" s="116" t="s">
        <v>914</v>
      </c>
      <c r="I40" s="22" t="s">
        <v>16</v>
      </c>
      <c r="J40" s="116" t="s">
        <v>2160</v>
      </c>
      <c r="K40" s="22" t="str">
        <f>VLOOKUP(CONCATENATE(A40,LEFT(J40,4)),AGRUPAMENTO!$D$2:$E$6783,2,FALSE)</f>
        <v>Aluguéis e condomínios</v>
      </c>
      <c r="L40" s="52" t="s">
        <v>44</v>
      </c>
      <c r="M40" s="52" t="str">
        <f t="shared" si="4"/>
        <v>FONTESEJUSP</v>
      </c>
      <c r="N40" s="52">
        <v>10</v>
      </c>
      <c r="O40" s="116" t="s">
        <v>2319</v>
      </c>
      <c r="P40" s="116" t="s">
        <v>46</v>
      </c>
      <c r="Q40" s="117" t="s">
        <v>3740</v>
      </c>
      <c r="R40" s="116">
        <v>12</v>
      </c>
      <c r="S40" s="116" t="s">
        <v>3741</v>
      </c>
      <c r="T40" s="183">
        <v>62</v>
      </c>
      <c r="U40" s="184">
        <v>1</v>
      </c>
      <c r="V40" s="58">
        <f t="shared" si="5"/>
        <v>744</v>
      </c>
      <c r="W40" s="52" t="s">
        <v>49</v>
      </c>
      <c r="X40" s="117" t="s">
        <v>4350</v>
      </c>
      <c r="Y40" s="116" t="s">
        <v>4351</v>
      </c>
      <c r="Z40" s="116" t="s">
        <v>4352</v>
      </c>
      <c r="AA40" s="52">
        <v>0</v>
      </c>
      <c r="AB40" s="52">
        <v>0</v>
      </c>
      <c r="AC40" s="52">
        <v>0</v>
      </c>
      <c r="AD40" s="21">
        <v>1</v>
      </c>
      <c r="AE40" s="55">
        <v>1</v>
      </c>
      <c r="AF40" s="315">
        <f t="shared" si="3"/>
        <v>744</v>
      </c>
    </row>
    <row r="41" spans="1:32" s="55" customFormat="1" ht="105" x14ac:dyDescent="0.25">
      <c r="A41" s="86" t="s">
        <v>588</v>
      </c>
      <c r="B41" s="116" t="s">
        <v>2270</v>
      </c>
      <c r="C41" s="52"/>
      <c r="D41" s="52" t="s">
        <v>2278</v>
      </c>
      <c r="E41" s="22" t="str">
        <f t="shared" si="6"/>
        <v>SEJUSPPROG</v>
      </c>
      <c r="F41" s="116" t="s">
        <v>687</v>
      </c>
      <c r="G41" s="22" t="str">
        <f t="shared" si="2"/>
        <v>P705SEJUSP</v>
      </c>
      <c r="H41" s="116" t="s">
        <v>914</v>
      </c>
      <c r="I41" s="22" t="s">
        <v>16</v>
      </c>
      <c r="J41" s="116" t="s">
        <v>264</v>
      </c>
      <c r="K41" s="22" t="str">
        <f>VLOOKUP(CONCATENATE(A41,LEFT(J41,4)),AGRUPAMENTO!$D$2:$E$6783,2,FALSE)</f>
        <v>Obrigações tributárias</v>
      </c>
      <c r="L41" s="52" t="s">
        <v>44</v>
      </c>
      <c r="M41" s="52" t="str">
        <f t="shared" si="4"/>
        <v>FONTESEJUSP</v>
      </c>
      <c r="N41" s="52">
        <v>10</v>
      </c>
      <c r="O41" s="116"/>
      <c r="P41" s="116" t="s">
        <v>46</v>
      </c>
      <c r="Q41" s="116" t="s">
        <v>3742</v>
      </c>
      <c r="R41" s="116">
        <v>11</v>
      </c>
      <c r="S41" s="116" t="s">
        <v>3743</v>
      </c>
      <c r="T41" s="183">
        <v>92</v>
      </c>
      <c r="U41" s="184">
        <v>1</v>
      </c>
      <c r="V41" s="58">
        <f t="shared" si="5"/>
        <v>1012</v>
      </c>
      <c r="W41" s="52" t="s">
        <v>49</v>
      </c>
      <c r="X41" s="116" t="s">
        <v>4353</v>
      </c>
      <c r="Y41" s="116" t="s">
        <v>4354</v>
      </c>
      <c r="Z41" s="116" t="s">
        <v>4352</v>
      </c>
      <c r="AA41" s="52">
        <v>0</v>
      </c>
      <c r="AB41" s="52">
        <v>0</v>
      </c>
      <c r="AC41" s="52">
        <v>0</v>
      </c>
      <c r="AD41" s="21">
        <v>0.20034174244500716</v>
      </c>
      <c r="AE41" s="55">
        <v>0.20034174244500716</v>
      </c>
      <c r="AF41" s="315">
        <f t="shared" si="3"/>
        <v>202.74584335434724</v>
      </c>
    </row>
    <row r="42" spans="1:32" s="55" customFormat="1" ht="255" x14ac:dyDescent="0.25">
      <c r="A42" s="86" t="s">
        <v>588</v>
      </c>
      <c r="B42" s="116" t="s">
        <v>2270</v>
      </c>
      <c r="C42" s="52"/>
      <c r="D42" s="52" t="s">
        <v>2278</v>
      </c>
      <c r="E42" s="22" t="str">
        <f t="shared" si="6"/>
        <v>SEJUSPPROG</v>
      </c>
      <c r="F42" s="116" t="s">
        <v>687</v>
      </c>
      <c r="G42" s="22" t="str">
        <f t="shared" si="2"/>
        <v>P705SEJUSP</v>
      </c>
      <c r="H42" s="116" t="s">
        <v>914</v>
      </c>
      <c r="I42" s="22" t="s">
        <v>16</v>
      </c>
      <c r="J42" s="52" t="s">
        <v>2131</v>
      </c>
      <c r="K42" s="22" t="str">
        <f>VLOOKUP(CONCATENATE(A42,LEFT(J42,4)),AGRUPAMENTO!$D$2:$E$6783,2,FALSE)</f>
        <v>Diárias e viagens</v>
      </c>
      <c r="L42" s="52" t="s">
        <v>44</v>
      </c>
      <c r="M42" s="52" t="str">
        <f t="shared" si="4"/>
        <v>FONTESEJUSP</v>
      </c>
      <c r="N42" s="52">
        <v>10</v>
      </c>
      <c r="O42" s="117" t="s">
        <v>2320</v>
      </c>
      <c r="P42" s="116" t="s">
        <v>46</v>
      </c>
      <c r="Q42" s="116" t="s">
        <v>3744</v>
      </c>
      <c r="R42" s="116">
        <v>42</v>
      </c>
      <c r="S42" s="116" t="s">
        <v>3745</v>
      </c>
      <c r="T42" s="183">
        <v>470</v>
      </c>
      <c r="U42" s="184">
        <v>1</v>
      </c>
      <c r="V42" s="58">
        <f t="shared" si="5"/>
        <v>19740</v>
      </c>
      <c r="W42" s="52" t="s">
        <v>49</v>
      </c>
      <c r="X42" s="116" t="s">
        <v>4355</v>
      </c>
      <c r="Y42" s="116" t="s">
        <v>4356</v>
      </c>
      <c r="Z42" s="116" t="s">
        <v>4357</v>
      </c>
      <c r="AA42" s="52">
        <v>0</v>
      </c>
      <c r="AB42" s="52">
        <v>0</v>
      </c>
      <c r="AC42" s="52">
        <v>0</v>
      </c>
      <c r="AD42" s="21">
        <v>0.86749884668513244</v>
      </c>
      <c r="AE42" s="55">
        <v>0.86749884668513244</v>
      </c>
      <c r="AF42" s="315">
        <f t="shared" si="3"/>
        <v>17124.427233564515</v>
      </c>
    </row>
    <row r="43" spans="1:32" s="55" customFormat="1" ht="120" x14ac:dyDescent="0.25">
      <c r="A43" s="86" t="s">
        <v>588</v>
      </c>
      <c r="B43" s="116" t="s">
        <v>2270</v>
      </c>
      <c r="C43" s="52"/>
      <c r="D43" s="52" t="s">
        <v>2278</v>
      </c>
      <c r="E43" s="22" t="str">
        <f t="shared" si="6"/>
        <v>SEJUSPPROG</v>
      </c>
      <c r="F43" s="116" t="s">
        <v>687</v>
      </c>
      <c r="G43" s="22" t="str">
        <f t="shared" si="2"/>
        <v>P705SEJUSP</v>
      </c>
      <c r="H43" s="116" t="s">
        <v>914</v>
      </c>
      <c r="I43" s="22" t="s">
        <v>16</v>
      </c>
      <c r="J43" s="116" t="s">
        <v>1638</v>
      </c>
      <c r="K43" s="22" t="str">
        <f>VLOOKUP(CONCATENATE(A43,LEFT(J43,4)),AGRUPAMENTO!$D$2:$E$6783,2,FALSE)</f>
        <v>Utilidade Pública</v>
      </c>
      <c r="L43" s="52" t="s">
        <v>44</v>
      </c>
      <c r="M43" s="52" t="str">
        <f t="shared" si="4"/>
        <v>FONTESEJUSP</v>
      </c>
      <c r="N43" s="52">
        <v>10</v>
      </c>
      <c r="O43" s="116" t="s">
        <v>2321</v>
      </c>
      <c r="P43" s="116" t="s">
        <v>46</v>
      </c>
      <c r="Q43" s="116" t="s">
        <v>3746</v>
      </c>
      <c r="R43" s="116">
        <v>12</v>
      </c>
      <c r="S43" s="116" t="s">
        <v>3747</v>
      </c>
      <c r="T43" s="183">
        <v>85</v>
      </c>
      <c r="U43" s="184">
        <v>1</v>
      </c>
      <c r="V43" s="58">
        <f t="shared" si="5"/>
        <v>1020</v>
      </c>
      <c r="W43" s="52" t="s">
        <v>49</v>
      </c>
      <c r="X43" s="116" t="s">
        <v>4358</v>
      </c>
      <c r="Y43" s="116" t="s">
        <v>4359</v>
      </c>
      <c r="Z43" s="116" t="s">
        <v>4360</v>
      </c>
      <c r="AA43" s="52">
        <v>0</v>
      </c>
      <c r="AB43" s="52">
        <v>0</v>
      </c>
      <c r="AC43" s="52">
        <v>0</v>
      </c>
      <c r="AD43" s="21">
        <v>0.96957830030776992</v>
      </c>
      <c r="AE43" s="55">
        <v>0.96957830030776992</v>
      </c>
      <c r="AF43" s="315">
        <f t="shared" si="3"/>
        <v>988.96986631392531</v>
      </c>
    </row>
    <row r="44" spans="1:32" s="55" customFormat="1" ht="120" x14ac:dyDescent="0.25">
      <c r="A44" s="86" t="s">
        <v>588</v>
      </c>
      <c r="B44" s="116" t="s">
        <v>2270</v>
      </c>
      <c r="C44" s="52"/>
      <c r="D44" s="52" t="s">
        <v>2278</v>
      </c>
      <c r="E44" s="22" t="str">
        <f t="shared" si="6"/>
        <v>SEJUSPPROG</v>
      </c>
      <c r="F44" s="116" t="s">
        <v>687</v>
      </c>
      <c r="G44" s="22" t="str">
        <f t="shared" si="2"/>
        <v>P705SEJUSP</v>
      </c>
      <c r="H44" s="116" t="s">
        <v>914</v>
      </c>
      <c r="I44" s="22" t="s">
        <v>16</v>
      </c>
      <c r="J44" s="116" t="s">
        <v>1628</v>
      </c>
      <c r="K44" s="22" t="str">
        <f>VLOOKUP(CONCATENATE(A44,LEFT(J44,4)),AGRUPAMENTO!$D$2:$E$6783,2,FALSE)</f>
        <v>Pronto Pagamento</v>
      </c>
      <c r="L44" s="52" t="s">
        <v>44</v>
      </c>
      <c r="M44" s="52" t="str">
        <f t="shared" si="4"/>
        <v>FONTESEJUSP</v>
      </c>
      <c r="N44" s="52">
        <v>10</v>
      </c>
      <c r="O44" s="116" t="s">
        <v>2322</v>
      </c>
      <c r="P44" s="116" t="s">
        <v>3715</v>
      </c>
      <c r="Q44" s="116" t="s">
        <v>3748</v>
      </c>
      <c r="R44" s="116">
        <v>4</v>
      </c>
      <c r="S44" s="117" t="s">
        <v>3749</v>
      </c>
      <c r="T44" s="183">
        <v>4000</v>
      </c>
      <c r="U44" s="184">
        <v>1</v>
      </c>
      <c r="V44" s="58">
        <f t="shared" si="5"/>
        <v>16000</v>
      </c>
      <c r="W44" s="52" t="s">
        <v>49</v>
      </c>
      <c r="X44" s="116" t="s">
        <v>4361</v>
      </c>
      <c r="Y44" s="116" t="s">
        <v>4362</v>
      </c>
      <c r="Z44" s="116" t="s">
        <v>4363</v>
      </c>
      <c r="AA44" s="52">
        <v>0</v>
      </c>
      <c r="AB44" s="52">
        <v>0</v>
      </c>
      <c r="AC44" s="52">
        <v>0</v>
      </c>
      <c r="AD44" s="21">
        <v>1</v>
      </c>
      <c r="AE44" s="55">
        <v>1</v>
      </c>
      <c r="AF44" s="315">
        <f t="shared" si="3"/>
        <v>16000</v>
      </c>
    </row>
    <row r="45" spans="1:32" s="55" customFormat="1" ht="135" x14ac:dyDescent="0.25">
      <c r="A45" s="86" t="s">
        <v>588</v>
      </c>
      <c r="B45" s="117" t="s">
        <v>2270</v>
      </c>
      <c r="C45" s="52"/>
      <c r="D45" s="52" t="s">
        <v>2278</v>
      </c>
      <c r="E45" s="22" t="str">
        <f t="shared" si="6"/>
        <v>SEJUSPPROG</v>
      </c>
      <c r="F45" s="116" t="s">
        <v>687</v>
      </c>
      <c r="G45" s="22" t="str">
        <f t="shared" si="2"/>
        <v>P705SEJUSP</v>
      </c>
      <c r="H45" s="116" t="s">
        <v>914</v>
      </c>
      <c r="I45" s="22" t="s">
        <v>16</v>
      </c>
      <c r="J45" s="116" t="s">
        <v>264</v>
      </c>
      <c r="K45" s="22" t="str">
        <f>VLOOKUP(CONCATENATE(A45,LEFT(J45,4)),AGRUPAMENTO!$D$2:$E$6783,2,FALSE)</f>
        <v>Obrigações tributárias</v>
      </c>
      <c r="L45" s="52" t="s">
        <v>44</v>
      </c>
      <c r="M45" s="52" t="str">
        <f t="shared" si="4"/>
        <v>FONTESEJUSP</v>
      </c>
      <c r="N45" s="52">
        <v>10</v>
      </c>
      <c r="O45" s="116" t="s">
        <v>2323</v>
      </c>
      <c r="P45" s="116" t="s">
        <v>3715</v>
      </c>
      <c r="Q45" s="117" t="s">
        <v>3750</v>
      </c>
      <c r="R45" s="116">
        <v>11</v>
      </c>
      <c r="S45" s="116" t="s">
        <v>3751</v>
      </c>
      <c r="T45" s="183">
        <v>92</v>
      </c>
      <c r="U45" s="184">
        <v>1</v>
      </c>
      <c r="V45" s="58">
        <f t="shared" si="5"/>
        <v>1012</v>
      </c>
      <c r="W45" s="52" t="s">
        <v>49</v>
      </c>
      <c r="X45" s="117" t="s">
        <v>4364</v>
      </c>
      <c r="Y45" s="116" t="s">
        <v>4354</v>
      </c>
      <c r="Z45" s="116" t="s">
        <v>4352</v>
      </c>
      <c r="AA45" s="52">
        <v>0</v>
      </c>
      <c r="AB45" s="52">
        <v>0</v>
      </c>
      <c r="AC45" s="52">
        <v>0</v>
      </c>
      <c r="AD45" s="21">
        <v>0.20034174244500716</v>
      </c>
      <c r="AE45" s="55">
        <v>0.20034174244500716</v>
      </c>
      <c r="AF45" s="315">
        <f t="shared" si="3"/>
        <v>202.74584335434724</v>
      </c>
    </row>
    <row r="46" spans="1:32" s="55" customFormat="1" ht="75" x14ac:dyDescent="0.25">
      <c r="A46" s="86" t="s">
        <v>588</v>
      </c>
      <c r="B46" s="117" t="s">
        <v>2270</v>
      </c>
      <c r="C46" s="52"/>
      <c r="D46" s="52" t="s">
        <v>2278</v>
      </c>
      <c r="E46" s="22" t="str">
        <f t="shared" si="6"/>
        <v>SEJUSPPROG</v>
      </c>
      <c r="F46" s="122" t="s">
        <v>886</v>
      </c>
      <c r="G46" s="22" t="str">
        <f t="shared" si="2"/>
        <v>P146SEJUSP</v>
      </c>
      <c r="H46" s="52" t="s">
        <v>1424</v>
      </c>
      <c r="I46" s="22" t="s">
        <v>16</v>
      </c>
      <c r="J46" s="52" t="s">
        <v>1693</v>
      </c>
      <c r="K46" s="22" t="str">
        <f>VLOOKUP(CONCATENATE(A46,LEFT(J46,4)),AGRUPAMENTO!$D$2:$E$6783,2,FALSE)</f>
        <v>Terceirizados - Demais empresas</v>
      </c>
      <c r="L46" s="52" t="s">
        <v>44</v>
      </c>
      <c r="M46" s="52" t="str">
        <f t="shared" si="4"/>
        <v>FONTESEJUSP</v>
      </c>
      <c r="N46" s="52">
        <v>10</v>
      </c>
      <c r="O46" s="52" t="s">
        <v>46</v>
      </c>
      <c r="P46" s="52" t="s">
        <v>46</v>
      </c>
      <c r="Q46" s="52" t="s">
        <v>3734</v>
      </c>
      <c r="R46" s="52">
        <v>1</v>
      </c>
      <c r="S46" s="182" t="s">
        <v>3735</v>
      </c>
      <c r="T46" s="88">
        <v>4290</v>
      </c>
      <c r="U46" s="53">
        <v>12</v>
      </c>
      <c r="V46" s="58">
        <f t="shared" si="5"/>
        <v>51480</v>
      </c>
      <c r="W46" s="52" t="s">
        <v>49</v>
      </c>
      <c r="X46" s="52" t="s">
        <v>4343</v>
      </c>
      <c r="Y46" s="52" t="s">
        <v>4344</v>
      </c>
      <c r="Z46" s="52" t="s">
        <v>4345</v>
      </c>
      <c r="AA46" s="52">
        <v>0</v>
      </c>
      <c r="AB46" s="52">
        <v>0</v>
      </c>
      <c r="AC46" s="52">
        <v>0</v>
      </c>
      <c r="AD46" s="21">
        <v>0.35233925183244275</v>
      </c>
      <c r="AE46" s="55">
        <v>0.35233925183244275</v>
      </c>
      <c r="AF46" s="315">
        <f t="shared" si="3"/>
        <v>18138.424684334153</v>
      </c>
    </row>
    <row r="47" spans="1:32" s="55" customFormat="1" ht="75" x14ac:dyDescent="0.25">
      <c r="A47" s="86" t="s">
        <v>588</v>
      </c>
      <c r="B47" s="117" t="s">
        <v>2270</v>
      </c>
      <c r="C47" s="52"/>
      <c r="D47" s="52" t="s">
        <v>2278</v>
      </c>
      <c r="E47" s="22" t="str">
        <f t="shared" si="6"/>
        <v>SEJUSPPROG</v>
      </c>
      <c r="F47" s="116" t="s">
        <v>687</v>
      </c>
      <c r="G47" s="22" t="str">
        <f t="shared" si="2"/>
        <v>P705SEJUSP</v>
      </c>
      <c r="H47" s="52" t="s">
        <v>914</v>
      </c>
      <c r="I47" s="22" t="s">
        <v>16</v>
      </c>
      <c r="J47" s="52" t="s">
        <v>1693</v>
      </c>
      <c r="K47" s="22" t="str">
        <f>VLOOKUP(CONCATENATE(A47,LEFT(J47,4)),AGRUPAMENTO!$D$2:$E$6783,2,FALSE)</f>
        <v>Terceirizados - Demais empresas</v>
      </c>
      <c r="L47" s="52" t="s">
        <v>44</v>
      </c>
      <c r="M47" s="52" t="str">
        <f t="shared" si="4"/>
        <v>FONTESEJUSP</v>
      </c>
      <c r="N47" s="52">
        <v>10</v>
      </c>
      <c r="O47" s="52" t="s">
        <v>46</v>
      </c>
      <c r="P47" s="52" t="s">
        <v>46</v>
      </c>
      <c r="Q47" s="52" t="s">
        <v>3734</v>
      </c>
      <c r="R47" s="52">
        <v>4</v>
      </c>
      <c r="S47" s="182" t="s">
        <v>3735</v>
      </c>
      <c r="T47" s="88">
        <v>4290</v>
      </c>
      <c r="U47" s="53">
        <v>12</v>
      </c>
      <c r="V47" s="58">
        <f t="shared" si="5"/>
        <v>205920</v>
      </c>
      <c r="W47" s="52" t="s">
        <v>49</v>
      </c>
      <c r="X47" s="52" t="s">
        <v>4343</v>
      </c>
      <c r="Y47" s="52" t="s">
        <v>4344</v>
      </c>
      <c r="Z47" s="52" t="s">
        <v>4345</v>
      </c>
      <c r="AA47" s="52">
        <v>0</v>
      </c>
      <c r="AB47" s="52">
        <v>0</v>
      </c>
      <c r="AC47" s="52">
        <v>0</v>
      </c>
      <c r="AD47" s="21">
        <v>0.35233925183244275</v>
      </c>
      <c r="AE47" s="55">
        <v>0.35233925183244275</v>
      </c>
      <c r="AF47" s="315">
        <f t="shared" si="3"/>
        <v>72553.698737336614</v>
      </c>
    </row>
    <row r="48" spans="1:32" s="55" customFormat="1" ht="255" x14ac:dyDescent="0.25">
      <c r="A48" s="86" t="s">
        <v>588</v>
      </c>
      <c r="B48" s="117" t="s">
        <v>2270</v>
      </c>
      <c r="C48" s="52"/>
      <c r="D48" s="52" t="s">
        <v>2279</v>
      </c>
      <c r="E48" s="22" t="str">
        <f t="shared" si="6"/>
        <v>SEJUSPPROG</v>
      </c>
      <c r="F48" s="52" t="s">
        <v>729</v>
      </c>
      <c r="G48" s="22" t="str">
        <f t="shared" si="2"/>
        <v>P130SEJUSP</v>
      </c>
      <c r="H48" s="52" t="s">
        <v>1259</v>
      </c>
      <c r="I48" s="22" t="s">
        <v>16</v>
      </c>
      <c r="J48" s="52" t="s">
        <v>1634</v>
      </c>
      <c r="K48" s="22" t="str">
        <f>VLOOKUP(CONCATENATE(A48,LEFT(J48,4)),AGRUPAMENTO!$D$2:$E$6783,2,FALSE)</f>
        <v>Alimentação</v>
      </c>
      <c r="L48" s="52" t="s">
        <v>44</v>
      </c>
      <c r="M48" s="52" t="str">
        <f t="shared" si="4"/>
        <v>FONTESEJUSP</v>
      </c>
      <c r="N48" s="52">
        <v>10</v>
      </c>
      <c r="O48" s="52" t="s">
        <v>2324</v>
      </c>
      <c r="P48" s="52" t="s">
        <v>46</v>
      </c>
      <c r="Q48" s="52" t="s">
        <v>3752</v>
      </c>
      <c r="R48" s="185">
        <v>2517.7658029809768</v>
      </c>
      <c r="S48" s="52" t="s">
        <v>3753</v>
      </c>
      <c r="T48" s="186">
        <v>20.4558</v>
      </c>
      <c r="U48" s="53">
        <v>12</v>
      </c>
      <c r="V48" s="58">
        <f t="shared" si="5"/>
        <v>618034.96455141914</v>
      </c>
      <c r="W48" s="52" t="s">
        <v>49</v>
      </c>
      <c r="X48" s="52" t="s">
        <v>4365</v>
      </c>
      <c r="Y48" s="52" t="s">
        <v>4366</v>
      </c>
      <c r="Z48" s="52" t="s">
        <v>4367</v>
      </c>
      <c r="AA48" s="52">
        <v>0</v>
      </c>
      <c r="AB48" s="52">
        <v>0</v>
      </c>
      <c r="AC48" s="52">
        <v>0</v>
      </c>
      <c r="AD48" s="21">
        <v>0.8985711123657989</v>
      </c>
      <c r="AE48" s="55">
        <v>0.8985711123657989</v>
      </c>
      <c r="AF48" s="315">
        <f t="shared" si="3"/>
        <v>555348.36557792581</v>
      </c>
    </row>
    <row r="49" spans="1:32" s="55" customFormat="1" ht="255" x14ac:dyDescent="0.25">
      <c r="A49" s="86" t="s">
        <v>588</v>
      </c>
      <c r="B49" s="117" t="s">
        <v>2270</v>
      </c>
      <c r="C49" s="52"/>
      <c r="D49" s="52" t="s">
        <v>2279</v>
      </c>
      <c r="E49" s="22" t="str">
        <f t="shared" si="6"/>
        <v>SEJUSPPROG</v>
      </c>
      <c r="F49" s="52" t="s">
        <v>729</v>
      </c>
      <c r="G49" s="22" t="str">
        <f t="shared" si="2"/>
        <v>P130SEJUSP</v>
      </c>
      <c r="H49" s="52" t="s">
        <v>1259</v>
      </c>
      <c r="I49" s="22" t="s">
        <v>16</v>
      </c>
      <c r="J49" s="52" t="s">
        <v>1634</v>
      </c>
      <c r="K49" s="22" t="str">
        <f>VLOOKUP(CONCATENATE(A49,LEFT(J49,4)),AGRUPAMENTO!$D$2:$E$6783,2,FALSE)</f>
        <v>Alimentação</v>
      </c>
      <c r="L49" s="52" t="s">
        <v>44</v>
      </c>
      <c r="M49" s="52" t="str">
        <f t="shared" si="4"/>
        <v>FONTESEJUSP</v>
      </c>
      <c r="N49" s="52">
        <v>10</v>
      </c>
      <c r="O49" s="52" t="s">
        <v>2325</v>
      </c>
      <c r="P49" s="52" t="s">
        <v>46</v>
      </c>
      <c r="Q49" s="52" t="s">
        <v>3752</v>
      </c>
      <c r="R49" s="185">
        <v>734.06949963451495</v>
      </c>
      <c r="S49" s="52" t="s">
        <v>3753</v>
      </c>
      <c r="T49" s="186">
        <v>32.249299999999998</v>
      </c>
      <c r="U49" s="53">
        <v>12</v>
      </c>
      <c r="V49" s="58">
        <f t="shared" si="5"/>
        <v>284078.73017476033</v>
      </c>
      <c r="W49" s="52" t="s">
        <v>49</v>
      </c>
      <c r="X49" s="52" t="s">
        <v>4365</v>
      </c>
      <c r="Y49" s="52" t="s">
        <v>4366</v>
      </c>
      <c r="Z49" s="52" t="s">
        <v>4367</v>
      </c>
      <c r="AA49" s="52">
        <v>0</v>
      </c>
      <c r="AB49" s="52">
        <v>0</v>
      </c>
      <c r="AC49" s="52">
        <v>0</v>
      </c>
      <c r="AD49" s="21">
        <v>0.8985711123657989</v>
      </c>
      <c r="AE49" s="55">
        <v>0.8985711123657989</v>
      </c>
      <c r="AF49" s="315">
        <f t="shared" si="3"/>
        <v>255264.94057259805</v>
      </c>
    </row>
    <row r="50" spans="1:32" s="55" customFormat="1" ht="255" x14ac:dyDescent="0.25">
      <c r="A50" s="86" t="s">
        <v>588</v>
      </c>
      <c r="B50" s="117" t="s">
        <v>2270</v>
      </c>
      <c r="C50" s="52"/>
      <c r="D50" s="52" t="s">
        <v>2279</v>
      </c>
      <c r="E50" s="22" t="str">
        <f t="shared" si="6"/>
        <v>SEJUSPPROG</v>
      </c>
      <c r="F50" s="52" t="s">
        <v>729</v>
      </c>
      <c r="G50" s="22" t="str">
        <f t="shared" si="2"/>
        <v>P130SEJUSP</v>
      </c>
      <c r="H50" s="52" t="s">
        <v>1259</v>
      </c>
      <c r="I50" s="22" t="s">
        <v>16</v>
      </c>
      <c r="J50" s="52" t="s">
        <v>1634</v>
      </c>
      <c r="K50" s="22" t="str">
        <f>VLOOKUP(CONCATENATE(A50,LEFT(J50,4)),AGRUPAMENTO!$D$2:$E$6783,2,FALSE)</f>
        <v>Alimentação</v>
      </c>
      <c r="L50" s="52" t="s">
        <v>44</v>
      </c>
      <c r="M50" s="52" t="str">
        <f t="shared" si="4"/>
        <v>FONTESEJUSP</v>
      </c>
      <c r="N50" s="52">
        <v>10</v>
      </c>
      <c r="O50" s="52" t="s">
        <v>2326</v>
      </c>
      <c r="P50" s="52" t="s">
        <v>46</v>
      </c>
      <c r="Q50" s="52" t="s">
        <v>3752</v>
      </c>
      <c r="R50" s="185">
        <v>5728.629285745119</v>
      </c>
      <c r="S50" s="52" t="s">
        <v>3753</v>
      </c>
      <c r="T50" s="186">
        <v>25.883900000000001</v>
      </c>
      <c r="U50" s="53">
        <v>12</v>
      </c>
      <c r="V50" s="58">
        <f t="shared" si="5"/>
        <v>1779351.2108315772</v>
      </c>
      <c r="W50" s="52" t="s">
        <v>49</v>
      </c>
      <c r="X50" s="52" t="s">
        <v>4365</v>
      </c>
      <c r="Y50" s="52" t="s">
        <v>4366</v>
      </c>
      <c r="Z50" s="52" t="s">
        <v>4367</v>
      </c>
      <c r="AA50" s="52">
        <v>0</v>
      </c>
      <c r="AB50" s="52">
        <v>0</v>
      </c>
      <c r="AC50" s="52">
        <v>0</v>
      </c>
      <c r="AD50" s="21">
        <v>0.8985711123657989</v>
      </c>
      <c r="AE50" s="55">
        <v>0.8985711123657989</v>
      </c>
      <c r="AF50" s="315">
        <f t="shared" si="3"/>
        <v>1598873.5968063616</v>
      </c>
    </row>
    <row r="51" spans="1:32" s="55" customFormat="1" ht="135" x14ac:dyDescent="0.25">
      <c r="A51" s="86" t="s">
        <v>588</v>
      </c>
      <c r="B51" s="117" t="s">
        <v>2270</v>
      </c>
      <c r="C51" s="52"/>
      <c r="D51" s="52" t="s">
        <v>2279</v>
      </c>
      <c r="E51" s="22" t="str">
        <f t="shared" si="6"/>
        <v>SEJUSPPROG</v>
      </c>
      <c r="F51" s="122" t="s">
        <v>886</v>
      </c>
      <c r="G51" s="22" t="str">
        <f t="shared" si="2"/>
        <v>P146SEJUSP</v>
      </c>
      <c r="H51" s="52" t="s">
        <v>1424</v>
      </c>
      <c r="I51" s="22" t="s">
        <v>16</v>
      </c>
      <c r="J51" s="52" t="s">
        <v>1634</v>
      </c>
      <c r="K51" s="22" t="str">
        <f>VLOOKUP(CONCATENATE(A51,LEFT(J51,4)),AGRUPAMENTO!$D$2:$E$6783,2,FALSE)</f>
        <v>Alimentação</v>
      </c>
      <c r="L51" s="52" t="s">
        <v>44</v>
      </c>
      <c r="M51" s="52" t="str">
        <f t="shared" si="4"/>
        <v>FONTESEJUSP</v>
      </c>
      <c r="N51" s="52">
        <v>10</v>
      </c>
      <c r="O51" s="52" t="s">
        <v>2327</v>
      </c>
      <c r="P51" s="52" t="s">
        <v>46</v>
      </c>
      <c r="Q51" s="52" t="s">
        <v>3754</v>
      </c>
      <c r="R51" s="52">
        <v>366.25</v>
      </c>
      <c r="S51" s="52" t="s">
        <v>3753</v>
      </c>
      <c r="T51" s="186">
        <v>47.194600000000001</v>
      </c>
      <c r="U51" s="53">
        <v>12</v>
      </c>
      <c r="V51" s="58">
        <f t="shared" si="5"/>
        <v>207420.26700000002</v>
      </c>
      <c r="W51" s="52" t="s">
        <v>49</v>
      </c>
      <c r="X51" s="52" t="s">
        <v>4368</v>
      </c>
      <c r="Y51" s="52" t="s">
        <v>4368</v>
      </c>
      <c r="Z51" s="52" t="s">
        <v>4369</v>
      </c>
      <c r="AA51" s="52">
        <v>0</v>
      </c>
      <c r="AB51" s="52">
        <v>0</v>
      </c>
      <c r="AC51" s="52">
        <v>0</v>
      </c>
      <c r="AD51" s="21">
        <v>0.8985711123657989</v>
      </c>
      <c r="AE51" s="55">
        <v>0.8985711123657989</v>
      </c>
      <c r="AF51" s="315">
        <f t="shared" si="3"/>
        <v>186381.86004540103</v>
      </c>
    </row>
    <row r="52" spans="1:32" s="55" customFormat="1" ht="135" x14ac:dyDescent="0.25">
      <c r="A52" s="86" t="s">
        <v>588</v>
      </c>
      <c r="B52" s="117" t="s">
        <v>2270</v>
      </c>
      <c r="C52" s="52"/>
      <c r="D52" s="52" t="s">
        <v>2279</v>
      </c>
      <c r="E52" s="22" t="str">
        <f t="shared" si="6"/>
        <v>SEJUSPPROG</v>
      </c>
      <c r="F52" s="122" t="s">
        <v>886</v>
      </c>
      <c r="G52" s="22" t="str">
        <f t="shared" si="2"/>
        <v>P146SEJUSP</v>
      </c>
      <c r="H52" s="52" t="s">
        <v>1424</v>
      </c>
      <c r="I52" s="22" t="s">
        <v>16</v>
      </c>
      <c r="J52" s="52" t="s">
        <v>1634</v>
      </c>
      <c r="K52" s="22" t="str">
        <f>VLOOKUP(CONCATENATE(A52,LEFT(J52,4)),AGRUPAMENTO!$D$2:$E$6783,2,FALSE)</f>
        <v>Alimentação</v>
      </c>
      <c r="L52" s="52" t="s">
        <v>44</v>
      </c>
      <c r="M52" s="52" t="str">
        <f t="shared" si="4"/>
        <v>FONTESEJUSP</v>
      </c>
      <c r="N52" s="52">
        <v>10</v>
      </c>
      <c r="O52" s="52" t="s">
        <v>2328</v>
      </c>
      <c r="P52" s="52" t="s">
        <v>46</v>
      </c>
      <c r="Q52" s="52" t="s">
        <v>3754</v>
      </c>
      <c r="R52" s="52">
        <v>617.07769532955047</v>
      </c>
      <c r="S52" s="52" t="s">
        <v>3753</v>
      </c>
      <c r="T52" s="186">
        <v>47.194600000000001</v>
      </c>
      <c r="U52" s="53">
        <v>12</v>
      </c>
      <c r="V52" s="58">
        <f t="shared" si="5"/>
        <v>349472.82000000007</v>
      </c>
      <c r="W52" s="52" t="s">
        <v>49</v>
      </c>
      <c r="X52" s="52" t="s">
        <v>4368</v>
      </c>
      <c r="Y52" s="52" t="s">
        <v>4368</v>
      </c>
      <c r="Z52" s="52" t="s">
        <v>4369</v>
      </c>
      <c r="AA52" s="52">
        <v>0</v>
      </c>
      <c r="AB52" s="52">
        <v>0</v>
      </c>
      <c r="AC52" s="52">
        <v>0</v>
      </c>
      <c r="AD52" s="21">
        <v>0.8985711123657989</v>
      </c>
      <c r="AE52" s="55">
        <v>0.8985711123657989</v>
      </c>
      <c r="AF52" s="315">
        <f t="shared" si="3"/>
        <v>314026.18060901266</v>
      </c>
    </row>
    <row r="53" spans="1:32" s="55" customFormat="1" ht="135" x14ac:dyDescent="0.25">
      <c r="A53" s="86" t="s">
        <v>588</v>
      </c>
      <c r="B53" s="117" t="s">
        <v>2270</v>
      </c>
      <c r="C53" s="52"/>
      <c r="D53" s="52" t="s">
        <v>2279</v>
      </c>
      <c r="E53" s="22" t="str">
        <f t="shared" si="6"/>
        <v>SEJUSPPROG</v>
      </c>
      <c r="F53" s="122" t="s">
        <v>886</v>
      </c>
      <c r="G53" s="22" t="str">
        <f t="shared" si="2"/>
        <v>P146SEJUSP</v>
      </c>
      <c r="H53" s="52" t="s">
        <v>1424</v>
      </c>
      <c r="I53" s="22" t="s">
        <v>16</v>
      </c>
      <c r="J53" s="52" t="s">
        <v>1634</v>
      </c>
      <c r="K53" s="22" t="str">
        <f>VLOOKUP(CONCATENATE(A53,LEFT(J53,4)),AGRUPAMENTO!$D$2:$E$6783,2,FALSE)</f>
        <v>Alimentação</v>
      </c>
      <c r="L53" s="52" t="s">
        <v>44</v>
      </c>
      <c r="M53" s="52" t="str">
        <f t="shared" si="4"/>
        <v>FONTESEJUSP</v>
      </c>
      <c r="N53" s="52">
        <v>10</v>
      </c>
      <c r="O53" s="52" t="s">
        <v>2329</v>
      </c>
      <c r="P53" s="52" t="s">
        <v>46</v>
      </c>
      <c r="Q53" s="52" t="s">
        <v>3754</v>
      </c>
      <c r="R53" s="52">
        <v>1164.1212012012008</v>
      </c>
      <c r="S53" s="52" t="s">
        <v>3753</v>
      </c>
      <c r="T53" s="186">
        <v>28.5825</v>
      </c>
      <c r="U53" s="53">
        <v>12</v>
      </c>
      <c r="V53" s="58">
        <f t="shared" si="5"/>
        <v>399281.93079999986</v>
      </c>
      <c r="W53" s="52" t="s">
        <v>49</v>
      </c>
      <c r="X53" s="52" t="s">
        <v>4368</v>
      </c>
      <c r="Y53" s="52" t="s">
        <v>4368</v>
      </c>
      <c r="Z53" s="52" t="s">
        <v>4369</v>
      </c>
      <c r="AA53" s="52">
        <v>0</v>
      </c>
      <c r="AB53" s="52">
        <v>0</v>
      </c>
      <c r="AC53" s="52">
        <v>0</v>
      </c>
      <c r="AD53" s="21">
        <v>0.8985711123657989</v>
      </c>
      <c r="AE53" s="55">
        <v>0.8985711123657989</v>
      </c>
      <c r="AF53" s="315">
        <f t="shared" si="3"/>
        <v>358783.2087065198</v>
      </c>
    </row>
    <row r="54" spans="1:32" s="55" customFormat="1" ht="135" x14ac:dyDescent="0.25">
      <c r="A54" s="86" t="s">
        <v>588</v>
      </c>
      <c r="B54" s="117" t="s">
        <v>2270</v>
      </c>
      <c r="C54" s="52"/>
      <c r="D54" s="52" t="s">
        <v>2279</v>
      </c>
      <c r="E54" s="22" t="str">
        <f t="shared" si="6"/>
        <v>SEJUSPPROG</v>
      </c>
      <c r="F54" s="122" t="s">
        <v>886</v>
      </c>
      <c r="G54" s="22" t="str">
        <f t="shared" si="2"/>
        <v>P146SEJUSP</v>
      </c>
      <c r="H54" s="52" t="s">
        <v>1424</v>
      </c>
      <c r="I54" s="22" t="s">
        <v>16</v>
      </c>
      <c r="J54" s="52" t="s">
        <v>1634</v>
      </c>
      <c r="K54" s="22" t="str">
        <f>VLOOKUP(CONCATENATE(A54,LEFT(J54,4)),AGRUPAMENTO!$D$2:$E$6783,2,FALSE)</f>
        <v>Alimentação</v>
      </c>
      <c r="L54" s="52" t="s">
        <v>44</v>
      </c>
      <c r="M54" s="52" t="str">
        <f t="shared" si="4"/>
        <v>FONTESEJUSP</v>
      </c>
      <c r="N54" s="52">
        <v>10</v>
      </c>
      <c r="O54" s="52" t="s">
        <v>2330</v>
      </c>
      <c r="P54" s="52" t="s">
        <v>46</v>
      </c>
      <c r="Q54" s="52" t="s">
        <v>3754</v>
      </c>
      <c r="R54" s="52">
        <v>1174.8680707114797</v>
      </c>
      <c r="S54" s="52" t="s">
        <v>3753</v>
      </c>
      <c r="T54" s="186">
        <v>47.194600000000001</v>
      </c>
      <c r="U54" s="53">
        <v>12</v>
      </c>
      <c r="V54" s="58">
        <f t="shared" si="5"/>
        <v>665369.14379999996</v>
      </c>
      <c r="W54" s="52" t="s">
        <v>49</v>
      </c>
      <c r="X54" s="52" t="s">
        <v>4368</v>
      </c>
      <c r="Y54" s="52" t="s">
        <v>4368</v>
      </c>
      <c r="Z54" s="52" t="s">
        <v>4369</v>
      </c>
      <c r="AA54" s="52">
        <v>0</v>
      </c>
      <c r="AB54" s="52">
        <v>0</v>
      </c>
      <c r="AC54" s="52">
        <v>0</v>
      </c>
      <c r="AD54" s="21">
        <v>0.8985711123657989</v>
      </c>
      <c r="AE54" s="55">
        <v>0.8985711123657989</v>
      </c>
      <c r="AF54" s="315">
        <f t="shared" si="3"/>
        <v>597881.49167824513</v>
      </c>
    </row>
    <row r="55" spans="1:32" s="55" customFormat="1" ht="135" x14ac:dyDescent="0.25">
      <c r="A55" s="86" t="s">
        <v>588</v>
      </c>
      <c r="B55" s="117" t="s">
        <v>2270</v>
      </c>
      <c r="C55" s="52"/>
      <c r="D55" s="52" t="s">
        <v>2279</v>
      </c>
      <c r="E55" s="22" t="str">
        <f t="shared" si="6"/>
        <v>SEJUSPPROG</v>
      </c>
      <c r="F55" s="122" t="s">
        <v>886</v>
      </c>
      <c r="G55" s="22" t="str">
        <f t="shared" si="2"/>
        <v>P146SEJUSP</v>
      </c>
      <c r="H55" s="52" t="s">
        <v>1424</v>
      </c>
      <c r="I55" s="22" t="s">
        <v>16</v>
      </c>
      <c r="J55" s="52" t="s">
        <v>1634</v>
      </c>
      <c r="K55" s="22" t="str">
        <f>VLOOKUP(CONCATENATE(A55,LEFT(J55,4)),AGRUPAMENTO!$D$2:$E$6783,2,FALSE)</f>
        <v>Alimentação</v>
      </c>
      <c r="L55" s="52" t="s">
        <v>44</v>
      </c>
      <c r="M55" s="52" t="str">
        <f t="shared" si="4"/>
        <v>FONTESEJUSP</v>
      </c>
      <c r="N55" s="52">
        <v>10</v>
      </c>
      <c r="O55" s="52" t="s">
        <v>2331</v>
      </c>
      <c r="P55" s="52" t="s">
        <v>46</v>
      </c>
      <c r="Q55" s="52" t="s">
        <v>3754</v>
      </c>
      <c r="R55" s="52">
        <v>1574.9897832467823</v>
      </c>
      <c r="S55" s="52" t="s">
        <v>3753</v>
      </c>
      <c r="T55" s="186">
        <v>45.618700000000011</v>
      </c>
      <c r="U55" s="53">
        <v>12</v>
      </c>
      <c r="V55" s="58">
        <f t="shared" si="5"/>
        <v>862187.83710000012</v>
      </c>
      <c r="W55" s="52" t="s">
        <v>49</v>
      </c>
      <c r="X55" s="52" t="s">
        <v>4368</v>
      </c>
      <c r="Y55" s="52" t="s">
        <v>4368</v>
      </c>
      <c r="Z55" s="52" t="s">
        <v>4369</v>
      </c>
      <c r="AA55" s="52">
        <v>0</v>
      </c>
      <c r="AB55" s="52">
        <v>0</v>
      </c>
      <c r="AC55" s="52">
        <v>0</v>
      </c>
      <c r="AD55" s="21">
        <v>0.8985711123657989</v>
      </c>
      <c r="AE55" s="55">
        <v>0.8985711123657989</v>
      </c>
      <c r="AF55" s="315">
        <f t="shared" si="3"/>
        <v>774737.08385120938</v>
      </c>
    </row>
    <row r="56" spans="1:32" s="55" customFormat="1" ht="135" x14ac:dyDescent="0.25">
      <c r="A56" s="86" t="s">
        <v>588</v>
      </c>
      <c r="B56" s="117" t="s">
        <v>2270</v>
      </c>
      <c r="C56" s="52"/>
      <c r="D56" s="52" t="s">
        <v>2279</v>
      </c>
      <c r="E56" s="22" t="str">
        <f t="shared" si="6"/>
        <v>SEJUSPPROG</v>
      </c>
      <c r="F56" s="122" t="s">
        <v>886</v>
      </c>
      <c r="G56" s="22" t="str">
        <f t="shared" si="2"/>
        <v>P146SEJUSP</v>
      </c>
      <c r="H56" s="52" t="s">
        <v>1424</v>
      </c>
      <c r="I56" s="22" t="s">
        <v>16</v>
      </c>
      <c r="J56" s="52" t="s">
        <v>1634</v>
      </c>
      <c r="K56" s="22" t="str">
        <f>VLOOKUP(CONCATENATE(A56,LEFT(J56,4)),AGRUPAMENTO!$D$2:$E$6783,2,FALSE)</f>
        <v>Alimentação</v>
      </c>
      <c r="L56" s="52" t="s">
        <v>44</v>
      </c>
      <c r="M56" s="52" t="str">
        <f t="shared" si="4"/>
        <v>FONTESEJUSP</v>
      </c>
      <c r="N56" s="52">
        <v>10</v>
      </c>
      <c r="O56" s="52" t="s">
        <v>2332</v>
      </c>
      <c r="P56" s="52" t="s">
        <v>46</v>
      </c>
      <c r="Q56" s="52" t="s">
        <v>3754</v>
      </c>
      <c r="R56" s="52">
        <v>728.01774912448263</v>
      </c>
      <c r="S56" s="52" t="s">
        <v>3753</v>
      </c>
      <c r="T56" s="186">
        <v>64.704599999999999</v>
      </c>
      <c r="U56" s="53">
        <v>12</v>
      </c>
      <c r="V56" s="58">
        <f t="shared" si="5"/>
        <v>565273.16700000002</v>
      </c>
      <c r="W56" s="52" t="s">
        <v>49</v>
      </c>
      <c r="X56" s="52" t="s">
        <v>4368</v>
      </c>
      <c r="Y56" s="52" t="s">
        <v>4368</v>
      </c>
      <c r="Z56" s="52" t="s">
        <v>4369</v>
      </c>
      <c r="AA56" s="52">
        <v>0</v>
      </c>
      <c r="AB56" s="52">
        <v>0</v>
      </c>
      <c r="AC56" s="52">
        <v>0</v>
      </c>
      <c r="AD56" s="21">
        <v>0.8985711123657989</v>
      </c>
      <c r="AE56" s="55">
        <v>0.8985711123657989</v>
      </c>
      <c r="AF56" s="315">
        <f t="shared" si="3"/>
        <v>507938.138461728</v>
      </c>
    </row>
    <row r="57" spans="1:32" s="55" customFormat="1" ht="135" x14ac:dyDescent="0.25">
      <c r="A57" s="86" t="s">
        <v>588</v>
      </c>
      <c r="B57" s="117" t="s">
        <v>2270</v>
      </c>
      <c r="C57" s="52"/>
      <c r="D57" s="52" t="s">
        <v>2279</v>
      </c>
      <c r="E57" s="22" t="str">
        <f t="shared" si="6"/>
        <v>SEJUSPPROG</v>
      </c>
      <c r="F57" s="122" t="s">
        <v>886</v>
      </c>
      <c r="G57" s="22" t="str">
        <f t="shared" si="2"/>
        <v>P146SEJUSP</v>
      </c>
      <c r="H57" s="52" t="s">
        <v>1424</v>
      </c>
      <c r="I57" s="22" t="s">
        <v>16</v>
      </c>
      <c r="J57" s="52" t="s">
        <v>1634</v>
      </c>
      <c r="K57" s="22" t="str">
        <f>VLOOKUP(CONCATENATE(A57,LEFT(J57,4)),AGRUPAMENTO!$D$2:$E$6783,2,FALSE)</f>
        <v>Alimentação</v>
      </c>
      <c r="L57" s="52" t="s">
        <v>44</v>
      </c>
      <c r="M57" s="52" t="str">
        <f t="shared" si="4"/>
        <v>FONTESEJUSP</v>
      </c>
      <c r="N57" s="52">
        <v>10</v>
      </c>
      <c r="O57" s="52" t="s">
        <v>2333</v>
      </c>
      <c r="P57" s="52" t="s">
        <v>46</v>
      </c>
      <c r="Q57" s="52" t="s">
        <v>3754</v>
      </c>
      <c r="R57" s="52">
        <v>1135.2204122340424</v>
      </c>
      <c r="S57" s="52" t="s">
        <v>3753</v>
      </c>
      <c r="T57" s="186">
        <v>46.473599999999998</v>
      </c>
      <c r="U57" s="53">
        <v>12</v>
      </c>
      <c r="V57" s="58">
        <f t="shared" si="5"/>
        <v>633093.35219999985</v>
      </c>
      <c r="W57" s="52" t="s">
        <v>49</v>
      </c>
      <c r="X57" s="52" t="s">
        <v>4368</v>
      </c>
      <c r="Y57" s="52" t="s">
        <v>4368</v>
      </c>
      <c r="Z57" s="52" t="s">
        <v>4369</v>
      </c>
      <c r="AA57" s="52">
        <v>0</v>
      </c>
      <c r="AB57" s="52">
        <v>0</v>
      </c>
      <c r="AC57" s="52">
        <v>0</v>
      </c>
      <c r="AD57" s="21">
        <v>0.8985711123657989</v>
      </c>
      <c r="AE57" s="55">
        <v>0.8985711123657989</v>
      </c>
      <c r="AF57" s="315">
        <f t="shared" si="3"/>
        <v>568879.39771774632</v>
      </c>
    </row>
    <row r="58" spans="1:32" s="55" customFormat="1" ht="135" x14ac:dyDescent="0.25">
      <c r="A58" s="86" t="s">
        <v>588</v>
      </c>
      <c r="B58" s="117" t="s">
        <v>2270</v>
      </c>
      <c r="C58" s="52"/>
      <c r="D58" s="52" t="s">
        <v>2279</v>
      </c>
      <c r="E58" s="22" t="str">
        <f t="shared" si="6"/>
        <v>SEJUSPPROG</v>
      </c>
      <c r="F58" s="122" t="s">
        <v>886</v>
      </c>
      <c r="G58" s="22" t="str">
        <f t="shared" si="2"/>
        <v>P146SEJUSP</v>
      </c>
      <c r="H58" s="52" t="s">
        <v>1424</v>
      </c>
      <c r="I58" s="22" t="s">
        <v>16</v>
      </c>
      <c r="J58" s="52" t="s">
        <v>1634</v>
      </c>
      <c r="K58" s="22" t="str">
        <f>VLOOKUP(CONCATENATE(A58,LEFT(J58,4)),AGRUPAMENTO!$D$2:$E$6783,2,FALSE)</f>
        <v>Alimentação</v>
      </c>
      <c r="L58" s="52" t="s">
        <v>44</v>
      </c>
      <c r="M58" s="52" t="str">
        <f t="shared" si="4"/>
        <v>FONTESEJUSP</v>
      </c>
      <c r="N58" s="52">
        <v>10</v>
      </c>
      <c r="O58" s="52" t="s">
        <v>2334</v>
      </c>
      <c r="P58" s="52" t="s">
        <v>46</v>
      </c>
      <c r="Q58" s="52" t="s">
        <v>3754</v>
      </c>
      <c r="R58" s="52">
        <v>1727.5055220883532</v>
      </c>
      <c r="S58" s="52" t="s">
        <v>3753</v>
      </c>
      <c r="T58" s="186">
        <v>30.776400000000002</v>
      </c>
      <c r="U58" s="53">
        <v>12</v>
      </c>
      <c r="V58" s="58">
        <f t="shared" si="5"/>
        <v>637996.81140000001</v>
      </c>
      <c r="W58" s="52" t="s">
        <v>49</v>
      </c>
      <c r="X58" s="52" t="s">
        <v>4368</v>
      </c>
      <c r="Y58" s="52" t="s">
        <v>4368</v>
      </c>
      <c r="Z58" s="52" t="s">
        <v>4369</v>
      </c>
      <c r="AA58" s="52">
        <v>0</v>
      </c>
      <c r="AB58" s="52">
        <v>0</v>
      </c>
      <c r="AC58" s="52">
        <v>0</v>
      </c>
      <c r="AD58" s="21">
        <v>0.8985711123657989</v>
      </c>
      <c r="AE58" s="55">
        <v>0.8985711123657989</v>
      </c>
      <c r="AF58" s="315">
        <f t="shared" si="3"/>
        <v>573285.50450553081</v>
      </c>
    </row>
    <row r="59" spans="1:32" s="55" customFormat="1" ht="135" x14ac:dyDescent="0.25">
      <c r="A59" s="86" t="s">
        <v>588</v>
      </c>
      <c r="B59" s="117" t="s">
        <v>2270</v>
      </c>
      <c r="C59" s="52"/>
      <c r="D59" s="52" t="s">
        <v>2279</v>
      </c>
      <c r="E59" s="22" t="str">
        <f t="shared" si="6"/>
        <v>SEJUSPPROG</v>
      </c>
      <c r="F59" s="122" t="s">
        <v>886</v>
      </c>
      <c r="G59" s="22" t="str">
        <f t="shared" si="2"/>
        <v>P146SEJUSP</v>
      </c>
      <c r="H59" s="52" t="s">
        <v>1424</v>
      </c>
      <c r="I59" s="22" t="s">
        <v>16</v>
      </c>
      <c r="J59" s="52" t="s">
        <v>1634</v>
      </c>
      <c r="K59" s="22" t="str">
        <f>VLOOKUP(CONCATENATE(A59,LEFT(J59,4)),AGRUPAMENTO!$D$2:$E$6783,2,FALSE)</f>
        <v>Alimentação</v>
      </c>
      <c r="L59" s="52" t="s">
        <v>44</v>
      </c>
      <c r="M59" s="52" t="str">
        <f t="shared" si="4"/>
        <v>FONTESEJUSP</v>
      </c>
      <c r="N59" s="52">
        <v>10</v>
      </c>
      <c r="O59" s="52" t="s">
        <v>2335</v>
      </c>
      <c r="P59" s="52" t="s">
        <v>46</v>
      </c>
      <c r="Q59" s="52" t="s">
        <v>3754</v>
      </c>
      <c r="R59" s="52">
        <v>1177.5184029546613</v>
      </c>
      <c r="S59" s="52" t="s">
        <v>3753</v>
      </c>
      <c r="T59" s="186">
        <v>40.437799999999996</v>
      </c>
      <c r="U59" s="53">
        <v>12</v>
      </c>
      <c r="V59" s="58">
        <f t="shared" si="5"/>
        <v>571395.04410000006</v>
      </c>
      <c r="W59" s="52" t="s">
        <v>49</v>
      </c>
      <c r="X59" s="52" t="s">
        <v>4368</v>
      </c>
      <c r="Y59" s="52" t="s">
        <v>4368</v>
      </c>
      <c r="Z59" s="52" t="s">
        <v>4369</v>
      </c>
      <c r="AA59" s="52">
        <v>0</v>
      </c>
      <c r="AB59" s="52">
        <v>0</v>
      </c>
      <c r="AC59" s="52">
        <v>0</v>
      </c>
      <c r="AD59" s="21">
        <v>0.8985711123657989</v>
      </c>
      <c r="AE59" s="55">
        <v>0.8985711123657989</v>
      </c>
      <c r="AF59" s="315">
        <f t="shared" si="3"/>
        <v>513439.08037724177</v>
      </c>
    </row>
    <row r="60" spans="1:32" s="55" customFormat="1" ht="135" x14ac:dyDescent="0.25">
      <c r="A60" s="86" t="s">
        <v>588</v>
      </c>
      <c r="B60" s="117" t="s">
        <v>2270</v>
      </c>
      <c r="C60" s="52"/>
      <c r="D60" s="52" t="s">
        <v>2279</v>
      </c>
      <c r="E60" s="22" t="str">
        <f t="shared" si="6"/>
        <v>SEJUSPPROG</v>
      </c>
      <c r="F60" s="122" t="s">
        <v>886</v>
      </c>
      <c r="G60" s="22" t="str">
        <f t="shared" si="2"/>
        <v>P146SEJUSP</v>
      </c>
      <c r="H60" s="52" t="s">
        <v>1424</v>
      </c>
      <c r="I60" s="22" t="s">
        <v>16</v>
      </c>
      <c r="J60" s="52" t="s">
        <v>1634</v>
      </c>
      <c r="K60" s="22" t="str">
        <f>VLOOKUP(CONCATENATE(A60,LEFT(J60,4)),AGRUPAMENTO!$D$2:$E$6783,2,FALSE)</f>
        <v>Alimentação</v>
      </c>
      <c r="L60" s="52" t="s">
        <v>44</v>
      </c>
      <c r="M60" s="52" t="str">
        <f t="shared" si="4"/>
        <v>FONTESEJUSP</v>
      </c>
      <c r="N60" s="52">
        <v>10</v>
      </c>
      <c r="O60" s="52" t="s">
        <v>2336</v>
      </c>
      <c r="P60" s="52" t="s">
        <v>46</v>
      </c>
      <c r="Q60" s="52" t="s">
        <v>3754</v>
      </c>
      <c r="R60" s="52">
        <v>255.61565836298931</v>
      </c>
      <c r="S60" s="52" t="s">
        <v>3753</v>
      </c>
      <c r="T60" s="186">
        <v>153.39789999999999</v>
      </c>
      <c r="U60" s="53">
        <v>12</v>
      </c>
      <c r="V60" s="58">
        <f t="shared" si="5"/>
        <v>470530.86239999993</v>
      </c>
      <c r="W60" s="52" t="s">
        <v>49</v>
      </c>
      <c r="X60" s="52" t="s">
        <v>4368</v>
      </c>
      <c r="Y60" s="52" t="s">
        <v>4368</v>
      </c>
      <c r="Z60" s="52" t="s">
        <v>4369</v>
      </c>
      <c r="AA60" s="52">
        <v>0</v>
      </c>
      <c r="AB60" s="52">
        <v>0</v>
      </c>
      <c r="AC60" s="52">
        <v>0</v>
      </c>
      <c r="AD60" s="21">
        <v>0.8985711123657989</v>
      </c>
      <c r="AE60" s="55">
        <v>0.8985711123657989</v>
      </c>
      <c r="AF60" s="315">
        <f t="shared" si="3"/>
        <v>422805.44042920659</v>
      </c>
    </row>
    <row r="61" spans="1:32" s="55" customFormat="1" ht="135" x14ac:dyDescent="0.25">
      <c r="A61" s="86" t="s">
        <v>588</v>
      </c>
      <c r="B61" s="117" t="s">
        <v>2270</v>
      </c>
      <c r="C61" s="52"/>
      <c r="D61" s="52" t="s">
        <v>2279</v>
      </c>
      <c r="E61" s="22" t="str">
        <f t="shared" si="6"/>
        <v>SEJUSPPROG</v>
      </c>
      <c r="F61" s="122" t="s">
        <v>886</v>
      </c>
      <c r="G61" s="22" t="str">
        <f t="shared" si="2"/>
        <v>P146SEJUSP</v>
      </c>
      <c r="H61" s="52" t="s">
        <v>1424</v>
      </c>
      <c r="I61" s="22" t="s">
        <v>16</v>
      </c>
      <c r="J61" s="52" t="s">
        <v>1634</v>
      </c>
      <c r="K61" s="22" t="str">
        <f>VLOOKUP(CONCATENATE(A61,LEFT(J61,4)),AGRUPAMENTO!$D$2:$E$6783,2,FALSE)</f>
        <v>Alimentação</v>
      </c>
      <c r="L61" s="52" t="s">
        <v>44</v>
      </c>
      <c r="M61" s="52" t="str">
        <f t="shared" si="4"/>
        <v>FONTESEJUSP</v>
      </c>
      <c r="N61" s="52">
        <v>10</v>
      </c>
      <c r="O61" s="52" t="s">
        <v>2337</v>
      </c>
      <c r="P61" s="52" t="s">
        <v>46</v>
      </c>
      <c r="Q61" s="52" t="s">
        <v>3754</v>
      </c>
      <c r="R61" s="52">
        <v>812.7429876945348</v>
      </c>
      <c r="S61" s="52" t="s">
        <v>3753</v>
      </c>
      <c r="T61" s="186">
        <v>37.945200000000007</v>
      </c>
      <c r="U61" s="53">
        <v>12</v>
      </c>
      <c r="V61" s="58">
        <f t="shared" si="5"/>
        <v>370076.34259999997</v>
      </c>
      <c r="W61" s="52" t="s">
        <v>49</v>
      </c>
      <c r="X61" s="52" t="s">
        <v>4368</v>
      </c>
      <c r="Y61" s="52" t="s">
        <v>4368</v>
      </c>
      <c r="Z61" s="52" t="s">
        <v>4369</v>
      </c>
      <c r="AA61" s="52">
        <v>0</v>
      </c>
      <c r="AB61" s="52">
        <v>0</v>
      </c>
      <c r="AC61" s="52">
        <v>0</v>
      </c>
      <c r="AD61" s="21">
        <v>0.8985711123657989</v>
      </c>
      <c r="AE61" s="55">
        <v>0.8985711123657989</v>
      </c>
      <c r="AF61" s="315">
        <f t="shared" si="3"/>
        <v>332539.91083034844</v>
      </c>
    </row>
    <row r="62" spans="1:32" s="55" customFormat="1" ht="135" x14ac:dyDescent="0.25">
      <c r="A62" s="86" t="s">
        <v>588</v>
      </c>
      <c r="B62" s="117" t="s">
        <v>2270</v>
      </c>
      <c r="C62" s="52"/>
      <c r="D62" s="52" t="s">
        <v>2279</v>
      </c>
      <c r="E62" s="22" t="str">
        <f t="shared" si="6"/>
        <v>SEJUSPPROG</v>
      </c>
      <c r="F62" s="122" t="s">
        <v>886</v>
      </c>
      <c r="G62" s="22" t="str">
        <f t="shared" si="2"/>
        <v>P146SEJUSP</v>
      </c>
      <c r="H62" s="52" t="s">
        <v>1424</v>
      </c>
      <c r="I62" s="22" t="s">
        <v>16</v>
      </c>
      <c r="J62" s="52" t="s">
        <v>1634</v>
      </c>
      <c r="K62" s="22" t="str">
        <f>VLOOKUP(CONCATENATE(A62,LEFT(J62,4)),AGRUPAMENTO!$D$2:$E$6783,2,FALSE)</f>
        <v>Alimentação</v>
      </c>
      <c r="L62" s="52" t="s">
        <v>44</v>
      </c>
      <c r="M62" s="52" t="str">
        <f t="shared" si="4"/>
        <v>FONTESEJUSP</v>
      </c>
      <c r="N62" s="52">
        <v>10</v>
      </c>
      <c r="O62" s="52" t="s">
        <v>2338</v>
      </c>
      <c r="P62" s="52" t="s">
        <v>46</v>
      </c>
      <c r="Q62" s="52" t="s">
        <v>3754</v>
      </c>
      <c r="R62" s="52">
        <v>609.88643374980722</v>
      </c>
      <c r="S62" s="52" t="s">
        <v>3753</v>
      </c>
      <c r="T62" s="186">
        <v>44.516599999999997</v>
      </c>
      <c r="U62" s="53">
        <v>12</v>
      </c>
      <c r="V62" s="58">
        <f t="shared" si="5"/>
        <v>325800.84499999997</v>
      </c>
      <c r="W62" s="52" t="s">
        <v>49</v>
      </c>
      <c r="X62" s="52" t="s">
        <v>4368</v>
      </c>
      <c r="Y62" s="52" t="s">
        <v>4368</v>
      </c>
      <c r="Z62" s="52" t="s">
        <v>4369</v>
      </c>
      <c r="AA62" s="52">
        <v>0</v>
      </c>
      <c r="AB62" s="52">
        <v>0</v>
      </c>
      <c r="AC62" s="52">
        <v>0</v>
      </c>
      <c r="AD62" s="21">
        <v>0.8985711123657989</v>
      </c>
      <c r="AE62" s="55">
        <v>0.8985711123657989</v>
      </c>
      <c r="AF62" s="315">
        <f t="shared" si="3"/>
        <v>292755.22770136723</v>
      </c>
    </row>
    <row r="63" spans="1:32" s="55" customFormat="1" ht="255" x14ac:dyDescent="0.25">
      <c r="A63" s="86" t="s">
        <v>588</v>
      </c>
      <c r="B63" s="117" t="s">
        <v>2270</v>
      </c>
      <c r="C63" s="52"/>
      <c r="D63" s="52" t="s">
        <v>2279</v>
      </c>
      <c r="E63" s="22" t="str">
        <f t="shared" si="6"/>
        <v>SEJUSPPROG</v>
      </c>
      <c r="F63" s="52" t="s">
        <v>729</v>
      </c>
      <c r="G63" s="22" t="str">
        <f t="shared" si="2"/>
        <v>P130SEJUSP</v>
      </c>
      <c r="H63" s="52" t="s">
        <v>1183</v>
      </c>
      <c r="I63" s="22" t="s">
        <v>16</v>
      </c>
      <c r="J63" s="52" t="s">
        <v>1634</v>
      </c>
      <c r="K63" s="22" t="str">
        <f>VLOOKUP(CONCATENATE(A63,LEFT(J63,4)),AGRUPAMENTO!$D$2:$E$6783,2,FALSE)</f>
        <v>Alimentação</v>
      </c>
      <c r="L63" s="52" t="s">
        <v>44</v>
      </c>
      <c r="M63" s="52" t="str">
        <f t="shared" si="4"/>
        <v>FONTESEJUSP</v>
      </c>
      <c r="N63" s="52">
        <v>60</v>
      </c>
      <c r="O63" s="52" t="s">
        <v>2339</v>
      </c>
      <c r="P63" s="52" t="s">
        <v>46</v>
      </c>
      <c r="Q63" s="52" t="s">
        <v>3752</v>
      </c>
      <c r="R63" s="185">
        <v>141.24037797833333</v>
      </c>
      <c r="S63" s="52" t="s">
        <v>3753</v>
      </c>
      <c r="T63" s="186">
        <v>10.403</v>
      </c>
      <c r="U63" s="53">
        <v>12</v>
      </c>
      <c r="V63" s="58">
        <f t="shared" si="5"/>
        <v>17631.883825303219</v>
      </c>
      <c r="W63" s="52" t="s">
        <v>49</v>
      </c>
      <c r="X63" s="52" t="s">
        <v>4365</v>
      </c>
      <c r="Y63" s="52" t="s">
        <v>4366</v>
      </c>
      <c r="Z63" s="52" t="s">
        <v>4367</v>
      </c>
      <c r="AA63" s="52">
        <v>0</v>
      </c>
      <c r="AB63" s="52">
        <v>0</v>
      </c>
      <c r="AC63" s="52">
        <v>0</v>
      </c>
      <c r="AD63" s="21">
        <v>0.8985711123657989</v>
      </c>
      <c r="AE63" s="55">
        <v>0.8985711123657989</v>
      </c>
      <c r="AF63" s="315">
        <f t="shared" si="3"/>
        <v>15843.501462007251</v>
      </c>
    </row>
    <row r="64" spans="1:32" s="55" customFormat="1" ht="255" x14ac:dyDescent="0.25">
      <c r="A64" s="86" t="s">
        <v>588</v>
      </c>
      <c r="B64" s="117" t="s">
        <v>2270</v>
      </c>
      <c r="C64" s="52"/>
      <c r="D64" s="52" t="s">
        <v>2279</v>
      </c>
      <c r="E64" s="22" t="str">
        <f t="shared" si="6"/>
        <v>SEJUSPPROG</v>
      </c>
      <c r="F64" s="52" t="s">
        <v>729</v>
      </c>
      <c r="G64" s="22" t="str">
        <f t="shared" si="2"/>
        <v>P130SEJUSP</v>
      </c>
      <c r="H64" s="52" t="s">
        <v>1183</v>
      </c>
      <c r="I64" s="22" t="s">
        <v>16</v>
      </c>
      <c r="J64" s="52" t="s">
        <v>1634</v>
      </c>
      <c r="K64" s="22" t="str">
        <f>VLOOKUP(CONCATENATE(A64,LEFT(J64,4)),AGRUPAMENTO!$D$2:$E$6783,2,FALSE)</f>
        <v>Alimentação</v>
      </c>
      <c r="L64" s="52" t="s">
        <v>44</v>
      </c>
      <c r="M64" s="52" t="str">
        <f t="shared" si="4"/>
        <v>FONTESEJUSP</v>
      </c>
      <c r="N64" s="52">
        <v>60</v>
      </c>
      <c r="O64" s="52" t="s">
        <v>2340</v>
      </c>
      <c r="P64" s="52" t="s">
        <v>46</v>
      </c>
      <c r="Q64" s="52" t="s">
        <v>3752</v>
      </c>
      <c r="R64" s="185">
        <v>1111.3675529410868</v>
      </c>
      <c r="S64" s="52" t="s">
        <v>3753</v>
      </c>
      <c r="T64" s="186">
        <v>24.936300000000003</v>
      </c>
      <c r="U64" s="53">
        <v>12</v>
      </c>
      <c r="V64" s="58">
        <f t="shared" si="5"/>
        <v>332560.73652485793</v>
      </c>
      <c r="W64" s="52" t="s">
        <v>49</v>
      </c>
      <c r="X64" s="52" t="s">
        <v>4365</v>
      </c>
      <c r="Y64" s="52" t="s">
        <v>4366</v>
      </c>
      <c r="Z64" s="52" t="s">
        <v>4367</v>
      </c>
      <c r="AA64" s="52">
        <v>0</v>
      </c>
      <c r="AB64" s="52">
        <v>0</v>
      </c>
      <c r="AC64" s="52">
        <v>0</v>
      </c>
      <c r="AD64" s="21">
        <v>0.8985711123657989</v>
      </c>
      <c r="AE64" s="55">
        <v>0.8985711123657989</v>
      </c>
      <c r="AF64" s="315">
        <f t="shared" si="3"/>
        <v>298829.47094833094</v>
      </c>
    </row>
    <row r="65" spans="1:32" s="55" customFormat="1" ht="255" x14ac:dyDescent="0.25">
      <c r="A65" s="86" t="s">
        <v>588</v>
      </c>
      <c r="B65" s="117" t="s">
        <v>2270</v>
      </c>
      <c r="C65" s="52"/>
      <c r="D65" s="52" t="s">
        <v>2279</v>
      </c>
      <c r="E65" s="22" t="str">
        <f t="shared" si="6"/>
        <v>SEJUSPPROG</v>
      </c>
      <c r="F65" s="52" t="s">
        <v>729</v>
      </c>
      <c r="G65" s="22" t="str">
        <f t="shared" si="2"/>
        <v>P130SEJUSP</v>
      </c>
      <c r="H65" s="52" t="s">
        <v>1183</v>
      </c>
      <c r="I65" s="22" t="s">
        <v>16</v>
      </c>
      <c r="J65" s="52" t="s">
        <v>1634</v>
      </c>
      <c r="K65" s="22" t="str">
        <f>VLOOKUP(CONCATENATE(A65,LEFT(J65,4)),AGRUPAMENTO!$D$2:$E$6783,2,FALSE)</f>
        <v>Alimentação</v>
      </c>
      <c r="L65" s="52" t="s">
        <v>44</v>
      </c>
      <c r="M65" s="52" t="str">
        <f t="shared" ref="M65:M128" si="7">CONCATENATE("FONTE",A65)</f>
        <v>FONTESEJUSP</v>
      </c>
      <c r="N65" s="52">
        <v>60</v>
      </c>
      <c r="O65" s="52" t="s">
        <v>2341</v>
      </c>
      <c r="P65" s="52" t="s">
        <v>46</v>
      </c>
      <c r="Q65" s="52" t="s">
        <v>3752</v>
      </c>
      <c r="R65" s="185">
        <v>93.925730810000019</v>
      </c>
      <c r="S65" s="52" t="s">
        <v>3753</v>
      </c>
      <c r="T65" s="186">
        <v>17.128900000000002</v>
      </c>
      <c r="U65" s="53">
        <v>12</v>
      </c>
      <c r="V65" s="58">
        <f t="shared" si="5"/>
        <v>19306.133405656914</v>
      </c>
      <c r="W65" s="52" t="s">
        <v>49</v>
      </c>
      <c r="X65" s="52" t="s">
        <v>4365</v>
      </c>
      <c r="Y65" s="52" t="s">
        <v>4366</v>
      </c>
      <c r="Z65" s="52" t="s">
        <v>4367</v>
      </c>
      <c r="AA65" s="52">
        <v>0</v>
      </c>
      <c r="AB65" s="52">
        <v>0</v>
      </c>
      <c r="AC65" s="52">
        <v>0</v>
      </c>
      <c r="AD65" s="21">
        <v>0.8985711123657989</v>
      </c>
      <c r="AE65" s="55">
        <v>0.8985711123657989</v>
      </c>
      <c r="AF65" s="315">
        <f t="shared" si="3"/>
        <v>17347.933769803643</v>
      </c>
    </row>
    <row r="66" spans="1:32" s="55" customFormat="1" ht="255" x14ac:dyDescent="0.25">
      <c r="A66" s="86" t="s">
        <v>588</v>
      </c>
      <c r="B66" s="117" t="s">
        <v>2270</v>
      </c>
      <c r="C66" s="52"/>
      <c r="D66" s="52" t="s">
        <v>2279</v>
      </c>
      <c r="E66" s="22" t="str">
        <f t="shared" si="6"/>
        <v>SEJUSPPROG</v>
      </c>
      <c r="F66" s="52" t="s">
        <v>729</v>
      </c>
      <c r="G66" s="22" t="str">
        <f t="shared" si="2"/>
        <v>P130SEJUSP</v>
      </c>
      <c r="H66" s="52" t="s">
        <v>1183</v>
      </c>
      <c r="I66" s="22" t="s">
        <v>16</v>
      </c>
      <c r="J66" s="52" t="s">
        <v>1634</v>
      </c>
      <c r="K66" s="22" t="str">
        <f>VLOOKUP(CONCATENATE(A66,LEFT(J66,4)),AGRUPAMENTO!$D$2:$E$6783,2,FALSE)</f>
        <v>Alimentação</v>
      </c>
      <c r="L66" s="52" t="s">
        <v>44</v>
      </c>
      <c r="M66" s="52" t="str">
        <f t="shared" si="7"/>
        <v>FONTESEJUSP</v>
      </c>
      <c r="N66" s="52">
        <v>60</v>
      </c>
      <c r="O66" s="52" t="s">
        <v>2342</v>
      </c>
      <c r="P66" s="52" t="s">
        <v>46</v>
      </c>
      <c r="Q66" s="52" t="s">
        <v>3752</v>
      </c>
      <c r="R66" s="185">
        <v>1631.1967527558293</v>
      </c>
      <c r="S66" s="52" t="s">
        <v>3753</v>
      </c>
      <c r="T66" s="186">
        <v>17.839600000000001</v>
      </c>
      <c r="U66" s="53">
        <v>12</v>
      </c>
      <c r="V66" s="58">
        <f t="shared" ref="V66:V129" si="8">R66*T66*U66</f>
        <v>349198.77108555473</v>
      </c>
      <c r="W66" s="52" t="s">
        <v>49</v>
      </c>
      <c r="X66" s="52" t="s">
        <v>4365</v>
      </c>
      <c r="Y66" s="52" t="s">
        <v>4366</v>
      </c>
      <c r="Z66" s="52" t="s">
        <v>4367</v>
      </c>
      <c r="AA66" s="52">
        <v>0</v>
      </c>
      <c r="AB66" s="52">
        <v>0</v>
      </c>
      <c r="AC66" s="52">
        <v>0</v>
      </c>
      <c r="AD66" s="21">
        <v>0.8985711123657989</v>
      </c>
      <c r="AE66" s="55">
        <v>0.8985711123657989</v>
      </c>
      <c r="AF66" s="315">
        <f t="shared" si="3"/>
        <v>313779.92817111692</v>
      </c>
    </row>
    <row r="67" spans="1:32" s="55" customFormat="1" ht="255" x14ac:dyDescent="0.25">
      <c r="A67" s="86" t="s">
        <v>588</v>
      </c>
      <c r="B67" s="117" t="s">
        <v>2270</v>
      </c>
      <c r="C67" s="52"/>
      <c r="D67" s="52" t="s">
        <v>2279</v>
      </c>
      <c r="E67" s="22" t="str">
        <f t="shared" ref="E67:E130" si="9">CONCATENATE(A67,"PROG")</f>
        <v>SEJUSPPROG</v>
      </c>
      <c r="F67" s="52" t="s">
        <v>729</v>
      </c>
      <c r="G67" s="22" t="str">
        <f t="shared" si="2"/>
        <v>P130SEJUSP</v>
      </c>
      <c r="H67" s="52" t="s">
        <v>1183</v>
      </c>
      <c r="I67" s="22" t="s">
        <v>16</v>
      </c>
      <c r="J67" s="52" t="s">
        <v>1634</v>
      </c>
      <c r="K67" s="22" t="str">
        <f>VLOOKUP(CONCATENATE(A67,LEFT(J67,4)),AGRUPAMENTO!$D$2:$E$6783,2,FALSE)</f>
        <v>Alimentação</v>
      </c>
      <c r="L67" s="52" t="s">
        <v>44</v>
      </c>
      <c r="M67" s="52" t="str">
        <f t="shared" si="7"/>
        <v>FONTESEJUSP</v>
      </c>
      <c r="N67" s="52">
        <v>60</v>
      </c>
      <c r="O67" s="52" t="s">
        <v>2343</v>
      </c>
      <c r="P67" s="52" t="s">
        <v>46</v>
      </c>
      <c r="Q67" s="52" t="s">
        <v>3752</v>
      </c>
      <c r="R67" s="185">
        <v>25575.534446780784</v>
      </c>
      <c r="S67" s="52" t="s">
        <v>3753</v>
      </c>
      <c r="T67" s="186">
        <v>17.839600000000001</v>
      </c>
      <c r="U67" s="53">
        <v>12</v>
      </c>
      <c r="V67" s="58">
        <f t="shared" si="8"/>
        <v>5475087.6518014856</v>
      </c>
      <c r="W67" s="52" t="s">
        <v>49</v>
      </c>
      <c r="X67" s="52" t="s">
        <v>4365</v>
      </c>
      <c r="Y67" s="52" t="s">
        <v>4366</v>
      </c>
      <c r="Z67" s="52" t="s">
        <v>4367</v>
      </c>
      <c r="AA67" s="52">
        <v>0</v>
      </c>
      <c r="AB67" s="52">
        <v>0</v>
      </c>
      <c r="AC67" s="52">
        <v>0</v>
      </c>
      <c r="AD67" s="21">
        <v>0.8985711123657989</v>
      </c>
      <c r="AE67" s="55">
        <v>0.8985711123657989</v>
      </c>
      <c r="AF67" s="315">
        <f t="shared" si="3"/>
        <v>4919755.6015795106</v>
      </c>
    </row>
    <row r="68" spans="1:32" s="55" customFormat="1" ht="255" x14ac:dyDescent="0.25">
      <c r="A68" s="86" t="s">
        <v>588</v>
      </c>
      <c r="B68" s="117" t="s">
        <v>2270</v>
      </c>
      <c r="C68" s="52"/>
      <c r="D68" s="52" t="s">
        <v>2279</v>
      </c>
      <c r="E68" s="22" t="str">
        <f t="shared" si="9"/>
        <v>SEJUSPPROG</v>
      </c>
      <c r="F68" s="52" t="s">
        <v>729</v>
      </c>
      <c r="G68" s="22" t="str">
        <f t="shared" ref="G68:G131" si="10">CONCATENATE("P",(LEFT(F68,3)),A68)</f>
        <v>P130SEJUSP</v>
      </c>
      <c r="H68" s="52" t="s">
        <v>1183</v>
      </c>
      <c r="I68" s="22" t="s">
        <v>16</v>
      </c>
      <c r="J68" s="52" t="s">
        <v>1634</v>
      </c>
      <c r="K68" s="22" t="str">
        <f>VLOOKUP(CONCATENATE(A68,LEFT(J68,4)),AGRUPAMENTO!$D$2:$E$6783,2,FALSE)</f>
        <v>Alimentação</v>
      </c>
      <c r="L68" s="52" t="s">
        <v>44</v>
      </c>
      <c r="M68" s="52" t="str">
        <f t="shared" si="7"/>
        <v>FONTESEJUSP</v>
      </c>
      <c r="N68" s="52">
        <v>60</v>
      </c>
      <c r="O68" s="52" t="s">
        <v>2344</v>
      </c>
      <c r="P68" s="52" t="s">
        <v>46</v>
      </c>
      <c r="Q68" s="52" t="s">
        <v>3752</v>
      </c>
      <c r="R68" s="185">
        <v>3234.1653209953015</v>
      </c>
      <c r="S68" s="52" t="s">
        <v>3753</v>
      </c>
      <c r="T68" s="186">
        <v>25.605799999999999</v>
      </c>
      <c r="U68" s="53">
        <v>12</v>
      </c>
      <c r="V68" s="58">
        <f t="shared" si="8"/>
        <v>993760.68451609788</v>
      </c>
      <c r="W68" s="52" t="s">
        <v>49</v>
      </c>
      <c r="X68" s="52" t="s">
        <v>4365</v>
      </c>
      <c r="Y68" s="52" t="s">
        <v>4366</v>
      </c>
      <c r="Z68" s="52" t="s">
        <v>4367</v>
      </c>
      <c r="AA68" s="52">
        <v>0</v>
      </c>
      <c r="AB68" s="52">
        <v>0</v>
      </c>
      <c r="AC68" s="52">
        <v>0</v>
      </c>
      <c r="AD68" s="21">
        <v>0.8985711123657989</v>
      </c>
      <c r="AE68" s="55">
        <v>0.8985711123657989</v>
      </c>
      <c r="AF68" s="315">
        <f t="shared" ref="AF68:AF131" si="11">AE68*V68</f>
        <v>892964.64371102781</v>
      </c>
    </row>
    <row r="69" spans="1:32" s="55" customFormat="1" ht="255" x14ac:dyDescent="0.25">
      <c r="A69" s="86" t="s">
        <v>588</v>
      </c>
      <c r="B69" s="117" t="s">
        <v>2270</v>
      </c>
      <c r="C69" s="52"/>
      <c r="D69" s="52" t="s">
        <v>2279</v>
      </c>
      <c r="E69" s="22" t="str">
        <f t="shared" si="9"/>
        <v>SEJUSPPROG</v>
      </c>
      <c r="F69" s="52" t="s">
        <v>729</v>
      </c>
      <c r="G69" s="22" t="str">
        <f t="shared" si="10"/>
        <v>P130SEJUSP</v>
      </c>
      <c r="H69" s="52" t="s">
        <v>1183</v>
      </c>
      <c r="I69" s="22" t="s">
        <v>16</v>
      </c>
      <c r="J69" s="52" t="s">
        <v>1634</v>
      </c>
      <c r="K69" s="22" t="str">
        <f>VLOOKUP(CONCATENATE(A69,LEFT(J69,4)),AGRUPAMENTO!$D$2:$E$6783,2,FALSE)</f>
        <v>Alimentação</v>
      </c>
      <c r="L69" s="52" t="s">
        <v>44</v>
      </c>
      <c r="M69" s="52" t="str">
        <f t="shared" si="7"/>
        <v>FONTESEJUSP</v>
      </c>
      <c r="N69" s="52">
        <v>60</v>
      </c>
      <c r="O69" s="52" t="s">
        <v>2345</v>
      </c>
      <c r="P69" s="52" t="s">
        <v>46</v>
      </c>
      <c r="Q69" s="52" t="s">
        <v>3752</v>
      </c>
      <c r="R69" s="185">
        <v>25982.306326309099</v>
      </c>
      <c r="S69" s="52" t="s">
        <v>3753</v>
      </c>
      <c r="T69" s="186">
        <v>24.936300000000003</v>
      </c>
      <c r="U69" s="53">
        <v>12</v>
      </c>
      <c r="V69" s="58">
        <f t="shared" si="8"/>
        <v>7774831.0229368992</v>
      </c>
      <c r="W69" s="52" t="s">
        <v>49</v>
      </c>
      <c r="X69" s="52" t="s">
        <v>4365</v>
      </c>
      <c r="Y69" s="52" t="s">
        <v>4366</v>
      </c>
      <c r="Z69" s="52" t="s">
        <v>4367</v>
      </c>
      <c r="AA69" s="52">
        <v>0</v>
      </c>
      <c r="AB69" s="52">
        <v>0</v>
      </c>
      <c r="AC69" s="52">
        <v>0</v>
      </c>
      <c r="AD69" s="21">
        <v>0.8985711123657989</v>
      </c>
      <c r="AE69" s="55">
        <v>0.8985711123657989</v>
      </c>
      <c r="AF69" s="315">
        <f t="shared" si="11"/>
        <v>6986238.5607365314</v>
      </c>
    </row>
    <row r="70" spans="1:32" s="55" customFormat="1" ht="255" x14ac:dyDescent="0.25">
      <c r="A70" s="86" t="s">
        <v>588</v>
      </c>
      <c r="B70" s="117" t="s">
        <v>2270</v>
      </c>
      <c r="C70" s="52"/>
      <c r="D70" s="52" t="s">
        <v>2279</v>
      </c>
      <c r="E70" s="22" t="str">
        <f t="shared" si="9"/>
        <v>SEJUSPPROG</v>
      </c>
      <c r="F70" s="52" t="s">
        <v>729</v>
      </c>
      <c r="G70" s="22" t="str">
        <f t="shared" si="10"/>
        <v>P130SEJUSP</v>
      </c>
      <c r="H70" s="52" t="s">
        <v>1183</v>
      </c>
      <c r="I70" s="22" t="s">
        <v>16</v>
      </c>
      <c r="J70" s="52" t="s">
        <v>1634</v>
      </c>
      <c r="K70" s="22" t="str">
        <f>VLOOKUP(CONCATENATE(A70,LEFT(J70,4)),AGRUPAMENTO!$D$2:$E$6783,2,FALSE)</f>
        <v>Alimentação</v>
      </c>
      <c r="L70" s="52" t="s">
        <v>44</v>
      </c>
      <c r="M70" s="52" t="str">
        <f t="shared" si="7"/>
        <v>FONTESEJUSP</v>
      </c>
      <c r="N70" s="52">
        <v>60</v>
      </c>
      <c r="O70" s="52" t="s">
        <v>2346</v>
      </c>
      <c r="P70" s="52" t="s">
        <v>46</v>
      </c>
      <c r="Q70" s="52" t="s">
        <v>3752</v>
      </c>
      <c r="R70" s="185">
        <v>12837.870252769761</v>
      </c>
      <c r="S70" s="52" t="s">
        <v>3753</v>
      </c>
      <c r="T70" s="186">
        <v>16.974399999999996</v>
      </c>
      <c r="U70" s="53">
        <v>12</v>
      </c>
      <c r="V70" s="58">
        <f t="shared" si="8"/>
        <v>2614981.7378233797</v>
      </c>
      <c r="W70" s="52" t="s">
        <v>49</v>
      </c>
      <c r="X70" s="52" t="s">
        <v>4365</v>
      </c>
      <c r="Y70" s="52" t="s">
        <v>4366</v>
      </c>
      <c r="Z70" s="52" t="s">
        <v>4367</v>
      </c>
      <c r="AA70" s="52">
        <v>0</v>
      </c>
      <c r="AB70" s="52">
        <v>0</v>
      </c>
      <c r="AC70" s="52">
        <v>0</v>
      </c>
      <c r="AD70" s="21">
        <v>0.8985711123657989</v>
      </c>
      <c r="AE70" s="55">
        <v>0.8985711123657989</v>
      </c>
      <c r="AF70" s="315">
        <f t="shared" si="11"/>
        <v>2349747.0489722043</v>
      </c>
    </row>
    <row r="71" spans="1:32" s="55" customFormat="1" ht="255" x14ac:dyDescent="0.25">
      <c r="A71" s="86" t="s">
        <v>588</v>
      </c>
      <c r="B71" s="117" t="s">
        <v>2270</v>
      </c>
      <c r="C71" s="52"/>
      <c r="D71" s="52" t="s">
        <v>2279</v>
      </c>
      <c r="E71" s="22" t="str">
        <f t="shared" si="9"/>
        <v>SEJUSPPROG</v>
      </c>
      <c r="F71" s="52" t="s">
        <v>729</v>
      </c>
      <c r="G71" s="22" t="str">
        <f t="shared" si="10"/>
        <v>P130SEJUSP</v>
      </c>
      <c r="H71" s="52" t="s">
        <v>1183</v>
      </c>
      <c r="I71" s="22" t="s">
        <v>16</v>
      </c>
      <c r="J71" s="52" t="s">
        <v>1634</v>
      </c>
      <c r="K71" s="22" t="str">
        <f>VLOOKUP(CONCATENATE(A71,LEFT(J71,4)),AGRUPAMENTO!$D$2:$E$6783,2,FALSE)</f>
        <v>Alimentação</v>
      </c>
      <c r="L71" s="52" t="s">
        <v>44</v>
      </c>
      <c r="M71" s="52" t="str">
        <f t="shared" si="7"/>
        <v>FONTESEJUSP</v>
      </c>
      <c r="N71" s="52">
        <v>60</v>
      </c>
      <c r="O71" s="52" t="s">
        <v>2347</v>
      </c>
      <c r="P71" s="52" t="s">
        <v>46</v>
      </c>
      <c r="Q71" s="52" t="s">
        <v>3752</v>
      </c>
      <c r="R71" s="185">
        <v>7829.3635476784011</v>
      </c>
      <c r="S71" s="52" t="s">
        <v>3753</v>
      </c>
      <c r="T71" s="186">
        <v>17.128900000000002</v>
      </c>
      <c r="U71" s="53">
        <v>12</v>
      </c>
      <c r="V71" s="58">
        <f t="shared" si="8"/>
        <v>1609300.6232619428</v>
      </c>
      <c r="W71" s="52" t="s">
        <v>49</v>
      </c>
      <c r="X71" s="52" t="s">
        <v>4365</v>
      </c>
      <c r="Y71" s="52" t="s">
        <v>4366</v>
      </c>
      <c r="Z71" s="52" t="s">
        <v>4367</v>
      </c>
      <c r="AA71" s="52">
        <v>0</v>
      </c>
      <c r="AB71" s="52">
        <v>0</v>
      </c>
      <c r="AC71" s="52">
        <v>0</v>
      </c>
      <c r="AD71" s="21">
        <v>0.8985711123657989</v>
      </c>
      <c r="AE71" s="55">
        <v>0.8985711123657989</v>
      </c>
      <c r="AF71" s="315">
        <f t="shared" si="11"/>
        <v>1446071.0511754574</v>
      </c>
    </row>
    <row r="72" spans="1:32" s="55" customFormat="1" ht="255" x14ac:dyDescent="0.25">
      <c r="A72" s="86" t="s">
        <v>588</v>
      </c>
      <c r="B72" s="117" t="s">
        <v>2270</v>
      </c>
      <c r="C72" s="52"/>
      <c r="D72" s="52" t="s">
        <v>2279</v>
      </c>
      <c r="E72" s="22" t="str">
        <f t="shared" si="9"/>
        <v>SEJUSPPROG</v>
      </c>
      <c r="F72" s="52" t="s">
        <v>729</v>
      </c>
      <c r="G72" s="22" t="str">
        <f t="shared" si="10"/>
        <v>P130SEJUSP</v>
      </c>
      <c r="H72" s="52" t="s">
        <v>1183</v>
      </c>
      <c r="I72" s="22" t="s">
        <v>16</v>
      </c>
      <c r="J72" s="52" t="s">
        <v>1634</v>
      </c>
      <c r="K72" s="22" t="str">
        <f>VLOOKUP(CONCATENATE(A72,LEFT(J72,4)),AGRUPAMENTO!$D$2:$E$6783,2,FALSE)</f>
        <v>Alimentação</v>
      </c>
      <c r="L72" s="52" t="s">
        <v>44</v>
      </c>
      <c r="M72" s="52" t="str">
        <f t="shared" si="7"/>
        <v>FONTESEJUSP</v>
      </c>
      <c r="N72" s="52">
        <v>60</v>
      </c>
      <c r="O72" s="52" t="s">
        <v>2348</v>
      </c>
      <c r="P72" s="52" t="s">
        <v>46</v>
      </c>
      <c r="Q72" s="52" t="s">
        <v>3752</v>
      </c>
      <c r="R72" s="185">
        <v>33895.455710363785</v>
      </c>
      <c r="S72" s="52" t="s">
        <v>3753</v>
      </c>
      <c r="T72" s="186">
        <v>19.178600000000003</v>
      </c>
      <c r="U72" s="53">
        <v>12</v>
      </c>
      <c r="V72" s="58">
        <f t="shared" si="8"/>
        <v>7800808.6426413953</v>
      </c>
      <c r="W72" s="52" t="s">
        <v>49</v>
      </c>
      <c r="X72" s="52" t="s">
        <v>4365</v>
      </c>
      <c r="Y72" s="52" t="s">
        <v>4366</v>
      </c>
      <c r="Z72" s="52" t="s">
        <v>4367</v>
      </c>
      <c r="AA72" s="52">
        <v>0</v>
      </c>
      <c r="AB72" s="52">
        <v>0</v>
      </c>
      <c r="AC72" s="52">
        <v>0</v>
      </c>
      <c r="AD72" s="21">
        <v>0.8985711123657989</v>
      </c>
      <c r="AE72" s="55">
        <v>0.8985711123657989</v>
      </c>
      <c r="AF72" s="315">
        <f t="shared" si="11"/>
        <v>7009581.2993710162</v>
      </c>
    </row>
    <row r="73" spans="1:32" s="55" customFormat="1" ht="255" x14ac:dyDescent="0.25">
      <c r="A73" s="86" t="s">
        <v>588</v>
      </c>
      <c r="B73" s="117" t="s">
        <v>2270</v>
      </c>
      <c r="C73" s="52"/>
      <c r="D73" s="52" t="s">
        <v>2279</v>
      </c>
      <c r="E73" s="22" t="str">
        <f t="shared" si="9"/>
        <v>SEJUSPPROG</v>
      </c>
      <c r="F73" s="52" t="s">
        <v>729</v>
      </c>
      <c r="G73" s="22" t="str">
        <f t="shared" si="10"/>
        <v>P130SEJUSP</v>
      </c>
      <c r="H73" s="52" t="s">
        <v>1183</v>
      </c>
      <c r="I73" s="22" t="s">
        <v>16</v>
      </c>
      <c r="J73" s="52" t="s">
        <v>1634</v>
      </c>
      <c r="K73" s="22" t="str">
        <f>VLOOKUP(CONCATENATE(A73,LEFT(J73,4)),AGRUPAMENTO!$D$2:$E$6783,2,FALSE)</f>
        <v>Alimentação</v>
      </c>
      <c r="L73" s="52" t="s">
        <v>44</v>
      </c>
      <c r="M73" s="52" t="str">
        <f t="shared" si="7"/>
        <v>FONTESEJUSP</v>
      </c>
      <c r="N73" s="52">
        <v>60</v>
      </c>
      <c r="O73" s="52" t="s">
        <v>2349</v>
      </c>
      <c r="P73" s="52" t="s">
        <v>46</v>
      </c>
      <c r="Q73" s="52" t="s">
        <v>3752</v>
      </c>
      <c r="R73" s="185">
        <v>24124.689251873275</v>
      </c>
      <c r="S73" s="52" t="s">
        <v>3753</v>
      </c>
      <c r="T73" s="186">
        <v>17.736599999999999</v>
      </c>
      <c r="U73" s="53">
        <v>12</v>
      </c>
      <c r="V73" s="58">
        <f t="shared" si="8"/>
        <v>5134679.5606173063</v>
      </c>
      <c r="W73" s="52" t="s">
        <v>49</v>
      </c>
      <c r="X73" s="52" t="s">
        <v>4365</v>
      </c>
      <c r="Y73" s="52" t="s">
        <v>4366</v>
      </c>
      <c r="Z73" s="52" t="s">
        <v>4367</v>
      </c>
      <c r="AA73" s="52">
        <v>0</v>
      </c>
      <c r="AB73" s="52">
        <v>0</v>
      </c>
      <c r="AC73" s="52">
        <v>0</v>
      </c>
      <c r="AD73" s="21">
        <v>0.8985711123657989</v>
      </c>
      <c r="AE73" s="55">
        <v>0.8985711123657989</v>
      </c>
      <c r="AF73" s="315">
        <f t="shared" si="11"/>
        <v>4613874.7244258244</v>
      </c>
    </row>
    <row r="74" spans="1:32" s="55" customFormat="1" ht="255" x14ac:dyDescent="0.25">
      <c r="A74" s="86" t="s">
        <v>588</v>
      </c>
      <c r="B74" s="117" t="s">
        <v>2270</v>
      </c>
      <c r="C74" s="52"/>
      <c r="D74" s="52" t="s">
        <v>2279</v>
      </c>
      <c r="E74" s="22" t="str">
        <f t="shared" si="9"/>
        <v>SEJUSPPROG</v>
      </c>
      <c r="F74" s="52" t="s">
        <v>729</v>
      </c>
      <c r="G74" s="22" t="str">
        <f t="shared" si="10"/>
        <v>P130SEJUSP</v>
      </c>
      <c r="H74" s="52" t="s">
        <v>1183</v>
      </c>
      <c r="I74" s="22" t="s">
        <v>16</v>
      </c>
      <c r="J74" s="52" t="s">
        <v>1634</v>
      </c>
      <c r="K74" s="22" t="str">
        <f>VLOOKUP(CONCATENATE(A74,LEFT(J74,4)),AGRUPAMENTO!$D$2:$E$6783,2,FALSE)</f>
        <v>Alimentação</v>
      </c>
      <c r="L74" s="52" t="s">
        <v>44</v>
      </c>
      <c r="M74" s="52" t="str">
        <f t="shared" si="7"/>
        <v>FONTESEJUSP</v>
      </c>
      <c r="N74" s="52">
        <v>60</v>
      </c>
      <c r="O74" s="52" t="s">
        <v>2350</v>
      </c>
      <c r="P74" s="52" t="s">
        <v>46</v>
      </c>
      <c r="Q74" s="52" t="s">
        <v>3752</v>
      </c>
      <c r="R74" s="185">
        <v>11718.519366443548</v>
      </c>
      <c r="S74" s="52" t="s">
        <v>3753</v>
      </c>
      <c r="T74" s="186">
        <v>22.011099999999999</v>
      </c>
      <c r="U74" s="53">
        <v>12</v>
      </c>
      <c r="V74" s="58">
        <f t="shared" si="8"/>
        <v>3095250.019520707</v>
      </c>
      <c r="W74" s="52" t="s">
        <v>49</v>
      </c>
      <c r="X74" s="52" t="s">
        <v>4365</v>
      </c>
      <c r="Y74" s="52" t="s">
        <v>4366</v>
      </c>
      <c r="Z74" s="52" t="s">
        <v>4367</v>
      </c>
      <c r="AA74" s="52">
        <v>0</v>
      </c>
      <c r="AB74" s="52">
        <v>0</v>
      </c>
      <c r="AC74" s="52">
        <v>0</v>
      </c>
      <c r="AD74" s="21">
        <v>0.8985711123657989</v>
      </c>
      <c r="AE74" s="55">
        <v>0.8985711123657989</v>
      </c>
      <c r="AF74" s="315">
        <f t="shared" si="11"/>
        <v>2781302.2530909823</v>
      </c>
    </row>
    <row r="75" spans="1:32" s="55" customFormat="1" ht="255" x14ac:dyDescent="0.25">
      <c r="A75" s="86" t="s">
        <v>588</v>
      </c>
      <c r="B75" s="117" t="s">
        <v>2270</v>
      </c>
      <c r="C75" s="52"/>
      <c r="D75" s="52" t="s">
        <v>2279</v>
      </c>
      <c r="E75" s="22" t="str">
        <f t="shared" si="9"/>
        <v>SEJUSPPROG</v>
      </c>
      <c r="F75" s="52" t="s">
        <v>729</v>
      </c>
      <c r="G75" s="22" t="str">
        <f t="shared" si="10"/>
        <v>P130SEJUSP</v>
      </c>
      <c r="H75" s="52" t="s">
        <v>1183</v>
      </c>
      <c r="I75" s="22" t="s">
        <v>16</v>
      </c>
      <c r="J75" s="52" t="s">
        <v>1634</v>
      </c>
      <c r="K75" s="22" t="str">
        <f>VLOOKUP(CONCATENATE(A75,LEFT(J75,4)),AGRUPAMENTO!$D$2:$E$6783,2,FALSE)</f>
        <v>Alimentação</v>
      </c>
      <c r="L75" s="52" t="s">
        <v>44</v>
      </c>
      <c r="M75" s="52" t="str">
        <f t="shared" si="7"/>
        <v>FONTESEJUSP</v>
      </c>
      <c r="N75" s="52">
        <v>60</v>
      </c>
      <c r="O75" s="52" t="s">
        <v>2351</v>
      </c>
      <c r="P75" s="52" t="s">
        <v>46</v>
      </c>
      <c r="Q75" s="52" t="s">
        <v>3752</v>
      </c>
      <c r="R75" s="185">
        <v>83098.800701209737</v>
      </c>
      <c r="S75" s="52" t="s">
        <v>3753</v>
      </c>
      <c r="T75" s="186">
        <v>25.605799999999999</v>
      </c>
      <c r="U75" s="53">
        <v>12</v>
      </c>
      <c r="V75" s="58">
        <f t="shared" si="8"/>
        <v>25533735.251940437</v>
      </c>
      <c r="W75" s="52" t="s">
        <v>49</v>
      </c>
      <c r="X75" s="52" t="s">
        <v>4365</v>
      </c>
      <c r="Y75" s="52" t="s">
        <v>4366</v>
      </c>
      <c r="Z75" s="52" t="s">
        <v>4367</v>
      </c>
      <c r="AA75" s="52">
        <v>0</v>
      </c>
      <c r="AB75" s="52">
        <v>0</v>
      </c>
      <c r="AC75" s="52">
        <v>0</v>
      </c>
      <c r="AD75" s="21">
        <v>0.8985711123657989</v>
      </c>
      <c r="AE75" s="55">
        <v>0.8985711123657989</v>
      </c>
      <c r="AF75" s="315">
        <f t="shared" si="11"/>
        <v>22943876.88818993</v>
      </c>
    </row>
    <row r="76" spans="1:32" s="55" customFormat="1" ht="255" x14ac:dyDescent="0.25">
      <c r="A76" s="86" t="s">
        <v>588</v>
      </c>
      <c r="B76" s="117" t="s">
        <v>2270</v>
      </c>
      <c r="C76" s="52"/>
      <c r="D76" s="52" t="s">
        <v>2279</v>
      </c>
      <c r="E76" s="22" t="str">
        <f t="shared" si="9"/>
        <v>SEJUSPPROG</v>
      </c>
      <c r="F76" s="52" t="s">
        <v>729</v>
      </c>
      <c r="G76" s="22" t="str">
        <f t="shared" si="10"/>
        <v>P130SEJUSP</v>
      </c>
      <c r="H76" s="52" t="s">
        <v>1183</v>
      </c>
      <c r="I76" s="22" t="s">
        <v>16</v>
      </c>
      <c r="J76" s="52" t="s">
        <v>1634</v>
      </c>
      <c r="K76" s="22" t="str">
        <f>VLOOKUP(CONCATENATE(A76,LEFT(J76,4)),AGRUPAMENTO!$D$2:$E$6783,2,FALSE)</f>
        <v>Alimentação</v>
      </c>
      <c r="L76" s="52" t="s">
        <v>44</v>
      </c>
      <c r="M76" s="52" t="str">
        <f t="shared" si="7"/>
        <v>FONTESEJUSP</v>
      </c>
      <c r="N76" s="52">
        <v>60</v>
      </c>
      <c r="O76" s="52" t="s">
        <v>2352</v>
      </c>
      <c r="P76" s="52" t="s">
        <v>46</v>
      </c>
      <c r="Q76" s="52" t="s">
        <v>3752</v>
      </c>
      <c r="R76" s="185">
        <v>14564.409252402465</v>
      </c>
      <c r="S76" s="52" t="s">
        <v>3753</v>
      </c>
      <c r="T76" s="186">
        <v>19.456700000000001</v>
      </c>
      <c r="U76" s="53">
        <v>12</v>
      </c>
      <c r="V76" s="58">
        <f t="shared" si="8"/>
        <v>3400504.098014629</v>
      </c>
      <c r="W76" s="52" t="s">
        <v>49</v>
      </c>
      <c r="X76" s="52" t="s">
        <v>4365</v>
      </c>
      <c r="Y76" s="52" t="s">
        <v>4366</v>
      </c>
      <c r="Z76" s="52" t="s">
        <v>4367</v>
      </c>
      <c r="AA76" s="52">
        <v>0</v>
      </c>
      <c r="AB76" s="52">
        <v>0</v>
      </c>
      <c r="AC76" s="52">
        <v>0</v>
      </c>
      <c r="AD76" s="21">
        <v>0.8985711123657989</v>
      </c>
      <c r="AE76" s="55">
        <v>0.8985711123657989</v>
      </c>
      <c r="AF76" s="315">
        <f t="shared" si="11"/>
        <v>3055594.7499574628</v>
      </c>
    </row>
    <row r="77" spans="1:32" s="55" customFormat="1" ht="255" x14ac:dyDescent="0.25">
      <c r="A77" s="86" t="s">
        <v>588</v>
      </c>
      <c r="B77" s="117" t="s">
        <v>2270</v>
      </c>
      <c r="C77" s="52"/>
      <c r="D77" s="52" t="s">
        <v>2279</v>
      </c>
      <c r="E77" s="22" t="str">
        <f t="shared" si="9"/>
        <v>SEJUSPPROG</v>
      </c>
      <c r="F77" s="52" t="s">
        <v>729</v>
      </c>
      <c r="G77" s="22" t="str">
        <f t="shared" si="10"/>
        <v>P130SEJUSP</v>
      </c>
      <c r="H77" s="52" t="s">
        <v>1183</v>
      </c>
      <c r="I77" s="22" t="s">
        <v>16</v>
      </c>
      <c r="J77" s="52" t="s">
        <v>1634</v>
      </c>
      <c r="K77" s="22" t="str">
        <f>VLOOKUP(CONCATENATE(A77,LEFT(J77,4)),AGRUPAMENTO!$D$2:$E$6783,2,FALSE)</f>
        <v>Alimentação</v>
      </c>
      <c r="L77" s="52" t="s">
        <v>44</v>
      </c>
      <c r="M77" s="52" t="str">
        <f t="shared" si="7"/>
        <v>FONTESEJUSP</v>
      </c>
      <c r="N77" s="52">
        <v>60</v>
      </c>
      <c r="O77" s="52" t="s">
        <v>2353</v>
      </c>
      <c r="P77" s="52" t="s">
        <v>46</v>
      </c>
      <c r="Q77" s="52" t="s">
        <v>3752</v>
      </c>
      <c r="R77" s="185">
        <v>30032.323926370897</v>
      </c>
      <c r="S77" s="52" t="s">
        <v>3753</v>
      </c>
      <c r="T77" s="186">
        <v>25.657299999999999</v>
      </c>
      <c r="U77" s="53">
        <v>12</v>
      </c>
      <c r="V77" s="58">
        <f t="shared" si="8"/>
        <v>9246580.1361129116</v>
      </c>
      <c r="W77" s="52" t="s">
        <v>49</v>
      </c>
      <c r="X77" s="52" t="s">
        <v>4365</v>
      </c>
      <c r="Y77" s="52" t="s">
        <v>4366</v>
      </c>
      <c r="Z77" s="52" t="s">
        <v>4367</v>
      </c>
      <c r="AA77" s="52">
        <v>0</v>
      </c>
      <c r="AB77" s="52">
        <v>0</v>
      </c>
      <c r="AC77" s="52">
        <v>0</v>
      </c>
      <c r="AD77" s="21">
        <v>0.8985711123657989</v>
      </c>
      <c r="AE77" s="55">
        <v>0.8985711123657989</v>
      </c>
      <c r="AF77" s="315">
        <f t="shared" si="11"/>
        <v>8308709.7984864796</v>
      </c>
    </row>
    <row r="78" spans="1:32" s="55" customFormat="1" ht="255" x14ac:dyDescent="0.25">
      <c r="A78" s="86" t="s">
        <v>588</v>
      </c>
      <c r="B78" s="117" t="s">
        <v>2270</v>
      </c>
      <c r="C78" s="52"/>
      <c r="D78" s="52" t="s">
        <v>2279</v>
      </c>
      <c r="E78" s="22" t="str">
        <f t="shared" si="9"/>
        <v>SEJUSPPROG</v>
      </c>
      <c r="F78" s="52" t="s">
        <v>729</v>
      </c>
      <c r="G78" s="22" t="str">
        <f t="shared" si="10"/>
        <v>P130SEJUSP</v>
      </c>
      <c r="H78" s="52" t="s">
        <v>1183</v>
      </c>
      <c r="I78" s="22" t="s">
        <v>16</v>
      </c>
      <c r="J78" s="52" t="s">
        <v>1634</v>
      </c>
      <c r="K78" s="22" t="str">
        <f>VLOOKUP(CONCATENATE(A78,LEFT(J78,4)),AGRUPAMENTO!$D$2:$E$6783,2,FALSE)</f>
        <v>Alimentação</v>
      </c>
      <c r="L78" s="52" t="s">
        <v>44</v>
      </c>
      <c r="M78" s="52" t="str">
        <f t="shared" si="7"/>
        <v>FONTESEJUSP</v>
      </c>
      <c r="N78" s="52">
        <v>60</v>
      </c>
      <c r="O78" s="52" t="s">
        <v>2354</v>
      </c>
      <c r="P78" s="52" t="s">
        <v>46</v>
      </c>
      <c r="Q78" s="52" t="s">
        <v>3752</v>
      </c>
      <c r="R78" s="185">
        <v>25649.211596955265</v>
      </c>
      <c r="S78" s="52" t="s">
        <v>3753</v>
      </c>
      <c r="T78" s="186">
        <v>22.330400000000001</v>
      </c>
      <c r="U78" s="53">
        <v>12</v>
      </c>
      <c r="V78" s="58">
        <f t="shared" si="8"/>
        <v>6873085.8557357974</v>
      </c>
      <c r="W78" s="52" t="s">
        <v>49</v>
      </c>
      <c r="X78" s="52" t="s">
        <v>4365</v>
      </c>
      <c r="Y78" s="52" t="s">
        <v>4366</v>
      </c>
      <c r="Z78" s="52" t="s">
        <v>4367</v>
      </c>
      <c r="AA78" s="52">
        <v>0</v>
      </c>
      <c r="AB78" s="52">
        <v>0</v>
      </c>
      <c r="AC78" s="52">
        <v>0</v>
      </c>
      <c r="AD78" s="21">
        <v>0.8985711123657989</v>
      </c>
      <c r="AE78" s="55">
        <v>0.8985711123657989</v>
      </c>
      <c r="AF78" s="315">
        <f t="shared" si="11"/>
        <v>6175956.4027741542</v>
      </c>
    </row>
    <row r="79" spans="1:32" s="55" customFormat="1" ht="255" x14ac:dyDescent="0.25">
      <c r="A79" s="86" t="s">
        <v>588</v>
      </c>
      <c r="B79" s="117" t="s">
        <v>2270</v>
      </c>
      <c r="C79" s="52"/>
      <c r="D79" s="52" t="s">
        <v>2279</v>
      </c>
      <c r="E79" s="22" t="str">
        <f t="shared" si="9"/>
        <v>SEJUSPPROG</v>
      </c>
      <c r="F79" s="52" t="s">
        <v>729</v>
      </c>
      <c r="G79" s="22" t="str">
        <f t="shared" si="10"/>
        <v>P130SEJUSP</v>
      </c>
      <c r="H79" s="52" t="s">
        <v>1183</v>
      </c>
      <c r="I79" s="22" t="s">
        <v>16</v>
      </c>
      <c r="J79" s="52" t="s">
        <v>1634</v>
      </c>
      <c r="K79" s="22" t="str">
        <f>VLOOKUP(CONCATENATE(A79,LEFT(J79,4)),AGRUPAMENTO!$D$2:$E$6783,2,FALSE)</f>
        <v>Alimentação</v>
      </c>
      <c r="L79" s="52" t="s">
        <v>44</v>
      </c>
      <c r="M79" s="52" t="str">
        <f t="shared" si="7"/>
        <v>FONTESEJUSP</v>
      </c>
      <c r="N79" s="52">
        <v>60</v>
      </c>
      <c r="O79" s="52" t="s">
        <v>2355</v>
      </c>
      <c r="P79" s="52" t="s">
        <v>46</v>
      </c>
      <c r="Q79" s="52" t="s">
        <v>3752</v>
      </c>
      <c r="R79" s="185">
        <v>13475.43334097365</v>
      </c>
      <c r="S79" s="52" t="s">
        <v>3753</v>
      </c>
      <c r="T79" s="186">
        <v>21.218</v>
      </c>
      <c r="U79" s="53">
        <v>12</v>
      </c>
      <c r="V79" s="58">
        <f t="shared" si="8"/>
        <v>3431060.9355453467</v>
      </c>
      <c r="W79" s="52" t="s">
        <v>49</v>
      </c>
      <c r="X79" s="52" t="s">
        <v>4365</v>
      </c>
      <c r="Y79" s="52" t="s">
        <v>4366</v>
      </c>
      <c r="Z79" s="52" t="s">
        <v>4367</v>
      </c>
      <c r="AA79" s="52">
        <v>0</v>
      </c>
      <c r="AB79" s="52">
        <v>0</v>
      </c>
      <c r="AC79" s="52">
        <v>0</v>
      </c>
      <c r="AD79" s="21">
        <v>0.8985711123657989</v>
      </c>
      <c r="AE79" s="55">
        <v>0.8985711123657989</v>
      </c>
      <c r="AF79" s="315">
        <f t="shared" si="11"/>
        <v>3083052.2414478208</v>
      </c>
    </row>
    <row r="80" spans="1:32" s="55" customFormat="1" ht="255" x14ac:dyDescent="0.25">
      <c r="A80" s="86" t="s">
        <v>588</v>
      </c>
      <c r="B80" s="117" t="s">
        <v>2270</v>
      </c>
      <c r="C80" s="52"/>
      <c r="D80" s="52" t="s">
        <v>2279</v>
      </c>
      <c r="E80" s="22" t="str">
        <f t="shared" si="9"/>
        <v>SEJUSPPROG</v>
      </c>
      <c r="F80" s="52" t="s">
        <v>729</v>
      </c>
      <c r="G80" s="22" t="str">
        <f t="shared" si="10"/>
        <v>P130SEJUSP</v>
      </c>
      <c r="H80" s="52" t="s">
        <v>1183</v>
      </c>
      <c r="I80" s="22" t="s">
        <v>16</v>
      </c>
      <c r="J80" s="52" t="s">
        <v>1634</v>
      </c>
      <c r="K80" s="22" t="str">
        <f>VLOOKUP(CONCATENATE(A80,LEFT(J80,4)),AGRUPAMENTO!$D$2:$E$6783,2,FALSE)</f>
        <v>Alimentação</v>
      </c>
      <c r="L80" s="52" t="s">
        <v>44</v>
      </c>
      <c r="M80" s="52" t="str">
        <f t="shared" si="7"/>
        <v>FONTESEJUSP</v>
      </c>
      <c r="N80" s="52">
        <v>60</v>
      </c>
      <c r="O80" s="52" t="s">
        <v>2356</v>
      </c>
      <c r="P80" s="52" t="s">
        <v>46</v>
      </c>
      <c r="Q80" s="52" t="s">
        <v>3752</v>
      </c>
      <c r="R80" s="185">
        <v>6232.636568152283</v>
      </c>
      <c r="S80" s="52" t="s">
        <v>3753</v>
      </c>
      <c r="T80" s="186">
        <v>16.212199999999999</v>
      </c>
      <c r="U80" s="53">
        <v>12</v>
      </c>
      <c r="V80" s="58">
        <f t="shared" si="8"/>
        <v>1212537.0068423813</v>
      </c>
      <c r="W80" s="52" t="s">
        <v>49</v>
      </c>
      <c r="X80" s="52" t="s">
        <v>4365</v>
      </c>
      <c r="Y80" s="52" t="s">
        <v>4366</v>
      </c>
      <c r="Z80" s="52" t="s">
        <v>4367</v>
      </c>
      <c r="AA80" s="52">
        <v>0</v>
      </c>
      <c r="AB80" s="52">
        <v>0</v>
      </c>
      <c r="AC80" s="52">
        <v>0</v>
      </c>
      <c r="AD80" s="21">
        <v>0.8985711123657989</v>
      </c>
      <c r="AE80" s="55">
        <v>0.8985711123657989</v>
      </c>
      <c r="AF80" s="315">
        <f t="shared" si="11"/>
        <v>1089550.7270230548</v>
      </c>
    </row>
    <row r="81" spans="1:32" s="55" customFormat="1" ht="255" x14ac:dyDescent="0.25">
      <c r="A81" s="86" t="s">
        <v>588</v>
      </c>
      <c r="B81" s="117" t="s">
        <v>2270</v>
      </c>
      <c r="C81" s="52"/>
      <c r="D81" s="52" t="s">
        <v>2279</v>
      </c>
      <c r="E81" s="22" t="str">
        <f t="shared" si="9"/>
        <v>SEJUSPPROG</v>
      </c>
      <c r="F81" s="52" t="s">
        <v>729</v>
      </c>
      <c r="G81" s="22" t="str">
        <f t="shared" si="10"/>
        <v>P130SEJUSP</v>
      </c>
      <c r="H81" s="52" t="s">
        <v>1183</v>
      </c>
      <c r="I81" s="22" t="s">
        <v>16</v>
      </c>
      <c r="J81" s="52" t="s">
        <v>1634</v>
      </c>
      <c r="K81" s="22" t="str">
        <f>VLOOKUP(CONCATENATE(A81,LEFT(J81,4)),AGRUPAMENTO!$D$2:$E$6783,2,FALSE)</f>
        <v>Alimentação</v>
      </c>
      <c r="L81" s="52" t="s">
        <v>44</v>
      </c>
      <c r="M81" s="52" t="str">
        <f t="shared" si="7"/>
        <v>FONTESEJUSP</v>
      </c>
      <c r="N81" s="52">
        <v>60</v>
      </c>
      <c r="O81" s="52" t="s">
        <v>2357</v>
      </c>
      <c r="P81" s="52" t="s">
        <v>46</v>
      </c>
      <c r="Q81" s="52" t="s">
        <v>3752</v>
      </c>
      <c r="R81" s="185">
        <v>37371.194556588285</v>
      </c>
      <c r="S81" s="52" t="s">
        <v>3753</v>
      </c>
      <c r="T81" s="186">
        <v>26.0487</v>
      </c>
      <c r="U81" s="53">
        <v>12</v>
      </c>
      <c r="V81" s="58">
        <f t="shared" si="8"/>
        <v>11681652.427754415</v>
      </c>
      <c r="W81" s="52" t="s">
        <v>49</v>
      </c>
      <c r="X81" s="52" t="s">
        <v>4365</v>
      </c>
      <c r="Y81" s="52" t="s">
        <v>4366</v>
      </c>
      <c r="Z81" s="52" t="s">
        <v>4367</v>
      </c>
      <c r="AA81" s="52">
        <v>0</v>
      </c>
      <c r="AB81" s="52">
        <v>0</v>
      </c>
      <c r="AC81" s="52">
        <v>0</v>
      </c>
      <c r="AD81" s="21">
        <v>0.8985711123657989</v>
      </c>
      <c r="AE81" s="55">
        <v>0.8985711123657989</v>
      </c>
      <c r="AF81" s="315">
        <f t="shared" si="11"/>
        <v>10496795.416277921</v>
      </c>
    </row>
    <row r="82" spans="1:32" s="55" customFormat="1" ht="255" x14ac:dyDescent="0.25">
      <c r="A82" s="86" t="s">
        <v>588</v>
      </c>
      <c r="B82" s="117" t="s">
        <v>2270</v>
      </c>
      <c r="C82" s="52"/>
      <c r="D82" s="52" t="s">
        <v>2279</v>
      </c>
      <c r="E82" s="22" t="str">
        <f t="shared" si="9"/>
        <v>SEJUSPPROG</v>
      </c>
      <c r="F82" s="52" t="s">
        <v>729</v>
      </c>
      <c r="G82" s="22" t="str">
        <f t="shared" si="10"/>
        <v>P130SEJUSP</v>
      </c>
      <c r="H82" s="52" t="s">
        <v>1183</v>
      </c>
      <c r="I82" s="22" t="s">
        <v>16</v>
      </c>
      <c r="J82" s="52" t="s">
        <v>1634</v>
      </c>
      <c r="K82" s="22" t="str">
        <f>VLOOKUP(CONCATENATE(A82,LEFT(J82,4)),AGRUPAMENTO!$D$2:$E$6783,2,FALSE)</f>
        <v>Alimentação</v>
      </c>
      <c r="L82" s="52" t="s">
        <v>44</v>
      </c>
      <c r="M82" s="52" t="str">
        <f t="shared" si="7"/>
        <v>FONTESEJUSP</v>
      </c>
      <c r="N82" s="52">
        <v>60</v>
      </c>
      <c r="O82" s="52" t="s">
        <v>2358</v>
      </c>
      <c r="P82" s="52" t="s">
        <v>46</v>
      </c>
      <c r="Q82" s="52" t="s">
        <v>3752</v>
      </c>
      <c r="R82" s="185">
        <v>41758.12112429316</v>
      </c>
      <c r="S82" s="52" t="s">
        <v>3753</v>
      </c>
      <c r="T82" s="186">
        <v>16.974399999999996</v>
      </c>
      <c r="U82" s="53">
        <v>12</v>
      </c>
      <c r="V82" s="58">
        <f t="shared" si="8"/>
        <v>8505828.6145464182</v>
      </c>
      <c r="W82" s="52" t="s">
        <v>49</v>
      </c>
      <c r="X82" s="52" t="s">
        <v>4365</v>
      </c>
      <c r="Y82" s="52" t="s">
        <v>4366</v>
      </c>
      <c r="Z82" s="52" t="s">
        <v>4367</v>
      </c>
      <c r="AA82" s="52">
        <v>0</v>
      </c>
      <c r="AB82" s="52">
        <v>0</v>
      </c>
      <c r="AC82" s="52">
        <v>0</v>
      </c>
      <c r="AD82" s="21">
        <v>0.8985711123657989</v>
      </c>
      <c r="AE82" s="55">
        <v>0.8985711123657989</v>
      </c>
      <c r="AF82" s="315">
        <f t="shared" si="11"/>
        <v>7643091.879765817</v>
      </c>
    </row>
    <row r="83" spans="1:32" s="55" customFormat="1" ht="255" x14ac:dyDescent="0.25">
      <c r="A83" s="86" t="s">
        <v>588</v>
      </c>
      <c r="B83" s="117" t="s">
        <v>2270</v>
      </c>
      <c r="C83" s="52"/>
      <c r="D83" s="52" t="s">
        <v>2279</v>
      </c>
      <c r="E83" s="22" t="str">
        <f t="shared" si="9"/>
        <v>SEJUSPPROG</v>
      </c>
      <c r="F83" s="52" t="s">
        <v>729</v>
      </c>
      <c r="G83" s="22" t="str">
        <f t="shared" si="10"/>
        <v>P130SEJUSP</v>
      </c>
      <c r="H83" s="52" t="s">
        <v>1183</v>
      </c>
      <c r="I83" s="22" t="s">
        <v>16</v>
      </c>
      <c r="J83" s="52" t="s">
        <v>1634</v>
      </c>
      <c r="K83" s="22" t="str">
        <f>VLOOKUP(CONCATENATE(A83,LEFT(J83,4)),AGRUPAMENTO!$D$2:$E$6783,2,FALSE)</f>
        <v>Alimentação</v>
      </c>
      <c r="L83" s="52" t="s">
        <v>44</v>
      </c>
      <c r="M83" s="52" t="str">
        <f t="shared" si="7"/>
        <v>FONTESEJUSP</v>
      </c>
      <c r="N83" s="52">
        <v>60</v>
      </c>
      <c r="O83" s="52" t="s">
        <v>2359</v>
      </c>
      <c r="P83" s="52" t="s">
        <v>46</v>
      </c>
      <c r="Q83" s="52" t="s">
        <v>3752</v>
      </c>
      <c r="R83" s="185">
        <v>37348.035480960192</v>
      </c>
      <c r="S83" s="52" t="s">
        <v>3753</v>
      </c>
      <c r="T83" s="186">
        <v>25.605799999999999</v>
      </c>
      <c r="U83" s="53">
        <v>12</v>
      </c>
      <c r="V83" s="58">
        <f t="shared" si="8"/>
        <v>11475915.923020445</v>
      </c>
      <c r="W83" s="52" t="s">
        <v>49</v>
      </c>
      <c r="X83" s="52" t="s">
        <v>4365</v>
      </c>
      <c r="Y83" s="52" t="s">
        <v>4366</v>
      </c>
      <c r="Z83" s="52" t="s">
        <v>4367</v>
      </c>
      <c r="AA83" s="52">
        <v>0</v>
      </c>
      <c r="AB83" s="52">
        <v>0</v>
      </c>
      <c r="AC83" s="52">
        <v>0</v>
      </c>
      <c r="AD83" s="21">
        <v>0.8985711123657989</v>
      </c>
      <c r="AE83" s="55">
        <v>0.8985711123657989</v>
      </c>
      <c r="AF83" s="315">
        <f t="shared" si="11"/>
        <v>10311926.536364865</v>
      </c>
    </row>
    <row r="84" spans="1:32" s="55" customFormat="1" ht="255" x14ac:dyDescent="0.25">
      <c r="A84" s="86" t="s">
        <v>588</v>
      </c>
      <c r="B84" s="117" t="s">
        <v>2270</v>
      </c>
      <c r="C84" s="52"/>
      <c r="D84" s="52" t="s">
        <v>2279</v>
      </c>
      <c r="E84" s="22" t="str">
        <f t="shared" si="9"/>
        <v>SEJUSPPROG</v>
      </c>
      <c r="F84" s="52" t="s">
        <v>729</v>
      </c>
      <c r="G84" s="22" t="str">
        <f t="shared" si="10"/>
        <v>P130SEJUSP</v>
      </c>
      <c r="H84" s="52" t="s">
        <v>1183</v>
      </c>
      <c r="I84" s="22" t="s">
        <v>16</v>
      </c>
      <c r="J84" s="52" t="s">
        <v>1634</v>
      </c>
      <c r="K84" s="22" t="str">
        <f>VLOOKUP(CONCATENATE(A84,LEFT(J84,4)),AGRUPAMENTO!$D$2:$E$6783,2,FALSE)</f>
        <v>Alimentação</v>
      </c>
      <c r="L84" s="52" t="s">
        <v>44</v>
      </c>
      <c r="M84" s="52" t="str">
        <f t="shared" si="7"/>
        <v>FONTESEJUSP</v>
      </c>
      <c r="N84" s="52">
        <v>60</v>
      </c>
      <c r="O84" s="52" t="s">
        <v>2360</v>
      </c>
      <c r="P84" s="52" t="s">
        <v>46</v>
      </c>
      <c r="Q84" s="52" t="s">
        <v>3752</v>
      </c>
      <c r="R84" s="185">
        <v>24157.939854148728</v>
      </c>
      <c r="S84" s="52" t="s">
        <v>3753</v>
      </c>
      <c r="T84" s="186">
        <v>27.2744</v>
      </c>
      <c r="U84" s="53">
        <v>12</v>
      </c>
      <c r="V84" s="58">
        <f t="shared" si="8"/>
        <v>7906719.7770959288</v>
      </c>
      <c r="W84" s="52" t="s">
        <v>49</v>
      </c>
      <c r="X84" s="52" t="s">
        <v>4365</v>
      </c>
      <c r="Y84" s="52" t="s">
        <v>4366</v>
      </c>
      <c r="Z84" s="52" t="s">
        <v>4367</v>
      </c>
      <c r="AA84" s="52">
        <v>0</v>
      </c>
      <c r="AB84" s="52">
        <v>0</v>
      </c>
      <c r="AC84" s="52">
        <v>0</v>
      </c>
      <c r="AD84" s="21">
        <v>0.8985711123657989</v>
      </c>
      <c r="AE84" s="55">
        <v>0.8985711123657989</v>
      </c>
      <c r="AF84" s="315">
        <f t="shared" si="11"/>
        <v>7104749.9852697505</v>
      </c>
    </row>
    <row r="85" spans="1:32" s="55" customFormat="1" ht="255" x14ac:dyDescent="0.25">
      <c r="A85" s="86" t="s">
        <v>588</v>
      </c>
      <c r="B85" s="117" t="s">
        <v>2270</v>
      </c>
      <c r="C85" s="52"/>
      <c r="D85" s="52" t="s">
        <v>2279</v>
      </c>
      <c r="E85" s="22" t="str">
        <f t="shared" si="9"/>
        <v>SEJUSPPROG</v>
      </c>
      <c r="F85" s="52" t="s">
        <v>729</v>
      </c>
      <c r="G85" s="22" t="str">
        <f t="shared" si="10"/>
        <v>P130SEJUSP</v>
      </c>
      <c r="H85" s="52" t="s">
        <v>1183</v>
      </c>
      <c r="I85" s="22" t="s">
        <v>16</v>
      </c>
      <c r="J85" s="52" t="s">
        <v>1634</v>
      </c>
      <c r="K85" s="22" t="str">
        <f>VLOOKUP(CONCATENATE(A85,LEFT(J85,4)),AGRUPAMENTO!$D$2:$E$6783,2,FALSE)</f>
        <v>Alimentação</v>
      </c>
      <c r="L85" s="52" t="s">
        <v>44</v>
      </c>
      <c r="M85" s="52" t="str">
        <f t="shared" si="7"/>
        <v>FONTESEJUSP</v>
      </c>
      <c r="N85" s="52">
        <v>60</v>
      </c>
      <c r="O85" s="52" t="s">
        <v>2361</v>
      </c>
      <c r="P85" s="52" t="s">
        <v>46</v>
      </c>
      <c r="Q85" s="52" t="s">
        <v>3752</v>
      </c>
      <c r="R85" s="185">
        <v>38430.611529629074</v>
      </c>
      <c r="S85" s="52" t="s">
        <v>3753</v>
      </c>
      <c r="T85" s="186">
        <v>17.7469</v>
      </c>
      <c r="U85" s="53">
        <v>12</v>
      </c>
      <c r="V85" s="58">
        <f t="shared" si="8"/>
        <v>8184290.6370620914</v>
      </c>
      <c r="W85" s="52" t="s">
        <v>49</v>
      </c>
      <c r="X85" s="52" t="s">
        <v>4365</v>
      </c>
      <c r="Y85" s="52" t="s">
        <v>4366</v>
      </c>
      <c r="Z85" s="52" t="s">
        <v>4367</v>
      </c>
      <c r="AA85" s="52">
        <v>0</v>
      </c>
      <c r="AB85" s="52">
        <v>0</v>
      </c>
      <c r="AC85" s="52">
        <v>0</v>
      </c>
      <c r="AD85" s="21">
        <v>0.8985711123657989</v>
      </c>
      <c r="AE85" s="55">
        <v>0.8985711123657989</v>
      </c>
      <c r="AF85" s="315">
        <f t="shared" si="11"/>
        <v>7354167.1416698759</v>
      </c>
    </row>
    <row r="86" spans="1:32" s="55" customFormat="1" ht="255" x14ac:dyDescent="0.25">
      <c r="A86" s="86" t="s">
        <v>588</v>
      </c>
      <c r="B86" s="117" t="s">
        <v>2270</v>
      </c>
      <c r="C86" s="52"/>
      <c r="D86" s="52" t="s">
        <v>2279</v>
      </c>
      <c r="E86" s="22" t="str">
        <f t="shared" si="9"/>
        <v>SEJUSPPROG</v>
      </c>
      <c r="F86" s="52" t="s">
        <v>729</v>
      </c>
      <c r="G86" s="22" t="str">
        <f t="shared" si="10"/>
        <v>P130SEJUSP</v>
      </c>
      <c r="H86" s="52" t="s">
        <v>1183</v>
      </c>
      <c r="I86" s="22" t="s">
        <v>16</v>
      </c>
      <c r="J86" s="52" t="s">
        <v>1634</v>
      </c>
      <c r="K86" s="22" t="str">
        <f>VLOOKUP(CONCATENATE(A86,LEFT(J86,4)),AGRUPAMENTO!$D$2:$E$6783,2,FALSE)</f>
        <v>Alimentação</v>
      </c>
      <c r="L86" s="52" t="s">
        <v>44</v>
      </c>
      <c r="M86" s="52" t="str">
        <f t="shared" si="7"/>
        <v>FONTESEJUSP</v>
      </c>
      <c r="N86" s="52">
        <v>60</v>
      </c>
      <c r="O86" s="52" t="s">
        <v>2362</v>
      </c>
      <c r="P86" s="52" t="s">
        <v>46</v>
      </c>
      <c r="Q86" s="52" t="s">
        <v>3752</v>
      </c>
      <c r="R86" s="185">
        <v>45648.974110037372</v>
      </c>
      <c r="S86" s="52" t="s">
        <v>3753</v>
      </c>
      <c r="T86" s="186">
        <v>17.128900000000002</v>
      </c>
      <c r="U86" s="53">
        <v>12</v>
      </c>
      <c r="V86" s="58">
        <f t="shared" si="8"/>
        <v>9383000.5516010299</v>
      </c>
      <c r="W86" s="52" t="s">
        <v>49</v>
      </c>
      <c r="X86" s="52" t="s">
        <v>4365</v>
      </c>
      <c r="Y86" s="52" t="s">
        <v>4366</v>
      </c>
      <c r="Z86" s="52" t="s">
        <v>4367</v>
      </c>
      <c r="AA86" s="52">
        <v>0</v>
      </c>
      <c r="AB86" s="52">
        <v>0</v>
      </c>
      <c r="AC86" s="52">
        <v>0</v>
      </c>
      <c r="AD86" s="21">
        <v>0.8985711123657989</v>
      </c>
      <c r="AE86" s="55">
        <v>0.8985711123657989</v>
      </c>
      <c r="AF86" s="315">
        <f t="shared" si="11"/>
        <v>8431293.2429810427</v>
      </c>
    </row>
    <row r="87" spans="1:32" s="55" customFormat="1" ht="255" x14ac:dyDescent="0.25">
      <c r="A87" s="86" t="s">
        <v>588</v>
      </c>
      <c r="B87" s="117" t="s">
        <v>2270</v>
      </c>
      <c r="C87" s="52"/>
      <c r="D87" s="52" t="s">
        <v>2279</v>
      </c>
      <c r="E87" s="22" t="str">
        <f t="shared" si="9"/>
        <v>SEJUSPPROG</v>
      </c>
      <c r="F87" s="52" t="s">
        <v>729</v>
      </c>
      <c r="G87" s="22" t="str">
        <f t="shared" si="10"/>
        <v>P130SEJUSP</v>
      </c>
      <c r="H87" s="52" t="s">
        <v>1183</v>
      </c>
      <c r="I87" s="22" t="s">
        <v>16</v>
      </c>
      <c r="J87" s="52" t="s">
        <v>1634</v>
      </c>
      <c r="K87" s="22" t="str">
        <f>VLOOKUP(CONCATENATE(A87,LEFT(J87,4)),AGRUPAMENTO!$D$2:$E$6783,2,FALSE)</f>
        <v>Alimentação</v>
      </c>
      <c r="L87" s="52" t="s">
        <v>44</v>
      </c>
      <c r="M87" s="52" t="str">
        <f t="shared" si="7"/>
        <v>FONTESEJUSP</v>
      </c>
      <c r="N87" s="52">
        <v>60</v>
      </c>
      <c r="O87" s="52" t="s">
        <v>2363</v>
      </c>
      <c r="P87" s="52" t="s">
        <v>46</v>
      </c>
      <c r="Q87" s="52" t="s">
        <v>3752</v>
      </c>
      <c r="R87" s="185">
        <v>37593.398991465125</v>
      </c>
      <c r="S87" s="52" t="s">
        <v>3753</v>
      </c>
      <c r="T87" s="186">
        <v>18.1692</v>
      </c>
      <c r="U87" s="53">
        <v>12</v>
      </c>
      <c r="V87" s="58">
        <f t="shared" si="8"/>
        <v>8196503.8194687385</v>
      </c>
      <c r="W87" s="52" t="s">
        <v>49</v>
      </c>
      <c r="X87" s="52" t="s">
        <v>4365</v>
      </c>
      <c r="Y87" s="52" t="s">
        <v>4366</v>
      </c>
      <c r="Z87" s="52" t="s">
        <v>4367</v>
      </c>
      <c r="AA87" s="52">
        <v>0</v>
      </c>
      <c r="AB87" s="52">
        <v>0</v>
      </c>
      <c r="AC87" s="52">
        <v>0</v>
      </c>
      <c r="AD87" s="21">
        <v>0.8985711123657989</v>
      </c>
      <c r="AE87" s="55">
        <v>0.8985711123657989</v>
      </c>
      <c r="AF87" s="315">
        <f t="shared" si="11"/>
        <v>7365141.5545705436</v>
      </c>
    </row>
    <row r="88" spans="1:32" s="55" customFormat="1" ht="255" x14ac:dyDescent="0.25">
      <c r="A88" s="86" t="s">
        <v>588</v>
      </c>
      <c r="B88" s="117" t="s">
        <v>2270</v>
      </c>
      <c r="C88" s="52"/>
      <c r="D88" s="52" t="s">
        <v>2279</v>
      </c>
      <c r="E88" s="22" t="str">
        <f t="shared" si="9"/>
        <v>SEJUSPPROG</v>
      </c>
      <c r="F88" s="52" t="s">
        <v>729</v>
      </c>
      <c r="G88" s="22" t="str">
        <f t="shared" si="10"/>
        <v>P130SEJUSP</v>
      </c>
      <c r="H88" s="52" t="s">
        <v>1183</v>
      </c>
      <c r="I88" s="22" t="s">
        <v>16</v>
      </c>
      <c r="J88" s="52" t="s">
        <v>1634</v>
      </c>
      <c r="K88" s="22" t="str">
        <f>VLOOKUP(CONCATENATE(A88,LEFT(J88,4)),AGRUPAMENTO!$D$2:$E$6783,2,FALSE)</f>
        <v>Alimentação</v>
      </c>
      <c r="L88" s="52" t="s">
        <v>44</v>
      </c>
      <c r="M88" s="52" t="str">
        <f t="shared" si="7"/>
        <v>FONTESEJUSP</v>
      </c>
      <c r="N88" s="52">
        <v>60</v>
      </c>
      <c r="O88" s="52" t="s">
        <v>2364</v>
      </c>
      <c r="P88" s="52" t="s">
        <v>46</v>
      </c>
      <c r="Q88" s="52" t="s">
        <v>3752</v>
      </c>
      <c r="R88" s="185">
        <v>43996.46325081461</v>
      </c>
      <c r="S88" s="52" t="s">
        <v>3753</v>
      </c>
      <c r="T88" s="186">
        <v>15.625099999999998</v>
      </c>
      <c r="U88" s="53">
        <v>12</v>
      </c>
      <c r="V88" s="58">
        <f t="shared" si="8"/>
        <v>8249389.6552836392</v>
      </c>
      <c r="W88" s="52" t="s">
        <v>49</v>
      </c>
      <c r="X88" s="52" t="s">
        <v>4365</v>
      </c>
      <c r="Y88" s="52" t="s">
        <v>4366</v>
      </c>
      <c r="Z88" s="52" t="s">
        <v>4367</v>
      </c>
      <c r="AA88" s="52">
        <v>0</v>
      </c>
      <c r="AB88" s="52">
        <v>0</v>
      </c>
      <c r="AC88" s="52">
        <v>0</v>
      </c>
      <c r="AD88" s="21">
        <v>0.8985711123657989</v>
      </c>
      <c r="AE88" s="55">
        <v>0.8985711123657989</v>
      </c>
      <c r="AF88" s="315">
        <f t="shared" si="11"/>
        <v>7412663.238887134</v>
      </c>
    </row>
    <row r="89" spans="1:32" s="55" customFormat="1" ht="255" x14ac:dyDescent="0.25">
      <c r="A89" s="86" t="s">
        <v>588</v>
      </c>
      <c r="B89" s="117" t="s">
        <v>2270</v>
      </c>
      <c r="C89" s="52"/>
      <c r="D89" s="52" t="s">
        <v>2279</v>
      </c>
      <c r="E89" s="22" t="str">
        <f t="shared" si="9"/>
        <v>SEJUSPPROG</v>
      </c>
      <c r="F89" s="52" t="s">
        <v>729</v>
      </c>
      <c r="G89" s="22" t="str">
        <f t="shared" si="10"/>
        <v>P130SEJUSP</v>
      </c>
      <c r="H89" s="52" t="s">
        <v>1183</v>
      </c>
      <c r="I89" s="22" t="s">
        <v>16</v>
      </c>
      <c r="J89" s="52" t="s">
        <v>1634</v>
      </c>
      <c r="K89" s="22" t="str">
        <f>VLOOKUP(CONCATENATE(A89,LEFT(J89,4)),AGRUPAMENTO!$D$2:$E$6783,2,FALSE)</f>
        <v>Alimentação</v>
      </c>
      <c r="L89" s="52" t="s">
        <v>44</v>
      </c>
      <c r="M89" s="52" t="str">
        <f t="shared" si="7"/>
        <v>FONTESEJUSP</v>
      </c>
      <c r="N89" s="52">
        <v>60</v>
      </c>
      <c r="O89" s="52" t="s">
        <v>2365</v>
      </c>
      <c r="P89" s="52" t="s">
        <v>46</v>
      </c>
      <c r="Q89" s="52" t="s">
        <v>3752</v>
      </c>
      <c r="R89" s="185">
        <v>31305.561883498765</v>
      </c>
      <c r="S89" s="52" t="s">
        <v>3753</v>
      </c>
      <c r="T89" s="186">
        <v>17.128900000000002</v>
      </c>
      <c r="U89" s="53">
        <v>12</v>
      </c>
      <c r="V89" s="58">
        <f t="shared" si="8"/>
        <v>6434758.0673551448</v>
      </c>
      <c r="W89" s="52" t="s">
        <v>49</v>
      </c>
      <c r="X89" s="52" t="s">
        <v>4365</v>
      </c>
      <c r="Y89" s="52" t="s">
        <v>4366</v>
      </c>
      <c r="Z89" s="52" t="s">
        <v>4367</v>
      </c>
      <c r="AA89" s="52">
        <v>0</v>
      </c>
      <c r="AB89" s="52">
        <v>0</v>
      </c>
      <c r="AC89" s="52">
        <v>0</v>
      </c>
      <c r="AD89" s="21">
        <v>0.8985711123657989</v>
      </c>
      <c r="AE89" s="55">
        <v>0.8985711123657989</v>
      </c>
      <c r="AF89" s="315">
        <f t="shared" si="11"/>
        <v>5782087.7143881107</v>
      </c>
    </row>
    <row r="90" spans="1:32" s="55" customFormat="1" ht="255" x14ac:dyDescent="0.25">
      <c r="A90" s="86" t="s">
        <v>588</v>
      </c>
      <c r="B90" s="117" t="s">
        <v>2270</v>
      </c>
      <c r="C90" s="52"/>
      <c r="D90" s="52" t="s">
        <v>2279</v>
      </c>
      <c r="E90" s="22" t="str">
        <f t="shared" si="9"/>
        <v>SEJUSPPROG</v>
      </c>
      <c r="F90" s="52" t="s">
        <v>729</v>
      </c>
      <c r="G90" s="22" t="str">
        <f t="shared" si="10"/>
        <v>P130SEJUSP</v>
      </c>
      <c r="H90" s="52" t="s">
        <v>1183</v>
      </c>
      <c r="I90" s="22" t="s">
        <v>16</v>
      </c>
      <c r="J90" s="52" t="s">
        <v>1634</v>
      </c>
      <c r="K90" s="22" t="str">
        <f>VLOOKUP(CONCATENATE(A90,LEFT(J90,4)),AGRUPAMENTO!$D$2:$E$6783,2,FALSE)</f>
        <v>Alimentação</v>
      </c>
      <c r="L90" s="52" t="s">
        <v>44</v>
      </c>
      <c r="M90" s="52" t="str">
        <f t="shared" si="7"/>
        <v>FONTESEJUSP</v>
      </c>
      <c r="N90" s="52">
        <v>60</v>
      </c>
      <c r="O90" s="52" t="s">
        <v>2366</v>
      </c>
      <c r="P90" s="52" t="s">
        <v>46</v>
      </c>
      <c r="Q90" s="52" t="s">
        <v>3752</v>
      </c>
      <c r="R90" s="185">
        <v>16407.274684852691</v>
      </c>
      <c r="S90" s="52" t="s">
        <v>3753</v>
      </c>
      <c r="T90" s="186">
        <v>25.657299999999999</v>
      </c>
      <c r="U90" s="53">
        <v>12</v>
      </c>
      <c r="V90" s="58">
        <f t="shared" si="8"/>
        <v>5051596.4252600521</v>
      </c>
      <c r="W90" s="52" t="s">
        <v>49</v>
      </c>
      <c r="X90" s="52" t="s">
        <v>4365</v>
      </c>
      <c r="Y90" s="52" t="s">
        <v>4366</v>
      </c>
      <c r="Z90" s="52" t="s">
        <v>4367</v>
      </c>
      <c r="AA90" s="52">
        <v>0</v>
      </c>
      <c r="AB90" s="52">
        <v>0</v>
      </c>
      <c r="AC90" s="52">
        <v>0</v>
      </c>
      <c r="AD90" s="21">
        <v>0.8985711123657989</v>
      </c>
      <c r="AE90" s="55">
        <v>0.8985711123657989</v>
      </c>
      <c r="AF90" s="315">
        <f t="shared" si="11"/>
        <v>4539218.6190690184</v>
      </c>
    </row>
    <row r="91" spans="1:32" s="55" customFormat="1" ht="255" x14ac:dyDescent="0.25">
      <c r="A91" s="86" t="s">
        <v>588</v>
      </c>
      <c r="B91" s="117" t="s">
        <v>2270</v>
      </c>
      <c r="C91" s="52"/>
      <c r="D91" s="52" t="s">
        <v>2279</v>
      </c>
      <c r="E91" s="22" t="str">
        <f t="shared" si="9"/>
        <v>SEJUSPPROG</v>
      </c>
      <c r="F91" s="52" t="s">
        <v>729</v>
      </c>
      <c r="G91" s="22" t="str">
        <f t="shared" si="10"/>
        <v>P130SEJUSP</v>
      </c>
      <c r="H91" s="52" t="s">
        <v>1183</v>
      </c>
      <c r="I91" s="22" t="s">
        <v>16</v>
      </c>
      <c r="J91" s="52" t="s">
        <v>1634</v>
      </c>
      <c r="K91" s="22" t="str">
        <f>VLOOKUP(CONCATENATE(A91,LEFT(J91,4)),AGRUPAMENTO!$D$2:$E$6783,2,FALSE)</f>
        <v>Alimentação</v>
      </c>
      <c r="L91" s="52" t="s">
        <v>44</v>
      </c>
      <c r="M91" s="52" t="str">
        <f t="shared" si="7"/>
        <v>FONTESEJUSP</v>
      </c>
      <c r="N91" s="52">
        <v>60</v>
      </c>
      <c r="O91" s="52" t="s">
        <v>2367</v>
      </c>
      <c r="P91" s="52" t="s">
        <v>46</v>
      </c>
      <c r="Q91" s="52" t="s">
        <v>3752</v>
      </c>
      <c r="R91" s="185">
        <v>12671.103023602069</v>
      </c>
      <c r="S91" s="52" t="s">
        <v>3753</v>
      </c>
      <c r="T91" s="186">
        <v>15.130699999999999</v>
      </c>
      <c r="U91" s="53">
        <v>12</v>
      </c>
      <c r="V91" s="58">
        <f t="shared" si="8"/>
        <v>2300671.9022305897</v>
      </c>
      <c r="W91" s="52" t="s">
        <v>49</v>
      </c>
      <c r="X91" s="52" t="s">
        <v>4365</v>
      </c>
      <c r="Y91" s="52" t="s">
        <v>4366</v>
      </c>
      <c r="Z91" s="52" t="s">
        <v>4367</v>
      </c>
      <c r="AA91" s="52">
        <v>0</v>
      </c>
      <c r="AB91" s="52">
        <v>0</v>
      </c>
      <c r="AC91" s="52">
        <v>0</v>
      </c>
      <c r="AD91" s="21">
        <v>0.8985711123657989</v>
      </c>
      <c r="AE91" s="55">
        <v>0.8985711123657989</v>
      </c>
      <c r="AF91" s="315">
        <f t="shared" si="11"/>
        <v>2067317.3103760795</v>
      </c>
    </row>
    <row r="92" spans="1:32" s="55" customFormat="1" ht="255" x14ac:dyDescent="0.25">
      <c r="A92" s="86" t="s">
        <v>588</v>
      </c>
      <c r="B92" s="117" t="s">
        <v>2270</v>
      </c>
      <c r="C92" s="52"/>
      <c r="D92" s="52" t="s">
        <v>2279</v>
      </c>
      <c r="E92" s="22" t="str">
        <f t="shared" si="9"/>
        <v>SEJUSPPROG</v>
      </c>
      <c r="F92" s="52" t="s">
        <v>729</v>
      </c>
      <c r="G92" s="22" t="str">
        <f t="shared" si="10"/>
        <v>P130SEJUSP</v>
      </c>
      <c r="H92" s="52" t="s">
        <v>1183</v>
      </c>
      <c r="I92" s="22" t="s">
        <v>16</v>
      </c>
      <c r="J92" s="52" t="s">
        <v>1634</v>
      </c>
      <c r="K92" s="22" t="str">
        <f>VLOOKUP(CONCATENATE(A92,LEFT(J92,4)),AGRUPAMENTO!$D$2:$E$6783,2,FALSE)</f>
        <v>Alimentação</v>
      </c>
      <c r="L92" s="52" t="s">
        <v>44</v>
      </c>
      <c r="M92" s="52" t="str">
        <f t="shared" si="7"/>
        <v>FONTESEJUSP</v>
      </c>
      <c r="N92" s="52">
        <v>60</v>
      </c>
      <c r="O92" s="52" t="s">
        <v>2368</v>
      </c>
      <c r="P92" s="52" t="s">
        <v>46</v>
      </c>
      <c r="Q92" s="52" t="s">
        <v>3752</v>
      </c>
      <c r="R92" s="185">
        <v>8804.1055298877673</v>
      </c>
      <c r="S92" s="52" t="s">
        <v>3753</v>
      </c>
      <c r="T92" s="186">
        <v>25.842700000000004</v>
      </c>
      <c r="U92" s="53">
        <v>12</v>
      </c>
      <c r="V92" s="58">
        <f t="shared" si="8"/>
        <v>2730262.2957267677</v>
      </c>
      <c r="W92" s="52" t="s">
        <v>49</v>
      </c>
      <c r="X92" s="52" t="s">
        <v>4365</v>
      </c>
      <c r="Y92" s="52" t="s">
        <v>4366</v>
      </c>
      <c r="Z92" s="52" t="s">
        <v>4367</v>
      </c>
      <c r="AA92" s="52">
        <v>0</v>
      </c>
      <c r="AB92" s="52">
        <v>0</v>
      </c>
      <c r="AC92" s="52">
        <v>0</v>
      </c>
      <c r="AD92" s="21">
        <v>0.8985711123657989</v>
      </c>
      <c r="AE92" s="55">
        <v>0.8985711123657989</v>
      </c>
      <c r="AF92" s="315">
        <f t="shared" si="11"/>
        <v>2453334.8281216016</v>
      </c>
    </row>
    <row r="93" spans="1:32" s="55" customFormat="1" ht="255" x14ac:dyDescent="0.25">
      <c r="A93" s="86" t="s">
        <v>588</v>
      </c>
      <c r="B93" s="117" t="s">
        <v>2270</v>
      </c>
      <c r="C93" s="52"/>
      <c r="D93" s="52" t="s">
        <v>2279</v>
      </c>
      <c r="E93" s="22" t="str">
        <f t="shared" si="9"/>
        <v>SEJUSPPROG</v>
      </c>
      <c r="F93" s="52" t="s">
        <v>729</v>
      </c>
      <c r="G93" s="22" t="str">
        <f t="shared" si="10"/>
        <v>P130SEJUSP</v>
      </c>
      <c r="H93" s="52" t="s">
        <v>1183</v>
      </c>
      <c r="I93" s="22" t="s">
        <v>16</v>
      </c>
      <c r="J93" s="52" t="s">
        <v>1634</v>
      </c>
      <c r="K93" s="22" t="str">
        <f>VLOOKUP(CONCATENATE(A93,LEFT(J93,4)),AGRUPAMENTO!$D$2:$E$6783,2,FALSE)</f>
        <v>Alimentação</v>
      </c>
      <c r="L93" s="52" t="s">
        <v>44</v>
      </c>
      <c r="M93" s="52" t="str">
        <f t="shared" si="7"/>
        <v>FONTESEJUSP</v>
      </c>
      <c r="N93" s="52">
        <v>60</v>
      </c>
      <c r="O93" s="52" t="s">
        <v>2369</v>
      </c>
      <c r="P93" s="52" t="s">
        <v>46</v>
      </c>
      <c r="Q93" s="52" t="s">
        <v>3752</v>
      </c>
      <c r="R93" s="185">
        <v>54434.117922145146</v>
      </c>
      <c r="S93" s="52" t="s">
        <v>3753</v>
      </c>
      <c r="T93" s="186">
        <v>18.1692</v>
      </c>
      <c r="U93" s="53">
        <v>12</v>
      </c>
      <c r="V93" s="58">
        <f t="shared" si="8"/>
        <v>11868292.504212474</v>
      </c>
      <c r="W93" s="52" t="s">
        <v>49</v>
      </c>
      <c r="X93" s="52" t="s">
        <v>4365</v>
      </c>
      <c r="Y93" s="52" t="s">
        <v>4366</v>
      </c>
      <c r="Z93" s="52" t="s">
        <v>4367</v>
      </c>
      <c r="AA93" s="52">
        <v>0</v>
      </c>
      <c r="AB93" s="52">
        <v>0</v>
      </c>
      <c r="AC93" s="52">
        <v>0</v>
      </c>
      <c r="AD93" s="21">
        <v>0.8985711123657989</v>
      </c>
      <c r="AE93" s="55">
        <v>0.8985711123657989</v>
      </c>
      <c r="AF93" s="315">
        <f t="shared" si="11"/>
        <v>10664504.797392877</v>
      </c>
    </row>
    <row r="94" spans="1:32" s="55" customFormat="1" ht="255" x14ac:dyDescent="0.25">
      <c r="A94" s="86" t="s">
        <v>588</v>
      </c>
      <c r="B94" s="117" t="s">
        <v>2270</v>
      </c>
      <c r="C94" s="52"/>
      <c r="D94" s="52" t="s">
        <v>2279</v>
      </c>
      <c r="E94" s="22" t="str">
        <f t="shared" si="9"/>
        <v>SEJUSPPROG</v>
      </c>
      <c r="F94" s="52" t="s">
        <v>729</v>
      </c>
      <c r="G94" s="22" t="str">
        <f t="shared" si="10"/>
        <v>P130SEJUSP</v>
      </c>
      <c r="H94" s="52" t="s">
        <v>1183</v>
      </c>
      <c r="I94" s="22" t="s">
        <v>16</v>
      </c>
      <c r="J94" s="52" t="s">
        <v>1634</v>
      </c>
      <c r="K94" s="22" t="str">
        <f>VLOOKUP(CONCATENATE(A94,LEFT(J94,4)),AGRUPAMENTO!$D$2:$E$6783,2,FALSE)</f>
        <v>Alimentação</v>
      </c>
      <c r="L94" s="52" t="s">
        <v>44</v>
      </c>
      <c r="M94" s="52" t="str">
        <f t="shared" si="7"/>
        <v>FONTESEJUSP</v>
      </c>
      <c r="N94" s="52">
        <v>60</v>
      </c>
      <c r="O94" s="52" t="s">
        <v>2370</v>
      </c>
      <c r="P94" s="52" t="s">
        <v>46</v>
      </c>
      <c r="Q94" s="52" t="s">
        <v>3752</v>
      </c>
      <c r="R94" s="185">
        <v>6559.1647894809203</v>
      </c>
      <c r="S94" s="52" t="s">
        <v>3753</v>
      </c>
      <c r="T94" s="186">
        <v>23.453100000000003</v>
      </c>
      <c r="U94" s="53">
        <v>12</v>
      </c>
      <c r="V94" s="58">
        <f t="shared" si="8"/>
        <v>1845992.9726900999</v>
      </c>
      <c r="W94" s="52" t="s">
        <v>49</v>
      </c>
      <c r="X94" s="52" t="s">
        <v>4365</v>
      </c>
      <c r="Y94" s="52" t="s">
        <v>4366</v>
      </c>
      <c r="Z94" s="52" t="s">
        <v>4367</v>
      </c>
      <c r="AA94" s="52">
        <v>0</v>
      </c>
      <c r="AB94" s="52">
        <v>0</v>
      </c>
      <c r="AC94" s="52">
        <v>0</v>
      </c>
      <c r="AD94" s="21">
        <v>0.8985711123657989</v>
      </c>
      <c r="AE94" s="55">
        <v>0.8985711123657989</v>
      </c>
      <c r="AF94" s="315">
        <f t="shared" si="11"/>
        <v>1658755.9588895908</v>
      </c>
    </row>
    <row r="95" spans="1:32" s="55" customFormat="1" ht="255" x14ac:dyDescent="0.25">
      <c r="A95" s="86" t="s">
        <v>588</v>
      </c>
      <c r="B95" s="117" t="s">
        <v>2270</v>
      </c>
      <c r="C95" s="52"/>
      <c r="D95" s="52" t="s">
        <v>2279</v>
      </c>
      <c r="E95" s="22" t="str">
        <f t="shared" si="9"/>
        <v>SEJUSPPROG</v>
      </c>
      <c r="F95" s="52" t="s">
        <v>729</v>
      </c>
      <c r="G95" s="22" t="str">
        <f t="shared" si="10"/>
        <v>P130SEJUSP</v>
      </c>
      <c r="H95" s="52" t="s">
        <v>1183</v>
      </c>
      <c r="I95" s="22" t="s">
        <v>16</v>
      </c>
      <c r="J95" s="52" t="s">
        <v>1634</v>
      </c>
      <c r="K95" s="22" t="str">
        <f>VLOOKUP(CONCATENATE(A95,LEFT(J95,4)),AGRUPAMENTO!$D$2:$E$6783,2,FALSE)</f>
        <v>Alimentação</v>
      </c>
      <c r="L95" s="52" t="s">
        <v>44</v>
      </c>
      <c r="M95" s="52" t="str">
        <f t="shared" si="7"/>
        <v>FONTESEJUSP</v>
      </c>
      <c r="N95" s="52">
        <v>60</v>
      </c>
      <c r="O95" s="52" t="s">
        <v>2371</v>
      </c>
      <c r="P95" s="52" t="s">
        <v>46</v>
      </c>
      <c r="Q95" s="52" t="s">
        <v>3752</v>
      </c>
      <c r="R95" s="185">
        <v>5784.4340278257559</v>
      </c>
      <c r="S95" s="52" t="s">
        <v>3753</v>
      </c>
      <c r="T95" s="186">
        <v>24.328600000000002</v>
      </c>
      <c r="U95" s="53">
        <v>12</v>
      </c>
      <c r="V95" s="58">
        <f t="shared" si="8"/>
        <v>1688726.1802723403</v>
      </c>
      <c r="W95" s="52" t="s">
        <v>49</v>
      </c>
      <c r="X95" s="52" t="s">
        <v>4365</v>
      </c>
      <c r="Y95" s="52" t="s">
        <v>4366</v>
      </c>
      <c r="Z95" s="52" t="s">
        <v>4367</v>
      </c>
      <c r="AA95" s="52">
        <v>0</v>
      </c>
      <c r="AB95" s="52">
        <v>0</v>
      </c>
      <c r="AC95" s="52">
        <v>0</v>
      </c>
      <c r="AD95" s="21">
        <v>0.8985711123657989</v>
      </c>
      <c r="AE95" s="55">
        <v>0.8985711123657989</v>
      </c>
      <c r="AF95" s="315">
        <f t="shared" si="11"/>
        <v>1517440.5622885635</v>
      </c>
    </row>
    <row r="96" spans="1:32" s="55" customFormat="1" ht="255" x14ac:dyDescent="0.25">
      <c r="A96" s="86" t="s">
        <v>588</v>
      </c>
      <c r="B96" s="117" t="s">
        <v>2270</v>
      </c>
      <c r="C96" s="52"/>
      <c r="D96" s="52" t="s">
        <v>2279</v>
      </c>
      <c r="E96" s="22" t="str">
        <f t="shared" si="9"/>
        <v>SEJUSPPROG</v>
      </c>
      <c r="F96" s="52" t="s">
        <v>729</v>
      </c>
      <c r="G96" s="22" t="str">
        <f t="shared" si="10"/>
        <v>P130SEJUSP</v>
      </c>
      <c r="H96" s="52" t="s">
        <v>1183</v>
      </c>
      <c r="I96" s="22" t="s">
        <v>16</v>
      </c>
      <c r="J96" s="52" t="s">
        <v>1634</v>
      </c>
      <c r="K96" s="22" t="str">
        <f>VLOOKUP(CONCATENATE(A96,LEFT(J96,4)),AGRUPAMENTO!$D$2:$E$6783,2,FALSE)</f>
        <v>Alimentação</v>
      </c>
      <c r="L96" s="52" t="s">
        <v>44</v>
      </c>
      <c r="M96" s="52" t="str">
        <f t="shared" si="7"/>
        <v>FONTESEJUSP</v>
      </c>
      <c r="N96" s="52">
        <v>60</v>
      </c>
      <c r="O96" s="52" t="s">
        <v>2372</v>
      </c>
      <c r="P96" s="52" t="s">
        <v>46</v>
      </c>
      <c r="Q96" s="52" t="s">
        <v>3752</v>
      </c>
      <c r="R96" s="185">
        <v>4328.0435840891469</v>
      </c>
      <c r="S96" s="52" t="s">
        <v>3753</v>
      </c>
      <c r="T96" s="186">
        <v>26.182599999999997</v>
      </c>
      <c r="U96" s="53">
        <v>12</v>
      </c>
      <c r="V96" s="58">
        <f t="shared" si="8"/>
        <v>1359833.2073372698</v>
      </c>
      <c r="W96" s="52" t="s">
        <v>49</v>
      </c>
      <c r="X96" s="52" t="s">
        <v>4365</v>
      </c>
      <c r="Y96" s="52" t="s">
        <v>4366</v>
      </c>
      <c r="Z96" s="52" t="s">
        <v>4367</v>
      </c>
      <c r="AA96" s="52">
        <v>0</v>
      </c>
      <c r="AB96" s="52">
        <v>0</v>
      </c>
      <c r="AC96" s="52">
        <v>0</v>
      </c>
      <c r="AD96" s="21">
        <v>0.8985711123657989</v>
      </c>
      <c r="AE96" s="55">
        <v>0.8985711123657989</v>
      </c>
      <c r="AF96" s="315">
        <f t="shared" si="11"/>
        <v>1221906.8377490025</v>
      </c>
    </row>
    <row r="97" spans="1:32" s="55" customFormat="1" ht="255" x14ac:dyDescent="0.25">
      <c r="A97" s="86" t="s">
        <v>588</v>
      </c>
      <c r="B97" s="117" t="s">
        <v>2270</v>
      </c>
      <c r="C97" s="52"/>
      <c r="D97" s="52" t="s">
        <v>2279</v>
      </c>
      <c r="E97" s="22" t="str">
        <f t="shared" si="9"/>
        <v>SEJUSPPROG</v>
      </c>
      <c r="F97" s="52" t="s">
        <v>729</v>
      </c>
      <c r="G97" s="22" t="str">
        <f t="shared" si="10"/>
        <v>P130SEJUSP</v>
      </c>
      <c r="H97" s="52" t="s">
        <v>1183</v>
      </c>
      <c r="I97" s="22" t="s">
        <v>16</v>
      </c>
      <c r="J97" s="52" t="s">
        <v>1634</v>
      </c>
      <c r="K97" s="22" t="str">
        <f>VLOOKUP(CONCATENATE(A97,LEFT(J97,4)),AGRUPAMENTO!$D$2:$E$6783,2,FALSE)</f>
        <v>Alimentação</v>
      </c>
      <c r="L97" s="52" t="s">
        <v>44</v>
      </c>
      <c r="M97" s="52" t="str">
        <f t="shared" si="7"/>
        <v>FONTESEJUSP</v>
      </c>
      <c r="N97" s="52">
        <v>60</v>
      </c>
      <c r="O97" s="52" t="s">
        <v>2373</v>
      </c>
      <c r="P97" s="52" t="s">
        <v>46</v>
      </c>
      <c r="Q97" s="52" t="s">
        <v>3752</v>
      </c>
      <c r="R97" s="185">
        <v>3231.2140187794844</v>
      </c>
      <c r="S97" s="52" t="s">
        <v>3753</v>
      </c>
      <c r="T97" s="186">
        <v>24.493400000000001</v>
      </c>
      <c r="U97" s="53">
        <v>12</v>
      </c>
      <c r="V97" s="58">
        <f t="shared" si="8"/>
        <v>949721.00937088113</v>
      </c>
      <c r="W97" s="52" t="s">
        <v>49</v>
      </c>
      <c r="X97" s="52" t="s">
        <v>4365</v>
      </c>
      <c r="Y97" s="52" t="s">
        <v>4366</v>
      </c>
      <c r="Z97" s="52" t="s">
        <v>4367</v>
      </c>
      <c r="AA97" s="52">
        <v>0</v>
      </c>
      <c r="AB97" s="52">
        <v>0</v>
      </c>
      <c r="AC97" s="52">
        <v>0</v>
      </c>
      <c r="AD97" s="21">
        <v>0.8985711123657989</v>
      </c>
      <c r="AE97" s="55">
        <v>0.8985711123657989</v>
      </c>
      <c r="AF97" s="315">
        <f t="shared" si="11"/>
        <v>853391.86382756196</v>
      </c>
    </row>
    <row r="98" spans="1:32" s="55" customFormat="1" ht="255" x14ac:dyDescent="0.25">
      <c r="A98" s="86" t="s">
        <v>588</v>
      </c>
      <c r="B98" s="117" t="s">
        <v>2270</v>
      </c>
      <c r="C98" s="52"/>
      <c r="D98" s="52" t="s">
        <v>2279</v>
      </c>
      <c r="E98" s="22" t="str">
        <f t="shared" si="9"/>
        <v>SEJUSPPROG</v>
      </c>
      <c r="F98" s="52" t="s">
        <v>729</v>
      </c>
      <c r="G98" s="22" t="str">
        <f t="shared" si="10"/>
        <v>P130SEJUSP</v>
      </c>
      <c r="H98" s="52" t="s">
        <v>1183</v>
      </c>
      <c r="I98" s="22" t="s">
        <v>16</v>
      </c>
      <c r="J98" s="52" t="s">
        <v>1634</v>
      </c>
      <c r="K98" s="22" t="str">
        <f>VLOOKUP(CONCATENATE(A98,LEFT(J98,4)),AGRUPAMENTO!$D$2:$E$6783,2,FALSE)</f>
        <v>Alimentação</v>
      </c>
      <c r="L98" s="52" t="s">
        <v>44</v>
      </c>
      <c r="M98" s="52" t="str">
        <f t="shared" si="7"/>
        <v>FONTESEJUSP</v>
      </c>
      <c r="N98" s="52">
        <v>60</v>
      </c>
      <c r="O98" s="52" t="s">
        <v>2374</v>
      </c>
      <c r="P98" s="52" t="s">
        <v>46</v>
      </c>
      <c r="Q98" s="52" t="s">
        <v>3752</v>
      </c>
      <c r="R98" s="185">
        <v>5343.0210941292125</v>
      </c>
      <c r="S98" s="52" t="s">
        <v>3753</v>
      </c>
      <c r="T98" s="186">
        <v>18.7666</v>
      </c>
      <c r="U98" s="53">
        <v>12</v>
      </c>
      <c r="V98" s="58">
        <f t="shared" si="8"/>
        <v>1203244.0759810233</v>
      </c>
      <c r="W98" s="52" t="s">
        <v>49</v>
      </c>
      <c r="X98" s="52" t="s">
        <v>4365</v>
      </c>
      <c r="Y98" s="52" t="s">
        <v>4366</v>
      </c>
      <c r="Z98" s="52" t="s">
        <v>4367</v>
      </c>
      <c r="AA98" s="52">
        <v>0</v>
      </c>
      <c r="AB98" s="52">
        <v>0</v>
      </c>
      <c r="AC98" s="52">
        <v>0</v>
      </c>
      <c r="AD98" s="21">
        <v>0.8985711123657989</v>
      </c>
      <c r="AE98" s="55">
        <v>0.8985711123657989</v>
      </c>
      <c r="AF98" s="315">
        <f t="shared" si="11"/>
        <v>1081200.367801826</v>
      </c>
    </row>
    <row r="99" spans="1:32" s="55" customFormat="1" ht="255" x14ac:dyDescent="0.25">
      <c r="A99" s="86" t="s">
        <v>588</v>
      </c>
      <c r="B99" s="117" t="s">
        <v>2270</v>
      </c>
      <c r="C99" s="52"/>
      <c r="D99" s="52" t="s">
        <v>2279</v>
      </c>
      <c r="E99" s="22" t="str">
        <f t="shared" si="9"/>
        <v>SEJUSPPROG</v>
      </c>
      <c r="F99" s="52" t="s">
        <v>729</v>
      </c>
      <c r="G99" s="22" t="str">
        <f t="shared" si="10"/>
        <v>P130SEJUSP</v>
      </c>
      <c r="H99" s="52" t="s">
        <v>1183</v>
      </c>
      <c r="I99" s="22" t="s">
        <v>16</v>
      </c>
      <c r="J99" s="52" t="s">
        <v>1634</v>
      </c>
      <c r="K99" s="22" t="str">
        <f>VLOOKUP(CONCATENATE(A99,LEFT(J99,4)),AGRUPAMENTO!$D$2:$E$6783,2,FALSE)</f>
        <v>Alimentação</v>
      </c>
      <c r="L99" s="52" t="s">
        <v>44</v>
      </c>
      <c r="M99" s="52" t="str">
        <f t="shared" si="7"/>
        <v>FONTESEJUSP</v>
      </c>
      <c r="N99" s="52">
        <v>60</v>
      </c>
      <c r="O99" s="52" t="s">
        <v>2375</v>
      </c>
      <c r="P99" s="52" t="s">
        <v>46</v>
      </c>
      <c r="Q99" s="52" t="s">
        <v>3752</v>
      </c>
      <c r="R99" s="185">
        <v>5354.0386364556234</v>
      </c>
      <c r="S99" s="52" t="s">
        <v>3753</v>
      </c>
      <c r="T99" s="186">
        <v>19.3537</v>
      </c>
      <c r="U99" s="53">
        <v>12</v>
      </c>
      <c r="V99" s="58">
        <f t="shared" si="8"/>
        <v>1243445.4907004545</v>
      </c>
      <c r="W99" s="52" t="s">
        <v>49</v>
      </c>
      <c r="X99" s="52" t="s">
        <v>4365</v>
      </c>
      <c r="Y99" s="52" t="s">
        <v>4366</v>
      </c>
      <c r="Z99" s="52" t="s">
        <v>4367</v>
      </c>
      <c r="AA99" s="52">
        <v>0</v>
      </c>
      <c r="AB99" s="52">
        <v>0</v>
      </c>
      <c r="AC99" s="52">
        <v>0</v>
      </c>
      <c r="AD99" s="21">
        <v>0.8985711123657989</v>
      </c>
      <c r="AE99" s="55">
        <v>0.8985711123657989</v>
      </c>
      <c r="AF99" s="315">
        <f t="shared" si="11"/>
        <v>1117324.1977449439</v>
      </c>
    </row>
    <row r="100" spans="1:32" s="55" customFormat="1" ht="255" x14ac:dyDescent="0.25">
      <c r="A100" s="86" t="s">
        <v>588</v>
      </c>
      <c r="B100" s="117" t="s">
        <v>2270</v>
      </c>
      <c r="C100" s="52"/>
      <c r="D100" s="52" t="s">
        <v>2279</v>
      </c>
      <c r="E100" s="22" t="str">
        <f t="shared" si="9"/>
        <v>SEJUSPPROG</v>
      </c>
      <c r="F100" s="52" t="s">
        <v>729</v>
      </c>
      <c r="G100" s="22" t="str">
        <f t="shared" si="10"/>
        <v>P130SEJUSP</v>
      </c>
      <c r="H100" s="52" t="s">
        <v>1183</v>
      </c>
      <c r="I100" s="22" t="s">
        <v>16</v>
      </c>
      <c r="J100" s="52" t="s">
        <v>1634</v>
      </c>
      <c r="K100" s="22" t="str">
        <f>VLOOKUP(CONCATENATE(A100,LEFT(J100,4)),AGRUPAMENTO!$D$2:$E$6783,2,FALSE)</f>
        <v>Alimentação</v>
      </c>
      <c r="L100" s="52" t="s">
        <v>44</v>
      </c>
      <c r="M100" s="52" t="str">
        <f t="shared" si="7"/>
        <v>FONTESEJUSP</v>
      </c>
      <c r="N100" s="52">
        <v>60</v>
      </c>
      <c r="O100" s="52" t="s">
        <v>2376</v>
      </c>
      <c r="P100" s="52" t="s">
        <v>46</v>
      </c>
      <c r="Q100" s="52" t="s">
        <v>3752</v>
      </c>
      <c r="R100" s="185">
        <v>14846.91309421943</v>
      </c>
      <c r="S100" s="52" t="s">
        <v>3753</v>
      </c>
      <c r="T100" s="186">
        <v>29.530100000000001</v>
      </c>
      <c r="U100" s="53">
        <v>12</v>
      </c>
      <c r="V100" s="58">
        <f t="shared" si="8"/>
        <v>5261169.9403633103</v>
      </c>
      <c r="W100" s="52" t="s">
        <v>49</v>
      </c>
      <c r="X100" s="52" t="s">
        <v>4365</v>
      </c>
      <c r="Y100" s="52" t="s">
        <v>4366</v>
      </c>
      <c r="Z100" s="52" t="s">
        <v>4367</v>
      </c>
      <c r="AA100" s="52">
        <v>0</v>
      </c>
      <c r="AB100" s="52">
        <v>0</v>
      </c>
      <c r="AC100" s="52">
        <v>0</v>
      </c>
      <c r="AD100" s="21">
        <v>0.8985711123657989</v>
      </c>
      <c r="AE100" s="55">
        <v>0.8985711123657989</v>
      </c>
      <c r="AF100" s="315">
        <f t="shared" si="11"/>
        <v>4727535.3256577635</v>
      </c>
    </row>
    <row r="101" spans="1:32" s="55" customFormat="1" ht="255" x14ac:dyDescent="0.25">
      <c r="A101" s="86" t="s">
        <v>588</v>
      </c>
      <c r="B101" s="117" t="s">
        <v>2270</v>
      </c>
      <c r="C101" s="52"/>
      <c r="D101" s="52" t="s">
        <v>2279</v>
      </c>
      <c r="E101" s="22" t="str">
        <f t="shared" si="9"/>
        <v>SEJUSPPROG</v>
      </c>
      <c r="F101" s="52" t="s">
        <v>729</v>
      </c>
      <c r="G101" s="22" t="str">
        <f t="shared" si="10"/>
        <v>P130SEJUSP</v>
      </c>
      <c r="H101" s="52" t="s">
        <v>1183</v>
      </c>
      <c r="I101" s="22" t="s">
        <v>16</v>
      </c>
      <c r="J101" s="52" t="s">
        <v>1634</v>
      </c>
      <c r="K101" s="22" t="str">
        <f>VLOOKUP(CONCATENATE(A101,LEFT(J101,4)),AGRUPAMENTO!$D$2:$E$6783,2,FALSE)</f>
        <v>Alimentação</v>
      </c>
      <c r="L101" s="52" t="s">
        <v>44</v>
      </c>
      <c r="M101" s="52" t="str">
        <f t="shared" si="7"/>
        <v>FONTESEJUSP</v>
      </c>
      <c r="N101" s="52">
        <v>60</v>
      </c>
      <c r="O101" s="52" t="s">
        <v>2377</v>
      </c>
      <c r="P101" s="52" t="s">
        <v>46</v>
      </c>
      <c r="Q101" s="52" t="s">
        <v>3752</v>
      </c>
      <c r="R101" s="185">
        <v>6379.0833518947393</v>
      </c>
      <c r="S101" s="52" t="s">
        <v>3753</v>
      </c>
      <c r="T101" s="186">
        <v>25.142299999999999</v>
      </c>
      <c r="U101" s="53">
        <v>12</v>
      </c>
      <c r="V101" s="58">
        <f t="shared" si="8"/>
        <v>1924617.9283001171</v>
      </c>
      <c r="W101" s="52" t="s">
        <v>49</v>
      </c>
      <c r="X101" s="52" t="s">
        <v>4365</v>
      </c>
      <c r="Y101" s="52" t="s">
        <v>4366</v>
      </c>
      <c r="Z101" s="52" t="s">
        <v>4367</v>
      </c>
      <c r="AA101" s="52">
        <v>0</v>
      </c>
      <c r="AB101" s="52">
        <v>0</v>
      </c>
      <c r="AC101" s="52">
        <v>0</v>
      </c>
      <c r="AD101" s="21">
        <v>0.8985711123657989</v>
      </c>
      <c r="AE101" s="55">
        <v>0.8985711123657989</v>
      </c>
      <c r="AF101" s="315">
        <f t="shared" si="11"/>
        <v>1729406.0727117956</v>
      </c>
    </row>
    <row r="102" spans="1:32" s="55" customFormat="1" ht="255" x14ac:dyDescent="0.25">
      <c r="A102" s="86" t="s">
        <v>588</v>
      </c>
      <c r="B102" s="117" t="s">
        <v>2270</v>
      </c>
      <c r="C102" s="52"/>
      <c r="D102" s="52" t="s">
        <v>2279</v>
      </c>
      <c r="E102" s="22" t="str">
        <f t="shared" si="9"/>
        <v>SEJUSPPROG</v>
      </c>
      <c r="F102" s="52" t="s">
        <v>729</v>
      </c>
      <c r="G102" s="22" t="str">
        <f t="shared" si="10"/>
        <v>P130SEJUSP</v>
      </c>
      <c r="H102" s="52" t="s">
        <v>1183</v>
      </c>
      <c r="I102" s="22" t="s">
        <v>16</v>
      </c>
      <c r="J102" s="52" t="s">
        <v>1634</v>
      </c>
      <c r="K102" s="22" t="str">
        <f>VLOOKUP(CONCATENATE(A102,LEFT(J102,4)),AGRUPAMENTO!$D$2:$E$6783,2,FALSE)</f>
        <v>Alimentação</v>
      </c>
      <c r="L102" s="52" t="s">
        <v>44</v>
      </c>
      <c r="M102" s="52" t="str">
        <f t="shared" si="7"/>
        <v>FONTESEJUSP</v>
      </c>
      <c r="N102" s="52">
        <v>60</v>
      </c>
      <c r="O102" s="52" t="s">
        <v>2378</v>
      </c>
      <c r="P102" s="52" t="s">
        <v>46</v>
      </c>
      <c r="Q102" s="52" t="s">
        <v>3752</v>
      </c>
      <c r="R102" s="185">
        <v>6650.8877467774264</v>
      </c>
      <c r="S102" s="52" t="s">
        <v>3753</v>
      </c>
      <c r="T102" s="186">
        <v>21.424000000000003</v>
      </c>
      <c r="U102" s="53">
        <v>12</v>
      </c>
      <c r="V102" s="58">
        <f t="shared" si="8"/>
        <v>1709863.4290435151</v>
      </c>
      <c r="W102" s="52" t="s">
        <v>49</v>
      </c>
      <c r="X102" s="52" t="s">
        <v>4365</v>
      </c>
      <c r="Y102" s="52" t="s">
        <v>4366</v>
      </c>
      <c r="Z102" s="52" t="s">
        <v>4367</v>
      </c>
      <c r="AA102" s="52">
        <v>0</v>
      </c>
      <c r="AB102" s="52">
        <v>0</v>
      </c>
      <c r="AC102" s="52">
        <v>0</v>
      </c>
      <c r="AD102" s="21">
        <v>0.8985711123657989</v>
      </c>
      <c r="AE102" s="55">
        <v>0.8985711123657989</v>
      </c>
      <c r="AF102" s="315">
        <f t="shared" si="11"/>
        <v>1536433.8834292307</v>
      </c>
    </row>
    <row r="103" spans="1:32" s="55" customFormat="1" ht="255" x14ac:dyDescent="0.25">
      <c r="A103" s="86" t="s">
        <v>588</v>
      </c>
      <c r="B103" s="117" t="s">
        <v>2270</v>
      </c>
      <c r="C103" s="52"/>
      <c r="D103" s="52" t="s">
        <v>2279</v>
      </c>
      <c r="E103" s="22" t="str">
        <f t="shared" si="9"/>
        <v>SEJUSPPROG</v>
      </c>
      <c r="F103" s="52" t="s">
        <v>729</v>
      </c>
      <c r="G103" s="22" t="str">
        <f t="shared" si="10"/>
        <v>P130SEJUSP</v>
      </c>
      <c r="H103" s="52" t="s">
        <v>1183</v>
      </c>
      <c r="I103" s="22" t="s">
        <v>16</v>
      </c>
      <c r="J103" s="52" t="s">
        <v>1634</v>
      </c>
      <c r="K103" s="22" t="str">
        <f>VLOOKUP(CONCATENATE(A103,LEFT(J103,4)),AGRUPAMENTO!$D$2:$E$6783,2,FALSE)</f>
        <v>Alimentação</v>
      </c>
      <c r="L103" s="52" t="s">
        <v>44</v>
      </c>
      <c r="M103" s="52" t="str">
        <f t="shared" si="7"/>
        <v>FONTESEJUSP</v>
      </c>
      <c r="N103" s="52">
        <v>60</v>
      </c>
      <c r="O103" s="52" t="s">
        <v>2379</v>
      </c>
      <c r="P103" s="52" t="s">
        <v>46</v>
      </c>
      <c r="Q103" s="52" t="s">
        <v>3752</v>
      </c>
      <c r="R103" s="185">
        <v>11997.905878264284</v>
      </c>
      <c r="S103" s="52" t="s">
        <v>3753</v>
      </c>
      <c r="T103" s="186">
        <v>15.130699999999999</v>
      </c>
      <c r="U103" s="53">
        <v>12</v>
      </c>
      <c r="V103" s="58">
        <f t="shared" si="8"/>
        <v>2178440.573667041</v>
      </c>
      <c r="W103" s="52" t="s">
        <v>49</v>
      </c>
      <c r="X103" s="52" t="s">
        <v>4365</v>
      </c>
      <c r="Y103" s="52" t="s">
        <v>4366</v>
      </c>
      <c r="Z103" s="52" t="s">
        <v>4367</v>
      </c>
      <c r="AA103" s="52">
        <v>0</v>
      </c>
      <c r="AB103" s="52">
        <v>0</v>
      </c>
      <c r="AC103" s="52">
        <v>0</v>
      </c>
      <c r="AD103" s="21">
        <v>0.8985711123657989</v>
      </c>
      <c r="AE103" s="55">
        <v>0.8985711123657989</v>
      </c>
      <c r="AF103" s="315">
        <f t="shared" si="11"/>
        <v>1957483.769502782</v>
      </c>
    </row>
    <row r="104" spans="1:32" s="55" customFormat="1" ht="255" x14ac:dyDescent="0.25">
      <c r="A104" s="86" t="s">
        <v>588</v>
      </c>
      <c r="B104" s="117" t="s">
        <v>2270</v>
      </c>
      <c r="C104" s="52"/>
      <c r="D104" s="52" t="s">
        <v>2279</v>
      </c>
      <c r="E104" s="22" t="str">
        <f t="shared" si="9"/>
        <v>SEJUSPPROG</v>
      </c>
      <c r="F104" s="52" t="s">
        <v>729</v>
      </c>
      <c r="G104" s="22" t="str">
        <f t="shared" si="10"/>
        <v>P130SEJUSP</v>
      </c>
      <c r="H104" s="52" t="s">
        <v>1183</v>
      </c>
      <c r="I104" s="22" t="s">
        <v>16</v>
      </c>
      <c r="J104" s="52" t="s">
        <v>1634</v>
      </c>
      <c r="K104" s="22" t="str">
        <f>VLOOKUP(CONCATENATE(A104,LEFT(J104,4)),AGRUPAMENTO!$D$2:$E$6783,2,FALSE)</f>
        <v>Alimentação</v>
      </c>
      <c r="L104" s="52" t="s">
        <v>44</v>
      </c>
      <c r="M104" s="52" t="str">
        <f t="shared" si="7"/>
        <v>FONTESEJUSP</v>
      </c>
      <c r="N104" s="52">
        <v>60</v>
      </c>
      <c r="O104" s="52" t="s">
        <v>2380</v>
      </c>
      <c r="P104" s="52" t="s">
        <v>46</v>
      </c>
      <c r="Q104" s="52" t="s">
        <v>3752</v>
      </c>
      <c r="R104" s="185">
        <v>10033.682430513352</v>
      </c>
      <c r="S104" s="52" t="s">
        <v>3753</v>
      </c>
      <c r="T104" s="186">
        <v>21.042899999999999</v>
      </c>
      <c r="U104" s="53">
        <v>12</v>
      </c>
      <c r="V104" s="58">
        <f t="shared" si="8"/>
        <v>2533653.3122045929</v>
      </c>
      <c r="W104" s="52" t="s">
        <v>49</v>
      </c>
      <c r="X104" s="52" t="s">
        <v>4365</v>
      </c>
      <c r="Y104" s="52" t="s">
        <v>4366</v>
      </c>
      <c r="Z104" s="52" t="s">
        <v>4367</v>
      </c>
      <c r="AA104" s="52">
        <v>0</v>
      </c>
      <c r="AB104" s="52">
        <v>0</v>
      </c>
      <c r="AC104" s="52">
        <v>0</v>
      </c>
      <c r="AD104" s="21">
        <v>0.8985711123657989</v>
      </c>
      <c r="AE104" s="55">
        <v>0.8985711123657989</v>
      </c>
      <c r="AF104" s="315">
        <f t="shared" si="11"/>
        <v>2276667.6750969719</v>
      </c>
    </row>
    <row r="105" spans="1:32" s="55" customFormat="1" ht="255" x14ac:dyDescent="0.25">
      <c r="A105" s="86" t="s">
        <v>588</v>
      </c>
      <c r="B105" s="117" t="s">
        <v>2270</v>
      </c>
      <c r="C105" s="52"/>
      <c r="D105" s="52" t="s">
        <v>2279</v>
      </c>
      <c r="E105" s="22" t="str">
        <f t="shared" si="9"/>
        <v>SEJUSPPROG</v>
      </c>
      <c r="F105" s="52" t="s">
        <v>729</v>
      </c>
      <c r="G105" s="22" t="str">
        <f t="shared" si="10"/>
        <v>P130SEJUSP</v>
      </c>
      <c r="H105" s="52" t="s">
        <v>1183</v>
      </c>
      <c r="I105" s="22" t="s">
        <v>16</v>
      </c>
      <c r="J105" s="52" t="s">
        <v>1634</v>
      </c>
      <c r="K105" s="22" t="str">
        <f>VLOOKUP(CONCATENATE(A105,LEFT(J105,4)),AGRUPAMENTO!$D$2:$E$6783,2,FALSE)</f>
        <v>Alimentação</v>
      </c>
      <c r="L105" s="52" t="s">
        <v>44</v>
      </c>
      <c r="M105" s="52" t="str">
        <f t="shared" si="7"/>
        <v>FONTESEJUSP</v>
      </c>
      <c r="N105" s="52">
        <v>60</v>
      </c>
      <c r="O105" s="52" t="s">
        <v>2381</v>
      </c>
      <c r="P105" s="52" t="s">
        <v>46</v>
      </c>
      <c r="Q105" s="52" t="s">
        <v>3752</v>
      </c>
      <c r="R105" s="185">
        <v>6496.6458932063724</v>
      </c>
      <c r="S105" s="52" t="s">
        <v>3753</v>
      </c>
      <c r="T105" s="186">
        <v>22.330400000000001</v>
      </c>
      <c r="U105" s="53">
        <v>12</v>
      </c>
      <c r="V105" s="58">
        <f t="shared" si="8"/>
        <v>1740872.4174438668</v>
      </c>
      <c r="W105" s="52" t="s">
        <v>49</v>
      </c>
      <c r="X105" s="52" t="s">
        <v>4365</v>
      </c>
      <c r="Y105" s="52" t="s">
        <v>4366</v>
      </c>
      <c r="Z105" s="52" t="s">
        <v>4367</v>
      </c>
      <c r="AA105" s="52">
        <v>0</v>
      </c>
      <c r="AB105" s="52">
        <v>0</v>
      </c>
      <c r="AC105" s="52">
        <v>0</v>
      </c>
      <c r="AD105" s="21">
        <v>0.8985711123657989</v>
      </c>
      <c r="AE105" s="55">
        <v>0.8985711123657989</v>
      </c>
      <c r="AF105" s="315">
        <f t="shared" si="11"/>
        <v>1564297.6646294729</v>
      </c>
    </row>
    <row r="106" spans="1:32" s="55" customFormat="1" ht="255" x14ac:dyDescent="0.25">
      <c r="A106" s="86" t="s">
        <v>588</v>
      </c>
      <c r="B106" s="117" t="s">
        <v>2270</v>
      </c>
      <c r="C106" s="52"/>
      <c r="D106" s="52" t="s">
        <v>2279</v>
      </c>
      <c r="E106" s="22" t="str">
        <f t="shared" si="9"/>
        <v>SEJUSPPROG</v>
      </c>
      <c r="F106" s="52" t="s">
        <v>729</v>
      </c>
      <c r="G106" s="22" t="str">
        <f t="shared" si="10"/>
        <v>P130SEJUSP</v>
      </c>
      <c r="H106" s="52" t="s">
        <v>1183</v>
      </c>
      <c r="I106" s="22" t="s">
        <v>16</v>
      </c>
      <c r="J106" s="52" t="s">
        <v>1634</v>
      </c>
      <c r="K106" s="22" t="str">
        <f>VLOOKUP(CONCATENATE(A106,LEFT(J106,4)),AGRUPAMENTO!$D$2:$E$6783,2,FALSE)</f>
        <v>Alimentação</v>
      </c>
      <c r="L106" s="52" t="s">
        <v>44</v>
      </c>
      <c r="M106" s="52" t="str">
        <f t="shared" si="7"/>
        <v>FONTESEJUSP</v>
      </c>
      <c r="N106" s="52">
        <v>60</v>
      </c>
      <c r="O106" s="52" t="s">
        <v>2382</v>
      </c>
      <c r="P106" s="52" t="s">
        <v>46</v>
      </c>
      <c r="Q106" s="52" t="s">
        <v>3752</v>
      </c>
      <c r="R106" s="185">
        <v>4352.8549695713491</v>
      </c>
      <c r="S106" s="52" t="s">
        <v>3753</v>
      </c>
      <c r="T106" s="186">
        <v>22.526100000000003</v>
      </c>
      <c r="U106" s="53">
        <v>12</v>
      </c>
      <c r="V106" s="58">
        <f t="shared" si="8"/>
        <v>1176634.155960734</v>
      </c>
      <c r="W106" s="52" t="s">
        <v>49</v>
      </c>
      <c r="X106" s="52" t="s">
        <v>4365</v>
      </c>
      <c r="Y106" s="52" t="s">
        <v>4366</v>
      </c>
      <c r="Z106" s="52" t="s">
        <v>4367</v>
      </c>
      <c r="AA106" s="52">
        <v>0</v>
      </c>
      <c r="AB106" s="52">
        <v>0</v>
      </c>
      <c r="AC106" s="52">
        <v>0</v>
      </c>
      <c r="AD106" s="21">
        <v>0.8985711123657989</v>
      </c>
      <c r="AE106" s="55">
        <v>0.8985711123657989</v>
      </c>
      <c r="AF106" s="315">
        <f t="shared" si="11"/>
        <v>1057289.4623692296</v>
      </c>
    </row>
    <row r="107" spans="1:32" s="55" customFormat="1" ht="255" x14ac:dyDescent="0.25">
      <c r="A107" s="86" t="s">
        <v>588</v>
      </c>
      <c r="B107" s="117" t="s">
        <v>2270</v>
      </c>
      <c r="C107" s="52"/>
      <c r="D107" s="52" t="s">
        <v>2279</v>
      </c>
      <c r="E107" s="22" t="str">
        <f t="shared" si="9"/>
        <v>SEJUSPPROG</v>
      </c>
      <c r="F107" s="52" t="s">
        <v>729</v>
      </c>
      <c r="G107" s="22" t="str">
        <f t="shared" si="10"/>
        <v>P130SEJUSP</v>
      </c>
      <c r="H107" s="52" t="s">
        <v>1183</v>
      </c>
      <c r="I107" s="22" t="s">
        <v>16</v>
      </c>
      <c r="J107" s="52" t="s">
        <v>1634</v>
      </c>
      <c r="K107" s="22" t="str">
        <f>VLOOKUP(CONCATENATE(A107,LEFT(J107,4)),AGRUPAMENTO!$D$2:$E$6783,2,FALSE)</f>
        <v>Alimentação</v>
      </c>
      <c r="L107" s="52" t="s">
        <v>44</v>
      </c>
      <c r="M107" s="52" t="str">
        <f t="shared" si="7"/>
        <v>FONTESEJUSP</v>
      </c>
      <c r="N107" s="52">
        <v>60</v>
      </c>
      <c r="O107" s="52" t="s">
        <v>2383</v>
      </c>
      <c r="P107" s="52" t="s">
        <v>46</v>
      </c>
      <c r="Q107" s="52" t="s">
        <v>3752</v>
      </c>
      <c r="R107" s="185">
        <v>8867.2893583735586</v>
      </c>
      <c r="S107" s="52" t="s">
        <v>3753</v>
      </c>
      <c r="T107" s="186">
        <v>22.464300000000001</v>
      </c>
      <c r="U107" s="53">
        <v>12</v>
      </c>
      <c r="V107" s="58">
        <f t="shared" si="8"/>
        <v>2390369.379999734</v>
      </c>
      <c r="W107" s="52" t="s">
        <v>49</v>
      </c>
      <c r="X107" s="52" t="s">
        <v>4365</v>
      </c>
      <c r="Y107" s="52" t="s">
        <v>4366</v>
      </c>
      <c r="Z107" s="52" t="s">
        <v>4367</v>
      </c>
      <c r="AA107" s="52">
        <v>0</v>
      </c>
      <c r="AB107" s="52">
        <v>0</v>
      </c>
      <c r="AC107" s="52">
        <v>0</v>
      </c>
      <c r="AD107" s="21">
        <v>0.8985711123657989</v>
      </c>
      <c r="AE107" s="55">
        <v>0.8985711123657989</v>
      </c>
      <c r="AF107" s="315">
        <f t="shared" si="11"/>
        <v>2147916.872751506</v>
      </c>
    </row>
    <row r="108" spans="1:32" s="55" customFormat="1" ht="255" x14ac:dyDescent="0.25">
      <c r="A108" s="86" t="s">
        <v>588</v>
      </c>
      <c r="B108" s="117" t="s">
        <v>2270</v>
      </c>
      <c r="C108" s="52"/>
      <c r="D108" s="52" t="s">
        <v>2279</v>
      </c>
      <c r="E108" s="22" t="str">
        <f t="shared" si="9"/>
        <v>SEJUSPPROG</v>
      </c>
      <c r="F108" s="52" t="s">
        <v>729</v>
      </c>
      <c r="G108" s="22" t="str">
        <f t="shared" si="10"/>
        <v>P130SEJUSP</v>
      </c>
      <c r="H108" s="52" t="s">
        <v>1183</v>
      </c>
      <c r="I108" s="22" t="s">
        <v>16</v>
      </c>
      <c r="J108" s="52" t="s">
        <v>1634</v>
      </c>
      <c r="K108" s="22" t="str">
        <f>VLOOKUP(CONCATENATE(A108,LEFT(J108,4)),AGRUPAMENTO!$D$2:$E$6783,2,FALSE)</f>
        <v>Alimentação</v>
      </c>
      <c r="L108" s="52" t="s">
        <v>44</v>
      </c>
      <c r="M108" s="52" t="str">
        <f t="shared" si="7"/>
        <v>FONTESEJUSP</v>
      </c>
      <c r="N108" s="52">
        <v>60</v>
      </c>
      <c r="O108" s="52" t="s">
        <v>2384</v>
      </c>
      <c r="P108" s="52" t="s">
        <v>46</v>
      </c>
      <c r="Q108" s="52" t="s">
        <v>3752</v>
      </c>
      <c r="R108" s="185">
        <v>4789.6051674851269</v>
      </c>
      <c r="S108" s="52" t="s">
        <v>3753</v>
      </c>
      <c r="T108" s="186">
        <v>17.128900000000002</v>
      </c>
      <c r="U108" s="53">
        <v>12</v>
      </c>
      <c r="V108" s="58">
        <f t="shared" si="8"/>
        <v>984488.015440032</v>
      </c>
      <c r="W108" s="52" t="s">
        <v>49</v>
      </c>
      <c r="X108" s="52" t="s">
        <v>4365</v>
      </c>
      <c r="Y108" s="52" t="s">
        <v>4366</v>
      </c>
      <c r="Z108" s="52" t="s">
        <v>4367</v>
      </c>
      <c r="AA108" s="52">
        <v>0</v>
      </c>
      <c r="AB108" s="52">
        <v>0</v>
      </c>
      <c r="AC108" s="52">
        <v>0</v>
      </c>
      <c r="AD108" s="21">
        <v>0.8985711123657989</v>
      </c>
      <c r="AE108" s="55">
        <v>0.8985711123657989</v>
      </c>
      <c r="AF108" s="315">
        <f t="shared" si="11"/>
        <v>884632.49114474736</v>
      </c>
    </row>
    <row r="109" spans="1:32" s="55" customFormat="1" ht="255" x14ac:dyDescent="0.25">
      <c r="A109" s="86" t="s">
        <v>588</v>
      </c>
      <c r="B109" s="117" t="s">
        <v>2270</v>
      </c>
      <c r="C109" s="52"/>
      <c r="D109" s="52" t="s">
        <v>2279</v>
      </c>
      <c r="E109" s="22" t="str">
        <f t="shared" si="9"/>
        <v>SEJUSPPROG</v>
      </c>
      <c r="F109" s="52" t="s">
        <v>729</v>
      </c>
      <c r="G109" s="22" t="str">
        <f t="shared" si="10"/>
        <v>P130SEJUSP</v>
      </c>
      <c r="H109" s="52" t="s">
        <v>1183</v>
      </c>
      <c r="I109" s="22" t="s">
        <v>16</v>
      </c>
      <c r="J109" s="52" t="s">
        <v>1634</v>
      </c>
      <c r="K109" s="22" t="str">
        <f>VLOOKUP(CONCATENATE(A109,LEFT(J109,4)),AGRUPAMENTO!$D$2:$E$6783,2,FALSE)</f>
        <v>Alimentação</v>
      </c>
      <c r="L109" s="52" t="s">
        <v>44</v>
      </c>
      <c r="M109" s="52" t="str">
        <f t="shared" si="7"/>
        <v>FONTESEJUSP</v>
      </c>
      <c r="N109" s="52">
        <v>60</v>
      </c>
      <c r="O109" s="52" t="s">
        <v>2385</v>
      </c>
      <c r="P109" s="52" t="s">
        <v>46</v>
      </c>
      <c r="Q109" s="52" t="s">
        <v>3752</v>
      </c>
      <c r="R109" s="185">
        <v>4732.8639065725138</v>
      </c>
      <c r="S109" s="52" t="s">
        <v>3753</v>
      </c>
      <c r="T109" s="186">
        <v>17.118599999999997</v>
      </c>
      <c r="U109" s="53">
        <v>12</v>
      </c>
      <c r="V109" s="58">
        <f t="shared" si="8"/>
        <v>972240.04885262658</v>
      </c>
      <c r="W109" s="52" t="s">
        <v>49</v>
      </c>
      <c r="X109" s="52" t="s">
        <v>4365</v>
      </c>
      <c r="Y109" s="52" t="s">
        <v>4366</v>
      </c>
      <c r="Z109" s="52" t="s">
        <v>4367</v>
      </c>
      <c r="AA109" s="52">
        <v>0</v>
      </c>
      <c r="AB109" s="52">
        <v>0</v>
      </c>
      <c r="AC109" s="52">
        <v>0</v>
      </c>
      <c r="AD109" s="21">
        <v>0.8985711123657989</v>
      </c>
      <c r="AE109" s="55">
        <v>0.8985711123657989</v>
      </c>
      <c r="AF109" s="315">
        <f t="shared" si="11"/>
        <v>873626.82218408328</v>
      </c>
    </row>
    <row r="110" spans="1:32" s="55" customFormat="1" ht="255" x14ac:dyDescent="0.25">
      <c r="A110" s="86" t="s">
        <v>588</v>
      </c>
      <c r="B110" s="117" t="s">
        <v>2270</v>
      </c>
      <c r="C110" s="52"/>
      <c r="D110" s="52" t="s">
        <v>2279</v>
      </c>
      <c r="E110" s="22" t="str">
        <f t="shared" si="9"/>
        <v>SEJUSPPROG</v>
      </c>
      <c r="F110" s="52" t="s">
        <v>729</v>
      </c>
      <c r="G110" s="22" t="str">
        <f t="shared" si="10"/>
        <v>P130SEJUSP</v>
      </c>
      <c r="H110" s="52" t="s">
        <v>1183</v>
      </c>
      <c r="I110" s="22" t="s">
        <v>16</v>
      </c>
      <c r="J110" s="52" t="s">
        <v>1634</v>
      </c>
      <c r="K110" s="22" t="str">
        <f>VLOOKUP(CONCATENATE(A110,LEFT(J110,4)),AGRUPAMENTO!$D$2:$E$6783,2,FALSE)</f>
        <v>Alimentação</v>
      </c>
      <c r="L110" s="52" t="s">
        <v>44</v>
      </c>
      <c r="M110" s="52" t="str">
        <f t="shared" si="7"/>
        <v>FONTESEJUSP</v>
      </c>
      <c r="N110" s="52">
        <v>60</v>
      </c>
      <c r="O110" s="52" t="s">
        <v>2386</v>
      </c>
      <c r="P110" s="52" t="s">
        <v>46</v>
      </c>
      <c r="Q110" s="52" t="s">
        <v>3752</v>
      </c>
      <c r="R110" s="185">
        <v>5415.7681919574998</v>
      </c>
      <c r="S110" s="52" t="s">
        <v>3753</v>
      </c>
      <c r="T110" s="186">
        <v>25.842700000000004</v>
      </c>
      <c r="U110" s="53">
        <v>12</v>
      </c>
      <c r="V110" s="58">
        <f t="shared" si="8"/>
        <v>1679496.8718516012</v>
      </c>
      <c r="W110" s="52" t="s">
        <v>49</v>
      </c>
      <c r="X110" s="52" t="s">
        <v>4365</v>
      </c>
      <c r="Y110" s="52" t="s">
        <v>4366</v>
      </c>
      <c r="Z110" s="52" t="s">
        <v>4367</v>
      </c>
      <c r="AA110" s="52">
        <v>0</v>
      </c>
      <c r="AB110" s="52">
        <v>0</v>
      </c>
      <c r="AC110" s="52">
        <v>0</v>
      </c>
      <c r="AD110" s="21">
        <v>0.8985711123657989</v>
      </c>
      <c r="AE110" s="55">
        <v>0.8985711123657989</v>
      </c>
      <c r="AF110" s="315">
        <f t="shared" si="11"/>
        <v>1509147.3723545729</v>
      </c>
    </row>
    <row r="111" spans="1:32" s="55" customFormat="1" ht="255" x14ac:dyDescent="0.25">
      <c r="A111" s="86" t="s">
        <v>588</v>
      </c>
      <c r="B111" s="117" t="s">
        <v>2270</v>
      </c>
      <c r="C111" s="52"/>
      <c r="D111" s="52" t="s">
        <v>2279</v>
      </c>
      <c r="E111" s="22" t="str">
        <f t="shared" si="9"/>
        <v>SEJUSPPROG</v>
      </c>
      <c r="F111" s="52" t="s">
        <v>729</v>
      </c>
      <c r="G111" s="22" t="str">
        <f t="shared" si="10"/>
        <v>P130SEJUSP</v>
      </c>
      <c r="H111" s="52" t="s">
        <v>1183</v>
      </c>
      <c r="I111" s="22" t="s">
        <v>16</v>
      </c>
      <c r="J111" s="52" t="s">
        <v>1634</v>
      </c>
      <c r="K111" s="22" t="str">
        <f>VLOOKUP(CONCATENATE(A111,LEFT(J111,4)),AGRUPAMENTO!$D$2:$E$6783,2,FALSE)</f>
        <v>Alimentação</v>
      </c>
      <c r="L111" s="52" t="s">
        <v>44</v>
      </c>
      <c r="M111" s="52" t="str">
        <f t="shared" si="7"/>
        <v>FONTESEJUSP</v>
      </c>
      <c r="N111" s="52">
        <v>60</v>
      </c>
      <c r="O111" s="52" t="s">
        <v>2387</v>
      </c>
      <c r="P111" s="52" t="s">
        <v>46</v>
      </c>
      <c r="Q111" s="52" t="s">
        <v>3752</v>
      </c>
      <c r="R111" s="185">
        <v>4764.8289047829221</v>
      </c>
      <c r="S111" s="52" t="s">
        <v>3753</v>
      </c>
      <c r="T111" s="186">
        <v>27.892399999999999</v>
      </c>
      <c r="U111" s="53">
        <v>12</v>
      </c>
      <c r="V111" s="58">
        <f t="shared" si="8"/>
        <v>1594830.164925206</v>
      </c>
      <c r="W111" s="52" t="s">
        <v>49</v>
      </c>
      <c r="X111" s="52" t="s">
        <v>4365</v>
      </c>
      <c r="Y111" s="52" t="s">
        <v>4366</v>
      </c>
      <c r="Z111" s="52" t="s">
        <v>4367</v>
      </c>
      <c r="AA111" s="52">
        <v>0</v>
      </c>
      <c r="AB111" s="52">
        <v>0</v>
      </c>
      <c r="AC111" s="52">
        <v>0</v>
      </c>
      <c r="AD111" s="21">
        <v>0.8985711123657989</v>
      </c>
      <c r="AE111" s="55">
        <v>0.8985711123657989</v>
      </c>
      <c r="AF111" s="315">
        <f t="shared" si="11"/>
        <v>1433068.3153313729</v>
      </c>
    </row>
    <row r="112" spans="1:32" s="55" customFormat="1" ht="255" x14ac:dyDescent="0.25">
      <c r="A112" s="86" t="s">
        <v>588</v>
      </c>
      <c r="B112" s="117" t="s">
        <v>2270</v>
      </c>
      <c r="C112" s="52"/>
      <c r="D112" s="52" t="s">
        <v>2279</v>
      </c>
      <c r="E112" s="22" t="str">
        <f t="shared" si="9"/>
        <v>SEJUSPPROG</v>
      </c>
      <c r="F112" s="52" t="s">
        <v>729</v>
      </c>
      <c r="G112" s="22" t="str">
        <f t="shared" si="10"/>
        <v>P130SEJUSP</v>
      </c>
      <c r="H112" s="52" t="s">
        <v>1183</v>
      </c>
      <c r="I112" s="22" t="s">
        <v>16</v>
      </c>
      <c r="J112" s="52" t="s">
        <v>1634</v>
      </c>
      <c r="K112" s="22" t="str">
        <f>VLOOKUP(CONCATENATE(A112,LEFT(J112,4)),AGRUPAMENTO!$D$2:$E$6783,2,FALSE)</f>
        <v>Alimentação</v>
      </c>
      <c r="L112" s="52" t="s">
        <v>44</v>
      </c>
      <c r="M112" s="52" t="str">
        <f t="shared" si="7"/>
        <v>FONTESEJUSP</v>
      </c>
      <c r="N112" s="52">
        <v>60</v>
      </c>
      <c r="O112" s="52" t="s">
        <v>2388</v>
      </c>
      <c r="P112" s="52" t="s">
        <v>46</v>
      </c>
      <c r="Q112" s="52" t="s">
        <v>3752</v>
      </c>
      <c r="R112" s="185">
        <v>3585.6642753565015</v>
      </c>
      <c r="S112" s="52" t="s">
        <v>3753</v>
      </c>
      <c r="T112" s="186">
        <v>32.177199999999999</v>
      </c>
      <c r="U112" s="53">
        <v>12</v>
      </c>
      <c r="V112" s="58">
        <f t="shared" si="8"/>
        <v>1384519.6382520145</v>
      </c>
      <c r="W112" s="52" t="s">
        <v>49</v>
      </c>
      <c r="X112" s="52" t="s">
        <v>4365</v>
      </c>
      <c r="Y112" s="52" t="s">
        <v>4366</v>
      </c>
      <c r="Z112" s="52" t="s">
        <v>4367</v>
      </c>
      <c r="AA112" s="52">
        <v>0</v>
      </c>
      <c r="AB112" s="52">
        <v>0</v>
      </c>
      <c r="AC112" s="52">
        <v>0</v>
      </c>
      <c r="AD112" s="21">
        <v>0.8985711123657989</v>
      </c>
      <c r="AE112" s="55">
        <v>0.8985711123657989</v>
      </c>
      <c r="AF112" s="315">
        <f t="shared" si="11"/>
        <v>1244089.3514364061</v>
      </c>
    </row>
    <row r="113" spans="1:32" s="55" customFormat="1" ht="255" x14ac:dyDescent="0.25">
      <c r="A113" s="86" t="s">
        <v>588</v>
      </c>
      <c r="B113" s="117" t="s">
        <v>2270</v>
      </c>
      <c r="C113" s="52"/>
      <c r="D113" s="52" t="s">
        <v>2279</v>
      </c>
      <c r="E113" s="22" t="str">
        <f t="shared" si="9"/>
        <v>SEJUSPPROG</v>
      </c>
      <c r="F113" s="52" t="s">
        <v>729</v>
      </c>
      <c r="G113" s="22" t="str">
        <f t="shared" si="10"/>
        <v>P130SEJUSP</v>
      </c>
      <c r="H113" s="52" t="s">
        <v>1183</v>
      </c>
      <c r="I113" s="22" t="s">
        <v>16</v>
      </c>
      <c r="J113" s="52" t="s">
        <v>1634</v>
      </c>
      <c r="K113" s="22" t="str">
        <f>VLOOKUP(CONCATENATE(A113,LEFT(J113,4)),AGRUPAMENTO!$D$2:$E$6783,2,FALSE)</f>
        <v>Alimentação</v>
      </c>
      <c r="L113" s="52" t="s">
        <v>44</v>
      </c>
      <c r="M113" s="52" t="str">
        <f t="shared" si="7"/>
        <v>FONTESEJUSP</v>
      </c>
      <c r="N113" s="52">
        <v>60</v>
      </c>
      <c r="O113" s="52" t="s">
        <v>2389</v>
      </c>
      <c r="P113" s="52" t="s">
        <v>46</v>
      </c>
      <c r="Q113" s="52" t="s">
        <v>3752</v>
      </c>
      <c r="R113" s="185">
        <v>2700.8214578023808</v>
      </c>
      <c r="S113" s="52" t="s">
        <v>3753</v>
      </c>
      <c r="T113" s="186">
        <v>22.526100000000003</v>
      </c>
      <c r="U113" s="53">
        <v>12</v>
      </c>
      <c r="V113" s="58">
        <f t="shared" si="8"/>
        <v>730067.69088722661</v>
      </c>
      <c r="W113" s="52" t="s">
        <v>49</v>
      </c>
      <c r="X113" s="52" t="s">
        <v>4365</v>
      </c>
      <c r="Y113" s="52" t="s">
        <v>4366</v>
      </c>
      <c r="Z113" s="52" t="s">
        <v>4367</v>
      </c>
      <c r="AA113" s="52">
        <v>0</v>
      </c>
      <c r="AB113" s="52">
        <v>0</v>
      </c>
      <c r="AC113" s="52">
        <v>0</v>
      </c>
      <c r="AD113" s="21">
        <v>0.8985711123657989</v>
      </c>
      <c r="AE113" s="55">
        <v>0.8985711123657989</v>
      </c>
      <c r="AF113" s="315">
        <f t="shared" si="11"/>
        <v>656017.73710286547</v>
      </c>
    </row>
    <row r="114" spans="1:32" s="55" customFormat="1" ht="255" x14ac:dyDescent="0.25">
      <c r="A114" s="86" t="s">
        <v>588</v>
      </c>
      <c r="B114" s="117" t="s">
        <v>2270</v>
      </c>
      <c r="C114" s="52"/>
      <c r="D114" s="52" t="s">
        <v>2279</v>
      </c>
      <c r="E114" s="22" t="str">
        <f t="shared" si="9"/>
        <v>SEJUSPPROG</v>
      </c>
      <c r="F114" s="52" t="s">
        <v>729</v>
      </c>
      <c r="G114" s="22" t="str">
        <f t="shared" si="10"/>
        <v>P130SEJUSP</v>
      </c>
      <c r="H114" s="52" t="s">
        <v>1183</v>
      </c>
      <c r="I114" s="22" t="s">
        <v>16</v>
      </c>
      <c r="J114" s="52" t="s">
        <v>1634</v>
      </c>
      <c r="K114" s="22" t="str">
        <f>VLOOKUP(CONCATENATE(A114,LEFT(J114,4)),AGRUPAMENTO!$D$2:$E$6783,2,FALSE)</f>
        <v>Alimentação</v>
      </c>
      <c r="L114" s="52" t="s">
        <v>44</v>
      </c>
      <c r="M114" s="52" t="str">
        <f t="shared" si="7"/>
        <v>FONTESEJUSP</v>
      </c>
      <c r="N114" s="52">
        <v>60</v>
      </c>
      <c r="O114" s="52" t="s">
        <v>2390</v>
      </c>
      <c r="P114" s="52" t="s">
        <v>46</v>
      </c>
      <c r="Q114" s="52" t="s">
        <v>3752</v>
      </c>
      <c r="R114" s="185">
        <v>7635.0881126618215</v>
      </c>
      <c r="S114" s="52" t="s">
        <v>3753</v>
      </c>
      <c r="T114" s="186">
        <v>17.118599999999997</v>
      </c>
      <c r="U114" s="53">
        <v>12</v>
      </c>
      <c r="V114" s="58">
        <f t="shared" si="8"/>
        <v>1568424.2323849516</v>
      </c>
      <c r="W114" s="52" t="s">
        <v>49</v>
      </c>
      <c r="X114" s="52" t="s">
        <v>4365</v>
      </c>
      <c r="Y114" s="52" t="s">
        <v>4366</v>
      </c>
      <c r="Z114" s="52" t="s">
        <v>4367</v>
      </c>
      <c r="AA114" s="52">
        <v>0</v>
      </c>
      <c r="AB114" s="52">
        <v>0</v>
      </c>
      <c r="AC114" s="52">
        <v>0</v>
      </c>
      <c r="AD114" s="21">
        <v>0.8985711123657989</v>
      </c>
      <c r="AE114" s="55">
        <v>0.8985711123657989</v>
      </c>
      <c r="AF114" s="315">
        <f t="shared" si="11"/>
        <v>1409340.7071556202</v>
      </c>
    </row>
    <row r="115" spans="1:32" s="55" customFormat="1" ht="255" x14ac:dyDescent="0.25">
      <c r="A115" s="86" t="s">
        <v>588</v>
      </c>
      <c r="B115" s="117" t="s">
        <v>2270</v>
      </c>
      <c r="C115" s="52"/>
      <c r="D115" s="52" t="s">
        <v>2279</v>
      </c>
      <c r="E115" s="22" t="str">
        <f t="shared" si="9"/>
        <v>SEJUSPPROG</v>
      </c>
      <c r="F115" s="52" t="s">
        <v>729</v>
      </c>
      <c r="G115" s="22" t="str">
        <f t="shared" si="10"/>
        <v>P130SEJUSP</v>
      </c>
      <c r="H115" s="52" t="s">
        <v>1183</v>
      </c>
      <c r="I115" s="22" t="s">
        <v>16</v>
      </c>
      <c r="J115" s="52" t="s">
        <v>1634</v>
      </c>
      <c r="K115" s="22" t="str">
        <f>VLOOKUP(CONCATENATE(A115,LEFT(J115,4)),AGRUPAMENTO!$D$2:$E$6783,2,FALSE)</f>
        <v>Alimentação</v>
      </c>
      <c r="L115" s="52" t="s">
        <v>44</v>
      </c>
      <c r="M115" s="52" t="str">
        <f t="shared" si="7"/>
        <v>FONTESEJUSP</v>
      </c>
      <c r="N115" s="52">
        <v>60</v>
      </c>
      <c r="O115" s="52" t="s">
        <v>2391</v>
      </c>
      <c r="P115" s="52" t="s">
        <v>46</v>
      </c>
      <c r="Q115" s="52" t="s">
        <v>3752</v>
      </c>
      <c r="R115" s="185">
        <v>5887.1866665849548</v>
      </c>
      <c r="S115" s="52" t="s">
        <v>3753</v>
      </c>
      <c r="T115" s="186">
        <v>18.344300000000004</v>
      </c>
      <c r="U115" s="53">
        <v>12</v>
      </c>
      <c r="V115" s="58">
        <f t="shared" si="8"/>
        <v>1295955.8204140128</v>
      </c>
      <c r="W115" s="52" t="s">
        <v>49</v>
      </c>
      <c r="X115" s="52" t="s">
        <v>4365</v>
      </c>
      <c r="Y115" s="52" t="s">
        <v>4366</v>
      </c>
      <c r="Z115" s="52" t="s">
        <v>4367</v>
      </c>
      <c r="AA115" s="52">
        <v>0</v>
      </c>
      <c r="AB115" s="52">
        <v>0</v>
      </c>
      <c r="AC115" s="52">
        <v>0</v>
      </c>
      <c r="AD115" s="21">
        <v>0.8985711123657989</v>
      </c>
      <c r="AE115" s="55">
        <v>0.8985711123657989</v>
      </c>
      <c r="AF115" s="315">
        <f t="shared" si="11"/>
        <v>1164508.4631263509</v>
      </c>
    </row>
    <row r="116" spans="1:32" s="55" customFormat="1" ht="255" x14ac:dyDescent="0.25">
      <c r="A116" s="86" t="s">
        <v>588</v>
      </c>
      <c r="B116" s="117" t="s">
        <v>2270</v>
      </c>
      <c r="C116" s="52"/>
      <c r="D116" s="52" t="s">
        <v>2279</v>
      </c>
      <c r="E116" s="22" t="str">
        <f t="shared" si="9"/>
        <v>SEJUSPPROG</v>
      </c>
      <c r="F116" s="52" t="s">
        <v>729</v>
      </c>
      <c r="G116" s="22" t="str">
        <f t="shared" si="10"/>
        <v>P130SEJUSP</v>
      </c>
      <c r="H116" s="52" t="s">
        <v>1183</v>
      </c>
      <c r="I116" s="22" t="s">
        <v>16</v>
      </c>
      <c r="J116" s="52" t="s">
        <v>1634</v>
      </c>
      <c r="K116" s="22" t="str">
        <f>VLOOKUP(CONCATENATE(A116,LEFT(J116,4)),AGRUPAMENTO!$D$2:$E$6783,2,FALSE)</f>
        <v>Alimentação</v>
      </c>
      <c r="L116" s="52" t="s">
        <v>44</v>
      </c>
      <c r="M116" s="52" t="str">
        <f t="shared" si="7"/>
        <v>FONTESEJUSP</v>
      </c>
      <c r="N116" s="52">
        <v>60</v>
      </c>
      <c r="O116" s="52" t="s">
        <v>2392</v>
      </c>
      <c r="P116" s="52" t="s">
        <v>46</v>
      </c>
      <c r="Q116" s="52" t="s">
        <v>3752</v>
      </c>
      <c r="R116" s="185">
        <v>3056.3424306041834</v>
      </c>
      <c r="S116" s="52" t="s">
        <v>3753</v>
      </c>
      <c r="T116" s="186">
        <v>22.721799999999998</v>
      </c>
      <c r="U116" s="53">
        <v>12</v>
      </c>
      <c r="V116" s="58">
        <f t="shared" si="8"/>
        <v>833347.21727642557</v>
      </c>
      <c r="W116" s="52" t="s">
        <v>49</v>
      </c>
      <c r="X116" s="52" t="s">
        <v>4365</v>
      </c>
      <c r="Y116" s="52" t="s">
        <v>4366</v>
      </c>
      <c r="Z116" s="52" t="s">
        <v>4367</v>
      </c>
      <c r="AA116" s="52">
        <v>0</v>
      </c>
      <c r="AB116" s="52">
        <v>0</v>
      </c>
      <c r="AC116" s="52">
        <v>0</v>
      </c>
      <c r="AD116" s="21">
        <v>0.8985711123657989</v>
      </c>
      <c r="AE116" s="55">
        <v>0.8985711123657989</v>
      </c>
      <c r="AF116" s="315">
        <f t="shared" si="11"/>
        <v>748821.73601502087</v>
      </c>
    </row>
    <row r="117" spans="1:32" s="55" customFormat="1" ht="255" x14ac:dyDescent="0.25">
      <c r="A117" s="86" t="s">
        <v>588</v>
      </c>
      <c r="B117" s="117" t="s">
        <v>2270</v>
      </c>
      <c r="C117" s="52"/>
      <c r="D117" s="52" t="s">
        <v>2279</v>
      </c>
      <c r="E117" s="22" t="str">
        <f t="shared" si="9"/>
        <v>SEJUSPPROG</v>
      </c>
      <c r="F117" s="52" t="s">
        <v>729</v>
      </c>
      <c r="G117" s="22" t="str">
        <f t="shared" si="10"/>
        <v>P130SEJUSP</v>
      </c>
      <c r="H117" s="52" t="s">
        <v>1183</v>
      </c>
      <c r="I117" s="22" t="s">
        <v>16</v>
      </c>
      <c r="J117" s="52" t="s">
        <v>1634</v>
      </c>
      <c r="K117" s="22" t="str">
        <f>VLOOKUP(CONCATENATE(A117,LEFT(J117,4)),AGRUPAMENTO!$D$2:$E$6783,2,FALSE)</f>
        <v>Alimentação</v>
      </c>
      <c r="L117" s="52" t="s">
        <v>44</v>
      </c>
      <c r="M117" s="52" t="str">
        <f t="shared" si="7"/>
        <v>FONTESEJUSP</v>
      </c>
      <c r="N117" s="52">
        <v>60</v>
      </c>
      <c r="O117" s="52" t="s">
        <v>2393</v>
      </c>
      <c r="P117" s="52" t="s">
        <v>46</v>
      </c>
      <c r="Q117" s="52" t="s">
        <v>3752</v>
      </c>
      <c r="R117" s="185">
        <v>3996.7239670517938</v>
      </c>
      <c r="S117" s="52" t="s">
        <v>3753</v>
      </c>
      <c r="T117" s="186">
        <v>29.694900000000001</v>
      </c>
      <c r="U117" s="53">
        <v>12</v>
      </c>
      <c r="V117" s="58">
        <f t="shared" si="8"/>
        <v>1424187.8223504757</v>
      </c>
      <c r="W117" s="52" t="s">
        <v>49</v>
      </c>
      <c r="X117" s="52" t="s">
        <v>4365</v>
      </c>
      <c r="Y117" s="52" t="s">
        <v>4366</v>
      </c>
      <c r="Z117" s="52" t="s">
        <v>4367</v>
      </c>
      <c r="AA117" s="52">
        <v>0</v>
      </c>
      <c r="AB117" s="52">
        <v>0</v>
      </c>
      <c r="AC117" s="52">
        <v>0</v>
      </c>
      <c r="AD117" s="21">
        <v>0.8985711123657989</v>
      </c>
      <c r="AE117" s="55">
        <v>0.8985711123657989</v>
      </c>
      <c r="AF117" s="315">
        <f t="shared" si="11"/>
        <v>1279734.0357472918</v>
      </c>
    </row>
    <row r="118" spans="1:32" s="55" customFormat="1" ht="255" x14ac:dyDescent="0.25">
      <c r="A118" s="86" t="s">
        <v>588</v>
      </c>
      <c r="B118" s="117" t="s">
        <v>2270</v>
      </c>
      <c r="C118" s="52"/>
      <c r="D118" s="52" t="s">
        <v>2279</v>
      </c>
      <c r="E118" s="22" t="str">
        <f t="shared" si="9"/>
        <v>SEJUSPPROG</v>
      </c>
      <c r="F118" s="52" t="s">
        <v>729</v>
      </c>
      <c r="G118" s="22" t="str">
        <f t="shared" si="10"/>
        <v>P130SEJUSP</v>
      </c>
      <c r="H118" s="52" t="s">
        <v>1183</v>
      </c>
      <c r="I118" s="22" t="s">
        <v>16</v>
      </c>
      <c r="J118" s="52" t="s">
        <v>1634</v>
      </c>
      <c r="K118" s="22" t="str">
        <f>VLOOKUP(CONCATENATE(A118,LEFT(J118,4)),AGRUPAMENTO!$D$2:$E$6783,2,FALSE)</f>
        <v>Alimentação</v>
      </c>
      <c r="L118" s="52" t="s">
        <v>44</v>
      </c>
      <c r="M118" s="52" t="str">
        <f t="shared" si="7"/>
        <v>FONTESEJUSP</v>
      </c>
      <c r="N118" s="52">
        <v>60</v>
      </c>
      <c r="O118" s="52" t="s">
        <v>2394</v>
      </c>
      <c r="P118" s="52" t="s">
        <v>46</v>
      </c>
      <c r="Q118" s="52" t="s">
        <v>3752</v>
      </c>
      <c r="R118" s="185">
        <v>5061.8182522345433</v>
      </c>
      <c r="S118" s="52" t="s">
        <v>3753</v>
      </c>
      <c r="T118" s="186">
        <v>18.4679</v>
      </c>
      <c r="U118" s="53">
        <v>12</v>
      </c>
      <c r="V118" s="58">
        <f t="shared" si="8"/>
        <v>1121773.8396053079</v>
      </c>
      <c r="W118" s="52" t="s">
        <v>49</v>
      </c>
      <c r="X118" s="52" t="s">
        <v>4365</v>
      </c>
      <c r="Y118" s="52" t="s">
        <v>4366</v>
      </c>
      <c r="Z118" s="52" t="s">
        <v>4367</v>
      </c>
      <c r="AA118" s="52">
        <v>0</v>
      </c>
      <c r="AB118" s="52">
        <v>0</v>
      </c>
      <c r="AC118" s="52">
        <v>0</v>
      </c>
      <c r="AD118" s="21">
        <v>0.8985711123657989</v>
      </c>
      <c r="AE118" s="55">
        <v>0.8985711123657989</v>
      </c>
      <c r="AF118" s="315">
        <f t="shared" si="11"/>
        <v>1007993.5668769948</v>
      </c>
    </row>
    <row r="119" spans="1:32" s="55" customFormat="1" ht="255" x14ac:dyDescent="0.25">
      <c r="A119" s="86" t="s">
        <v>588</v>
      </c>
      <c r="B119" s="117" t="s">
        <v>2270</v>
      </c>
      <c r="C119" s="52"/>
      <c r="D119" s="52" t="s">
        <v>2279</v>
      </c>
      <c r="E119" s="22" t="str">
        <f t="shared" si="9"/>
        <v>SEJUSPPROG</v>
      </c>
      <c r="F119" s="52" t="s">
        <v>729</v>
      </c>
      <c r="G119" s="22" t="str">
        <f t="shared" si="10"/>
        <v>P130SEJUSP</v>
      </c>
      <c r="H119" s="52" t="s">
        <v>1183</v>
      </c>
      <c r="I119" s="22" t="s">
        <v>16</v>
      </c>
      <c r="J119" s="52" t="s">
        <v>1634</v>
      </c>
      <c r="K119" s="22" t="str">
        <f>VLOOKUP(CONCATENATE(A119,LEFT(J119,4)),AGRUPAMENTO!$D$2:$E$6783,2,FALSE)</f>
        <v>Alimentação</v>
      </c>
      <c r="L119" s="52" t="s">
        <v>44</v>
      </c>
      <c r="M119" s="52" t="str">
        <f t="shared" si="7"/>
        <v>FONTESEJUSP</v>
      </c>
      <c r="N119" s="52">
        <v>60</v>
      </c>
      <c r="O119" s="52" t="s">
        <v>2395</v>
      </c>
      <c r="P119" s="52" t="s">
        <v>46</v>
      </c>
      <c r="Q119" s="52" t="s">
        <v>3752</v>
      </c>
      <c r="R119" s="185">
        <v>14128.678852611381</v>
      </c>
      <c r="S119" s="52" t="s">
        <v>3753</v>
      </c>
      <c r="T119" s="186">
        <v>26.831499999999998</v>
      </c>
      <c r="U119" s="53">
        <v>12</v>
      </c>
      <c r="V119" s="58">
        <f t="shared" si="8"/>
        <v>4549123.7596061071</v>
      </c>
      <c r="W119" s="52" t="s">
        <v>49</v>
      </c>
      <c r="X119" s="52" t="s">
        <v>4365</v>
      </c>
      <c r="Y119" s="52" t="s">
        <v>4366</v>
      </c>
      <c r="Z119" s="52" t="s">
        <v>4367</v>
      </c>
      <c r="AA119" s="52">
        <v>0</v>
      </c>
      <c r="AB119" s="52">
        <v>0</v>
      </c>
      <c r="AC119" s="52">
        <v>0</v>
      </c>
      <c r="AD119" s="21">
        <v>0.8985711123657989</v>
      </c>
      <c r="AE119" s="55">
        <v>0.8985711123657989</v>
      </c>
      <c r="AF119" s="315">
        <f t="shared" si="11"/>
        <v>4087711.1969589447</v>
      </c>
    </row>
    <row r="120" spans="1:32" s="55" customFormat="1" ht="255" x14ac:dyDescent="0.25">
      <c r="A120" s="86" t="s">
        <v>588</v>
      </c>
      <c r="B120" s="117" t="s">
        <v>2270</v>
      </c>
      <c r="C120" s="52"/>
      <c r="D120" s="52" t="s">
        <v>2279</v>
      </c>
      <c r="E120" s="22" t="str">
        <f t="shared" si="9"/>
        <v>SEJUSPPROG</v>
      </c>
      <c r="F120" s="52" t="s">
        <v>729</v>
      </c>
      <c r="G120" s="22" t="str">
        <f t="shared" si="10"/>
        <v>P130SEJUSP</v>
      </c>
      <c r="H120" s="52" t="s">
        <v>1183</v>
      </c>
      <c r="I120" s="22" t="s">
        <v>16</v>
      </c>
      <c r="J120" s="52" t="s">
        <v>1634</v>
      </c>
      <c r="K120" s="22" t="str">
        <f>VLOOKUP(CONCATENATE(A120,LEFT(J120,4)),AGRUPAMENTO!$D$2:$E$6783,2,FALSE)</f>
        <v>Alimentação</v>
      </c>
      <c r="L120" s="52" t="s">
        <v>44</v>
      </c>
      <c r="M120" s="52" t="str">
        <f t="shared" si="7"/>
        <v>FONTESEJUSP</v>
      </c>
      <c r="N120" s="52">
        <v>60</v>
      </c>
      <c r="O120" s="52" t="s">
        <v>2396</v>
      </c>
      <c r="P120" s="52" t="s">
        <v>46</v>
      </c>
      <c r="Q120" s="52" t="s">
        <v>3752</v>
      </c>
      <c r="R120" s="185">
        <v>2641.6789375213434</v>
      </c>
      <c r="S120" s="52" t="s">
        <v>3753</v>
      </c>
      <c r="T120" s="186">
        <v>31.548900000000003</v>
      </c>
      <c r="U120" s="53">
        <v>12</v>
      </c>
      <c r="V120" s="58">
        <f t="shared" si="8"/>
        <v>1000104.7755836055</v>
      </c>
      <c r="W120" s="52" t="s">
        <v>49</v>
      </c>
      <c r="X120" s="52" t="s">
        <v>4365</v>
      </c>
      <c r="Y120" s="52" t="s">
        <v>4366</v>
      </c>
      <c r="Z120" s="52" t="s">
        <v>4367</v>
      </c>
      <c r="AA120" s="52">
        <v>0</v>
      </c>
      <c r="AB120" s="52">
        <v>0</v>
      </c>
      <c r="AC120" s="52">
        <v>0</v>
      </c>
      <c r="AD120" s="21">
        <v>0.8985711123657989</v>
      </c>
      <c r="AE120" s="55">
        <v>0.8985711123657989</v>
      </c>
      <c r="AF120" s="315">
        <f t="shared" si="11"/>
        <v>898665.26067850809</v>
      </c>
    </row>
    <row r="121" spans="1:32" s="55" customFormat="1" ht="255" x14ac:dyDescent="0.25">
      <c r="A121" s="86" t="s">
        <v>588</v>
      </c>
      <c r="B121" s="117" t="s">
        <v>2270</v>
      </c>
      <c r="C121" s="52"/>
      <c r="D121" s="52" t="s">
        <v>2279</v>
      </c>
      <c r="E121" s="22" t="str">
        <f t="shared" si="9"/>
        <v>SEJUSPPROG</v>
      </c>
      <c r="F121" s="52" t="s">
        <v>729</v>
      </c>
      <c r="G121" s="22" t="str">
        <f t="shared" si="10"/>
        <v>P130SEJUSP</v>
      </c>
      <c r="H121" s="52" t="s">
        <v>1183</v>
      </c>
      <c r="I121" s="22" t="s">
        <v>16</v>
      </c>
      <c r="J121" s="52" t="s">
        <v>1634</v>
      </c>
      <c r="K121" s="22" t="str">
        <f>VLOOKUP(CONCATENATE(A121,LEFT(J121,4)),AGRUPAMENTO!$D$2:$E$6783,2,FALSE)</f>
        <v>Alimentação</v>
      </c>
      <c r="L121" s="52" t="s">
        <v>44</v>
      </c>
      <c r="M121" s="52" t="str">
        <f t="shared" si="7"/>
        <v>FONTESEJUSP</v>
      </c>
      <c r="N121" s="52">
        <v>60</v>
      </c>
      <c r="O121" s="52" t="s">
        <v>2397</v>
      </c>
      <c r="P121" s="52" t="s">
        <v>46</v>
      </c>
      <c r="Q121" s="52" t="s">
        <v>3752</v>
      </c>
      <c r="R121" s="185">
        <v>8931.0949426853495</v>
      </c>
      <c r="S121" s="52" t="s">
        <v>3753</v>
      </c>
      <c r="T121" s="186">
        <v>19.3537</v>
      </c>
      <c r="U121" s="53">
        <v>12</v>
      </c>
      <c r="V121" s="58">
        <f t="shared" si="8"/>
        <v>2074196.7863069933</v>
      </c>
      <c r="W121" s="52" t="s">
        <v>49</v>
      </c>
      <c r="X121" s="52" t="s">
        <v>4365</v>
      </c>
      <c r="Y121" s="52" t="s">
        <v>4366</v>
      </c>
      <c r="Z121" s="52" t="s">
        <v>4367</v>
      </c>
      <c r="AA121" s="52">
        <v>0</v>
      </c>
      <c r="AB121" s="52">
        <v>0</v>
      </c>
      <c r="AC121" s="52">
        <v>0</v>
      </c>
      <c r="AD121" s="21">
        <v>0.8985711123657989</v>
      </c>
      <c r="AE121" s="55">
        <v>0.8985711123657989</v>
      </c>
      <c r="AF121" s="315">
        <f t="shared" si="11"/>
        <v>1863813.3135374403</v>
      </c>
    </row>
    <row r="122" spans="1:32" s="55" customFormat="1" ht="255" x14ac:dyDescent="0.25">
      <c r="A122" s="86" t="s">
        <v>588</v>
      </c>
      <c r="B122" s="117" t="s">
        <v>2270</v>
      </c>
      <c r="C122" s="52"/>
      <c r="D122" s="52" t="s">
        <v>2279</v>
      </c>
      <c r="E122" s="22" t="str">
        <f t="shared" si="9"/>
        <v>SEJUSPPROG</v>
      </c>
      <c r="F122" s="52" t="s">
        <v>729</v>
      </c>
      <c r="G122" s="22" t="str">
        <f t="shared" si="10"/>
        <v>P130SEJUSP</v>
      </c>
      <c r="H122" s="52" t="s">
        <v>1183</v>
      </c>
      <c r="I122" s="22" t="s">
        <v>16</v>
      </c>
      <c r="J122" s="52" t="s">
        <v>1634</v>
      </c>
      <c r="K122" s="22" t="str">
        <f>VLOOKUP(CONCATENATE(A122,LEFT(J122,4)),AGRUPAMENTO!$D$2:$E$6783,2,FALSE)</f>
        <v>Alimentação</v>
      </c>
      <c r="L122" s="52" t="s">
        <v>44</v>
      </c>
      <c r="M122" s="52" t="str">
        <f t="shared" si="7"/>
        <v>FONTESEJUSP</v>
      </c>
      <c r="N122" s="52">
        <v>60</v>
      </c>
      <c r="O122" s="52" t="s">
        <v>2398</v>
      </c>
      <c r="P122" s="52" t="s">
        <v>46</v>
      </c>
      <c r="Q122" s="52" t="s">
        <v>3752</v>
      </c>
      <c r="R122" s="185">
        <v>8047.4309061217964</v>
      </c>
      <c r="S122" s="52" t="s">
        <v>3753</v>
      </c>
      <c r="T122" s="186">
        <v>20.610299999999999</v>
      </c>
      <c r="U122" s="53">
        <v>12</v>
      </c>
      <c r="V122" s="58">
        <f t="shared" si="8"/>
        <v>1990319.5824533044</v>
      </c>
      <c r="W122" s="52" t="s">
        <v>49</v>
      </c>
      <c r="X122" s="52" t="s">
        <v>4365</v>
      </c>
      <c r="Y122" s="52" t="s">
        <v>4366</v>
      </c>
      <c r="Z122" s="52" t="s">
        <v>4367</v>
      </c>
      <c r="AA122" s="52">
        <v>0</v>
      </c>
      <c r="AB122" s="52">
        <v>0</v>
      </c>
      <c r="AC122" s="52">
        <v>0</v>
      </c>
      <c r="AD122" s="21">
        <v>0.8985711123657989</v>
      </c>
      <c r="AE122" s="55">
        <v>0.8985711123657989</v>
      </c>
      <c r="AF122" s="315">
        <f t="shared" si="11"/>
        <v>1788443.6811684982</v>
      </c>
    </row>
    <row r="123" spans="1:32" s="55" customFormat="1" ht="255" x14ac:dyDescent="0.25">
      <c r="A123" s="86" t="s">
        <v>588</v>
      </c>
      <c r="B123" s="117" t="s">
        <v>2270</v>
      </c>
      <c r="C123" s="52"/>
      <c r="D123" s="52" t="s">
        <v>2279</v>
      </c>
      <c r="E123" s="22" t="str">
        <f t="shared" si="9"/>
        <v>SEJUSPPROG</v>
      </c>
      <c r="F123" s="52" t="s">
        <v>729</v>
      </c>
      <c r="G123" s="22" t="str">
        <f t="shared" si="10"/>
        <v>P130SEJUSP</v>
      </c>
      <c r="H123" s="52" t="s">
        <v>1183</v>
      </c>
      <c r="I123" s="22" t="s">
        <v>16</v>
      </c>
      <c r="J123" s="52" t="s">
        <v>1634</v>
      </c>
      <c r="K123" s="22" t="str">
        <f>VLOOKUP(CONCATENATE(A123,LEFT(J123,4)),AGRUPAMENTO!$D$2:$E$6783,2,FALSE)</f>
        <v>Alimentação</v>
      </c>
      <c r="L123" s="52" t="s">
        <v>44</v>
      </c>
      <c r="M123" s="52" t="str">
        <f t="shared" si="7"/>
        <v>FONTESEJUSP</v>
      </c>
      <c r="N123" s="52">
        <v>60</v>
      </c>
      <c r="O123" s="52" t="s">
        <v>2399</v>
      </c>
      <c r="P123" s="52" t="s">
        <v>46</v>
      </c>
      <c r="Q123" s="52" t="s">
        <v>3752</v>
      </c>
      <c r="R123" s="185">
        <v>8513.2493579479069</v>
      </c>
      <c r="S123" s="52" t="s">
        <v>3753</v>
      </c>
      <c r="T123" s="186">
        <v>20.939899999999998</v>
      </c>
      <c r="U123" s="53">
        <v>12</v>
      </c>
      <c r="V123" s="58">
        <f t="shared" si="8"/>
        <v>2139199.0827659206</v>
      </c>
      <c r="W123" s="52" t="s">
        <v>49</v>
      </c>
      <c r="X123" s="52" t="s">
        <v>4365</v>
      </c>
      <c r="Y123" s="52" t="s">
        <v>4366</v>
      </c>
      <c r="Z123" s="52" t="s">
        <v>4367</v>
      </c>
      <c r="AA123" s="52">
        <v>0</v>
      </c>
      <c r="AB123" s="52">
        <v>0</v>
      </c>
      <c r="AC123" s="52">
        <v>0</v>
      </c>
      <c r="AD123" s="21">
        <v>0.8985711123657989</v>
      </c>
      <c r="AE123" s="55">
        <v>0.8985711123657989</v>
      </c>
      <c r="AF123" s="315">
        <f t="shared" si="11"/>
        <v>1922222.49937287</v>
      </c>
    </row>
    <row r="124" spans="1:32" s="55" customFormat="1" ht="255" x14ac:dyDescent="0.25">
      <c r="A124" s="86" t="s">
        <v>588</v>
      </c>
      <c r="B124" s="117" t="s">
        <v>2270</v>
      </c>
      <c r="C124" s="52"/>
      <c r="D124" s="52" t="s">
        <v>2279</v>
      </c>
      <c r="E124" s="22" t="str">
        <f t="shared" si="9"/>
        <v>SEJUSPPROG</v>
      </c>
      <c r="F124" s="52" t="s">
        <v>729</v>
      </c>
      <c r="G124" s="22" t="str">
        <f t="shared" si="10"/>
        <v>P130SEJUSP</v>
      </c>
      <c r="H124" s="52" t="s">
        <v>1183</v>
      </c>
      <c r="I124" s="22" t="s">
        <v>16</v>
      </c>
      <c r="J124" s="52" t="s">
        <v>1634</v>
      </c>
      <c r="K124" s="22" t="str">
        <f>VLOOKUP(CONCATENATE(A124,LEFT(J124,4)),AGRUPAMENTO!$D$2:$E$6783,2,FALSE)</f>
        <v>Alimentação</v>
      </c>
      <c r="L124" s="52" t="s">
        <v>44</v>
      </c>
      <c r="M124" s="52" t="str">
        <f t="shared" si="7"/>
        <v>FONTESEJUSP</v>
      </c>
      <c r="N124" s="52">
        <v>60</v>
      </c>
      <c r="O124" s="52" t="s">
        <v>2400</v>
      </c>
      <c r="P124" s="52" t="s">
        <v>46</v>
      </c>
      <c r="Q124" s="52" t="s">
        <v>3752</v>
      </c>
      <c r="R124" s="185">
        <v>3430.3841778407909</v>
      </c>
      <c r="S124" s="52" t="s">
        <v>3753</v>
      </c>
      <c r="T124" s="186">
        <v>18.7666</v>
      </c>
      <c r="U124" s="53">
        <v>12</v>
      </c>
      <c r="V124" s="58">
        <f t="shared" si="8"/>
        <v>772519.77254240378</v>
      </c>
      <c r="W124" s="52" t="s">
        <v>49</v>
      </c>
      <c r="X124" s="52" t="s">
        <v>4365</v>
      </c>
      <c r="Y124" s="52" t="s">
        <v>4366</v>
      </c>
      <c r="Z124" s="52" t="s">
        <v>4367</v>
      </c>
      <c r="AA124" s="52">
        <v>0</v>
      </c>
      <c r="AB124" s="52">
        <v>0</v>
      </c>
      <c r="AC124" s="52">
        <v>0</v>
      </c>
      <c r="AD124" s="21">
        <v>0.8985711123657989</v>
      </c>
      <c r="AE124" s="55">
        <v>0.8985711123657989</v>
      </c>
      <c r="AF124" s="315">
        <f t="shared" si="11"/>
        <v>694163.95133800176</v>
      </c>
    </row>
    <row r="125" spans="1:32" s="55" customFormat="1" ht="255" x14ac:dyDescent="0.25">
      <c r="A125" s="86" t="s">
        <v>588</v>
      </c>
      <c r="B125" s="117" t="s">
        <v>2270</v>
      </c>
      <c r="C125" s="52"/>
      <c r="D125" s="52" t="s">
        <v>2279</v>
      </c>
      <c r="E125" s="22" t="str">
        <f t="shared" si="9"/>
        <v>SEJUSPPROG</v>
      </c>
      <c r="F125" s="52" t="s">
        <v>729</v>
      </c>
      <c r="G125" s="22" t="str">
        <f t="shared" si="10"/>
        <v>P130SEJUSP</v>
      </c>
      <c r="H125" s="52" t="s">
        <v>1183</v>
      </c>
      <c r="I125" s="22" t="s">
        <v>16</v>
      </c>
      <c r="J125" s="52" t="s">
        <v>1634</v>
      </c>
      <c r="K125" s="22" t="str">
        <f>VLOOKUP(CONCATENATE(A125,LEFT(J125,4)),AGRUPAMENTO!$D$2:$E$6783,2,FALSE)</f>
        <v>Alimentação</v>
      </c>
      <c r="L125" s="52" t="s">
        <v>44</v>
      </c>
      <c r="M125" s="52" t="str">
        <f t="shared" si="7"/>
        <v>FONTESEJUSP</v>
      </c>
      <c r="N125" s="52">
        <v>60</v>
      </c>
      <c r="O125" s="52" t="s">
        <v>2401</v>
      </c>
      <c r="P125" s="52" t="s">
        <v>46</v>
      </c>
      <c r="Q125" s="52" t="s">
        <v>3752</v>
      </c>
      <c r="R125" s="185">
        <v>4458.4865690888628</v>
      </c>
      <c r="S125" s="52" t="s">
        <v>3753</v>
      </c>
      <c r="T125" s="186">
        <v>19.724499999999999</v>
      </c>
      <c r="U125" s="53">
        <v>12</v>
      </c>
      <c r="V125" s="58">
        <f t="shared" si="8"/>
        <v>1055297.0199839191</v>
      </c>
      <c r="W125" s="52" t="s">
        <v>49</v>
      </c>
      <c r="X125" s="52" t="s">
        <v>4365</v>
      </c>
      <c r="Y125" s="52" t="s">
        <v>4366</v>
      </c>
      <c r="Z125" s="52" t="s">
        <v>4367</v>
      </c>
      <c r="AA125" s="52">
        <v>0</v>
      </c>
      <c r="AB125" s="52">
        <v>0</v>
      </c>
      <c r="AC125" s="52">
        <v>0</v>
      </c>
      <c r="AD125" s="21">
        <v>0.8985711123657989</v>
      </c>
      <c r="AE125" s="55">
        <v>0.8985711123657989</v>
      </c>
      <c r="AF125" s="315">
        <f t="shared" si="11"/>
        <v>948259.41712326289</v>
      </c>
    </row>
    <row r="126" spans="1:32" s="55" customFormat="1" ht="255" x14ac:dyDescent="0.25">
      <c r="A126" s="86" t="s">
        <v>588</v>
      </c>
      <c r="B126" s="117" t="s">
        <v>2270</v>
      </c>
      <c r="C126" s="52"/>
      <c r="D126" s="52" t="s">
        <v>2279</v>
      </c>
      <c r="E126" s="22" t="str">
        <f t="shared" si="9"/>
        <v>SEJUSPPROG</v>
      </c>
      <c r="F126" s="52" t="s">
        <v>729</v>
      </c>
      <c r="G126" s="22" t="str">
        <f t="shared" si="10"/>
        <v>P130SEJUSP</v>
      </c>
      <c r="H126" s="52" t="s">
        <v>1183</v>
      </c>
      <c r="I126" s="22" t="s">
        <v>16</v>
      </c>
      <c r="J126" s="52" t="s">
        <v>1634</v>
      </c>
      <c r="K126" s="22" t="str">
        <f>VLOOKUP(CONCATENATE(A126,LEFT(J126,4)),AGRUPAMENTO!$D$2:$E$6783,2,FALSE)</f>
        <v>Alimentação</v>
      </c>
      <c r="L126" s="52" t="s">
        <v>44</v>
      </c>
      <c r="M126" s="52" t="str">
        <f t="shared" si="7"/>
        <v>FONTESEJUSP</v>
      </c>
      <c r="N126" s="52">
        <v>60</v>
      </c>
      <c r="O126" s="52" t="s">
        <v>2402</v>
      </c>
      <c r="P126" s="52" t="s">
        <v>46</v>
      </c>
      <c r="Q126" s="52" t="s">
        <v>3752</v>
      </c>
      <c r="R126" s="185">
        <v>14348.312280021091</v>
      </c>
      <c r="S126" s="52" t="s">
        <v>3753</v>
      </c>
      <c r="T126" s="186">
        <v>16.974399999999996</v>
      </c>
      <c r="U126" s="53">
        <v>12</v>
      </c>
      <c r="V126" s="58">
        <f t="shared" si="8"/>
        <v>2922647.9035918796</v>
      </c>
      <c r="W126" s="52" t="s">
        <v>49</v>
      </c>
      <c r="X126" s="52" t="s">
        <v>4365</v>
      </c>
      <c r="Y126" s="52" t="s">
        <v>4366</v>
      </c>
      <c r="Z126" s="52" t="s">
        <v>4367</v>
      </c>
      <c r="AA126" s="52">
        <v>0</v>
      </c>
      <c r="AB126" s="52">
        <v>0</v>
      </c>
      <c r="AC126" s="52">
        <v>0</v>
      </c>
      <c r="AD126" s="21">
        <v>0.8985711123657989</v>
      </c>
      <c r="AE126" s="55">
        <v>0.8985711123657989</v>
      </c>
      <c r="AF126" s="315">
        <f t="shared" si="11"/>
        <v>2626206.9777841256</v>
      </c>
    </row>
    <row r="127" spans="1:32" s="55" customFormat="1" ht="255" x14ac:dyDescent="0.25">
      <c r="A127" s="86" t="s">
        <v>588</v>
      </c>
      <c r="B127" s="117" t="s">
        <v>2270</v>
      </c>
      <c r="C127" s="52"/>
      <c r="D127" s="52" t="s">
        <v>2279</v>
      </c>
      <c r="E127" s="22" t="str">
        <f t="shared" si="9"/>
        <v>SEJUSPPROG</v>
      </c>
      <c r="F127" s="52" t="s">
        <v>729</v>
      </c>
      <c r="G127" s="22" t="str">
        <f t="shared" si="10"/>
        <v>P130SEJUSP</v>
      </c>
      <c r="H127" s="52" t="s">
        <v>1183</v>
      </c>
      <c r="I127" s="22" t="s">
        <v>16</v>
      </c>
      <c r="J127" s="52" t="s">
        <v>1634</v>
      </c>
      <c r="K127" s="22" t="str">
        <f>VLOOKUP(CONCATENATE(A127,LEFT(J127,4)),AGRUPAMENTO!$D$2:$E$6783,2,FALSE)</f>
        <v>Alimentação</v>
      </c>
      <c r="L127" s="52" t="s">
        <v>44</v>
      </c>
      <c r="M127" s="52" t="str">
        <f t="shared" si="7"/>
        <v>FONTESEJUSP</v>
      </c>
      <c r="N127" s="52">
        <v>60</v>
      </c>
      <c r="O127" s="52" t="s">
        <v>2403</v>
      </c>
      <c r="P127" s="52" t="s">
        <v>46</v>
      </c>
      <c r="Q127" s="52" t="s">
        <v>3752</v>
      </c>
      <c r="R127" s="185">
        <v>6998.5959535525462</v>
      </c>
      <c r="S127" s="52" t="s">
        <v>3753</v>
      </c>
      <c r="T127" s="186">
        <v>19.724499999999999</v>
      </c>
      <c r="U127" s="53">
        <v>12</v>
      </c>
      <c r="V127" s="58">
        <f t="shared" si="8"/>
        <v>1656525.6706301663</v>
      </c>
      <c r="W127" s="52" t="s">
        <v>49</v>
      </c>
      <c r="X127" s="52" t="s">
        <v>4365</v>
      </c>
      <c r="Y127" s="52" t="s">
        <v>4366</v>
      </c>
      <c r="Z127" s="52" t="s">
        <v>4367</v>
      </c>
      <c r="AA127" s="52">
        <v>0</v>
      </c>
      <c r="AB127" s="52">
        <v>0</v>
      </c>
      <c r="AC127" s="52">
        <v>0</v>
      </c>
      <c r="AD127" s="21">
        <v>0.8985711123657989</v>
      </c>
      <c r="AE127" s="55">
        <v>0.8985711123657989</v>
      </c>
      <c r="AF127" s="315">
        <f t="shared" si="11"/>
        <v>1488506.1145206494</v>
      </c>
    </row>
    <row r="128" spans="1:32" s="55" customFormat="1" ht="255" x14ac:dyDescent="0.25">
      <c r="A128" s="86" t="s">
        <v>588</v>
      </c>
      <c r="B128" s="117" t="s">
        <v>2270</v>
      </c>
      <c r="C128" s="52"/>
      <c r="D128" s="52" t="s">
        <v>2279</v>
      </c>
      <c r="E128" s="22" t="str">
        <f t="shared" si="9"/>
        <v>SEJUSPPROG</v>
      </c>
      <c r="F128" s="52" t="s">
        <v>729</v>
      </c>
      <c r="G128" s="22" t="str">
        <f t="shared" si="10"/>
        <v>P130SEJUSP</v>
      </c>
      <c r="H128" s="52" t="s">
        <v>1183</v>
      </c>
      <c r="I128" s="22" t="s">
        <v>16</v>
      </c>
      <c r="J128" s="52" t="s">
        <v>1634</v>
      </c>
      <c r="K128" s="22" t="str">
        <f>VLOOKUP(CONCATENATE(A128,LEFT(J128,4)),AGRUPAMENTO!$D$2:$E$6783,2,FALSE)</f>
        <v>Alimentação</v>
      </c>
      <c r="L128" s="52" t="s">
        <v>44</v>
      </c>
      <c r="M128" s="52" t="str">
        <f t="shared" si="7"/>
        <v>FONTESEJUSP</v>
      </c>
      <c r="N128" s="52">
        <v>60</v>
      </c>
      <c r="O128" s="52" t="s">
        <v>2404</v>
      </c>
      <c r="P128" s="52" t="s">
        <v>46</v>
      </c>
      <c r="Q128" s="52" t="s">
        <v>3752</v>
      </c>
      <c r="R128" s="185">
        <v>5815.1193995991589</v>
      </c>
      <c r="S128" s="52" t="s">
        <v>3753</v>
      </c>
      <c r="T128" s="186">
        <v>21.846300000000003</v>
      </c>
      <c r="U128" s="53">
        <v>12</v>
      </c>
      <c r="V128" s="58">
        <f t="shared" si="8"/>
        <v>1524466.1152735576</v>
      </c>
      <c r="W128" s="52" t="s">
        <v>49</v>
      </c>
      <c r="X128" s="52" t="s">
        <v>4365</v>
      </c>
      <c r="Y128" s="52" t="s">
        <v>4366</v>
      </c>
      <c r="Z128" s="52" t="s">
        <v>4367</v>
      </c>
      <c r="AA128" s="52">
        <v>0</v>
      </c>
      <c r="AB128" s="52">
        <v>0</v>
      </c>
      <c r="AC128" s="52">
        <v>0</v>
      </c>
      <c r="AD128" s="21">
        <v>0.8985711123657989</v>
      </c>
      <c r="AE128" s="55">
        <v>0.8985711123657989</v>
      </c>
      <c r="AF128" s="315">
        <f t="shared" si="11"/>
        <v>1369841.2129653289</v>
      </c>
    </row>
    <row r="129" spans="1:32" s="55" customFormat="1" ht="255" x14ac:dyDescent="0.25">
      <c r="A129" s="86" t="s">
        <v>588</v>
      </c>
      <c r="B129" s="117" t="s">
        <v>2270</v>
      </c>
      <c r="C129" s="52"/>
      <c r="D129" s="52" t="s">
        <v>2279</v>
      </c>
      <c r="E129" s="22" t="str">
        <f t="shared" si="9"/>
        <v>SEJUSPPROG</v>
      </c>
      <c r="F129" s="52" t="s">
        <v>729</v>
      </c>
      <c r="G129" s="22" t="str">
        <f t="shared" si="10"/>
        <v>P130SEJUSP</v>
      </c>
      <c r="H129" s="52" t="s">
        <v>1183</v>
      </c>
      <c r="I129" s="22" t="s">
        <v>16</v>
      </c>
      <c r="J129" s="52" t="s">
        <v>1634</v>
      </c>
      <c r="K129" s="22" t="str">
        <f>VLOOKUP(CONCATENATE(A129,LEFT(J129,4)),AGRUPAMENTO!$D$2:$E$6783,2,FALSE)</f>
        <v>Alimentação</v>
      </c>
      <c r="L129" s="52" t="s">
        <v>44</v>
      </c>
      <c r="M129" s="52" t="str">
        <f t="shared" ref="M129:M192" si="12">CONCATENATE("FONTE",A129)</f>
        <v>FONTESEJUSP</v>
      </c>
      <c r="N129" s="52">
        <v>60</v>
      </c>
      <c r="O129" s="52" t="s">
        <v>2405</v>
      </c>
      <c r="P129" s="52" t="s">
        <v>46</v>
      </c>
      <c r="Q129" s="52" t="s">
        <v>3752</v>
      </c>
      <c r="R129" s="185">
        <v>5863.7403789194495</v>
      </c>
      <c r="S129" s="52" t="s">
        <v>3753</v>
      </c>
      <c r="T129" s="186">
        <v>27.810000000000002</v>
      </c>
      <c r="U129" s="53">
        <v>12</v>
      </c>
      <c r="V129" s="58">
        <f t="shared" si="8"/>
        <v>1956847.4392529987</v>
      </c>
      <c r="W129" s="52" t="s">
        <v>49</v>
      </c>
      <c r="X129" s="52" t="s">
        <v>4365</v>
      </c>
      <c r="Y129" s="52" t="s">
        <v>4366</v>
      </c>
      <c r="Z129" s="52" t="s">
        <v>4367</v>
      </c>
      <c r="AA129" s="52">
        <v>0</v>
      </c>
      <c r="AB129" s="52">
        <v>0</v>
      </c>
      <c r="AC129" s="52">
        <v>0</v>
      </c>
      <c r="AD129" s="21">
        <v>0.8985711123657989</v>
      </c>
      <c r="AE129" s="55">
        <v>0.8985711123657989</v>
      </c>
      <c r="AF129" s="315">
        <f t="shared" si="11"/>
        <v>1758366.5802197321</v>
      </c>
    </row>
    <row r="130" spans="1:32" s="55" customFormat="1" ht="255" x14ac:dyDescent="0.25">
      <c r="A130" s="86" t="s">
        <v>588</v>
      </c>
      <c r="B130" s="117" t="s">
        <v>2270</v>
      </c>
      <c r="C130" s="52"/>
      <c r="D130" s="52" t="s">
        <v>2279</v>
      </c>
      <c r="E130" s="22" t="str">
        <f t="shared" si="9"/>
        <v>SEJUSPPROG</v>
      </c>
      <c r="F130" s="52" t="s">
        <v>729</v>
      </c>
      <c r="G130" s="22" t="str">
        <f t="shared" si="10"/>
        <v>P130SEJUSP</v>
      </c>
      <c r="H130" s="52" t="s">
        <v>1183</v>
      </c>
      <c r="I130" s="22" t="s">
        <v>16</v>
      </c>
      <c r="J130" s="52" t="s">
        <v>1634</v>
      </c>
      <c r="K130" s="22" t="str">
        <f>VLOOKUP(CONCATENATE(A130,LEFT(J130,4)),AGRUPAMENTO!$D$2:$E$6783,2,FALSE)</f>
        <v>Alimentação</v>
      </c>
      <c r="L130" s="52" t="s">
        <v>44</v>
      </c>
      <c r="M130" s="52" t="str">
        <f t="shared" si="12"/>
        <v>FONTESEJUSP</v>
      </c>
      <c r="N130" s="52">
        <v>60</v>
      </c>
      <c r="O130" s="52" t="s">
        <v>2406</v>
      </c>
      <c r="P130" s="52" t="s">
        <v>46</v>
      </c>
      <c r="Q130" s="52" t="s">
        <v>3752</v>
      </c>
      <c r="R130" s="185">
        <v>5524.8156896352602</v>
      </c>
      <c r="S130" s="52" t="s">
        <v>3753</v>
      </c>
      <c r="T130" s="186">
        <v>27.2744</v>
      </c>
      <c r="U130" s="53">
        <v>12</v>
      </c>
      <c r="V130" s="58">
        <f t="shared" ref="V130:V193" si="13">R130*T130*U130</f>
        <v>1808232.3965446553</v>
      </c>
      <c r="W130" s="52" t="s">
        <v>49</v>
      </c>
      <c r="X130" s="52" t="s">
        <v>4365</v>
      </c>
      <c r="Y130" s="52" t="s">
        <v>4366</v>
      </c>
      <c r="Z130" s="52" t="s">
        <v>4367</v>
      </c>
      <c r="AA130" s="52">
        <v>0</v>
      </c>
      <c r="AB130" s="52">
        <v>0</v>
      </c>
      <c r="AC130" s="52">
        <v>0</v>
      </c>
      <c r="AD130" s="21">
        <v>0.8985711123657989</v>
      </c>
      <c r="AE130" s="55">
        <v>0.8985711123657989</v>
      </c>
      <c r="AF130" s="315">
        <f t="shared" si="11"/>
        <v>1624825.3959790054</v>
      </c>
    </row>
    <row r="131" spans="1:32" s="55" customFormat="1" ht="255" x14ac:dyDescent="0.25">
      <c r="A131" s="86" t="s">
        <v>588</v>
      </c>
      <c r="B131" s="117" t="s">
        <v>2270</v>
      </c>
      <c r="C131" s="52"/>
      <c r="D131" s="52" t="s">
        <v>2279</v>
      </c>
      <c r="E131" s="22" t="str">
        <f t="shared" ref="E131:E194" si="14">CONCATENATE(A131,"PROG")</f>
        <v>SEJUSPPROG</v>
      </c>
      <c r="F131" s="52" t="s">
        <v>729</v>
      </c>
      <c r="G131" s="22" t="str">
        <f t="shared" si="10"/>
        <v>P130SEJUSP</v>
      </c>
      <c r="H131" s="52" t="s">
        <v>1183</v>
      </c>
      <c r="I131" s="22" t="s">
        <v>16</v>
      </c>
      <c r="J131" s="52" t="s">
        <v>1634</v>
      </c>
      <c r="K131" s="22" t="str">
        <f>VLOOKUP(CONCATENATE(A131,LEFT(J131,4)),AGRUPAMENTO!$D$2:$E$6783,2,FALSE)</f>
        <v>Alimentação</v>
      </c>
      <c r="L131" s="52" t="s">
        <v>44</v>
      </c>
      <c r="M131" s="52" t="str">
        <f t="shared" si="12"/>
        <v>FONTESEJUSP</v>
      </c>
      <c r="N131" s="52">
        <v>60</v>
      </c>
      <c r="O131" s="52" t="s">
        <v>2407</v>
      </c>
      <c r="P131" s="52" t="s">
        <v>46</v>
      </c>
      <c r="Q131" s="52" t="s">
        <v>3752</v>
      </c>
      <c r="R131" s="185">
        <v>2568.5256762708427</v>
      </c>
      <c r="S131" s="52" t="s">
        <v>3753</v>
      </c>
      <c r="T131" s="186">
        <v>29.313800000000001</v>
      </c>
      <c r="U131" s="53">
        <v>12</v>
      </c>
      <c r="V131" s="58">
        <f t="shared" si="13"/>
        <v>903518.97562881885</v>
      </c>
      <c r="W131" s="52" t="s">
        <v>49</v>
      </c>
      <c r="X131" s="52" t="s">
        <v>4365</v>
      </c>
      <c r="Y131" s="52" t="s">
        <v>4366</v>
      </c>
      <c r="Z131" s="52" t="s">
        <v>4367</v>
      </c>
      <c r="AA131" s="52">
        <v>0</v>
      </c>
      <c r="AB131" s="52">
        <v>0</v>
      </c>
      <c r="AC131" s="52">
        <v>0</v>
      </c>
      <c r="AD131" s="21">
        <v>0.8985711123657989</v>
      </c>
      <c r="AE131" s="55">
        <v>0.8985711123657989</v>
      </c>
      <c r="AF131" s="315">
        <f t="shared" si="11"/>
        <v>811876.05097439489</v>
      </c>
    </row>
    <row r="132" spans="1:32" s="55" customFormat="1" ht="255" x14ac:dyDescent="0.25">
      <c r="A132" s="86" t="s">
        <v>588</v>
      </c>
      <c r="B132" s="117" t="s">
        <v>2270</v>
      </c>
      <c r="C132" s="52"/>
      <c r="D132" s="52" t="s">
        <v>2279</v>
      </c>
      <c r="E132" s="22" t="str">
        <f t="shared" si="14"/>
        <v>SEJUSPPROG</v>
      </c>
      <c r="F132" s="52" t="s">
        <v>729</v>
      </c>
      <c r="G132" s="22" t="str">
        <f t="shared" ref="G132:G195" si="15">CONCATENATE("P",(LEFT(F132,3)),A132)</f>
        <v>P130SEJUSP</v>
      </c>
      <c r="H132" s="52" t="s">
        <v>1183</v>
      </c>
      <c r="I132" s="22" t="s">
        <v>16</v>
      </c>
      <c r="J132" s="52" t="s">
        <v>1634</v>
      </c>
      <c r="K132" s="22" t="str">
        <f>VLOOKUP(CONCATENATE(A132,LEFT(J132,4)),AGRUPAMENTO!$D$2:$E$6783,2,FALSE)</f>
        <v>Alimentação</v>
      </c>
      <c r="L132" s="52" t="s">
        <v>44</v>
      </c>
      <c r="M132" s="52" t="str">
        <f t="shared" si="12"/>
        <v>FONTESEJUSP</v>
      </c>
      <c r="N132" s="52">
        <v>60</v>
      </c>
      <c r="O132" s="52" t="s">
        <v>2408</v>
      </c>
      <c r="P132" s="52" t="s">
        <v>46</v>
      </c>
      <c r="Q132" s="52" t="s">
        <v>3752</v>
      </c>
      <c r="R132" s="185">
        <v>8110.684181675857</v>
      </c>
      <c r="S132" s="52" t="s">
        <v>3753</v>
      </c>
      <c r="T132" s="186">
        <v>20.960500000000003</v>
      </c>
      <c r="U132" s="53">
        <v>12</v>
      </c>
      <c r="V132" s="58">
        <f t="shared" si="13"/>
        <v>2040047.949480202</v>
      </c>
      <c r="W132" s="52" t="s">
        <v>49</v>
      </c>
      <c r="X132" s="52" t="s">
        <v>4365</v>
      </c>
      <c r="Y132" s="52" t="s">
        <v>4366</v>
      </c>
      <c r="Z132" s="52" t="s">
        <v>4367</v>
      </c>
      <c r="AA132" s="52">
        <v>0</v>
      </c>
      <c r="AB132" s="52">
        <v>0</v>
      </c>
      <c r="AC132" s="52">
        <v>0</v>
      </c>
      <c r="AD132" s="21">
        <v>0.8985711123657989</v>
      </c>
      <c r="AE132" s="55">
        <v>0.8985711123657989</v>
      </c>
      <c r="AF132" s="315">
        <f t="shared" ref="AF132:AF195" si="16">AE132*V132</f>
        <v>1833128.1552439923</v>
      </c>
    </row>
    <row r="133" spans="1:32" s="55" customFormat="1" ht="255" x14ac:dyDescent="0.25">
      <c r="A133" s="86" t="s">
        <v>588</v>
      </c>
      <c r="B133" s="117" t="s">
        <v>2270</v>
      </c>
      <c r="C133" s="52"/>
      <c r="D133" s="52" t="s">
        <v>2279</v>
      </c>
      <c r="E133" s="22" t="str">
        <f t="shared" si="14"/>
        <v>SEJUSPPROG</v>
      </c>
      <c r="F133" s="52" t="s">
        <v>729</v>
      </c>
      <c r="G133" s="22" t="str">
        <f t="shared" si="15"/>
        <v>P130SEJUSP</v>
      </c>
      <c r="H133" s="52" t="s">
        <v>1183</v>
      </c>
      <c r="I133" s="22" t="s">
        <v>16</v>
      </c>
      <c r="J133" s="52" t="s">
        <v>1634</v>
      </c>
      <c r="K133" s="22" t="str">
        <f>VLOOKUP(CONCATENATE(A133,LEFT(J133,4)),AGRUPAMENTO!$D$2:$E$6783,2,FALSE)</f>
        <v>Alimentação</v>
      </c>
      <c r="L133" s="52" t="s">
        <v>44</v>
      </c>
      <c r="M133" s="52" t="str">
        <f t="shared" si="12"/>
        <v>FONTESEJUSP</v>
      </c>
      <c r="N133" s="52">
        <v>60</v>
      </c>
      <c r="O133" s="52" t="s">
        <v>2409</v>
      </c>
      <c r="P133" s="52" t="s">
        <v>46</v>
      </c>
      <c r="Q133" s="52" t="s">
        <v>3752</v>
      </c>
      <c r="R133" s="185">
        <v>19238.845474788206</v>
      </c>
      <c r="S133" s="52" t="s">
        <v>3753</v>
      </c>
      <c r="T133" s="186">
        <v>21.805100000000003</v>
      </c>
      <c r="U133" s="53">
        <v>12</v>
      </c>
      <c r="V133" s="58">
        <f t="shared" si="13"/>
        <v>5034059.3935476523</v>
      </c>
      <c r="W133" s="52" t="s">
        <v>49</v>
      </c>
      <c r="X133" s="52" t="s">
        <v>4365</v>
      </c>
      <c r="Y133" s="52" t="s">
        <v>4366</v>
      </c>
      <c r="Z133" s="52" t="s">
        <v>4367</v>
      </c>
      <c r="AA133" s="52">
        <v>0</v>
      </c>
      <c r="AB133" s="52">
        <v>0</v>
      </c>
      <c r="AC133" s="52">
        <v>0</v>
      </c>
      <c r="AD133" s="21">
        <v>0.8985711123657989</v>
      </c>
      <c r="AE133" s="55">
        <v>0.8985711123657989</v>
      </c>
      <c r="AF133" s="315">
        <f t="shared" si="16"/>
        <v>4523460.3489756128</v>
      </c>
    </row>
    <row r="134" spans="1:32" s="55" customFormat="1" ht="255" x14ac:dyDescent="0.25">
      <c r="A134" s="86" t="s">
        <v>588</v>
      </c>
      <c r="B134" s="117" t="s">
        <v>2270</v>
      </c>
      <c r="C134" s="52"/>
      <c r="D134" s="52" t="s">
        <v>2279</v>
      </c>
      <c r="E134" s="22" t="str">
        <f t="shared" si="14"/>
        <v>SEJUSPPROG</v>
      </c>
      <c r="F134" s="52" t="s">
        <v>729</v>
      </c>
      <c r="G134" s="22" t="str">
        <f t="shared" si="15"/>
        <v>P130SEJUSP</v>
      </c>
      <c r="H134" s="52" t="s">
        <v>1183</v>
      </c>
      <c r="I134" s="22" t="s">
        <v>16</v>
      </c>
      <c r="J134" s="52" t="s">
        <v>1634</v>
      </c>
      <c r="K134" s="22" t="str">
        <f>VLOOKUP(CONCATENATE(A134,LEFT(J134,4)),AGRUPAMENTO!$D$2:$E$6783,2,FALSE)</f>
        <v>Alimentação</v>
      </c>
      <c r="L134" s="52" t="s">
        <v>44</v>
      </c>
      <c r="M134" s="52" t="str">
        <f t="shared" si="12"/>
        <v>FONTESEJUSP</v>
      </c>
      <c r="N134" s="52">
        <v>60</v>
      </c>
      <c r="O134" s="52" t="s">
        <v>2410</v>
      </c>
      <c r="P134" s="52" t="s">
        <v>46</v>
      </c>
      <c r="Q134" s="52" t="s">
        <v>3752</v>
      </c>
      <c r="R134" s="185">
        <v>3412.3089777848495</v>
      </c>
      <c r="S134" s="52" t="s">
        <v>3753</v>
      </c>
      <c r="T134" s="186">
        <v>29.828800000000001</v>
      </c>
      <c r="U134" s="53">
        <v>12</v>
      </c>
      <c r="V134" s="58">
        <f t="shared" si="13"/>
        <v>1221420.9844385847</v>
      </c>
      <c r="W134" s="52" t="s">
        <v>49</v>
      </c>
      <c r="X134" s="52" t="s">
        <v>4365</v>
      </c>
      <c r="Y134" s="52" t="s">
        <v>4366</v>
      </c>
      <c r="Z134" s="52" t="s">
        <v>4367</v>
      </c>
      <c r="AA134" s="52">
        <v>0</v>
      </c>
      <c r="AB134" s="52">
        <v>0</v>
      </c>
      <c r="AC134" s="52">
        <v>0</v>
      </c>
      <c r="AD134" s="21">
        <v>0.8985711123657989</v>
      </c>
      <c r="AE134" s="55">
        <v>0.8985711123657989</v>
      </c>
      <c r="AF134" s="315">
        <f t="shared" si="16"/>
        <v>1097533.6126539081</v>
      </c>
    </row>
    <row r="135" spans="1:32" s="55" customFormat="1" ht="255" x14ac:dyDescent="0.25">
      <c r="A135" s="86" t="s">
        <v>588</v>
      </c>
      <c r="B135" s="117" t="s">
        <v>2270</v>
      </c>
      <c r="C135" s="52"/>
      <c r="D135" s="52" t="s">
        <v>2279</v>
      </c>
      <c r="E135" s="22" t="str">
        <f t="shared" si="14"/>
        <v>SEJUSPPROG</v>
      </c>
      <c r="F135" s="52" t="s">
        <v>729</v>
      </c>
      <c r="G135" s="22" t="str">
        <f t="shared" si="15"/>
        <v>P130SEJUSP</v>
      </c>
      <c r="H135" s="52" t="s">
        <v>1183</v>
      </c>
      <c r="I135" s="22" t="s">
        <v>16</v>
      </c>
      <c r="J135" s="52" t="s">
        <v>1634</v>
      </c>
      <c r="K135" s="22" t="str">
        <f>VLOOKUP(CONCATENATE(A135,LEFT(J135,4)),AGRUPAMENTO!$D$2:$E$6783,2,FALSE)</f>
        <v>Alimentação</v>
      </c>
      <c r="L135" s="52" t="s">
        <v>44</v>
      </c>
      <c r="M135" s="52" t="str">
        <f t="shared" si="12"/>
        <v>FONTESEJUSP</v>
      </c>
      <c r="N135" s="52">
        <v>60</v>
      </c>
      <c r="O135" s="52" t="s">
        <v>2411</v>
      </c>
      <c r="P135" s="52" t="s">
        <v>46</v>
      </c>
      <c r="Q135" s="52" t="s">
        <v>3752</v>
      </c>
      <c r="R135" s="185">
        <v>12470.653926678897</v>
      </c>
      <c r="S135" s="52" t="s">
        <v>3753</v>
      </c>
      <c r="T135" s="186">
        <v>18.7151</v>
      </c>
      <c r="U135" s="53">
        <v>12</v>
      </c>
      <c r="V135" s="58">
        <f t="shared" si="13"/>
        <v>2800674.4236382586</v>
      </c>
      <c r="W135" s="52" t="s">
        <v>49</v>
      </c>
      <c r="X135" s="52" t="s">
        <v>4365</v>
      </c>
      <c r="Y135" s="52" t="s">
        <v>4366</v>
      </c>
      <c r="Z135" s="52" t="s">
        <v>4367</v>
      </c>
      <c r="AA135" s="52">
        <v>0</v>
      </c>
      <c r="AB135" s="52">
        <v>0</v>
      </c>
      <c r="AC135" s="52">
        <v>0</v>
      </c>
      <c r="AD135" s="21">
        <v>0.8985711123657989</v>
      </c>
      <c r="AE135" s="55">
        <v>0.8985711123657989</v>
      </c>
      <c r="AF135" s="315">
        <f t="shared" si="16"/>
        <v>2516605.1322230729</v>
      </c>
    </row>
    <row r="136" spans="1:32" s="55" customFormat="1" ht="255" x14ac:dyDescent="0.25">
      <c r="A136" s="86" t="s">
        <v>588</v>
      </c>
      <c r="B136" s="117" t="s">
        <v>2270</v>
      </c>
      <c r="C136" s="52"/>
      <c r="D136" s="52" t="s">
        <v>2279</v>
      </c>
      <c r="E136" s="22" t="str">
        <f t="shared" si="14"/>
        <v>SEJUSPPROG</v>
      </c>
      <c r="F136" s="52" t="s">
        <v>729</v>
      </c>
      <c r="G136" s="22" t="str">
        <f t="shared" si="15"/>
        <v>P130SEJUSP</v>
      </c>
      <c r="H136" s="52" t="s">
        <v>1183</v>
      </c>
      <c r="I136" s="22" t="s">
        <v>16</v>
      </c>
      <c r="J136" s="52" t="s">
        <v>1634</v>
      </c>
      <c r="K136" s="22" t="str">
        <f>VLOOKUP(CONCATENATE(A136,LEFT(J136,4)),AGRUPAMENTO!$D$2:$E$6783,2,FALSE)</f>
        <v>Alimentação</v>
      </c>
      <c r="L136" s="52" t="s">
        <v>44</v>
      </c>
      <c r="M136" s="52" t="str">
        <f t="shared" si="12"/>
        <v>FONTESEJUSP</v>
      </c>
      <c r="N136" s="52">
        <v>60</v>
      </c>
      <c r="O136" s="52" t="s">
        <v>2412</v>
      </c>
      <c r="P136" s="52" t="s">
        <v>46</v>
      </c>
      <c r="Q136" s="52" t="s">
        <v>3752</v>
      </c>
      <c r="R136" s="185">
        <v>2513.1150786964904</v>
      </c>
      <c r="S136" s="52" t="s">
        <v>3753</v>
      </c>
      <c r="T136" s="186">
        <v>16.037100000000002</v>
      </c>
      <c r="U136" s="53">
        <v>12</v>
      </c>
      <c r="V136" s="58">
        <f t="shared" si="13"/>
        <v>483636.93394276197</v>
      </c>
      <c r="W136" s="52" t="s">
        <v>49</v>
      </c>
      <c r="X136" s="52" t="s">
        <v>4365</v>
      </c>
      <c r="Y136" s="52" t="s">
        <v>4366</v>
      </c>
      <c r="Z136" s="52" t="s">
        <v>4367</v>
      </c>
      <c r="AA136" s="52">
        <v>0</v>
      </c>
      <c r="AB136" s="52">
        <v>0</v>
      </c>
      <c r="AC136" s="52">
        <v>0</v>
      </c>
      <c r="AD136" s="21">
        <v>0.8985711123657989</v>
      </c>
      <c r="AE136" s="55">
        <v>0.8985711123657989</v>
      </c>
      <c r="AF136" s="315">
        <f t="shared" si="16"/>
        <v>434582.17771413201</v>
      </c>
    </row>
    <row r="137" spans="1:32" s="55" customFormat="1" ht="255" x14ac:dyDescent="0.25">
      <c r="A137" s="86" t="s">
        <v>588</v>
      </c>
      <c r="B137" s="117" t="s">
        <v>2270</v>
      </c>
      <c r="C137" s="52"/>
      <c r="D137" s="52" t="s">
        <v>2279</v>
      </c>
      <c r="E137" s="22" t="str">
        <f t="shared" si="14"/>
        <v>SEJUSPPROG</v>
      </c>
      <c r="F137" s="52" t="s">
        <v>729</v>
      </c>
      <c r="G137" s="22" t="str">
        <f t="shared" si="15"/>
        <v>P130SEJUSP</v>
      </c>
      <c r="H137" s="52" t="s">
        <v>1183</v>
      </c>
      <c r="I137" s="22" t="s">
        <v>16</v>
      </c>
      <c r="J137" s="52" t="s">
        <v>1634</v>
      </c>
      <c r="K137" s="22" t="str">
        <f>VLOOKUP(CONCATENATE(A137,LEFT(J137,4)),AGRUPAMENTO!$D$2:$E$6783,2,FALSE)</f>
        <v>Alimentação</v>
      </c>
      <c r="L137" s="52" t="s">
        <v>44</v>
      </c>
      <c r="M137" s="52" t="str">
        <f t="shared" si="12"/>
        <v>FONTESEJUSP</v>
      </c>
      <c r="N137" s="52">
        <v>60</v>
      </c>
      <c r="O137" s="52" t="s">
        <v>2413</v>
      </c>
      <c r="P137" s="52" t="s">
        <v>46</v>
      </c>
      <c r="Q137" s="52" t="s">
        <v>3752</v>
      </c>
      <c r="R137" s="185">
        <v>5664.4059217896947</v>
      </c>
      <c r="S137" s="52" t="s">
        <v>3753</v>
      </c>
      <c r="T137" s="186">
        <v>26.831499999999998</v>
      </c>
      <c r="U137" s="53">
        <v>12</v>
      </c>
      <c r="V137" s="58">
        <f t="shared" si="13"/>
        <v>1823814.0898860022</v>
      </c>
      <c r="W137" s="52" t="s">
        <v>49</v>
      </c>
      <c r="X137" s="52" t="s">
        <v>4365</v>
      </c>
      <c r="Y137" s="52" t="s">
        <v>4366</v>
      </c>
      <c r="Z137" s="52" t="s">
        <v>4367</v>
      </c>
      <c r="AA137" s="52">
        <v>0</v>
      </c>
      <c r="AB137" s="52">
        <v>0</v>
      </c>
      <c r="AC137" s="52">
        <v>0</v>
      </c>
      <c r="AD137" s="21">
        <v>0.8985711123657989</v>
      </c>
      <c r="AE137" s="55">
        <v>0.8985711123657989</v>
      </c>
      <c r="AF137" s="315">
        <f t="shared" si="16"/>
        <v>1638826.6554972823</v>
      </c>
    </row>
    <row r="138" spans="1:32" s="55" customFormat="1" ht="255" x14ac:dyDescent="0.25">
      <c r="A138" s="86" t="s">
        <v>588</v>
      </c>
      <c r="B138" s="117" t="s">
        <v>2270</v>
      </c>
      <c r="C138" s="52"/>
      <c r="D138" s="52" t="s">
        <v>2279</v>
      </c>
      <c r="E138" s="22" t="str">
        <f t="shared" si="14"/>
        <v>SEJUSPPROG</v>
      </c>
      <c r="F138" s="52" t="s">
        <v>729</v>
      </c>
      <c r="G138" s="22" t="str">
        <f t="shared" si="15"/>
        <v>P130SEJUSP</v>
      </c>
      <c r="H138" s="52" t="s">
        <v>1183</v>
      </c>
      <c r="I138" s="22" t="s">
        <v>16</v>
      </c>
      <c r="J138" s="52" t="s">
        <v>1634</v>
      </c>
      <c r="K138" s="22" t="str">
        <f>VLOOKUP(CONCATENATE(A138,LEFT(J138,4)),AGRUPAMENTO!$D$2:$E$6783,2,FALSE)</f>
        <v>Alimentação</v>
      </c>
      <c r="L138" s="52" t="s">
        <v>44</v>
      </c>
      <c r="M138" s="52" t="str">
        <f t="shared" si="12"/>
        <v>FONTESEJUSP</v>
      </c>
      <c r="N138" s="52">
        <v>60</v>
      </c>
      <c r="O138" s="52" t="s">
        <v>2414</v>
      </c>
      <c r="P138" s="52" t="s">
        <v>46</v>
      </c>
      <c r="Q138" s="52" t="s">
        <v>3752</v>
      </c>
      <c r="R138" s="185">
        <v>2552.0977557701231</v>
      </c>
      <c r="S138" s="52" t="s">
        <v>3753</v>
      </c>
      <c r="T138" s="186">
        <v>21.619700000000002</v>
      </c>
      <c r="U138" s="53">
        <v>12</v>
      </c>
      <c r="V138" s="58">
        <f t="shared" si="13"/>
        <v>662107.05420508003</v>
      </c>
      <c r="W138" s="52" t="s">
        <v>49</v>
      </c>
      <c r="X138" s="52" t="s">
        <v>4365</v>
      </c>
      <c r="Y138" s="52" t="s">
        <v>4366</v>
      </c>
      <c r="Z138" s="52" t="s">
        <v>4367</v>
      </c>
      <c r="AA138" s="52">
        <v>0</v>
      </c>
      <c r="AB138" s="52">
        <v>0</v>
      </c>
      <c r="AC138" s="52">
        <v>0</v>
      </c>
      <c r="AD138" s="21">
        <v>0.8985711123657989</v>
      </c>
      <c r="AE138" s="55">
        <v>0.8985711123657989</v>
      </c>
      <c r="AF138" s="315">
        <f t="shared" si="16"/>
        <v>594950.27220230107</v>
      </c>
    </row>
    <row r="139" spans="1:32" s="55" customFormat="1" ht="255" x14ac:dyDescent="0.25">
      <c r="A139" s="86" t="s">
        <v>588</v>
      </c>
      <c r="B139" s="117" t="s">
        <v>2270</v>
      </c>
      <c r="C139" s="52"/>
      <c r="D139" s="52" t="s">
        <v>2279</v>
      </c>
      <c r="E139" s="22" t="str">
        <f t="shared" si="14"/>
        <v>SEJUSPPROG</v>
      </c>
      <c r="F139" s="52" t="s">
        <v>729</v>
      </c>
      <c r="G139" s="22" t="str">
        <f t="shared" si="15"/>
        <v>P130SEJUSP</v>
      </c>
      <c r="H139" s="52" t="s">
        <v>1183</v>
      </c>
      <c r="I139" s="22" t="s">
        <v>16</v>
      </c>
      <c r="J139" s="52" t="s">
        <v>1634</v>
      </c>
      <c r="K139" s="22" t="str">
        <f>VLOOKUP(CONCATENATE(A139,LEFT(J139,4)),AGRUPAMENTO!$D$2:$E$6783,2,FALSE)</f>
        <v>Alimentação</v>
      </c>
      <c r="L139" s="52" t="s">
        <v>44</v>
      </c>
      <c r="M139" s="52" t="str">
        <f t="shared" si="12"/>
        <v>FONTESEJUSP</v>
      </c>
      <c r="N139" s="52">
        <v>60</v>
      </c>
      <c r="O139" s="52" t="s">
        <v>2415</v>
      </c>
      <c r="P139" s="52" t="s">
        <v>46</v>
      </c>
      <c r="Q139" s="52" t="s">
        <v>3752</v>
      </c>
      <c r="R139" s="185">
        <v>35779.897942938442</v>
      </c>
      <c r="S139" s="52" t="s">
        <v>3753</v>
      </c>
      <c r="T139" s="186">
        <v>16.5212</v>
      </c>
      <c r="U139" s="53">
        <v>12</v>
      </c>
      <c r="V139" s="58">
        <f t="shared" si="13"/>
        <v>7093522.1987384949</v>
      </c>
      <c r="W139" s="52" t="s">
        <v>49</v>
      </c>
      <c r="X139" s="52" t="s">
        <v>4365</v>
      </c>
      <c r="Y139" s="52" t="s">
        <v>4366</v>
      </c>
      <c r="Z139" s="52" t="s">
        <v>4367</v>
      </c>
      <c r="AA139" s="52">
        <v>0</v>
      </c>
      <c r="AB139" s="52">
        <v>0</v>
      </c>
      <c r="AC139" s="52">
        <v>0</v>
      </c>
      <c r="AD139" s="21">
        <v>0.8985711123657989</v>
      </c>
      <c r="AE139" s="55">
        <v>0.8985711123657989</v>
      </c>
      <c r="AF139" s="315">
        <f t="shared" si="16"/>
        <v>6374034.1327119367</v>
      </c>
    </row>
    <row r="140" spans="1:32" s="55" customFormat="1" ht="255" x14ac:dyDescent="0.25">
      <c r="A140" s="86" t="s">
        <v>588</v>
      </c>
      <c r="B140" s="117" t="s">
        <v>2270</v>
      </c>
      <c r="C140" s="52"/>
      <c r="D140" s="52" t="s">
        <v>2279</v>
      </c>
      <c r="E140" s="22" t="str">
        <f t="shared" si="14"/>
        <v>SEJUSPPROG</v>
      </c>
      <c r="F140" s="52" t="s">
        <v>729</v>
      </c>
      <c r="G140" s="22" t="str">
        <f t="shared" si="15"/>
        <v>P130SEJUSP</v>
      </c>
      <c r="H140" s="52" t="s">
        <v>1183</v>
      </c>
      <c r="I140" s="22" t="s">
        <v>16</v>
      </c>
      <c r="J140" s="52" t="s">
        <v>1634</v>
      </c>
      <c r="K140" s="22" t="str">
        <f>VLOOKUP(CONCATENATE(A140,LEFT(J140,4)),AGRUPAMENTO!$D$2:$E$6783,2,FALSE)</f>
        <v>Alimentação</v>
      </c>
      <c r="L140" s="52" t="s">
        <v>44</v>
      </c>
      <c r="M140" s="52" t="str">
        <f t="shared" si="12"/>
        <v>FONTESEJUSP</v>
      </c>
      <c r="N140" s="52">
        <v>60</v>
      </c>
      <c r="O140" s="52" t="s">
        <v>2416</v>
      </c>
      <c r="P140" s="52" t="s">
        <v>46</v>
      </c>
      <c r="Q140" s="52" t="s">
        <v>3752</v>
      </c>
      <c r="R140" s="185">
        <v>2220.7866190761611</v>
      </c>
      <c r="S140" s="52" t="s">
        <v>3753</v>
      </c>
      <c r="T140" s="186">
        <v>29.694900000000001</v>
      </c>
      <c r="U140" s="53">
        <v>12</v>
      </c>
      <c r="V140" s="58">
        <f t="shared" si="13"/>
        <v>791352.43889765628</v>
      </c>
      <c r="W140" s="52" t="s">
        <v>49</v>
      </c>
      <c r="X140" s="52" t="s">
        <v>4365</v>
      </c>
      <c r="Y140" s="52" t="s">
        <v>4366</v>
      </c>
      <c r="Z140" s="52" t="s">
        <v>4367</v>
      </c>
      <c r="AA140" s="52">
        <v>0</v>
      </c>
      <c r="AB140" s="52">
        <v>0</v>
      </c>
      <c r="AC140" s="52">
        <v>0</v>
      </c>
      <c r="AD140" s="21">
        <v>0.8985711123657989</v>
      </c>
      <c r="AE140" s="55">
        <v>0.8985711123657989</v>
      </c>
      <c r="AF140" s="315">
        <f t="shared" si="16"/>
        <v>711086.44129365485</v>
      </c>
    </row>
    <row r="141" spans="1:32" s="55" customFormat="1" ht="255" x14ac:dyDescent="0.25">
      <c r="A141" s="86" t="s">
        <v>588</v>
      </c>
      <c r="B141" s="117" t="s">
        <v>2270</v>
      </c>
      <c r="C141" s="52"/>
      <c r="D141" s="52" t="s">
        <v>2279</v>
      </c>
      <c r="E141" s="22" t="str">
        <f t="shared" si="14"/>
        <v>SEJUSPPROG</v>
      </c>
      <c r="F141" s="52" t="s">
        <v>729</v>
      </c>
      <c r="G141" s="22" t="str">
        <f t="shared" si="15"/>
        <v>P130SEJUSP</v>
      </c>
      <c r="H141" s="52" t="s">
        <v>1183</v>
      </c>
      <c r="I141" s="22" t="s">
        <v>16</v>
      </c>
      <c r="J141" s="52" t="s">
        <v>1634</v>
      </c>
      <c r="K141" s="22" t="str">
        <f>VLOOKUP(CONCATENATE(A141,LEFT(J141,4)),AGRUPAMENTO!$D$2:$E$6783,2,FALSE)</f>
        <v>Alimentação</v>
      </c>
      <c r="L141" s="52" t="s">
        <v>44</v>
      </c>
      <c r="M141" s="52" t="str">
        <f t="shared" si="12"/>
        <v>FONTESEJUSP</v>
      </c>
      <c r="N141" s="52">
        <v>60</v>
      </c>
      <c r="O141" s="52" t="s">
        <v>2417</v>
      </c>
      <c r="P141" s="52" t="s">
        <v>46</v>
      </c>
      <c r="Q141" s="52" t="s">
        <v>3752</v>
      </c>
      <c r="R141" s="185">
        <v>5542.1755153235172</v>
      </c>
      <c r="S141" s="52" t="s">
        <v>3753</v>
      </c>
      <c r="T141" s="186">
        <v>16.212199999999999</v>
      </c>
      <c r="U141" s="53">
        <v>12</v>
      </c>
      <c r="V141" s="58">
        <f t="shared" si="13"/>
        <v>1078210.294674335</v>
      </c>
      <c r="W141" s="52" t="s">
        <v>49</v>
      </c>
      <c r="X141" s="52" t="s">
        <v>4365</v>
      </c>
      <c r="Y141" s="52" t="s">
        <v>4366</v>
      </c>
      <c r="Z141" s="52" t="s">
        <v>4367</v>
      </c>
      <c r="AA141" s="52">
        <v>0</v>
      </c>
      <c r="AB141" s="52">
        <v>0</v>
      </c>
      <c r="AC141" s="52">
        <v>0</v>
      </c>
      <c r="AD141" s="21">
        <v>0.8985711123657989</v>
      </c>
      <c r="AE141" s="55">
        <v>0.8985711123657989</v>
      </c>
      <c r="AF141" s="315">
        <f t="shared" si="16"/>
        <v>968848.62384977308</v>
      </c>
    </row>
    <row r="142" spans="1:32" s="55" customFormat="1" ht="255" x14ac:dyDescent="0.25">
      <c r="A142" s="86" t="s">
        <v>588</v>
      </c>
      <c r="B142" s="117" t="s">
        <v>2270</v>
      </c>
      <c r="C142" s="52"/>
      <c r="D142" s="52" t="s">
        <v>2279</v>
      </c>
      <c r="E142" s="22" t="str">
        <f t="shared" si="14"/>
        <v>SEJUSPPROG</v>
      </c>
      <c r="F142" s="52" t="s">
        <v>729</v>
      </c>
      <c r="G142" s="22" t="str">
        <f t="shared" si="15"/>
        <v>P130SEJUSP</v>
      </c>
      <c r="H142" s="52" t="s">
        <v>1183</v>
      </c>
      <c r="I142" s="22" t="s">
        <v>16</v>
      </c>
      <c r="J142" s="52" t="s">
        <v>1634</v>
      </c>
      <c r="K142" s="22" t="str">
        <f>VLOOKUP(CONCATENATE(A142,LEFT(J142,4)),AGRUPAMENTO!$D$2:$E$6783,2,FALSE)</f>
        <v>Alimentação</v>
      </c>
      <c r="L142" s="52" t="s">
        <v>44</v>
      </c>
      <c r="M142" s="52" t="str">
        <f t="shared" si="12"/>
        <v>FONTESEJUSP</v>
      </c>
      <c r="N142" s="52">
        <v>60</v>
      </c>
      <c r="O142" s="52" t="s">
        <v>2418</v>
      </c>
      <c r="P142" s="52" t="s">
        <v>46</v>
      </c>
      <c r="Q142" s="52" t="s">
        <v>3752</v>
      </c>
      <c r="R142" s="185">
        <v>4430.8995490297993</v>
      </c>
      <c r="S142" s="52" t="s">
        <v>3753</v>
      </c>
      <c r="T142" s="186">
        <v>25.677900000000001</v>
      </c>
      <c r="U142" s="53">
        <v>12</v>
      </c>
      <c r="V142" s="58">
        <f t="shared" si="13"/>
        <v>1365314.3463603875</v>
      </c>
      <c r="W142" s="52" t="s">
        <v>49</v>
      </c>
      <c r="X142" s="52" t="s">
        <v>4365</v>
      </c>
      <c r="Y142" s="52" t="s">
        <v>4366</v>
      </c>
      <c r="Z142" s="52" t="s">
        <v>4367</v>
      </c>
      <c r="AA142" s="52">
        <v>0</v>
      </c>
      <c r="AB142" s="52">
        <v>0</v>
      </c>
      <c r="AC142" s="52">
        <v>0</v>
      </c>
      <c r="AD142" s="21">
        <v>0.8985711123657989</v>
      </c>
      <c r="AE142" s="55">
        <v>0.8985711123657989</v>
      </c>
      <c r="AF142" s="315">
        <f t="shared" si="16"/>
        <v>1226832.030938037</v>
      </c>
    </row>
    <row r="143" spans="1:32" s="55" customFormat="1" ht="255" x14ac:dyDescent="0.25">
      <c r="A143" s="86" t="s">
        <v>588</v>
      </c>
      <c r="B143" s="117" t="s">
        <v>2270</v>
      </c>
      <c r="C143" s="52"/>
      <c r="D143" s="52" t="s">
        <v>2279</v>
      </c>
      <c r="E143" s="22" t="str">
        <f t="shared" si="14"/>
        <v>SEJUSPPROG</v>
      </c>
      <c r="F143" s="52" t="s">
        <v>729</v>
      </c>
      <c r="G143" s="22" t="str">
        <f t="shared" si="15"/>
        <v>P130SEJUSP</v>
      </c>
      <c r="H143" s="52" t="s">
        <v>1183</v>
      </c>
      <c r="I143" s="22" t="s">
        <v>16</v>
      </c>
      <c r="J143" s="52" t="s">
        <v>1634</v>
      </c>
      <c r="K143" s="22" t="str">
        <f>VLOOKUP(CONCATENATE(A143,LEFT(J143,4)),AGRUPAMENTO!$D$2:$E$6783,2,FALSE)</f>
        <v>Alimentação</v>
      </c>
      <c r="L143" s="52" t="s">
        <v>44</v>
      </c>
      <c r="M143" s="52" t="str">
        <f t="shared" si="12"/>
        <v>FONTESEJUSP</v>
      </c>
      <c r="N143" s="52">
        <v>60</v>
      </c>
      <c r="O143" s="52" t="s">
        <v>2419</v>
      </c>
      <c r="P143" s="52" t="s">
        <v>46</v>
      </c>
      <c r="Q143" s="52" t="s">
        <v>3752</v>
      </c>
      <c r="R143" s="185">
        <v>5692.0317454526603</v>
      </c>
      <c r="S143" s="52" t="s">
        <v>3753</v>
      </c>
      <c r="T143" s="186">
        <v>20.960500000000003</v>
      </c>
      <c r="U143" s="53">
        <v>12</v>
      </c>
      <c r="V143" s="58">
        <f t="shared" si="13"/>
        <v>1431693.9768067261</v>
      </c>
      <c r="W143" s="52" t="s">
        <v>49</v>
      </c>
      <c r="X143" s="52" t="s">
        <v>4365</v>
      </c>
      <c r="Y143" s="52" t="s">
        <v>4366</v>
      </c>
      <c r="Z143" s="52" t="s">
        <v>4367</v>
      </c>
      <c r="AA143" s="52">
        <v>0</v>
      </c>
      <c r="AB143" s="52">
        <v>0</v>
      </c>
      <c r="AC143" s="52">
        <v>0</v>
      </c>
      <c r="AD143" s="21">
        <v>0.8985711123657989</v>
      </c>
      <c r="AE143" s="55">
        <v>0.8985711123657989</v>
      </c>
      <c r="AF143" s="315">
        <f t="shared" si="16"/>
        <v>1286478.8493066342</v>
      </c>
    </row>
    <row r="144" spans="1:32" s="55" customFormat="1" ht="255" x14ac:dyDescent="0.25">
      <c r="A144" s="86" t="s">
        <v>588</v>
      </c>
      <c r="B144" s="117" t="s">
        <v>2270</v>
      </c>
      <c r="C144" s="52"/>
      <c r="D144" s="52" t="s">
        <v>2279</v>
      </c>
      <c r="E144" s="22" t="str">
        <f t="shared" si="14"/>
        <v>SEJUSPPROG</v>
      </c>
      <c r="F144" s="52" t="s">
        <v>729</v>
      </c>
      <c r="G144" s="22" t="str">
        <f t="shared" si="15"/>
        <v>P130SEJUSP</v>
      </c>
      <c r="H144" s="52" t="s">
        <v>1183</v>
      </c>
      <c r="I144" s="22" t="s">
        <v>16</v>
      </c>
      <c r="J144" s="52" t="s">
        <v>1634</v>
      </c>
      <c r="K144" s="22" t="str">
        <f>VLOOKUP(CONCATENATE(A144,LEFT(J144,4)),AGRUPAMENTO!$D$2:$E$6783,2,FALSE)</f>
        <v>Alimentação</v>
      </c>
      <c r="L144" s="52" t="s">
        <v>44</v>
      </c>
      <c r="M144" s="52" t="str">
        <f t="shared" si="12"/>
        <v>FONTESEJUSP</v>
      </c>
      <c r="N144" s="52">
        <v>60</v>
      </c>
      <c r="O144" s="52" t="s">
        <v>2420</v>
      </c>
      <c r="P144" s="52" t="s">
        <v>46</v>
      </c>
      <c r="Q144" s="52" t="s">
        <v>3752</v>
      </c>
      <c r="R144" s="185">
        <v>4273.683652465571</v>
      </c>
      <c r="S144" s="52" t="s">
        <v>3753</v>
      </c>
      <c r="T144" s="186">
        <v>23.5458</v>
      </c>
      <c r="U144" s="53">
        <v>12</v>
      </c>
      <c r="V144" s="58">
        <f t="shared" si="13"/>
        <v>1207527.6065306859</v>
      </c>
      <c r="W144" s="52" t="s">
        <v>49</v>
      </c>
      <c r="X144" s="52" t="s">
        <v>4365</v>
      </c>
      <c r="Y144" s="52" t="s">
        <v>4366</v>
      </c>
      <c r="Z144" s="52" t="s">
        <v>4367</v>
      </c>
      <c r="AA144" s="52">
        <v>0</v>
      </c>
      <c r="AB144" s="52">
        <v>0</v>
      </c>
      <c r="AC144" s="52">
        <v>0</v>
      </c>
      <c r="AD144" s="21">
        <v>0.8985711123657989</v>
      </c>
      <c r="AE144" s="55">
        <v>0.8985711123657989</v>
      </c>
      <c r="AF144" s="315">
        <f t="shared" si="16"/>
        <v>1085049.4246126891</v>
      </c>
    </row>
    <row r="145" spans="1:32" s="55" customFormat="1" ht="255" x14ac:dyDescent="0.25">
      <c r="A145" s="86" t="s">
        <v>588</v>
      </c>
      <c r="B145" s="117" t="s">
        <v>2270</v>
      </c>
      <c r="C145" s="52"/>
      <c r="D145" s="52" t="s">
        <v>2279</v>
      </c>
      <c r="E145" s="22" t="str">
        <f t="shared" si="14"/>
        <v>SEJUSPPROG</v>
      </c>
      <c r="F145" s="52" t="s">
        <v>729</v>
      </c>
      <c r="G145" s="22" t="str">
        <f t="shared" si="15"/>
        <v>P130SEJUSP</v>
      </c>
      <c r="H145" s="52" t="s">
        <v>1183</v>
      </c>
      <c r="I145" s="22" t="s">
        <v>16</v>
      </c>
      <c r="J145" s="52" t="s">
        <v>1634</v>
      </c>
      <c r="K145" s="22" t="str">
        <f>VLOOKUP(CONCATENATE(A145,LEFT(J145,4)),AGRUPAMENTO!$D$2:$E$6783,2,FALSE)</f>
        <v>Alimentação</v>
      </c>
      <c r="L145" s="52" t="s">
        <v>44</v>
      </c>
      <c r="M145" s="52" t="str">
        <f t="shared" si="12"/>
        <v>FONTESEJUSP</v>
      </c>
      <c r="N145" s="52">
        <v>60</v>
      </c>
      <c r="O145" s="52" t="s">
        <v>2421</v>
      </c>
      <c r="P145" s="52" t="s">
        <v>46</v>
      </c>
      <c r="Q145" s="52" t="s">
        <v>3752</v>
      </c>
      <c r="R145" s="185">
        <v>8096.9431857955169</v>
      </c>
      <c r="S145" s="52" t="s">
        <v>3753</v>
      </c>
      <c r="T145" s="186">
        <v>22.721799999999998</v>
      </c>
      <c r="U145" s="53">
        <v>12</v>
      </c>
      <c r="V145" s="58">
        <f t="shared" si="13"/>
        <v>2207725.4841481028</v>
      </c>
      <c r="W145" s="52" t="s">
        <v>49</v>
      </c>
      <c r="X145" s="52" t="s">
        <v>4365</v>
      </c>
      <c r="Y145" s="52" t="s">
        <v>4366</v>
      </c>
      <c r="Z145" s="52" t="s">
        <v>4367</v>
      </c>
      <c r="AA145" s="52">
        <v>0</v>
      </c>
      <c r="AB145" s="52">
        <v>0</v>
      </c>
      <c r="AC145" s="52">
        <v>0</v>
      </c>
      <c r="AD145" s="21">
        <v>0.8985711123657989</v>
      </c>
      <c r="AE145" s="55">
        <v>0.8985711123657989</v>
      </c>
      <c r="AF145" s="315">
        <f t="shared" si="16"/>
        <v>1983798.3440892827</v>
      </c>
    </row>
    <row r="146" spans="1:32" s="55" customFormat="1" ht="255" x14ac:dyDescent="0.25">
      <c r="A146" s="86" t="s">
        <v>588</v>
      </c>
      <c r="B146" s="117" t="s">
        <v>2270</v>
      </c>
      <c r="C146" s="52"/>
      <c r="D146" s="52" t="s">
        <v>2279</v>
      </c>
      <c r="E146" s="22" t="str">
        <f t="shared" si="14"/>
        <v>SEJUSPPROG</v>
      </c>
      <c r="F146" s="52" t="s">
        <v>729</v>
      </c>
      <c r="G146" s="22" t="str">
        <f t="shared" si="15"/>
        <v>P130SEJUSP</v>
      </c>
      <c r="H146" s="52" t="s">
        <v>1183</v>
      </c>
      <c r="I146" s="22" t="s">
        <v>16</v>
      </c>
      <c r="J146" s="52" t="s">
        <v>1634</v>
      </c>
      <c r="K146" s="22" t="str">
        <f>VLOOKUP(CONCATENATE(A146,LEFT(J146,4)),AGRUPAMENTO!$D$2:$E$6783,2,FALSE)</f>
        <v>Alimentação</v>
      </c>
      <c r="L146" s="52" t="s">
        <v>44</v>
      </c>
      <c r="M146" s="52" t="str">
        <f t="shared" si="12"/>
        <v>FONTESEJUSP</v>
      </c>
      <c r="N146" s="52">
        <v>60</v>
      </c>
      <c r="O146" s="52" t="s">
        <v>2422</v>
      </c>
      <c r="P146" s="52" t="s">
        <v>46</v>
      </c>
      <c r="Q146" s="52" t="s">
        <v>3752</v>
      </c>
      <c r="R146" s="185">
        <v>1910.3628845484175</v>
      </c>
      <c r="S146" s="52" t="s">
        <v>3753</v>
      </c>
      <c r="T146" s="186">
        <v>20.424899999999997</v>
      </c>
      <c r="U146" s="53">
        <v>12</v>
      </c>
      <c r="V146" s="58">
        <f t="shared" si="13"/>
        <v>468227.65056735557</v>
      </c>
      <c r="W146" s="52" t="s">
        <v>49</v>
      </c>
      <c r="X146" s="52" t="s">
        <v>4365</v>
      </c>
      <c r="Y146" s="52" t="s">
        <v>4366</v>
      </c>
      <c r="Z146" s="52" t="s">
        <v>4367</v>
      </c>
      <c r="AA146" s="52">
        <v>0</v>
      </c>
      <c r="AB146" s="52">
        <v>0</v>
      </c>
      <c r="AC146" s="52">
        <v>0</v>
      </c>
      <c r="AD146" s="21">
        <v>0.8985711123657989</v>
      </c>
      <c r="AE146" s="55">
        <v>0.8985711123657989</v>
      </c>
      <c r="AF146" s="315">
        <f t="shared" si="16"/>
        <v>420735.84081073327</v>
      </c>
    </row>
    <row r="147" spans="1:32" s="55" customFormat="1" ht="255" x14ac:dyDescent="0.25">
      <c r="A147" s="86" t="s">
        <v>588</v>
      </c>
      <c r="B147" s="117" t="s">
        <v>2270</v>
      </c>
      <c r="C147" s="52"/>
      <c r="D147" s="52" t="s">
        <v>2279</v>
      </c>
      <c r="E147" s="22" t="str">
        <f t="shared" si="14"/>
        <v>SEJUSPPROG</v>
      </c>
      <c r="F147" s="52" t="s">
        <v>729</v>
      </c>
      <c r="G147" s="22" t="str">
        <f t="shared" si="15"/>
        <v>P130SEJUSP</v>
      </c>
      <c r="H147" s="52" t="s">
        <v>1183</v>
      </c>
      <c r="I147" s="22" t="s">
        <v>16</v>
      </c>
      <c r="J147" s="52" t="s">
        <v>1634</v>
      </c>
      <c r="K147" s="22" t="str">
        <f>VLOOKUP(CONCATENATE(A147,LEFT(J147,4)),AGRUPAMENTO!$D$2:$E$6783,2,FALSE)</f>
        <v>Alimentação</v>
      </c>
      <c r="L147" s="52" t="s">
        <v>44</v>
      </c>
      <c r="M147" s="52" t="str">
        <f t="shared" si="12"/>
        <v>FONTESEJUSP</v>
      </c>
      <c r="N147" s="52">
        <v>60</v>
      </c>
      <c r="O147" s="52" t="s">
        <v>2423</v>
      </c>
      <c r="P147" s="52" t="s">
        <v>46</v>
      </c>
      <c r="Q147" s="52" t="s">
        <v>3752</v>
      </c>
      <c r="R147" s="185">
        <v>2927.894568029129</v>
      </c>
      <c r="S147" s="52" t="s">
        <v>3753</v>
      </c>
      <c r="T147" s="186">
        <v>25.142299999999999</v>
      </c>
      <c r="U147" s="53">
        <v>12</v>
      </c>
      <c r="V147" s="58">
        <f t="shared" si="13"/>
        <v>883368.04317310522</v>
      </c>
      <c r="W147" s="52" t="s">
        <v>49</v>
      </c>
      <c r="X147" s="52" t="s">
        <v>4365</v>
      </c>
      <c r="Y147" s="52" t="s">
        <v>4366</v>
      </c>
      <c r="Z147" s="52" t="s">
        <v>4367</v>
      </c>
      <c r="AA147" s="52">
        <v>0</v>
      </c>
      <c r="AB147" s="52">
        <v>0</v>
      </c>
      <c r="AC147" s="52">
        <v>0</v>
      </c>
      <c r="AD147" s="21">
        <v>0.8985711123657989</v>
      </c>
      <c r="AE147" s="55">
        <v>0.8985711123657989</v>
      </c>
      <c r="AF147" s="315">
        <f t="shared" si="16"/>
        <v>793769.00518245623</v>
      </c>
    </row>
    <row r="148" spans="1:32" s="55" customFormat="1" ht="255" x14ac:dyDescent="0.25">
      <c r="A148" s="86" t="s">
        <v>588</v>
      </c>
      <c r="B148" s="117" t="s">
        <v>2270</v>
      </c>
      <c r="C148" s="52"/>
      <c r="D148" s="52" t="s">
        <v>2279</v>
      </c>
      <c r="E148" s="22" t="str">
        <f t="shared" si="14"/>
        <v>SEJUSPPROG</v>
      </c>
      <c r="F148" s="52" t="s">
        <v>729</v>
      </c>
      <c r="G148" s="22" t="str">
        <f t="shared" si="15"/>
        <v>P130SEJUSP</v>
      </c>
      <c r="H148" s="52" t="s">
        <v>1183</v>
      </c>
      <c r="I148" s="22" t="s">
        <v>16</v>
      </c>
      <c r="J148" s="52" t="s">
        <v>1634</v>
      </c>
      <c r="K148" s="22" t="str">
        <f>VLOOKUP(CONCATENATE(A148,LEFT(J148,4)),AGRUPAMENTO!$D$2:$E$6783,2,FALSE)</f>
        <v>Alimentação</v>
      </c>
      <c r="L148" s="52" t="s">
        <v>44</v>
      </c>
      <c r="M148" s="52" t="str">
        <f t="shared" si="12"/>
        <v>FONTESEJUSP</v>
      </c>
      <c r="N148" s="52">
        <v>60</v>
      </c>
      <c r="O148" s="52" t="s">
        <v>2424</v>
      </c>
      <c r="P148" s="52" t="s">
        <v>46</v>
      </c>
      <c r="Q148" s="52" t="s">
        <v>3752</v>
      </c>
      <c r="R148" s="185">
        <v>11019.319879106772</v>
      </c>
      <c r="S148" s="52" t="s">
        <v>3753</v>
      </c>
      <c r="T148" s="186">
        <v>19.178600000000003</v>
      </c>
      <c r="U148" s="53">
        <v>12</v>
      </c>
      <c r="V148" s="58">
        <f t="shared" si="13"/>
        <v>2536021.5388012459</v>
      </c>
      <c r="W148" s="52" t="s">
        <v>49</v>
      </c>
      <c r="X148" s="52" t="s">
        <v>4365</v>
      </c>
      <c r="Y148" s="52" t="s">
        <v>4366</v>
      </c>
      <c r="Z148" s="52" t="s">
        <v>4367</v>
      </c>
      <c r="AA148" s="52">
        <v>0</v>
      </c>
      <c r="AB148" s="52">
        <v>0</v>
      </c>
      <c r="AC148" s="52">
        <v>0</v>
      </c>
      <c r="AD148" s="21">
        <v>0.8985711123657989</v>
      </c>
      <c r="AE148" s="55">
        <v>0.8985711123657989</v>
      </c>
      <c r="AF148" s="315">
        <f t="shared" si="16"/>
        <v>2278795.6951042605</v>
      </c>
    </row>
    <row r="149" spans="1:32" s="55" customFormat="1" ht="255" x14ac:dyDescent="0.25">
      <c r="A149" s="86" t="s">
        <v>588</v>
      </c>
      <c r="B149" s="117" t="s">
        <v>2270</v>
      </c>
      <c r="C149" s="52"/>
      <c r="D149" s="52" t="s">
        <v>2279</v>
      </c>
      <c r="E149" s="22" t="str">
        <f t="shared" si="14"/>
        <v>SEJUSPPROG</v>
      </c>
      <c r="F149" s="52" t="s">
        <v>729</v>
      </c>
      <c r="G149" s="22" t="str">
        <f t="shared" si="15"/>
        <v>P130SEJUSP</v>
      </c>
      <c r="H149" s="52" t="s">
        <v>1183</v>
      </c>
      <c r="I149" s="22" t="s">
        <v>16</v>
      </c>
      <c r="J149" s="52" t="s">
        <v>1634</v>
      </c>
      <c r="K149" s="22" t="str">
        <f>VLOOKUP(CONCATENATE(A149,LEFT(J149,4)),AGRUPAMENTO!$D$2:$E$6783,2,FALSE)</f>
        <v>Alimentação</v>
      </c>
      <c r="L149" s="52" t="s">
        <v>44</v>
      </c>
      <c r="M149" s="52" t="str">
        <f t="shared" si="12"/>
        <v>FONTESEJUSP</v>
      </c>
      <c r="N149" s="52">
        <v>60</v>
      </c>
      <c r="O149" s="52" t="s">
        <v>2425</v>
      </c>
      <c r="P149" s="52" t="s">
        <v>46</v>
      </c>
      <c r="Q149" s="52" t="s">
        <v>3752</v>
      </c>
      <c r="R149" s="185">
        <v>3736.9225454434222</v>
      </c>
      <c r="S149" s="52" t="s">
        <v>3753</v>
      </c>
      <c r="T149" s="186">
        <v>26.800599999999999</v>
      </c>
      <c r="U149" s="53">
        <v>12</v>
      </c>
      <c r="V149" s="58">
        <f t="shared" si="13"/>
        <v>1201821.1964569318</v>
      </c>
      <c r="W149" s="52" t="s">
        <v>49</v>
      </c>
      <c r="X149" s="52" t="s">
        <v>4365</v>
      </c>
      <c r="Y149" s="52" t="s">
        <v>4366</v>
      </c>
      <c r="Z149" s="52" t="s">
        <v>4367</v>
      </c>
      <c r="AA149" s="52">
        <v>0</v>
      </c>
      <c r="AB149" s="52">
        <v>0</v>
      </c>
      <c r="AC149" s="52">
        <v>0</v>
      </c>
      <c r="AD149" s="21">
        <v>0.8985711123657989</v>
      </c>
      <c r="AE149" s="55">
        <v>0.8985711123657989</v>
      </c>
      <c r="AF149" s="315">
        <f t="shared" si="16"/>
        <v>1079921.8093651005</v>
      </c>
    </row>
    <row r="150" spans="1:32" s="55" customFormat="1" ht="255" x14ac:dyDescent="0.25">
      <c r="A150" s="86" t="s">
        <v>588</v>
      </c>
      <c r="B150" s="117" t="s">
        <v>2270</v>
      </c>
      <c r="C150" s="52"/>
      <c r="D150" s="52" t="s">
        <v>2279</v>
      </c>
      <c r="E150" s="22" t="str">
        <f t="shared" si="14"/>
        <v>SEJUSPPROG</v>
      </c>
      <c r="F150" s="52" t="s">
        <v>729</v>
      </c>
      <c r="G150" s="22" t="str">
        <f t="shared" si="15"/>
        <v>P130SEJUSP</v>
      </c>
      <c r="H150" s="52" t="s">
        <v>1183</v>
      </c>
      <c r="I150" s="22" t="s">
        <v>16</v>
      </c>
      <c r="J150" s="52" t="s">
        <v>1634</v>
      </c>
      <c r="K150" s="22" t="str">
        <f>VLOOKUP(CONCATENATE(A150,LEFT(J150,4)),AGRUPAMENTO!$D$2:$E$6783,2,FALSE)</f>
        <v>Alimentação</v>
      </c>
      <c r="L150" s="52" t="s">
        <v>44</v>
      </c>
      <c r="M150" s="52" t="str">
        <f t="shared" si="12"/>
        <v>FONTESEJUSP</v>
      </c>
      <c r="N150" s="52">
        <v>60</v>
      </c>
      <c r="O150" s="52" t="s">
        <v>2426</v>
      </c>
      <c r="P150" s="52" t="s">
        <v>46</v>
      </c>
      <c r="Q150" s="52" t="s">
        <v>3752</v>
      </c>
      <c r="R150" s="185">
        <v>4612.4011454378715</v>
      </c>
      <c r="S150" s="52" t="s">
        <v>3753</v>
      </c>
      <c r="T150" s="186">
        <v>25.142299999999999</v>
      </c>
      <c r="U150" s="53">
        <v>12</v>
      </c>
      <c r="V150" s="58">
        <f t="shared" si="13"/>
        <v>1391596.4798273109</v>
      </c>
      <c r="W150" s="52" t="s">
        <v>49</v>
      </c>
      <c r="X150" s="52" t="s">
        <v>4365</v>
      </c>
      <c r="Y150" s="52" t="s">
        <v>4366</v>
      </c>
      <c r="Z150" s="52" t="s">
        <v>4367</v>
      </c>
      <c r="AA150" s="52">
        <v>0</v>
      </c>
      <c r="AB150" s="52">
        <v>0</v>
      </c>
      <c r="AC150" s="52">
        <v>0</v>
      </c>
      <c r="AD150" s="21">
        <v>0.8985711123657989</v>
      </c>
      <c r="AE150" s="55">
        <v>0.8985711123657989</v>
      </c>
      <c r="AF150" s="315">
        <f t="shared" si="16"/>
        <v>1250448.3968427568</v>
      </c>
    </row>
    <row r="151" spans="1:32" s="55" customFormat="1" ht="255" x14ac:dyDescent="0.25">
      <c r="A151" s="86" t="s">
        <v>588</v>
      </c>
      <c r="B151" s="117" t="s">
        <v>2270</v>
      </c>
      <c r="C151" s="52"/>
      <c r="D151" s="52" t="s">
        <v>2279</v>
      </c>
      <c r="E151" s="22" t="str">
        <f t="shared" si="14"/>
        <v>SEJUSPPROG</v>
      </c>
      <c r="F151" s="52" t="s">
        <v>729</v>
      </c>
      <c r="G151" s="22" t="str">
        <f t="shared" si="15"/>
        <v>P130SEJUSP</v>
      </c>
      <c r="H151" s="52" t="s">
        <v>1183</v>
      </c>
      <c r="I151" s="22" t="s">
        <v>16</v>
      </c>
      <c r="J151" s="52" t="s">
        <v>1634</v>
      </c>
      <c r="K151" s="22" t="str">
        <f>VLOOKUP(CONCATENATE(A151,LEFT(J151,4)),AGRUPAMENTO!$D$2:$E$6783,2,FALSE)</f>
        <v>Alimentação</v>
      </c>
      <c r="L151" s="52" t="s">
        <v>44</v>
      </c>
      <c r="M151" s="52" t="str">
        <f t="shared" si="12"/>
        <v>FONTESEJUSP</v>
      </c>
      <c r="N151" s="52">
        <v>60</v>
      </c>
      <c r="O151" s="52" t="s">
        <v>2427</v>
      </c>
      <c r="P151" s="52" t="s">
        <v>46</v>
      </c>
      <c r="Q151" s="52" t="s">
        <v>3752</v>
      </c>
      <c r="R151" s="185">
        <v>5338.9918221100006</v>
      </c>
      <c r="S151" s="52" t="s">
        <v>3753</v>
      </c>
      <c r="T151" s="186">
        <v>30.858800000000002</v>
      </c>
      <c r="U151" s="53">
        <v>12</v>
      </c>
      <c r="V151" s="58">
        <f t="shared" si="13"/>
        <v>1977058.5700815374</v>
      </c>
      <c r="W151" s="52" t="s">
        <v>49</v>
      </c>
      <c r="X151" s="52" t="s">
        <v>4365</v>
      </c>
      <c r="Y151" s="52" t="s">
        <v>4366</v>
      </c>
      <c r="Z151" s="52" t="s">
        <v>4367</v>
      </c>
      <c r="AA151" s="52">
        <v>0</v>
      </c>
      <c r="AB151" s="52">
        <v>0</v>
      </c>
      <c r="AC151" s="52">
        <v>0</v>
      </c>
      <c r="AD151" s="21">
        <v>0.8985711123657989</v>
      </c>
      <c r="AE151" s="55">
        <v>0.8985711123657989</v>
      </c>
      <c r="AF151" s="315">
        <f t="shared" si="16"/>
        <v>1776527.7185305029</v>
      </c>
    </row>
    <row r="152" spans="1:32" s="55" customFormat="1" ht="255" x14ac:dyDescent="0.25">
      <c r="A152" s="86" t="s">
        <v>588</v>
      </c>
      <c r="B152" s="117" t="s">
        <v>2270</v>
      </c>
      <c r="C152" s="52"/>
      <c r="D152" s="52" t="s">
        <v>2279</v>
      </c>
      <c r="E152" s="22" t="str">
        <f t="shared" si="14"/>
        <v>SEJUSPPROG</v>
      </c>
      <c r="F152" s="52" t="s">
        <v>729</v>
      </c>
      <c r="G152" s="22" t="str">
        <f t="shared" si="15"/>
        <v>P130SEJUSP</v>
      </c>
      <c r="H152" s="52" t="s">
        <v>1183</v>
      </c>
      <c r="I152" s="22" t="s">
        <v>16</v>
      </c>
      <c r="J152" s="52" t="s">
        <v>1634</v>
      </c>
      <c r="K152" s="22" t="str">
        <f>VLOOKUP(CONCATENATE(A152,LEFT(J152,4)),AGRUPAMENTO!$D$2:$E$6783,2,FALSE)</f>
        <v>Alimentação</v>
      </c>
      <c r="L152" s="52" t="s">
        <v>44</v>
      </c>
      <c r="M152" s="52" t="str">
        <f t="shared" si="12"/>
        <v>FONTESEJUSP</v>
      </c>
      <c r="N152" s="52">
        <v>60</v>
      </c>
      <c r="O152" s="52" t="s">
        <v>2428</v>
      </c>
      <c r="P152" s="52" t="s">
        <v>46</v>
      </c>
      <c r="Q152" s="52" t="s">
        <v>3752</v>
      </c>
      <c r="R152" s="185">
        <v>7728.297173361364</v>
      </c>
      <c r="S152" s="52" t="s">
        <v>3753</v>
      </c>
      <c r="T152" s="186">
        <v>25.059899999999999</v>
      </c>
      <c r="U152" s="53">
        <v>12</v>
      </c>
      <c r="V152" s="58">
        <f t="shared" si="13"/>
        <v>2324044.2520166212</v>
      </c>
      <c r="W152" s="52" t="s">
        <v>49</v>
      </c>
      <c r="X152" s="52" t="s">
        <v>4365</v>
      </c>
      <c r="Y152" s="52" t="s">
        <v>4366</v>
      </c>
      <c r="Z152" s="52" t="s">
        <v>4367</v>
      </c>
      <c r="AA152" s="52">
        <v>0</v>
      </c>
      <c r="AB152" s="52">
        <v>0</v>
      </c>
      <c r="AC152" s="52">
        <v>0</v>
      </c>
      <c r="AD152" s="21">
        <v>0.8985711123657989</v>
      </c>
      <c r="AE152" s="55">
        <v>0.8985711123657989</v>
      </c>
      <c r="AF152" s="315">
        <f t="shared" si="16"/>
        <v>2088319.0287219163</v>
      </c>
    </row>
    <row r="153" spans="1:32" s="55" customFormat="1" ht="255" x14ac:dyDescent="0.25">
      <c r="A153" s="86" t="s">
        <v>588</v>
      </c>
      <c r="B153" s="117" t="s">
        <v>2270</v>
      </c>
      <c r="C153" s="52"/>
      <c r="D153" s="52" t="s">
        <v>2279</v>
      </c>
      <c r="E153" s="22" t="str">
        <f t="shared" si="14"/>
        <v>SEJUSPPROG</v>
      </c>
      <c r="F153" s="52" t="s">
        <v>729</v>
      </c>
      <c r="G153" s="22" t="str">
        <f t="shared" si="15"/>
        <v>P130SEJUSP</v>
      </c>
      <c r="H153" s="52" t="s">
        <v>1183</v>
      </c>
      <c r="I153" s="22" t="s">
        <v>16</v>
      </c>
      <c r="J153" s="52" t="s">
        <v>1634</v>
      </c>
      <c r="K153" s="22" t="str">
        <f>VLOOKUP(CONCATENATE(A153,LEFT(J153,4)),AGRUPAMENTO!$D$2:$E$6783,2,FALSE)</f>
        <v>Alimentação</v>
      </c>
      <c r="L153" s="52" t="s">
        <v>44</v>
      </c>
      <c r="M153" s="52" t="str">
        <f t="shared" si="12"/>
        <v>FONTESEJUSP</v>
      </c>
      <c r="N153" s="52">
        <v>60</v>
      </c>
      <c r="O153" s="52" t="s">
        <v>2429</v>
      </c>
      <c r="P153" s="52" t="s">
        <v>46</v>
      </c>
      <c r="Q153" s="52" t="s">
        <v>3752</v>
      </c>
      <c r="R153" s="185">
        <v>3478.4103991864772</v>
      </c>
      <c r="S153" s="52" t="s">
        <v>3753</v>
      </c>
      <c r="T153" s="186">
        <v>25.605799999999999</v>
      </c>
      <c r="U153" s="53">
        <v>12</v>
      </c>
      <c r="V153" s="58">
        <f t="shared" si="13"/>
        <v>1068809.7719938692</v>
      </c>
      <c r="W153" s="52" t="s">
        <v>49</v>
      </c>
      <c r="X153" s="52" t="s">
        <v>4365</v>
      </c>
      <c r="Y153" s="52" t="s">
        <v>4366</v>
      </c>
      <c r="Z153" s="52" t="s">
        <v>4367</v>
      </c>
      <c r="AA153" s="52">
        <v>0</v>
      </c>
      <c r="AB153" s="52">
        <v>0</v>
      </c>
      <c r="AC153" s="52">
        <v>0</v>
      </c>
      <c r="AD153" s="21">
        <v>0.8985711123657989</v>
      </c>
      <c r="AE153" s="55">
        <v>0.8985711123657989</v>
      </c>
      <c r="AF153" s="315">
        <f t="shared" si="16"/>
        <v>960401.58572796697</v>
      </c>
    </row>
    <row r="154" spans="1:32" s="55" customFormat="1" ht="255" x14ac:dyDescent="0.25">
      <c r="A154" s="86" t="s">
        <v>588</v>
      </c>
      <c r="B154" s="117" t="s">
        <v>2270</v>
      </c>
      <c r="C154" s="52"/>
      <c r="D154" s="52" t="s">
        <v>2279</v>
      </c>
      <c r="E154" s="22" t="str">
        <f t="shared" si="14"/>
        <v>SEJUSPPROG</v>
      </c>
      <c r="F154" s="52" t="s">
        <v>729</v>
      </c>
      <c r="G154" s="22" t="str">
        <f t="shared" si="15"/>
        <v>P130SEJUSP</v>
      </c>
      <c r="H154" s="52" t="s">
        <v>1183</v>
      </c>
      <c r="I154" s="22" t="s">
        <v>16</v>
      </c>
      <c r="J154" s="52" t="s">
        <v>1634</v>
      </c>
      <c r="K154" s="22" t="str">
        <f>VLOOKUP(CONCATENATE(A154,LEFT(J154,4)),AGRUPAMENTO!$D$2:$E$6783,2,FALSE)</f>
        <v>Alimentação</v>
      </c>
      <c r="L154" s="52" t="s">
        <v>44</v>
      </c>
      <c r="M154" s="52" t="str">
        <f t="shared" si="12"/>
        <v>FONTESEJUSP</v>
      </c>
      <c r="N154" s="52">
        <v>60</v>
      </c>
      <c r="O154" s="52" t="s">
        <v>2430</v>
      </c>
      <c r="P154" s="52" t="s">
        <v>46</v>
      </c>
      <c r="Q154" s="52" t="s">
        <v>3752</v>
      </c>
      <c r="R154" s="185">
        <v>5811.6721991830154</v>
      </c>
      <c r="S154" s="52" t="s">
        <v>3753</v>
      </c>
      <c r="T154" s="186">
        <v>22.330400000000001</v>
      </c>
      <c r="U154" s="53">
        <v>12</v>
      </c>
      <c r="V154" s="58">
        <f t="shared" si="13"/>
        <v>1557323.578519637</v>
      </c>
      <c r="W154" s="52" t="s">
        <v>49</v>
      </c>
      <c r="X154" s="52" t="s">
        <v>4365</v>
      </c>
      <c r="Y154" s="52" t="s">
        <v>4366</v>
      </c>
      <c r="Z154" s="52" t="s">
        <v>4367</v>
      </c>
      <c r="AA154" s="52">
        <v>0</v>
      </c>
      <c r="AB154" s="52">
        <v>0</v>
      </c>
      <c r="AC154" s="52">
        <v>0</v>
      </c>
      <c r="AD154" s="21">
        <v>0.8985711123657989</v>
      </c>
      <c r="AE154" s="55">
        <v>0.8985711123657989</v>
      </c>
      <c r="AF154" s="315">
        <f t="shared" si="16"/>
        <v>1399365.9802638767</v>
      </c>
    </row>
    <row r="155" spans="1:32" s="55" customFormat="1" ht="255" x14ac:dyDescent="0.25">
      <c r="A155" s="86" t="s">
        <v>588</v>
      </c>
      <c r="B155" s="117" t="s">
        <v>2270</v>
      </c>
      <c r="C155" s="52"/>
      <c r="D155" s="52" t="s">
        <v>2279</v>
      </c>
      <c r="E155" s="22" t="str">
        <f t="shared" si="14"/>
        <v>SEJUSPPROG</v>
      </c>
      <c r="F155" s="52" t="s">
        <v>729</v>
      </c>
      <c r="G155" s="22" t="str">
        <f t="shared" si="15"/>
        <v>P130SEJUSP</v>
      </c>
      <c r="H155" s="52" t="s">
        <v>1183</v>
      </c>
      <c r="I155" s="22" t="s">
        <v>16</v>
      </c>
      <c r="J155" s="52" t="s">
        <v>1634</v>
      </c>
      <c r="K155" s="22" t="str">
        <f>VLOOKUP(CONCATENATE(A155,LEFT(J155,4)),AGRUPAMENTO!$D$2:$E$6783,2,FALSE)</f>
        <v>Alimentação</v>
      </c>
      <c r="L155" s="52" t="s">
        <v>44</v>
      </c>
      <c r="M155" s="52" t="str">
        <f t="shared" si="12"/>
        <v>FONTESEJUSP</v>
      </c>
      <c r="N155" s="52">
        <v>60</v>
      </c>
      <c r="O155" s="52" t="s">
        <v>2431</v>
      </c>
      <c r="P155" s="52" t="s">
        <v>46</v>
      </c>
      <c r="Q155" s="52" t="s">
        <v>3752</v>
      </c>
      <c r="R155" s="185">
        <v>3242.1763539520557</v>
      </c>
      <c r="S155" s="52" t="s">
        <v>3753</v>
      </c>
      <c r="T155" s="186">
        <v>20.424899999999997</v>
      </c>
      <c r="U155" s="53">
        <v>12</v>
      </c>
      <c r="V155" s="58">
        <f t="shared" si="13"/>
        <v>794653.5337420241</v>
      </c>
      <c r="W155" s="52" t="s">
        <v>49</v>
      </c>
      <c r="X155" s="52" t="s">
        <v>4365</v>
      </c>
      <c r="Y155" s="52" t="s">
        <v>4366</v>
      </c>
      <c r="Z155" s="52" t="s">
        <v>4367</v>
      </c>
      <c r="AA155" s="52">
        <v>0</v>
      </c>
      <c r="AB155" s="52">
        <v>0</v>
      </c>
      <c r="AC155" s="52">
        <v>0</v>
      </c>
      <c r="AD155" s="21">
        <v>0.8985711123657989</v>
      </c>
      <c r="AE155" s="55">
        <v>0.8985711123657989</v>
      </c>
      <c r="AF155" s="315">
        <f t="shared" si="16"/>
        <v>714052.70975998347</v>
      </c>
    </row>
    <row r="156" spans="1:32" s="55" customFormat="1" ht="255" x14ac:dyDescent="0.25">
      <c r="A156" s="86" t="s">
        <v>588</v>
      </c>
      <c r="B156" s="117" t="s">
        <v>2270</v>
      </c>
      <c r="C156" s="52"/>
      <c r="D156" s="52" t="s">
        <v>2279</v>
      </c>
      <c r="E156" s="22" t="str">
        <f t="shared" si="14"/>
        <v>SEJUSPPROG</v>
      </c>
      <c r="F156" s="52" t="s">
        <v>729</v>
      </c>
      <c r="G156" s="22" t="str">
        <f t="shared" si="15"/>
        <v>P130SEJUSP</v>
      </c>
      <c r="H156" s="52" t="s">
        <v>1183</v>
      </c>
      <c r="I156" s="22" t="s">
        <v>16</v>
      </c>
      <c r="J156" s="52" t="s">
        <v>1634</v>
      </c>
      <c r="K156" s="22" t="str">
        <f>VLOOKUP(CONCATENATE(A156,LEFT(J156,4)),AGRUPAMENTO!$D$2:$E$6783,2,FALSE)</f>
        <v>Alimentação</v>
      </c>
      <c r="L156" s="52" t="s">
        <v>44</v>
      </c>
      <c r="M156" s="52" t="str">
        <f t="shared" si="12"/>
        <v>FONTESEJUSP</v>
      </c>
      <c r="N156" s="52">
        <v>60</v>
      </c>
      <c r="O156" s="52" t="s">
        <v>2432</v>
      </c>
      <c r="P156" s="52" t="s">
        <v>46</v>
      </c>
      <c r="Q156" s="52" t="s">
        <v>3752</v>
      </c>
      <c r="R156" s="185">
        <v>8186.3837957377154</v>
      </c>
      <c r="S156" s="52" t="s">
        <v>3753</v>
      </c>
      <c r="T156" s="186">
        <v>21.866900000000001</v>
      </c>
      <c r="U156" s="53">
        <v>12</v>
      </c>
      <c r="V156" s="58">
        <f t="shared" si="13"/>
        <v>2148130.0298762047</v>
      </c>
      <c r="W156" s="52" t="s">
        <v>49</v>
      </c>
      <c r="X156" s="52" t="s">
        <v>4365</v>
      </c>
      <c r="Y156" s="52" t="s">
        <v>4366</v>
      </c>
      <c r="Z156" s="52" t="s">
        <v>4367</v>
      </c>
      <c r="AA156" s="52">
        <v>0</v>
      </c>
      <c r="AB156" s="52">
        <v>0</v>
      </c>
      <c r="AC156" s="52">
        <v>0</v>
      </c>
      <c r="AD156" s="21">
        <v>0.8985711123657989</v>
      </c>
      <c r="AE156" s="55">
        <v>0.8985711123657989</v>
      </c>
      <c r="AF156" s="315">
        <f t="shared" si="16"/>
        <v>1930247.590452238</v>
      </c>
    </row>
    <row r="157" spans="1:32" s="55" customFormat="1" ht="255" x14ac:dyDescent="0.25">
      <c r="A157" s="86" t="s">
        <v>588</v>
      </c>
      <c r="B157" s="117" t="s">
        <v>2270</v>
      </c>
      <c r="C157" s="52"/>
      <c r="D157" s="52" t="s">
        <v>2279</v>
      </c>
      <c r="E157" s="22" t="str">
        <f t="shared" si="14"/>
        <v>SEJUSPPROG</v>
      </c>
      <c r="F157" s="52" t="s">
        <v>729</v>
      </c>
      <c r="G157" s="22" t="str">
        <f t="shared" si="15"/>
        <v>P130SEJUSP</v>
      </c>
      <c r="H157" s="52" t="s">
        <v>1183</v>
      </c>
      <c r="I157" s="22" t="s">
        <v>16</v>
      </c>
      <c r="J157" s="52" t="s">
        <v>1634</v>
      </c>
      <c r="K157" s="22" t="str">
        <f>VLOOKUP(CONCATENATE(A157,LEFT(J157,4)),AGRUPAMENTO!$D$2:$E$6783,2,FALSE)</f>
        <v>Alimentação</v>
      </c>
      <c r="L157" s="52" t="s">
        <v>44</v>
      </c>
      <c r="M157" s="52" t="str">
        <f t="shared" si="12"/>
        <v>FONTESEJUSP</v>
      </c>
      <c r="N157" s="52">
        <v>60</v>
      </c>
      <c r="O157" s="52" t="s">
        <v>2433</v>
      </c>
      <c r="P157" s="52" t="s">
        <v>46</v>
      </c>
      <c r="Q157" s="52" t="s">
        <v>3752</v>
      </c>
      <c r="R157" s="185">
        <v>4224.4233514652942</v>
      </c>
      <c r="S157" s="52" t="s">
        <v>3753</v>
      </c>
      <c r="T157" s="186">
        <v>19.3537</v>
      </c>
      <c r="U157" s="53">
        <v>12</v>
      </c>
      <c r="V157" s="58">
        <f t="shared" si="13"/>
        <v>981098.66660704627</v>
      </c>
      <c r="W157" s="52" t="s">
        <v>49</v>
      </c>
      <c r="X157" s="52" t="s">
        <v>4365</v>
      </c>
      <c r="Y157" s="52" t="s">
        <v>4366</v>
      </c>
      <c r="Z157" s="52" t="s">
        <v>4367</v>
      </c>
      <c r="AA157" s="52">
        <v>0</v>
      </c>
      <c r="AB157" s="52">
        <v>0</v>
      </c>
      <c r="AC157" s="52">
        <v>0</v>
      </c>
      <c r="AD157" s="21">
        <v>0.8985711123657989</v>
      </c>
      <c r="AE157" s="55">
        <v>0.8985711123657989</v>
      </c>
      <c r="AF157" s="315">
        <f t="shared" si="16"/>
        <v>881586.9201936957</v>
      </c>
    </row>
    <row r="158" spans="1:32" s="55" customFormat="1" ht="255" x14ac:dyDescent="0.25">
      <c r="A158" s="86" t="s">
        <v>588</v>
      </c>
      <c r="B158" s="117" t="s">
        <v>2270</v>
      </c>
      <c r="C158" s="52"/>
      <c r="D158" s="52" t="s">
        <v>2279</v>
      </c>
      <c r="E158" s="22" t="str">
        <f t="shared" si="14"/>
        <v>SEJUSPPROG</v>
      </c>
      <c r="F158" s="52" t="s">
        <v>729</v>
      </c>
      <c r="G158" s="22" t="str">
        <f t="shared" si="15"/>
        <v>P130SEJUSP</v>
      </c>
      <c r="H158" s="52" t="s">
        <v>1183</v>
      </c>
      <c r="I158" s="22" t="s">
        <v>16</v>
      </c>
      <c r="J158" s="52" t="s">
        <v>1634</v>
      </c>
      <c r="K158" s="22" t="str">
        <f>VLOOKUP(CONCATENATE(A158,LEFT(J158,4)),AGRUPAMENTO!$D$2:$E$6783,2,FALSE)</f>
        <v>Alimentação</v>
      </c>
      <c r="L158" s="52" t="s">
        <v>44</v>
      </c>
      <c r="M158" s="52" t="str">
        <f t="shared" si="12"/>
        <v>FONTESEJUSP</v>
      </c>
      <c r="N158" s="52">
        <v>60</v>
      </c>
      <c r="O158" s="52" t="s">
        <v>2434</v>
      </c>
      <c r="P158" s="52" t="s">
        <v>46</v>
      </c>
      <c r="Q158" s="52" t="s">
        <v>3752</v>
      </c>
      <c r="R158" s="185">
        <v>4982.9811435756073</v>
      </c>
      <c r="S158" s="52" t="s">
        <v>3753</v>
      </c>
      <c r="T158" s="186">
        <v>31.260500000000004</v>
      </c>
      <c r="U158" s="53">
        <v>12</v>
      </c>
      <c r="V158" s="58">
        <f t="shared" si="13"/>
        <v>1869245.7844649437</v>
      </c>
      <c r="W158" s="52" t="s">
        <v>49</v>
      </c>
      <c r="X158" s="52" t="s">
        <v>4365</v>
      </c>
      <c r="Y158" s="52" t="s">
        <v>4366</v>
      </c>
      <c r="Z158" s="52" t="s">
        <v>4367</v>
      </c>
      <c r="AA158" s="52">
        <v>0</v>
      </c>
      <c r="AB158" s="52">
        <v>0</v>
      </c>
      <c r="AC158" s="52">
        <v>0</v>
      </c>
      <c r="AD158" s="21">
        <v>0.8985711123657989</v>
      </c>
      <c r="AE158" s="55">
        <v>0.8985711123657989</v>
      </c>
      <c r="AF158" s="315">
        <f t="shared" si="16"/>
        <v>1679650.2638317449</v>
      </c>
    </row>
    <row r="159" spans="1:32" s="55" customFormat="1" ht="255" x14ac:dyDescent="0.25">
      <c r="A159" s="86" t="s">
        <v>588</v>
      </c>
      <c r="B159" s="117" t="s">
        <v>2270</v>
      </c>
      <c r="C159" s="52"/>
      <c r="D159" s="52" t="s">
        <v>2279</v>
      </c>
      <c r="E159" s="22" t="str">
        <f t="shared" si="14"/>
        <v>SEJUSPPROG</v>
      </c>
      <c r="F159" s="52" t="s">
        <v>729</v>
      </c>
      <c r="G159" s="22" t="str">
        <f t="shared" si="15"/>
        <v>P130SEJUSP</v>
      </c>
      <c r="H159" s="52" t="s">
        <v>1183</v>
      </c>
      <c r="I159" s="22" t="s">
        <v>16</v>
      </c>
      <c r="J159" s="52" t="s">
        <v>1634</v>
      </c>
      <c r="K159" s="22" t="str">
        <f>VLOOKUP(CONCATENATE(A159,LEFT(J159,4)),AGRUPAMENTO!$D$2:$E$6783,2,FALSE)</f>
        <v>Alimentação</v>
      </c>
      <c r="L159" s="52" t="s">
        <v>44</v>
      </c>
      <c r="M159" s="52" t="str">
        <f t="shared" si="12"/>
        <v>FONTESEJUSP</v>
      </c>
      <c r="N159" s="52">
        <v>60</v>
      </c>
      <c r="O159" s="52" t="s">
        <v>2435</v>
      </c>
      <c r="P159" s="52" t="s">
        <v>46</v>
      </c>
      <c r="Q159" s="52" t="s">
        <v>3752</v>
      </c>
      <c r="R159" s="185">
        <v>3912.5960813830748</v>
      </c>
      <c r="S159" s="52" t="s">
        <v>3753</v>
      </c>
      <c r="T159" s="186">
        <v>24.544899999999998</v>
      </c>
      <c r="U159" s="53">
        <v>12</v>
      </c>
      <c r="V159" s="58">
        <f t="shared" si="13"/>
        <v>1152411.3546952731</v>
      </c>
      <c r="W159" s="52" t="s">
        <v>49</v>
      </c>
      <c r="X159" s="52" t="s">
        <v>4365</v>
      </c>
      <c r="Y159" s="52" t="s">
        <v>4366</v>
      </c>
      <c r="Z159" s="52" t="s">
        <v>4367</v>
      </c>
      <c r="AA159" s="52">
        <v>0</v>
      </c>
      <c r="AB159" s="52">
        <v>0</v>
      </c>
      <c r="AC159" s="52">
        <v>0</v>
      </c>
      <c r="AD159" s="21">
        <v>0.8985711123657989</v>
      </c>
      <c r="AE159" s="55">
        <v>0.8985711123657989</v>
      </c>
      <c r="AF159" s="315">
        <f t="shared" si="16"/>
        <v>1035523.5528915088</v>
      </c>
    </row>
    <row r="160" spans="1:32" s="55" customFormat="1" ht="255" x14ac:dyDescent="0.25">
      <c r="A160" s="86" t="s">
        <v>588</v>
      </c>
      <c r="B160" s="117" t="s">
        <v>2270</v>
      </c>
      <c r="C160" s="52"/>
      <c r="D160" s="52" t="s">
        <v>2279</v>
      </c>
      <c r="E160" s="22" t="str">
        <f t="shared" si="14"/>
        <v>SEJUSPPROG</v>
      </c>
      <c r="F160" s="52" t="s">
        <v>729</v>
      </c>
      <c r="G160" s="22" t="str">
        <f t="shared" si="15"/>
        <v>P130SEJUSP</v>
      </c>
      <c r="H160" s="52" t="s">
        <v>1183</v>
      </c>
      <c r="I160" s="22" t="s">
        <v>16</v>
      </c>
      <c r="J160" s="52" t="s">
        <v>1634</v>
      </c>
      <c r="K160" s="22" t="str">
        <f>VLOOKUP(CONCATENATE(A160,LEFT(J160,4)),AGRUPAMENTO!$D$2:$E$6783,2,FALSE)</f>
        <v>Alimentação</v>
      </c>
      <c r="L160" s="52" t="s">
        <v>44</v>
      </c>
      <c r="M160" s="52" t="str">
        <f t="shared" si="12"/>
        <v>FONTESEJUSP</v>
      </c>
      <c r="N160" s="52">
        <v>60</v>
      </c>
      <c r="O160" s="52" t="s">
        <v>2436</v>
      </c>
      <c r="P160" s="52" t="s">
        <v>46</v>
      </c>
      <c r="Q160" s="52" t="s">
        <v>3752</v>
      </c>
      <c r="R160" s="185">
        <v>3318.8110313394286</v>
      </c>
      <c r="S160" s="52" t="s">
        <v>3753</v>
      </c>
      <c r="T160" s="186">
        <v>26.790299999999998</v>
      </c>
      <c r="U160" s="53">
        <v>12</v>
      </c>
      <c r="V160" s="58">
        <f t="shared" si="13"/>
        <v>1066943.3180747123</v>
      </c>
      <c r="W160" s="52" t="s">
        <v>49</v>
      </c>
      <c r="X160" s="52" t="s">
        <v>4365</v>
      </c>
      <c r="Y160" s="52" t="s">
        <v>4366</v>
      </c>
      <c r="Z160" s="52" t="s">
        <v>4367</v>
      </c>
      <c r="AA160" s="52">
        <v>0</v>
      </c>
      <c r="AB160" s="52">
        <v>0</v>
      </c>
      <c r="AC160" s="52">
        <v>0</v>
      </c>
      <c r="AD160" s="21">
        <v>0.8985711123657989</v>
      </c>
      <c r="AE160" s="55">
        <v>0.8985711123657989</v>
      </c>
      <c r="AF160" s="315">
        <f t="shared" si="16"/>
        <v>958724.44415365066</v>
      </c>
    </row>
    <row r="161" spans="1:32" s="55" customFormat="1" ht="255" x14ac:dyDescent="0.25">
      <c r="A161" s="86" t="s">
        <v>588</v>
      </c>
      <c r="B161" s="117" t="s">
        <v>2270</v>
      </c>
      <c r="C161" s="52"/>
      <c r="D161" s="52" t="s">
        <v>2279</v>
      </c>
      <c r="E161" s="22" t="str">
        <f t="shared" si="14"/>
        <v>SEJUSPPROG</v>
      </c>
      <c r="F161" s="52" t="s">
        <v>729</v>
      </c>
      <c r="G161" s="22" t="str">
        <f t="shared" si="15"/>
        <v>P130SEJUSP</v>
      </c>
      <c r="H161" s="52" t="s">
        <v>1183</v>
      </c>
      <c r="I161" s="22" t="s">
        <v>16</v>
      </c>
      <c r="J161" s="52" t="s">
        <v>1634</v>
      </c>
      <c r="K161" s="22" t="str">
        <f>VLOOKUP(CONCATENATE(A161,LEFT(J161,4)),AGRUPAMENTO!$D$2:$E$6783,2,FALSE)</f>
        <v>Alimentação</v>
      </c>
      <c r="L161" s="52" t="s">
        <v>44</v>
      </c>
      <c r="M161" s="52" t="str">
        <f t="shared" si="12"/>
        <v>FONTESEJUSP</v>
      </c>
      <c r="N161" s="52">
        <v>60</v>
      </c>
      <c r="O161" s="52" t="s">
        <v>2437</v>
      </c>
      <c r="P161" s="52" t="s">
        <v>46</v>
      </c>
      <c r="Q161" s="52" t="s">
        <v>3752</v>
      </c>
      <c r="R161" s="185">
        <v>5046.0807955287282</v>
      </c>
      <c r="S161" s="52" t="s">
        <v>3753</v>
      </c>
      <c r="T161" s="186">
        <v>21.619700000000002</v>
      </c>
      <c r="U161" s="53">
        <v>12</v>
      </c>
      <c r="V161" s="58">
        <f t="shared" si="13"/>
        <v>1309137.0357011096</v>
      </c>
      <c r="W161" s="52" t="s">
        <v>49</v>
      </c>
      <c r="X161" s="52" t="s">
        <v>4365</v>
      </c>
      <c r="Y161" s="52" t="s">
        <v>4366</v>
      </c>
      <c r="Z161" s="52" t="s">
        <v>4367</v>
      </c>
      <c r="AA161" s="52">
        <v>0</v>
      </c>
      <c r="AB161" s="52">
        <v>0</v>
      </c>
      <c r="AC161" s="52">
        <v>0</v>
      </c>
      <c r="AD161" s="21">
        <v>0.8985711123657989</v>
      </c>
      <c r="AE161" s="55">
        <v>0.8985711123657989</v>
      </c>
      <c r="AF161" s="315">
        <f t="shared" si="16"/>
        <v>1176352.7224092106</v>
      </c>
    </row>
    <row r="162" spans="1:32" s="55" customFormat="1" ht="255" x14ac:dyDescent="0.25">
      <c r="A162" s="86" t="s">
        <v>588</v>
      </c>
      <c r="B162" s="117" t="s">
        <v>2270</v>
      </c>
      <c r="C162" s="52"/>
      <c r="D162" s="52" t="s">
        <v>2279</v>
      </c>
      <c r="E162" s="22" t="str">
        <f t="shared" si="14"/>
        <v>SEJUSPPROG</v>
      </c>
      <c r="F162" s="52" t="s">
        <v>729</v>
      </c>
      <c r="G162" s="22" t="str">
        <f t="shared" si="15"/>
        <v>P130SEJUSP</v>
      </c>
      <c r="H162" s="52" t="s">
        <v>1183</v>
      </c>
      <c r="I162" s="22" t="s">
        <v>16</v>
      </c>
      <c r="J162" s="52" t="s">
        <v>1634</v>
      </c>
      <c r="K162" s="22" t="str">
        <f>VLOOKUP(CONCATENATE(A162,LEFT(J162,4)),AGRUPAMENTO!$D$2:$E$6783,2,FALSE)</f>
        <v>Alimentação</v>
      </c>
      <c r="L162" s="52" t="s">
        <v>44</v>
      </c>
      <c r="M162" s="52" t="str">
        <f t="shared" si="12"/>
        <v>FONTESEJUSP</v>
      </c>
      <c r="N162" s="52">
        <v>60</v>
      </c>
      <c r="O162" s="52" t="s">
        <v>2438</v>
      </c>
      <c r="P162" s="52" t="s">
        <v>46</v>
      </c>
      <c r="Q162" s="52" t="s">
        <v>3752</v>
      </c>
      <c r="R162" s="185">
        <v>7815.4968087772295</v>
      </c>
      <c r="S162" s="52" t="s">
        <v>3753</v>
      </c>
      <c r="T162" s="186">
        <v>19.487600000000004</v>
      </c>
      <c r="U162" s="53">
        <v>12</v>
      </c>
      <c r="V162" s="58">
        <f t="shared" si="13"/>
        <v>1827663.3073287262</v>
      </c>
      <c r="W162" s="52" t="s">
        <v>49</v>
      </c>
      <c r="X162" s="52" t="s">
        <v>4365</v>
      </c>
      <c r="Y162" s="52" t="s">
        <v>4366</v>
      </c>
      <c r="Z162" s="52" t="s">
        <v>4367</v>
      </c>
      <c r="AA162" s="52">
        <v>0</v>
      </c>
      <c r="AB162" s="52">
        <v>0</v>
      </c>
      <c r="AC162" s="52">
        <v>0</v>
      </c>
      <c r="AD162" s="21">
        <v>0.8985711123657989</v>
      </c>
      <c r="AE162" s="55">
        <v>0.8985711123657989</v>
      </c>
      <c r="AF162" s="315">
        <f t="shared" si="16"/>
        <v>1642285.4510965284</v>
      </c>
    </row>
    <row r="163" spans="1:32" s="55" customFormat="1" ht="255" x14ac:dyDescent="0.25">
      <c r="A163" s="86" t="s">
        <v>588</v>
      </c>
      <c r="B163" s="117" t="s">
        <v>2270</v>
      </c>
      <c r="C163" s="52"/>
      <c r="D163" s="52" t="s">
        <v>2279</v>
      </c>
      <c r="E163" s="22" t="str">
        <f t="shared" si="14"/>
        <v>SEJUSPPROG</v>
      </c>
      <c r="F163" s="52" t="s">
        <v>729</v>
      </c>
      <c r="G163" s="22" t="str">
        <f t="shared" si="15"/>
        <v>P130SEJUSP</v>
      </c>
      <c r="H163" s="52" t="s">
        <v>1183</v>
      </c>
      <c r="I163" s="22" t="s">
        <v>16</v>
      </c>
      <c r="J163" s="52" t="s">
        <v>1634</v>
      </c>
      <c r="K163" s="22" t="str">
        <f>VLOOKUP(CONCATENATE(A163,LEFT(J163,4)),AGRUPAMENTO!$D$2:$E$6783,2,FALSE)</f>
        <v>Alimentação</v>
      </c>
      <c r="L163" s="52" t="s">
        <v>44</v>
      </c>
      <c r="M163" s="52" t="str">
        <f t="shared" si="12"/>
        <v>FONTESEJUSP</v>
      </c>
      <c r="N163" s="52">
        <v>60</v>
      </c>
      <c r="O163" s="52" t="s">
        <v>2439</v>
      </c>
      <c r="P163" s="52" t="s">
        <v>46</v>
      </c>
      <c r="Q163" s="52" t="s">
        <v>3752</v>
      </c>
      <c r="R163" s="185">
        <v>5555.9493006997845</v>
      </c>
      <c r="S163" s="52" t="s">
        <v>3753</v>
      </c>
      <c r="T163" s="186">
        <v>18.4679</v>
      </c>
      <c r="U163" s="53">
        <v>12</v>
      </c>
      <c r="V163" s="58">
        <f t="shared" si="13"/>
        <v>1231280.5930847228</v>
      </c>
      <c r="W163" s="52" t="s">
        <v>49</v>
      </c>
      <c r="X163" s="52" t="s">
        <v>4365</v>
      </c>
      <c r="Y163" s="52" t="s">
        <v>4366</v>
      </c>
      <c r="Z163" s="52" t="s">
        <v>4367</v>
      </c>
      <c r="AA163" s="52">
        <v>0</v>
      </c>
      <c r="AB163" s="52">
        <v>0</v>
      </c>
      <c r="AC163" s="52">
        <v>0</v>
      </c>
      <c r="AD163" s="21">
        <v>0.8985711123657989</v>
      </c>
      <c r="AE163" s="55">
        <v>0.8985711123657989</v>
      </c>
      <c r="AF163" s="315">
        <f t="shared" si="16"/>
        <v>1106393.1721625598</v>
      </c>
    </row>
    <row r="164" spans="1:32" s="55" customFormat="1" ht="255" x14ac:dyDescent="0.25">
      <c r="A164" s="86" t="s">
        <v>588</v>
      </c>
      <c r="B164" s="117" t="s">
        <v>2270</v>
      </c>
      <c r="C164" s="52"/>
      <c r="D164" s="52" t="s">
        <v>2279</v>
      </c>
      <c r="E164" s="22" t="str">
        <f t="shared" si="14"/>
        <v>SEJUSPPROG</v>
      </c>
      <c r="F164" s="52" t="s">
        <v>729</v>
      </c>
      <c r="G164" s="22" t="str">
        <f t="shared" si="15"/>
        <v>P130SEJUSP</v>
      </c>
      <c r="H164" s="52" t="s">
        <v>1183</v>
      </c>
      <c r="I164" s="22" t="s">
        <v>16</v>
      </c>
      <c r="J164" s="52" t="s">
        <v>1634</v>
      </c>
      <c r="K164" s="22" t="str">
        <f>VLOOKUP(CONCATENATE(A164,LEFT(J164,4)),AGRUPAMENTO!$D$2:$E$6783,2,FALSE)</f>
        <v>Alimentação</v>
      </c>
      <c r="L164" s="52" t="s">
        <v>44</v>
      </c>
      <c r="M164" s="52" t="str">
        <f t="shared" si="12"/>
        <v>FONTESEJUSP</v>
      </c>
      <c r="N164" s="52">
        <v>60</v>
      </c>
      <c r="O164" s="52" t="s">
        <v>2440</v>
      </c>
      <c r="P164" s="52" t="s">
        <v>46</v>
      </c>
      <c r="Q164" s="52" t="s">
        <v>3752</v>
      </c>
      <c r="R164" s="185">
        <v>5016.0516342811952</v>
      </c>
      <c r="S164" s="52" t="s">
        <v>3753</v>
      </c>
      <c r="T164" s="186">
        <v>26.800600000000003</v>
      </c>
      <c r="U164" s="53">
        <v>12</v>
      </c>
      <c r="V164" s="58">
        <f t="shared" si="13"/>
        <v>1613198.3211565991</v>
      </c>
      <c r="W164" s="52" t="s">
        <v>49</v>
      </c>
      <c r="X164" s="52" t="s">
        <v>4365</v>
      </c>
      <c r="Y164" s="52" t="s">
        <v>4366</v>
      </c>
      <c r="Z164" s="52" t="s">
        <v>4367</v>
      </c>
      <c r="AA164" s="52">
        <v>0</v>
      </c>
      <c r="AB164" s="52">
        <v>0</v>
      </c>
      <c r="AC164" s="52">
        <v>0</v>
      </c>
      <c r="AD164" s="21">
        <v>0.8985711123657989</v>
      </c>
      <c r="AE164" s="55">
        <v>0.8985711123657989</v>
      </c>
      <c r="AF164" s="315">
        <f t="shared" si="16"/>
        <v>1449573.4099083245</v>
      </c>
    </row>
    <row r="165" spans="1:32" s="55" customFormat="1" ht="255" x14ac:dyDescent="0.25">
      <c r="A165" s="86" t="s">
        <v>588</v>
      </c>
      <c r="B165" s="117" t="s">
        <v>2270</v>
      </c>
      <c r="C165" s="52"/>
      <c r="D165" s="52" t="s">
        <v>2279</v>
      </c>
      <c r="E165" s="22" t="str">
        <f t="shared" si="14"/>
        <v>SEJUSPPROG</v>
      </c>
      <c r="F165" s="52" t="s">
        <v>729</v>
      </c>
      <c r="G165" s="22" t="str">
        <f t="shared" si="15"/>
        <v>P130SEJUSP</v>
      </c>
      <c r="H165" s="52" t="s">
        <v>1183</v>
      </c>
      <c r="I165" s="22" t="s">
        <v>16</v>
      </c>
      <c r="J165" s="52" t="s">
        <v>1634</v>
      </c>
      <c r="K165" s="22" t="str">
        <f>VLOOKUP(CONCATENATE(A165,LEFT(J165,4)),AGRUPAMENTO!$D$2:$E$6783,2,FALSE)</f>
        <v>Alimentação</v>
      </c>
      <c r="L165" s="52" t="s">
        <v>44</v>
      </c>
      <c r="M165" s="52" t="str">
        <f t="shared" si="12"/>
        <v>FONTESEJUSP</v>
      </c>
      <c r="N165" s="52">
        <v>60</v>
      </c>
      <c r="O165" s="52" t="s">
        <v>2441</v>
      </c>
      <c r="P165" s="52" t="s">
        <v>46</v>
      </c>
      <c r="Q165" s="52" t="s">
        <v>3752</v>
      </c>
      <c r="R165" s="185">
        <v>4167.0330437088633</v>
      </c>
      <c r="S165" s="52" t="s">
        <v>3753</v>
      </c>
      <c r="T165" s="186">
        <v>25.090800000000002</v>
      </c>
      <c r="U165" s="53">
        <v>12</v>
      </c>
      <c r="V165" s="58">
        <f t="shared" si="13"/>
        <v>1254650.3123170843</v>
      </c>
      <c r="W165" s="52" t="s">
        <v>49</v>
      </c>
      <c r="X165" s="52" t="s">
        <v>4365</v>
      </c>
      <c r="Y165" s="52" t="s">
        <v>4366</v>
      </c>
      <c r="Z165" s="52" t="s">
        <v>4367</v>
      </c>
      <c r="AA165" s="52">
        <v>0</v>
      </c>
      <c r="AB165" s="52">
        <v>0</v>
      </c>
      <c r="AC165" s="52">
        <v>0</v>
      </c>
      <c r="AD165" s="21">
        <v>0.8985711123657989</v>
      </c>
      <c r="AE165" s="55">
        <v>0.8985711123657989</v>
      </c>
      <c r="AF165" s="315">
        <f t="shared" si="16"/>
        <v>1127392.5267688595</v>
      </c>
    </row>
    <row r="166" spans="1:32" s="55" customFormat="1" ht="255" x14ac:dyDescent="0.25">
      <c r="A166" s="86" t="s">
        <v>588</v>
      </c>
      <c r="B166" s="117" t="s">
        <v>2270</v>
      </c>
      <c r="C166" s="52"/>
      <c r="D166" s="52" t="s">
        <v>2279</v>
      </c>
      <c r="E166" s="22" t="str">
        <f t="shared" si="14"/>
        <v>SEJUSPPROG</v>
      </c>
      <c r="F166" s="52" t="s">
        <v>729</v>
      </c>
      <c r="G166" s="22" t="str">
        <f t="shared" si="15"/>
        <v>P130SEJUSP</v>
      </c>
      <c r="H166" s="52" t="s">
        <v>1183</v>
      </c>
      <c r="I166" s="22" t="s">
        <v>16</v>
      </c>
      <c r="J166" s="52" t="s">
        <v>1634</v>
      </c>
      <c r="K166" s="22" t="str">
        <f>VLOOKUP(CONCATENATE(A166,LEFT(J166,4)),AGRUPAMENTO!$D$2:$E$6783,2,FALSE)</f>
        <v>Alimentação</v>
      </c>
      <c r="L166" s="52" t="s">
        <v>44</v>
      </c>
      <c r="M166" s="52" t="str">
        <f t="shared" si="12"/>
        <v>FONTESEJUSP</v>
      </c>
      <c r="N166" s="52">
        <v>60</v>
      </c>
      <c r="O166" s="52" t="s">
        <v>2442</v>
      </c>
      <c r="P166" s="52" t="s">
        <v>46</v>
      </c>
      <c r="Q166" s="52" t="s">
        <v>3752</v>
      </c>
      <c r="R166" s="185">
        <v>1411.4971432002628</v>
      </c>
      <c r="S166" s="52" t="s">
        <v>3753</v>
      </c>
      <c r="T166" s="186">
        <v>17.128900000000002</v>
      </c>
      <c r="U166" s="53">
        <v>12</v>
      </c>
      <c r="V166" s="58">
        <f t="shared" si="13"/>
        <v>290128.72099395579</v>
      </c>
      <c r="W166" s="52" t="s">
        <v>49</v>
      </c>
      <c r="X166" s="52" t="s">
        <v>4365</v>
      </c>
      <c r="Y166" s="52" t="s">
        <v>4366</v>
      </c>
      <c r="Z166" s="52" t="s">
        <v>4367</v>
      </c>
      <c r="AA166" s="52">
        <v>0</v>
      </c>
      <c r="AB166" s="52">
        <v>0</v>
      </c>
      <c r="AC166" s="52">
        <v>0</v>
      </c>
      <c r="AD166" s="21">
        <v>0.8985711123657989</v>
      </c>
      <c r="AE166" s="55">
        <v>0.8985711123657989</v>
      </c>
      <c r="AF166" s="315">
        <f t="shared" si="16"/>
        <v>260701.28755280536</v>
      </c>
    </row>
    <row r="167" spans="1:32" s="55" customFormat="1" ht="255" x14ac:dyDescent="0.25">
      <c r="A167" s="86" t="s">
        <v>588</v>
      </c>
      <c r="B167" s="117" t="s">
        <v>2270</v>
      </c>
      <c r="C167" s="52"/>
      <c r="D167" s="52" t="s">
        <v>2279</v>
      </c>
      <c r="E167" s="22" t="str">
        <f t="shared" si="14"/>
        <v>SEJUSPPROG</v>
      </c>
      <c r="F167" s="52" t="s">
        <v>729</v>
      </c>
      <c r="G167" s="22" t="str">
        <f t="shared" si="15"/>
        <v>P130SEJUSP</v>
      </c>
      <c r="H167" s="52" t="s">
        <v>1183</v>
      </c>
      <c r="I167" s="22" t="s">
        <v>16</v>
      </c>
      <c r="J167" s="52" t="s">
        <v>1634</v>
      </c>
      <c r="K167" s="22" t="str">
        <f>VLOOKUP(CONCATENATE(A167,LEFT(J167,4)),AGRUPAMENTO!$D$2:$E$6783,2,FALSE)</f>
        <v>Alimentação</v>
      </c>
      <c r="L167" s="52" t="s">
        <v>44</v>
      </c>
      <c r="M167" s="52" t="str">
        <f t="shared" si="12"/>
        <v>FONTESEJUSP</v>
      </c>
      <c r="N167" s="52">
        <v>60</v>
      </c>
      <c r="O167" s="52" t="s">
        <v>2443</v>
      </c>
      <c r="P167" s="52" t="s">
        <v>46</v>
      </c>
      <c r="Q167" s="52" t="s">
        <v>3752</v>
      </c>
      <c r="R167" s="185">
        <v>826.86884452475772</v>
      </c>
      <c r="S167" s="52" t="s">
        <v>3753</v>
      </c>
      <c r="T167" s="186">
        <v>20.424899999999997</v>
      </c>
      <c r="U167" s="53">
        <v>12</v>
      </c>
      <c r="V167" s="58">
        <f t="shared" si="13"/>
        <v>202664.56155040464</v>
      </c>
      <c r="W167" s="52" t="s">
        <v>49</v>
      </c>
      <c r="X167" s="52" t="s">
        <v>4365</v>
      </c>
      <c r="Y167" s="52" t="s">
        <v>4366</v>
      </c>
      <c r="Z167" s="52" t="s">
        <v>4367</v>
      </c>
      <c r="AA167" s="52">
        <v>0</v>
      </c>
      <c r="AB167" s="52">
        <v>0</v>
      </c>
      <c r="AC167" s="52">
        <v>0</v>
      </c>
      <c r="AD167" s="21">
        <v>0.8985711123657989</v>
      </c>
      <c r="AE167" s="55">
        <v>0.8985711123657989</v>
      </c>
      <c r="AF167" s="315">
        <f t="shared" si="16"/>
        <v>182108.52050947401</v>
      </c>
    </row>
    <row r="168" spans="1:32" s="55" customFormat="1" ht="255" x14ac:dyDescent="0.25">
      <c r="A168" s="86" t="s">
        <v>588</v>
      </c>
      <c r="B168" s="117" t="s">
        <v>2270</v>
      </c>
      <c r="C168" s="52"/>
      <c r="D168" s="52" t="s">
        <v>2279</v>
      </c>
      <c r="E168" s="22" t="str">
        <f t="shared" si="14"/>
        <v>SEJUSPPROG</v>
      </c>
      <c r="F168" s="52" t="s">
        <v>729</v>
      </c>
      <c r="G168" s="22" t="str">
        <f t="shared" si="15"/>
        <v>P130SEJUSP</v>
      </c>
      <c r="H168" s="52" t="s">
        <v>1183</v>
      </c>
      <c r="I168" s="22" t="s">
        <v>16</v>
      </c>
      <c r="J168" s="52" t="s">
        <v>1634</v>
      </c>
      <c r="K168" s="22" t="str">
        <f>VLOOKUP(CONCATENATE(A168,LEFT(J168,4)),AGRUPAMENTO!$D$2:$E$6783,2,FALSE)</f>
        <v>Alimentação</v>
      </c>
      <c r="L168" s="52" t="s">
        <v>44</v>
      </c>
      <c r="M168" s="52" t="str">
        <f t="shared" si="12"/>
        <v>FONTESEJUSP</v>
      </c>
      <c r="N168" s="52">
        <v>60</v>
      </c>
      <c r="O168" s="52" t="s">
        <v>2444</v>
      </c>
      <c r="P168" s="52" t="s">
        <v>46</v>
      </c>
      <c r="Q168" s="52" t="s">
        <v>3752</v>
      </c>
      <c r="R168" s="185">
        <v>3570.8866830226675</v>
      </c>
      <c r="S168" s="52" t="s">
        <v>3753</v>
      </c>
      <c r="T168" s="186">
        <v>32.1051</v>
      </c>
      <c r="U168" s="53">
        <v>12</v>
      </c>
      <c r="V168" s="58">
        <f t="shared" si="13"/>
        <v>1375724.0885653323</v>
      </c>
      <c r="W168" s="52" t="s">
        <v>49</v>
      </c>
      <c r="X168" s="52" t="s">
        <v>4365</v>
      </c>
      <c r="Y168" s="52" t="s">
        <v>4366</v>
      </c>
      <c r="Z168" s="52" t="s">
        <v>4367</v>
      </c>
      <c r="AA168" s="52">
        <v>0</v>
      </c>
      <c r="AB168" s="52">
        <v>0</v>
      </c>
      <c r="AC168" s="52">
        <v>0</v>
      </c>
      <c r="AD168" s="21">
        <v>0.8985711123657989</v>
      </c>
      <c r="AE168" s="55">
        <v>0.8985711123657989</v>
      </c>
      <c r="AF168" s="315">
        <f t="shared" si="16"/>
        <v>1236185.9245705756</v>
      </c>
    </row>
    <row r="169" spans="1:32" s="55" customFormat="1" ht="255" x14ac:dyDescent="0.25">
      <c r="A169" s="86" t="s">
        <v>588</v>
      </c>
      <c r="B169" s="117" t="s">
        <v>2270</v>
      </c>
      <c r="C169" s="52"/>
      <c r="D169" s="52" t="s">
        <v>2279</v>
      </c>
      <c r="E169" s="22" t="str">
        <f t="shared" si="14"/>
        <v>SEJUSPPROG</v>
      </c>
      <c r="F169" s="52" t="s">
        <v>729</v>
      </c>
      <c r="G169" s="22" t="str">
        <f t="shared" si="15"/>
        <v>P130SEJUSP</v>
      </c>
      <c r="H169" s="52" t="s">
        <v>1183</v>
      </c>
      <c r="I169" s="22" t="s">
        <v>16</v>
      </c>
      <c r="J169" s="52" t="s">
        <v>1634</v>
      </c>
      <c r="K169" s="22" t="str">
        <f>VLOOKUP(CONCATENATE(A169,LEFT(J169,4)),AGRUPAMENTO!$D$2:$E$6783,2,FALSE)</f>
        <v>Alimentação</v>
      </c>
      <c r="L169" s="52" t="s">
        <v>44</v>
      </c>
      <c r="M169" s="52" t="str">
        <f t="shared" si="12"/>
        <v>FONTESEJUSP</v>
      </c>
      <c r="N169" s="52">
        <v>60</v>
      </c>
      <c r="O169" s="52" t="s">
        <v>2445</v>
      </c>
      <c r="P169" s="52" t="s">
        <v>46</v>
      </c>
      <c r="Q169" s="52" t="s">
        <v>3752</v>
      </c>
      <c r="R169" s="185">
        <v>5094.6389624088997</v>
      </c>
      <c r="S169" s="52" t="s">
        <v>3753</v>
      </c>
      <c r="T169" s="186">
        <v>24.895100000000003</v>
      </c>
      <c r="U169" s="53">
        <v>12</v>
      </c>
      <c r="V169" s="58">
        <f t="shared" si="13"/>
        <v>1521978.5571967899</v>
      </c>
      <c r="W169" s="52" t="s">
        <v>49</v>
      </c>
      <c r="X169" s="52" t="s">
        <v>4365</v>
      </c>
      <c r="Y169" s="52" t="s">
        <v>4366</v>
      </c>
      <c r="Z169" s="52" t="s">
        <v>4367</v>
      </c>
      <c r="AA169" s="52">
        <v>0</v>
      </c>
      <c r="AB169" s="52">
        <v>0</v>
      </c>
      <c r="AC169" s="52">
        <v>0</v>
      </c>
      <c r="AD169" s="21">
        <v>0.8985711123657989</v>
      </c>
      <c r="AE169" s="55">
        <v>0.8985711123657989</v>
      </c>
      <c r="AF169" s="315">
        <f t="shared" si="16"/>
        <v>1367605.9651372132</v>
      </c>
    </row>
    <row r="170" spans="1:32" s="55" customFormat="1" ht="255" x14ac:dyDescent="0.25">
      <c r="A170" s="86" t="s">
        <v>588</v>
      </c>
      <c r="B170" s="117" t="s">
        <v>2270</v>
      </c>
      <c r="C170" s="52"/>
      <c r="D170" s="52" t="s">
        <v>2279</v>
      </c>
      <c r="E170" s="22" t="str">
        <f t="shared" si="14"/>
        <v>SEJUSPPROG</v>
      </c>
      <c r="F170" s="52" t="s">
        <v>729</v>
      </c>
      <c r="G170" s="22" t="str">
        <f t="shared" si="15"/>
        <v>P130SEJUSP</v>
      </c>
      <c r="H170" s="52" t="s">
        <v>1183</v>
      </c>
      <c r="I170" s="22" t="s">
        <v>16</v>
      </c>
      <c r="J170" s="52" t="s">
        <v>1634</v>
      </c>
      <c r="K170" s="22" t="str">
        <f>VLOOKUP(CONCATENATE(A170,LEFT(J170,4)),AGRUPAMENTO!$D$2:$E$6783,2,FALSE)</f>
        <v>Alimentação</v>
      </c>
      <c r="L170" s="52" t="s">
        <v>44</v>
      </c>
      <c r="M170" s="52" t="str">
        <f t="shared" si="12"/>
        <v>FONTESEJUSP</v>
      </c>
      <c r="N170" s="52">
        <v>60</v>
      </c>
      <c r="O170" s="52" t="s">
        <v>2446</v>
      </c>
      <c r="P170" s="52" t="s">
        <v>46</v>
      </c>
      <c r="Q170" s="52" t="s">
        <v>3752</v>
      </c>
      <c r="R170" s="185">
        <v>7593.7428907708636</v>
      </c>
      <c r="S170" s="52" t="s">
        <v>3753</v>
      </c>
      <c r="T170" s="186">
        <v>18.7151</v>
      </c>
      <c r="U170" s="53">
        <v>12</v>
      </c>
      <c r="V170" s="58">
        <f t="shared" si="13"/>
        <v>1705411.8909007895</v>
      </c>
      <c r="W170" s="52" t="s">
        <v>49</v>
      </c>
      <c r="X170" s="52" t="s">
        <v>4365</v>
      </c>
      <c r="Y170" s="52" t="s">
        <v>4366</v>
      </c>
      <c r="Z170" s="52" t="s">
        <v>4367</v>
      </c>
      <c r="AA170" s="52">
        <v>0</v>
      </c>
      <c r="AB170" s="52">
        <v>0</v>
      </c>
      <c r="AC170" s="52">
        <v>0</v>
      </c>
      <c r="AD170" s="21">
        <v>0.8985711123657989</v>
      </c>
      <c r="AE170" s="55">
        <v>0.8985711123657989</v>
      </c>
      <c r="AF170" s="315">
        <f t="shared" si="16"/>
        <v>1532433.8598485829</v>
      </c>
    </row>
    <row r="171" spans="1:32" s="55" customFormat="1" ht="255" x14ac:dyDescent="0.25">
      <c r="A171" s="86" t="s">
        <v>588</v>
      </c>
      <c r="B171" s="117" t="s">
        <v>2270</v>
      </c>
      <c r="C171" s="52"/>
      <c r="D171" s="52" t="s">
        <v>2279</v>
      </c>
      <c r="E171" s="22" t="str">
        <f t="shared" si="14"/>
        <v>SEJUSPPROG</v>
      </c>
      <c r="F171" s="52" t="s">
        <v>729</v>
      </c>
      <c r="G171" s="22" t="str">
        <f t="shared" si="15"/>
        <v>P130SEJUSP</v>
      </c>
      <c r="H171" s="52" t="s">
        <v>1183</v>
      </c>
      <c r="I171" s="22" t="s">
        <v>16</v>
      </c>
      <c r="J171" s="52" t="s">
        <v>1634</v>
      </c>
      <c r="K171" s="22" t="str">
        <f>VLOOKUP(CONCATENATE(A171,LEFT(J171,4)),AGRUPAMENTO!$D$2:$E$6783,2,FALSE)</f>
        <v>Alimentação</v>
      </c>
      <c r="L171" s="52" t="s">
        <v>44</v>
      </c>
      <c r="M171" s="52" t="str">
        <f t="shared" si="12"/>
        <v>FONTESEJUSP</v>
      </c>
      <c r="N171" s="52">
        <v>60</v>
      </c>
      <c r="O171" s="52" t="s">
        <v>2447</v>
      </c>
      <c r="P171" s="52" t="s">
        <v>46</v>
      </c>
      <c r="Q171" s="52" t="s">
        <v>3752</v>
      </c>
      <c r="R171" s="185">
        <v>35438.129946992711</v>
      </c>
      <c r="S171" s="52" t="s">
        <v>3753</v>
      </c>
      <c r="T171" s="186">
        <v>25.842700000000004</v>
      </c>
      <c r="U171" s="53">
        <v>12</v>
      </c>
      <c r="V171" s="58">
        <f t="shared" si="13"/>
        <v>10989803.529373784</v>
      </c>
      <c r="W171" s="52" t="s">
        <v>49</v>
      </c>
      <c r="X171" s="52" t="s">
        <v>4365</v>
      </c>
      <c r="Y171" s="52" t="s">
        <v>4366</v>
      </c>
      <c r="Z171" s="52" t="s">
        <v>4367</v>
      </c>
      <c r="AA171" s="52">
        <v>0</v>
      </c>
      <c r="AB171" s="52">
        <v>0</v>
      </c>
      <c r="AC171" s="52">
        <v>0</v>
      </c>
      <c r="AD171" s="21">
        <v>0.8985711123657989</v>
      </c>
      <c r="AE171" s="55">
        <v>0.8985711123657989</v>
      </c>
      <c r="AF171" s="315">
        <f t="shared" si="16"/>
        <v>9875119.9820709843</v>
      </c>
    </row>
    <row r="172" spans="1:32" s="55" customFormat="1" ht="255" x14ac:dyDescent="0.25">
      <c r="A172" s="86" t="s">
        <v>588</v>
      </c>
      <c r="B172" s="117" t="s">
        <v>2270</v>
      </c>
      <c r="C172" s="52"/>
      <c r="D172" s="52" t="s">
        <v>2279</v>
      </c>
      <c r="E172" s="22" t="str">
        <f t="shared" si="14"/>
        <v>SEJUSPPROG</v>
      </c>
      <c r="F172" s="52" t="s">
        <v>729</v>
      </c>
      <c r="G172" s="22" t="str">
        <f t="shared" si="15"/>
        <v>P130SEJUSP</v>
      </c>
      <c r="H172" s="52" t="s">
        <v>1183</v>
      </c>
      <c r="I172" s="22" t="s">
        <v>16</v>
      </c>
      <c r="J172" s="52" t="s">
        <v>1634</v>
      </c>
      <c r="K172" s="22" t="str">
        <f>VLOOKUP(CONCATENATE(A172,LEFT(J172,4)),AGRUPAMENTO!$D$2:$E$6783,2,FALSE)</f>
        <v>Alimentação</v>
      </c>
      <c r="L172" s="52" t="s">
        <v>44</v>
      </c>
      <c r="M172" s="52" t="str">
        <f t="shared" si="12"/>
        <v>FONTESEJUSP</v>
      </c>
      <c r="N172" s="52">
        <v>60</v>
      </c>
      <c r="O172" s="52" t="s">
        <v>2448</v>
      </c>
      <c r="P172" s="52" t="s">
        <v>46</v>
      </c>
      <c r="Q172" s="52" t="s">
        <v>3752</v>
      </c>
      <c r="R172" s="185">
        <v>3948.1045852366515</v>
      </c>
      <c r="S172" s="52" t="s">
        <v>3753</v>
      </c>
      <c r="T172" s="186">
        <v>27.2744</v>
      </c>
      <c r="U172" s="53">
        <v>12</v>
      </c>
      <c r="V172" s="58">
        <f t="shared" si="13"/>
        <v>1292186.2043949424</v>
      </c>
      <c r="W172" s="52" t="s">
        <v>49</v>
      </c>
      <c r="X172" s="52" t="s">
        <v>4365</v>
      </c>
      <c r="Y172" s="52" t="s">
        <v>4366</v>
      </c>
      <c r="Z172" s="52" t="s">
        <v>4367</v>
      </c>
      <c r="AA172" s="52">
        <v>0</v>
      </c>
      <c r="AB172" s="52">
        <v>0</v>
      </c>
      <c r="AC172" s="52">
        <v>0</v>
      </c>
      <c r="AD172" s="21">
        <v>0.8985711123657989</v>
      </c>
      <c r="AE172" s="55">
        <v>0.8985711123657989</v>
      </c>
      <c r="AF172" s="315">
        <f t="shared" si="16"/>
        <v>1161121.195066903</v>
      </c>
    </row>
    <row r="173" spans="1:32" s="55" customFormat="1" ht="255" x14ac:dyDescent="0.25">
      <c r="A173" s="86" t="s">
        <v>588</v>
      </c>
      <c r="B173" s="117" t="s">
        <v>2270</v>
      </c>
      <c r="C173" s="52"/>
      <c r="D173" s="52" t="s">
        <v>2279</v>
      </c>
      <c r="E173" s="22" t="str">
        <f t="shared" si="14"/>
        <v>SEJUSPPROG</v>
      </c>
      <c r="F173" s="52" t="s">
        <v>729</v>
      </c>
      <c r="G173" s="22" t="str">
        <f t="shared" si="15"/>
        <v>P130SEJUSP</v>
      </c>
      <c r="H173" s="52" t="s">
        <v>1183</v>
      </c>
      <c r="I173" s="22" t="s">
        <v>16</v>
      </c>
      <c r="J173" s="52" t="s">
        <v>1634</v>
      </c>
      <c r="K173" s="22" t="str">
        <f>VLOOKUP(CONCATENATE(A173,LEFT(J173,4)),AGRUPAMENTO!$D$2:$E$6783,2,FALSE)</f>
        <v>Alimentação</v>
      </c>
      <c r="L173" s="52" t="s">
        <v>44</v>
      </c>
      <c r="M173" s="52" t="str">
        <f t="shared" si="12"/>
        <v>FONTESEJUSP</v>
      </c>
      <c r="N173" s="52">
        <v>60</v>
      </c>
      <c r="O173" s="52" t="s">
        <v>2449</v>
      </c>
      <c r="P173" s="52" t="s">
        <v>46</v>
      </c>
      <c r="Q173" s="52" t="s">
        <v>3752</v>
      </c>
      <c r="R173" s="185">
        <v>4552.7965049375425</v>
      </c>
      <c r="S173" s="52" t="s">
        <v>3753</v>
      </c>
      <c r="T173" s="186">
        <v>31.548900000000003</v>
      </c>
      <c r="U173" s="53">
        <v>12</v>
      </c>
      <c r="V173" s="58">
        <f t="shared" si="13"/>
        <v>1723628.6598554885</v>
      </c>
      <c r="W173" s="52" t="s">
        <v>49</v>
      </c>
      <c r="X173" s="52" t="s">
        <v>4365</v>
      </c>
      <c r="Y173" s="52" t="s">
        <v>4366</v>
      </c>
      <c r="Z173" s="52" t="s">
        <v>4367</v>
      </c>
      <c r="AA173" s="52">
        <v>0</v>
      </c>
      <c r="AB173" s="52">
        <v>0</v>
      </c>
      <c r="AC173" s="52">
        <v>0</v>
      </c>
      <c r="AD173" s="21">
        <v>0.8985711123657989</v>
      </c>
      <c r="AE173" s="55">
        <v>0.8985711123657989</v>
      </c>
      <c r="AF173" s="315">
        <f t="shared" si="16"/>
        <v>1548802.9221919174</v>
      </c>
    </row>
    <row r="174" spans="1:32" s="55" customFormat="1" ht="255" x14ac:dyDescent="0.25">
      <c r="A174" s="86" t="s">
        <v>588</v>
      </c>
      <c r="B174" s="117" t="s">
        <v>2270</v>
      </c>
      <c r="C174" s="52"/>
      <c r="D174" s="52" t="s">
        <v>2279</v>
      </c>
      <c r="E174" s="22" t="str">
        <f t="shared" si="14"/>
        <v>SEJUSPPROG</v>
      </c>
      <c r="F174" s="52" t="s">
        <v>729</v>
      </c>
      <c r="G174" s="22" t="str">
        <f t="shared" si="15"/>
        <v>P130SEJUSP</v>
      </c>
      <c r="H174" s="52" t="s">
        <v>1183</v>
      </c>
      <c r="I174" s="22" t="s">
        <v>16</v>
      </c>
      <c r="J174" s="52" t="s">
        <v>1634</v>
      </c>
      <c r="K174" s="22" t="str">
        <f>VLOOKUP(CONCATENATE(A174,LEFT(J174,4)),AGRUPAMENTO!$D$2:$E$6783,2,FALSE)</f>
        <v>Alimentação</v>
      </c>
      <c r="L174" s="52" t="s">
        <v>44</v>
      </c>
      <c r="M174" s="52" t="str">
        <f t="shared" si="12"/>
        <v>FONTESEJUSP</v>
      </c>
      <c r="N174" s="52">
        <v>60</v>
      </c>
      <c r="O174" s="52" t="s">
        <v>2450</v>
      </c>
      <c r="P174" s="52" t="s">
        <v>46</v>
      </c>
      <c r="Q174" s="52" t="s">
        <v>3752</v>
      </c>
      <c r="R174" s="185">
        <v>3268.5371619198304</v>
      </c>
      <c r="S174" s="52" t="s">
        <v>3753</v>
      </c>
      <c r="T174" s="186">
        <v>30.858800000000002</v>
      </c>
      <c r="U174" s="53">
        <v>12</v>
      </c>
      <c r="V174" s="58">
        <f t="shared" si="13"/>
        <v>1210357.6148670199</v>
      </c>
      <c r="W174" s="52" t="s">
        <v>49</v>
      </c>
      <c r="X174" s="52" t="s">
        <v>4365</v>
      </c>
      <c r="Y174" s="52" t="s">
        <v>4366</v>
      </c>
      <c r="Z174" s="52" t="s">
        <v>4367</v>
      </c>
      <c r="AA174" s="52">
        <v>0</v>
      </c>
      <c r="AB174" s="52">
        <v>0</v>
      </c>
      <c r="AC174" s="52">
        <v>0</v>
      </c>
      <c r="AD174" s="21">
        <v>0.8985711123657989</v>
      </c>
      <c r="AE174" s="55">
        <v>0.8985711123657989</v>
      </c>
      <c r="AF174" s="315">
        <f t="shared" si="16"/>
        <v>1087592.3883514733</v>
      </c>
    </row>
    <row r="175" spans="1:32" s="55" customFormat="1" ht="255" x14ac:dyDescent="0.25">
      <c r="A175" s="86" t="s">
        <v>588</v>
      </c>
      <c r="B175" s="117" t="s">
        <v>2270</v>
      </c>
      <c r="C175" s="52"/>
      <c r="D175" s="52" t="s">
        <v>2279</v>
      </c>
      <c r="E175" s="22" t="str">
        <f t="shared" si="14"/>
        <v>SEJUSPPROG</v>
      </c>
      <c r="F175" s="52" t="s">
        <v>729</v>
      </c>
      <c r="G175" s="22" t="str">
        <f t="shared" si="15"/>
        <v>P130SEJUSP</v>
      </c>
      <c r="H175" s="52" t="s">
        <v>1183</v>
      </c>
      <c r="I175" s="22" t="s">
        <v>16</v>
      </c>
      <c r="J175" s="52" t="s">
        <v>1634</v>
      </c>
      <c r="K175" s="22" t="str">
        <f>VLOOKUP(CONCATENATE(A175,LEFT(J175,4)),AGRUPAMENTO!$D$2:$E$6783,2,FALSE)</f>
        <v>Alimentação</v>
      </c>
      <c r="L175" s="52" t="s">
        <v>44</v>
      </c>
      <c r="M175" s="52" t="str">
        <f t="shared" si="12"/>
        <v>FONTESEJUSP</v>
      </c>
      <c r="N175" s="52">
        <v>60</v>
      </c>
      <c r="O175" s="52" t="s">
        <v>2451</v>
      </c>
      <c r="P175" s="52" t="s">
        <v>46</v>
      </c>
      <c r="Q175" s="52" t="s">
        <v>3752</v>
      </c>
      <c r="R175" s="185">
        <v>3548.1951011599735</v>
      </c>
      <c r="S175" s="52" t="s">
        <v>3753</v>
      </c>
      <c r="T175" s="186">
        <v>30.776399999999999</v>
      </c>
      <c r="U175" s="53">
        <v>12</v>
      </c>
      <c r="V175" s="58">
        <f t="shared" si="13"/>
        <v>1310408.0605360777</v>
      </c>
      <c r="W175" s="52" t="s">
        <v>49</v>
      </c>
      <c r="X175" s="52" t="s">
        <v>4365</v>
      </c>
      <c r="Y175" s="52" t="s">
        <v>4366</v>
      </c>
      <c r="Z175" s="52" t="s">
        <v>4367</v>
      </c>
      <c r="AA175" s="52">
        <v>0</v>
      </c>
      <c r="AB175" s="52">
        <v>0</v>
      </c>
      <c r="AC175" s="52">
        <v>0</v>
      </c>
      <c r="AD175" s="21">
        <v>0.8985711123657989</v>
      </c>
      <c r="AE175" s="55">
        <v>0.8985711123657989</v>
      </c>
      <c r="AF175" s="315">
        <f t="shared" si="16"/>
        <v>1177494.8286090125</v>
      </c>
    </row>
    <row r="176" spans="1:32" s="55" customFormat="1" ht="255" x14ac:dyDescent="0.25">
      <c r="A176" s="86" t="s">
        <v>588</v>
      </c>
      <c r="B176" s="117" t="s">
        <v>2270</v>
      </c>
      <c r="C176" s="52"/>
      <c r="D176" s="52" t="s">
        <v>2279</v>
      </c>
      <c r="E176" s="22" t="str">
        <f t="shared" si="14"/>
        <v>SEJUSPPROG</v>
      </c>
      <c r="F176" s="52" t="s">
        <v>729</v>
      </c>
      <c r="G176" s="22" t="str">
        <f t="shared" si="15"/>
        <v>P130SEJUSP</v>
      </c>
      <c r="H176" s="52" t="s">
        <v>1183</v>
      </c>
      <c r="I176" s="22" t="s">
        <v>16</v>
      </c>
      <c r="J176" s="52" t="s">
        <v>1634</v>
      </c>
      <c r="K176" s="22" t="str">
        <f>VLOOKUP(CONCATENATE(A176,LEFT(J176,4)),AGRUPAMENTO!$D$2:$E$6783,2,FALSE)</f>
        <v>Alimentação</v>
      </c>
      <c r="L176" s="52" t="s">
        <v>44</v>
      </c>
      <c r="M176" s="52" t="str">
        <f t="shared" si="12"/>
        <v>FONTESEJUSP</v>
      </c>
      <c r="N176" s="52">
        <v>60</v>
      </c>
      <c r="O176" s="52" t="s">
        <v>2452</v>
      </c>
      <c r="P176" s="52" t="s">
        <v>46</v>
      </c>
      <c r="Q176" s="52" t="s">
        <v>3752</v>
      </c>
      <c r="R176" s="185">
        <v>8033.9171833628889</v>
      </c>
      <c r="S176" s="52" t="s">
        <v>3753</v>
      </c>
      <c r="T176" s="186">
        <v>27.892399999999999</v>
      </c>
      <c r="U176" s="53">
        <v>12</v>
      </c>
      <c r="V176" s="58">
        <f t="shared" si="13"/>
        <v>2689022.7797427722</v>
      </c>
      <c r="W176" s="52" t="s">
        <v>49</v>
      </c>
      <c r="X176" s="52" t="s">
        <v>4365</v>
      </c>
      <c r="Y176" s="52" t="s">
        <v>4366</v>
      </c>
      <c r="Z176" s="52" t="s">
        <v>4367</v>
      </c>
      <c r="AA176" s="52">
        <v>0</v>
      </c>
      <c r="AB176" s="52">
        <v>0</v>
      </c>
      <c r="AC176" s="52">
        <v>0</v>
      </c>
      <c r="AD176" s="21">
        <v>0.8985711123657989</v>
      </c>
      <c r="AE176" s="55">
        <v>0.8985711123657989</v>
      </c>
      <c r="AF176" s="315">
        <f t="shared" si="16"/>
        <v>2416278.1903704354</v>
      </c>
    </row>
    <row r="177" spans="1:32" s="55" customFormat="1" ht="255" x14ac:dyDescent="0.25">
      <c r="A177" s="86" t="s">
        <v>588</v>
      </c>
      <c r="B177" s="117" t="s">
        <v>2270</v>
      </c>
      <c r="C177" s="52"/>
      <c r="D177" s="52" t="s">
        <v>2279</v>
      </c>
      <c r="E177" s="22" t="str">
        <f t="shared" si="14"/>
        <v>SEJUSPPROG</v>
      </c>
      <c r="F177" s="52" t="s">
        <v>729</v>
      </c>
      <c r="G177" s="22" t="str">
        <f t="shared" si="15"/>
        <v>P130SEJUSP</v>
      </c>
      <c r="H177" s="52" t="s">
        <v>1183</v>
      </c>
      <c r="I177" s="22" t="s">
        <v>16</v>
      </c>
      <c r="J177" s="52" t="s">
        <v>1634</v>
      </c>
      <c r="K177" s="22" t="str">
        <f>VLOOKUP(CONCATENATE(A177,LEFT(J177,4)),AGRUPAMENTO!$D$2:$E$6783,2,FALSE)</f>
        <v>Alimentação</v>
      </c>
      <c r="L177" s="52" t="s">
        <v>44</v>
      </c>
      <c r="M177" s="52" t="str">
        <f t="shared" si="12"/>
        <v>FONTESEJUSP</v>
      </c>
      <c r="N177" s="52">
        <v>60</v>
      </c>
      <c r="O177" s="52" t="s">
        <v>2453</v>
      </c>
      <c r="P177" s="52" t="s">
        <v>46</v>
      </c>
      <c r="Q177" s="52" t="s">
        <v>3752</v>
      </c>
      <c r="R177" s="185">
        <v>3292.7607689444853</v>
      </c>
      <c r="S177" s="52" t="s">
        <v>3753</v>
      </c>
      <c r="T177" s="186">
        <v>24.256500000000003</v>
      </c>
      <c r="U177" s="53">
        <v>12</v>
      </c>
      <c r="V177" s="58">
        <f t="shared" si="13"/>
        <v>958450.21910282294</v>
      </c>
      <c r="W177" s="52" t="s">
        <v>49</v>
      </c>
      <c r="X177" s="52" t="s">
        <v>4365</v>
      </c>
      <c r="Y177" s="52" t="s">
        <v>4366</v>
      </c>
      <c r="Z177" s="52" t="s">
        <v>4367</v>
      </c>
      <c r="AA177" s="52">
        <v>0</v>
      </c>
      <c r="AB177" s="52">
        <v>0</v>
      </c>
      <c r="AC177" s="52">
        <v>0</v>
      </c>
      <c r="AD177" s="21">
        <v>0.8985711123657989</v>
      </c>
      <c r="AE177" s="55">
        <v>0.8985711123657989</v>
      </c>
      <c r="AF177" s="315">
        <f t="shared" si="16"/>
        <v>861235.67952646734</v>
      </c>
    </row>
    <row r="178" spans="1:32" s="55" customFormat="1" ht="255" x14ac:dyDescent="0.25">
      <c r="A178" s="86" t="s">
        <v>588</v>
      </c>
      <c r="B178" s="117" t="s">
        <v>2270</v>
      </c>
      <c r="C178" s="52"/>
      <c r="D178" s="52" t="s">
        <v>2279</v>
      </c>
      <c r="E178" s="22" t="str">
        <f t="shared" si="14"/>
        <v>SEJUSPPROG</v>
      </c>
      <c r="F178" s="52" t="s">
        <v>729</v>
      </c>
      <c r="G178" s="22" t="str">
        <f t="shared" si="15"/>
        <v>P130SEJUSP</v>
      </c>
      <c r="H178" s="52" t="s">
        <v>1183</v>
      </c>
      <c r="I178" s="22" t="s">
        <v>16</v>
      </c>
      <c r="J178" s="52" t="s">
        <v>1634</v>
      </c>
      <c r="K178" s="22" t="str">
        <f>VLOOKUP(CONCATENATE(A178,LEFT(J178,4)),AGRUPAMENTO!$D$2:$E$6783,2,FALSE)</f>
        <v>Alimentação</v>
      </c>
      <c r="L178" s="52" t="s">
        <v>44</v>
      </c>
      <c r="M178" s="52" t="str">
        <f t="shared" si="12"/>
        <v>FONTESEJUSP</v>
      </c>
      <c r="N178" s="52">
        <v>60</v>
      </c>
      <c r="O178" s="52" t="s">
        <v>2454</v>
      </c>
      <c r="P178" s="52" t="s">
        <v>46</v>
      </c>
      <c r="Q178" s="52" t="s">
        <v>3752</v>
      </c>
      <c r="R178" s="185">
        <v>2632.9106076683333</v>
      </c>
      <c r="S178" s="52" t="s">
        <v>3753</v>
      </c>
      <c r="T178" s="186">
        <v>25.090800000000002</v>
      </c>
      <c r="U178" s="53">
        <v>12</v>
      </c>
      <c r="V178" s="58">
        <f t="shared" si="13"/>
        <v>792742.0016986155</v>
      </c>
      <c r="W178" s="52" t="s">
        <v>49</v>
      </c>
      <c r="X178" s="52" t="s">
        <v>4365</v>
      </c>
      <c r="Y178" s="52" t="s">
        <v>4366</v>
      </c>
      <c r="Z178" s="52" t="s">
        <v>4367</v>
      </c>
      <c r="AA178" s="52">
        <v>0</v>
      </c>
      <c r="AB178" s="52">
        <v>0</v>
      </c>
      <c r="AC178" s="52">
        <v>0</v>
      </c>
      <c r="AD178" s="21">
        <v>0.8985711123657989</v>
      </c>
      <c r="AE178" s="55">
        <v>0.8985711123657989</v>
      </c>
      <c r="AF178" s="315">
        <f t="shared" si="16"/>
        <v>712335.06228541501</v>
      </c>
    </row>
    <row r="179" spans="1:32" s="55" customFormat="1" ht="255" x14ac:dyDescent="0.25">
      <c r="A179" s="86" t="s">
        <v>588</v>
      </c>
      <c r="B179" s="117" t="s">
        <v>2270</v>
      </c>
      <c r="C179" s="52"/>
      <c r="D179" s="52" t="s">
        <v>2279</v>
      </c>
      <c r="E179" s="22" t="str">
        <f t="shared" si="14"/>
        <v>SEJUSPPROG</v>
      </c>
      <c r="F179" s="52" t="s">
        <v>729</v>
      </c>
      <c r="G179" s="22" t="str">
        <f t="shared" si="15"/>
        <v>P130SEJUSP</v>
      </c>
      <c r="H179" s="52" t="s">
        <v>1183</v>
      </c>
      <c r="I179" s="22" t="s">
        <v>16</v>
      </c>
      <c r="J179" s="52" t="s">
        <v>1634</v>
      </c>
      <c r="K179" s="22" t="str">
        <f>VLOOKUP(CONCATENATE(A179,LEFT(J179,4)),AGRUPAMENTO!$D$2:$E$6783,2,FALSE)</f>
        <v>Alimentação</v>
      </c>
      <c r="L179" s="52" t="s">
        <v>44</v>
      </c>
      <c r="M179" s="52" t="str">
        <f t="shared" si="12"/>
        <v>FONTESEJUSP</v>
      </c>
      <c r="N179" s="52">
        <v>60</v>
      </c>
      <c r="O179" s="52" t="s">
        <v>2455</v>
      </c>
      <c r="P179" s="52" t="s">
        <v>46</v>
      </c>
      <c r="Q179" s="52" t="s">
        <v>3752</v>
      </c>
      <c r="R179" s="185">
        <v>8927.45947022367</v>
      </c>
      <c r="S179" s="52" t="s">
        <v>3753</v>
      </c>
      <c r="T179" s="186">
        <v>28.973900000000004</v>
      </c>
      <c r="U179" s="53">
        <v>12</v>
      </c>
      <c r="V179" s="58">
        <f t="shared" si="13"/>
        <v>3103959.8153317636</v>
      </c>
      <c r="W179" s="52" t="s">
        <v>49</v>
      </c>
      <c r="X179" s="52" t="s">
        <v>4365</v>
      </c>
      <c r="Y179" s="52" t="s">
        <v>4366</v>
      </c>
      <c r="Z179" s="52" t="s">
        <v>4367</v>
      </c>
      <c r="AA179" s="52">
        <v>0</v>
      </c>
      <c r="AB179" s="52">
        <v>0</v>
      </c>
      <c r="AC179" s="52">
        <v>0</v>
      </c>
      <c r="AD179" s="21">
        <v>0.8985711123657989</v>
      </c>
      <c r="AE179" s="55">
        <v>0.8985711123657989</v>
      </c>
      <c r="AF179" s="315">
        <f t="shared" si="16"/>
        <v>2789128.6240014024</v>
      </c>
    </row>
    <row r="180" spans="1:32" s="55" customFormat="1" ht="255" x14ac:dyDescent="0.25">
      <c r="A180" s="86" t="s">
        <v>588</v>
      </c>
      <c r="B180" s="117" t="s">
        <v>2270</v>
      </c>
      <c r="C180" s="52"/>
      <c r="D180" s="52" t="s">
        <v>2279</v>
      </c>
      <c r="E180" s="22" t="str">
        <f t="shared" si="14"/>
        <v>SEJUSPPROG</v>
      </c>
      <c r="F180" s="52" t="s">
        <v>729</v>
      </c>
      <c r="G180" s="22" t="str">
        <f t="shared" si="15"/>
        <v>P130SEJUSP</v>
      </c>
      <c r="H180" s="52" t="s">
        <v>1183</v>
      </c>
      <c r="I180" s="22" t="s">
        <v>16</v>
      </c>
      <c r="J180" s="52" t="s">
        <v>1634</v>
      </c>
      <c r="K180" s="22" t="str">
        <f>VLOOKUP(CONCATENATE(A180,LEFT(J180,4)),AGRUPAMENTO!$D$2:$E$6783,2,FALSE)</f>
        <v>Alimentação</v>
      </c>
      <c r="L180" s="52" t="s">
        <v>44</v>
      </c>
      <c r="M180" s="52" t="str">
        <f t="shared" si="12"/>
        <v>FONTESEJUSP</v>
      </c>
      <c r="N180" s="52">
        <v>60</v>
      </c>
      <c r="O180" s="52" t="s">
        <v>2456</v>
      </c>
      <c r="P180" s="52" t="s">
        <v>46</v>
      </c>
      <c r="Q180" s="52" t="s">
        <v>3752</v>
      </c>
      <c r="R180" s="185">
        <v>12488.575597952396</v>
      </c>
      <c r="S180" s="52" t="s">
        <v>3753</v>
      </c>
      <c r="T180" s="186">
        <v>22.66</v>
      </c>
      <c r="U180" s="53">
        <v>12</v>
      </c>
      <c r="V180" s="58">
        <f t="shared" si="13"/>
        <v>3395893.476595216</v>
      </c>
      <c r="W180" s="52" t="s">
        <v>49</v>
      </c>
      <c r="X180" s="52" t="s">
        <v>4365</v>
      </c>
      <c r="Y180" s="52" t="s">
        <v>4366</v>
      </c>
      <c r="Z180" s="52" t="s">
        <v>4367</v>
      </c>
      <c r="AA180" s="52">
        <v>0</v>
      </c>
      <c r="AB180" s="52">
        <v>0</v>
      </c>
      <c r="AC180" s="52">
        <v>0</v>
      </c>
      <c r="AD180" s="21">
        <v>0.8985711123657989</v>
      </c>
      <c r="AE180" s="55">
        <v>0.8985711123657989</v>
      </c>
      <c r="AF180" s="315">
        <f t="shared" si="16"/>
        <v>3051451.7787399231</v>
      </c>
    </row>
    <row r="181" spans="1:32" s="55" customFormat="1" ht="255" x14ac:dyDescent="0.25">
      <c r="A181" s="86" t="s">
        <v>588</v>
      </c>
      <c r="B181" s="117" t="s">
        <v>2270</v>
      </c>
      <c r="C181" s="52"/>
      <c r="D181" s="52" t="s">
        <v>2279</v>
      </c>
      <c r="E181" s="22" t="str">
        <f t="shared" si="14"/>
        <v>SEJUSPPROG</v>
      </c>
      <c r="F181" s="52" t="s">
        <v>729</v>
      </c>
      <c r="G181" s="22" t="str">
        <f t="shared" si="15"/>
        <v>P130SEJUSP</v>
      </c>
      <c r="H181" s="52" t="s">
        <v>1183</v>
      </c>
      <c r="I181" s="22" t="s">
        <v>16</v>
      </c>
      <c r="J181" s="52" t="s">
        <v>1634</v>
      </c>
      <c r="K181" s="22" t="str">
        <f>VLOOKUP(CONCATENATE(A181,LEFT(J181,4)),AGRUPAMENTO!$D$2:$E$6783,2,FALSE)</f>
        <v>Alimentação</v>
      </c>
      <c r="L181" s="52" t="s">
        <v>44</v>
      </c>
      <c r="M181" s="52" t="str">
        <f t="shared" si="12"/>
        <v>FONTESEJUSP</v>
      </c>
      <c r="N181" s="52">
        <v>60</v>
      </c>
      <c r="O181" s="52" t="s">
        <v>2457</v>
      </c>
      <c r="P181" s="52" t="s">
        <v>46</v>
      </c>
      <c r="Q181" s="52" t="s">
        <v>3752</v>
      </c>
      <c r="R181" s="185">
        <v>3389.0261511538447</v>
      </c>
      <c r="S181" s="52" t="s">
        <v>3753</v>
      </c>
      <c r="T181" s="186">
        <v>29.828800000000001</v>
      </c>
      <c r="U181" s="53">
        <v>12</v>
      </c>
      <c r="V181" s="58">
        <f t="shared" si="13"/>
        <v>1213086.9990904536</v>
      </c>
      <c r="W181" s="52" t="s">
        <v>49</v>
      </c>
      <c r="X181" s="52" t="s">
        <v>4365</v>
      </c>
      <c r="Y181" s="52" t="s">
        <v>4366</v>
      </c>
      <c r="Z181" s="52" t="s">
        <v>4367</v>
      </c>
      <c r="AA181" s="52">
        <v>0</v>
      </c>
      <c r="AB181" s="52">
        <v>0</v>
      </c>
      <c r="AC181" s="52">
        <v>0</v>
      </c>
      <c r="AD181" s="21">
        <v>0.8985711123657989</v>
      </c>
      <c r="AE181" s="55">
        <v>0.8985711123657989</v>
      </c>
      <c r="AF181" s="315">
        <f t="shared" si="16"/>
        <v>1090044.9341691977</v>
      </c>
    </row>
    <row r="182" spans="1:32" s="55" customFormat="1" ht="255" x14ac:dyDescent="0.25">
      <c r="A182" s="86" t="s">
        <v>588</v>
      </c>
      <c r="B182" s="117" t="s">
        <v>2270</v>
      </c>
      <c r="C182" s="52"/>
      <c r="D182" s="52" t="s">
        <v>2279</v>
      </c>
      <c r="E182" s="22" t="str">
        <f t="shared" si="14"/>
        <v>SEJUSPPROG</v>
      </c>
      <c r="F182" s="52" t="s">
        <v>729</v>
      </c>
      <c r="G182" s="22" t="str">
        <f t="shared" si="15"/>
        <v>P130SEJUSP</v>
      </c>
      <c r="H182" s="52" t="s">
        <v>1183</v>
      </c>
      <c r="I182" s="22" t="s">
        <v>16</v>
      </c>
      <c r="J182" s="52" t="s">
        <v>1634</v>
      </c>
      <c r="K182" s="22" t="str">
        <f>VLOOKUP(CONCATENATE(A182,LEFT(J182,4)),AGRUPAMENTO!$D$2:$E$6783,2,FALSE)</f>
        <v>Alimentação</v>
      </c>
      <c r="L182" s="52" t="s">
        <v>44</v>
      </c>
      <c r="M182" s="52" t="str">
        <f t="shared" si="12"/>
        <v>FONTESEJUSP</v>
      </c>
      <c r="N182" s="52">
        <v>60</v>
      </c>
      <c r="O182" s="52" t="s">
        <v>2458</v>
      </c>
      <c r="P182" s="52" t="s">
        <v>46</v>
      </c>
      <c r="Q182" s="52" t="s">
        <v>3752</v>
      </c>
      <c r="R182" s="185">
        <v>3460.8055491433329</v>
      </c>
      <c r="S182" s="52" t="s">
        <v>3753</v>
      </c>
      <c r="T182" s="186">
        <v>26.666700000000002</v>
      </c>
      <c r="U182" s="53">
        <v>12</v>
      </c>
      <c r="V182" s="58">
        <f t="shared" si="13"/>
        <v>1107459.1600480862</v>
      </c>
      <c r="W182" s="52" t="s">
        <v>49</v>
      </c>
      <c r="X182" s="52" t="s">
        <v>4365</v>
      </c>
      <c r="Y182" s="52" t="s">
        <v>4366</v>
      </c>
      <c r="Z182" s="52" t="s">
        <v>4367</v>
      </c>
      <c r="AA182" s="52">
        <v>0</v>
      </c>
      <c r="AB182" s="52">
        <v>0</v>
      </c>
      <c r="AC182" s="52">
        <v>0</v>
      </c>
      <c r="AD182" s="21">
        <v>0.8985711123657989</v>
      </c>
      <c r="AE182" s="55">
        <v>0.8985711123657989</v>
      </c>
      <c r="AF182" s="315">
        <f t="shared" si="16"/>
        <v>995130.80934410216</v>
      </c>
    </row>
    <row r="183" spans="1:32" s="55" customFormat="1" ht="255" x14ac:dyDescent="0.25">
      <c r="A183" s="86" t="s">
        <v>588</v>
      </c>
      <c r="B183" s="117" t="s">
        <v>2270</v>
      </c>
      <c r="C183" s="52"/>
      <c r="D183" s="52" t="s">
        <v>2279</v>
      </c>
      <c r="E183" s="22" t="str">
        <f t="shared" si="14"/>
        <v>SEJUSPPROG</v>
      </c>
      <c r="F183" s="52" t="s">
        <v>729</v>
      </c>
      <c r="G183" s="22" t="str">
        <f t="shared" si="15"/>
        <v>P130SEJUSP</v>
      </c>
      <c r="H183" s="52" t="s">
        <v>1183</v>
      </c>
      <c r="I183" s="22" t="s">
        <v>16</v>
      </c>
      <c r="J183" s="52" t="s">
        <v>1634</v>
      </c>
      <c r="K183" s="22" t="str">
        <f>VLOOKUP(CONCATENATE(A183,LEFT(J183,4)),AGRUPAMENTO!$D$2:$E$6783,2,FALSE)</f>
        <v>Alimentação</v>
      </c>
      <c r="L183" s="52" t="s">
        <v>44</v>
      </c>
      <c r="M183" s="52" t="str">
        <f t="shared" si="12"/>
        <v>FONTESEJUSP</v>
      </c>
      <c r="N183" s="52">
        <v>60</v>
      </c>
      <c r="O183" s="52" t="s">
        <v>2459</v>
      </c>
      <c r="P183" s="52" t="s">
        <v>46</v>
      </c>
      <c r="Q183" s="52" t="s">
        <v>3752</v>
      </c>
      <c r="R183" s="185">
        <v>3292.5391111572194</v>
      </c>
      <c r="S183" s="52" t="s">
        <v>3753</v>
      </c>
      <c r="T183" s="186">
        <v>20.424899999999997</v>
      </c>
      <c r="U183" s="53">
        <v>12</v>
      </c>
      <c r="V183" s="58">
        <f t="shared" si="13"/>
        <v>806997.38509770087</v>
      </c>
      <c r="W183" s="52" t="s">
        <v>49</v>
      </c>
      <c r="X183" s="52" t="s">
        <v>4365</v>
      </c>
      <c r="Y183" s="52" t="s">
        <v>4366</v>
      </c>
      <c r="Z183" s="52" t="s">
        <v>4367</v>
      </c>
      <c r="AA183" s="52">
        <v>0</v>
      </c>
      <c r="AB183" s="52">
        <v>0</v>
      </c>
      <c r="AC183" s="52">
        <v>0</v>
      </c>
      <c r="AD183" s="21">
        <v>0.8985711123657989</v>
      </c>
      <c r="AE183" s="55">
        <v>0.8985711123657989</v>
      </c>
      <c r="AF183" s="315">
        <f t="shared" si="16"/>
        <v>725144.5380035321</v>
      </c>
    </row>
    <row r="184" spans="1:32" s="55" customFormat="1" ht="255" x14ac:dyDescent="0.25">
      <c r="A184" s="86" t="s">
        <v>588</v>
      </c>
      <c r="B184" s="117" t="s">
        <v>2270</v>
      </c>
      <c r="C184" s="52"/>
      <c r="D184" s="52" t="s">
        <v>2279</v>
      </c>
      <c r="E184" s="22" t="str">
        <f t="shared" si="14"/>
        <v>SEJUSPPROG</v>
      </c>
      <c r="F184" s="52" t="s">
        <v>729</v>
      </c>
      <c r="G184" s="22" t="str">
        <f t="shared" si="15"/>
        <v>P130SEJUSP</v>
      </c>
      <c r="H184" s="52" t="s">
        <v>1183</v>
      </c>
      <c r="I184" s="22" t="s">
        <v>16</v>
      </c>
      <c r="J184" s="52" t="s">
        <v>1634</v>
      </c>
      <c r="K184" s="22" t="str">
        <f>VLOOKUP(CONCATENATE(A184,LEFT(J184,4)),AGRUPAMENTO!$D$2:$E$6783,2,FALSE)</f>
        <v>Alimentação</v>
      </c>
      <c r="L184" s="52" t="s">
        <v>44</v>
      </c>
      <c r="M184" s="52" t="str">
        <f t="shared" si="12"/>
        <v>FONTESEJUSP</v>
      </c>
      <c r="N184" s="52">
        <v>60</v>
      </c>
      <c r="O184" s="52" t="s">
        <v>2460</v>
      </c>
      <c r="P184" s="52" t="s">
        <v>46</v>
      </c>
      <c r="Q184" s="52" t="s">
        <v>3752</v>
      </c>
      <c r="R184" s="185">
        <v>3674.7104561278761</v>
      </c>
      <c r="S184" s="52" t="s">
        <v>3753</v>
      </c>
      <c r="T184" s="186">
        <v>28.005700000000001</v>
      </c>
      <c r="U184" s="53">
        <v>12</v>
      </c>
      <c r="V184" s="58">
        <f t="shared" si="13"/>
        <v>1234954.0634541656</v>
      </c>
      <c r="W184" s="52" t="s">
        <v>49</v>
      </c>
      <c r="X184" s="52" t="s">
        <v>4365</v>
      </c>
      <c r="Y184" s="52" t="s">
        <v>4366</v>
      </c>
      <c r="Z184" s="52" t="s">
        <v>4367</v>
      </c>
      <c r="AA184" s="52">
        <v>0</v>
      </c>
      <c r="AB184" s="52">
        <v>0</v>
      </c>
      <c r="AC184" s="52">
        <v>0</v>
      </c>
      <c r="AD184" s="21">
        <v>0.8985711123657989</v>
      </c>
      <c r="AE184" s="55">
        <v>0.8985711123657989</v>
      </c>
      <c r="AF184" s="315">
        <f t="shared" si="16"/>
        <v>1109694.046518673</v>
      </c>
    </row>
    <row r="185" spans="1:32" s="55" customFormat="1" ht="255" x14ac:dyDescent="0.25">
      <c r="A185" s="86" t="s">
        <v>588</v>
      </c>
      <c r="B185" s="117" t="s">
        <v>2270</v>
      </c>
      <c r="C185" s="52"/>
      <c r="D185" s="52" t="s">
        <v>2279</v>
      </c>
      <c r="E185" s="22" t="str">
        <f t="shared" si="14"/>
        <v>SEJUSPPROG</v>
      </c>
      <c r="F185" s="52" t="s">
        <v>729</v>
      </c>
      <c r="G185" s="22" t="str">
        <f t="shared" si="15"/>
        <v>P130SEJUSP</v>
      </c>
      <c r="H185" s="52" t="s">
        <v>1183</v>
      </c>
      <c r="I185" s="22" t="s">
        <v>16</v>
      </c>
      <c r="J185" s="52" t="s">
        <v>1634</v>
      </c>
      <c r="K185" s="22" t="str">
        <f>VLOOKUP(CONCATENATE(A185,LEFT(J185,4)),AGRUPAMENTO!$D$2:$E$6783,2,FALSE)</f>
        <v>Alimentação</v>
      </c>
      <c r="L185" s="52" t="s">
        <v>44</v>
      </c>
      <c r="M185" s="52" t="str">
        <f t="shared" si="12"/>
        <v>FONTESEJUSP</v>
      </c>
      <c r="N185" s="52">
        <v>60</v>
      </c>
      <c r="O185" s="52" t="s">
        <v>2461</v>
      </c>
      <c r="P185" s="52" t="s">
        <v>46</v>
      </c>
      <c r="Q185" s="52" t="s">
        <v>3752</v>
      </c>
      <c r="R185" s="185">
        <v>6294.5041307572465</v>
      </c>
      <c r="S185" s="52" t="s">
        <v>3753</v>
      </c>
      <c r="T185" s="186">
        <v>24.915700000000001</v>
      </c>
      <c r="U185" s="53">
        <v>12</v>
      </c>
      <c r="V185" s="58">
        <f t="shared" si="13"/>
        <v>1881983.7188484999</v>
      </c>
      <c r="W185" s="52" t="s">
        <v>49</v>
      </c>
      <c r="X185" s="52" t="s">
        <v>4365</v>
      </c>
      <c r="Y185" s="52" t="s">
        <v>4366</v>
      </c>
      <c r="Z185" s="52" t="s">
        <v>4367</v>
      </c>
      <c r="AA185" s="52">
        <v>0</v>
      </c>
      <c r="AB185" s="52">
        <v>0</v>
      </c>
      <c r="AC185" s="52">
        <v>0</v>
      </c>
      <c r="AD185" s="21">
        <v>0.8985711123657989</v>
      </c>
      <c r="AE185" s="55">
        <v>0.8985711123657989</v>
      </c>
      <c r="AF185" s="315">
        <f t="shared" si="16"/>
        <v>1691096.2037000195</v>
      </c>
    </row>
    <row r="186" spans="1:32" s="55" customFormat="1" ht="255" x14ac:dyDescent="0.25">
      <c r="A186" s="86" t="s">
        <v>588</v>
      </c>
      <c r="B186" s="117" t="s">
        <v>2270</v>
      </c>
      <c r="C186" s="52"/>
      <c r="D186" s="52" t="s">
        <v>2279</v>
      </c>
      <c r="E186" s="22" t="str">
        <f t="shared" si="14"/>
        <v>SEJUSPPROG</v>
      </c>
      <c r="F186" s="52" t="s">
        <v>729</v>
      </c>
      <c r="G186" s="22" t="str">
        <f t="shared" si="15"/>
        <v>P130SEJUSP</v>
      </c>
      <c r="H186" s="52" t="s">
        <v>1183</v>
      </c>
      <c r="I186" s="22" t="s">
        <v>16</v>
      </c>
      <c r="J186" s="52" t="s">
        <v>1634</v>
      </c>
      <c r="K186" s="22" t="str">
        <f>VLOOKUP(CONCATENATE(A186,LEFT(J186,4)),AGRUPAMENTO!$D$2:$E$6783,2,FALSE)</f>
        <v>Alimentação</v>
      </c>
      <c r="L186" s="52" t="s">
        <v>44</v>
      </c>
      <c r="M186" s="52" t="str">
        <f t="shared" si="12"/>
        <v>FONTESEJUSP</v>
      </c>
      <c r="N186" s="52">
        <v>60</v>
      </c>
      <c r="O186" s="52" t="s">
        <v>2462</v>
      </c>
      <c r="P186" s="52" t="s">
        <v>46</v>
      </c>
      <c r="Q186" s="52" t="s">
        <v>3752</v>
      </c>
      <c r="R186" s="185">
        <v>5996.2545578223117</v>
      </c>
      <c r="S186" s="52" t="s">
        <v>3753</v>
      </c>
      <c r="T186" s="186">
        <v>22.248000000000001</v>
      </c>
      <c r="U186" s="53">
        <v>12</v>
      </c>
      <c r="V186" s="58">
        <f t="shared" si="13"/>
        <v>1600856.0568291696</v>
      </c>
      <c r="W186" s="52" t="s">
        <v>49</v>
      </c>
      <c r="X186" s="52" t="s">
        <v>4365</v>
      </c>
      <c r="Y186" s="52" t="s">
        <v>4366</v>
      </c>
      <c r="Z186" s="52" t="s">
        <v>4367</v>
      </c>
      <c r="AA186" s="52">
        <v>0</v>
      </c>
      <c r="AB186" s="52">
        <v>0</v>
      </c>
      <c r="AC186" s="52">
        <v>0</v>
      </c>
      <c r="AD186" s="21">
        <v>0.8985711123657989</v>
      </c>
      <c r="AE186" s="55">
        <v>0.8985711123657989</v>
      </c>
      <c r="AF186" s="315">
        <f t="shared" si="16"/>
        <v>1438483.0077225135</v>
      </c>
    </row>
    <row r="187" spans="1:32" s="55" customFormat="1" ht="255" x14ac:dyDescent="0.25">
      <c r="A187" s="86" t="s">
        <v>588</v>
      </c>
      <c r="B187" s="117" t="s">
        <v>2270</v>
      </c>
      <c r="C187" s="52"/>
      <c r="D187" s="52" t="s">
        <v>2279</v>
      </c>
      <c r="E187" s="22" t="str">
        <f t="shared" si="14"/>
        <v>SEJUSPPROG</v>
      </c>
      <c r="F187" s="52" t="s">
        <v>729</v>
      </c>
      <c r="G187" s="22" t="str">
        <f t="shared" si="15"/>
        <v>P130SEJUSP</v>
      </c>
      <c r="H187" s="52" t="s">
        <v>1183</v>
      </c>
      <c r="I187" s="22" t="s">
        <v>16</v>
      </c>
      <c r="J187" s="52" t="s">
        <v>1634</v>
      </c>
      <c r="K187" s="22" t="str">
        <f>VLOOKUP(CONCATENATE(A187,LEFT(J187,4)),AGRUPAMENTO!$D$2:$E$6783,2,FALSE)</f>
        <v>Alimentação</v>
      </c>
      <c r="L187" s="52" t="s">
        <v>44</v>
      </c>
      <c r="M187" s="52" t="str">
        <f t="shared" si="12"/>
        <v>FONTESEJUSP</v>
      </c>
      <c r="N187" s="52">
        <v>60</v>
      </c>
      <c r="O187" s="52" t="s">
        <v>2463</v>
      </c>
      <c r="P187" s="52" t="s">
        <v>46</v>
      </c>
      <c r="Q187" s="52" t="s">
        <v>3752</v>
      </c>
      <c r="R187" s="185">
        <v>5133.4624812532611</v>
      </c>
      <c r="S187" s="52" t="s">
        <v>3753</v>
      </c>
      <c r="T187" s="186">
        <v>21.424000000000003</v>
      </c>
      <c r="U187" s="53">
        <v>12</v>
      </c>
      <c r="V187" s="58">
        <f t="shared" si="13"/>
        <v>1319751.6023804385</v>
      </c>
      <c r="W187" s="52" t="s">
        <v>49</v>
      </c>
      <c r="X187" s="52" t="s">
        <v>4365</v>
      </c>
      <c r="Y187" s="52" t="s">
        <v>4366</v>
      </c>
      <c r="Z187" s="52" t="s">
        <v>4367</v>
      </c>
      <c r="AA187" s="52">
        <v>0</v>
      </c>
      <c r="AB187" s="52">
        <v>0</v>
      </c>
      <c r="AC187" s="52">
        <v>0</v>
      </c>
      <c r="AD187" s="21">
        <v>0.8985711123657989</v>
      </c>
      <c r="AE187" s="55">
        <v>0.8985711123657989</v>
      </c>
      <c r="AF187" s="315">
        <f t="shared" si="16"/>
        <v>1185890.6653975362</v>
      </c>
    </row>
    <row r="188" spans="1:32" s="55" customFormat="1" ht="255" x14ac:dyDescent="0.25">
      <c r="A188" s="86" t="s">
        <v>588</v>
      </c>
      <c r="B188" s="117" t="s">
        <v>2270</v>
      </c>
      <c r="C188" s="52"/>
      <c r="D188" s="52" t="s">
        <v>2279</v>
      </c>
      <c r="E188" s="22" t="str">
        <f t="shared" si="14"/>
        <v>SEJUSPPROG</v>
      </c>
      <c r="F188" s="52" t="s">
        <v>729</v>
      </c>
      <c r="G188" s="22" t="str">
        <f t="shared" si="15"/>
        <v>P130SEJUSP</v>
      </c>
      <c r="H188" s="52" t="s">
        <v>1183</v>
      </c>
      <c r="I188" s="22" t="s">
        <v>16</v>
      </c>
      <c r="J188" s="52" t="s">
        <v>1634</v>
      </c>
      <c r="K188" s="22" t="str">
        <f>VLOOKUP(CONCATENATE(A188,LEFT(J188,4)),AGRUPAMENTO!$D$2:$E$6783,2,FALSE)</f>
        <v>Alimentação</v>
      </c>
      <c r="L188" s="52" t="s">
        <v>44</v>
      </c>
      <c r="M188" s="52" t="str">
        <f t="shared" si="12"/>
        <v>FONTESEJUSP</v>
      </c>
      <c r="N188" s="52">
        <v>60</v>
      </c>
      <c r="O188" s="52" t="s">
        <v>2464</v>
      </c>
      <c r="P188" s="52" t="s">
        <v>46</v>
      </c>
      <c r="Q188" s="52" t="s">
        <v>3752</v>
      </c>
      <c r="R188" s="185">
        <v>3640.5542338822847</v>
      </c>
      <c r="S188" s="52" t="s">
        <v>3753</v>
      </c>
      <c r="T188" s="186">
        <v>19.178600000000003</v>
      </c>
      <c r="U188" s="53">
        <v>12</v>
      </c>
      <c r="V188" s="58">
        <f t="shared" si="13"/>
        <v>837848.8011592176</v>
      </c>
      <c r="W188" s="52" t="s">
        <v>49</v>
      </c>
      <c r="X188" s="52" t="s">
        <v>4365</v>
      </c>
      <c r="Y188" s="52" t="s">
        <v>4366</v>
      </c>
      <c r="Z188" s="52" t="s">
        <v>4367</v>
      </c>
      <c r="AA188" s="52">
        <v>0</v>
      </c>
      <c r="AB188" s="52">
        <v>0</v>
      </c>
      <c r="AC188" s="52">
        <v>0</v>
      </c>
      <c r="AD188" s="21">
        <v>0.8985711123657989</v>
      </c>
      <c r="AE188" s="55">
        <v>0.8985711123657989</v>
      </c>
      <c r="AF188" s="315">
        <f t="shared" si="16"/>
        <v>752866.72925198916</v>
      </c>
    </row>
    <row r="189" spans="1:32" s="55" customFormat="1" ht="255" x14ac:dyDescent="0.25">
      <c r="A189" s="86" t="s">
        <v>588</v>
      </c>
      <c r="B189" s="117" t="s">
        <v>2270</v>
      </c>
      <c r="C189" s="52"/>
      <c r="D189" s="52" t="s">
        <v>2279</v>
      </c>
      <c r="E189" s="22" t="str">
        <f t="shared" si="14"/>
        <v>SEJUSPPROG</v>
      </c>
      <c r="F189" s="52" t="s">
        <v>729</v>
      </c>
      <c r="G189" s="22" t="str">
        <f t="shared" si="15"/>
        <v>P130SEJUSP</v>
      </c>
      <c r="H189" s="52" t="s">
        <v>1183</v>
      </c>
      <c r="I189" s="22" t="s">
        <v>16</v>
      </c>
      <c r="J189" s="52" t="s">
        <v>1634</v>
      </c>
      <c r="K189" s="22" t="str">
        <f>VLOOKUP(CONCATENATE(A189,LEFT(J189,4)),AGRUPAMENTO!$D$2:$E$6783,2,FALSE)</f>
        <v>Alimentação</v>
      </c>
      <c r="L189" s="52" t="s">
        <v>44</v>
      </c>
      <c r="M189" s="52" t="str">
        <f t="shared" si="12"/>
        <v>FONTESEJUSP</v>
      </c>
      <c r="N189" s="52">
        <v>60</v>
      </c>
      <c r="O189" s="52" t="s">
        <v>2465</v>
      </c>
      <c r="P189" s="52" t="s">
        <v>46</v>
      </c>
      <c r="Q189" s="52" t="s">
        <v>3752</v>
      </c>
      <c r="R189" s="185">
        <v>25963.486070880157</v>
      </c>
      <c r="S189" s="52" t="s">
        <v>3753</v>
      </c>
      <c r="T189" s="186">
        <v>26.491599999999998</v>
      </c>
      <c r="U189" s="53">
        <v>12</v>
      </c>
      <c r="V189" s="58">
        <f t="shared" si="13"/>
        <v>8253771.4511439446</v>
      </c>
      <c r="W189" s="52" t="s">
        <v>49</v>
      </c>
      <c r="X189" s="52" t="s">
        <v>4365</v>
      </c>
      <c r="Y189" s="52" t="s">
        <v>4366</v>
      </c>
      <c r="Z189" s="52" t="s">
        <v>4367</v>
      </c>
      <c r="AA189" s="52">
        <v>0</v>
      </c>
      <c r="AB189" s="52">
        <v>0</v>
      </c>
      <c r="AC189" s="52">
        <v>0</v>
      </c>
      <c r="AD189" s="21">
        <v>0.8985711123657989</v>
      </c>
      <c r="AE189" s="55">
        <v>0.8985711123657989</v>
      </c>
      <c r="AF189" s="315">
        <f t="shared" si="16"/>
        <v>7416600.5940674888</v>
      </c>
    </row>
    <row r="190" spans="1:32" s="55" customFormat="1" ht="255" x14ac:dyDescent="0.25">
      <c r="A190" s="86" t="s">
        <v>588</v>
      </c>
      <c r="B190" s="117" t="s">
        <v>2270</v>
      </c>
      <c r="C190" s="52"/>
      <c r="D190" s="52" t="s">
        <v>2279</v>
      </c>
      <c r="E190" s="22" t="str">
        <f t="shared" si="14"/>
        <v>SEJUSPPROG</v>
      </c>
      <c r="F190" s="52" t="s">
        <v>729</v>
      </c>
      <c r="G190" s="22" t="str">
        <f t="shared" si="15"/>
        <v>P130SEJUSP</v>
      </c>
      <c r="H190" s="52" t="s">
        <v>1183</v>
      </c>
      <c r="I190" s="22" t="s">
        <v>16</v>
      </c>
      <c r="J190" s="52" t="s">
        <v>1634</v>
      </c>
      <c r="K190" s="22" t="str">
        <f>VLOOKUP(CONCATENATE(A190,LEFT(J190,4)),AGRUPAMENTO!$D$2:$E$6783,2,FALSE)</f>
        <v>Alimentação</v>
      </c>
      <c r="L190" s="52" t="s">
        <v>44</v>
      </c>
      <c r="M190" s="52" t="str">
        <f t="shared" si="12"/>
        <v>FONTESEJUSP</v>
      </c>
      <c r="N190" s="52">
        <v>60</v>
      </c>
      <c r="O190" s="52" t="s">
        <v>2466</v>
      </c>
      <c r="P190" s="52" t="s">
        <v>46</v>
      </c>
      <c r="Q190" s="52" t="s">
        <v>3752</v>
      </c>
      <c r="R190" s="185">
        <v>3335.0746381225204</v>
      </c>
      <c r="S190" s="52" t="s">
        <v>3753</v>
      </c>
      <c r="T190" s="186">
        <v>23.741500000000002</v>
      </c>
      <c r="U190" s="53">
        <v>12</v>
      </c>
      <c r="V190" s="58">
        <f t="shared" si="13"/>
        <v>950156.0942518299</v>
      </c>
      <c r="W190" s="52" t="s">
        <v>49</v>
      </c>
      <c r="X190" s="52" t="s">
        <v>4365</v>
      </c>
      <c r="Y190" s="52" t="s">
        <v>4366</v>
      </c>
      <c r="Z190" s="52" t="s">
        <v>4367</v>
      </c>
      <c r="AA190" s="52">
        <v>0</v>
      </c>
      <c r="AB190" s="52">
        <v>0</v>
      </c>
      <c r="AC190" s="52">
        <v>0</v>
      </c>
      <c r="AD190" s="21">
        <v>0.8985711123657989</v>
      </c>
      <c r="AE190" s="55">
        <v>0.8985711123657989</v>
      </c>
      <c r="AF190" s="315">
        <f t="shared" si="16"/>
        <v>853782.81853300962</v>
      </c>
    </row>
    <row r="191" spans="1:32" s="55" customFormat="1" ht="255" x14ac:dyDescent="0.25">
      <c r="A191" s="86" t="s">
        <v>588</v>
      </c>
      <c r="B191" s="117" t="s">
        <v>2270</v>
      </c>
      <c r="C191" s="52"/>
      <c r="D191" s="52" t="s">
        <v>2279</v>
      </c>
      <c r="E191" s="22" t="str">
        <f t="shared" si="14"/>
        <v>SEJUSPPROG</v>
      </c>
      <c r="F191" s="52" t="s">
        <v>729</v>
      </c>
      <c r="G191" s="22" t="str">
        <f t="shared" si="15"/>
        <v>P130SEJUSP</v>
      </c>
      <c r="H191" s="52" t="s">
        <v>1183</v>
      </c>
      <c r="I191" s="22" t="s">
        <v>16</v>
      </c>
      <c r="J191" s="52" t="s">
        <v>1634</v>
      </c>
      <c r="K191" s="22" t="str">
        <f>VLOOKUP(CONCATENATE(A191,LEFT(J191,4)),AGRUPAMENTO!$D$2:$E$6783,2,FALSE)</f>
        <v>Alimentação</v>
      </c>
      <c r="L191" s="52" t="s">
        <v>44</v>
      </c>
      <c r="M191" s="52" t="str">
        <f t="shared" si="12"/>
        <v>FONTESEJUSP</v>
      </c>
      <c r="N191" s="52">
        <v>60</v>
      </c>
      <c r="O191" s="52" t="s">
        <v>2467</v>
      </c>
      <c r="P191" s="52" t="s">
        <v>46</v>
      </c>
      <c r="Q191" s="52" t="s">
        <v>3752</v>
      </c>
      <c r="R191" s="185">
        <v>2772.2819441966117</v>
      </c>
      <c r="S191" s="52" t="s">
        <v>3753</v>
      </c>
      <c r="T191" s="186">
        <v>23.6797</v>
      </c>
      <c r="U191" s="53">
        <v>12</v>
      </c>
      <c r="V191" s="58">
        <f t="shared" si="13"/>
        <v>787761.65704791003</v>
      </c>
      <c r="W191" s="52" t="s">
        <v>49</v>
      </c>
      <c r="X191" s="52" t="s">
        <v>4365</v>
      </c>
      <c r="Y191" s="52" t="s">
        <v>4366</v>
      </c>
      <c r="Z191" s="52" t="s">
        <v>4367</v>
      </c>
      <c r="AA191" s="52">
        <v>0</v>
      </c>
      <c r="AB191" s="52">
        <v>0</v>
      </c>
      <c r="AC191" s="52">
        <v>0</v>
      </c>
      <c r="AD191" s="21">
        <v>0.8985711123657989</v>
      </c>
      <c r="AE191" s="55">
        <v>0.8985711123657989</v>
      </c>
      <c r="AF191" s="315">
        <f t="shared" si="16"/>
        <v>707859.86845266551</v>
      </c>
    </row>
    <row r="192" spans="1:32" s="55" customFormat="1" ht="255" x14ac:dyDescent="0.25">
      <c r="A192" s="86" t="s">
        <v>588</v>
      </c>
      <c r="B192" s="117" t="s">
        <v>2270</v>
      </c>
      <c r="C192" s="52"/>
      <c r="D192" s="52" t="s">
        <v>2279</v>
      </c>
      <c r="E192" s="22" t="str">
        <f t="shared" si="14"/>
        <v>SEJUSPPROG</v>
      </c>
      <c r="F192" s="52" t="s">
        <v>729</v>
      </c>
      <c r="G192" s="22" t="str">
        <f t="shared" si="15"/>
        <v>P130SEJUSP</v>
      </c>
      <c r="H192" s="52" t="s">
        <v>1183</v>
      </c>
      <c r="I192" s="22" t="s">
        <v>16</v>
      </c>
      <c r="J192" s="52" t="s">
        <v>1634</v>
      </c>
      <c r="K192" s="22" t="str">
        <f>VLOOKUP(CONCATENATE(A192,LEFT(J192,4)),AGRUPAMENTO!$D$2:$E$6783,2,FALSE)</f>
        <v>Alimentação</v>
      </c>
      <c r="L192" s="52" t="s">
        <v>44</v>
      </c>
      <c r="M192" s="52" t="str">
        <f t="shared" si="12"/>
        <v>FONTESEJUSP</v>
      </c>
      <c r="N192" s="52">
        <v>60</v>
      </c>
      <c r="O192" s="52" t="s">
        <v>2468</v>
      </c>
      <c r="P192" s="52" t="s">
        <v>46</v>
      </c>
      <c r="Q192" s="52" t="s">
        <v>3752</v>
      </c>
      <c r="R192" s="185">
        <v>2537.0575391974044</v>
      </c>
      <c r="S192" s="52" t="s">
        <v>3753</v>
      </c>
      <c r="T192" s="186">
        <v>16.995000000000001</v>
      </c>
      <c r="U192" s="53">
        <v>12</v>
      </c>
      <c r="V192" s="58">
        <f t="shared" si="13"/>
        <v>517407.51454391872</v>
      </c>
      <c r="W192" s="52" t="s">
        <v>49</v>
      </c>
      <c r="X192" s="52" t="s">
        <v>4365</v>
      </c>
      <c r="Y192" s="52" t="s">
        <v>4366</v>
      </c>
      <c r="Z192" s="52" t="s">
        <v>4367</v>
      </c>
      <c r="AA192" s="52">
        <v>0</v>
      </c>
      <c r="AB192" s="52">
        <v>0</v>
      </c>
      <c r="AC192" s="52">
        <v>0</v>
      </c>
      <c r="AD192" s="21">
        <v>0.8985711123657989</v>
      </c>
      <c r="AE192" s="55">
        <v>0.8985711123657989</v>
      </c>
      <c r="AF192" s="315">
        <f t="shared" si="16"/>
        <v>464927.4458901523</v>
      </c>
    </row>
    <row r="193" spans="1:32" s="55" customFormat="1" ht="255" x14ac:dyDescent="0.25">
      <c r="A193" s="86" t="s">
        <v>588</v>
      </c>
      <c r="B193" s="117" t="s">
        <v>2270</v>
      </c>
      <c r="C193" s="52"/>
      <c r="D193" s="52" t="s">
        <v>2279</v>
      </c>
      <c r="E193" s="22" t="str">
        <f t="shared" si="14"/>
        <v>SEJUSPPROG</v>
      </c>
      <c r="F193" s="52" t="s">
        <v>729</v>
      </c>
      <c r="G193" s="22" t="str">
        <f t="shared" si="15"/>
        <v>P130SEJUSP</v>
      </c>
      <c r="H193" s="52" t="s">
        <v>1183</v>
      </c>
      <c r="I193" s="22" t="s">
        <v>16</v>
      </c>
      <c r="J193" s="52" t="s">
        <v>1634</v>
      </c>
      <c r="K193" s="22" t="str">
        <f>VLOOKUP(CONCATENATE(A193,LEFT(J193,4)),AGRUPAMENTO!$D$2:$E$6783,2,FALSE)</f>
        <v>Alimentação</v>
      </c>
      <c r="L193" s="52" t="s">
        <v>44</v>
      </c>
      <c r="M193" s="52" t="str">
        <f t="shared" ref="M193:M256" si="17">CONCATENATE("FONTE",A193)</f>
        <v>FONTESEJUSP</v>
      </c>
      <c r="N193" s="52">
        <v>60</v>
      </c>
      <c r="O193" s="52" t="s">
        <v>2469</v>
      </c>
      <c r="P193" s="52" t="s">
        <v>46</v>
      </c>
      <c r="Q193" s="52" t="s">
        <v>3752</v>
      </c>
      <c r="R193" s="185">
        <v>6049.5373068718955</v>
      </c>
      <c r="S193" s="52" t="s">
        <v>3753</v>
      </c>
      <c r="T193" s="186">
        <v>24.6891</v>
      </c>
      <c r="U193" s="53">
        <v>12</v>
      </c>
      <c r="V193" s="58">
        <f t="shared" si="13"/>
        <v>1792291.578277091</v>
      </c>
      <c r="W193" s="52" t="s">
        <v>49</v>
      </c>
      <c r="X193" s="52" t="s">
        <v>4365</v>
      </c>
      <c r="Y193" s="52" t="s">
        <v>4366</v>
      </c>
      <c r="Z193" s="52" t="s">
        <v>4367</v>
      </c>
      <c r="AA193" s="52">
        <v>0</v>
      </c>
      <c r="AB193" s="52">
        <v>0</v>
      </c>
      <c r="AC193" s="52">
        <v>0</v>
      </c>
      <c r="AD193" s="21">
        <v>0.8985711123657989</v>
      </c>
      <c r="AE193" s="55">
        <v>0.8985711123657989</v>
      </c>
      <c r="AF193" s="315">
        <f t="shared" si="16"/>
        <v>1610501.437176299</v>
      </c>
    </row>
    <row r="194" spans="1:32" s="55" customFormat="1" ht="255" x14ac:dyDescent="0.25">
      <c r="A194" s="86" t="s">
        <v>588</v>
      </c>
      <c r="B194" s="117" t="s">
        <v>2270</v>
      </c>
      <c r="C194" s="52"/>
      <c r="D194" s="52" t="s">
        <v>2279</v>
      </c>
      <c r="E194" s="22" t="str">
        <f t="shared" si="14"/>
        <v>SEJUSPPROG</v>
      </c>
      <c r="F194" s="52" t="s">
        <v>729</v>
      </c>
      <c r="G194" s="22" t="str">
        <f t="shared" si="15"/>
        <v>P130SEJUSP</v>
      </c>
      <c r="H194" s="52" t="s">
        <v>1183</v>
      </c>
      <c r="I194" s="22" t="s">
        <v>16</v>
      </c>
      <c r="J194" s="52" t="s">
        <v>1634</v>
      </c>
      <c r="K194" s="22" t="str">
        <f>VLOOKUP(CONCATENATE(A194,LEFT(J194,4)),AGRUPAMENTO!$D$2:$E$6783,2,FALSE)</f>
        <v>Alimentação</v>
      </c>
      <c r="L194" s="52" t="s">
        <v>44</v>
      </c>
      <c r="M194" s="52" t="str">
        <f t="shared" si="17"/>
        <v>FONTESEJUSP</v>
      </c>
      <c r="N194" s="52">
        <v>60</v>
      </c>
      <c r="O194" s="52" t="s">
        <v>2470</v>
      </c>
      <c r="P194" s="52" t="s">
        <v>46</v>
      </c>
      <c r="Q194" s="52" t="s">
        <v>3752</v>
      </c>
      <c r="R194" s="185">
        <v>5694.8981706860386</v>
      </c>
      <c r="S194" s="52" t="s">
        <v>3753</v>
      </c>
      <c r="T194" s="186">
        <v>27.531899999999997</v>
      </c>
      <c r="U194" s="53">
        <v>12</v>
      </c>
      <c r="V194" s="58">
        <f t="shared" ref="V194:V257" si="18">R194*T194*U194</f>
        <v>1881496.4033461311</v>
      </c>
      <c r="W194" s="52" t="s">
        <v>49</v>
      </c>
      <c r="X194" s="52" t="s">
        <v>4365</v>
      </c>
      <c r="Y194" s="52" t="s">
        <v>4366</v>
      </c>
      <c r="Z194" s="52" t="s">
        <v>4367</v>
      </c>
      <c r="AA194" s="52">
        <v>0</v>
      </c>
      <c r="AB194" s="52">
        <v>0</v>
      </c>
      <c r="AC194" s="52">
        <v>0</v>
      </c>
      <c r="AD194" s="21">
        <v>0.8985711123657989</v>
      </c>
      <c r="AE194" s="55">
        <v>0.8985711123657989</v>
      </c>
      <c r="AF194" s="315">
        <f t="shared" si="16"/>
        <v>1690658.3160669829</v>
      </c>
    </row>
    <row r="195" spans="1:32" s="55" customFormat="1" ht="255" x14ac:dyDescent="0.25">
      <c r="A195" s="86" t="s">
        <v>588</v>
      </c>
      <c r="B195" s="117" t="s">
        <v>2270</v>
      </c>
      <c r="C195" s="52"/>
      <c r="D195" s="52" t="s">
        <v>2279</v>
      </c>
      <c r="E195" s="22" t="str">
        <f t="shared" ref="E195:E258" si="19">CONCATENATE(A195,"PROG")</f>
        <v>SEJUSPPROG</v>
      </c>
      <c r="F195" s="52" t="s">
        <v>729</v>
      </c>
      <c r="G195" s="22" t="str">
        <f t="shared" si="15"/>
        <v>P130SEJUSP</v>
      </c>
      <c r="H195" s="52" t="s">
        <v>1183</v>
      </c>
      <c r="I195" s="22" t="s">
        <v>16</v>
      </c>
      <c r="J195" s="52" t="s">
        <v>1634</v>
      </c>
      <c r="K195" s="22" t="str">
        <f>VLOOKUP(CONCATENATE(A195,LEFT(J195,4)),AGRUPAMENTO!$D$2:$E$6783,2,FALSE)</f>
        <v>Alimentação</v>
      </c>
      <c r="L195" s="52" t="s">
        <v>44</v>
      </c>
      <c r="M195" s="52" t="str">
        <f t="shared" si="17"/>
        <v>FONTESEJUSP</v>
      </c>
      <c r="N195" s="52">
        <v>60</v>
      </c>
      <c r="O195" s="52" t="s">
        <v>2471</v>
      </c>
      <c r="P195" s="52" t="s">
        <v>46</v>
      </c>
      <c r="Q195" s="52" t="s">
        <v>3752</v>
      </c>
      <c r="R195" s="185">
        <v>2780.5203775289106</v>
      </c>
      <c r="S195" s="52" t="s">
        <v>3753</v>
      </c>
      <c r="T195" s="186">
        <v>27.573100000000004</v>
      </c>
      <c r="U195" s="53">
        <v>12</v>
      </c>
      <c r="V195" s="58">
        <f t="shared" si="18"/>
        <v>920010.79705970897</v>
      </c>
      <c r="W195" s="52" t="s">
        <v>49</v>
      </c>
      <c r="X195" s="52" t="s">
        <v>4365</v>
      </c>
      <c r="Y195" s="52" t="s">
        <v>4366</v>
      </c>
      <c r="Z195" s="52" t="s">
        <v>4367</v>
      </c>
      <c r="AA195" s="52">
        <v>0</v>
      </c>
      <c r="AB195" s="52">
        <v>0</v>
      </c>
      <c r="AC195" s="52">
        <v>0</v>
      </c>
      <c r="AD195" s="21">
        <v>0.8985711123657989</v>
      </c>
      <c r="AE195" s="55">
        <v>0.8985711123657989</v>
      </c>
      <c r="AF195" s="315">
        <f t="shared" si="16"/>
        <v>826695.12530248798</v>
      </c>
    </row>
    <row r="196" spans="1:32" s="55" customFormat="1" ht="255" x14ac:dyDescent="0.25">
      <c r="A196" s="86" t="s">
        <v>588</v>
      </c>
      <c r="B196" s="117" t="s">
        <v>2270</v>
      </c>
      <c r="C196" s="52"/>
      <c r="D196" s="52" t="s">
        <v>2279</v>
      </c>
      <c r="E196" s="22" t="str">
        <f t="shared" si="19"/>
        <v>SEJUSPPROG</v>
      </c>
      <c r="F196" s="52" t="s">
        <v>729</v>
      </c>
      <c r="G196" s="22" t="str">
        <f t="shared" ref="G196:G259" si="20">CONCATENATE("P",(LEFT(F196,3)),A196)</f>
        <v>P130SEJUSP</v>
      </c>
      <c r="H196" s="52" t="s">
        <v>1183</v>
      </c>
      <c r="I196" s="22" t="s">
        <v>16</v>
      </c>
      <c r="J196" s="52" t="s">
        <v>1634</v>
      </c>
      <c r="K196" s="22" t="str">
        <f>VLOOKUP(CONCATENATE(A196,LEFT(J196,4)),AGRUPAMENTO!$D$2:$E$6783,2,FALSE)</f>
        <v>Alimentação</v>
      </c>
      <c r="L196" s="52" t="s">
        <v>44</v>
      </c>
      <c r="M196" s="52" t="str">
        <f t="shared" si="17"/>
        <v>FONTESEJUSP</v>
      </c>
      <c r="N196" s="52">
        <v>60</v>
      </c>
      <c r="O196" s="52" t="s">
        <v>2472</v>
      </c>
      <c r="P196" s="52" t="s">
        <v>46</v>
      </c>
      <c r="Q196" s="52" t="s">
        <v>3752</v>
      </c>
      <c r="R196" s="185">
        <v>4440.0382286905606</v>
      </c>
      <c r="S196" s="52" t="s">
        <v>3753</v>
      </c>
      <c r="T196" s="186">
        <v>20.424899999999997</v>
      </c>
      <c r="U196" s="53">
        <v>12</v>
      </c>
      <c r="V196" s="58">
        <f t="shared" si="18"/>
        <v>1088248.0418061819</v>
      </c>
      <c r="W196" s="52" t="s">
        <v>49</v>
      </c>
      <c r="X196" s="52" t="s">
        <v>4365</v>
      </c>
      <c r="Y196" s="52" t="s">
        <v>4366</v>
      </c>
      <c r="Z196" s="52" t="s">
        <v>4367</v>
      </c>
      <c r="AA196" s="52">
        <v>0</v>
      </c>
      <c r="AB196" s="52">
        <v>0</v>
      </c>
      <c r="AC196" s="52">
        <v>0</v>
      </c>
      <c r="AD196" s="21">
        <v>0.8985711123657989</v>
      </c>
      <c r="AE196" s="55">
        <v>0.8985711123657989</v>
      </c>
      <c r="AF196" s="315">
        <f t="shared" ref="AF196:AF259" si="21">AE196*V196</f>
        <v>977868.25345568324</v>
      </c>
    </row>
    <row r="197" spans="1:32" s="55" customFormat="1" ht="255" x14ac:dyDescent="0.25">
      <c r="A197" s="86" t="s">
        <v>588</v>
      </c>
      <c r="B197" s="117" t="s">
        <v>2270</v>
      </c>
      <c r="C197" s="52"/>
      <c r="D197" s="52" t="s">
        <v>2279</v>
      </c>
      <c r="E197" s="22" t="str">
        <f t="shared" si="19"/>
        <v>SEJUSPPROG</v>
      </c>
      <c r="F197" s="52" t="s">
        <v>729</v>
      </c>
      <c r="G197" s="22" t="str">
        <f t="shared" si="20"/>
        <v>P130SEJUSP</v>
      </c>
      <c r="H197" s="52" t="s">
        <v>1183</v>
      </c>
      <c r="I197" s="22" t="s">
        <v>16</v>
      </c>
      <c r="J197" s="52" t="s">
        <v>1634</v>
      </c>
      <c r="K197" s="22" t="str">
        <f>VLOOKUP(CONCATENATE(A197,LEFT(J197,4)),AGRUPAMENTO!$D$2:$E$6783,2,FALSE)</f>
        <v>Alimentação</v>
      </c>
      <c r="L197" s="52" t="s">
        <v>44</v>
      </c>
      <c r="M197" s="52" t="str">
        <f t="shared" si="17"/>
        <v>FONTESEJUSP</v>
      </c>
      <c r="N197" s="52">
        <v>60</v>
      </c>
      <c r="O197" s="52" t="s">
        <v>2473</v>
      </c>
      <c r="P197" s="52" t="s">
        <v>46</v>
      </c>
      <c r="Q197" s="52" t="s">
        <v>3752</v>
      </c>
      <c r="R197" s="185">
        <v>4355.5810777747638</v>
      </c>
      <c r="S197" s="52" t="s">
        <v>3753</v>
      </c>
      <c r="T197" s="186">
        <v>16.5212</v>
      </c>
      <c r="U197" s="53">
        <v>12</v>
      </c>
      <c r="V197" s="58">
        <f t="shared" si="18"/>
        <v>863513.11322558927</v>
      </c>
      <c r="W197" s="52" t="s">
        <v>49</v>
      </c>
      <c r="X197" s="52" t="s">
        <v>4365</v>
      </c>
      <c r="Y197" s="52" t="s">
        <v>4366</v>
      </c>
      <c r="Z197" s="52" t="s">
        <v>4367</v>
      </c>
      <c r="AA197" s="52">
        <v>0</v>
      </c>
      <c r="AB197" s="52">
        <v>0</v>
      </c>
      <c r="AC197" s="52">
        <v>0</v>
      </c>
      <c r="AD197" s="21">
        <v>0.8985711123657989</v>
      </c>
      <c r="AE197" s="55">
        <v>0.8985711123657989</v>
      </c>
      <c r="AF197" s="315">
        <f t="shared" si="21"/>
        <v>775927.93869357184</v>
      </c>
    </row>
    <row r="198" spans="1:32" s="55" customFormat="1" ht="255" x14ac:dyDescent="0.25">
      <c r="A198" s="86" t="s">
        <v>588</v>
      </c>
      <c r="B198" s="117" t="s">
        <v>2270</v>
      </c>
      <c r="C198" s="52"/>
      <c r="D198" s="52" t="s">
        <v>2279</v>
      </c>
      <c r="E198" s="22" t="str">
        <f t="shared" si="19"/>
        <v>SEJUSPPROG</v>
      </c>
      <c r="F198" s="52" t="s">
        <v>729</v>
      </c>
      <c r="G198" s="22" t="str">
        <f t="shared" si="20"/>
        <v>P130SEJUSP</v>
      </c>
      <c r="H198" s="52" t="s">
        <v>1183</v>
      </c>
      <c r="I198" s="22" t="s">
        <v>16</v>
      </c>
      <c r="J198" s="52" t="s">
        <v>1634</v>
      </c>
      <c r="K198" s="22" t="str">
        <f>VLOOKUP(CONCATENATE(A198,LEFT(J198,4)),AGRUPAMENTO!$D$2:$E$6783,2,FALSE)</f>
        <v>Alimentação</v>
      </c>
      <c r="L198" s="52" t="s">
        <v>44</v>
      </c>
      <c r="M198" s="52" t="str">
        <f t="shared" si="17"/>
        <v>FONTESEJUSP</v>
      </c>
      <c r="N198" s="52">
        <v>60</v>
      </c>
      <c r="O198" s="52" t="s">
        <v>2474</v>
      </c>
      <c r="P198" s="52" t="s">
        <v>46</v>
      </c>
      <c r="Q198" s="52" t="s">
        <v>3752</v>
      </c>
      <c r="R198" s="185">
        <v>2619.0112812357779</v>
      </c>
      <c r="S198" s="52" t="s">
        <v>3753</v>
      </c>
      <c r="T198" s="186">
        <v>22.721799999999998</v>
      </c>
      <c r="U198" s="53">
        <v>12</v>
      </c>
      <c r="V198" s="58">
        <f t="shared" si="18"/>
        <v>714103.80635979713</v>
      </c>
      <c r="W198" s="52" t="s">
        <v>49</v>
      </c>
      <c r="X198" s="52" t="s">
        <v>4365</v>
      </c>
      <c r="Y198" s="52" t="s">
        <v>4366</v>
      </c>
      <c r="Z198" s="52" t="s">
        <v>4367</v>
      </c>
      <c r="AA198" s="52">
        <v>0</v>
      </c>
      <c r="AB198" s="52">
        <v>0</v>
      </c>
      <c r="AC198" s="52">
        <v>0</v>
      </c>
      <c r="AD198" s="21">
        <v>0.8985711123657989</v>
      </c>
      <c r="AE198" s="55">
        <v>0.8985711123657989</v>
      </c>
      <c r="AF198" s="315">
        <f t="shared" si="21"/>
        <v>641673.05162537401</v>
      </c>
    </row>
    <row r="199" spans="1:32" s="55" customFormat="1" ht="255" x14ac:dyDescent="0.25">
      <c r="A199" s="86" t="s">
        <v>588</v>
      </c>
      <c r="B199" s="117" t="s">
        <v>2270</v>
      </c>
      <c r="C199" s="52"/>
      <c r="D199" s="52" t="s">
        <v>2279</v>
      </c>
      <c r="E199" s="22" t="str">
        <f t="shared" si="19"/>
        <v>SEJUSPPROG</v>
      </c>
      <c r="F199" s="52" t="s">
        <v>729</v>
      </c>
      <c r="G199" s="22" t="str">
        <f t="shared" si="20"/>
        <v>P130SEJUSP</v>
      </c>
      <c r="H199" s="52" t="s">
        <v>1183</v>
      </c>
      <c r="I199" s="22" t="s">
        <v>16</v>
      </c>
      <c r="J199" s="52" t="s">
        <v>1634</v>
      </c>
      <c r="K199" s="22" t="str">
        <f>VLOOKUP(CONCATENATE(A199,LEFT(J199,4)),AGRUPAMENTO!$D$2:$E$6783,2,FALSE)</f>
        <v>Alimentação</v>
      </c>
      <c r="L199" s="52" t="s">
        <v>44</v>
      </c>
      <c r="M199" s="52" t="str">
        <f t="shared" si="17"/>
        <v>FONTESEJUSP</v>
      </c>
      <c r="N199" s="52">
        <v>60</v>
      </c>
      <c r="O199" s="52" t="s">
        <v>2475</v>
      </c>
      <c r="P199" s="52" t="s">
        <v>46</v>
      </c>
      <c r="Q199" s="52" t="s">
        <v>3752</v>
      </c>
      <c r="R199" s="185">
        <v>4765.0889081144733</v>
      </c>
      <c r="S199" s="52" t="s">
        <v>3753</v>
      </c>
      <c r="T199" s="186">
        <v>22.464300000000001</v>
      </c>
      <c r="U199" s="53">
        <v>12</v>
      </c>
      <c r="V199" s="58">
        <f t="shared" si="18"/>
        <v>1284532.6411026716</v>
      </c>
      <c r="W199" s="52" t="s">
        <v>49</v>
      </c>
      <c r="X199" s="52" t="s">
        <v>4365</v>
      </c>
      <c r="Y199" s="52" t="s">
        <v>4366</v>
      </c>
      <c r="Z199" s="52" t="s">
        <v>4367</v>
      </c>
      <c r="AA199" s="52">
        <v>0</v>
      </c>
      <c r="AB199" s="52">
        <v>0</v>
      </c>
      <c r="AC199" s="52">
        <v>0</v>
      </c>
      <c r="AD199" s="21">
        <v>0.8985711123657989</v>
      </c>
      <c r="AE199" s="55">
        <v>0.8985711123657989</v>
      </c>
      <c r="AF199" s="315">
        <f t="shared" si="21"/>
        <v>1154243.9241858053</v>
      </c>
    </row>
    <row r="200" spans="1:32" s="55" customFormat="1" ht="255" x14ac:dyDescent="0.25">
      <c r="A200" s="86" t="s">
        <v>588</v>
      </c>
      <c r="B200" s="117" t="s">
        <v>2270</v>
      </c>
      <c r="C200" s="52"/>
      <c r="D200" s="52" t="s">
        <v>2279</v>
      </c>
      <c r="E200" s="22" t="str">
        <f t="shared" si="19"/>
        <v>SEJUSPPROG</v>
      </c>
      <c r="F200" s="52" t="s">
        <v>729</v>
      </c>
      <c r="G200" s="22" t="str">
        <f t="shared" si="20"/>
        <v>P130SEJUSP</v>
      </c>
      <c r="H200" s="52" t="s">
        <v>1183</v>
      </c>
      <c r="I200" s="22" t="s">
        <v>16</v>
      </c>
      <c r="J200" s="52" t="s">
        <v>1634</v>
      </c>
      <c r="K200" s="22" t="str">
        <f>VLOOKUP(CONCATENATE(A200,LEFT(J200,4)),AGRUPAMENTO!$D$2:$E$6783,2,FALSE)</f>
        <v>Alimentação</v>
      </c>
      <c r="L200" s="52" t="s">
        <v>44</v>
      </c>
      <c r="M200" s="52" t="str">
        <f t="shared" si="17"/>
        <v>FONTESEJUSP</v>
      </c>
      <c r="N200" s="52">
        <v>60</v>
      </c>
      <c r="O200" s="52" t="s">
        <v>2476</v>
      </c>
      <c r="P200" s="52" t="s">
        <v>46</v>
      </c>
      <c r="Q200" s="52" t="s">
        <v>3752</v>
      </c>
      <c r="R200" s="185">
        <v>3500.9714064562645</v>
      </c>
      <c r="S200" s="52" t="s">
        <v>3753</v>
      </c>
      <c r="T200" s="186">
        <v>25.770600000000005</v>
      </c>
      <c r="U200" s="53">
        <v>12</v>
      </c>
      <c r="V200" s="58">
        <f t="shared" si="18"/>
        <v>1082665.6047266619</v>
      </c>
      <c r="W200" s="52" t="s">
        <v>49</v>
      </c>
      <c r="X200" s="52" t="s">
        <v>4365</v>
      </c>
      <c r="Y200" s="52" t="s">
        <v>4366</v>
      </c>
      <c r="Z200" s="52" t="s">
        <v>4367</v>
      </c>
      <c r="AA200" s="52">
        <v>0</v>
      </c>
      <c r="AB200" s="52">
        <v>0</v>
      </c>
      <c r="AC200" s="52">
        <v>0</v>
      </c>
      <c r="AD200" s="21">
        <v>0.8985711123657989</v>
      </c>
      <c r="AE200" s="55">
        <v>0.8985711123657989</v>
      </c>
      <c r="AF200" s="315">
        <f t="shared" si="21"/>
        <v>972852.03675942693</v>
      </c>
    </row>
    <row r="201" spans="1:32" ht="255" x14ac:dyDescent="0.25">
      <c r="A201" s="86" t="s">
        <v>588</v>
      </c>
      <c r="B201" s="117" t="s">
        <v>2270</v>
      </c>
      <c r="C201" s="52"/>
      <c r="D201" s="52" t="s">
        <v>2279</v>
      </c>
      <c r="E201" s="22" t="str">
        <f t="shared" si="19"/>
        <v>SEJUSPPROG</v>
      </c>
      <c r="F201" s="52" t="s">
        <v>729</v>
      </c>
      <c r="G201" s="22" t="str">
        <f t="shared" si="20"/>
        <v>P130SEJUSP</v>
      </c>
      <c r="H201" s="52" t="s">
        <v>1183</v>
      </c>
      <c r="I201" s="22" t="s">
        <v>16</v>
      </c>
      <c r="J201" s="52" t="s">
        <v>1634</v>
      </c>
      <c r="K201" s="22" t="str">
        <f>VLOOKUP(CONCATENATE(A201,LEFT(J201,4)),AGRUPAMENTO!$D$2:$E$6783,2,FALSE)</f>
        <v>Alimentação</v>
      </c>
      <c r="L201" s="52" t="s">
        <v>44</v>
      </c>
      <c r="M201" s="52" t="str">
        <f t="shared" si="17"/>
        <v>FONTESEJUSP</v>
      </c>
      <c r="N201" s="52">
        <v>60</v>
      </c>
      <c r="O201" s="52" t="s">
        <v>2477</v>
      </c>
      <c r="P201" s="52" t="s">
        <v>46</v>
      </c>
      <c r="Q201" s="52" t="s">
        <v>3752</v>
      </c>
      <c r="R201" s="185">
        <v>3312.236979308364</v>
      </c>
      <c r="S201" s="52" t="s">
        <v>3753</v>
      </c>
      <c r="T201" s="186">
        <v>28.8812</v>
      </c>
      <c r="U201" s="53">
        <v>12</v>
      </c>
      <c r="V201" s="58">
        <f t="shared" si="18"/>
        <v>1147936.5437616087</v>
      </c>
      <c r="W201" s="52" t="s">
        <v>49</v>
      </c>
      <c r="X201" s="52" t="s">
        <v>4365</v>
      </c>
      <c r="Y201" s="52" t="s">
        <v>4366</v>
      </c>
      <c r="Z201" s="52" t="s">
        <v>4367</v>
      </c>
      <c r="AA201" s="52">
        <v>0</v>
      </c>
      <c r="AB201" s="52">
        <v>0</v>
      </c>
      <c r="AC201" s="52">
        <v>0</v>
      </c>
      <c r="AD201" s="21">
        <v>0.8985711123657989</v>
      </c>
      <c r="AE201" s="54">
        <v>0.8985711123657989</v>
      </c>
      <c r="AF201" s="315">
        <f t="shared" si="21"/>
        <v>1031502.6170532192</v>
      </c>
    </row>
    <row r="202" spans="1:32" ht="255" x14ac:dyDescent="0.25">
      <c r="A202" s="86" t="s">
        <v>588</v>
      </c>
      <c r="B202" s="117" t="s">
        <v>2270</v>
      </c>
      <c r="C202" s="52"/>
      <c r="D202" s="52" t="s">
        <v>2279</v>
      </c>
      <c r="E202" s="22" t="str">
        <f t="shared" si="19"/>
        <v>SEJUSPPROG</v>
      </c>
      <c r="F202" s="52" t="s">
        <v>729</v>
      </c>
      <c r="G202" s="22" t="str">
        <f t="shared" si="20"/>
        <v>P130SEJUSP</v>
      </c>
      <c r="H202" s="52" t="s">
        <v>1183</v>
      </c>
      <c r="I202" s="22" t="s">
        <v>16</v>
      </c>
      <c r="J202" s="52" t="s">
        <v>1634</v>
      </c>
      <c r="K202" s="22" t="str">
        <f>VLOOKUP(CONCATENATE(A202,LEFT(J202,4)),AGRUPAMENTO!$D$2:$E$6783,2,FALSE)</f>
        <v>Alimentação</v>
      </c>
      <c r="L202" s="52" t="s">
        <v>44</v>
      </c>
      <c r="M202" s="52" t="str">
        <f t="shared" si="17"/>
        <v>FONTESEJUSP</v>
      </c>
      <c r="N202" s="52">
        <v>60</v>
      </c>
      <c r="O202" s="52" t="s">
        <v>2478</v>
      </c>
      <c r="P202" s="52" t="s">
        <v>46</v>
      </c>
      <c r="Q202" s="52" t="s">
        <v>3752</v>
      </c>
      <c r="R202" s="185">
        <v>21913.937617509484</v>
      </c>
      <c r="S202" s="52" t="s">
        <v>3753</v>
      </c>
      <c r="T202" s="186">
        <v>16.995000000000001</v>
      </c>
      <c r="U202" s="53">
        <v>12</v>
      </c>
      <c r="V202" s="58">
        <f t="shared" si="18"/>
        <v>4469128.4377148841</v>
      </c>
      <c r="W202" s="52" t="s">
        <v>49</v>
      </c>
      <c r="X202" s="52" t="s">
        <v>4365</v>
      </c>
      <c r="Y202" s="52" t="s">
        <v>4366</v>
      </c>
      <c r="Z202" s="52" t="s">
        <v>4367</v>
      </c>
      <c r="AA202" s="52">
        <v>0</v>
      </c>
      <c r="AB202" s="52">
        <v>0</v>
      </c>
      <c r="AC202" s="52">
        <v>0</v>
      </c>
      <c r="AD202" s="21">
        <v>0.8985711123657989</v>
      </c>
      <c r="AE202" s="54">
        <v>0.8985711123657989</v>
      </c>
      <c r="AF202" s="315">
        <f t="shared" si="21"/>
        <v>4015829.7115830882</v>
      </c>
    </row>
    <row r="203" spans="1:32" ht="255" x14ac:dyDescent="0.25">
      <c r="A203" s="86" t="s">
        <v>588</v>
      </c>
      <c r="B203" s="117" t="s">
        <v>2270</v>
      </c>
      <c r="C203" s="52"/>
      <c r="D203" s="52" t="s">
        <v>2279</v>
      </c>
      <c r="E203" s="22" t="str">
        <f t="shared" si="19"/>
        <v>SEJUSPPROG</v>
      </c>
      <c r="F203" s="52" t="s">
        <v>729</v>
      </c>
      <c r="G203" s="22" t="str">
        <f t="shared" si="20"/>
        <v>P130SEJUSP</v>
      </c>
      <c r="H203" s="52" t="s">
        <v>1183</v>
      </c>
      <c r="I203" s="22" t="s">
        <v>16</v>
      </c>
      <c r="J203" s="52" t="s">
        <v>1634</v>
      </c>
      <c r="K203" s="22" t="str">
        <f>VLOOKUP(CONCATENATE(A203,LEFT(J203,4)),AGRUPAMENTO!$D$2:$E$6783,2,FALSE)</f>
        <v>Alimentação</v>
      </c>
      <c r="L203" s="52" t="s">
        <v>44</v>
      </c>
      <c r="M203" s="52" t="str">
        <f t="shared" si="17"/>
        <v>FONTESEJUSP</v>
      </c>
      <c r="N203" s="52">
        <v>60</v>
      </c>
      <c r="O203" s="52" t="s">
        <v>2479</v>
      </c>
      <c r="P203" s="52" t="s">
        <v>46</v>
      </c>
      <c r="Q203" s="52" t="s">
        <v>3752</v>
      </c>
      <c r="R203" s="185">
        <v>3603.590068654144</v>
      </c>
      <c r="S203" s="52" t="s">
        <v>3753</v>
      </c>
      <c r="T203" s="186">
        <v>29.828800000000001</v>
      </c>
      <c r="U203" s="53">
        <v>12</v>
      </c>
      <c r="V203" s="58">
        <f t="shared" si="18"/>
        <v>1289889.2092784487</v>
      </c>
      <c r="W203" s="52" t="s">
        <v>49</v>
      </c>
      <c r="X203" s="52" t="s">
        <v>4365</v>
      </c>
      <c r="Y203" s="52" t="s">
        <v>4366</v>
      </c>
      <c r="Z203" s="52" t="s">
        <v>4367</v>
      </c>
      <c r="AA203" s="52">
        <v>0</v>
      </c>
      <c r="AB203" s="52">
        <v>0</v>
      </c>
      <c r="AC203" s="52">
        <v>0</v>
      </c>
      <c r="AD203" s="21">
        <v>0.8985711123657989</v>
      </c>
      <c r="AE203" s="54">
        <v>0.8985711123657989</v>
      </c>
      <c r="AF203" s="315">
        <f t="shared" si="21"/>
        <v>1159057.1816099763</v>
      </c>
    </row>
    <row r="204" spans="1:32" ht="255" x14ac:dyDescent="0.25">
      <c r="A204" s="86" t="s">
        <v>588</v>
      </c>
      <c r="B204" s="117" t="s">
        <v>2270</v>
      </c>
      <c r="C204" s="52"/>
      <c r="D204" s="52" t="s">
        <v>2279</v>
      </c>
      <c r="E204" s="22" t="str">
        <f t="shared" si="19"/>
        <v>SEJUSPPROG</v>
      </c>
      <c r="F204" s="52" t="s">
        <v>729</v>
      </c>
      <c r="G204" s="22" t="str">
        <f t="shared" si="20"/>
        <v>P130SEJUSP</v>
      </c>
      <c r="H204" s="52" t="s">
        <v>1183</v>
      </c>
      <c r="I204" s="22" t="s">
        <v>16</v>
      </c>
      <c r="J204" s="52" t="s">
        <v>1634</v>
      </c>
      <c r="K204" s="22" t="str">
        <f>VLOOKUP(CONCATENATE(A204,LEFT(J204,4)),AGRUPAMENTO!$D$2:$E$6783,2,FALSE)</f>
        <v>Alimentação</v>
      </c>
      <c r="L204" s="52" t="s">
        <v>44</v>
      </c>
      <c r="M204" s="52" t="str">
        <f t="shared" si="17"/>
        <v>FONTESEJUSP</v>
      </c>
      <c r="N204" s="52">
        <v>60</v>
      </c>
      <c r="O204" s="52" t="s">
        <v>2480</v>
      </c>
      <c r="P204" s="52" t="s">
        <v>46</v>
      </c>
      <c r="Q204" s="52" t="s">
        <v>3752</v>
      </c>
      <c r="R204" s="185">
        <v>43414.520323946563</v>
      </c>
      <c r="S204" s="52" t="s">
        <v>3753</v>
      </c>
      <c r="T204" s="186">
        <v>25.657299999999999</v>
      </c>
      <c r="U204" s="53">
        <v>12</v>
      </c>
      <c r="V204" s="58">
        <f t="shared" si="18"/>
        <v>13366792.467691131</v>
      </c>
      <c r="W204" s="52" t="s">
        <v>49</v>
      </c>
      <c r="X204" s="52" t="s">
        <v>4365</v>
      </c>
      <c r="Y204" s="52" t="s">
        <v>4366</v>
      </c>
      <c r="Z204" s="52" t="s">
        <v>4367</v>
      </c>
      <c r="AA204" s="52">
        <v>0</v>
      </c>
      <c r="AB204" s="52">
        <v>0</v>
      </c>
      <c r="AC204" s="52">
        <v>0</v>
      </c>
      <c r="AD204" s="21">
        <v>0.8985711123657989</v>
      </c>
      <c r="AE204" s="54">
        <v>0.8985711123657989</v>
      </c>
      <c r="AF204" s="315">
        <f t="shared" si="21"/>
        <v>12011013.576456001</v>
      </c>
    </row>
    <row r="205" spans="1:32" ht="255" x14ac:dyDescent="0.25">
      <c r="A205" s="86" t="s">
        <v>588</v>
      </c>
      <c r="B205" s="117" t="s">
        <v>2270</v>
      </c>
      <c r="C205" s="52"/>
      <c r="D205" s="52" t="s">
        <v>2279</v>
      </c>
      <c r="E205" s="22" t="str">
        <f t="shared" si="19"/>
        <v>SEJUSPPROG</v>
      </c>
      <c r="F205" s="52" t="s">
        <v>729</v>
      </c>
      <c r="G205" s="22" t="str">
        <f t="shared" si="20"/>
        <v>P130SEJUSP</v>
      </c>
      <c r="H205" s="52" t="s">
        <v>1183</v>
      </c>
      <c r="I205" s="22" t="s">
        <v>16</v>
      </c>
      <c r="J205" s="52" t="s">
        <v>1634</v>
      </c>
      <c r="K205" s="22" t="str">
        <f>VLOOKUP(CONCATENATE(A205,LEFT(J205,4)),AGRUPAMENTO!$D$2:$E$6783,2,FALSE)</f>
        <v>Alimentação</v>
      </c>
      <c r="L205" s="52" t="s">
        <v>44</v>
      </c>
      <c r="M205" s="52" t="str">
        <f t="shared" si="17"/>
        <v>FONTESEJUSP</v>
      </c>
      <c r="N205" s="52">
        <v>60</v>
      </c>
      <c r="O205" s="52" t="s">
        <v>2481</v>
      </c>
      <c r="P205" s="52" t="s">
        <v>46</v>
      </c>
      <c r="Q205" s="52" t="s">
        <v>3752</v>
      </c>
      <c r="R205" s="185">
        <v>38728.594540153848</v>
      </c>
      <c r="S205" s="52" t="s">
        <v>3753</v>
      </c>
      <c r="T205" s="186">
        <v>25.657299999999999</v>
      </c>
      <c r="U205" s="53">
        <v>12</v>
      </c>
      <c r="V205" s="58">
        <f t="shared" si="18"/>
        <v>11924054.024341071</v>
      </c>
      <c r="W205" s="52" t="s">
        <v>49</v>
      </c>
      <c r="X205" s="52" t="s">
        <v>4365</v>
      </c>
      <c r="Y205" s="52" t="s">
        <v>4366</v>
      </c>
      <c r="Z205" s="52" t="s">
        <v>4367</v>
      </c>
      <c r="AA205" s="52">
        <v>0</v>
      </c>
      <c r="AB205" s="52">
        <v>0</v>
      </c>
      <c r="AC205" s="52">
        <v>0</v>
      </c>
      <c r="AD205" s="21">
        <v>0.8985711123657989</v>
      </c>
      <c r="AE205" s="54">
        <v>0.8985711123657989</v>
      </c>
      <c r="AF205" s="315">
        <f t="shared" si="21"/>
        <v>10714610.488562036</v>
      </c>
    </row>
    <row r="206" spans="1:32" ht="255" x14ac:dyDescent="0.25">
      <c r="A206" s="86" t="s">
        <v>588</v>
      </c>
      <c r="B206" s="117" t="s">
        <v>2270</v>
      </c>
      <c r="C206" s="52"/>
      <c r="D206" s="52" t="s">
        <v>2279</v>
      </c>
      <c r="E206" s="22" t="str">
        <f t="shared" si="19"/>
        <v>SEJUSPPROG</v>
      </c>
      <c r="F206" s="52" t="s">
        <v>729</v>
      </c>
      <c r="G206" s="22" t="str">
        <f t="shared" si="20"/>
        <v>P130SEJUSP</v>
      </c>
      <c r="H206" s="52" t="s">
        <v>1183</v>
      </c>
      <c r="I206" s="22" t="s">
        <v>16</v>
      </c>
      <c r="J206" s="52" t="s">
        <v>1634</v>
      </c>
      <c r="K206" s="22" t="str">
        <f>VLOOKUP(CONCATENATE(A206,LEFT(J206,4)),AGRUPAMENTO!$D$2:$E$6783,2,FALSE)</f>
        <v>Alimentação</v>
      </c>
      <c r="L206" s="52" t="s">
        <v>44</v>
      </c>
      <c r="M206" s="52" t="str">
        <f t="shared" si="17"/>
        <v>FONTESEJUSP</v>
      </c>
      <c r="N206" s="52">
        <v>60</v>
      </c>
      <c r="O206" s="52" t="s">
        <v>2482</v>
      </c>
      <c r="P206" s="52" t="s">
        <v>46</v>
      </c>
      <c r="Q206" s="52" t="s">
        <v>3752</v>
      </c>
      <c r="R206" s="185">
        <v>14859.814300059405</v>
      </c>
      <c r="S206" s="52" t="s">
        <v>3753</v>
      </c>
      <c r="T206" s="186">
        <v>21.207699999999999</v>
      </c>
      <c r="U206" s="53">
        <v>12</v>
      </c>
      <c r="V206" s="58">
        <f t="shared" si="18"/>
        <v>3781709.804776438</v>
      </c>
      <c r="W206" s="52" t="s">
        <v>49</v>
      </c>
      <c r="X206" s="52" t="s">
        <v>4365</v>
      </c>
      <c r="Y206" s="52" t="s">
        <v>4366</v>
      </c>
      <c r="Z206" s="52" t="s">
        <v>4367</v>
      </c>
      <c r="AA206" s="52">
        <v>0</v>
      </c>
      <c r="AB206" s="52">
        <v>0</v>
      </c>
      <c r="AC206" s="52">
        <v>0</v>
      </c>
      <c r="AD206" s="21">
        <v>0.8985711123657989</v>
      </c>
      <c r="AE206" s="54">
        <v>0.8985711123657989</v>
      </c>
      <c r="AF206" s="315">
        <f t="shared" si="21"/>
        <v>3398135.185922612</v>
      </c>
    </row>
    <row r="207" spans="1:32" ht="255" x14ac:dyDescent="0.25">
      <c r="A207" s="86" t="s">
        <v>588</v>
      </c>
      <c r="B207" s="117" t="s">
        <v>2270</v>
      </c>
      <c r="C207" s="52"/>
      <c r="D207" s="52" t="s">
        <v>2279</v>
      </c>
      <c r="E207" s="22" t="str">
        <f t="shared" si="19"/>
        <v>SEJUSPPROG</v>
      </c>
      <c r="F207" s="52" t="s">
        <v>729</v>
      </c>
      <c r="G207" s="22" t="str">
        <f t="shared" si="20"/>
        <v>P130SEJUSP</v>
      </c>
      <c r="H207" s="52" t="s">
        <v>1183</v>
      </c>
      <c r="I207" s="22" t="s">
        <v>16</v>
      </c>
      <c r="J207" s="52" t="s">
        <v>1634</v>
      </c>
      <c r="K207" s="22" t="str">
        <f>VLOOKUP(CONCATENATE(A207,LEFT(J207,4)),AGRUPAMENTO!$D$2:$E$6783,2,FALSE)</f>
        <v>Alimentação</v>
      </c>
      <c r="L207" s="52" t="s">
        <v>44</v>
      </c>
      <c r="M207" s="52" t="str">
        <f t="shared" si="17"/>
        <v>FONTESEJUSP</v>
      </c>
      <c r="N207" s="52">
        <v>60</v>
      </c>
      <c r="O207" s="52" t="s">
        <v>2483</v>
      </c>
      <c r="P207" s="52" t="s">
        <v>46</v>
      </c>
      <c r="Q207" s="52" t="s">
        <v>3752</v>
      </c>
      <c r="R207" s="185">
        <v>9812.1815434393466</v>
      </c>
      <c r="S207" s="52" t="s">
        <v>3753</v>
      </c>
      <c r="T207" s="186">
        <v>18.7151</v>
      </c>
      <c r="U207" s="53">
        <v>12</v>
      </c>
      <c r="V207" s="58">
        <f t="shared" si="18"/>
        <v>2203631.5056434604</v>
      </c>
      <c r="W207" s="52" t="s">
        <v>49</v>
      </c>
      <c r="X207" s="52" t="s">
        <v>4365</v>
      </c>
      <c r="Y207" s="52" t="s">
        <v>4366</v>
      </c>
      <c r="Z207" s="52" t="s">
        <v>4367</v>
      </c>
      <c r="AA207" s="52">
        <v>0</v>
      </c>
      <c r="AB207" s="52">
        <v>0</v>
      </c>
      <c r="AC207" s="52">
        <v>0</v>
      </c>
      <c r="AD207" s="21">
        <v>0.8985711123657989</v>
      </c>
      <c r="AE207" s="54">
        <v>0.8985711123657989</v>
      </c>
      <c r="AF207" s="315">
        <f t="shared" si="21"/>
        <v>1980119.6132703645</v>
      </c>
    </row>
    <row r="208" spans="1:32" ht="255" x14ac:dyDescent="0.25">
      <c r="A208" s="86" t="s">
        <v>588</v>
      </c>
      <c r="B208" s="117" t="s">
        <v>2270</v>
      </c>
      <c r="C208" s="52"/>
      <c r="D208" s="52" t="s">
        <v>2279</v>
      </c>
      <c r="E208" s="22" t="str">
        <f t="shared" si="19"/>
        <v>SEJUSPPROG</v>
      </c>
      <c r="F208" s="52" t="s">
        <v>729</v>
      </c>
      <c r="G208" s="22" t="str">
        <f t="shared" si="20"/>
        <v>P130SEJUSP</v>
      </c>
      <c r="H208" s="52" t="s">
        <v>1183</v>
      </c>
      <c r="I208" s="22" t="s">
        <v>16</v>
      </c>
      <c r="J208" s="52" t="s">
        <v>1634</v>
      </c>
      <c r="K208" s="22" t="str">
        <f>VLOOKUP(CONCATENATE(A208,LEFT(J208,4)),AGRUPAMENTO!$D$2:$E$6783,2,FALSE)</f>
        <v>Alimentação</v>
      </c>
      <c r="L208" s="52" t="s">
        <v>44</v>
      </c>
      <c r="M208" s="52" t="str">
        <f t="shared" si="17"/>
        <v>FONTESEJUSP</v>
      </c>
      <c r="N208" s="52">
        <v>60</v>
      </c>
      <c r="O208" s="52" t="s">
        <v>2484</v>
      </c>
      <c r="P208" s="52" t="s">
        <v>46</v>
      </c>
      <c r="Q208" s="52" t="s">
        <v>3752</v>
      </c>
      <c r="R208" s="185">
        <v>6095.5111041038217</v>
      </c>
      <c r="S208" s="52" t="s">
        <v>3753</v>
      </c>
      <c r="T208" s="186">
        <v>24.9466</v>
      </c>
      <c r="U208" s="53">
        <v>12</v>
      </c>
      <c r="V208" s="58">
        <f t="shared" si="18"/>
        <v>1824747.3277156369</v>
      </c>
      <c r="W208" s="52" t="s">
        <v>49</v>
      </c>
      <c r="X208" s="52" t="s">
        <v>4365</v>
      </c>
      <c r="Y208" s="52" t="s">
        <v>4366</v>
      </c>
      <c r="Z208" s="52" t="s">
        <v>4367</v>
      </c>
      <c r="AA208" s="52">
        <v>0</v>
      </c>
      <c r="AB208" s="52">
        <v>0</v>
      </c>
      <c r="AC208" s="52">
        <v>0</v>
      </c>
      <c r="AD208" s="21">
        <v>0.8985711123657989</v>
      </c>
      <c r="AE208" s="54">
        <v>0.8985711123657989</v>
      </c>
      <c r="AF208" s="315">
        <f t="shared" si="21"/>
        <v>1639665.2360519588</v>
      </c>
    </row>
    <row r="209" spans="1:32" ht="255" x14ac:dyDescent="0.25">
      <c r="A209" s="86" t="s">
        <v>588</v>
      </c>
      <c r="B209" s="117" t="s">
        <v>2270</v>
      </c>
      <c r="C209" s="52"/>
      <c r="D209" s="52" t="s">
        <v>2279</v>
      </c>
      <c r="E209" s="22" t="str">
        <f t="shared" si="19"/>
        <v>SEJUSPPROG</v>
      </c>
      <c r="F209" s="52" t="s">
        <v>729</v>
      </c>
      <c r="G209" s="22" t="str">
        <f t="shared" si="20"/>
        <v>P130SEJUSP</v>
      </c>
      <c r="H209" s="52" t="s">
        <v>1183</v>
      </c>
      <c r="I209" s="22" t="s">
        <v>16</v>
      </c>
      <c r="J209" s="52" t="s">
        <v>1634</v>
      </c>
      <c r="K209" s="22" t="str">
        <f>VLOOKUP(CONCATENATE(A209,LEFT(J209,4)),AGRUPAMENTO!$D$2:$E$6783,2,FALSE)</f>
        <v>Alimentação</v>
      </c>
      <c r="L209" s="52" t="s">
        <v>44</v>
      </c>
      <c r="M209" s="52" t="str">
        <f t="shared" si="17"/>
        <v>FONTESEJUSP</v>
      </c>
      <c r="N209" s="52">
        <v>60</v>
      </c>
      <c r="O209" s="52" t="s">
        <v>2485</v>
      </c>
      <c r="P209" s="52" t="s">
        <v>46</v>
      </c>
      <c r="Q209" s="52" t="s">
        <v>3752</v>
      </c>
      <c r="R209" s="185">
        <v>3685.6229550625853</v>
      </c>
      <c r="S209" s="52" t="s">
        <v>3753</v>
      </c>
      <c r="T209" s="186">
        <v>27.573100000000004</v>
      </c>
      <c r="U209" s="53">
        <v>12</v>
      </c>
      <c r="V209" s="58">
        <f t="shared" si="18"/>
        <v>1219488.6036268342</v>
      </c>
      <c r="W209" s="52" t="s">
        <v>49</v>
      </c>
      <c r="X209" s="52" t="s">
        <v>4365</v>
      </c>
      <c r="Y209" s="52" t="s">
        <v>4366</v>
      </c>
      <c r="Z209" s="52" t="s">
        <v>4367</v>
      </c>
      <c r="AA209" s="52">
        <v>0</v>
      </c>
      <c r="AB209" s="52">
        <v>0</v>
      </c>
      <c r="AC209" s="52">
        <v>0</v>
      </c>
      <c r="AD209" s="21">
        <v>0.8985711123657989</v>
      </c>
      <c r="AE209" s="54">
        <v>0.8985711123657989</v>
      </c>
      <c r="AF209" s="315">
        <f t="shared" si="21"/>
        <v>1095797.2310783793</v>
      </c>
    </row>
    <row r="210" spans="1:32" ht="255" x14ac:dyDescent="0.25">
      <c r="A210" s="86" t="s">
        <v>588</v>
      </c>
      <c r="B210" s="117" t="s">
        <v>2270</v>
      </c>
      <c r="C210" s="52"/>
      <c r="D210" s="52" t="s">
        <v>2279</v>
      </c>
      <c r="E210" s="22" t="str">
        <f t="shared" si="19"/>
        <v>SEJUSPPROG</v>
      </c>
      <c r="F210" s="52" t="s">
        <v>729</v>
      </c>
      <c r="G210" s="22" t="str">
        <f t="shared" si="20"/>
        <v>P130SEJUSP</v>
      </c>
      <c r="H210" s="52" t="s">
        <v>1183</v>
      </c>
      <c r="I210" s="22" t="s">
        <v>16</v>
      </c>
      <c r="J210" s="52" t="s">
        <v>1634</v>
      </c>
      <c r="K210" s="22" t="str">
        <f>VLOOKUP(CONCATENATE(A210,LEFT(J210,4)),AGRUPAMENTO!$D$2:$E$6783,2,FALSE)</f>
        <v>Alimentação</v>
      </c>
      <c r="L210" s="52" t="s">
        <v>44</v>
      </c>
      <c r="M210" s="52" t="str">
        <f t="shared" si="17"/>
        <v>FONTESEJUSP</v>
      </c>
      <c r="N210" s="52">
        <v>60</v>
      </c>
      <c r="O210" s="52" t="s">
        <v>2486</v>
      </c>
      <c r="P210" s="52" t="s">
        <v>46</v>
      </c>
      <c r="Q210" s="52" t="s">
        <v>3752</v>
      </c>
      <c r="R210" s="185">
        <v>3453.0056017913398</v>
      </c>
      <c r="S210" s="52" t="s">
        <v>3753</v>
      </c>
      <c r="T210" s="186">
        <v>24.102</v>
      </c>
      <c r="U210" s="53">
        <v>12</v>
      </c>
      <c r="V210" s="58">
        <f t="shared" si="18"/>
        <v>998692.09217249858</v>
      </c>
      <c r="W210" s="52" t="s">
        <v>49</v>
      </c>
      <c r="X210" s="52" t="s">
        <v>4365</v>
      </c>
      <c r="Y210" s="52" t="s">
        <v>4366</v>
      </c>
      <c r="Z210" s="52" t="s">
        <v>4367</v>
      </c>
      <c r="AA210" s="52">
        <v>0</v>
      </c>
      <c r="AB210" s="52">
        <v>0</v>
      </c>
      <c r="AC210" s="52">
        <v>0</v>
      </c>
      <c r="AD210" s="21">
        <v>0.8985711123657989</v>
      </c>
      <c r="AE210" s="54">
        <v>0.8985711123657989</v>
      </c>
      <c r="AF210" s="315">
        <f t="shared" si="21"/>
        <v>897395.86417436902</v>
      </c>
    </row>
    <row r="211" spans="1:32" ht="255" x14ac:dyDescent="0.25">
      <c r="A211" s="86" t="s">
        <v>588</v>
      </c>
      <c r="B211" s="117" t="s">
        <v>2270</v>
      </c>
      <c r="C211" s="52"/>
      <c r="D211" s="52" t="s">
        <v>2279</v>
      </c>
      <c r="E211" s="22" t="str">
        <f t="shared" si="19"/>
        <v>SEJUSPPROG</v>
      </c>
      <c r="F211" s="52" t="s">
        <v>729</v>
      </c>
      <c r="G211" s="22" t="str">
        <f t="shared" si="20"/>
        <v>P130SEJUSP</v>
      </c>
      <c r="H211" s="52" t="s">
        <v>1183</v>
      </c>
      <c r="I211" s="22" t="s">
        <v>16</v>
      </c>
      <c r="J211" s="52" t="s">
        <v>1634</v>
      </c>
      <c r="K211" s="22" t="str">
        <f>VLOOKUP(CONCATENATE(A211,LEFT(J211,4)),AGRUPAMENTO!$D$2:$E$6783,2,FALSE)</f>
        <v>Alimentação</v>
      </c>
      <c r="L211" s="52" t="s">
        <v>44</v>
      </c>
      <c r="M211" s="52" t="str">
        <f t="shared" si="17"/>
        <v>FONTESEJUSP</v>
      </c>
      <c r="N211" s="52">
        <v>60</v>
      </c>
      <c r="O211" s="52" t="s">
        <v>2487</v>
      </c>
      <c r="P211" s="52" t="s">
        <v>46</v>
      </c>
      <c r="Q211" s="52" t="s">
        <v>3752</v>
      </c>
      <c r="R211" s="185">
        <v>21213.462708718158</v>
      </c>
      <c r="S211" s="52" t="s">
        <v>3753</v>
      </c>
      <c r="T211" s="186">
        <v>16.212199999999999</v>
      </c>
      <c r="U211" s="53">
        <v>12</v>
      </c>
      <c r="V211" s="58">
        <f t="shared" si="18"/>
        <v>4127002.801515366</v>
      </c>
      <c r="W211" s="52" t="s">
        <v>49</v>
      </c>
      <c r="X211" s="52" t="s">
        <v>4365</v>
      </c>
      <c r="Y211" s="52" t="s">
        <v>4366</v>
      </c>
      <c r="Z211" s="52" t="s">
        <v>4367</v>
      </c>
      <c r="AA211" s="52">
        <v>0</v>
      </c>
      <c r="AB211" s="52">
        <v>0</v>
      </c>
      <c r="AC211" s="52">
        <v>0</v>
      </c>
      <c r="AD211" s="21">
        <v>0.8985711123657989</v>
      </c>
      <c r="AE211" s="54">
        <v>0.8985711123657989</v>
      </c>
      <c r="AF211" s="315">
        <f t="shared" si="21"/>
        <v>3708405.4980944307</v>
      </c>
    </row>
    <row r="212" spans="1:32" ht="255" x14ac:dyDescent="0.25">
      <c r="A212" s="86" t="s">
        <v>588</v>
      </c>
      <c r="B212" s="117" t="s">
        <v>2270</v>
      </c>
      <c r="C212" s="52"/>
      <c r="D212" s="52" t="s">
        <v>2279</v>
      </c>
      <c r="E212" s="22" t="str">
        <f t="shared" si="19"/>
        <v>SEJUSPPROG</v>
      </c>
      <c r="F212" s="52" t="s">
        <v>729</v>
      </c>
      <c r="G212" s="22" t="str">
        <f t="shared" si="20"/>
        <v>P130SEJUSP</v>
      </c>
      <c r="H212" s="52" t="s">
        <v>1183</v>
      </c>
      <c r="I212" s="22" t="s">
        <v>16</v>
      </c>
      <c r="J212" s="52" t="s">
        <v>1634</v>
      </c>
      <c r="K212" s="22" t="str">
        <f>VLOOKUP(CONCATENATE(A212,LEFT(J212,4)),AGRUPAMENTO!$D$2:$E$6783,2,FALSE)</f>
        <v>Alimentação</v>
      </c>
      <c r="L212" s="52" t="s">
        <v>44</v>
      </c>
      <c r="M212" s="52" t="str">
        <f t="shared" si="17"/>
        <v>FONTESEJUSP</v>
      </c>
      <c r="N212" s="52">
        <v>60</v>
      </c>
      <c r="O212" s="52" t="s">
        <v>2488</v>
      </c>
      <c r="P212" s="52" t="s">
        <v>46</v>
      </c>
      <c r="Q212" s="52" t="s">
        <v>3752</v>
      </c>
      <c r="R212" s="185">
        <v>5795.2760896373438</v>
      </c>
      <c r="S212" s="52" t="s">
        <v>3753</v>
      </c>
      <c r="T212" s="186">
        <v>16.974399999999996</v>
      </c>
      <c r="U212" s="53">
        <v>12</v>
      </c>
      <c r="V212" s="58">
        <f t="shared" si="18"/>
        <v>1180456.0134712812</v>
      </c>
      <c r="W212" s="52" t="s">
        <v>49</v>
      </c>
      <c r="X212" s="52" t="s">
        <v>4365</v>
      </c>
      <c r="Y212" s="52" t="s">
        <v>4366</v>
      </c>
      <c r="Z212" s="52" t="s">
        <v>4367</v>
      </c>
      <c r="AA212" s="52">
        <v>0</v>
      </c>
      <c r="AB212" s="52">
        <v>0</v>
      </c>
      <c r="AC212" s="52">
        <v>0</v>
      </c>
      <c r="AD212" s="21">
        <v>0.8985711123657989</v>
      </c>
      <c r="AE212" s="54">
        <v>0.8985711123657989</v>
      </c>
      <c r="AF212" s="315">
        <f t="shared" si="21"/>
        <v>1060723.6731237855</v>
      </c>
    </row>
    <row r="213" spans="1:32" ht="255" x14ac:dyDescent="0.25">
      <c r="A213" s="86" t="s">
        <v>588</v>
      </c>
      <c r="B213" s="117" t="s">
        <v>2270</v>
      </c>
      <c r="C213" s="52"/>
      <c r="D213" s="52" t="s">
        <v>2279</v>
      </c>
      <c r="E213" s="22" t="str">
        <f t="shared" si="19"/>
        <v>SEJUSPPROG</v>
      </c>
      <c r="F213" s="52" t="s">
        <v>729</v>
      </c>
      <c r="G213" s="22" t="str">
        <f t="shared" si="20"/>
        <v>P130SEJUSP</v>
      </c>
      <c r="H213" s="52" t="s">
        <v>1183</v>
      </c>
      <c r="I213" s="22" t="s">
        <v>16</v>
      </c>
      <c r="J213" s="52" t="s">
        <v>1634</v>
      </c>
      <c r="K213" s="22" t="str">
        <f>VLOOKUP(CONCATENATE(A213,LEFT(J213,4)),AGRUPAMENTO!$D$2:$E$6783,2,FALSE)</f>
        <v>Alimentação</v>
      </c>
      <c r="L213" s="52" t="s">
        <v>44</v>
      </c>
      <c r="M213" s="52" t="str">
        <f t="shared" si="17"/>
        <v>FONTESEJUSP</v>
      </c>
      <c r="N213" s="52">
        <v>60</v>
      </c>
      <c r="O213" s="52" t="s">
        <v>2489</v>
      </c>
      <c r="P213" s="52" t="s">
        <v>46</v>
      </c>
      <c r="Q213" s="52" t="s">
        <v>3752</v>
      </c>
      <c r="R213" s="185">
        <v>1840.3654455652097</v>
      </c>
      <c r="S213" s="52" t="s">
        <v>3753</v>
      </c>
      <c r="T213" s="186">
        <v>34.340200000000003</v>
      </c>
      <c r="U213" s="53">
        <v>12</v>
      </c>
      <c r="V213" s="58">
        <f t="shared" si="18"/>
        <v>758382.20968558104</v>
      </c>
      <c r="W213" s="52" t="s">
        <v>49</v>
      </c>
      <c r="X213" s="52" t="s">
        <v>4365</v>
      </c>
      <c r="Y213" s="52" t="s">
        <v>4366</v>
      </c>
      <c r="Z213" s="52" t="s">
        <v>4367</v>
      </c>
      <c r="AA213" s="52">
        <v>0</v>
      </c>
      <c r="AB213" s="52">
        <v>0</v>
      </c>
      <c r="AC213" s="52">
        <v>0</v>
      </c>
      <c r="AD213" s="21">
        <v>0.8985711123657989</v>
      </c>
      <c r="AE213" s="54">
        <v>0.8985711123657989</v>
      </c>
      <c r="AF213" s="315">
        <f t="shared" si="21"/>
        <v>681460.34575560514</v>
      </c>
    </row>
    <row r="214" spans="1:32" ht="255" x14ac:dyDescent="0.25">
      <c r="A214" s="86" t="s">
        <v>588</v>
      </c>
      <c r="B214" s="117" t="s">
        <v>2270</v>
      </c>
      <c r="C214" s="52"/>
      <c r="D214" s="52" t="s">
        <v>2279</v>
      </c>
      <c r="E214" s="22" t="str">
        <f t="shared" si="19"/>
        <v>SEJUSPPROG</v>
      </c>
      <c r="F214" s="52" t="s">
        <v>729</v>
      </c>
      <c r="G214" s="22" t="str">
        <f t="shared" si="20"/>
        <v>P130SEJUSP</v>
      </c>
      <c r="H214" s="52" t="s">
        <v>1183</v>
      </c>
      <c r="I214" s="22" t="s">
        <v>16</v>
      </c>
      <c r="J214" s="52" t="s">
        <v>1634</v>
      </c>
      <c r="K214" s="22" t="str">
        <f>VLOOKUP(CONCATENATE(A214,LEFT(J214,4)),AGRUPAMENTO!$D$2:$E$6783,2,FALSE)</f>
        <v>Alimentação</v>
      </c>
      <c r="L214" s="52" t="s">
        <v>44</v>
      </c>
      <c r="M214" s="52" t="str">
        <f t="shared" si="17"/>
        <v>FONTESEJUSP</v>
      </c>
      <c r="N214" s="52">
        <v>60</v>
      </c>
      <c r="O214" s="52" t="s">
        <v>2490</v>
      </c>
      <c r="P214" s="52" t="s">
        <v>46</v>
      </c>
      <c r="Q214" s="52" t="s">
        <v>3752</v>
      </c>
      <c r="R214" s="185">
        <v>5607.2297982750542</v>
      </c>
      <c r="S214" s="52" t="s">
        <v>3753</v>
      </c>
      <c r="T214" s="186">
        <v>26.0487</v>
      </c>
      <c r="U214" s="53">
        <v>12</v>
      </c>
      <c r="V214" s="58">
        <f t="shared" si="18"/>
        <v>1752732.5621559289</v>
      </c>
      <c r="W214" s="52" t="s">
        <v>49</v>
      </c>
      <c r="X214" s="52" t="s">
        <v>4365</v>
      </c>
      <c r="Y214" s="52" t="s">
        <v>4366</v>
      </c>
      <c r="Z214" s="52" t="s">
        <v>4367</v>
      </c>
      <c r="AA214" s="52">
        <v>0</v>
      </c>
      <c r="AB214" s="52">
        <v>0</v>
      </c>
      <c r="AC214" s="52">
        <v>0</v>
      </c>
      <c r="AD214" s="21">
        <v>0.8985711123657989</v>
      </c>
      <c r="AE214" s="54">
        <v>0.8985711123657989</v>
      </c>
      <c r="AF214" s="315">
        <f t="shared" si="21"/>
        <v>1574954.8480562097</v>
      </c>
    </row>
    <row r="215" spans="1:32" ht="255" x14ac:dyDescent="0.25">
      <c r="A215" s="86" t="s">
        <v>588</v>
      </c>
      <c r="B215" s="117" t="s">
        <v>2270</v>
      </c>
      <c r="C215" s="52"/>
      <c r="D215" s="52" t="s">
        <v>2279</v>
      </c>
      <c r="E215" s="22" t="str">
        <f t="shared" si="19"/>
        <v>SEJUSPPROG</v>
      </c>
      <c r="F215" s="52" t="s">
        <v>729</v>
      </c>
      <c r="G215" s="22" t="str">
        <f t="shared" si="20"/>
        <v>P130SEJUSP</v>
      </c>
      <c r="H215" s="52" t="s">
        <v>1183</v>
      </c>
      <c r="I215" s="22" t="s">
        <v>16</v>
      </c>
      <c r="J215" s="52" t="s">
        <v>1634</v>
      </c>
      <c r="K215" s="22" t="str">
        <f>VLOOKUP(CONCATENATE(A215,LEFT(J215,4)),AGRUPAMENTO!$D$2:$E$6783,2,FALSE)</f>
        <v>Alimentação</v>
      </c>
      <c r="L215" s="52" t="s">
        <v>44</v>
      </c>
      <c r="M215" s="52" t="str">
        <f t="shared" si="17"/>
        <v>FONTESEJUSP</v>
      </c>
      <c r="N215" s="52">
        <v>60</v>
      </c>
      <c r="O215" s="52" t="s">
        <v>2491</v>
      </c>
      <c r="P215" s="52" t="s">
        <v>46</v>
      </c>
      <c r="Q215" s="52" t="s">
        <v>3752</v>
      </c>
      <c r="R215" s="185">
        <v>3623.6054192411812</v>
      </c>
      <c r="S215" s="52" t="s">
        <v>3753</v>
      </c>
      <c r="T215" s="186">
        <v>27.913</v>
      </c>
      <c r="U215" s="53">
        <v>12</v>
      </c>
      <c r="V215" s="58">
        <f t="shared" si="18"/>
        <v>1213748.3768073493</v>
      </c>
      <c r="W215" s="52" t="s">
        <v>49</v>
      </c>
      <c r="X215" s="52" t="s">
        <v>4365</v>
      </c>
      <c r="Y215" s="52" t="s">
        <v>4366</v>
      </c>
      <c r="Z215" s="52" t="s">
        <v>4367</v>
      </c>
      <c r="AA215" s="52">
        <v>0</v>
      </c>
      <c r="AB215" s="52">
        <v>0</v>
      </c>
      <c r="AC215" s="52">
        <v>0</v>
      </c>
      <c r="AD215" s="21">
        <v>0.8985711123657989</v>
      </c>
      <c r="AE215" s="54">
        <v>0.8985711123657989</v>
      </c>
      <c r="AF215" s="315">
        <f t="shared" si="21"/>
        <v>1090639.2290799627</v>
      </c>
    </row>
    <row r="216" spans="1:32" ht="255" x14ac:dyDescent="0.25">
      <c r="A216" s="86" t="s">
        <v>588</v>
      </c>
      <c r="B216" s="117" t="s">
        <v>2270</v>
      </c>
      <c r="C216" s="52"/>
      <c r="D216" s="52" t="s">
        <v>2279</v>
      </c>
      <c r="E216" s="22" t="str">
        <f t="shared" si="19"/>
        <v>SEJUSPPROG</v>
      </c>
      <c r="F216" s="52" t="s">
        <v>729</v>
      </c>
      <c r="G216" s="22" t="str">
        <f t="shared" si="20"/>
        <v>P130SEJUSP</v>
      </c>
      <c r="H216" s="52" t="s">
        <v>1183</v>
      </c>
      <c r="I216" s="22" t="s">
        <v>16</v>
      </c>
      <c r="J216" s="52" t="s">
        <v>1634</v>
      </c>
      <c r="K216" s="22" t="str">
        <f>VLOOKUP(CONCATENATE(A216,LEFT(J216,4)),AGRUPAMENTO!$D$2:$E$6783,2,FALSE)</f>
        <v>Alimentação</v>
      </c>
      <c r="L216" s="52" t="s">
        <v>44</v>
      </c>
      <c r="M216" s="52" t="str">
        <f t="shared" si="17"/>
        <v>FONTESEJUSP</v>
      </c>
      <c r="N216" s="52">
        <v>60</v>
      </c>
      <c r="O216" s="52" t="s">
        <v>2492</v>
      </c>
      <c r="P216" s="52" t="s">
        <v>46</v>
      </c>
      <c r="Q216" s="52" t="s">
        <v>3752</v>
      </c>
      <c r="R216" s="185">
        <v>2490.6000895547686</v>
      </c>
      <c r="S216" s="52" t="s">
        <v>3753</v>
      </c>
      <c r="T216" s="186">
        <v>29.694900000000001</v>
      </c>
      <c r="U216" s="53">
        <v>12</v>
      </c>
      <c r="V216" s="58">
        <f t="shared" si="18"/>
        <v>887497.44719183876</v>
      </c>
      <c r="W216" s="52" t="s">
        <v>49</v>
      </c>
      <c r="X216" s="52" t="s">
        <v>4365</v>
      </c>
      <c r="Y216" s="52" t="s">
        <v>4366</v>
      </c>
      <c r="Z216" s="52" t="s">
        <v>4367</v>
      </c>
      <c r="AA216" s="52">
        <v>0</v>
      </c>
      <c r="AB216" s="52">
        <v>0</v>
      </c>
      <c r="AC216" s="52">
        <v>0</v>
      </c>
      <c r="AD216" s="21">
        <v>0.8985711123657989</v>
      </c>
      <c r="AE216" s="54">
        <v>0.8985711123657989</v>
      </c>
      <c r="AF216" s="315">
        <f t="shared" si="21"/>
        <v>797479.56834497745</v>
      </c>
    </row>
    <row r="217" spans="1:32" ht="255" x14ac:dyDescent="0.25">
      <c r="A217" s="86" t="s">
        <v>588</v>
      </c>
      <c r="B217" s="117" t="s">
        <v>2270</v>
      </c>
      <c r="C217" s="52"/>
      <c r="D217" s="52" t="s">
        <v>2279</v>
      </c>
      <c r="E217" s="22" t="str">
        <f t="shared" si="19"/>
        <v>SEJUSPPROG</v>
      </c>
      <c r="F217" s="52" t="s">
        <v>729</v>
      </c>
      <c r="G217" s="22" t="str">
        <f t="shared" si="20"/>
        <v>P130SEJUSP</v>
      </c>
      <c r="H217" s="52" t="s">
        <v>1183</v>
      </c>
      <c r="I217" s="22" t="s">
        <v>16</v>
      </c>
      <c r="J217" s="52" t="s">
        <v>1634</v>
      </c>
      <c r="K217" s="22" t="str">
        <f>VLOOKUP(CONCATENATE(A217,LEFT(J217,4)),AGRUPAMENTO!$D$2:$E$6783,2,FALSE)</f>
        <v>Alimentação</v>
      </c>
      <c r="L217" s="52" t="s">
        <v>44</v>
      </c>
      <c r="M217" s="52" t="str">
        <f t="shared" si="17"/>
        <v>FONTESEJUSP</v>
      </c>
      <c r="N217" s="52">
        <v>60</v>
      </c>
      <c r="O217" s="52" t="s">
        <v>2493</v>
      </c>
      <c r="P217" s="52" t="s">
        <v>46</v>
      </c>
      <c r="Q217" s="52" t="s">
        <v>3752</v>
      </c>
      <c r="R217" s="185">
        <v>49732.842456034537</v>
      </c>
      <c r="S217" s="52" t="s">
        <v>3753</v>
      </c>
      <c r="T217" s="186">
        <v>25.945700000000006</v>
      </c>
      <c r="U217" s="53">
        <v>12</v>
      </c>
      <c r="V217" s="58">
        <f t="shared" si="18"/>
        <v>15484240.926138427</v>
      </c>
      <c r="W217" s="52" t="s">
        <v>49</v>
      </c>
      <c r="X217" s="52" t="s">
        <v>4365</v>
      </c>
      <c r="Y217" s="52" t="s">
        <v>4366</v>
      </c>
      <c r="Z217" s="52" t="s">
        <v>4367</v>
      </c>
      <c r="AA217" s="52">
        <v>0</v>
      </c>
      <c r="AB217" s="52">
        <v>0</v>
      </c>
      <c r="AC217" s="52">
        <v>0</v>
      </c>
      <c r="AD217" s="21">
        <v>0.8985711123657989</v>
      </c>
      <c r="AE217" s="54">
        <v>0.8985711123657989</v>
      </c>
      <c r="AF217" s="315">
        <f t="shared" si="21"/>
        <v>13913691.593140235</v>
      </c>
    </row>
    <row r="218" spans="1:32" ht="255" x14ac:dyDescent="0.25">
      <c r="A218" s="86" t="s">
        <v>588</v>
      </c>
      <c r="B218" s="117" t="s">
        <v>2270</v>
      </c>
      <c r="C218" s="52"/>
      <c r="D218" s="52" t="s">
        <v>2279</v>
      </c>
      <c r="E218" s="22" t="str">
        <f t="shared" si="19"/>
        <v>SEJUSPPROG</v>
      </c>
      <c r="F218" s="52" t="s">
        <v>729</v>
      </c>
      <c r="G218" s="22" t="str">
        <f t="shared" si="20"/>
        <v>P130SEJUSP</v>
      </c>
      <c r="H218" s="52" t="s">
        <v>1183</v>
      </c>
      <c r="I218" s="22" t="s">
        <v>16</v>
      </c>
      <c r="J218" s="52" t="s">
        <v>1634</v>
      </c>
      <c r="K218" s="22" t="str">
        <f>VLOOKUP(CONCATENATE(A218,LEFT(J218,4)),AGRUPAMENTO!$D$2:$E$6783,2,FALSE)</f>
        <v>Alimentação</v>
      </c>
      <c r="L218" s="52" t="s">
        <v>44</v>
      </c>
      <c r="M218" s="52" t="str">
        <f t="shared" si="17"/>
        <v>FONTESEJUSP</v>
      </c>
      <c r="N218" s="52">
        <v>60</v>
      </c>
      <c r="O218" s="52" t="s">
        <v>2494</v>
      </c>
      <c r="P218" s="52" t="s">
        <v>46</v>
      </c>
      <c r="Q218" s="52" t="s">
        <v>3752</v>
      </c>
      <c r="R218" s="185">
        <v>6990.3904265695091</v>
      </c>
      <c r="S218" s="52" t="s">
        <v>3753</v>
      </c>
      <c r="T218" s="186">
        <v>25.657299999999999</v>
      </c>
      <c r="U218" s="53">
        <v>12</v>
      </c>
      <c r="V218" s="58">
        <f t="shared" si="18"/>
        <v>2152254.5314994622</v>
      </c>
      <c r="W218" s="52" t="s">
        <v>49</v>
      </c>
      <c r="X218" s="52" t="s">
        <v>4365</v>
      </c>
      <c r="Y218" s="52" t="s">
        <v>4366</v>
      </c>
      <c r="Z218" s="52" t="s">
        <v>4367</v>
      </c>
      <c r="AA218" s="52">
        <v>0</v>
      </c>
      <c r="AB218" s="52">
        <v>0</v>
      </c>
      <c r="AC218" s="52">
        <v>0</v>
      </c>
      <c r="AD218" s="21">
        <v>0.8985711123657989</v>
      </c>
      <c r="AE218" s="54">
        <v>0.8985711123657989</v>
      </c>
      <c r="AF218" s="315">
        <f t="shared" si="21"/>
        <v>1933953.7484638032</v>
      </c>
    </row>
    <row r="219" spans="1:32" ht="255" x14ac:dyDescent="0.25">
      <c r="A219" s="86" t="s">
        <v>588</v>
      </c>
      <c r="B219" s="117" t="s">
        <v>2270</v>
      </c>
      <c r="C219" s="52"/>
      <c r="D219" s="52" t="s">
        <v>2279</v>
      </c>
      <c r="E219" s="22" t="str">
        <f t="shared" si="19"/>
        <v>SEJUSPPROG</v>
      </c>
      <c r="F219" s="52" t="s">
        <v>729</v>
      </c>
      <c r="G219" s="22" t="str">
        <f t="shared" si="20"/>
        <v>P130SEJUSP</v>
      </c>
      <c r="H219" s="52" t="s">
        <v>1183</v>
      </c>
      <c r="I219" s="22" t="s">
        <v>16</v>
      </c>
      <c r="J219" s="52" t="s">
        <v>1634</v>
      </c>
      <c r="K219" s="22" t="str">
        <f>VLOOKUP(CONCATENATE(A219,LEFT(J219,4)),AGRUPAMENTO!$D$2:$E$6783,2,FALSE)</f>
        <v>Alimentação</v>
      </c>
      <c r="L219" s="52" t="s">
        <v>44</v>
      </c>
      <c r="M219" s="52" t="str">
        <f t="shared" si="17"/>
        <v>FONTESEJUSP</v>
      </c>
      <c r="N219" s="52">
        <v>60</v>
      </c>
      <c r="O219" s="52" t="s">
        <v>2495</v>
      </c>
      <c r="P219" s="52" t="s">
        <v>46</v>
      </c>
      <c r="Q219" s="52" t="s">
        <v>3752</v>
      </c>
      <c r="R219" s="185">
        <v>9590.3474412456635</v>
      </c>
      <c r="S219" s="52" t="s">
        <v>3753</v>
      </c>
      <c r="T219" s="186">
        <v>24.925999999999998</v>
      </c>
      <c r="U219" s="53">
        <v>12</v>
      </c>
      <c r="V219" s="58">
        <f t="shared" si="18"/>
        <v>2868588.0038458728</v>
      </c>
      <c r="W219" s="52" t="s">
        <v>49</v>
      </c>
      <c r="X219" s="52" t="s">
        <v>4365</v>
      </c>
      <c r="Y219" s="52" t="s">
        <v>4366</v>
      </c>
      <c r="Z219" s="52" t="s">
        <v>4367</v>
      </c>
      <c r="AA219" s="52">
        <v>0</v>
      </c>
      <c r="AB219" s="52">
        <v>0</v>
      </c>
      <c r="AC219" s="52">
        <v>0</v>
      </c>
      <c r="AD219" s="21">
        <v>0.8985711123657989</v>
      </c>
      <c r="AE219" s="54">
        <v>0.8985711123657989</v>
      </c>
      <c r="AF219" s="315">
        <f t="shared" si="21"/>
        <v>2577630.3135349727</v>
      </c>
    </row>
    <row r="220" spans="1:32" ht="255" x14ac:dyDescent="0.25">
      <c r="A220" s="86" t="s">
        <v>588</v>
      </c>
      <c r="B220" s="117" t="s">
        <v>2270</v>
      </c>
      <c r="C220" s="52"/>
      <c r="D220" s="52" t="s">
        <v>2279</v>
      </c>
      <c r="E220" s="22" t="str">
        <f t="shared" si="19"/>
        <v>SEJUSPPROG</v>
      </c>
      <c r="F220" s="52" t="s">
        <v>729</v>
      </c>
      <c r="G220" s="22" t="str">
        <f t="shared" si="20"/>
        <v>P130SEJUSP</v>
      </c>
      <c r="H220" s="52" t="s">
        <v>1183</v>
      </c>
      <c r="I220" s="22" t="s">
        <v>16</v>
      </c>
      <c r="J220" s="52" t="s">
        <v>1634</v>
      </c>
      <c r="K220" s="22" t="str">
        <f>VLOOKUP(CONCATENATE(A220,LEFT(J220,4)),AGRUPAMENTO!$D$2:$E$6783,2,FALSE)</f>
        <v>Alimentação</v>
      </c>
      <c r="L220" s="52" t="s">
        <v>44</v>
      </c>
      <c r="M220" s="52" t="str">
        <f t="shared" si="17"/>
        <v>FONTESEJUSP</v>
      </c>
      <c r="N220" s="52">
        <v>60</v>
      </c>
      <c r="O220" s="52" t="s">
        <v>2496</v>
      </c>
      <c r="P220" s="52" t="s">
        <v>46</v>
      </c>
      <c r="Q220" s="52" t="s">
        <v>3752</v>
      </c>
      <c r="R220" s="185">
        <v>2961.3618161740983</v>
      </c>
      <c r="S220" s="52" t="s">
        <v>3753</v>
      </c>
      <c r="T220" s="186">
        <v>24.915700000000001</v>
      </c>
      <c r="U220" s="53">
        <v>12</v>
      </c>
      <c r="V220" s="58">
        <f t="shared" si="18"/>
        <v>885412.83123898774</v>
      </c>
      <c r="W220" s="52" t="s">
        <v>49</v>
      </c>
      <c r="X220" s="52" t="s">
        <v>4365</v>
      </c>
      <c r="Y220" s="52" t="s">
        <v>4366</v>
      </c>
      <c r="Z220" s="52" t="s">
        <v>4367</v>
      </c>
      <c r="AA220" s="52">
        <v>0</v>
      </c>
      <c r="AB220" s="52">
        <v>0</v>
      </c>
      <c r="AC220" s="52">
        <v>0</v>
      </c>
      <c r="AD220" s="21">
        <v>0.8985711123657989</v>
      </c>
      <c r="AE220" s="54">
        <v>0.8985711123657989</v>
      </c>
      <c r="AF220" s="315">
        <f t="shared" si="21"/>
        <v>795606.39266936854</v>
      </c>
    </row>
    <row r="221" spans="1:32" ht="255" x14ac:dyDescent="0.25">
      <c r="A221" s="86" t="s">
        <v>588</v>
      </c>
      <c r="B221" s="117" t="s">
        <v>2270</v>
      </c>
      <c r="C221" s="52"/>
      <c r="D221" s="52" t="s">
        <v>2279</v>
      </c>
      <c r="E221" s="22" t="str">
        <f t="shared" si="19"/>
        <v>SEJUSPPROG</v>
      </c>
      <c r="F221" s="52" t="s">
        <v>729</v>
      </c>
      <c r="G221" s="22" t="str">
        <f t="shared" si="20"/>
        <v>P130SEJUSP</v>
      </c>
      <c r="H221" s="52" t="s">
        <v>1183</v>
      </c>
      <c r="I221" s="22" t="s">
        <v>16</v>
      </c>
      <c r="J221" s="52" t="s">
        <v>1634</v>
      </c>
      <c r="K221" s="22" t="str">
        <f>VLOOKUP(CONCATENATE(A221,LEFT(J221,4)),AGRUPAMENTO!$D$2:$E$6783,2,FALSE)</f>
        <v>Alimentação</v>
      </c>
      <c r="L221" s="52" t="s">
        <v>44</v>
      </c>
      <c r="M221" s="52" t="str">
        <f t="shared" si="17"/>
        <v>FONTESEJUSP</v>
      </c>
      <c r="N221" s="52">
        <v>60</v>
      </c>
      <c r="O221" s="52" t="s">
        <v>2497</v>
      </c>
      <c r="P221" s="52" t="s">
        <v>46</v>
      </c>
      <c r="Q221" s="52" t="s">
        <v>3752</v>
      </c>
      <c r="R221" s="185">
        <v>7323.0492163528643</v>
      </c>
      <c r="S221" s="52" t="s">
        <v>3753</v>
      </c>
      <c r="T221" s="186">
        <v>20.424899999999997</v>
      </c>
      <c r="U221" s="53">
        <v>12</v>
      </c>
      <c r="V221" s="58">
        <f t="shared" si="18"/>
        <v>1794870.5752690271</v>
      </c>
      <c r="W221" s="52" t="s">
        <v>49</v>
      </c>
      <c r="X221" s="52" t="s">
        <v>4365</v>
      </c>
      <c r="Y221" s="52" t="s">
        <v>4366</v>
      </c>
      <c r="Z221" s="52" t="s">
        <v>4367</v>
      </c>
      <c r="AA221" s="52">
        <v>0</v>
      </c>
      <c r="AB221" s="52">
        <v>0</v>
      </c>
      <c r="AC221" s="52">
        <v>0</v>
      </c>
      <c r="AD221" s="21">
        <v>0.8985711123657989</v>
      </c>
      <c r="AE221" s="54">
        <v>0.8985711123657989</v>
      </c>
      <c r="AF221" s="315">
        <f t="shared" si="21"/>
        <v>1612818.8493721311</v>
      </c>
    </row>
    <row r="222" spans="1:32" ht="255" x14ac:dyDescent="0.25">
      <c r="A222" s="86" t="s">
        <v>588</v>
      </c>
      <c r="B222" s="117" t="s">
        <v>2270</v>
      </c>
      <c r="C222" s="52"/>
      <c r="D222" s="52" t="s">
        <v>2279</v>
      </c>
      <c r="E222" s="22" t="str">
        <f t="shared" si="19"/>
        <v>SEJUSPPROG</v>
      </c>
      <c r="F222" s="52" t="s">
        <v>729</v>
      </c>
      <c r="G222" s="22" t="str">
        <f t="shared" si="20"/>
        <v>P130SEJUSP</v>
      </c>
      <c r="H222" s="52" t="s">
        <v>1183</v>
      </c>
      <c r="I222" s="22" t="s">
        <v>16</v>
      </c>
      <c r="J222" s="52" t="s">
        <v>1634</v>
      </c>
      <c r="K222" s="22" t="str">
        <f>VLOOKUP(CONCATENATE(A222,LEFT(J222,4)),AGRUPAMENTO!$D$2:$E$6783,2,FALSE)</f>
        <v>Alimentação</v>
      </c>
      <c r="L222" s="52" t="s">
        <v>44</v>
      </c>
      <c r="M222" s="52" t="str">
        <f t="shared" si="17"/>
        <v>FONTESEJUSP</v>
      </c>
      <c r="N222" s="52">
        <v>60</v>
      </c>
      <c r="O222" s="52" t="s">
        <v>2498</v>
      </c>
      <c r="P222" s="52" t="s">
        <v>46</v>
      </c>
      <c r="Q222" s="52" t="s">
        <v>3752</v>
      </c>
      <c r="R222" s="185">
        <v>7643.7286754375309</v>
      </c>
      <c r="S222" s="52" t="s">
        <v>3753</v>
      </c>
      <c r="T222" s="186">
        <v>27.810000000000002</v>
      </c>
      <c r="U222" s="53">
        <v>12</v>
      </c>
      <c r="V222" s="58">
        <f t="shared" si="18"/>
        <v>2550865.1335670128</v>
      </c>
      <c r="W222" s="52" t="s">
        <v>49</v>
      </c>
      <c r="X222" s="52" t="s">
        <v>4365</v>
      </c>
      <c r="Y222" s="52" t="s">
        <v>4366</v>
      </c>
      <c r="Z222" s="52" t="s">
        <v>4367</v>
      </c>
      <c r="AA222" s="52">
        <v>0</v>
      </c>
      <c r="AB222" s="52">
        <v>0</v>
      </c>
      <c r="AC222" s="52">
        <v>0</v>
      </c>
      <c r="AD222" s="21">
        <v>0.8985711123657989</v>
      </c>
      <c r="AE222" s="54">
        <v>0.8985711123657989</v>
      </c>
      <c r="AF222" s="315">
        <f t="shared" si="21"/>
        <v>2292133.7205644427</v>
      </c>
    </row>
    <row r="223" spans="1:32" ht="255" x14ac:dyDescent="0.25">
      <c r="A223" s="86" t="s">
        <v>588</v>
      </c>
      <c r="B223" s="117" t="s">
        <v>2270</v>
      </c>
      <c r="C223" s="52"/>
      <c r="D223" s="52" t="s">
        <v>2279</v>
      </c>
      <c r="E223" s="22" t="str">
        <f t="shared" si="19"/>
        <v>SEJUSPPROG</v>
      </c>
      <c r="F223" s="52" t="s">
        <v>729</v>
      </c>
      <c r="G223" s="22" t="str">
        <f t="shared" si="20"/>
        <v>P130SEJUSP</v>
      </c>
      <c r="H223" s="52" t="s">
        <v>1183</v>
      </c>
      <c r="I223" s="22" t="s">
        <v>16</v>
      </c>
      <c r="J223" s="52" t="s">
        <v>1634</v>
      </c>
      <c r="K223" s="22" t="str">
        <f>VLOOKUP(CONCATENATE(A223,LEFT(J223,4)),AGRUPAMENTO!$D$2:$E$6783,2,FALSE)</f>
        <v>Alimentação</v>
      </c>
      <c r="L223" s="52" t="s">
        <v>44</v>
      </c>
      <c r="M223" s="52" t="str">
        <f t="shared" si="17"/>
        <v>FONTESEJUSP</v>
      </c>
      <c r="N223" s="52">
        <v>60</v>
      </c>
      <c r="O223" s="52" t="s">
        <v>2499</v>
      </c>
      <c r="P223" s="52" t="s">
        <v>46</v>
      </c>
      <c r="Q223" s="52" t="s">
        <v>3752</v>
      </c>
      <c r="R223" s="185">
        <v>6772.0284388401815</v>
      </c>
      <c r="S223" s="52" t="s">
        <v>3753</v>
      </c>
      <c r="T223" s="186">
        <v>24.6891</v>
      </c>
      <c r="U223" s="53">
        <v>12</v>
      </c>
      <c r="V223" s="58">
        <f t="shared" si="18"/>
        <v>2006343.4479524298</v>
      </c>
      <c r="W223" s="52" t="s">
        <v>49</v>
      </c>
      <c r="X223" s="52" t="s">
        <v>4365</v>
      </c>
      <c r="Y223" s="52" t="s">
        <v>4366</v>
      </c>
      <c r="Z223" s="52" t="s">
        <v>4367</v>
      </c>
      <c r="AA223" s="52">
        <v>0</v>
      </c>
      <c r="AB223" s="52">
        <v>0</v>
      </c>
      <c r="AC223" s="52">
        <v>0</v>
      </c>
      <c r="AD223" s="21">
        <v>0.8985711123657989</v>
      </c>
      <c r="AE223" s="54">
        <v>0.8985711123657989</v>
      </c>
      <c r="AF223" s="315">
        <f t="shared" si="21"/>
        <v>1802842.2638144472</v>
      </c>
    </row>
    <row r="224" spans="1:32" ht="255" x14ac:dyDescent="0.25">
      <c r="A224" s="86" t="s">
        <v>588</v>
      </c>
      <c r="B224" s="117" t="s">
        <v>2270</v>
      </c>
      <c r="C224" s="52"/>
      <c r="D224" s="52" t="s">
        <v>2279</v>
      </c>
      <c r="E224" s="22" t="str">
        <f t="shared" si="19"/>
        <v>SEJUSPPROG</v>
      </c>
      <c r="F224" s="52" t="s">
        <v>729</v>
      </c>
      <c r="G224" s="22" t="str">
        <f t="shared" si="20"/>
        <v>P130SEJUSP</v>
      </c>
      <c r="H224" s="52" t="s">
        <v>1183</v>
      </c>
      <c r="I224" s="22" t="s">
        <v>16</v>
      </c>
      <c r="J224" s="52" t="s">
        <v>1634</v>
      </c>
      <c r="K224" s="22" t="str">
        <f>VLOOKUP(CONCATENATE(A224,LEFT(J224,4)),AGRUPAMENTO!$D$2:$E$6783,2,FALSE)</f>
        <v>Alimentação</v>
      </c>
      <c r="L224" s="52" t="s">
        <v>44</v>
      </c>
      <c r="M224" s="52" t="str">
        <f t="shared" si="17"/>
        <v>FONTESEJUSP</v>
      </c>
      <c r="N224" s="52">
        <v>60</v>
      </c>
      <c r="O224" s="52" t="s">
        <v>2500</v>
      </c>
      <c r="P224" s="52" t="s">
        <v>46</v>
      </c>
      <c r="Q224" s="52" t="s">
        <v>3752</v>
      </c>
      <c r="R224" s="185">
        <v>4307.7197479532779</v>
      </c>
      <c r="S224" s="52" t="s">
        <v>3753</v>
      </c>
      <c r="T224" s="186">
        <v>23.030799999999999</v>
      </c>
      <c r="U224" s="53">
        <v>12</v>
      </c>
      <c r="V224" s="58">
        <f t="shared" si="18"/>
        <v>1190522.783653948</v>
      </c>
      <c r="W224" s="52" t="s">
        <v>49</v>
      </c>
      <c r="X224" s="52" t="s">
        <v>4365</v>
      </c>
      <c r="Y224" s="52" t="s">
        <v>4366</v>
      </c>
      <c r="Z224" s="52" t="s">
        <v>4367</v>
      </c>
      <c r="AA224" s="52">
        <v>0</v>
      </c>
      <c r="AB224" s="52">
        <v>0</v>
      </c>
      <c r="AC224" s="52">
        <v>0</v>
      </c>
      <c r="AD224" s="21">
        <v>0.8985711123657989</v>
      </c>
      <c r="AE224" s="54">
        <v>0.8985711123657989</v>
      </c>
      <c r="AF224" s="315">
        <f t="shared" si="21"/>
        <v>1069769.3820047553</v>
      </c>
    </row>
    <row r="225" spans="1:32" ht="255" x14ac:dyDescent="0.25">
      <c r="A225" s="86" t="s">
        <v>588</v>
      </c>
      <c r="B225" s="117" t="s">
        <v>2270</v>
      </c>
      <c r="C225" s="52"/>
      <c r="D225" s="52" t="s">
        <v>2279</v>
      </c>
      <c r="E225" s="22" t="str">
        <f t="shared" si="19"/>
        <v>SEJUSPPROG</v>
      </c>
      <c r="F225" s="52" t="s">
        <v>729</v>
      </c>
      <c r="G225" s="22" t="str">
        <f t="shared" si="20"/>
        <v>P130SEJUSP</v>
      </c>
      <c r="H225" s="52" t="s">
        <v>1183</v>
      </c>
      <c r="I225" s="22" t="s">
        <v>16</v>
      </c>
      <c r="J225" s="52" t="s">
        <v>1634</v>
      </c>
      <c r="K225" s="22" t="str">
        <f>VLOOKUP(CONCATENATE(A225,LEFT(J225,4)),AGRUPAMENTO!$D$2:$E$6783,2,FALSE)</f>
        <v>Alimentação</v>
      </c>
      <c r="L225" s="52" t="s">
        <v>44</v>
      </c>
      <c r="M225" s="52" t="str">
        <f t="shared" si="17"/>
        <v>FONTESEJUSP</v>
      </c>
      <c r="N225" s="52">
        <v>60</v>
      </c>
      <c r="O225" s="52" t="s">
        <v>2501</v>
      </c>
      <c r="P225" s="52" t="s">
        <v>46</v>
      </c>
      <c r="Q225" s="52" t="s">
        <v>3752</v>
      </c>
      <c r="R225" s="185">
        <v>8760.4036507845467</v>
      </c>
      <c r="S225" s="52" t="s">
        <v>3753</v>
      </c>
      <c r="T225" s="186">
        <v>29.179900000000004</v>
      </c>
      <c r="U225" s="53">
        <v>12</v>
      </c>
      <c r="V225" s="58">
        <f t="shared" si="18"/>
        <v>3067532.4298743363</v>
      </c>
      <c r="W225" s="52" t="s">
        <v>49</v>
      </c>
      <c r="X225" s="52" t="s">
        <v>4365</v>
      </c>
      <c r="Y225" s="52" t="s">
        <v>4366</v>
      </c>
      <c r="Z225" s="52" t="s">
        <v>4367</v>
      </c>
      <c r="AA225" s="52">
        <v>0</v>
      </c>
      <c r="AB225" s="52">
        <v>0</v>
      </c>
      <c r="AC225" s="52">
        <v>0</v>
      </c>
      <c r="AD225" s="21">
        <v>0.8985711123657989</v>
      </c>
      <c r="AE225" s="54">
        <v>0.8985711123657989</v>
      </c>
      <c r="AF225" s="315">
        <f t="shared" si="21"/>
        <v>2756396.0277303443</v>
      </c>
    </row>
    <row r="226" spans="1:32" ht="255" x14ac:dyDescent="0.25">
      <c r="A226" s="86" t="s">
        <v>588</v>
      </c>
      <c r="B226" s="117" t="s">
        <v>2270</v>
      </c>
      <c r="C226" s="52"/>
      <c r="D226" s="52" t="s">
        <v>2279</v>
      </c>
      <c r="E226" s="22" t="str">
        <f t="shared" si="19"/>
        <v>SEJUSPPROG</v>
      </c>
      <c r="F226" s="52" t="s">
        <v>729</v>
      </c>
      <c r="G226" s="22" t="str">
        <f t="shared" si="20"/>
        <v>P130SEJUSP</v>
      </c>
      <c r="H226" s="52" t="s">
        <v>1183</v>
      </c>
      <c r="I226" s="22" t="s">
        <v>16</v>
      </c>
      <c r="J226" s="52" t="s">
        <v>1634</v>
      </c>
      <c r="K226" s="22" t="str">
        <f>VLOOKUP(CONCATENATE(A226,LEFT(J226,4)),AGRUPAMENTO!$D$2:$E$6783,2,FALSE)</f>
        <v>Alimentação</v>
      </c>
      <c r="L226" s="52" t="s">
        <v>44</v>
      </c>
      <c r="M226" s="52" t="str">
        <f t="shared" si="17"/>
        <v>FONTESEJUSP</v>
      </c>
      <c r="N226" s="52">
        <v>60</v>
      </c>
      <c r="O226" s="52" t="s">
        <v>2502</v>
      </c>
      <c r="P226" s="52" t="s">
        <v>46</v>
      </c>
      <c r="Q226" s="52" t="s">
        <v>3752</v>
      </c>
      <c r="R226" s="185">
        <v>5451.2127971093223</v>
      </c>
      <c r="S226" s="52" t="s">
        <v>3753</v>
      </c>
      <c r="T226" s="186">
        <v>18.1692</v>
      </c>
      <c r="U226" s="53">
        <v>12</v>
      </c>
      <c r="V226" s="58">
        <f t="shared" si="18"/>
        <v>1188530.1066388644</v>
      </c>
      <c r="W226" s="52" t="s">
        <v>49</v>
      </c>
      <c r="X226" s="52" t="s">
        <v>4365</v>
      </c>
      <c r="Y226" s="52" t="s">
        <v>4366</v>
      </c>
      <c r="Z226" s="52" t="s">
        <v>4367</v>
      </c>
      <c r="AA226" s="52">
        <v>0</v>
      </c>
      <c r="AB226" s="52">
        <v>0</v>
      </c>
      <c r="AC226" s="52">
        <v>0</v>
      </c>
      <c r="AD226" s="21">
        <v>0.8985711123657989</v>
      </c>
      <c r="AE226" s="54">
        <v>0.8985711123657989</v>
      </c>
      <c r="AF226" s="315">
        <f t="shared" si="21"/>
        <v>1067978.820002726</v>
      </c>
    </row>
    <row r="227" spans="1:32" ht="255" x14ac:dyDescent="0.25">
      <c r="A227" s="86" t="s">
        <v>588</v>
      </c>
      <c r="B227" s="117" t="s">
        <v>2270</v>
      </c>
      <c r="C227" s="52"/>
      <c r="D227" s="52" t="s">
        <v>2279</v>
      </c>
      <c r="E227" s="22" t="str">
        <f t="shared" si="19"/>
        <v>SEJUSPPROG</v>
      </c>
      <c r="F227" s="52" t="s">
        <v>729</v>
      </c>
      <c r="G227" s="22" t="str">
        <f t="shared" si="20"/>
        <v>P130SEJUSP</v>
      </c>
      <c r="H227" s="52" t="s">
        <v>1183</v>
      </c>
      <c r="I227" s="22" t="s">
        <v>16</v>
      </c>
      <c r="J227" s="52" t="s">
        <v>1634</v>
      </c>
      <c r="K227" s="22" t="str">
        <f>VLOOKUP(CONCATENATE(A227,LEFT(J227,4)),AGRUPAMENTO!$D$2:$E$6783,2,FALSE)</f>
        <v>Alimentação</v>
      </c>
      <c r="L227" s="52" t="s">
        <v>44</v>
      </c>
      <c r="M227" s="52" t="str">
        <f t="shared" si="17"/>
        <v>FONTESEJUSP</v>
      </c>
      <c r="N227" s="52">
        <v>60</v>
      </c>
      <c r="O227" s="52" t="s">
        <v>2503</v>
      </c>
      <c r="P227" s="52" t="s">
        <v>46</v>
      </c>
      <c r="Q227" s="52" t="s">
        <v>3752</v>
      </c>
      <c r="R227" s="185">
        <v>26292.58530277092</v>
      </c>
      <c r="S227" s="52" t="s">
        <v>3753</v>
      </c>
      <c r="T227" s="186">
        <v>18.3752</v>
      </c>
      <c r="U227" s="53">
        <v>12</v>
      </c>
      <c r="V227" s="58">
        <f t="shared" si="18"/>
        <v>5797578.1614657147</v>
      </c>
      <c r="W227" s="52" t="s">
        <v>49</v>
      </c>
      <c r="X227" s="52" t="s">
        <v>4365</v>
      </c>
      <c r="Y227" s="52" t="s">
        <v>4366</v>
      </c>
      <c r="Z227" s="52" t="s">
        <v>4367</v>
      </c>
      <c r="AA227" s="52">
        <v>0</v>
      </c>
      <c r="AB227" s="52">
        <v>0</v>
      </c>
      <c r="AC227" s="52">
        <v>0</v>
      </c>
      <c r="AD227" s="21">
        <v>0.8985711123657989</v>
      </c>
      <c r="AE227" s="54">
        <v>0.8985711123657989</v>
      </c>
      <c r="AF227" s="315">
        <f t="shared" si="21"/>
        <v>5209536.2575759105</v>
      </c>
    </row>
    <row r="228" spans="1:32" ht="255" x14ac:dyDescent="0.25">
      <c r="A228" s="86" t="s">
        <v>588</v>
      </c>
      <c r="B228" s="117" t="s">
        <v>2270</v>
      </c>
      <c r="C228" s="52"/>
      <c r="D228" s="52" t="s">
        <v>2279</v>
      </c>
      <c r="E228" s="22" t="str">
        <f t="shared" si="19"/>
        <v>SEJUSPPROG</v>
      </c>
      <c r="F228" s="52" t="s">
        <v>729</v>
      </c>
      <c r="G228" s="22" t="str">
        <f t="shared" si="20"/>
        <v>P130SEJUSP</v>
      </c>
      <c r="H228" s="52" t="s">
        <v>1183</v>
      </c>
      <c r="I228" s="22" t="s">
        <v>16</v>
      </c>
      <c r="J228" s="52" t="s">
        <v>1634</v>
      </c>
      <c r="K228" s="22" t="str">
        <f>VLOOKUP(CONCATENATE(A228,LEFT(J228,4)),AGRUPAMENTO!$D$2:$E$6783,2,FALSE)</f>
        <v>Alimentação</v>
      </c>
      <c r="L228" s="52" t="s">
        <v>44</v>
      </c>
      <c r="M228" s="52" t="str">
        <f t="shared" si="17"/>
        <v>FONTESEJUSP</v>
      </c>
      <c r="N228" s="52">
        <v>60</v>
      </c>
      <c r="O228" s="52" t="s">
        <v>2504</v>
      </c>
      <c r="P228" s="52" t="s">
        <v>46</v>
      </c>
      <c r="Q228" s="52" t="s">
        <v>3752</v>
      </c>
      <c r="R228" s="185">
        <v>68148.370498372809</v>
      </c>
      <c r="S228" s="52" t="s">
        <v>3753</v>
      </c>
      <c r="T228" s="186">
        <v>18.1692</v>
      </c>
      <c r="U228" s="53">
        <v>12</v>
      </c>
      <c r="V228" s="58">
        <f t="shared" si="18"/>
        <v>14858416.479108423</v>
      </c>
      <c r="W228" s="52" t="s">
        <v>49</v>
      </c>
      <c r="X228" s="52" t="s">
        <v>4365</v>
      </c>
      <c r="Y228" s="52" t="s">
        <v>4366</v>
      </c>
      <c r="Z228" s="52" t="s">
        <v>4367</v>
      </c>
      <c r="AA228" s="52">
        <v>0</v>
      </c>
      <c r="AB228" s="52">
        <v>0</v>
      </c>
      <c r="AC228" s="52">
        <v>0</v>
      </c>
      <c r="AD228" s="21">
        <v>0.8985711123657989</v>
      </c>
      <c r="AE228" s="54">
        <v>0.8985711123657989</v>
      </c>
      <c r="AF228" s="315">
        <f t="shared" si="21"/>
        <v>13351343.823626773</v>
      </c>
    </row>
    <row r="229" spans="1:32" ht="255" x14ac:dyDescent="0.25">
      <c r="A229" s="86" t="s">
        <v>588</v>
      </c>
      <c r="B229" s="117" t="s">
        <v>2270</v>
      </c>
      <c r="C229" s="52"/>
      <c r="D229" s="52" t="s">
        <v>2279</v>
      </c>
      <c r="E229" s="22" t="str">
        <f t="shared" si="19"/>
        <v>SEJUSPPROG</v>
      </c>
      <c r="F229" s="52" t="s">
        <v>729</v>
      </c>
      <c r="G229" s="22" t="str">
        <f t="shared" si="20"/>
        <v>P130SEJUSP</v>
      </c>
      <c r="H229" s="52" t="s">
        <v>1183</v>
      </c>
      <c r="I229" s="22" t="s">
        <v>16</v>
      </c>
      <c r="J229" s="52" t="s">
        <v>1634</v>
      </c>
      <c r="K229" s="22" t="str">
        <f>VLOOKUP(CONCATENATE(A229,LEFT(J229,4)),AGRUPAMENTO!$D$2:$E$6783,2,FALSE)</f>
        <v>Alimentação</v>
      </c>
      <c r="L229" s="52" t="s">
        <v>44</v>
      </c>
      <c r="M229" s="52" t="str">
        <f t="shared" si="17"/>
        <v>FONTESEJUSP</v>
      </c>
      <c r="N229" s="52">
        <v>60</v>
      </c>
      <c r="O229" s="52" t="s">
        <v>2505</v>
      </c>
      <c r="P229" s="52" t="s">
        <v>46</v>
      </c>
      <c r="Q229" s="52" t="s">
        <v>3752</v>
      </c>
      <c r="R229" s="185">
        <v>59817.264388227981</v>
      </c>
      <c r="S229" s="52" t="s">
        <v>3753</v>
      </c>
      <c r="T229" s="186">
        <v>15.130699999999999</v>
      </c>
      <c r="U229" s="53">
        <v>12</v>
      </c>
      <c r="V229" s="58">
        <f t="shared" si="18"/>
        <v>10860924.987347532</v>
      </c>
      <c r="W229" s="52" t="s">
        <v>49</v>
      </c>
      <c r="X229" s="52" t="s">
        <v>4365</v>
      </c>
      <c r="Y229" s="52" t="s">
        <v>4366</v>
      </c>
      <c r="Z229" s="52" t="s">
        <v>4367</v>
      </c>
      <c r="AA229" s="52">
        <v>0</v>
      </c>
      <c r="AB229" s="52">
        <v>0</v>
      </c>
      <c r="AC229" s="52">
        <v>0</v>
      </c>
      <c r="AD229" s="21">
        <v>0.8985711123657989</v>
      </c>
      <c r="AE229" s="54">
        <v>0.8985711123657989</v>
      </c>
      <c r="AF229" s="315">
        <f t="shared" si="21"/>
        <v>9759313.4472023714</v>
      </c>
    </row>
    <row r="230" spans="1:32" ht="255" x14ac:dyDescent="0.25">
      <c r="A230" s="86" t="s">
        <v>588</v>
      </c>
      <c r="B230" s="117" t="s">
        <v>2270</v>
      </c>
      <c r="C230" s="52"/>
      <c r="D230" s="52" t="s">
        <v>2279</v>
      </c>
      <c r="E230" s="22" t="str">
        <f t="shared" si="19"/>
        <v>SEJUSPPROG</v>
      </c>
      <c r="F230" s="52" t="s">
        <v>729</v>
      </c>
      <c r="G230" s="22" t="str">
        <f t="shared" si="20"/>
        <v>P130SEJUSP</v>
      </c>
      <c r="H230" s="52" t="s">
        <v>1183</v>
      </c>
      <c r="I230" s="22" t="s">
        <v>16</v>
      </c>
      <c r="J230" s="52" t="s">
        <v>1634</v>
      </c>
      <c r="K230" s="22" t="str">
        <f>VLOOKUP(CONCATENATE(A230,LEFT(J230,4)),AGRUPAMENTO!$D$2:$E$6783,2,FALSE)</f>
        <v>Alimentação</v>
      </c>
      <c r="L230" s="52" t="s">
        <v>44</v>
      </c>
      <c r="M230" s="52" t="str">
        <f t="shared" si="17"/>
        <v>FONTESEJUSP</v>
      </c>
      <c r="N230" s="52">
        <v>60</v>
      </c>
      <c r="O230" s="52" t="s">
        <v>2506</v>
      </c>
      <c r="P230" s="52" t="s">
        <v>46</v>
      </c>
      <c r="Q230" s="52" t="s">
        <v>3752</v>
      </c>
      <c r="R230" s="185">
        <v>19119.971554517961</v>
      </c>
      <c r="S230" s="52" t="s">
        <v>3753</v>
      </c>
      <c r="T230" s="186">
        <v>20.342500000000001</v>
      </c>
      <c r="U230" s="53">
        <v>12</v>
      </c>
      <c r="V230" s="58">
        <f t="shared" si="18"/>
        <v>4667376.2561733797</v>
      </c>
      <c r="W230" s="52" t="s">
        <v>49</v>
      </c>
      <c r="X230" s="52" t="s">
        <v>4365</v>
      </c>
      <c r="Y230" s="52" t="s">
        <v>4366</v>
      </c>
      <c r="Z230" s="52" t="s">
        <v>4367</v>
      </c>
      <c r="AA230" s="52">
        <v>0</v>
      </c>
      <c r="AB230" s="52">
        <v>0</v>
      </c>
      <c r="AC230" s="52">
        <v>0</v>
      </c>
      <c r="AD230" s="21">
        <v>0.8985711123657989</v>
      </c>
      <c r="AE230" s="54">
        <v>0.8985711123657989</v>
      </c>
      <c r="AF230" s="315">
        <f t="shared" si="21"/>
        <v>4193969.4743394316</v>
      </c>
    </row>
    <row r="231" spans="1:32" ht="255" x14ac:dyDescent="0.25">
      <c r="A231" s="86" t="s">
        <v>588</v>
      </c>
      <c r="B231" s="117" t="s">
        <v>2270</v>
      </c>
      <c r="C231" s="52"/>
      <c r="D231" s="52" t="s">
        <v>2279</v>
      </c>
      <c r="E231" s="22" t="str">
        <f t="shared" si="19"/>
        <v>SEJUSPPROG</v>
      </c>
      <c r="F231" s="52" t="s">
        <v>729</v>
      </c>
      <c r="G231" s="22" t="str">
        <f t="shared" si="20"/>
        <v>P130SEJUSP</v>
      </c>
      <c r="H231" s="52" t="s">
        <v>1183</v>
      </c>
      <c r="I231" s="22" t="s">
        <v>16</v>
      </c>
      <c r="J231" s="52" t="s">
        <v>1634</v>
      </c>
      <c r="K231" s="22" t="str">
        <f>VLOOKUP(CONCATENATE(A231,LEFT(J231,4)),AGRUPAMENTO!$D$2:$E$6783,2,FALSE)</f>
        <v>Alimentação</v>
      </c>
      <c r="L231" s="52" t="s">
        <v>44</v>
      </c>
      <c r="M231" s="52" t="str">
        <f t="shared" si="17"/>
        <v>FONTESEJUSP</v>
      </c>
      <c r="N231" s="52">
        <v>60</v>
      </c>
      <c r="O231" s="52" t="s">
        <v>2507</v>
      </c>
      <c r="P231" s="52" t="s">
        <v>46</v>
      </c>
      <c r="Q231" s="52" t="s">
        <v>3752</v>
      </c>
      <c r="R231" s="185">
        <v>3720.9342694190723</v>
      </c>
      <c r="S231" s="52" t="s">
        <v>3753</v>
      </c>
      <c r="T231" s="186">
        <v>24.895100000000003</v>
      </c>
      <c r="U231" s="53">
        <v>12</v>
      </c>
      <c r="V231" s="58">
        <f t="shared" si="18"/>
        <v>1111596.368767377</v>
      </c>
      <c r="W231" s="52" t="s">
        <v>49</v>
      </c>
      <c r="X231" s="52" t="s">
        <v>4365</v>
      </c>
      <c r="Y231" s="52" t="s">
        <v>4366</v>
      </c>
      <c r="Z231" s="52" t="s">
        <v>4367</v>
      </c>
      <c r="AA231" s="52">
        <v>0</v>
      </c>
      <c r="AB231" s="52">
        <v>0</v>
      </c>
      <c r="AC231" s="52">
        <v>0</v>
      </c>
      <c r="AD231" s="21">
        <v>0.8985711123657989</v>
      </c>
      <c r="AE231" s="54">
        <v>0.8985711123657989</v>
      </c>
      <c r="AF231" s="315">
        <f t="shared" si="21"/>
        <v>998848.38558508479</v>
      </c>
    </row>
    <row r="232" spans="1:32" ht="255" x14ac:dyDescent="0.25">
      <c r="A232" s="86" t="s">
        <v>588</v>
      </c>
      <c r="B232" s="117" t="s">
        <v>2270</v>
      </c>
      <c r="C232" s="52"/>
      <c r="D232" s="52" t="s">
        <v>2279</v>
      </c>
      <c r="E232" s="22" t="str">
        <f t="shared" si="19"/>
        <v>SEJUSPPROG</v>
      </c>
      <c r="F232" s="52" t="s">
        <v>729</v>
      </c>
      <c r="G232" s="22" t="str">
        <f t="shared" si="20"/>
        <v>P130SEJUSP</v>
      </c>
      <c r="H232" s="52" t="s">
        <v>1183</v>
      </c>
      <c r="I232" s="22" t="s">
        <v>16</v>
      </c>
      <c r="J232" s="52" t="s">
        <v>1634</v>
      </c>
      <c r="K232" s="22" t="str">
        <f>VLOOKUP(CONCATENATE(A232,LEFT(J232,4)),AGRUPAMENTO!$D$2:$E$6783,2,FALSE)</f>
        <v>Alimentação</v>
      </c>
      <c r="L232" s="52" t="s">
        <v>44</v>
      </c>
      <c r="M232" s="52" t="str">
        <f t="shared" si="17"/>
        <v>FONTESEJUSP</v>
      </c>
      <c r="N232" s="52">
        <v>60</v>
      </c>
      <c r="O232" s="52" t="s">
        <v>2508</v>
      </c>
      <c r="P232" s="52" t="s">
        <v>46</v>
      </c>
      <c r="Q232" s="52" t="s">
        <v>3752</v>
      </c>
      <c r="R232" s="185">
        <v>11110.673174342657</v>
      </c>
      <c r="S232" s="52" t="s">
        <v>3753</v>
      </c>
      <c r="T232" s="186">
        <v>19.549400000000002</v>
      </c>
      <c r="U232" s="53">
        <v>12</v>
      </c>
      <c r="V232" s="58">
        <f t="shared" si="18"/>
        <v>2606483.9298539325</v>
      </c>
      <c r="W232" s="52" t="s">
        <v>49</v>
      </c>
      <c r="X232" s="52" t="s">
        <v>4365</v>
      </c>
      <c r="Y232" s="52" t="s">
        <v>4366</v>
      </c>
      <c r="Z232" s="52" t="s">
        <v>4367</v>
      </c>
      <c r="AA232" s="52">
        <v>0</v>
      </c>
      <c r="AB232" s="52">
        <v>0</v>
      </c>
      <c r="AC232" s="52">
        <v>0</v>
      </c>
      <c r="AD232" s="21">
        <v>0.8985711123657989</v>
      </c>
      <c r="AE232" s="54">
        <v>0.8985711123657989</v>
      </c>
      <c r="AF232" s="315">
        <f t="shared" si="21"/>
        <v>2342111.1642124271</v>
      </c>
    </row>
    <row r="233" spans="1:32" ht="255" x14ac:dyDescent="0.25">
      <c r="A233" s="86" t="s">
        <v>588</v>
      </c>
      <c r="B233" s="117" t="s">
        <v>2270</v>
      </c>
      <c r="C233" s="52"/>
      <c r="D233" s="52" t="s">
        <v>2279</v>
      </c>
      <c r="E233" s="22" t="str">
        <f t="shared" si="19"/>
        <v>SEJUSPPROG</v>
      </c>
      <c r="F233" s="52" t="s">
        <v>729</v>
      </c>
      <c r="G233" s="22" t="str">
        <f t="shared" si="20"/>
        <v>P130SEJUSP</v>
      </c>
      <c r="H233" s="52" t="s">
        <v>1183</v>
      </c>
      <c r="I233" s="22" t="s">
        <v>16</v>
      </c>
      <c r="J233" s="52" t="s">
        <v>1634</v>
      </c>
      <c r="K233" s="22" t="str">
        <f>VLOOKUP(CONCATENATE(A233,LEFT(J233,4)),AGRUPAMENTO!$D$2:$E$6783,2,FALSE)</f>
        <v>Alimentação</v>
      </c>
      <c r="L233" s="52" t="s">
        <v>44</v>
      </c>
      <c r="M233" s="52" t="str">
        <f t="shared" si="17"/>
        <v>FONTESEJUSP</v>
      </c>
      <c r="N233" s="52">
        <v>60</v>
      </c>
      <c r="O233" s="52" t="s">
        <v>2509</v>
      </c>
      <c r="P233" s="52" t="s">
        <v>46</v>
      </c>
      <c r="Q233" s="52" t="s">
        <v>3752</v>
      </c>
      <c r="R233" s="185">
        <v>9646.3836232450012</v>
      </c>
      <c r="S233" s="52" t="s">
        <v>3753</v>
      </c>
      <c r="T233" s="186">
        <v>26.749099999999999</v>
      </c>
      <c r="U233" s="53">
        <v>12</v>
      </c>
      <c r="V233" s="58">
        <f t="shared" si="18"/>
        <v>3096384.9621185143</v>
      </c>
      <c r="W233" s="52" t="s">
        <v>49</v>
      </c>
      <c r="X233" s="52" t="s">
        <v>4365</v>
      </c>
      <c r="Y233" s="52" t="s">
        <v>4366</v>
      </c>
      <c r="Z233" s="52" t="s">
        <v>4367</v>
      </c>
      <c r="AA233" s="52">
        <v>0</v>
      </c>
      <c r="AB233" s="52">
        <v>0</v>
      </c>
      <c r="AC233" s="52">
        <v>0</v>
      </c>
      <c r="AD233" s="21">
        <v>0.8985711123657989</v>
      </c>
      <c r="AE233" s="54">
        <v>0.8985711123657989</v>
      </c>
      <c r="AF233" s="315">
        <f t="shared" si="21"/>
        <v>2782322.0797235654</v>
      </c>
    </row>
    <row r="234" spans="1:32" ht="105" x14ac:dyDescent="0.25">
      <c r="A234" s="104" t="s">
        <v>588</v>
      </c>
      <c r="B234" s="115" t="s">
        <v>2270</v>
      </c>
      <c r="C234" s="52"/>
      <c r="D234" s="115" t="s">
        <v>2276</v>
      </c>
      <c r="E234" s="22" t="str">
        <f t="shared" si="19"/>
        <v>SEJUSPPROG</v>
      </c>
      <c r="F234" s="52" t="s">
        <v>729</v>
      </c>
      <c r="G234" s="22" t="str">
        <f t="shared" si="20"/>
        <v>P130SEJUSP</v>
      </c>
      <c r="H234" s="123" t="s">
        <v>1259</v>
      </c>
      <c r="I234" s="22" t="s">
        <v>16</v>
      </c>
      <c r="J234" s="106" t="s">
        <v>1663</v>
      </c>
      <c r="K234" s="22" t="str">
        <f>VLOOKUP(CONCATENATE(A234,LEFT(J234,4)),AGRUPAMENTO!$D$2:$E$6783,2,FALSE)</f>
        <v>Demais despesas de custeio</v>
      </c>
      <c r="L234" s="123" t="s">
        <v>44</v>
      </c>
      <c r="M234" s="52" t="str">
        <f t="shared" si="17"/>
        <v>FONTESEJUSP</v>
      </c>
      <c r="N234" s="52">
        <v>10</v>
      </c>
      <c r="O234" s="123" t="s">
        <v>2510</v>
      </c>
      <c r="P234" s="123" t="s">
        <v>58</v>
      </c>
      <c r="Q234" s="187" t="s">
        <v>3755</v>
      </c>
      <c r="R234" s="123">
        <v>1</v>
      </c>
      <c r="S234" s="123" t="s">
        <v>3722</v>
      </c>
      <c r="T234" s="180">
        <v>200000</v>
      </c>
      <c r="U234" s="181">
        <v>12</v>
      </c>
      <c r="V234" s="58">
        <f t="shared" si="18"/>
        <v>2400000</v>
      </c>
      <c r="W234" s="123" t="s">
        <v>68</v>
      </c>
      <c r="X234" s="123" t="s">
        <v>4337</v>
      </c>
      <c r="Y234" s="123" t="s">
        <v>4338</v>
      </c>
      <c r="Z234" s="123" t="s">
        <v>4339</v>
      </c>
      <c r="AA234" s="123">
        <v>1</v>
      </c>
      <c r="AB234" s="123">
        <v>1</v>
      </c>
      <c r="AC234" s="123">
        <v>2</v>
      </c>
      <c r="AD234" s="21">
        <v>0</v>
      </c>
      <c r="AE234" s="54">
        <v>0</v>
      </c>
      <c r="AF234" s="315">
        <f t="shared" si="21"/>
        <v>0</v>
      </c>
    </row>
    <row r="235" spans="1:32" ht="120" x14ac:dyDescent="0.25">
      <c r="A235" s="86" t="s">
        <v>588</v>
      </c>
      <c r="B235" s="117" t="s">
        <v>2270</v>
      </c>
      <c r="C235" s="52"/>
      <c r="D235" s="107" t="s">
        <v>2280</v>
      </c>
      <c r="E235" s="22" t="str">
        <f t="shared" si="19"/>
        <v>SEJUSPPROG</v>
      </c>
      <c r="F235" s="116" t="s">
        <v>687</v>
      </c>
      <c r="G235" s="22" t="str">
        <f t="shared" si="20"/>
        <v>P705SEJUSP</v>
      </c>
      <c r="H235" s="52" t="s">
        <v>914</v>
      </c>
      <c r="I235" s="22" t="s">
        <v>16</v>
      </c>
      <c r="J235" s="52" t="s">
        <v>2131</v>
      </c>
      <c r="K235" s="22" t="str">
        <f>VLOOKUP(CONCATENATE(A235,LEFT(J235,4)),AGRUPAMENTO!$D$2:$E$6783,2,FALSE)</f>
        <v>Diárias e viagens</v>
      </c>
      <c r="L235" s="107" t="s">
        <v>44</v>
      </c>
      <c r="M235" s="52" t="str">
        <f t="shared" si="17"/>
        <v>FONTESEJUSP</v>
      </c>
      <c r="N235" s="52">
        <v>10</v>
      </c>
      <c r="O235" s="144" t="s">
        <v>2511</v>
      </c>
      <c r="P235" s="107" t="s">
        <v>46</v>
      </c>
      <c r="Q235" s="144" t="s">
        <v>3756</v>
      </c>
      <c r="R235" s="144">
        <v>80</v>
      </c>
      <c r="S235" s="144" t="s">
        <v>3757</v>
      </c>
      <c r="T235" s="188">
        <v>258</v>
      </c>
      <c r="U235" s="189">
        <v>1</v>
      </c>
      <c r="V235" s="58">
        <f t="shared" si="18"/>
        <v>20640</v>
      </c>
      <c r="W235" s="52" t="s">
        <v>49</v>
      </c>
      <c r="X235" s="144" t="s">
        <v>4370</v>
      </c>
      <c r="Y235" s="144" t="s">
        <v>4371</v>
      </c>
      <c r="Z235" s="144" t="s">
        <v>4372</v>
      </c>
      <c r="AA235" s="52">
        <v>0</v>
      </c>
      <c r="AB235" s="52">
        <v>0</v>
      </c>
      <c r="AC235" s="52">
        <v>0</v>
      </c>
      <c r="AD235" s="21">
        <v>0.86749884668513244</v>
      </c>
      <c r="AE235" s="54">
        <v>0.86749884668513244</v>
      </c>
      <c r="AF235" s="315">
        <f t="shared" si="21"/>
        <v>17905.176195581134</v>
      </c>
    </row>
    <row r="236" spans="1:32" ht="210" x14ac:dyDescent="0.25">
      <c r="A236" s="86" t="s">
        <v>588</v>
      </c>
      <c r="B236" s="117" t="s">
        <v>2270</v>
      </c>
      <c r="C236" s="52"/>
      <c r="D236" s="107" t="s">
        <v>2280</v>
      </c>
      <c r="E236" s="22" t="str">
        <f t="shared" si="19"/>
        <v>SEJUSPPROG</v>
      </c>
      <c r="F236" s="116" t="s">
        <v>687</v>
      </c>
      <c r="G236" s="22" t="str">
        <f t="shared" si="20"/>
        <v>P705SEJUSP</v>
      </c>
      <c r="H236" s="52" t="s">
        <v>914</v>
      </c>
      <c r="I236" s="22" t="s">
        <v>16</v>
      </c>
      <c r="J236" s="52" t="s">
        <v>2131</v>
      </c>
      <c r="K236" s="22" t="str">
        <f>VLOOKUP(CONCATENATE(A236,LEFT(J236,4)),AGRUPAMENTO!$D$2:$E$6783,2,FALSE)</f>
        <v>Diárias e viagens</v>
      </c>
      <c r="L236" s="107" t="s">
        <v>44</v>
      </c>
      <c r="M236" s="52" t="str">
        <f t="shared" si="17"/>
        <v>FONTESEJUSP</v>
      </c>
      <c r="N236" s="52">
        <v>10</v>
      </c>
      <c r="O236" s="144" t="s">
        <v>2512</v>
      </c>
      <c r="P236" s="107" t="s">
        <v>46</v>
      </c>
      <c r="Q236" s="144" t="s">
        <v>3758</v>
      </c>
      <c r="R236" s="144">
        <v>252</v>
      </c>
      <c r="S236" s="144" t="s">
        <v>3757</v>
      </c>
      <c r="T236" s="188">
        <v>258</v>
      </c>
      <c r="U236" s="189">
        <v>1</v>
      </c>
      <c r="V236" s="58">
        <f t="shared" si="18"/>
        <v>65016</v>
      </c>
      <c r="W236" s="52" t="s">
        <v>49</v>
      </c>
      <c r="X236" s="144" t="s">
        <v>4373</v>
      </c>
      <c r="Y236" s="144" t="s">
        <v>4374</v>
      </c>
      <c r="Z236" s="144" t="s">
        <v>4375</v>
      </c>
      <c r="AA236" s="52">
        <v>0</v>
      </c>
      <c r="AB236" s="52">
        <v>0</v>
      </c>
      <c r="AC236" s="52">
        <v>0</v>
      </c>
      <c r="AD236" s="21">
        <v>0.86749884668513244</v>
      </c>
      <c r="AE236" s="54">
        <v>0.86749884668513244</v>
      </c>
      <c r="AF236" s="315">
        <f t="shared" si="21"/>
        <v>56401.305016080572</v>
      </c>
    </row>
    <row r="237" spans="1:32" ht="240" x14ac:dyDescent="0.25">
      <c r="A237" s="86" t="s">
        <v>588</v>
      </c>
      <c r="B237" s="117" t="s">
        <v>2270</v>
      </c>
      <c r="C237" s="52"/>
      <c r="D237" s="52" t="s">
        <v>2281</v>
      </c>
      <c r="E237" s="22" t="str">
        <f t="shared" si="19"/>
        <v>SEJUSPPROG</v>
      </c>
      <c r="F237" s="52" t="s">
        <v>729</v>
      </c>
      <c r="G237" s="22" t="str">
        <f t="shared" si="20"/>
        <v>P130SEJUSP</v>
      </c>
      <c r="H237" s="52" t="s">
        <v>1183</v>
      </c>
      <c r="I237" s="22" t="s">
        <v>16</v>
      </c>
      <c r="J237" s="52" t="s">
        <v>2198</v>
      </c>
      <c r="K237" s="22" t="str">
        <f>VLOOKUP(CONCATENATE(A237,LEFT(J237,4)),AGRUPAMENTO!$D$2:$E$6783,2,FALSE)</f>
        <v>Demais despesas de custeio</v>
      </c>
      <c r="L237" s="52" t="s">
        <v>44</v>
      </c>
      <c r="M237" s="52" t="str">
        <f t="shared" si="17"/>
        <v>FONTESEJUSP</v>
      </c>
      <c r="N237" s="52">
        <v>60</v>
      </c>
      <c r="O237" s="52" t="s">
        <v>2513</v>
      </c>
      <c r="P237" s="52" t="s">
        <v>46</v>
      </c>
      <c r="Q237" s="52" t="s">
        <v>3759</v>
      </c>
      <c r="R237" s="52">
        <v>3</v>
      </c>
      <c r="S237" s="52" t="s">
        <v>3760</v>
      </c>
      <c r="T237" s="88">
        <v>22451.33</v>
      </c>
      <c r="U237" s="53">
        <v>12</v>
      </c>
      <c r="V237" s="58">
        <f t="shared" si="18"/>
        <v>808247.88000000012</v>
      </c>
      <c r="W237" s="52" t="s">
        <v>49</v>
      </c>
      <c r="X237" s="52" t="s">
        <v>4376</v>
      </c>
      <c r="Y237" s="52" t="s">
        <v>4377</v>
      </c>
      <c r="Z237" s="52" t="s">
        <v>4378</v>
      </c>
      <c r="AA237" s="52">
        <v>0</v>
      </c>
      <c r="AB237" s="52">
        <v>0</v>
      </c>
      <c r="AC237" s="52">
        <v>0</v>
      </c>
      <c r="AD237" s="21">
        <v>0.29138261490145073</v>
      </c>
      <c r="AE237" s="54">
        <v>0.29138261490145073</v>
      </c>
      <c r="AF237" s="315">
        <f t="shared" si="21"/>
        <v>235509.38076295401</v>
      </c>
    </row>
    <row r="238" spans="1:32" ht="240" x14ac:dyDescent="0.25">
      <c r="A238" s="86" t="s">
        <v>588</v>
      </c>
      <c r="B238" s="117" t="s">
        <v>2270</v>
      </c>
      <c r="C238" s="52"/>
      <c r="D238" s="52" t="s">
        <v>2281</v>
      </c>
      <c r="E238" s="22" t="str">
        <f t="shared" si="19"/>
        <v>SEJUSPPROG</v>
      </c>
      <c r="F238" s="52" t="s">
        <v>729</v>
      </c>
      <c r="G238" s="22" t="str">
        <f t="shared" si="20"/>
        <v>P130SEJUSP</v>
      </c>
      <c r="H238" s="52" t="s">
        <v>1183</v>
      </c>
      <c r="I238" s="22" t="s">
        <v>16</v>
      </c>
      <c r="J238" s="52" t="s">
        <v>2198</v>
      </c>
      <c r="K238" s="22" t="str">
        <f>VLOOKUP(CONCATENATE(A238,LEFT(J238,4)),AGRUPAMENTO!$D$2:$E$6783,2,FALSE)</f>
        <v>Demais despesas de custeio</v>
      </c>
      <c r="L238" s="52" t="s">
        <v>44</v>
      </c>
      <c r="M238" s="52" t="str">
        <f t="shared" si="17"/>
        <v>FONTESEJUSP</v>
      </c>
      <c r="N238" s="52">
        <v>60</v>
      </c>
      <c r="O238" s="52" t="s">
        <v>2514</v>
      </c>
      <c r="P238" s="52" t="s">
        <v>46</v>
      </c>
      <c r="Q238" s="52" t="s">
        <v>3761</v>
      </c>
      <c r="R238" s="52">
        <v>2</v>
      </c>
      <c r="S238" s="52" t="s">
        <v>3762</v>
      </c>
      <c r="T238" s="88">
        <v>12008.85</v>
      </c>
      <c r="U238" s="53">
        <v>12</v>
      </c>
      <c r="V238" s="58">
        <f t="shared" si="18"/>
        <v>288212.40000000002</v>
      </c>
      <c r="W238" s="52" t="s">
        <v>49</v>
      </c>
      <c r="X238" s="52" t="s">
        <v>4376</v>
      </c>
      <c r="Y238" s="52" t="s">
        <v>4377</v>
      </c>
      <c r="Z238" s="52" t="s">
        <v>4378</v>
      </c>
      <c r="AA238" s="52">
        <v>0</v>
      </c>
      <c r="AB238" s="52">
        <v>0</v>
      </c>
      <c r="AC238" s="52">
        <v>0</v>
      </c>
      <c r="AD238" s="21">
        <v>0.29138261490145073</v>
      </c>
      <c r="AE238" s="54">
        <v>0.29138261490145073</v>
      </c>
      <c r="AF238" s="315">
        <f t="shared" si="21"/>
        <v>83980.082759022887</v>
      </c>
    </row>
    <row r="239" spans="1:32" ht="135" x14ac:dyDescent="0.25">
      <c r="A239" s="86" t="s">
        <v>588</v>
      </c>
      <c r="B239" s="117" t="s">
        <v>2270</v>
      </c>
      <c r="C239" s="52"/>
      <c r="D239" s="52" t="s">
        <v>2281</v>
      </c>
      <c r="E239" s="22" t="str">
        <f t="shared" si="19"/>
        <v>SEJUSPPROG</v>
      </c>
      <c r="F239" s="52" t="s">
        <v>729</v>
      </c>
      <c r="G239" s="22" t="str">
        <f t="shared" si="20"/>
        <v>P130SEJUSP</v>
      </c>
      <c r="H239" s="52" t="s">
        <v>1183</v>
      </c>
      <c r="I239" s="22" t="s">
        <v>16</v>
      </c>
      <c r="J239" s="52" t="s">
        <v>2149</v>
      </c>
      <c r="K239" s="22" t="str">
        <f>VLOOKUP(CONCATENATE(A239,LEFT(J239,4)),AGRUPAMENTO!$D$2:$E$6783,2,FALSE)</f>
        <v>Diárias e viagens</v>
      </c>
      <c r="L239" s="52" t="s">
        <v>44</v>
      </c>
      <c r="M239" s="52" t="str">
        <f t="shared" si="17"/>
        <v>FONTESEJUSP</v>
      </c>
      <c r="N239" s="52">
        <v>60</v>
      </c>
      <c r="O239" s="52" t="s">
        <v>2515</v>
      </c>
      <c r="P239" s="52" t="s">
        <v>46</v>
      </c>
      <c r="Q239" s="52" t="s">
        <v>3763</v>
      </c>
      <c r="R239" s="52">
        <v>3</v>
      </c>
      <c r="S239" s="52" t="s">
        <v>3764</v>
      </c>
      <c r="T239" s="88">
        <v>2600</v>
      </c>
      <c r="U239" s="53">
        <v>3</v>
      </c>
      <c r="V239" s="58">
        <f t="shared" si="18"/>
        <v>23400</v>
      </c>
      <c r="W239" s="52" t="s">
        <v>49</v>
      </c>
      <c r="X239" s="52" t="s">
        <v>4379</v>
      </c>
      <c r="Y239" s="52" t="s">
        <v>4380</v>
      </c>
      <c r="Z239" s="52" t="s">
        <v>4381</v>
      </c>
      <c r="AA239" s="52">
        <v>0</v>
      </c>
      <c r="AB239" s="52">
        <v>0</v>
      </c>
      <c r="AC239" s="52">
        <v>0</v>
      </c>
      <c r="AD239" s="21">
        <v>0.86749884668513244</v>
      </c>
      <c r="AE239" s="54">
        <v>0.86749884668513244</v>
      </c>
      <c r="AF239" s="315">
        <f t="shared" si="21"/>
        <v>20299.473012432099</v>
      </c>
    </row>
    <row r="240" spans="1:32" ht="165" x14ac:dyDescent="0.25">
      <c r="A240" s="86" t="s">
        <v>588</v>
      </c>
      <c r="B240" s="117" t="s">
        <v>2270</v>
      </c>
      <c r="C240" s="52"/>
      <c r="D240" s="52" t="s">
        <v>2281</v>
      </c>
      <c r="E240" s="22" t="str">
        <f t="shared" si="19"/>
        <v>SEJUSPPROG</v>
      </c>
      <c r="F240" s="52" t="s">
        <v>729</v>
      </c>
      <c r="G240" s="22" t="str">
        <f t="shared" si="20"/>
        <v>P130SEJUSP</v>
      </c>
      <c r="H240" s="52" t="s">
        <v>1183</v>
      </c>
      <c r="I240" s="22" t="s">
        <v>16</v>
      </c>
      <c r="J240" s="52" t="s">
        <v>2131</v>
      </c>
      <c r="K240" s="22" t="str">
        <f>VLOOKUP(CONCATENATE(A240,LEFT(J240,4)),AGRUPAMENTO!$D$2:$E$6783,2,FALSE)</f>
        <v>Diárias e viagens</v>
      </c>
      <c r="L240" s="52" t="s">
        <v>44</v>
      </c>
      <c r="M240" s="52" t="str">
        <f t="shared" si="17"/>
        <v>FONTESEJUSP</v>
      </c>
      <c r="N240" s="52">
        <v>60</v>
      </c>
      <c r="O240" s="52" t="s">
        <v>2516</v>
      </c>
      <c r="P240" s="52" t="s">
        <v>46</v>
      </c>
      <c r="Q240" s="52" t="s">
        <v>3765</v>
      </c>
      <c r="R240" s="52">
        <v>6</v>
      </c>
      <c r="S240" s="52" t="s">
        <v>3766</v>
      </c>
      <c r="T240" s="88">
        <v>362</v>
      </c>
      <c r="U240" s="53">
        <v>3</v>
      </c>
      <c r="V240" s="58">
        <f t="shared" si="18"/>
        <v>6516</v>
      </c>
      <c r="W240" s="52" t="s">
        <v>49</v>
      </c>
      <c r="X240" s="52" t="s">
        <v>4379</v>
      </c>
      <c r="Y240" s="52" t="s">
        <v>4380</v>
      </c>
      <c r="Z240" s="52" t="s">
        <v>4381</v>
      </c>
      <c r="AA240" s="52">
        <v>0</v>
      </c>
      <c r="AB240" s="52">
        <v>0</v>
      </c>
      <c r="AC240" s="52">
        <v>0</v>
      </c>
      <c r="AD240" s="21">
        <v>0.86749884668513244</v>
      </c>
      <c r="AE240" s="54">
        <v>0.86749884668513244</v>
      </c>
      <c r="AF240" s="315">
        <f t="shared" si="21"/>
        <v>5652.6224850003227</v>
      </c>
    </row>
    <row r="241" spans="1:32" ht="60" x14ac:dyDescent="0.25">
      <c r="A241" s="86" t="s">
        <v>588</v>
      </c>
      <c r="B241" s="117" t="s">
        <v>2270</v>
      </c>
      <c r="C241" s="52"/>
      <c r="D241" s="52" t="s">
        <v>2281</v>
      </c>
      <c r="E241" s="22" t="str">
        <f t="shared" si="19"/>
        <v>SEJUSPPROG</v>
      </c>
      <c r="F241" s="52" t="s">
        <v>729</v>
      </c>
      <c r="G241" s="22" t="str">
        <f t="shared" si="20"/>
        <v>P130SEJUSP</v>
      </c>
      <c r="H241" s="52" t="s">
        <v>1183</v>
      </c>
      <c r="I241" s="22" t="s">
        <v>16</v>
      </c>
      <c r="J241" s="52" t="s">
        <v>1628</v>
      </c>
      <c r="K241" s="22" t="str">
        <f>VLOOKUP(CONCATENATE(A241,LEFT(J241,4)),AGRUPAMENTO!$D$2:$E$6783,2,FALSE)</f>
        <v>Pronto Pagamento</v>
      </c>
      <c r="L241" s="52" t="s">
        <v>44</v>
      </c>
      <c r="M241" s="52" t="str">
        <f t="shared" si="17"/>
        <v>FONTESEJUSP</v>
      </c>
      <c r="N241" s="52">
        <v>60</v>
      </c>
      <c r="O241" s="52" t="s">
        <v>2517</v>
      </c>
      <c r="P241" s="52" t="s">
        <v>46</v>
      </c>
      <c r="Q241" s="52" t="s">
        <v>3767</v>
      </c>
      <c r="R241" s="52">
        <v>1</v>
      </c>
      <c r="S241" s="52" t="s">
        <v>3768</v>
      </c>
      <c r="T241" s="88">
        <v>1000</v>
      </c>
      <c r="U241" s="53">
        <v>12</v>
      </c>
      <c r="V241" s="58">
        <f t="shared" si="18"/>
        <v>12000</v>
      </c>
      <c r="W241" s="52" t="s">
        <v>49</v>
      </c>
      <c r="X241" s="52" t="s">
        <v>4382</v>
      </c>
      <c r="Y241" s="52" t="s">
        <v>4383</v>
      </c>
      <c r="Z241" s="52" t="s">
        <v>4384</v>
      </c>
      <c r="AA241" s="52">
        <v>0</v>
      </c>
      <c r="AB241" s="52">
        <v>0</v>
      </c>
      <c r="AC241" s="52">
        <v>0</v>
      </c>
      <c r="AD241" s="21">
        <v>1</v>
      </c>
      <c r="AE241" s="54">
        <v>1</v>
      </c>
      <c r="AF241" s="315">
        <f t="shared" si="21"/>
        <v>12000</v>
      </c>
    </row>
    <row r="242" spans="1:32" ht="210" x14ac:dyDescent="0.25">
      <c r="A242" s="86" t="s">
        <v>588</v>
      </c>
      <c r="B242" s="117" t="s">
        <v>2270</v>
      </c>
      <c r="C242" s="52"/>
      <c r="D242" s="52" t="s">
        <v>2282</v>
      </c>
      <c r="E242" s="22" t="str">
        <f t="shared" si="19"/>
        <v>SEJUSPPROG</v>
      </c>
      <c r="F242" s="116" t="s">
        <v>687</v>
      </c>
      <c r="G242" s="22" t="str">
        <f t="shared" si="20"/>
        <v>P705SEJUSP</v>
      </c>
      <c r="H242" s="52" t="s">
        <v>914</v>
      </c>
      <c r="I242" s="22" t="s">
        <v>16</v>
      </c>
      <c r="J242" s="52" t="s">
        <v>2131</v>
      </c>
      <c r="K242" s="22" t="str">
        <f>VLOOKUP(CONCATENATE(A242,LEFT(J242,4)),AGRUPAMENTO!$D$2:$E$6783,2,FALSE)</f>
        <v>Diárias e viagens</v>
      </c>
      <c r="L242" s="52" t="s">
        <v>44</v>
      </c>
      <c r="M242" s="52" t="str">
        <f t="shared" si="17"/>
        <v>FONTESEJUSP</v>
      </c>
      <c r="N242" s="52">
        <v>10</v>
      </c>
      <c r="O242" s="52" t="s">
        <v>2518</v>
      </c>
      <c r="P242" s="52" t="s">
        <v>46</v>
      </c>
      <c r="Q242" s="52" t="s">
        <v>3769</v>
      </c>
      <c r="R242" s="52">
        <v>12</v>
      </c>
      <c r="S242" s="52" t="s">
        <v>3770</v>
      </c>
      <c r="T242" s="88">
        <v>608</v>
      </c>
      <c r="U242" s="53">
        <v>4</v>
      </c>
      <c r="V242" s="58">
        <f t="shared" si="18"/>
        <v>29184</v>
      </c>
      <c r="W242" s="52" t="s">
        <v>49</v>
      </c>
      <c r="X242" s="52" t="s">
        <v>4385</v>
      </c>
      <c r="Y242" s="52" t="s">
        <v>4386</v>
      </c>
      <c r="Z242" s="52" t="s">
        <v>4387</v>
      </c>
      <c r="AA242" s="52">
        <v>0</v>
      </c>
      <c r="AB242" s="52">
        <v>0</v>
      </c>
      <c r="AC242" s="52">
        <v>0</v>
      </c>
      <c r="AD242" s="21">
        <v>0.86749884668513244</v>
      </c>
      <c r="AE242" s="54">
        <v>0.86749884668513244</v>
      </c>
      <c r="AF242" s="315">
        <f t="shared" si="21"/>
        <v>25317.086341658905</v>
      </c>
    </row>
    <row r="243" spans="1:32" ht="135" x14ac:dyDescent="0.25">
      <c r="A243" s="86" t="s">
        <v>588</v>
      </c>
      <c r="B243" s="117" t="s">
        <v>2270</v>
      </c>
      <c r="C243" s="52"/>
      <c r="D243" s="52" t="s">
        <v>2282</v>
      </c>
      <c r="E243" s="22" t="str">
        <f t="shared" si="19"/>
        <v>SEJUSPPROG</v>
      </c>
      <c r="F243" s="116" t="s">
        <v>687</v>
      </c>
      <c r="G243" s="22" t="str">
        <f t="shared" si="20"/>
        <v>P705SEJUSP</v>
      </c>
      <c r="H243" s="52" t="s">
        <v>914</v>
      </c>
      <c r="I243" s="22" t="s">
        <v>16</v>
      </c>
      <c r="J243" s="52" t="s">
        <v>2131</v>
      </c>
      <c r="K243" s="22" t="str">
        <f>VLOOKUP(CONCATENATE(A243,LEFT(J243,4)),AGRUPAMENTO!$D$2:$E$6783,2,FALSE)</f>
        <v>Diárias e viagens</v>
      </c>
      <c r="L243" s="52" t="s">
        <v>44</v>
      </c>
      <c r="M243" s="52" t="str">
        <f t="shared" si="17"/>
        <v>FONTESEJUSP</v>
      </c>
      <c r="N243" s="52">
        <v>10</v>
      </c>
      <c r="O243" s="52" t="s">
        <v>2519</v>
      </c>
      <c r="P243" s="52" t="s">
        <v>46</v>
      </c>
      <c r="Q243" s="52" t="s">
        <v>3771</v>
      </c>
      <c r="R243" s="52">
        <v>12</v>
      </c>
      <c r="S243" s="52" t="s">
        <v>3770</v>
      </c>
      <c r="T243" s="88">
        <v>608</v>
      </c>
      <c r="U243" s="53">
        <v>4</v>
      </c>
      <c r="V243" s="58">
        <f t="shared" si="18"/>
        <v>29184</v>
      </c>
      <c r="W243" s="52" t="s">
        <v>49</v>
      </c>
      <c r="X243" s="52" t="s">
        <v>4388</v>
      </c>
      <c r="Y243" s="52" t="s">
        <v>4389</v>
      </c>
      <c r="Z243" s="52" t="s">
        <v>4387</v>
      </c>
      <c r="AA243" s="52">
        <v>0</v>
      </c>
      <c r="AB243" s="52">
        <v>0</v>
      </c>
      <c r="AC243" s="52">
        <v>0</v>
      </c>
      <c r="AD243" s="21">
        <v>0.86749884668513244</v>
      </c>
      <c r="AE243" s="54">
        <v>0.86749884668513244</v>
      </c>
      <c r="AF243" s="315">
        <f t="shared" si="21"/>
        <v>25317.086341658905</v>
      </c>
    </row>
    <row r="244" spans="1:32" ht="409.5" x14ac:dyDescent="0.25">
      <c r="A244" s="86" t="s">
        <v>588</v>
      </c>
      <c r="B244" s="117" t="s">
        <v>2270</v>
      </c>
      <c r="C244" s="52"/>
      <c r="D244" s="52" t="s">
        <v>2282</v>
      </c>
      <c r="E244" s="22" t="str">
        <f t="shared" si="19"/>
        <v>SEJUSPPROG</v>
      </c>
      <c r="F244" s="116" t="s">
        <v>687</v>
      </c>
      <c r="G244" s="22" t="str">
        <f t="shared" si="20"/>
        <v>P705SEJUSP</v>
      </c>
      <c r="H244" s="52" t="s">
        <v>914</v>
      </c>
      <c r="I244" s="22" t="s">
        <v>16</v>
      </c>
      <c r="J244" s="52" t="s">
        <v>2131</v>
      </c>
      <c r="K244" s="22" t="str">
        <f>VLOOKUP(CONCATENATE(A244,LEFT(J244,4)),AGRUPAMENTO!$D$2:$E$6783,2,FALSE)</f>
        <v>Diárias e viagens</v>
      </c>
      <c r="L244" s="52" t="s">
        <v>44</v>
      </c>
      <c r="M244" s="52" t="str">
        <f t="shared" si="17"/>
        <v>FONTESEJUSP</v>
      </c>
      <c r="N244" s="52">
        <v>10</v>
      </c>
      <c r="O244" s="52" t="s">
        <v>2520</v>
      </c>
      <c r="P244" s="52" t="s">
        <v>46</v>
      </c>
      <c r="Q244" s="52" t="s">
        <v>3772</v>
      </c>
      <c r="R244" s="52">
        <v>12</v>
      </c>
      <c r="S244" s="52" t="s">
        <v>3773</v>
      </c>
      <c r="T244" s="88">
        <v>608</v>
      </c>
      <c r="U244" s="53">
        <v>4</v>
      </c>
      <c r="V244" s="58">
        <f t="shared" si="18"/>
        <v>29184</v>
      </c>
      <c r="W244" s="52" t="s">
        <v>49</v>
      </c>
      <c r="X244" s="52" t="s">
        <v>4390</v>
      </c>
      <c r="Y244" s="52" t="s">
        <v>4389</v>
      </c>
      <c r="Z244" s="52" t="s">
        <v>4387</v>
      </c>
      <c r="AA244" s="52">
        <v>0</v>
      </c>
      <c r="AB244" s="52">
        <v>0</v>
      </c>
      <c r="AC244" s="52">
        <v>0</v>
      </c>
      <c r="AD244" s="21">
        <v>0.86749884668513244</v>
      </c>
      <c r="AE244" s="54">
        <v>0.86749884668513244</v>
      </c>
      <c r="AF244" s="315">
        <f t="shared" si="21"/>
        <v>25317.086341658905</v>
      </c>
    </row>
    <row r="245" spans="1:32" ht="409.5" x14ac:dyDescent="0.25">
      <c r="A245" s="86" t="s">
        <v>588</v>
      </c>
      <c r="B245" s="117" t="s">
        <v>2270</v>
      </c>
      <c r="C245" s="52"/>
      <c r="D245" s="52" t="s">
        <v>2282</v>
      </c>
      <c r="E245" s="22" t="str">
        <f t="shared" si="19"/>
        <v>SEJUSPPROG</v>
      </c>
      <c r="F245" s="116" t="s">
        <v>687</v>
      </c>
      <c r="G245" s="22" t="str">
        <f t="shared" si="20"/>
        <v>P705SEJUSP</v>
      </c>
      <c r="H245" s="52" t="s">
        <v>914</v>
      </c>
      <c r="I245" s="22" t="s">
        <v>16</v>
      </c>
      <c r="J245" s="52" t="s">
        <v>2131</v>
      </c>
      <c r="K245" s="22" t="str">
        <f>VLOOKUP(CONCATENATE(A245,LEFT(J245,4)),AGRUPAMENTO!$D$2:$E$6783,2,FALSE)</f>
        <v>Diárias e viagens</v>
      </c>
      <c r="L245" s="52" t="s">
        <v>44</v>
      </c>
      <c r="M245" s="52" t="str">
        <f t="shared" si="17"/>
        <v>FONTESEJUSP</v>
      </c>
      <c r="N245" s="52">
        <v>10</v>
      </c>
      <c r="O245" s="52" t="s">
        <v>2521</v>
      </c>
      <c r="P245" s="52" t="s">
        <v>46</v>
      </c>
      <c r="Q245" s="52" t="s">
        <v>3774</v>
      </c>
      <c r="R245" s="52">
        <v>12</v>
      </c>
      <c r="S245" s="52" t="s">
        <v>3773</v>
      </c>
      <c r="T245" s="88">
        <v>608</v>
      </c>
      <c r="U245" s="53">
        <v>5</v>
      </c>
      <c r="V245" s="58">
        <f t="shared" si="18"/>
        <v>36480</v>
      </c>
      <c r="W245" s="52" t="s">
        <v>49</v>
      </c>
      <c r="X245" s="52" t="s">
        <v>4391</v>
      </c>
      <c r="Y245" s="52" t="s">
        <v>4392</v>
      </c>
      <c r="Z245" s="52" t="s">
        <v>4387</v>
      </c>
      <c r="AA245" s="52">
        <v>0</v>
      </c>
      <c r="AB245" s="52">
        <v>0</v>
      </c>
      <c r="AC245" s="52">
        <v>0</v>
      </c>
      <c r="AD245" s="21">
        <v>0.86749884668513244</v>
      </c>
      <c r="AE245" s="54">
        <v>0.86749884668513244</v>
      </c>
      <c r="AF245" s="315">
        <f t="shared" si="21"/>
        <v>31646.35792707363</v>
      </c>
    </row>
    <row r="246" spans="1:32" ht="210" x14ac:dyDescent="0.25">
      <c r="A246" s="86" t="s">
        <v>588</v>
      </c>
      <c r="B246" s="117" t="s">
        <v>2270</v>
      </c>
      <c r="C246" s="52"/>
      <c r="D246" s="52" t="s">
        <v>2282</v>
      </c>
      <c r="E246" s="22" t="str">
        <f t="shared" si="19"/>
        <v>SEJUSPPROG</v>
      </c>
      <c r="F246" s="116" t="s">
        <v>687</v>
      </c>
      <c r="G246" s="22" t="str">
        <f t="shared" si="20"/>
        <v>P705SEJUSP</v>
      </c>
      <c r="H246" s="52" t="s">
        <v>914</v>
      </c>
      <c r="I246" s="22" t="s">
        <v>16</v>
      </c>
      <c r="J246" s="52" t="s">
        <v>2131</v>
      </c>
      <c r="K246" s="22" t="str">
        <f>VLOOKUP(CONCATENATE(A246,LEFT(J246,4)),AGRUPAMENTO!$D$2:$E$6783,2,FALSE)</f>
        <v>Diárias e viagens</v>
      </c>
      <c r="L246" s="52" t="s">
        <v>44</v>
      </c>
      <c r="M246" s="52" t="str">
        <f t="shared" si="17"/>
        <v>FONTESEJUSP</v>
      </c>
      <c r="N246" s="52">
        <v>10</v>
      </c>
      <c r="O246" s="52" t="s">
        <v>2522</v>
      </c>
      <c r="P246" s="52" t="s">
        <v>46</v>
      </c>
      <c r="Q246" s="52" t="s">
        <v>3775</v>
      </c>
      <c r="R246" s="52">
        <v>12</v>
      </c>
      <c r="S246" s="52" t="s">
        <v>48</v>
      </c>
      <c r="T246" s="88">
        <v>362</v>
      </c>
      <c r="U246" s="53">
        <v>4</v>
      </c>
      <c r="V246" s="58">
        <f t="shared" si="18"/>
        <v>17376</v>
      </c>
      <c r="W246" s="52" t="s">
        <v>49</v>
      </c>
      <c r="X246" s="52" t="s">
        <v>4393</v>
      </c>
      <c r="Y246" s="52" t="s">
        <v>4394</v>
      </c>
      <c r="Z246" s="52" t="s">
        <v>4395</v>
      </c>
      <c r="AA246" s="52">
        <v>0</v>
      </c>
      <c r="AB246" s="52">
        <v>0</v>
      </c>
      <c r="AC246" s="52">
        <v>0</v>
      </c>
      <c r="AD246" s="21">
        <v>0.86749884668513244</v>
      </c>
      <c r="AE246" s="54">
        <v>0.86749884668513244</v>
      </c>
      <c r="AF246" s="315">
        <f t="shared" si="21"/>
        <v>15073.659960000861</v>
      </c>
    </row>
    <row r="247" spans="1:32" ht="210" x14ac:dyDescent="0.25">
      <c r="A247" s="86" t="s">
        <v>588</v>
      </c>
      <c r="B247" s="117" t="s">
        <v>2270</v>
      </c>
      <c r="C247" s="52"/>
      <c r="D247" s="52" t="s">
        <v>2282</v>
      </c>
      <c r="E247" s="22" t="str">
        <f t="shared" si="19"/>
        <v>SEJUSPPROG</v>
      </c>
      <c r="F247" s="116" t="s">
        <v>687</v>
      </c>
      <c r="G247" s="22" t="str">
        <f t="shared" si="20"/>
        <v>P705SEJUSP</v>
      </c>
      <c r="H247" s="52" t="s">
        <v>914</v>
      </c>
      <c r="I247" s="22" t="s">
        <v>16</v>
      </c>
      <c r="J247" s="52" t="s">
        <v>2131</v>
      </c>
      <c r="K247" s="22" t="str">
        <f>VLOOKUP(CONCATENATE(A247,LEFT(J247,4)),AGRUPAMENTO!$D$2:$E$6783,2,FALSE)</f>
        <v>Diárias e viagens</v>
      </c>
      <c r="L247" s="52" t="s">
        <v>44</v>
      </c>
      <c r="M247" s="52" t="str">
        <f t="shared" si="17"/>
        <v>FONTESEJUSP</v>
      </c>
      <c r="N247" s="52">
        <v>10</v>
      </c>
      <c r="O247" s="52" t="s">
        <v>2523</v>
      </c>
      <c r="P247" s="52" t="s">
        <v>46</v>
      </c>
      <c r="Q247" s="52" t="s">
        <v>3775</v>
      </c>
      <c r="R247" s="52">
        <v>12</v>
      </c>
      <c r="S247" s="52" t="s">
        <v>48</v>
      </c>
      <c r="T247" s="88">
        <v>362</v>
      </c>
      <c r="U247" s="53">
        <v>4</v>
      </c>
      <c r="V247" s="58">
        <f t="shared" si="18"/>
        <v>17376</v>
      </c>
      <c r="W247" s="52" t="s">
        <v>49</v>
      </c>
      <c r="X247" s="52" t="s">
        <v>4396</v>
      </c>
      <c r="Y247" s="52" t="s">
        <v>4394</v>
      </c>
      <c r="Z247" s="52" t="s">
        <v>4395</v>
      </c>
      <c r="AA247" s="52">
        <v>0</v>
      </c>
      <c r="AB247" s="52">
        <v>0</v>
      </c>
      <c r="AC247" s="52">
        <v>0</v>
      </c>
      <c r="AD247" s="21">
        <v>0.86749884668513244</v>
      </c>
      <c r="AE247" s="54">
        <v>0.86749884668513244</v>
      </c>
      <c r="AF247" s="315">
        <f t="shared" si="21"/>
        <v>15073.659960000861</v>
      </c>
    </row>
    <row r="248" spans="1:32" ht="240" x14ac:dyDescent="0.25">
      <c r="A248" s="86" t="s">
        <v>588</v>
      </c>
      <c r="B248" s="117" t="s">
        <v>2270</v>
      </c>
      <c r="C248" s="52"/>
      <c r="D248" s="52" t="s">
        <v>2283</v>
      </c>
      <c r="E248" s="22" t="str">
        <f t="shared" si="19"/>
        <v>SEJUSPPROG</v>
      </c>
      <c r="F248" s="116" t="s">
        <v>687</v>
      </c>
      <c r="G248" s="22" t="str">
        <f t="shared" si="20"/>
        <v>P705SEJUSP</v>
      </c>
      <c r="H248" s="52" t="s">
        <v>914</v>
      </c>
      <c r="I248" s="22" t="s">
        <v>16</v>
      </c>
      <c r="J248" s="52" t="s">
        <v>2131</v>
      </c>
      <c r="K248" s="22" t="str">
        <f>VLOOKUP(CONCATENATE(A248,LEFT(J248,4)),AGRUPAMENTO!$D$2:$E$6783,2,FALSE)</f>
        <v>Diárias e viagens</v>
      </c>
      <c r="L248" s="52" t="s">
        <v>44</v>
      </c>
      <c r="M248" s="52" t="str">
        <f t="shared" si="17"/>
        <v>FONTESEJUSP</v>
      </c>
      <c r="N248" s="52">
        <v>10</v>
      </c>
      <c r="O248" s="52" t="s">
        <v>2524</v>
      </c>
      <c r="P248" s="52" t="s">
        <v>46</v>
      </c>
      <c r="Q248" s="52" t="s">
        <v>3776</v>
      </c>
      <c r="R248" s="52">
        <v>4</v>
      </c>
      <c r="S248" s="52" t="s">
        <v>3777</v>
      </c>
      <c r="T248" s="88">
        <v>608</v>
      </c>
      <c r="U248" s="53">
        <v>1</v>
      </c>
      <c r="V248" s="58">
        <f t="shared" si="18"/>
        <v>2432</v>
      </c>
      <c r="W248" s="52" t="s">
        <v>49</v>
      </c>
      <c r="X248" s="52" t="s">
        <v>4397</v>
      </c>
      <c r="Y248" s="52" t="s">
        <v>4398</v>
      </c>
      <c r="Z248" s="52" t="s">
        <v>4399</v>
      </c>
      <c r="AA248" s="52">
        <v>0</v>
      </c>
      <c r="AB248" s="52">
        <v>0</v>
      </c>
      <c r="AC248" s="52">
        <v>0</v>
      </c>
      <c r="AD248" s="21">
        <v>0.86749884668513244</v>
      </c>
      <c r="AE248" s="54">
        <v>0.86749884668513244</v>
      </c>
      <c r="AF248" s="315">
        <f t="shared" si="21"/>
        <v>2109.757195138242</v>
      </c>
    </row>
    <row r="249" spans="1:32" ht="240" x14ac:dyDescent="0.25">
      <c r="A249" s="86" t="s">
        <v>588</v>
      </c>
      <c r="B249" s="117" t="s">
        <v>2270</v>
      </c>
      <c r="C249" s="52"/>
      <c r="D249" s="52" t="s">
        <v>2283</v>
      </c>
      <c r="E249" s="22" t="str">
        <f t="shared" si="19"/>
        <v>SEJUSPPROG</v>
      </c>
      <c r="F249" s="116" t="s">
        <v>687</v>
      </c>
      <c r="G249" s="22" t="str">
        <f t="shared" si="20"/>
        <v>P705SEJUSP</v>
      </c>
      <c r="H249" s="52" t="s">
        <v>914</v>
      </c>
      <c r="I249" s="22" t="s">
        <v>16</v>
      </c>
      <c r="J249" s="52" t="s">
        <v>2131</v>
      </c>
      <c r="K249" s="22" t="str">
        <f>VLOOKUP(CONCATENATE(A249,LEFT(J249,4)),AGRUPAMENTO!$D$2:$E$6783,2,FALSE)</f>
        <v>Diárias e viagens</v>
      </c>
      <c r="L249" s="52" t="s">
        <v>44</v>
      </c>
      <c r="M249" s="52" t="str">
        <f t="shared" si="17"/>
        <v>FONTESEJUSP</v>
      </c>
      <c r="N249" s="52">
        <v>10</v>
      </c>
      <c r="O249" s="52" t="s">
        <v>2524</v>
      </c>
      <c r="P249" s="52" t="s">
        <v>46</v>
      </c>
      <c r="Q249" s="52" t="s">
        <v>3778</v>
      </c>
      <c r="R249" s="52">
        <v>4</v>
      </c>
      <c r="S249" s="52" t="s">
        <v>3779</v>
      </c>
      <c r="T249" s="88">
        <v>362</v>
      </c>
      <c r="U249" s="53">
        <v>1</v>
      </c>
      <c r="V249" s="58">
        <f t="shared" si="18"/>
        <v>1448</v>
      </c>
      <c r="W249" s="52" t="s">
        <v>49</v>
      </c>
      <c r="X249" s="52" t="s">
        <v>4397</v>
      </c>
      <c r="Y249" s="52" t="s">
        <v>4398</v>
      </c>
      <c r="Z249" s="52" t="s">
        <v>4399</v>
      </c>
      <c r="AA249" s="52">
        <v>0</v>
      </c>
      <c r="AB249" s="52">
        <v>0</v>
      </c>
      <c r="AC249" s="52">
        <v>0</v>
      </c>
      <c r="AD249" s="21">
        <v>0.86749884668513244</v>
      </c>
      <c r="AE249" s="54">
        <v>0.86749884668513244</v>
      </c>
      <c r="AF249" s="315">
        <f t="shared" si="21"/>
        <v>1256.1383300000718</v>
      </c>
    </row>
    <row r="250" spans="1:32" ht="165" x14ac:dyDescent="0.25">
      <c r="A250" s="86" t="s">
        <v>588</v>
      </c>
      <c r="B250" s="117" t="s">
        <v>2270</v>
      </c>
      <c r="C250" s="52"/>
      <c r="D250" s="52" t="s">
        <v>2283</v>
      </c>
      <c r="E250" s="22" t="str">
        <f t="shared" si="19"/>
        <v>SEJUSPPROG</v>
      </c>
      <c r="F250" s="52" t="s">
        <v>705</v>
      </c>
      <c r="G250" s="22" t="str">
        <f t="shared" si="20"/>
        <v>P134SEJUSP</v>
      </c>
      <c r="H250" s="52" t="s">
        <v>1342</v>
      </c>
      <c r="I250" s="22" t="s">
        <v>16</v>
      </c>
      <c r="J250" s="52" t="s">
        <v>2218</v>
      </c>
      <c r="K250" s="22" t="str">
        <f>VLOOKUP(CONCATENATE(A250,LEFT(J250,4)),AGRUPAMENTO!$D$2:$E$6783,2,FALSE)</f>
        <v>Obrigações tributárias</v>
      </c>
      <c r="L250" s="52" t="s">
        <v>44</v>
      </c>
      <c r="M250" s="52" t="str">
        <f t="shared" si="17"/>
        <v>FONTESEJUSP</v>
      </c>
      <c r="N250" s="52">
        <v>10</v>
      </c>
      <c r="O250" s="52" t="s">
        <v>2525</v>
      </c>
      <c r="P250" s="52" t="s">
        <v>46</v>
      </c>
      <c r="Q250" s="52" t="s">
        <v>3780</v>
      </c>
      <c r="R250" s="52">
        <v>15</v>
      </c>
      <c r="S250" s="52" t="s">
        <v>3781</v>
      </c>
      <c r="T250" s="88">
        <v>46</v>
      </c>
      <c r="U250" s="53">
        <v>12</v>
      </c>
      <c r="V250" s="58">
        <f t="shared" si="18"/>
        <v>8280</v>
      </c>
      <c r="W250" s="52" t="s">
        <v>49</v>
      </c>
      <c r="X250" s="52" t="s">
        <v>4400</v>
      </c>
      <c r="Y250" s="52" t="s">
        <v>4401</v>
      </c>
      <c r="Z250" s="52" t="s">
        <v>4402</v>
      </c>
      <c r="AA250" s="52">
        <v>0</v>
      </c>
      <c r="AB250" s="52">
        <v>0</v>
      </c>
      <c r="AC250" s="52">
        <v>0</v>
      </c>
      <c r="AD250" s="21">
        <v>0.20034174244500716</v>
      </c>
      <c r="AE250" s="54">
        <v>0.20034174244500716</v>
      </c>
      <c r="AF250" s="315">
        <f t="shared" si="21"/>
        <v>1658.8296274446593</v>
      </c>
    </row>
    <row r="251" spans="1:32" ht="165" x14ac:dyDescent="0.25">
      <c r="A251" s="86" t="s">
        <v>588</v>
      </c>
      <c r="B251" s="117" t="s">
        <v>2270</v>
      </c>
      <c r="C251" s="52"/>
      <c r="D251" s="52" t="s">
        <v>2283</v>
      </c>
      <c r="E251" s="22" t="str">
        <f t="shared" si="19"/>
        <v>SEJUSPPROG</v>
      </c>
      <c r="F251" s="52" t="s">
        <v>705</v>
      </c>
      <c r="G251" s="22" t="str">
        <f t="shared" si="20"/>
        <v>P134SEJUSP</v>
      </c>
      <c r="H251" s="52" t="s">
        <v>1342</v>
      </c>
      <c r="I251" s="22" t="s">
        <v>16</v>
      </c>
      <c r="J251" s="52" t="s">
        <v>1695</v>
      </c>
      <c r="K251" s="22" t="str">
        <f>VLOOKUP(CONCATENATE(A251,LEFT(J251,4)),AGRUPAMENTO!$D$2:$E$6783,2,FALSE)</f>
        <v>Aluguéis e condomínios</v>
      </c>
      <c r="L251" s="52" t="s">
        <v>44</v>
      </c>
      <c r="M251" s="52" t="str">
        <f t="shared" si="17"/>
        <v>FONTESEJUSP</v>
      </c>
      <c r="N251" s="52">
        <v>10</v>
      </c>
      <c r="O251" s="52" t="s">
        <v>2525</v>
      </c>
      <c r="P251" s="52" t="s">
        <v>46</v>
      </c>
      <c r="Q251" s="52" t="s">
        <v>3780</v>
      </c>
      <c r="R251" s="52">
        <v>15</v>
      </c>
      <c r="S251" s="52" t="s">
        <v>3782</v>
      </c>
      <c r="T251" s="88">
        <v>485</v>
      </c>
      <c r="U251" s="53">
        <v>12</v>
      </c>
      <c r="V251" s="58">
        <f t="shared" si="18"/>
        <v>87300</v>
      </c>
      <c r="W251" s="52" t="s">
        <v>49</v>
      </c>
      <c r="X251" s="52" t="s">
        <v>4400</v>
      </c>
      <c r="Y251" s="52" t="s">
        <v>4401</v>
      </c>
      <c r="Z251" s="52" t="s">
        <v>4402</v>
      </c>
      <c r="AA251" s="52">
        <v>0</v>
      </c>
      <c r="AB251" s="52">
        <v>0</v>
      </c>
      <c r="AC251" s="52">
        <v>0</v>
      </c>
      <c r="AD251" s="21">
        <v>1</v>
      </c>
      <c r="AE251" s="54">
        <v>1</v>
      </c>
      <c r="AF251" s="315">
        <f t="shared" si="21"/>
        <v>87300</v>
      </c>
    </row>
    <row r="252" spans="1:32" ht="135" x14ac:dyDescent="0.25">
      <c r="A252" s="86" t="s">
        <v>588</v>
      </c>
      <c r="B252" s="117" t="s">
        <v>2270</v>
      </c>
      <c r="C252" s="52"/>
      <c r="D252" s="52" t="s">
        <v>2284</v>
      </c>
      <c r="E252" s="22" t="str">
        <f t="shared" si="19"/>
        <v>SEJUSPPROG</v>
      </c>
      <c r="F252" s="116" t="s">
        <v>687</v>
      </c>
      <c r="G252" s="22" t="str">
        <f t="shared" si="20"/>
        <v>P705SEJUSP</v>
      </c>
      <c r="H252" s="52" t="s">
        <v>914</v>
      </c>
      <c r="I252" s="22" t="s">
        <v>16</v>
      </c>
      <c r="J252" s="52" t="s">
        <v>2131</v>
      </c>
      <c r="K252" s="22" t="str">
        <f>VLOOKUP(CONCATENATE(A252,LEFT(J252,4)),AGRUPAMENTO!$D$2:$E$6783,2,FALSE)</f>
        <v>Diárias e viagens</v>
      </c>
      <c r="L252" s="52" t="s">
        <v>44</v>
      </c>
      <c r="M252" s="52" t="str">
        <f t="shared" si="17"/>
        <v>FONTESEJUSP</v>
      </c>
      <c r="N252" s="52">
        <v>10</v>
      </c>
      <c r="O252" s="52" t="s">
        <v>2526</v>
      </c>
      <c r="P252" s="52" t="s">
        <v>46</v>
      </c>
      <c r="Q252" s="52" t="s">
        <v>3783</v>
      </c>
      <c r="R252" s="52">
        <v>120</v>
      </c>
      <c r="S252" s="52" t="s">
        <v>3784</v>
      </c>
      <c r="T252" s="88">
        <v>470</v>
      </c>
      <c r="U252" s="53">
        <v>1</v>
      </c>
      <c r="V252" s="58">
        <f t="shared" si="18"/>
        <v>56400</v>
      </c>
      <c r="W252" s="52" t="s">
        <v>49</v>
      </c>
      <c r="X252" s="52" t="s">
        <v>4403</v>
      </c>
      <c r="Y252" s="52" t="s">
        <v>4404</v>
      </c>
      <c r="Z252" s="52" t="s">
        <v>4405</v>
      </c>
      <c r="AA252" s="52">
        <v>0</v>
      </c>
      <c r="AB252" s="52">
        <v>0</v>
      </c>
      <c r="AC252" s="52">
        <v>0</v>
      </c>
      <c r="AD252" s="21">
        <v>0.86749884668513244</v>
      </c>
      <c r="AE252" s="54">
        <v>0.86749884668513244</v>
      </c>
      <c r="AF252" s="315">
        <f t="shared" si="21"/>
        <v>48926.934953041469</v>
      </c>
    </row>
    <row r="253" spans="1:32" ht="105" x14ac:dyDescent="0.25">
      <c r="A253" s="86" t="s">
        <v>588</v>
      </c>
      <c r="B253" s="117" t="s">
        <v>2270</v>
      </c>
      <c r="C253" s="52"/>
      <c r="D253" s="107" t="s">
        <v>2285</v>
      </c>
      <c r="E253" s="22" t="str">
        <f t="shared" si="19"/>
        <v>SEJUSPPROG</v>
      </c>
      <c r="F253" s="116" t="s">
        <v>687</v>
      </c>
      <c r="G253" s="22" t="str">
        <f t="shared" si="20"/>
        <v>P705SEJUSP</v>
      </c>
      <c r="H253" s="52" t="s">
        <v>914</v>
      </c>
      <c r="I253" s="22" t="s">
        <v>16</v>
      </c>
      <c r="J253" s="52" t="s">
        <v>442</v>
      </c>
      <c r="K253" s="22" t="str">
        <f>VLOOKUP(CONCATENATE(A253,LEFT(J253,4)),AGRUPAMENTO!$D$2:$E$6783,2,FALSE)</f>
        <v>Encargos e Multas</v>
      </c>
      <c r="L253" s="52" t="s">
        <v>44</v>
      </c>
      <c r="M253" s="52" t="str">
        <f t="shared" si="17"/>
        <v>FONTESEJUSP</v>
      </c>
      <c r="N253" s="52">
        <v>10</v>
      </c>
      <c r="O253" s="52" t="s">
        <v>2527</v>
      </c>
      <c r="P253" s="52" t="s">
        <v>46</v>
      </c>
      <c r="Q253" s="52" t="s">
        <v>3785</v>
      </c>
      <c r="R253" s="52">
        <v>1</v>
      </c>
      <c r="S253" s="52" t="s">
        <v>3785</v>
      </c>
      <c r="T253" s="88">
        <v>130000</v>
      </c>
      <c r="U253" s="53">
        <v>1</v>
      </c>
      <c r="V253" s="58">
        <f t="shared" si="18"/>
        <v>130000</v>
      </c>
      <c r="W253" s="52" t="s">
        <v>49</v>
      </c>
      <c r="X253" s="52" t="s">
        <v>4406</v>
      </c>
      <c r="Y253" s="52" t="s">
        <v>4407</v>
      </c>
      <c r="Z253" s="52" t="s">
        <v>4408</v>
      </c>
      <c r="AA253" s="52">
        <v>0</v>
      </c>
      <c r="AB253" s="52">
        <v>0</v>
      </c>
      <c r="AC253" s="52">
        <v>0</v>
      </c>
      <c r="AD253" s="21">
        <v>1</v>
      </c>
      <c r="AE253" s="54">
        <v>1</v>
      </c>
      <c r="AF253" s="315">
        <f t="shared" si="21"/>
        <v>130000</v>
      </c>
    </row>
    <row r="254" spans="1:32" ht="120" x14ac:dyDescent="0.25">
      <c r="A254" s="86" t="s">
        <v>588</v>
      </c>
      <c r="B254" s="117" t="s">
        <v>2270</v>
      </c>
      <c r="C254" s="52"/>
      <c r="D254" s="107" t="s">
        <v>2285</v>
      </c>
      <c r="E254" s="22" t="str">
        <f t="shared" si="19"/>
        <v>SEJUSPPROG</v>
      </c>
      <c r="F254" s="116" t="s">
        <v>687</v>
      </c>
      <c r="G254" s="22" t="str">
        <f t="shared" si="20"/>
        <v>P705SEJUSP</v>
      </c>
      <c r="H254" s="52" t="s">
        <v>914</v>
      </c>
      <c r="I254" s="22" t="s">
        <v>16</v>
      </c>
      <c r="J254" s="52" t="s">
        <v>2131</v>
      </c>
      <c r="K254" s="22" t="str">
        <f>VLOOKUP(CONCATENATE(A254,LEFT(J254,4)),AGRUPAMENTO!$D$2:$E$6783,2,FALSE)</f>
        <v>Diárias e viagens</v>
      </c>
      <c r="L254" s="52" t="s">
        <v>44</v>
      </c>
      <c r="M254" s="52" t="str">
        <f t="shared" si="17"/>
        <v>FONTESEJUSP</v>
      </c>
      <c r="N254" s="52">
        <v>10</v>
      </c>
      <c r="O254" s="52" t="s">
        <v>2528</v>
      </c>
      <c r="P254" s="52" t="s">
        <v>46</v>
      </c>
      <c r="Q254" s="52" t="s">
        <v>3786</v>
      </c>
      <c r="R254" s="52">
        <v>484</v>
      </c>
      <c r="S254" s="52" t="s">
        <v>3787</v>
      </c>
      <c r="T254" s="88">
        <v>362</v>
      </c>
      <c r="U254" s="53">
        <v>1</v>
      </c>
      <c r="V254" s="58">
        <f t="shared" si="18"/>
        <v>175208</v>
      </c>
      <c r="W254" s="52" t="s">
        <v>49</v>
      </c>
      <c r="X254" s="52" t="s">
        <v>4409</v>
      </c>
      <c r="Y254" s="52" t="s">
        <v>4410</v>
      </c>
      <c r="Z254" s="52" t="s">
        <v>4411</v>
      </c>
      <c r="AA254" s="52">
        <v>0</v>
      </c>
      <c r="AB254" s="52">
        <v>0</v>
      </c>
      <c r="AC254" s="52">
        <v>0</v>
      </c>
      <c r="AD254" s="21">
        <v>0.86749884668513244</v>
      </c>
      <c r="AE254" s="54">
        <v>0.86749884668513244</v>
      </c>
      <c r="AF254" s="315">
        <f t="shared" si="21"/>
        <v>151992.73793000868</v>
      </c>
    </row>
    <row r="255" spans="1:32" ht="120" x14ac:dyDescent="0.25">
      <c r="A255" s="86" t="s">
        <v>588</v>
      </c>
      <c r="B255" s="117" t="s">
        <v>2270</v>
      </c>
      <c r="C255" s="52"/>
      <c r="D255" s="52" t="s">
        <v>2286</v>
      </c>
      <c r="E255" s="22" t="str">
        <f t="shared" si="19"/>
        <v>SEJUSPPROG</v>
      </c>
      <c r="F255" s="52" t="s">
        <v>705</v>
      </c>
      <c r="G255" s="22" t="str">
        <f t="shared" si="20"/>
        <v>P134SEJUSP</v>
      </c>
      <c r="H255" s="52" t="s">
        <v>1309</v>
      </c>
      <c r="I255" s="22" t="s">
        <v>16</v>
      </c>
      <c r="J255" s="52" t="s">
        <v>2149</v>
      </c>
      <c r="K255" s="22" t="str">
        <f>VLOOKUP(CONCATENATE(A255,LEFT(J255,4)),AGRUPAMENTO!$D$2:$E$6783,2,FALSE)</f>
        <v>Diárias e viagens</v>
      </c>
      <c r="L255" s="52" t="s">
        <v>44</v>
      </c>
      <c r="M255" s="52" t="str">
        <f t="shared" si="17"/>
        <v>FONTESEJUSP</v>
      </c>
      <c r="N255" s="52">
        <v>10</v>
      </c>
      <c r="O255" s="52" t="s">
        <v>2529</v>
      </c>
      <c r="P255" s="52" t="s">
        <v>46</v>
      </c>
      <c r="Q255" s="52" t="s">
        <v>3788</v>
      </c>
      <c r="R255" s="52">
        <v>4</v>
      </c>
      <c r="S255" s="52" t="s">
        <v>3789</v>
      </c>
      <c r="T255" s="88">
        <v>3000</v>
      </c>
      <c r="U255" s="53">
        <v>4</v>
      </c>
      <c r="V255" s="58">
        <f t="shared" si="18"/>
        <v>48000</v>
      </c>
      <c r="W255" s="52" t="s">
        <v>49</v>
      </c>
      <c r="X255" s="52" t="s">
        <v>4412</v>
      </c>
      <c r="Y255" s="52" t="s">
        <v>4413</v>
      </c>
      <c r="Z255" s="52" t="s">
        <v>4414</v>
      </c>
      <c r="AA255" s="52">
        <v>0</v>
      </c>
      <c r="AB255" s="52">
        <v>0</v>
      </c>
      <c r="AC255" s="52">
        <v>0</v>
      </c>
      <c r="AD255" s="21">
        <v>0.86749884668513244</v>
      </c>
      <c r="AE255" s="54">
        <v>0.86749884668513244</v>
      </c>
      <c r="AF255" s="315">
        <f t="shared" si="21"/>
        <v>41639.944640886359</v>
      </c>
    </row>
    <row r="256" spans="1:32" ht="120" x14ac:dyDescent="0.25">
      <c r="A256" s="86" t="s">
        <v>588</v>
      </c>
      <c r="B256" s="117" t="s">
        <v>2270</v>
      </c>
      <c r="C256" s="52"/>
      <c r="D256" s="52" t="s">
        <v>2286</v>
      </c>
      <c r="E256" s="22" t="str">
        <f t="shared" si="19"/>
        <v>SEJUSPPROG</v>
      </c>
      <c r="F256" s="52" t="s">
        <v>705</v>
      </c>
      <c r="G256" s="22" t="str">
        <f t="shared" si="20"/>
        <v>P134SEJUSP</v>
      </c>
      <c r="H256" s="52" t="s">
        <v>1309</v>
      </c>
      <c r="I256" s="22" t="s">
        <v>16</v>
      </c>
      <c r="J256" s="52" t="s">
        <v>2150</v>
      </c>
      <c r="K256" s="22" t="str">
        <f>VLOOKUP(CONCATENATE(A256,LEFT(J256,4)),AGRUPAMENTO!$D$2:$E$6783,2,FALSE)</f>
        <v>Diárias e viagens</v>
      </c>
      <c r="L256" s="52" t="s">
        <v>44</v>
      </c>
      <c r="M256" s="52" t="str">
        <f t="shared" si="17"/>
        <v>FONTESEJUSP</v>
      </c>
      <c r="N256" s="52">
        <v>10</v>
      </c>
      <c r="O256" s="52" t="s">
        <v>2530</v>
      </c>
      <c r="P256" s="52" t="s">
        <v>58</v>
      </c>
      <c r="Q256" s="52" t="s">
        <v>3790</v>
      </c>
      <c r="R256" s="52">
        <v>4</v>
      </c>
      <c r="S256" s="52" t="s">
        <v>3789</v>
      </c>
      <c r="T256" s="88">
        <v>25</v>
      </c>
      <c r="U256" s="53">
        <v>4</v>
      </c>
      <c r="V256" s="58">
        <f t="shared" si="18"/>
        <v>400</v>
      </c>
      <c r="W256" s="52" t="s">
        <v>49</v>
      </c>
      <c r="X256" s="52" t="s">
        <v>4415</v>
      </c>
      <c r="Y256" s="52" t="s">
        <v>4413</v>
      </c>
      <c r="Z256" s="52" t="s">
        <v>4414</v>
      </c>
      <c r="AA256" s="52">
        <v>0</v>
      </c>
      <c r="AB256" s="52">
        <v>0</v>
      </c>
      <c r="AC256" s="52">
        <v>0</v>
      </c>
      <c r="AD256" s="21">
        <v>0.86749884668513244</v>
      </c>
      <c r="AE256" s="54">
        <v>0.86749884668513244</v>
      </c>
      <c r="AF256" s="315">
        <f t="shared" si="21"/>
        <v>346.99953867405299</v>
      </c>
    </row>
    <row r="257" spans="1:32" ht="180" x14ac:dyDescent="0.25">
      <c r="A257" s="86" t="s">
        <v>588</v>
      </c>
      <c r="B257" s="117" t="s">
        <v>2270</v>
      </c>
      <c r="C257" s="52"/>
      <c r="D257" s="52" t="s">
        <v>2287</v>
      </c>
      <c r="E257" s="22" t="str">
        <f t="shared" si="19"/>
        <v>SEJUSPPROG</v>
      </c>
      <c r="F257" s="116" t="s">
        <v>687</v>
      </c>
      <c r="G257" s="22" t="str">
        <f t="shared" si="20"/>
        <v>P705SEJUSP</v>
      </c>
      <c r="H257" s="52" t="s">
        <v>914</v>
      </c>
      <c r="I257" s="22" t="s">
        <v>16</v>
      </c>
      <c r="J257" s="52" t="s">
        <v>2131</v>
      </c>
      <c r="K257" s="22" t="str">
        <f>VLOOKUP(CONCATENATE(A257,LEFT(J257,4)),AGRUPAMENTO!$D$2:$E$6783,2,FALSE)</f>
        <v>Diárias e viagens</v>
      </c>
      <c r="L257" s="52" t="s">
        <v>44</v>
      </c>
      <c r="M257" s="52" t="str">
        <f t="shared" ref="M257:M320" si="22">CONCATENATE("FONTE",A257)</f>
        <v>FONTESEJUSP</v>
      </c>
      <c r="N257" s="52">
        <v>10</v>
      </c>
      <c r="O257" s="52" t="s">
        <v>2531</v>
      </c>
      <c r="P257" s="52" t="s">
        <v>46</v>
      </c>
      <c r="Q257" s="52" t="s">
        <v>3791</v>
      </c>
      <c r="R257" s="52">
        <v>8</v>
      </c>
      <c r="S257" s="52" t="s">
        <v>48</v>
      </c>
      <c r="T257" s="88">
        <v>362</v>
      </c>
      <c r="U257" s="53">
        <v>4</v>
      </c>
      <c r="V257" s="58">
        <f t="shared" si="18"/>
        <v>11584</v>
      </c>
      <c r="W257" s="52" t="s">
        <v>49</v>
      </c>
      <c r="X257" s="52" t="s">
        <v>4416</v>
      </c>
      <c r="Y257" s="270" t="s">
        <v>4417</v>
      </c>
      <c r="Z257" s="270" t="s">
        <v>4418</v>
      </c>
      <c r="AA257" s="52">
        <v>0</v>
      </c>
      <c r="AB257" s="52">
        <v>0</v>
      </c>
      <c r="AC257" s="52">
        <v>0</v>
      </c>
      <c r="AD257" s="21">
        <v>0.86749884668513244</v>
      </c>
      <c r="AE257" s="54">
        <v>0.86749884668513244</v>
      </c>
      <c r="AF257" s="315">
        <f t="shared" si="21"/>
        <v>10049.106640000575</v>
      </c>
    </row>
    <row r="258" spans="1:32" ht="105" x14ac:dyDescent="0.25">
      <c r="A258" s="86" t="s">
        <v>588</v>
      </c>
      <c r="B258" s="117" t="s">
        <v>2270</v>
      </c>
      <c r="C258" s="52"/>
      <c r="D258" s="52" t="s">
        <v>2287</v>
      </c>
      <c r="E258" s="22" t="str">
        <f t="shared" si="19"/>
        <v>SEJUSPPROG</v>
      </c>
      <c r="F258" s="116" t="s">
        <v>687</v>
      </c>
      <c r="G258" s="22" t="str">
        <f t="shared" si="20"/>
        <v>P705SEJUSP</v>
      </c>
      <c r="H258" s="52" t="s">
        <v>914</v>
      </c>
      <c r="I258" s="22" t="s">
        <v>16</v>
      </c>
      <c r="J258" s="52" t="s">
        <v>2131</v>
      </c>
      <c r="K258" s="22" t="str">
        <f>VLOOKUP(CONCATENATE(A258,LEFT(J258,4)),AGRUPAMENTO!$D$2:$E$6783,2,FALSE)</f>
        <v>Diárias e viagens</v>
      </c>
      <c r="L258" s="52" t="s">
        <v>44</v>
      </c>
      <c r="M258" s="52" t="str">
        <f t="shared" si="22"/>
        <v>FONTESEJUSP</v>
      </c>
      <c r="N258" s="52">
        <v>10</v>
      </c>
      <c r="O258" s="52" t="s">
        <v>2532</v>
      </c>
      <c r="P258" s="52" t="s">
        <v>46</v>
      </c>
      <c r="Q258" s="52" t="s">
        <v>3791</v>
      </c>
      <c r="R258" s="52">
        <v>8</v>
      </c>
      <c r="S258" s="52" t="s">
        <v>48</v>
      </c>
      <c r="T258" s="88">
        <v>362</v>
      </c>
      <c r="U258" s="53">
        <v>4</v>
      </c>
      <c r="V258" s="58">
        <f t="shared" ref="V258:V321" si="23">R258*T258*U258</f>
        <v>11584</v>
      </c>
      <c r="W258" s="52" t="s">
        <v>49</v>
      </c>
      <c r="X258" s="52" t="s">
        <v>4419</v>
      </c>
      <c r="Y258" s="52" t="s">
        <v>4420</v>
      </c>
      <c r="Z258" s="270" t="s">
        <v>4421</v>
      </c>
      <c r="AA258" s="52">
        <v>0</v>
      </c>
      <c r="AB258" s="52">
        <v>0</v>
      </c>
      <c r="AC258" s="52">
        <v>0</v>
      </c>
      <c r="AD258" s="21">
        <v>0.86749884668513244</v>
      </c>
      <c r="AE258" s="54">
        <v>0.86749884668513244</v>
      </c>
      <c r="AF258" s="315">
        <f t="shared" si="21"/>
        <v>10049.106640000575</v>
      </c>
    </row>
    <row r="259" spans="1:32" ht="120" x14ac:dyDescent="0.25">
      <c r="A259" s="86" t="s">
        <v>588</v>
      </c>
      <c r="B259" s="117" t="s">
        <v>2270</v>
      </c>
      <c r="C259" s="52"/>
      <c r="D259" s="52" t="s">
        <v>2287</v>
      </c>
      <c r="E259" s="22" t="str">
        <f t="shared" ref="E259:E322" si="24">CONCATENATE(A259,"PROG")</f>
        <v>SEJUSPPROG</v>
      </c>
      <c r="F259" s="116" t="s">
        <v>687</v>
      </c>
      <c r="G259" s="22" t="str">
        <f t="shared" si="20"/>
        <v>P705SEJUSP</v>
      </c>
      <c r="H259" s="52" t="s">
        <v>914</v>
      </c>
      <c r="I259" s="22" t="s">
        <v>16</v>
      </c>
      <c r="J259" s="52" t="s">
        <v>2131</v>
      </c>
      <c r="K259" s="22" t="str">
        <f>VLOOKUP(CONCATENATE(A259,LEFT(J259,4)),AGRUPAMENTO!$D$2:$E$6783,2,FALSE)</f>
        <v>Diárias e viagens</v>
      </c>
      <c r="L259" s="52" t="s">
        <v>44</v>
      </c>
      <c r="M259" s="52" t="str">
        <f t="shared" si="22"/>
        <v>FONTESEJUSP</v>
      </c>
      <c r="N259" s="52">
        <v>10</v>
      </c>
      <c r="O259" s="52" t="s">
        <v>2533</v>
      </c>
      <c r="P259" s="52" t="s">
        <v>46</v>
      </c>
      <c r="Q259" s="52" t="s">
        <v>3792</v>
      </c>
      <c r="R259" s="52">
        <v>2</v>
      </c>
      <c r="S259" s="52" t="s">
        <v>3793</v>
      </c>
      <c r="T259" s="88">
        <v>470</v>
      </c>
      <c r="U259" s="53">
        <v>4</v>
      </c>
      <c r="V259" s="58">
        <f t="shared" si="23"/>
        <v>3760</v>
      </c>
      <c r="W259" s="52" t="s">
        <v>49</v>
      </c>
      <c r="X259" s="52" t="s">
        <v>4422</v>
      </c>
      <c r="Y259" s="52" t="s">
        <v>4423</v>
      </c>
      <c r="Z259" s="52" t="s">
        <v>4424</v>
      </c>
      <c r="AA259" s="52">
        <v>0</v>
      </c>
      <c r="AB259" s="52">
        <v>0</v>
      </c>
      <c r="AC259" s="52">
        <v>0</v>
      </c>
      <c r="AD259" s="21">
        <v>0.86749884668513244</v>
      </c>
      <c r="AE259" s="54">
        <v>0.86749884668513244</v>
      </c>
      <c r="AF259" s="315">
        <f t="shared" si="21"/>
        <v>3261.7956635360979</v>
      </c>
    </row>
    <row r="260" spans="1:32" ht="120" x14ac:dyDescent="0.25">
      <c r="A260" s="86" t="s">
        <v>588</v>
      </c>
      <c r="B260" s="117" t="s">
        <v>2270</v>
      </c>
      <c r="C260" s="52"/>
      <c r="D260" s="52" t="s">
        <v>2287</v>
      </c>
      <c r="E260" s="22" t="str">
        <f t="shared" si="24"/>
        <v>SEJUSPPROG</v>
      </c>
      <c r="F260" s="116" t="s">
        <v>687</v>
      </c>
      <c r="G260" s="22" t="str">
        <f t="shared" ref="G260:G323" si="25">CONCATENATE("P",(LEFT(F260,3)),A260)</f>
        <v>P705SEJUSP</v>
      </c>
      <c r="H260" s="52" t="s">
        <v>914</v>
      </c>
      <c r="I260" s="22" t="s">
        <v>16</v>
      </c>
      <c r="J260" s="52" t="s">
        <v>2149</v>
      </c>
      <c r="K260" s="22" t="str">
        <f>VLOOKUP(CONCATENATE(A260,LEFT(J260,4)),AGRUPAMENTO!$D$2:$E$6783,2,FALSE)</f>
        <v>Diárias e viagens</v>
      </c>
      <c r="L260" s="52" t="s">
        <v>44</v>
      </c>
      <c r="M260" s="52" t="str">
        <f t="shared" si="22"/>
        <v>FONTESEJUSP</v>
      </c>
      <c r="N260" s="52">
        <v>10</v>
      </c>
      <c r="O260" s="52" t="s">
        <v>2534</v>
      </c>
      <c r="P260" s="52" t="s">
        <v>46</v>
      </c>
      <c r="Q260" s="52" t="s">
        <v>3794</v>
      </c>
      <c r="R260" s="52">
        <v>1</v>
      </c>
      <c r="S260" s="52" t="s">
        <v>3795</v>
      </c>
      <c r="T260" s="88">
        <v>3667.9</v>
      </c>
      <c r="U260" s="53">
        <v>4</v>
      </c>
      <c r="V260" s="58">
        <f t="shared" si="23"/>
        <v>14671.6</v>
      </c>
      <c r="W260" s="52" t="s">
        <v>49</v>
      </c>
      <c r="X260" s="52" t="s">
        <v>4422</v>
      </c>
      <c r="Y260" s="52" t="s">
        <v>4423</v>
      </c>
      <c r="Z260" s="52" t="s">
        <v>4424</v>
      </c>
      <c r="AA260" s="52">
        <v>0</v>
      </c>
      <c r="AB260" s="52">
        <v>0</v>
      </c>
      <c r="AC260" s="52">
        <v>0</v>
      </c>
      <c r="AD260" s="21">
        <v>0.86749884668513244</v>
      </c>
      <c r="AE260" s="54">
        <v>0.86749884668513244</v>
      </c>
      <c r="AF260" s="315">
        <f t="shared" ref="AF260:AF323" si="26">AE260*V260</f>
        <v>12727.596079025589</v>
      </c>
    </row>
    <row r="261" spans="1:32" ht="165" x14ac:dyDescent="0.25">
      <c r="A261" s="86" t="s">
        <v>588</v>
      </c>
      <c r="B261" s="117" t="s">
        <v>2270</v>
      </c>
      <c r="C261" s="52"/>
      <c r="D261" s="107" t="s">
        <v>2288</v>
      </c>
      <c r="E261" s="22" t="str">
        <f t="shared" si="24"/>
        <v>SEJUSPPROG</v>
      </c>
      <c r="F261" s="52" t="s">
        <v>729</v>
      </c>
      <c r="G261" s="22" t="str">
        <f t="shared" si="25"/>
        <v>P130SEJUSP</v>
      </c>
      <c r="H261" s="52" t="s">
        <v>1148</v>
      </c>
      <c r="I261" s="22" t="s">
        <v>16</v>
      </c>
      <c r="J261" s="52" t="s">
        <v>1670</v>
      </c>
      <c r="K261" s="22" t="str">
        <f>VLOOKUP(CONCATENATE(A261,LEFT(J261,4)),AGRUPAMENTO!$D$2:$E$6783,2,FALSE)</f>
        <v>Obras e projetos de obras</v>
      </c>
      <c r="L261" s="52" t="s">
        <v>94</v>
      </c>
      <c r="M261" s="52" t="str">
        <f t="shared" si="22"/>
        <v>FONTESEJUSP</v>
      </c>
      <c r="N261" s="52">
        <v>60</v>
      </c>
      <c r="O261" s="52" t="s">
        <v>2535</v>
      </c>
      <c r="P261" s="52" t="s">
        <v>58</v>
      </c>
      <c r="Q261" s="52" t="s">
        <v>3796</v>
      </c>
      <c r="R261" s="52">
        <v>1</v>
      </c>
      <c r="S261" s="52" t="s">
        <v>3797</v>
      </c>
      <c r="T261" s="88">
        <v>1000000</v>
      </c>
      <c r="U261" s="53">
        <v>1</v>
      </c>
      <c r="V261" s="58">
        <f t="shared" si="23"/>
        <v>1000000</v>
      </c>
      <c r="W261" s="52" t="s">
        <v>49</v>
      </c>
      <c r="X261" s="52" t="s">
        <v>4425</v>
      </c>
      <c r="Y261" s="52" t="s">
        <v>4426</v>
      </c>
      <c r="Z261" s="52" t="s">
        <v>4427</v>
      </c>
      <c r="AA261" s="52">
        <v>0</v>
      </c>
      <c r="AB261" s="52">
        <v>0</v>
      </c>
      <c r="AC261" s="52">
        <v>0</v>
      </c>
      <c r="AD261" s="21">
        <v>0</v>
      </c>
      <c r="AE261" s="54">
        <v>0</v>
      </c>
      <c r="AF261" s="315">
        <f t="shared" si="26"/>
        <v>0</v>
      </c>
    </row>
    <row r="262" spans="1:32" ht="165" x14ac:dyDescent="0.25">
      <c r="A262" s="86" t="s">
        <v>588</v>
      </c>
      <c r="B262" s="117" t="s">
        <v>2270</v>
      </c>
      <c r="C262" s="52"/>
      <c r="D262" s="107" t="s">
        <v>2288</v>
      </c>
      <c r="E262" s="22" t="str">
        <f t="shared" si="24"/>
        <v>SEJUSPPROG</v>
      </c>
      <c r="F262" s="52" t="s">
        <v>729</v>
      </c>
      <c r="G262" s="22" t="str">
        <f t="shared" si="25"/>
        <v>P130SEJUSP</v>
      </c>
      <c r="H262" s="52" t="s">
        <v>1148</v>
      </c>
      <c r="I262" s="22" t="s">
        <v>16</v>
      </c>
      <c r="J262" s="52" t="s">
        <v>1672</v>
      </c>
      <c r="K262" s="22" t="str">
        <f>VLOOKUP(CONCATENATE(A262,LEFT(J262,4)),AGRUPAMENTO!$D$2:$E$6783,2,FALSE)</f>
        <v>Obras e projetos de obras</v>
      </c>
      <c r="L262" s="52" t="s">
        <v>94</v>
      </c>
      <c r="M262" s="52" t="str">
        <f t="shared" si="22"/>
        <v>FONTESEJUSP</v>
      </c>
      <c r="N262" s="52">
        <v>60</v>
      </c>
      <c r="O262" s="52" t="s">
        <v>2536</v>
      </c>
      <c r="P262" s="52" t="s">
        <v>58</v>
      </c>
      <c r="Q262" s="52" t="s">
        <v>3796</v>
      </c>
      <c r="R262" s="52">
        <v>1</v>
      </c>
      <c r="S262" s="52" t="s">
        <v>3797</v>
      </c>
      <c r="T262" s="88">
        <f>2000000/12</f>
        <v>166666.66666666666</v>
      </c>
      <c r="U262" s="53">
        <v>12</v>
      </c>
      <c r="V262" s="58">
        <f t="shared" si="23"/>
        <v>2000000</v>
      </c>
      <c r="W262" s="52" t="s">
        <v>49</v>
      </c>
      <c r="X262" s="52" t="s">
        <v>4428</v>
      </c>
      <c r="Y262" s="52" t="s">
        <v>4426</v>
      </c>
      <c r="Z262" s="52" t="s">
        <v>4427</v>
      </c>
      <c r="AA262" s="52">
        <v>0</v>
      </c>
      <c r="AB262" s="52">
        <v>0</v>
      </c>
      <c r="AC262" s="52">
        <v>0</v>
      </c>
      <c r="AD262" s="21">
        <v>0</v>
      </c>
      <c r="AE262" s="54">
        <v>0</v>
      </c>
      <c r="AF262" s="315">
        <f t="shared" si="26"/>
        <v>0</v>
      </c>
    </row>
    <row r="263" spans="1:32" ht="180" x14ac:dyDescent="0.25">
      <c r="A263" s="86" t="s">
        <v>588</v>
      </c>
      <c r="B263" s="117" t="s">
        <v>2270</v>
      </c>
      <c r="C263" s="52"/>
      <c r="D263" s="107" t="s">
        <v>2288</v>
      </c>
      <c r="E263" s="22" t="str">
        <f t="shared" si="24"/>
        <v>SEJUSPPROG</v>
      </c>
      <c r="F263" s="52" t="s">
        <v>729</v>
      </c>
      <c r="G263" s="22" t="str">
        <f t="shared" si="25"/>
        <v>P130SEJUSP</v>
      </c>
      <c r="H263" s="52" t="s">
        <v>1148</v>
      </c>
      <c r="I263" s="22" t="s">
        <v>16</v>
      </c>
      <c r="J263" s="52" t="s">
        <v>1672</v>
      </c>
      <c r="K263" s="22" t="str">
        <f>VLOOKUP(CONCATENATE(A263,LEFT(J263,4)),AGRUPAMENTO!$D$2:$E$6783,2,FALSE)</f>
        <v>Obras e projetos de obras</v>
      </c>
      <c r="L263" s="52" t="s">
        <v>94</v>
      </c>
      <c r="M263" s="52" t="str">
        <f t="shared" si="22"/>
        <v>FONTESEJUSP</v>
      </c>
      <c r="N263" s="52">
        <v>60</v>
      </c>
      <c r="O263" s="52" t="s">
        <v>2537</v>
      </c>
      <c r="P263" s="52" t="s">
        <v>58</v>
      </c>
      <c r="Q263" s="52" t="s">
        <v>3798</v>
      </c>
      <c r="R263" s="52">
        <v>1</v>
      </c>
      <c r="S263" s="52" t="s">
        <v>3797</v>
      </c>
      <c r="T263" s="88">
        <v>3356838.23</v>
      </c>
      <c r="U263" s="53">
        <v>1</v>
      </c>
      <c r="V263" s="58">
        <f t="shared" si="23"/>
        <v>3356838.23</v>
      </c>
      <c r="W263" s="52" t="s">
        <v>49</v>
      </c>
      <c r="X263" s="52" t="s">
        <v>4429</v>
      </c>
      <c r="Y263" s="52" t="s">
        <v>4430</v>
      </c>
      <c r="Z263" s="52" t="s">
        <v>4431</v>
      </c>
      <c r="AA263" s="52">
        <v>0</v>
      </c>
      <c r="AB263" s="52">
        <v>0</v>
      </c>
      <c r="AC263" s="52">
        <v>0</v>
      </c>
      <c r="AD263" s="21">
        <v>0</v>
      </c>
      <c r="AE263" s="54">
        <v>0</v>
      </c>
      <c r="AF263" s="315">
        <f t="shared" si="26"/>
        <v>0</v>
      </c>
    </row>
    <row r="264" spans="1:32" ht="135" x14ac:dyDescent="0.25">
      <c r="A264" s="86" t="s">
        <v>588</v>
      </c>
      <c r="B264" s="117" t="s">
        <v>2270</v>
      </c>
      <c r="C264" s="52"/>
      <c r="D264" s="107" t="s">
        <v>2288</v>
      </c>
      <c r="E264" s="22" t="str">
        <f t="shared" si="24"/>
        <v>SEJUSPPROG</v>
      </c>
      <c r="F264" s="52" t="s">
        <v>705</v>
      </c>
      <c r="G264" s="22" t="str">
        <f t="shared" si="25"/>
        <v>P134SEJUSP</v>
      </c>
      <c r="H264" s="52" t="s">
        <v>1356</v>
      </c>
      <c r="I264" s="22" t="s">
        <v>16</v>
      </c>
      <c r="J264" s="52" t="s">
        <v>1670</v>
      </c>
      <c r="K264" s="22" t="str">
        <f>VLOOKUP(CONCATENATE(A264,LEFT(J264,4)),AGRUPAMENTO!$D$2:$E$6783,2,FALSE)</f>
        <v>Obras e projetos de obras</v>
      </c>
      <c r="L264" s="52" t="s">
        <v>94</v>
      </c>
      <c r="M264" s="52" t="str">
        <f t="shared" si="22"/>
        <v>FONTESEJUSP</v>
      </c>
      <c r="N264" s="52">
        <v>10</v>
      </c>
      <c r="O264" s="52" t="s">
        <v>2538</v>
      </c>
      <c r="P264" s="52" t="s">
        <v>46</v>
      </c>
      <c r="Q264" s="52" t="s">
        <v>3796</v>
      </c>
      <c r="R264" s="52">
        <v>1</v>
      </c>
      <c r="S264" s="52" t="s">
        <v>3797</v>
      </c>
      <c r="T264" s="88">
        <v>22046.98</v>
      </c>
      <c r="U264" s="53">
        <v>12</v>
      </c>
      <c r="V264" s="58">
        <f t="shared" si="23"/>
        <v>264563.76</v>
      </c>
      <c r="W264" s="52" t="s">
        <v>49</v>
      </c>
      <c r="X264" s="52" t="s">
        <v>4432</v>
      </c>
      <c r="Y264" s="52" t="s">
        <v>4433</v>
      </c>
      <c r="Z264" s="52" t="s">
        <v>4434</v>
      </c>
      <c r="AA264" s="52">
        <v>0</v>
      </c>
      <c r="AB264" s="52">
        <v>0</v>
      </c>
      <c r="AC264" s="52">
        <v>0</v>
      </c>
      <c r="AD264" s="21">
        <v>1</v>
      </c>
      <c r="AE264" s="54">
        <v>0</v>
      </c>
      <c r="AF264" s="315">
        <f t="shared" si="26"/>
        <v>0</v>
      </c>
    </row>
    <row r="265" spans="1:32" ht="120" x14ac:dyDescent="0.25">
      <c r="A265" s="86" t="s">
        <v>588</v>
      </c>
      <c r="B265" s="117" t="s">
        <v>2270</v>
      </c>
      <c r="C265" s="52"/>
      <c r="D265" s="107" t="s">
        <v>2288</v>
      </c>
      <c r="E265" s="22" t="str">
        <f t="shared" si="24"/>
        <v>SEJUSPPROG</v>
      </c>
      <c r="F265" s="52" t="s">
        <v>729</v>
      </c>
      <c r="G265" s="22" t="str">
        <f t="shared" si="25"/>
        <v>P130SEJUSP</v>
      </c>
      <c r="H265" s="52" t="s">
        <v>1148</v>
      </c>
      <c r="I265" s="22" t="s">
        <v>16</v>
      </c>
      <c r="J265" s="52" t="s">
        <v>1670</v>
      </c>
      <c r="K265" s="22" t="str">
        <f>VLOOKUP(CONCATENATE(A265,LEFT(J265,4)),AGRUPAMENTO!$D$2:$E$6783,2,FALSE)</f>
        <v>Obras e projetos de obras</v>
      </c>
      <c r="L265" s="52" t="s">
        <v>94</v>
      </c>
      <c r="M265" s="52" t="str">
        <f t="shared" si="22"/>
        <v>FONTESEJUSP</v>
      </c>
      <c r="N265" s="52">
        <v>60</v>
      </c>
      <c r="O265" s="52" t="s">
        <v>2539</v>
      </c>
      <c r="P265" s="52" t="s">
        <v>58</v>
      </c>
      <c r="Q265" s="52" t="s">
        <v>3796</v>
      </c>
      <c r="R265" s="52">
        <v>1</v>
      </c>
      <c r="S265" s="52" t="s">
        <v>3797</v>
      </c>
      <c r="T265" s="88">
        <v>83333.333333333328</v>
      </c>
      <c r="U265" s="53">
        <v>12</v>
      </c>
      <c r="V265" s="58">
        <f t="shared" si="23"/>
        <v>1000000</v>
      </c>
      <c r="W265" s="52" t="s">
        <v>49</v>
      </c>
      <c r="X265" s="52" t="s">
        <v>4435</v>
      </c>
      <c r="Y265" s="52" t="s">
        <v>4436</v>
      </c>
      <c r="Z265" s="52" t="s">
        <v>4437</v>
      </c>
      <c r="AA265" s="52">
        <v>0</v>
      </c>
      <c r="AB265" s="52">
        <v>0</v>
      </c>
      <c r="AC265" s="52">
        <v>0</v>
      </c>
      <c r="AD265" s="21">
        <v>0</v>
      </c>
      <c r="AE265" s="54">
        <v>0</v>
      </c>
      <c r="AF265" s="315">
        <f t="shared" si="26"/>
        <v>0</v>
      </c>
    </row>
    <row r="266" spans="1:32" ht="120" x14ac:dyDescent="0.25">
      <c r="A266" s="86" t="s">
        <v>588</v>
      </c>
      <c r="B266" s="117" t="s">
        <v>2270</v>
      </c>
      <c r="C266" s="52"/>
      <c r="D266" s="107" t="s">
        <v>2288</v>
      </c>
      <c r="E266" s="22" t="str">
        <f t="shared" si="24"/>
        <v>SEJUSPPROG</v>
      </c>
      <c r="F266" s="52" t="s">
        <v>729</v>
      </c>
      <c r="G266" s="22" t="str">
        <f t="shared" si="25"/>
        <v>P130SEJUSP</v>
      </c>
      <c r="H266" s="52" t="s">
        <v>1148</v>
      </c>
      <c r="I266" s="22" t="s">
        <v>16</v>
      </c>
      <c r="J266" s="52" t="s">
        <v>1672</v>
      </c>
      <c r="K266" s="22" t="str">
        <f>VLOOKUP(CONCATENATE(A266,LEFT(J266,4)),AGRUPAMENTO!$D$2:$E$6783,2,FALSE)</f>
        <v>Obras e projetos de obras</v>
      </c>
      <c r="L266" s="52" t="s">
        <v>94</v>
      </c>
      <c r="M266" s="52" t="str">
        <f t="shared" si="22"/>
        <v>FONTESEJUSP</v>
      </c>
      <c r="N266" s="52">
        <v>60</v>
      </c>
      <c r="O266" s="52" t="s">
        <v>2540</v>
      </c>
      <c r="P266" s="52" t="s">
        <v>58</v>
      </c>
      <c r="Q266" s="52" t="s">
        <v>3796</v>
      </c>
      <c r="R266" s="52">
        <v>1</v>
      </c>
      <c r="S266" s="52" t="s">
        <v>3797</v>
      </c>
      <c r="T266" s="88">
        <f>5000000/12</f>
        <v>416666.66666666669</v>
      </c>
      <c r="U266" s="53">
        <v>12</v>
      </c>
      <c r="V266" s="58">
        <f t="shared" si="23"/>
        <v>5000000</v>
      </c>
      <c r="W266" s="52" t="s">
        <v>49</v>
      </c>
      <c r="X266" s="52" t="s">
        <v>4435</v>
      </c>
      <c r="Y266" s="52" t="s">
        <v>4436</v>
      </c>
      <c r="Z266" s="52" t="s">
        <v>4437</v>
      </c>
      <c r="AA266" s="52">
        <v>0</v>
      </c>
      <c r="AB266" s="52">
        <v>0</v>
      </c>
      <c r="AC266" s="52">
        <v>0</v>
      </c>
      <c r="AD266" s="21">
        <v>0</v>
      </c>
      <c r="AE266" s="54">
        <v>0</v>
      </c>
      <c r="AF266" s="315">
        <f t="shared" si="26"/>
        <v>0</v>
      </c>
    </row>
    <row r="267" spans="1:32" ht="135" x14ac:dyDescent="0.25">
      <c r="A267" s="86" t="s">
        <v>588</v>
      </c>
      <c r="B267" s="117" t="s">
        <v>2270</v>
      </c>
      <c r="C267" s="52"/>
      <c r="D267" s="107" t="s">
        <v>2288</v>
      </c>
      <c r="E267" s="22" t="str">
        <f t="shared" si="24"/>
        <v>SEJUSPPROG</v>
      </c>
      <c r="F267" s="52" t="s">
        <v>729</v>
      </c>
      <c r="G267" s="22" t="str">
        <f t="shared" si="25"/>
        <v>P130SEJUSP</v>
      </c>
      <c r="H267" s="52" t="s">
        <v>1148</v>
      </c>
      <c r="I267" s="22" t="s">
        <v>16</v>
      </c>
      <c r="J267" s="52" t="s">
        <v>1670</v>
      </c>
      <c r="K267" s="22" t="str">
        <f>VLOOKUP(CONCATENATE(A267,LEFT(J267,4)),AGRUPAMENTO!$D$2:$E$6783,2,FALSE)</f>
        <v>Obras e projetos de obras</v>
      </c>
      <c r="L267" s="52" t="s">
        <v>94</v>
      </c>
      <c r="M267" s="52" t="str">
        <f t="shared" si="22"/>
        <v>FONTESEJUSP</v>
      </c>
      <c r="N267" s="52">
        <v>60</v>
      </c>
      <c r="O267" s="52" t="s">
        <v>2541</v>
      </c>
      <c r="P267" s="52" t="s">
        <v>46</v>
      </c>
      <c r="Q267" s="52" t="s">
        <v>3796</v>
      </c>
      <c r="R267" s="52">
        <v>1</v>
      </c>
      <c r="S267" s="52" t="s">
        <v>3799</v>
      </c>
      <c r="T267" s="88">
        <f>140000/12</f>
        <v>11666.666666666666</v>
      </c>
      <c r="U267" s="53">
        <v>12</v>
      </c>
      <c r="V267" s="58">
        <f t="shared" si="23"/>
        <v>140000</v>
      </c>
      <c r="W267" s="52" t="s">
        <v>49</v>
      </c>
      <c r="X267" s="52" t="s">
        <v>4438</v>
      </c>
      <c r="Y267" s="52" t="s">
        <v>4433</v>
      </c>
      <c r="Z267" s="52" t="s">
        <v>4439</v>
      </c>
      <c r="AA267" s="52">
        <v>0</v>
      </c>
      <c r="AB267" s="52">
        <v>0</v>
      </c>
      <c r="AC267" s="52">
        <v>0</v>
      </c>
      <c r="AD267" s="21">
        <v>1</v>
      </c>
      <c r="AE267" s="54">
        <v>0</v>
      </c>
      <c r="AF267" s="315">
        <f t="shared" si="26"/>
        <v>0</v>
      </c>
    </row>
    <row r="268" spans="1:32" ht="285" x14ac:dyDescent="0.25">
      <c r="A268" s="86" t="s">
        <v>588</v>
      </c>
      <c r="B268" s="117" t="s">
        <v>2270</v>
      </c>
      <c r="C268" s="52"/>
      <c r="D268" s="107" t="s">
        <v>2288</v>
      </c>
      <c r="E268" s="22" t="str">
        <f t="shared" si="24"/>
        <v>SEJUSPPROG</v>
      </c>
      <c r="F268" s="52" t="s">
        <v>729</v>
      </c>
      <c r="G268" s="22" t="str">
        <f t="shared" si="25"/>
        <v>P130SEJUSP</v>
      </c>
      <c r="H268" s="52" t="s">
        <v>1148</v>
      </c>
      <c r="I268" s="22" t="s">
        <v>16</v>
      </c>
      <c r="J268" s="52" t="s">
        <v>1725</v>
      </c>
      <c r="K268" s="22" t="str">
        <f>VLOOKUP(CONCATENATE(A268,LEFT(J268,4)),AGRUPAMENTO!$D$2:$E$6783,2,FALSE)</f>
        <v>Demais despesas de custeio</v>
      </c>
      <c r="L268" s="52" t="s">
        <v>44</v>
      </c>
      <c r="M268" s="52" t="str">
        <f t="shared" si="22"/>
        <v>FONTESEJUSP</v>
      </c>
      <c r="N268" s="52">
        <v>60</v>
      </c>
      <c r="O268" s="52" t="s">
        <v>2542</v>
      </c>
      <c r="P268" s="52" t="s">
        <v>58</v>
      </c>
      <c r="Q268" s="52" t="s">
        <v>3800</v>
      </c>
      <c r="R268" s="52">
        <v>1</v>
      </c>
      <c r="S268" s="52" t="s">
        <v>3801</v>
      </c>
      <c r="T268" s="88">
        <f>40000*13</f>
        <v>520000</v>
      </c>
      <c r="U268" s="53">
        <v>12</v>
      </c>
      <c r="V268" s="58">
        <f t="shared" si="23"/>
        <v>6240000</v>
      </c>
      <c r="W268" s="52" t="s">
        <v>49</v>
      </c>
      <c r="X268" s="52" t="s">
        <v>4440</v>
      </c>
      <c r="Y268" s="52" t="s">
        <v>4441</v>
      </c>
      <c r="Z268" s="52" t="s">
        <v>4442</v>
      </c>
      <c r="AA268" s="52">
        <v>0</v>
      </c>
      <c r="AB268" s="52">
        <v>0</v>
      </c>
      <c r="AC268" s="52">
        <v>0</v>
      </c>
      <c r="AD268" s="21">
        <v>0</v>
      </c>
      <c r="AE268" s="54">
        <v>0</v>
      </c>
      <c r="AF268" s="315">
        <f t="shared" si="26"/>
        <v>0</v>
      </c>
    </row>
    <row r="269" spans="1:32" ht="315" x14ac:dyDescent="0.25">
      <c r="A269" s="86" t="s">
        <v>588</v>
      </c>
      <c r="B269" s="117" t="s">
        <v>2270</v>
      </c>
      <c r="C269" s="52"/>
      <c r="D269" s="107" t="s">
        <v>2288</v>
      </c>
      <c r="E269" s="22" t="str">
        <f t="shared" si="24"/>
        <v>SEJUSPPROG</v>
      </c>
      <c r="F269" s="52" t="s">
        <v>729</v>
      </c>
      <c r="G269" s="22" t="str">
        <f t="shared" si="25"/>
        <v>P130SEJUSP</v>
      </c>
      <c r="H269" s="52" t="s">
        <v>1148</v>
      </c>
      <c r="I269" s="22" t="s">
        <v>16</v>
      </c>
      <c r="J269" s="52" t="s">
        <v>1725</v>
      </c>
      <c r="K269" s="22" t="str">
        <f>VLOOKUP(CONCATENATE(A269,LEFT(J269,4)),AGRUPAMENTO!$D$2:$E$6783,2,FALSE)</f>
        <v>Demais despesas de custeio</v>
      </c>
      <c r="L269" s="52" t="s">
        <v>44</v>
      </c>
      <c r="M269" s="52" t="str">
        <f t="shared" si="22"/>
        <v>FONTESEJUSP</v>
      </c>
      <c r="N269" s="52">
        <v>60</v>
      </c>
      <c r="O269" s="52" t="s">
        <v>2543</v>
      </c>
      <c r="P269" s="52" t="s">
        <v>58</v>
      </c>
      <c r="Q269" s="52" t="s">
        <v>3802</v>
      </c>
      <c r="R269" s="52">
        <v>1</v>
      </c>
      <c r="S269" s="52" t="s">
        <v>3801</v>
      </c>
      <c r="T269" s="88">
        <v>3000000</v>
      </c>
      <c r="U269" s="53">
        <v>12</v>
      </c>
      <c r="V269" s="58">
        <f t="shared" si="23"/>
        <v>36000000</v>
      </c>
      <c r="W269" s="52" t="s">
        <v>49</v>
      </c>
      <c r="X269" s="52" t="s">
        <v>4443</v>
      </c>
      <c r="Y269" s="52" t="s">
        <v>4444</v>
      </c>
      <c r="Z269" s="52" t="s">
        <v>4442</v>
      </c>
      <c r="AA269" s="52">
        <v>0</v>
      </c>
      <c r="AB269" s="52">
        <v>0</v>
      </c>
      <c r="AC269" s="52">
        <v>0</v>
      </c>
      <c r="AD269" s="21">
        <v>0</v>
      </c>
      <c r="AE269" s="54">
        <v>0</v>
      </c>
      <c r="AF269" s="315">
        <f t="shared" si="26"/>
        <v>0</v>
      </c>
    </row>
    <row r="270" spans="1:32" ht="120" x14ac:dyDescent="0.25">
      <c r="A270" s="86" t="s">
        <v>588</v>
      </c>
      <c r="B270" s="117" t="s">
        <v>2270</v>
      </c>
      <c r="C270" s="52"/>
      <c r="D270" s="107" t="s">
        <v>2288</v>
      </c>
      <c r="E270" s="22" t="str">
        <f t="shared" si="24"/>
        <v>SEJUSPPROG</v>
      </c>
      <c r="F270" s="52" t="s">
        <v>729</v>
      </c>
      <c r="G270" s="22" t="str">
        <f t="shared" si="25"/>
        <v>P130SEJUSP</v>
      </c>
      <c r="H270" s="52" t="s">
        <v>1183</v>
      </c>
      <c r="I270" s="22" t="s">
        <v>16</v>
      </c>
      <c r="J270" s="52" t="s">
        <v>1643</v>
      </c>
      <c r="K270" s="22" t="str">
        <f>VLOOKUP(CONCATENATE(A270,LEFT(J270,4)),AGRUPAMENTO!$D$2:$E$6783,2,FALSE)</f>
        <v>Reparo de imóveis</v>
      </c>
      <c r="L270" s="52" t="s">
        <v>44</v>
      </c>
      <c r="M270" s="52" t="str">
        <f t="shared" si="22"/>
        <v>FONTESEJUSP</v>
      </c>
      <c r="N270" s="52">
        <v>60</v>
      </c>
      <c r="O270" s="52" t="s">
        <v>2544</v>
      </c>
      <c r="P270" s="52" t="s">
        <v>46</v>
      </c>
      <c r="Q270" s="52" t="s">
        <v>3803</v>
      </c>
      <c r="R270" s="52">
        <v>1</v>
      </c>
      <c r="S270" s="52" t="s">
        <v>3804</v>
      </c>
      <c r="T270" s="88">
        <f>305555.55*1.12</f>
        <v>342222.21600000001</v>
      </c>
      <c r="U270" s="53">
        <v>12</v>
      </c>
      <c r="V270" s="58">
        <f t="shared" si="23"/>
        <v>4106666.5920000002</v>
      </c>
      <c r="W270" s="52" t="s">
        <v>49</v>
      </c>
      <c r="X270" s="52" t="s">
        <v>4445</v>
      </c>
      <c r="Y270" s="52" t="s">
        <v>4446</v>
      </c>
      <c r="Z270" s="52" t="s">
        <v>4447</v>
      </c>
      <c r="AA270" s="52">
        <v>0</v>
      </c>
      <c r="AB270" s="52">
        <v>0</v>
      </c>
      <c r="AC270" s="52">
        <v>0</v>
      </c>
      <c r="AD270" s="21">
        <v>0.24450815293978012</v>
      </c>
      <c r="AE270" s="54">
        <v>0.24450815293978012</v>
      </c>
      <c r="AF270" s="315">
        <f t="shared" si="26"/>
        <v>1004113.4631494216</v>
      </c>
    </row>
    <row r="271" spans="1:32" ht="120" x14ac:dyDescent="0.25">
      <c r="A271" s="86" t="s">
        <v>588</v>
      </c>
      <c r="B271" s="117" t="s">
        <v>2270</v>
      </c>
      <c r="C271" s="52"/>
      <c r="D271" s="107" t="s">
        <v>2288</v>
      </c>
      <c r="E271" s="22" t="str">
        <f t="shared" si="24"/>
        <v>SEJUSPPROG</v>
      </c>
      <c r="F271" s="52" t="s">
        <v>705</v>
      </c>
      <c r="G271" s="22" t="str">
        <f t="shared" si="25"/>
        <v>P134SEJUSP</v>
      </c>
      <c r="H271" s="52" t="s">
        <v>1356</v>
      </c>
      <c r="I271" s="22" t="s">
        <v>16</v>
      </c>
      <c r="J271" s="52" t="s">
        <v>2225</v>
      </c>
      <c r="K271" s="22" t="str">
        <f>VLOOKUP(CONCATENATE(A271,LEFT(J271,4)),AGRUPAMENTO!$D$2:$E$6783,2,FALSE)</f>
        <v>Obras e projetos de obras</v>
      </c>
      <c r="L271" s="52" t="s">
        <v>94</v>
      </c>
      <c r="M271" s="52" t="str">
        <f t="shared" si="22"/>
        <v>FONTESEJUSP</v>
      </c>
      <c r="N271" s="52">
        <v>10</v>
      </c>
      <c r="O271" s="52" t="s">
        <v>2545</v>
      </c>
      <c r="P271" s="52" t="s">
        <v>46</v>
      </c>
      <c r="Q271" s="52" t="s">
        <v>3796</v>
      </c>
      <c r="R271" s="52">
        <v>1</v>
      </c>
      <c r="S271" s="52" t="s">
        <v>3805</v>
      </c>
      <c r="T271" s="88">
        <f>8000000/3</f>
        <v>2666666.6666666665</v>
      </c>
      <c r="U271" s="53">
        <v>3</v>
      </c>
      <c r="V271" s="58">
        <f t="shared" si="23"/>
        <v>8000000</v>
      </c>
      <c r="W271" s="52" t="s">
        <v>49</v>
      </c>
      <c r="X271" s="52" t="s">
        <v>4448</v>
      </c>
      <c r="Y271" s="52" t="s">
        <v>4449</v>
      </c>
      <c r="Z271" s="52" t="s">
        <v>4450</v>
      </c>
      <c r="AA271" s="52">
        <v>0</v>
      </c>
      <c r="AB271" s="52">
        <v>0</v>
      </c>
      <c r="AC271" s="52">
        <v>0</v>
      </c>
      <c r="AD271" s="21">
        <v>1</v>
      </c>
      <c r="AE271" s="54">
        <v>0</v>
      </c>
      <c r="AF271" s="315">
        <f t="shared" si="26"/>
        <v>0</v>
      </c>
    </row>
    <row r="272" spans="1:32" ht="180" x14ac:dyDescent="0.25">
      <c r="A272" s="86" t="s">
        <v>588</v>
      </c>
      <c r="B272" s="117" t="s">
        <v>2270</v>
      </c>
      <c r="C272" s="52"/>
      <c r="D272" s="107" t="s">
        <v>2288</v>
      </c>
      <c r="E272" s="22" t="str">
        <f t="shared" si="24"/>
        <v>SEJUSPPROG</v>
      </c>
      <c r="F272" s="52" t="s">
        <v>729</v>
      </c>
      <c r="G272" s="22" t="str">
        <f t="shared" si="25"/>
        <v>P130SEJUSP</v>
      </c>
      <c r="H272" s="52" t="s">
        <v>1183</v>
      </c>
      <c r="I272" s="22" t="s">
        <v>16</v>
      </c>
      <c r="J272" s="52" t="s">
        <v>1643</v>
      </c>
      <c r="K272" s="22" t="str">
        <f>VLOOKUP(CONCATENATE(A272,LEFT(J272,4)),AGRUPAMENTO!$D$2:$E$6783,2,FALSE)</f>
        <v>Reparo de imóveis</v>
      </c>
      <c r="L272" s="52" t="s">
        <v>44</v>
      </c>
      <c r="M272" s="52" t="str">
        <f t="shared" si="22"/>
        <v>FONTESEJUSP</v>
      </c>
      <c r="N272" s="52">
        <v>60</v>
      </c>
      <c r="O272" s="52" t="s">
        <v>2546</v>
      </c>
      <c r="P272" s="52" t="s">
        <v>46</v>
      </c>
      <c r="Q272" s="52" t="s">
        <v>3806</v>
      </c>
      <c r="R272" s="52">
        <v>19</v>
      </c>
      <c r="S272" s="52" t="s">
        <v>3807</v>
      </c>
      <c r="T272" s="88">
        <v>87720</v>
      </c>
      <c r="U272" s="53">
        <v>12</v>
      </c>
      <c r="V272" s="58">
        <f t="shared" si="23"/>
        <v>20000160</v>
      </c>
      <c r="W272" s="52" t="s">
        <v>49</v>
      </c>
      <c r="X272" s="52" t="s">
        <v>4451</v>
      </c>
      <c r="Y272" s="52" t="s">
        <v>4452</v>
      </c>
      <c r="Z272" s="52" t="s">
        <v>4453</v>
      </c>
      <c r="AA272" s="52">
        <v>0</v>
      </c>
      <c r="AB272" s="52">
        <v>0</v>
      </c>
      <c r="AC272" s="52">
        <v>0</v>
      </c>
      <c r="AD272" s="21">
        <v>0.24450815293978012</v>
      </c>
      <c r="AE272" s="54">
        <v>0.24450815293978012</v>
      </c>
      <c r="AF272" s="315">
        <f t="shared" si="26"/>
        <v>4890202.1801000731</v>
      </c>
    </row>
    <row r="273" spans="1:32" ht="195" x14ac:dyDescent="0.25">
      <c r="A273" s="86" t="s">
        <v>588</v>
      </c>
      <c r="B273" s="117" t="s">
        <v>2270</v>
      </c>
      <c r="C273" s="52"/>
      <c r="D273" s="107" t="s">
        <v>2288</v>
      </c>
      <c r="E273" s="22" t="str">
        <f t="shared" si="24"/>
        <v>SEJUSPPROG</v>
      </c>
      <c r="F273" s="52" t="s">
        <v>729</v>
      </c>
      <c r="G273" s="22" t="str">
        <f t="shared" si="25"/>
        <v>P130SEJUSP</v>
      </c>
      <c r="H273" s="52" t="s">
        <v>1183</v>
      </c>
      <c r="I273" s="22" t="s">
        <v>16</v>
      </c>
      <c r="J273" s="52" t="s">
        <v>1672</v>
      </c>
      <c r="K273" s="22" t="str">
        <f>VLOOKUP(CONCATENATE(A273,LEFT(J273,4)),AGRUPAMENTO!$D$2:$E$6783,2,FALSE)</f>
        <v>Obras e projetos de obras</v>
      </c>
      <c r="L273" s="52" t="s">
        <v>94</v>
      </c>
      <c r="M273" s="52" t="str">
        <f t="shared" si="22"/>
        <v>FONTESEJUSP</v>
      </c>
      <c r="N273" s="52">
        <v>60</v>
      </c>
      <c r="O273" s="52" t="s">
        <v>2547</v>
      </c>
      <c r="P273" s="52" t="s">
        <v>46</v>
      </c>
      <c r="Q273" s="52" t="s">
        <v>3808</v>
      </c>
      <c r="R273" s="52">
        <v>15</v>
      </c>
      <c r="S273" s="52" t="s">
        <v>3807</v>
      </c>
      <c r="T273" s="88">
        <v>728500</v>
      </c>
      <c r="U273" s="53">
        <v>12</v>
      </c>
      <c r="V273" s="58">
        <f t="shared" si="23"/>
        <v>131130000</v>
      </c>
      <c r="W273" s="52" t="s">
        <v>49</v>
      </c>
      <c r="X273" s="52" t="s">
        <v>4451</v>
      </c>
      <c r="Y273" s="52" t="s">
        <v>4454</v>
      </c>
      <c r="Z273" s="52" t="s">
        <v>4453</v>
      </c>
      <c r="AA273" s="52">
        <v>0</v>
      </c>
      <c r="AB273" s="52">
        <v>0</v>
      </c>
      <c r="AC273" s="52">
        <v>0</v>
      </c>
      <c r="AD273" s="21">
        <v>0</v>
      </c>
      <c r="AE273" s="54">
        <v>0</v>
      </c>
      <c r="AF273" s="315">
        <f t="shared" si="26"/>
        <v>0</v>
      </c>
    </row>
    <row r="274" spans="1:32" ht="135" x14ac:dyDescent="0.25">
      <c r="A274" s="86" t="s">
        <v>588</v>
      </c>
      <c r="B274" s="117" t="s">
        <v>2270</v>
      </c>
      <c r="C274" s="52"/>
      <c r="D274" s="107" t="s">
        <v>2288</v>
      </c>
      <c r="E274" s="22" t="str">
        <f t="shared" si="24"/>
        <v>SEJUSPPROG</v>
      </c>
      <c r="F274" s="52" t="s">
        <v>705</v>
      </c>
      <c r="G274" s="22" t="str">
        <f t="shared" si="25"/>
        <v>P134SEJUSP</v>
      </c>
      <c r="H274" s="52" t="s">
        <v>1356</v>
      </c>
      <c r="I274" s="22" t="s">
        <v>16</v>
      </c>
      <c r="J274" s="52" t="s">
        <v>1672</v>
      </c>
      <c r="K274" s="22" t="str">
        <f>VLOOKUP(CONCATENATE(A274,LEFT(J274,4)),AGRUPAMENTO!$D$2:$E$6783,2,FALSE)</f>
        <v>Obras e projetos de obras</v>
      </c>
      <c r="L274" s="52" t="s">
        <v>94</v>
      </c>
      <c r="M274" s="52" t="str">
        <f t="shared" si="22"/>
        <v>FONTESEJUSP</v>
      </c>
      <c r="N274" s="52">
        <v>10</v>
      </c>
      <c r="O274" s="52" t="s">
        <v>2548</v>
      </c>
      <c r="P274" s="52" t="s">
        <v>58</v>
      </c>
      <c r="Q274" s="52" t="s">
        <v>3796</v>
      </c>
      <c r="R274" s="52">
        <v>1</v>
      </c>
      <c r="S274" s="52" t="s">
        <v>3809</v>
      </c>
      <c r="T274" s="88">
        <v>266666.66666666669</v>
      </c>
      <c r="U274" s="53">
        <v>12</v>
      </c>
      <c r="V274" s="58">
        <f t="shared" si="23"/>
        <v>3200000</v>
      </c>
      <c r="W274" s="52" t="s">
        <v>49</v>
      </c>
      <c r="X274" s="52" t="s">
        <v>4432</v>
      </c>
      <c r="Y274" s="52" t="s">
        <v>4433</v>
      </c>
      <c r="Z274" s="52" t="s">
        <v>4434</v>
      </c>
      <c r="AA274" s="52">
        <v>0</v>
      </c>
      <c r="AB274" s="52">
        <v>0</v>
      </c>
      <c r="AC274" s="52">
        <v>0</v>
      </c>
      <c r="AD274" s="21">
        <v>0</v>
      </c>
      <c r="AE274" s="54">
        <v>0</v>
      </c>
      <c r="AF274" s="315">
        <f t="shared" si="26"/>
        <v>0</v>
      </c>
    </row>
    <row r="275" spans="1:32" ht="90" x14ac:dyDescent="0.25">
      <c r="A275" s="86" t="s">
        <v>588</v>
      </c>
      <c r="B275" s="117" t="s">
        <v>2270</v>
      </c>
      <c r="C275" s="52"/>
      <c r="D275" s="107" t="s">
        <v>2288</v>
      </c>
      <c r="E275" s="22" t="str">
        <f t="shared" si="24"/>
        <v>SEJUSPPROG</v>
      </c>
      <c r="F275" s="52" t="s">
        <v>729</v>
      </c>
      <c r="G275" s="22" t="str">
        <f t="shared" si="25"/>
        <v>P130SEJUSP</v>
      </c>
      <c r="H275" s="52" t="s">
        <v>1148</v>
      </c>
      <c r="I275" s="22" t="s">
        <v>16</v>
      </c>
      <c r="J275" s="52" t="s">
        <v>1725</v>
      </c>
      <c r="K275" s="22" t="str">
        <f>VLOOKUP(CONCATENATE(A275,LEFT(J275,4)),AGRUPAMENTO!$D$2:$E$6783,2,FALSE)</f>
        <v>Demais despesas de custeio</v>
      </c>
      <c r="L275" s="52" t="s">
        <v>44</v>
      </c>
      <c r="M275" s="52" t="str">
        <f t="shared" si="22"/>
        <v>FONTESEJUSP</v>
      </c>
      <c r="N275" s="52">
        <v>60</v>
      </c>
      <c r="O275" s="52" t="s">
        <v>2549</v>
      </c>
      <c r="P275" s="52" t="s">
        <v>46</v>
      </c>
      <c r="Q275" s="52" t="s">
        <v>3810</v>
      </c>
      <c r="R275" s="52">
        <v>1</v>
      </c>
      <c r="S275" s="52" t="s">
        <v>3811</v>
      </c>
      <c r="T275" s="88">
        <v>375000</v>
      </c>
      <c r="U275" s="53">
        <v>12</v>
      </c>
      <c r="V275" s="58">
        <f t="shared" si="23"/>
        <v>4500000</v>
      </c>
      <c r="W275" s="52" t="s">
        <v>49</v>
      </c>
      <c r="X275" s="52" t="s">
        <v>4455</v>
      </c>
      <c r="Y275" s="52" t="s">
        <v>4456</v>
      </c>
      <c r="Z275" s="52" t="s">
        <v>4457</v>
      </c>
      <c r="AA275" s="52">
        <v>0</v>
      </c>
      <c r="AB275" s="52">
        <v>0</v>
      </c>
      <c r="AC275" s="52">
        <v>0</v>
      </c>
      <c r="AD275" s="21">
        <v>0.29138261490145073</v>
      </c>
      <c r="AE275" s="54">
        <v>0.29138261490145073</v>
      </c>
      <c r="AF275" s="315">
        <f t="shared" si="26"/>
        <v>1311221.7670565282</v>
      </c>
    </row>
    <row r="276" spans="1:32" ht="330" x14ac:dyDescent="0.25">
      <c r="A276" s="105" t="s">
        <v>588</v>
      </c>
      <c r="B276" s="106" t="s">
        <v>2271</v>
      </c>
      <c r="C276" s="52"/>
      <c r="D276" s="107" t="s">
        <v>2289</v>
      </c>
      <c r="E276" s="22" t="str">
        <f t="shared" si="24"/>
        <v>SEJUSPPROG</v>
      </c>
      <c r="F276" s="123" t="s">
        <v>886</v>
      </c>
      <c r="G276" s="22" t="str">
        <f t="shared" si="25"/>
        <v>P146SEJUSP</v>
      </c>
      <c r="H276" s="106" t="s">
        <v>1424</v>
      </c>
      <c r="I276" s="22" t="s">
        <v>16</v>
      </c>
      <c r="J276" s="106" t="s">
        <v>1677</v>
      </c>
      <c r="K276" s="22" t="str">
        <f>VLOOKUP(CONCATENATE(A276,LEFT(J276,4)),AGRUPAMENTO!$D$2:$E$6783,2,FALSE)</f>
        <v>Aquisições de itens de TIC</v>
      </c>
      <c r="L276" s="106" t="s">
        <v>94</v>
      </c>
      <c r="M276" s="52" t="str">
        <f t="shared" si="22"/>
        <v>FONTESEJUSP</v>
      </c>
      <c r="N276" s="52">
        <v>10</v>
      </c>
      <c r="O276" s="106" t="s">
        <v>2550</v>
      </c>
      <c r="P276" s="106" t="s">
        <v>58</v>
      </c>
      <c r="Q276" s="106" t="s">
        <v>3812</v>
      </c>
      <c r="R276" s="106">
        <v>1</v>
      </c>
      <c r="S276" s="106" t="s">
        <v>3813</v>
      </c>
      <c r="T276" s="190">
        <v>1400332.75</v>
      </c>
      <c r="U276" s="191">
        <v>1</v>
      </c>
      <c r="V276" s="58">
        <f t="shared" si="23"/>
        <v>1400332.75</v>
      </c>
      <c r="W276" s="106" t="s">
        <v>68</v>
      </c>
      <c r="X276" s="106" t="s">
        <v>4458</v>
      </c>
      <c r="Y276" s="271" t="s">
        <v>4459</v>
      </c>
      <c r="Z276" s="271" t="s">
        <v>4460</v>
      </c>
      <c r="AA276" s="106">
        <v>1</v>
      </c>
      <c r="AB276" s="107">
        <v>1</v>
      </c>
      <c r="AC276" s="107">
        <v>3</v>
      </c>
      <c r="AD276" s="21">
        <v>0</v>
      </c>
      <c r="AE276" s="54">
        <v>0</v>
      </c>
      <c r="AF276" s="315">
        <f t="shared" si="26"/>
        <v>0</v>
      </c>
    </row>
    <row r="277" spans="1:32" ht="330" x14ac:dyDescent="0.25">
      <c r="A277" s="105" t="s">
        <v>588</v>
      </c>
      <c r="B277" s="106" t="s">
        <v>2271</v>
      </c>
      <c r="C277" s="52"/>
      <c r="D277" s="107" t="s">
        <v>2289</v>
      </c>
      <c r="E277" s="22" t="str">
        <f t="shared" si="24"/>
        <v>SEJUSPPROG</v>
      </c>
      <c r="F277" s="123" t="s">
        <v>886</v>
      </c>
      <c r="G277" s="22" t="str">
        <f t="shared" si="25"/>
        <v>P146SEJUSP</v>
      </c>
      <c r="H277" s="106" t="s">
        <v>1424</v>
      </c>
      <c r="I277" s="22" t="s">
        <v>16</v>
      </c>
      <c r="J277" s="106" t="s">
        <v>1677</v>
      </c>
      <c r="K277" s="22" t="str">
        <f>VLOOKUP(CONCATENATE(A277,LEFT(J277,4)),AGRUPAMENTO!$D$2:$E$6783,2,FALSE)</f>
        <v>Aquisições de itens de TIC</v>
      </c>
      <c r="L277" s="106" t="s">
        <v>94</v>
      </c>
      <c r="M277" s="52" t="str">
        <f t="shared" si="22"/>
        <v>FONTESEJUSP</v>
      </c>
      <c r="N277" s="52">
        <v>10</v>
      </c>
      <c r="O277" s="106" t="s">
        <v>2551</v>
      </c>
      <c r="P277" s="106" t="s">
        <v>58</v>
      </c>
      <c r="Q277" s="106" t="s">
        <v>3812</v>
      </c>
      <c r="R277" s="106">
        <v>1</v>
      </c>
      <c r="S277" s="106" t="s">
        <v>3813</v>
      </c>
      <c r="T277" s="190">
        <v>546004.53</v>
      </c>
      <c r="U277" s="191">
        <v>1</v>
      </c>
      <c r="V277" s="58">
        <f t="shared" si="23"/>
        <v>546004.53</v>
      </c>
      <c r="W277" s="106" t="s">
        <v>68</v>
      </c>
      <c r="X277" s="106" t="s">
        <v>4458</v>
      </c>
      <c r="Y277" s="271" t="s">
        <v>4459</v>
      </c>
      <c r="Z277" s="271" t="s">
        <v>4460</v>
      </c>
      <c r="AA277" s="106">
        <v>1</v>
      </c>
      <c r="AB277" s="107">
        <v>1</v>
      </c>
      <c r="AC277" s="107">
        <v>3</v>
      </c>
      <c r="AD277" s="21">
        <v>0</v>
      </c>
      <c r="AE277" s="54">
        <v>0</v>
      </c>
      <c r="AF277" s="315">
        <f t="shared" si="26"/>
        <v>0</v>
      </c>
    </row>
    <row r="278" spans="1:32" ht="330" x14ac:dyDescent="0.25">
      <c r="A278" s="105" t="s">
        <v>588</v>
      </c>
      <c r="B278" s="106" t="s">
        <v>2271</v>
      </c>
      <c r="C278" s="52"/>
      <c r="D278" s="107" t="s">
        <v>2289</v>
      </c>
      <c r="E278" s="22" t="str">
        <f t="shared" si="24"/>
        <v>SEJUSPPROG</v>
      </c>
      <c r="F278" s="122" t="s">
        <v>886</v>
      </c>
      <c r="G278" s="22" t="str">
        <f t="shared" si="25"/>
        <v>P146SEJUSP</v>
      </c>
      <c r="H278" s="106" t="s">
        <v>1424</v>
      </c>
      <c r="I278" s="22" t="s">
        <v>16</v>
      </c>
      <c r="J278" s="106" t="s">
        <v>1677</v>
      </c>
      <c r="K278" s="22" t="str">
        <f>VLOOKUP(CONCATENATE(A278,LEFT(J278,4)),AGRUPAMENTO!$D$2:$E$6783,2,FALSE)</f>
        <v>Aquisições de itens de TIC</v>
      </c>
      <c r="L278" s="106" t="s">
        <v>94</v>
      </c>
      <c r="M278" s="52" t="str">
        <f t="shared" si="22"/>
        <v>FONTESEJUSP</v>
      </c>
      <c r="N278" s="52">
        <v>10</v>
      </c>
      <c r="O278" s="106" t="s">
        <v>2552</v>
      </c>
      <c r="P278" s="106" t="s">
        <v>58</v>
      </c>
      <c r="Q278" s="106" t="s">
        <v>3812</v>
      </c>
      <c r="R278" s="106">
        <v>1</v>
      </c>
      <c r="S278" s="106" t="s">
        <v>3813</v>
      </c>
      <c r="T278" s="190">
        <v>1976530.35</v>
      </c>
      <c r="U278" s="191">
        <v>1</v>
      </c>
      <c r="V278" s="58">
        <f t="shared" si="23"/>
        <v>1976530.35</v>
      </c>
      <c r="W278" s="106" t="s">
        <v>68</v>
      </c>
      <c r="X278" s="106" t="s">
        <v>4458</v>
      </c>
      <c r="Y278" s="271" t="s">
        <v>4459</v>
      </c>
      <c r="Z278" s="271" t="s">
        <v>4460</v>
      </c>
      <c r="AA278" s="106">
        <v>1</v>
      </c>
      <c r="AB278" s="107">
        <v>1</v>
      </c>
      <c r="AC278" s="107">
        <v>3</v>
      </c>
      <c r="AD278" s="21">
        <v>0</v>
      </c>
      <c r="AE278" s="54">
        <v>0</v>
      </c>
      <c r="AF278" s="315">
        <f t="shared" si="26"/>
        <v>0</v>
      </c>
    </row>
    <row r="279" spans="1:32" ht="135" x14ac:dyDescent="0.25">
      <c r="A279" s="86" t="s">
        <v>588</v>
      </c>
      <c r="B279" s="117" t="s">
        <v>2270</v>
      </c>
      <c r="C279" s="52"/>
      <c r="D279" s="107" t="s">
        <v>2288</v>
      </c>
      <c r="E279" s="22" t="str">
        <f t="shared" si="24"/>
        <v>SEJUSPPROG</v>
      </c>
      <c r="F279" s="52" t="s">
        <v>729</v>
      </c>
      <c r="G279" s="22" t="str">
        <f t="shared" si="25"/>
        <v>P130SEJUSP</v>
      </c>
      <c r="H279" s="52" t="s">
        <v>1183</v>
      </c>
      <c r="I279" s="22" t="s">
        <v>16</v>
      </c>
      <c r="J279" s="52" t="s">
        <v>1672</v>
      </c>
      <c r="K279" s="22" t="str">
        <f>VLOOKUP(CONCATENATE(A279,LEFT(J279,4)),AGRUPAMENTO!$D$2:$E$6783,2,FALSE)</f>
        <v>Obras e projetos de obras</v>
      </c>
      <c r="L279" s="52" t="s">
        <v>94</v>
      </c>
      <c r="M279" s="52" t="str">
        <f t="shared" si="22"/>
        <v>FONTESEJUSP</v>
      </c>
      <c r="N279" s="52">
        <v>60</v>
      </c>
      <c r="O279" s="52" t="s">
        <v>2553</v>
      </c>
      <c r="P279" s="52" t="s">
        <v>46</v>
      </c>
      <c r="Q279" s="52" t="s">
        <v>3814</v>
      </c>
      <c r="R279" s="52">
        <v>1</v>
      </c>
      <c r="S279" s="52" t="s">
        <v>3815</v>
      </c>
      <c r="T279" s="88">
        <v>350000</v>
      </c>
      <c r="U279" s="53">
        <v>12</v>
      </c>
      <c r="V279" s="58">
        <f t="shared" si="23"/>
        <v>4200000</v>
      </c>
      <c r="W279" s="52" t="s">
        <v>49</v>
      </c>
      <c r="X279" s="52" t="s">
        <v>3814</v>
      </c>
      <c r="Y279" s="52" t="s">
        <v>4461</v>
      </c>
      <c r="Z279" s="52" t="s">
        <v>4462</v>
      </c>
      <c r="AA279" s="52">
        <v>0</v>
      </c>
      <c r="AB279" s="52">
        <v>0</v>
      </c>
      <c r="AC279" s="52">
        <v>0</v>
      </c>
      <c r="AD279" s="21">
        <v>1</v>
      </c>
      <c r="AE279" s="54">
        <v>0</v>
      </c>
      <c r="AF279" s="315">
        <f t="shared" si="26"/>
        <v>0</v>
      </c>
    </row>
    <row r="280" spans="1:32" ht="330" x14ac:dyDescent="0.25">
      <c r="A280" s="105" t="s">
        <v>588</v>
      </c>
      <c r="B280" s="106" t="s">
        <v>2271</v>
      </c>
      <c r="C280" s="52"/>
      <c r="D280" s="107" t="s">
        <v>2289</v>
      </c>
      <c r="E280" s="22" t="str">
        <f t="shared" si="24"/>
        <v>SEJUSPPROG</v>
      </c>
      <c r="F280" s="123" t="s">
        <v>886</v>
      </c>
      <c r="G280" s="22" t="str">
        <f t="shared" si="25"/>
        <v>P146SEJUSP</v>
      </c>
      <c r="H280" s="106" t="s">
        <v>1424</v>
      </c>
      <c r="I280" s="22" t="s">
        <v>16</v>
      </c>
      <c r="J280" s="106" t="s">
        <v>1677</v>
      </c>
      <c r="K280" s="22" t="str">
        <f>VLOOKUP(CONCATENATE(A280,LEFT(J280,4)),AGRUPAMENTO!$D$2:$E$6783,2,FALSE)</f>
        <v>Aquisições de itens de TIC</v>
      </c>
      <c r="L280" s="106" t="s">
        <v>94</v>
      </c>
      <c r="M280" s="52" t="str">
        <f t="shared" si="22"/>
        <v>FONTESEJUSP</v>
      </c>
      <c r="N280" s="52">
        <v>10</v>
      </c>
      <c r="O280" s="106" t="s">
        <v>2554</v>
      </c>
      <c r="P280" s="106" t="s">
        <v>58</v>
      </c>
      <c r="Q280" s="106" t="s">
        <v>3812</v>
      </c>
      <c r="R280" s="106">
        <v>1</v>
      </c>
      <c r="S280" s="106" t="s">
        <v>3813</v>
      </c>
      <c r="T280" s="190">
        <v>2791864.87</v>
      </c>
      <c r="U280" s="191">
        <v>1</v>
      </c>
      <c r="V280" s="58">
        <f t="shared" si="23"/>
        <v>2791864.87</v>
      </c>
      <c r="W280" s="106" t="s">
        <v>68</v>
      </c>
      <c r="X280" s="106" t="s">
        <v>4458</v>
      </c>
      <c r="Y280" s="271" t="s">
        <v>4459</v>
      </c>
      <c r="Z280" s="271" t="s">
        <v>4460</v>
      </c>
      <c r="AA280" s="106">
        <v>1</v>
      </c>
      <c r="AB280" s="107">
        <v>1</v>
      </c>
      <c r="AC280" s="107">
        <v>3</v>
      </c>
      <c r="AD280" s="21">
        <v>0</v>
      </c>
      <c r="AE280" s="54">
        <v>0</v>
      </c>
      <c r="AF280" s="315">
        <f t="shared" si="26"/>
        <v>0</v>
      </c>
    </row>
    <row r="281" spans="1:32" ht="135" x14ac:dyDescent="0.25">
      <c r="A281" s="86" t="s">
        <v>588</v>
      </c>
      <c r="B281" s="117" t="s">
        <v>2270</v>
      </c>
      <c r="C281" s="52"/>
      <c r="D281" s="107" t="s">
        <v>2288</v>
      </c>
      <c r="E281" s="22" t="str">
        <f t="shared" si="24"/>
        <v>SEJUSPPROG</v>
      </c>
      <c r="F281" s="52" t="s">
        <v>729</v>
      </c>
      <c r="G281" s="22" t="str">
        <f t="shared" si="25"/>
        <v>P130SEJUSP</v>
      </c>
      <c r="H281" s="52" t="s">
        <v>1148</v>
      </c>
      <c r="I281" s="22" t="s">
        <v>16</v>
      </c>
      <c r="J281" s="52" t="s">
        <v>1725</v>
      </c>
      <c r="K281" s="22" t="str">
        <f>VLOOKUP(CONCATENATE(A281,LEFT(J281,4)),AGRUPAMENTO!$D$2:$E$6783,2,FALSE)</f>
        <v>Demais despesas de custeio</v>
      </c>
      <c r="L281" s="52" t="s">
        <v>44</v>
      </c>
      <c r="M281" s="52" t="str">
        <f t="shared" si="22"/>
        <v>FONTESEJUSP</v>
      </c>
      <c r="N281" s="52">
        <v>60</v>
      </c>
      <c r="O281" s="52" t="s">
        <v>2555</v>
      </c>
      <c r="P281" s="52" t="s">
        <v>46</v>
      </c>
      <c r="Q281" s="52" t="s">
        <v>3800</v>
      </c>
      <c r="R281" s="52">
        <v>1</v>
      </c>
      <c r="S281" s="52" t="s">
        <v>3811</v>
      </c>
      <c r="T281" s="88">
        <v>133537.40369444422</v>
      </c>
      <c r="U281" s="53">
        <v>12</v>
      </c>
      <c r="V281" s="58">
        <f t="shared" si="23"/>
        <v>1602448.8443333306</v>
      </c>
      <c r="W281" s="52" t="s">
        <v>49</v>
      </c>
      <c r="X281" s="52" t="s">
        <v>4463</v>
      </c>
      <c r="Y281" s="52" t="s">
        <v>4441</v>
      </c>
      <c r="Z281" s="52" t="s">
        <v>4442</v>
      </c>
      <c r="AA281" s="52">
        <v>0</v>
      </c>
      <c r="AB281" s="52">
        <v>0</v>
      </c>
      <c r="AC281" s="52">
        <v>0</v>
      </c>
      <c r="AD281" s="21">
        <v>0.29138261490145073</v>
      </c>
      <c r="AE281" s="54">
        <v>0.29138261490145073</v>
      </c>
      <c r="AF281" s="315">
        <f t="shared" si="26"/>
        <v>466925.73450765363</v>
      </c>
    </row>
    <row r="282" spans="1:32" ht="135" x14ac:dyDescent="0.25">
      <c r="A282" s="86" t="s">
        <v>588</v>
      </c>
      <c r="B282" s="117" t="s">
        <v>2270</v>
      </c>
      <c r="C282" s="52"/>
      <c r="D282" s="107" t="s">
        <v>2288</v>
      </c>
      <c r="E282" s="22" t="str">
        <f t="shared" si="24"/>
        <v>SEJUSPPROG</v>
      </c>
      <c r="F282" s="52" t="s">
        <v>729</v>
      </c>
      <c r="G282" s="22" t="str">
        <f t="shared" si="25"/>
        <v>P130SEJUSP</v>
      </c>
      <c r="H282" s="52" t="s">
        <v>1148</v>
      </c>
      <c r="I282" s="22" t="s">
        <v>16</v>
      </c>
      <c r="J282" s="52" t="s">
        <v>1670</v>
      </c>
      <c r="K282" s="22" t="str">
        <f>VLOOKUP(CONCATENATE(A282,LEFT(J282,4)),AGRUPAMENTO!$D$2:$E$6783,2,FALSE)</f>
        <v>Obras e projetos de obras</v>
      </c>
      <c r="L282" s="52" t="s">
        <v>94</v>
      </c>
      <c r="M282" s="52" t="str">
        <f t="shared" si="22"/>
        <v>FONTESEJUSP</v>
      </c>
      <c r="N282" s="52">
        <v>60</v>
      </c>
      <c r="O282" s="52" t="s">
        <v>2556</v>
      </c>
      <c r="P282" s="52" t="s">
        <v>46</v>
      </c>
      <c r="Q282" s="52" t="s">
        <v>3796</v>
      </c>
      <c r="R282" s="52">
        <v>1</v>
      </c>
      <c r="S282" s="52" t="s">
        <v>3799</v>
      </c>
      <c r="T282" s="88">
        <v>111116.36583333333</v>
      </c>
      <c r="U282" s="53">
        <v>12</v>
      </c>
      <c r="V282" s="58">
        <f t="shared" si="23"/>
        <v>1333396.3899999999</v>
      </c>
      <c r="W282" s="52" t="s">
        <v>49</v>
      </c>
      <c r="X282" s="52" t="s">
        <v>4438</v>
      </c>
      <c r="Y282" s="52" t="s">
        <v>4433</v>
      </c>
      <c r="Z282" s="52" t="s">
        <v>4439</v>
      </c>
      <c r="AA282" s="52">
        <v>0</v>
      </c>
      <c r="AB282" s="52">
        <v>0</v>
      </c>
      <c r="AC282" s="52">
        <v>0</v>
      </c>
      <c r="AD282" s="21">
        <v>1</v>
      </c>
      <c r="AE282" s="54">
        <v>0</v>
      </c>
      <c r="AF282" s="315">
        <f t="shared" si="26"/>
        <v>0</v>
      </c>
    </row>
    <row r="283" spans="1:32" ht="135" x14ac:dyDescent="0.25">
      <c r="A283" s="86" t="s">
        <v>588</v>
      </c>
      <c r="B283" s="117" t="s">
        <v>2270</v>
      </c>
      <c r="C283" s="52"/>
      <c r="D283" s="107" t="s">
        <v>2288</v>
      </c>
      <c r="E283" s="22" t="str">
        <f t="shared" si="24"/>
        <v>SEJUSPPROG</v>
      </c>
      <c r="F283" s="52" t="s">
        <v>729</v>
      </c>
      <c r="G283" s="22" t="str">
        <f t="shared" si="25"/>
        <v>P130SEJUSP</v>
      </c>
      <c r="H283" s="52" t="s">
        <v>1148</v>
      </c>
      <c r="I283" s="22" t="s">
        <v>16</v>
      </c>
      <c r="J283" s="52" t="s">
        <v>1672</v>
      </c>
      <c r="K283" s="22" t="str">
        <f>VLOOKUP(CONCATENATE(A283,LEFT(J283,4)),AGRUPAMENTO!$D$2:$E$6783,2,FALSE)</f>
        <v>Obras e projetos de obras</v>
      </c>
      <c r="L283" s="52" t="s">
        <v>94</v>
      </c>
      <c r="M283" s="52" t="str">
        <f t="shared" si="22"/>
        <v>FONTESEJUSP</v>
      </c>
      <c r="N283" s="52">
        <v>60</v>
      </c>
      <c r="O283" s="52" t="s">
        <v>2557</v>
      </c>
      <c r="P283" s="52" t="s">
        <v>58</v>
      </c>
      <c r="Q283" s="52" t="s">
        <v>3796</v>
      </c>
      <c r="R283" s="52">
        <v>1</v>
      </c>
      <c r="S283" s="52" t="s">
        <v>3809</v>
      </c>
      <c r="T283" s="88">
        <v>350000</v>
      </c>
      <c r="U283" s="53">
        <v>12</v>
      </c>
      <c r="V283" s="58">
        <f t="shared" si="23"/>
        <v>4200000</v>
      </c>
      <c r="W283" s="52" t="s">
        <v>49</v>
      </c>
      <c r="X283" s="52" t="s">
        <v>4464</v>
      </c>
      <c r="Y283" s="52" t="s">
        <v>4433</v>
      </c>
      <c r="Z283" s="52" t="s">
        <v>4439</v>
      </c>
      <c r="AA283" s="52">
        <v>0</v>
      </c>
      <c r="AB283" s="52">
        <v>0</v>
      </c>
      <c r="AC283" s="52">
        <v>0</v>
      </c>
      <c r="AD283" s="21">
        <v>0</v>
      </c>
      <c r="AE283" s="54">
        <v>0</v>
      </c>
      <c r="AF283" s="315">
        <f t="shared" si="26"/>
        <v>0</v>
      </c>
    </row>
    <row r="284" spans="1:32" ht="195" x14ac:dyDescent="0.25">
      <c r="A284" s="86" t="s">
        <v>588</v>
      </c>
      <c r="B284" s="117" t="s">
        <v>2270</v>
      </c>
      <c r="C284" s="52"/>
      <c r="D284" s="107" t="s">
        <v>2288</v>
      </c>
      <c r="E284" s="22" t="str">
        <f t="shared" si="24"/>
        <v>SEJUSPPROG</v>
      </c>
      <c r="F284" s="52" t="s">
        <v>729</v>
      </c>
      <c r="G284" s="22" t="str">
        <f t="shared" si="25"/>
        <v>P130SEJUSP</v>
      </c>
      <c r="H284" s="52" t="s">
        <v>1148</v>
      </c>
      <c r="I284" s="22" t="s">
        <v>16</v>
      </c>
      <c r="J284" s="52" t="s">
        <v>1725</v>
      </c>
      <c r="K284" s="22" t="str">
        <f>VLOOKUP(CONCATENATE(A284,LEFT(J284,4)),AGRUPAMENTO!$D$2:$E$6783,2,FALSE)</f>
        <v>Demais despesas de custeio</v>
      </c>
      <c r="L284" s="52" t="s">
        <v>44</v>
      </c>
      <c r="M284" s="52" t="str">
        <f t="shared" si="22"/>
        <v>FONTESEJUSP</v>
      </c>
      <c r="N284" s="52">
        <v>60</v>
      </c>
      <c r="O284" s="52" t="s">
        <v>2558</v>
      </c>
      <c r="P284" s="52" t="s">
        <v>58</v>
      </c>
      <c r="Q284" s="52" t="s">
        <v>3816</v>
      </c>
      <c r="R284" s="52">
        <v>1</v>
      </c>
      <c r="S284" s="52" t="s">
        <v>3817</v>
      </c>
      <c r="T284" s="88">
        <f>26000*7</f>
        <v>182000</v>
      </c>
      <c r="U284" s="53">
        <v>12</v>
      </c>
      <c r="V284" s="58">
        <f t="shared" si="23"/>
        <v>2184000</v>
      </c>
      <c r="W284" s="52" t="s">
        <v>49</v>
      </c>
      <c r="X284" s="52" t="s">
        <v>4465</v>
      </c>
      <c r="Y284" s="52" t="s">
        <v>4441</v>
      </c>
      <c r="Z284" s="52" t="s">
        <v>4442</v>
      </c>
      <c r="AA284" s="52">
        <v>0</v>
      </c>
      <c r="AB284" s="52">
        <v>0</v>
      </c>
      <c r="AC284" s="52">
        <v>0</v>
      </c>
      <c r="AD284" s="21">
        <v>0</v>
      </c>
      <c r="AE284" s="54">
        <v>0</v>
      </c>
      <c r="AF284" s="315">
        <f t="shared" si="26"/>
        <v>0</v>
      </c>
    </row>
    <row r="285" spans="1:32" ht="195" x14ac:dyDescent="0.25">
      <c r="A285" s="86" t="s">
        <v>588</v>
      </c>
      <c r="B285" s="117" t="s">
        <v>2270</v>
      </c>
      <c r="C285" s="52"/>
      <c r="D285" s="107" t="s">
        <v>2288</v>
      </c>
      <c r="E285" s="22" t="str">
        <f t="shared" si="24"/>
        <v>SEJUSPPROG</v>
      </c>
      <c r="F285" s="52" t="s">
        <v>729</v>
      </c>
      <c r="G285" s="22" t="str">
        <f t="shared" si="25"/>
        <v>P130SEJUSP</v>
      </c>
      <c r="H285" s="52" t="s">
        <v>1148</v>
      </c>
      <c r="I285" s="22" t="s">
        <v>16</v>
      </c>
      <c r="J285" s="52" t="s">
        <v>1725</v>
      </c>
      <c r="K285" s="22" t="str">
        <f>VLOOKUP(CONCATENATE(A285,LEFT(J285,4)),AGRUPAMENTO!$D$2:$E$6783,2,FALSE)</f>
        <v>Demais despesas de custeio</v>
      </c>
      <c r="L285" s="52" t="s">
        <v>44</v>
      </c>
      <c r="M285" s="52" t="str">
        <f t="shared" si="22"/>
        <v>FONTESEJUSP</v>
      </c>
      <c r="N285" s="52">
        <v>60</v>
      </c>
      <c r="O285" s="52" t="s">
        <v>2559</v>
      </c>
      <c r="P285" s="52" t="s">
        <v>58</v>
      </c>
      <c r="Q285" s="52" t="s">
        <v>3818</v>
      </c>
      <c r="R285" s="52">
        <v>1</v>
      </c>
      <c r="S285" s="52" t="s">
        <v>3817</v>
      </c>
      <c r="T285" s="88">
        <v>76000</v>
      </c>
      <c r="U285" s="53">
        <v>12</v>
      </c>
      <c r="V285" s="58">
        <f t="shared" si="23"/>
        <v>912000</v>
      </c>
      <c r="W285" s="52" t="s">
        <v>49</v>
      </c>
      <c r="X285" s="52" t="s">
        <v>4465</v>
      </c>
      <c r="Y285" s="52" t="s">
        <v>4441</v>
      </c>
      <c r="Z285" s="52" t="s">
        <v>4442</v>
      </c>
      <c r="AA285" s="52">
        <v>0</v>
      </c>
      <c r="AB285" s="52">
        <v>0</v>
      </c>
      <c r="AC285" s="52">
        <v>0</v>
      </c>
      <c r="AD285" s="21">
        <v>0</v>
      </c>
      <c r="AE285" s="54">
        <v>0</v>
      </c>
      <c r="AF285" s="315">
        <f t="shared" si="26"/>
        <v>0</v>
      </c>
    </row>
    <row r="286" spans="1:32" ht="120" x14ac:dyDescent="0.25">
      <c r="A286" s="86" t="s">
        <v>588</v>
      </c>
      <c r="B286" s="52" t="s">
        <v>2272</v>
      </c>
      <c r="C286" s="52"/>
      <c r="D286" s="52" t="s">
        <v>2290</v>
      </c>
      <c r="E286" s="22" t="str">
        <f t="shared" si="24"/>
        <v>SEJUSPPROG</v>
      </c>
      <c r="F286" s="52" t="s">
        <v>705</v>
      </c>
      <c r="G286" s="22" t="str">
        <f t="shared" si="25"/>
        <v>P134SEJUSP</v>
      </c>
      <c r="H286" s="52" t="s">
        <v>1356</v>
      </c>
      <c r="I286" s="22" t="s">
        <v>16</v>
      </c>
      <c r="J286" s="107" t="s">
        <v>1628</v>
      </c>
      <c r="K286" s="22" t="str">
        <f>VLOOKUP(CONCATENATE(A286,LEFT(J286,4)),AGRUPAMENTO!$D$2:$E$6783,2,FALSE)</f>
        <v>Pronto Pagamento</v>
      </c>
      <c r="L286" s="52" t="s">
        <v>44</v>
      </c>
      <c r="M286" s="52" t="str">
        <f t="shared" si="22"/>
        <v>FONTESEJUSP</v>
      </c>
      <c r="N286" s="52">
        <v>10</v>
      </c>
      <c r="O286" s="52" t="s">
        <v>2560</v>
      </c>
      <c r="P286" s="52" t="s">
        <v>46</v>
      </c>
      <c r="Q286" s="52" t="s">
        <v>3819</v>
      </c>
      <c r="R286" s="52">
        <v>1</v>
      </c>
      <c r="S286" s="52" t="s">
        <v>3820</v>
      </c>
      <c r="T286" s="88">
        <v>3000</v>
      </c>
      <c r="U286" s="53">
        <v>12</v>
      </c>
      <c r="V286" s="58">
        <f t="shared" si="23"/>
        <v>36000</v>
      </c>
      <c r="W286" s="52" t="s">
        <v>49</v>
      </c>
      <c r="X286" s="52" t="s">
        <v>4466</v>
      </c>
      <c r="Y286" s="52" t="s">
        <v>4467</v>
      </c>
      <c r="Z286" s="52" t="s">
        <v>4468</v>
      </c>
      <c r="AA286" s="52">
        <v>0</v>
      </c>
      <c r="AB286" s="52">
        <v>0</v>
      </c>
      <c r="AC286" s="52">
        <v>0</v>
      </c>
      <c r="AD286" s="21">
        <v>1</v>
      </c>
      <c r="AE286" s="54">
        <v>1</v>
      </c>
      <c r="AF286" s="315">
        <f t="shared" si="26"/>
        <v>36000</v>
      </c>
    </row>
    <row r="287" spans="1:32" ht="120" x14ac:dyDescent="0.25">
      <c r="A287" s="86" t="s">
        <v>588</v>
      </c>
      <c r="B287" s="52" t="s">
        <v>2272</v>
      </c>
      <c r="C287" s="52"/>
      <c r="D287" s="52" t="s">
        <v>2290</v>
      </c>
      <c r="E287" s="22" t="str">
        <f t="shared" si="24"/>
        <v>SEJUSPPROG</v>
      </c>
      <c r="F287" s="52" t="s">
        <v>705</v>
      </c>
      <c r="G287" s="22" t="str">
        <f t="shared" si="25"/>
        <v>P134SEJUSP</v>
      </c>
      <c r="H287" s="52" t="s">
        <v>1356</v>
      </c>
      <c r="I287" s="22" t="s">
        <v>16</v>
      </c>
      <c r="J287" s="107" t="s">
        <v>1628</v>
      </c>
      <c r="K287" s="22" t="str">
        <f>VLOOKUP(CONCATENATE(A287,LEFT(J287,4)),AGRUPAMENTO!$D$2:$E$6783,2,FALSE)</f>
        <v>Pronto Pagamento</v>
      </c>
      <c r="L287" s="52" t="s">
        <v>44</v>
      </c>
      <c r="M287" s="52" t="str">
        <f t="shared" si="22"/>
        <v>FONTESEJUSP</v>
      </c>
      <c r="N287" s="52">
        <v>10</v>
      </c>
      <c r="O287" s="52" t="s">
        <v>2561</v>
      </c>
      <c r="P287" s="52" t="s">
        <v>46</v>
      </c>
      <c r="Q287" s="52" t="s">
        <v>3819</v>
      </c>
      <c r="R287" s="52">
        <v>1</v>
      </c>
      <c r="S287" s="52" t="s">
        <v>3820</v>
      </c>
      <c r="T287" s="88">
        <v>3000</v>
      </c>
      <c r="U287" s="53">
        <v>12</v>
      </c>
      <c r="V287" s="58">
        <f t="shared" si="23"/>
        <v>36000</v>
      </c>
      <c r="W287" s="52" t="s">
        <v>49</v>
      </c>
      <c r="X287" s="52" t="s">
        <v>4466</v>
      </c>
      <c r="Y287" s="52" t="s">
        <v>4467</v>
      </c>
      <c r="Z287" s="52" t="s">
        <v>4468</v>
      </c>
      <c r="AA287" s="52">
        <v>0</v>
      </c>
      <c r="AB287" s="52">
        <v>0</v>
      </c>
      <c r="AC287" s="52">
        <v>0</v>
      </c>
      <c r="AD287" s="21">
        <v>1</v>
      </c>
      <c r="AE287" s="54">
        <v>1</v>
      </c>
      <c r="AF287" s="315">
        <f t="shared" si="26"/>
        <v>36000</v>
      </c>
    </row>
    <row r="288" spans="1:32" ht="120" x14ac:dyDescent="0.25">
      <c r="A288" s="86" t="s">
        <v>588</v>
      </c>
      <c r="B288" s="52" t="s">
        <v>2272</v>
      </c>
      <c r="C288" s="52"/>
      <c r="D288" s="52" t="s">
        <v>2290</v>
      </c>
      <c r="E288" s="22" t="str">
        <f t="shared" si="24"/>
        <v>SEJUSPPROG</v>
      </c>
      <c r="F288" s="52" t="s">
        <v>705</v>
      </c>
      <c r="G288" s="22" t="str">
        <f t="shared" si="25"/>
        <v>P134SEJUSP</v>
      </c>
      <c r="H288" s="52" t="s">
        <v>1356</v>
      </c>
      <c r="I288" s="22" t="s">
        <v>16</v>
      </c>
      <c r="J288" s="107" t="s">
        <v>1628</v>
      </c>
      <c r="K288" s="22" t="str">
        <f>VLOOKUP(CONCATENATE(A288,LEFT(J288,4)),AGRUPAMENTO!$D$2:$E$6783,2,FALSE)</f>
        <v>Pronto Pagamento</v>
      </c>
      <c r="L288" s="52" t="s">
        <v>44</v>
      </c>
      <c r="M288" s="52" t="str">
        <f t="shared" si="22"/>
        <v>FONTESEJUSP</v>
      </c>
      <c r="N288" s="52">
        <v>10</v>
      </c>
      <c r="O288" s="52" t="s">
        <v>2562</v>
      </c>
      <c r="P288" s="52" t="s">
        <v>46</v>
      </c>
      <c r="Q288" s="52" t="s">
        <v>3819</v>
      </c>
      <c r="R288" s="52">
        <v>1</v>
      </c>
      <c r="S288" s="52" t="s">
        <v>3820</v>
      </c>
      <c r="T288" s="88">
        <v>3000</v>
      </c>
      <c r="U288" s="53">
        <v>12</v>
      </c>
      <c r="V288" s="58">
        <f t="shared" si="23"/>
        <v>36000</v>
      </c>
      <c r="W288" s="52" t="s">
        <v>49</v>
      </c>
      <c r="X288" s="52" t="s">
        <v>4466</v>
      </c>
      <c r="Y288" s="52" t="s">
        <v>4467</v>
      </c>
      <c r="Z288" s="52" t="s">
        <v>4468</v>
      </c>
      <c r="AA288" s="52">
        <v>0</v>
      </c>
      <c r="AB288" s="52">
        <v>0</v>
      </c>
      <c r="AC288" s="52">
        <v>0</v>
      </c>
      <c r="AD288" s="21">
        <v>1</v>
      </c>
      <c r="AE288" s="54">
        <v>1</v>
      </c>
      <c r="AF288" s="315">
        <f t="shared" si="26"/>
        <v>36000</v>
      </c>
    </row>
    <row r="289" spans="1:32" ht="120" x14ac:dyDescent="0.25">
      <c r="A289" s="86" t="s">
        <v>588</v>
      </c>
      <c r="B289" s="52" t="s">
        <v>2272</v>
      </c>
      <c r="C289" s="52"/>
      <c r="D289" s="52" t="s">
        <v>2290</v>
      </c>
      <c r="E289" s="22" t="str">
        <f t="shared" si="24"/>
        <v>SEJUSPPROG</v>
      </c>
      <c r="F289" s="52" t="s">
        <v>705</v>
      </c>
      <c r="G289" s="22" t="str">
        <f t="shared" si="25"/>
        <v>P134SEJUSP</v>
      </c>
      <c r="H289" s="52" t="s">
        <v>1356</v>
      </c>
      <c r="I289" s="22" t="s">
        <v>16</v>
      </c>
      <c r="J289" s="107" t="s">
        <v>1628</v>
      </c>
      <c r="K289" s="22" t="str">
        <f>VLOOKUP(CONCATENATE(A289,LEFT(J289,4)),AGRUPAMENTO!$D$2:$E$6783,2,FALSE)</f>
        <v>Pronto Pagamento</v>
      </c>
      <c r="L289" s="52" t="s">
        <v>44</v>
      </c>
      <c r="M289" s="52" t="str">
        <f t="shared" si="22"/>
        <v>FONTESEJUSP</v>
      </c>
      <c r="N289" s="52">
        <v>10</v>
      </c>
      <c r="O289" s="52" t="s">
        <v>2563</v>
      </c>
      <c r="P289" s="52" t="s">
        <v>46</v>
      </c>
      <c r="Q289" s="52" t="s">
        <v>3821</v>
      </c>
      <c r="R289" s="52">
        <v>1</v>
      </c>
      <c r="S289" s="52" t="s">
        <v>3820</v>
      </c>
      <c r="T289" s="88">
        <v>4000</v>
      </c>
      <c r="U289" s="53">
        <v>12</v>
      </c>
      <c r="V289" s="58">
        <f t="shared" si="23"/>
        <v>48000</v>
      </c>
      <c r="W289" s="52" t="s">
        <v>49</v>
      </c>
      <c r="X289" s="52" t="s">
        <v>4466</v>
      </c>
      <c r="Y289" s="52" t="s">
        <v>4467</v>
      </c>
      <c r="Z289" s="52" t="s">
        <v>4468</v>
      </c>
      <c r="AA289" s="52">
        <v>0</v>
      </c>
      <c r="AB289" s="52">
        <v>0</v>
      </c>
      <c r="AC289" s="52">
        <v>0</v>
      </c>
      <c r="AD289" s="21">
        <v>1</v>
      </c>
      <c r="AE289" s="54">
        <v>1</v>
      </c>
      <c r="AF289" s="315">
        <f t="shared" si="26"/>
        <v>48000</v>
      </c>
    </row>
    <row r="290" spans="1:32" ht="165" x14ac:dyDescent="0.25">
      <c r="A290" s="86" t="s">
        <v>588</v>
      </c>
      <c r="B290" s="52" t="s">
        <v>2272</v>
      </c>
      <c r="C290" s="52"/>
      <c r="D290" s="52" t="s">
        <v>2290</v>
      </c>
      <c r="E290" s="22" t="str">
        <f t="shared" si="24"/>
        <v>SEJUSPPROG</v>
      </c>
      <c r="F290" s="52" t="s">
        <v>705</v>
      </c>
      <c r="G290" s="22" t="str">
        <f t="shared" si="25"/>
        <v>P134SEJUSP</v>
      </c>
      <c r="H290" s="52" t="s">
        <v>1356</v>
      </c>
      <c r="I290" s="22" t="s">
        <v>16</v>
      </c>
      <c r="J290" s="107" t="s">
        <v>2207</v>
      </c>
      <c r="K290" s="22" t="str">
        <f>VLOOKUP(CONCATENATE(A290,LEFT(J290,4)),AGRUPAMENTO!$D$2:$E$6783,2,FALSE)</f>
        <v>PRODEMGE</v>
      </c>
      <c r="L290" s="52" t="s">
        <v>44</v>
      </c>
      <c r="M290" s="52" t="str">
        <f t="shared" si="22"/>
        <v>FONTESEJUSP</v>
      </c>
      <c r="N290" s="52">
        <v>10</v>
      </c>
      <c r="O290" s="52" t="s">
        <v>2564</v>
      </c>
      <c r="P290" s="52" t="s">
        <v>46</v>
      </c>
      <c r="Q290" s="52" t="s">
        <v>3822</v>
      </c>
      <c r="R290" s="52">
        <v>1</v>
      </c>
      <c r="S290" s="52" t="s">
        <v>3823</v>
      </c>
      <c r="T290" s="88">
        <v>15399.6</v>
      </c>
      <c r="U290" s="53">
        <v>12</v>
      </c>
      <c r="V290" s="58">
        <f t="shared" si="23"/>
        <v>184795.2</v>
      </c>
      <c r="W290" s="52" t="s">
        <v>49</v>
      </c>
      <c r="X290" s="52" t="s">
        <v>4469</v>
      </c>
      <c r="Y290" s="52" t="s">
        <v>4470</v>
      </c>
      <c r="Z290" s="52" t="s">
        <v>4471</v>
      </c>
      <c r="AA290" s="52">
        <v>0</v>
      </c>
      <c r="AB290" s="52">
        <v>0</v>
      </c>
      <c r="AC290" s="52">
        <v>0</v>
      </c>
      <c r="AD290" s="21">
        <v>0.74255988295180719</v>
      </c>
      <c r="AE290" s="54">
        <v>0.74255988295180719</v>
      </c>
      <c r="AF290" s="315">
        <f t="shared" si="26"/>
        <v>137221.50208205581</v>
      </c>
    </row>
    <row r="291" spans="1:32" ht="195" x14ac:dyDescent="0.25">
      <c r="A291" s="86" t="s">
        <v>588</v>
      </c>
      <c r="B291" s="52" t="s">
        <v>2272</v>
      </c>
      <c r="C291" s="52"/>
      <c r="D291" s="52" t="s">
        <v>2290</v>
      </c>
      <c r="E291" s="22" t="str">
        <f t="shared" si="24"/>
        <v>SEJUSPPROG</v>
      </c>
      <c r="F291" s="52" t="s">
        <v>705</v>
      </c>
      <c r="G291" s="22" t="str">
        <f t="shared" si="25"/>
        <v>P134SEJUSP</v>
      </c>
      <c r="H291" s="52" t="s">
        <v>1356</v>
      </c>
      <c r="I291" s="22" t="s">
        <v>16</v>
      </c>
      <c r="J291" s="52" t="s">
        <v>2131</v>
      </c>
      <c r="K291" s="22" t="str">
        <f>VLOOKUP(CONCATENATE(A291,LEFT(J291,4)),AGRUPAMENTO!$D$2:$E$6783,2,FALSE)</f>
        <v>Diárias e viagens</v>
      </c>
      <c r="L291" s="52" t="s">
        <v>44</v>
      </c>
      <c r="M291" s="52" t="str">
        <f t="shared" si="22"/>
        <v>FONTESEJUSP</v>
      </c>
      <c r="N291" s="52">
        <v>10</v>
      </c>
      <c r="O291" s="52" t="s">
        <v>2565</v>
      </c>
      <c r="P291" s="52" t="s">
        <v>46</v>
      </c>
      <c r="Q291" s="52" t="s">
        <v>3824</v>
      </c>
      <c r="R291" s="52">
        <v>12</v>
      </c>
      <c r="S291" s="52" t="s">
        <v>3824</v>
      </c>
      <c r="T291" s="88">
        <v>310</v>
      </c>
      <c r="U291" s="53">
        <v>12</v>
      </c>
      <c r="V291" s="58">
        <f t="shared" si="23"/>
        <v>44640</v>
      </c>
      <c r="W291" s="52" t="s">
        <v>49</v>
      </c>
      <c r="X291" s="52" t="s">
        <v>4472</v>
      </c>
      <c r="Y291" s="52" t="s">
        <v>4473</v>
      </c>
      <c r="Z291" s="52" t="s">
        <v>4474</v>
      </c>
      <c r="AA291" s="52">
        <v>0</v>
      </c>
      <c r="AB291" s="52">
        <v>0</v>
      </c>
      <c r="AC291" s="52">
        <v>0</v>
      </c>
      <c r="AD291" s="21">
        <v>0.86749884668513244</v>
      </c>
      <c r="AE291" s="54">
        <v>0.86749884668513244</v>
      </c>
      <c r="AF291" s="315">
        <f t="shared" si="26"/>
        <v>38725.14851602431</v>
      </c>
    </row>
    <row r="292" spans="1:32" ht="110.25" x14ac:dyDescent="0.25">
      <c r="A292" s="86" t="s">
        <v>588</v>
      </c>
      <c r="B292" s="52" t="s">
        <v>2272</v>
      </c>
      <c r="C292" s="52"/>
      <c r="D292" s="52" t="s">
        <v>2290</v>
      </c>
      <c r="E292" s="22" t="str">
        <f t="shared" si="24"/>
        <v>SEJUSPPROG</v>
      </c>
      <c r="F292" s="52" t="s">
        <v>705</v>
      </c>
      <c r="G292" s="22" t="str">
        <f t="shared" si="25"/>
        <v>P134SEJUSP</v>
      </c>
      <c r="H292" s="52" t="s">
        <v>1356</v>
      </c>
      <c r="I292" s="22" t="s">
        <v>16</v>
      </c>
      <c r="J292" s="107" t="s">
        <v>1663</v>
      </c>
      <c r="K292" s="22" t="str">
        <f>VLOOKUP(CONCATENATE(A292,LEFT(J292,4)),AGRUPAMENTO!$D$2:$E$6783,2,FALSE)</f>
        <v>Demais despesas de custeio</v>
      </c>
      <c r="L292" s="52" t="s">
        <v>44</v>
      </c>
      <c r="M292" s="52" t="str">
        <f t="shared" si="22"/>
        <v>FONTESEJUSP</v>
      </c>
      <c r="N292" s="52">
        <v>10</v>
      </c>
      <c r="O292" s="52" t="s">
        <v>2566</v>
      </c>
      <c r="P292" s="52" t="s">
        <v>46</v>
      </c>
      <c r="Q292" s="52" t="s">
        <v>3825</v>
      </c>
      <c r="R292" s="52">
        <v>50</v>
      </c>
      <c r="S292" s="52" t="s">
        <v>3826</v>
      </c>
      <c r="T292" s="88">
        <v>5000</v>
      </c>
      <c r="U292" s="53">
        <v>1</v>
      </c>
      <c r="V292" s="58">
        <f t="shared" si="23"/>
        <v>250000</v>
      </c>
      <c r="W292" s="52" t="s">
        <v>49</v>
      </c>
      <c r="X292" s="272" t="s">
        <v>4475</v>
      </c>
      <c r="Y292" s="52" t="s">
        <v>4476</v>
      </c>
      <c r="Z292" s="52" t="s">
        <v>4477</v>
      </c>
      <c r="AA292" s="52">
        <v>0</v>
      </c>
      <c r="AB292" s="52">
        <v>0</v>
      </c>
      <c r="AC292" s="52">
        <v>0</v>
      </c>
      <c r="AD292" s="21">
        <v>0.29138261490145073</v>
      </c>
      <c r="AE292" s="54">
        <v>0.29138261490145073</v>
      </c>
      <c r="AF292" s="315">
        <f t="shared" si="26"/>
        <v>72845.653725362688</v>
      </c>
    </row>
    <row r="293" spans="1:32" ht="120" x14ac:dyDescent="0.25">
      <c r="A293" s="86" t="s">
        <v>588</v>
      </c>
      <c r="B293" s="118" t="s">
        <v>2272</v>
      </c>
      <c r="C293" s="52"/>
      <c r="D293" s="118" t="s">
        <v>2290</v>
      </c>
      <c r="E293" s="22" t="str">
        <f t="shared" si="24"/>
        <v>SEJUSPPROG</v>
      </c>
      <c r="F293" s="52" t="s">
        <v>705</v>
      </c>
      <c r="G293" s="22" t="str">
        <f t="shared" si="25"/>
        <v>P134SEJUSP</v>
      </c>
      <c r="H293" s="52" t="s">
        <v>1356</v>
      </c>
      <c r="I293" s="22" t="s">
        <v>16</v>
      </c>
      <c r="J293" s="107" t="s">
        <v>490</v>
      </c>
      <c r="K293" s="22" t="str">
        <f>VLOOKUP(CONCATENATE(A293,LEFT(J293,4)),AGRUPAMENTO!$D$2:$E$6783,2,FALSE)</f>
        <v>Material de consumo</v>
      </c>
      <c r="L293" s="118" t="s">
        <v>44</v>
      </c>
      <c r="M293" s="52" t="str">
        <f t="shared" si="22"/>
        <v>FONTESEJUSP</v>
      </c>
      <c r="N293" s="52">
        <v>10</v>
      </c>
      <c r="O293" s="118" t="s">
        <v>2567</v>
      </c>
      <c r="P293" s="118" t="s">
        <v>58</v>
      </c>
      <c r="Q293" s="118" t="s">
        <v>3827</v>
      </c>
      <c r="R293" s="118">
        <v>200</v>
      </c>
      <c r="S293" s="118" t="s">
        <v>3828</v>
      </c>
      <c r="T293" s="177">
        <v>250</v>
      </c>
      <c r="U293" s="178">
        <v>1</v>
      </c>
      <c r="V293" s="58">
        <f t="shared" si="23"/>
        <v>50000</v>
      </c>
      <c r="W293" s="52" t="s">
        <v>49</v>
      </c>
      <c r="X293" s="118" t="s">
        <v>4478</v>
      </c>
      <c r="Y293" s="118" t="s">
        <v>4479</v>
      </c>
      <c r="Z293" s="118" t="s">
        <v>4480</v>
      </c>
      <c r="AA293" s="52">
        <v>0</v>
      </c>
      <c r="AB293" s="52">
        <v>0</v>
      </c>
      <c r="AC293" s="52">
        <v>0</v>
      </c>
      <c r="AD293" s="21">
        <v>0</v>
      </c>
      <c r="AE293" s="54">
        <v>0</v>
      </c>
      <c r="AF293" s="315">
        <f t="shared" si="26"/>
        <v>0</v>
      </c>
    </row>
    <row r="294" spans="1:32" ht="120" x14ac:dyDescent="0.25">
      <c r="A294" s="86" t="s">
        <v>588</v>
      </c>
      <c r="B294" s="52" t="s">
        <v>2272</v>
      </c>
      <c r="C294" s="52"/>
      <c r="D294" s="52" t="s">
        <v>2290</v>
      </c>
      <c r="E294" s="22" t="str">
        <f t="shared" si="24"/>
        <v>SEJUSPPROG</v>
      </c>
      <c r="F294" s="52" t="s">
        <v>705</v>
      </c>
      <c r="G294" s="22" t="str">
        <f t="shared" si="25"/>
        <v>P134SEJUSP</v>
      </c>
      <c r="H294" s="52" t="s">
        <v>1356</v>
      </c>
      <c r="I294" s="22" t="s">
        <v>16</v>
      </c>
      <c r="J294" s="107" t="s">
        <v>1628</v>
      </c>
      <c r="K294" s="22" t="str">
        <f>VLOOKUP(CONCATENATE(A294,LEFT(J294,4)),AGRUPAMENTO!$D$2:$E$6783,2,FALSE)</f>
        <v>Pronto Pagamento</v>
      </c>
      <c r="L294" s="52" t="s">
        <v>44</v>
      </c>
      <c r="M294" s="52" t="str">
        <f t="shared" si="22"/>
        <v>FONTESEJUSP</v>
      </c>
      <c r="N294" s="52">
        <v>10</v>
      </c>
      <c r="O294" s="52" t="s">
        <v>2568</v>
      </c>
      <c r="P294" s="52" t="s">
        <v>46</v>
      </c>
      <c r="Q294" s="52" t="s">
        <v>3819</v>
      </c>
      <c r="R294" s="52">
        <v>1</v>
      </c>
      <c r="S294" s="52" t="s">
        <v>3820</v>
      </c>
      <c r="T294" s="88">
        <v>3000</v>
      </c>
      <c r="U294" s="53">
        <v>12</v>
      </c>
      <c r="V294" s="58">
        <f t="shared" si="23"/>
        <v>36000</v>
      </c>
      <c r="W294" s="52" t="s">
        <v>49</v>
      </c>
      <c r="X294" s="52" t="s">
        <v>4466</v>
      </c>
      <c r="Y294" s="52" t="s">
        <v>4467</v>
      </c>
      <c r="Z294" s="52" t="s">
        <v>4468</v>
      </c>
      <c r="AA294" s="52">
        <v>0</v>
      </c>
      <c r="AB294" s="52">
        <v>0</v>
      </c>
      <c r="AC294" s="52">
        <v>0</v>
      </c>
      <c r="AD294" s="21">
        <v>1</v>
      </c>
      <c r="AE294" s="54">
        <v>1</v>
      </c>
      <c r="AF294" s="315">
        <f t="shared" si="26"/>
        <v>36000</v>
      </c>
    </row>
    <row r="295" spans="1:32" ht="255" x14ac:dyDescent="0.25">
      <c r="A295" s="86" t="s">
        <v>588</v>
      </c>
      <c r="B295" s="52" t="s">
        <v>2272</v>
      </c>
      <c r="C295" s="52"/>
      <c r="D295" s="52" t="s">
        <v>2291</v>
      </c>
      <c r="E295" s="22" t="str">
        <f t="shared" si="24"/>
        <v>SEJUSPPROG</v>
      </c>
      <c r="F295" s="120" t="s">
        <v>681</v>
      </c>
      <c r="G295" s="22" t="str">
        <f t="shared" si="25"/>
        <v>P129SEJUSP</v>
      </c>
      <c r="H295" s="52" t="s">
        <v>1015</v>
      </c>
      <c r="I295" s="22" t="s">
        <v>16</v>
      </c>
      <c r="J295" s="52" t="s">
        <v>2131</v>
      </c>
      <c r="K295" s="22" t="str">
        <f>VLOOKUP(CONCATENATE(A295,LEFT(J295,4)),AGRUPAMENTO!$D$2:$E$6783,2,FALSE)</f>
        <v>Diárias e viagens</v>
      </c>
      <c r="L295" s="52" t="s">
        <v>44</v>
      </c>
      <c r="M295" s="52" t="str">
        <f t="shared" si="22"/>
        <v>FONTESEJUSP</v>
      </c>
      <c r="N295" s="52">
        <v>60</v>
      </c>
      <c r="O295" s="52" t="s">
        <v>2569</v>
      </c>
      <c r="P295" s="52" t="s">
        <v>46</v>
      </c>
      <c r="Q295" s="52" t="s">
        <v>3829</v>
      </c>
      <c r="R295" s="52">
        <v>40</v>
      </c>
      <c r="S295" s="52" t="s">
        <v>48</v>
      </c>
      <c r="T295" s="88">
        <v>362</v>
      </c>
      <c r="U295" s="53">
        <v>1</v>
      </c>
      <c r="V295" s="58">
        <f t="shared" si="23"/>
        <v>14480</v>
      </c>
      <c r="W295" s="52" t="s">
        <v>49</v>
      </c>
      <c r="X295" s="52" t="s">
        <v>4481</v>
      </c>
      <c r="Y295" s="52" t="s">
        <v>4482</v>
      </c>
      <c r="Z295" s="52" t="s">
        <v>4483</v>
      </c>
      <c r="AA295" s="52">
        <v>0</v>
      </c>
      <c r="AB295" s="52">
        <v>0</v>
      </c>
      <c r="AC295" s="52">
        <v>0</v>
      </c>
      <c r="AD295" s="21">
        <v>0.86749884668513244</v>
      </c>
      <c r="AE295" s="54">
        <v>0.86749884668513244</v>
      </c>
      <c r="AF295" s="315">
        <f t="shared" si="26"/>
        <v>12561.383300000718</v>
      </c>
    </row>
    <row r="296" spans="1:32" ht="255" x14ac:dyDescent="0.25">
      <c r="A296" s="86" t="s">
        <v>588</v>
      </c>
      <c r="B296" s="52" t="s">
        <v>2272</v>
      </c>
      <c r="C296" s="52"/>
      <c r="D296" s="52" t="s">
        <v>2291</v>
      </c>
      <c r="E296" s="22" t="str">
        <f t="shared" si="24"/>
        <v>SEJUSPPROG</v>
      </c>
      <c r="F296" s="120" t="s">
        <v>681</v>
      </c>
      <c r="G296" s="22" t="str">
        <f t="shared" si="25"/>
        <v>P129SEJUSP</v>
      </c>
      <c r="H296" s="52" t="s">
        <v>1015</v>
      </c>
      <c r="I296" s="22" t="s">
        <v>16</v>
      </c>
      <c r="J296" s="52" t="s">
        <v>2131</v>
      </c>
      <c r="K296" s="22" t="str">
        <f>VLOOKUP(CONCATENATE(A296,LEFT(J296,4)),AGRUPAMENTO!$D$2:$E$6783,2,FALSE)</f>
        <v>Diárias e viagens</v>
      </c>
      <c r="L296" s="52" t="s">
        <v>44</v>
      </c>
      <c r="M296" s="52" t="str">
        <f t="shared" si="22"/>
        <v>FONTESEJUSP</v>
      </c>
      <c r="N296" s="52">
        <v>60</v>
      </c>
      <c r="O296" s="52" t="s">
        <v>2569</v>
      </c>
      <c r="P296" s="52" t="s">
        <v>46</v>
      </c>
      <c r="Q296" s="52" t="s">
        <v>3830</v>
      </c>
      <c r="R296" s="52">
        <v>10</v>
      </c>
      <c r="S296" s="52" t="s">
        <v>3831</v>
      </c>
      <c r="T296" s="88">
        <v>470</v>
      </c>
      <c r="U296" s="53">
        <v>1</v>
      </c>
      <c r="V296" s="58">
        <f t="shared" si="23"/>
        <v>4700</v>
      </c>
      <c r="W296" s="52" t="s">
        <v>49</v>
      </c>
      <c r="X296" s="52" t="s">
        <v>4481</v>
      </c>
      <c r="Y296" s="52" t="s">
        <v>4482</v>
      </c>
      <c r="Z296" s="52" t="s">
        <v>4483</v>
      </c>
      <c r="AA296" s="52">
        <v>0</v>
      </c>
      <c r="AB296" s="52">
        <v>0</v>
      </c>
      <c r="AC296" s="52">
        <v>0</v>
      </c>
      <c r="AD296" s="21">
        <v>0.86749884668513244</v>
      </c>
      <c r="AE296" s="54">
        <v>0.86749884668513244</v>
      </c>
      <c r="AF296" s="315">
        <f t="shared" si="26"/>
        <v>4077.2445794201226</v>
      </c>
    </row>
    <row r="297" spans="1:32" ht="409.5" x14ac:dyDescent="0.25">
      <c r="A297" s="86" t="s">
        <v>588</v>
      </c>
      <c r="B297" s="52" t="s">
        <v>2272</v>
      </c>
      <c r="C297" s="52"/>
      <c r="D297" s="52" t="s">
        <v>2292</v>
      </c>
      <c r="E297" s="22" t="str">
        <f t="shared" si="24"/>
        <v>SEJUSPPROG</v>
      </c>
      <c r="F297" s="52" t="s">
        <v>705</v>
      </c>
      <c r="G297" s="22" t="str">
        <f t="shared" si="25"/>
        <v>P134SEJUSP</v>
      </c>
      <c r="H297" s="52" t="s">
        <v>1356</v>
      </c>
      <c r="I297" s="22" t="s">
        <v>16</v>
      </c>
      <c r="J297" s="107" t="s">
        <v>1670</v>
      </c>
      <c r="K297" s="22" t="str">
        <f>VLOOKUP(CONCATENATE(A297,LEFT(J297,4)),AGRUPAMENTO!$D$2:$E$6783,2,FALSE)</f>
        <v>Obras e projetos de obras</v>
      </c>
      <c r="L297" s="52" t="s">
        <v>94</v>
      </c>
      <c r="M297" s="52" t="str">
        <f t="shared" si="22"/>
        <v>FONTESEJUSP</v>
      </c>
      <c r="N297" s="52">
        <v>10</v>
      </c>
      <c r="O297" s="52" t="s">
        <v>2570</v>
      </c>
      <c r="P297" s="52" t="s">
        <v>58</v>
      </c>
      <c r="Q297" s="52" t="s">
        <v>3832</v>
      </c>
      <c r="R297" s="52">
        <v>17</v>
      </c>
      <c r="S297" s="52" t="s">
        <v>3833</v>
      </c>
      <c r="T297" s="88">
        <v>8000</v>
      </c>
      <c r="U297" s="53">
        <v>1</v>
      </c>
      <c r="V297" s="58">
        <f t="shared" si="23"/>
        <v>136000</v>
      </c>
      <c r="W297" s="52" t="s">
        <v>49</v>
      </c>
      <c r="X297" s="55" t="s">
        <v>4484</v>
      </c>
      <c r="Y297" s="52" t="s">
        <v>4485</v>
      </c>
      <c r="Z297" s="52" t="s">
        <v>4486</v>
      </c>
      <c r="AA297" s="52">
        <v>0</v>
      </c>
      <c r="AB297" s="52">
        <v>0</v>
      </c>
      <c r="AC297" s="52">
        <v>0</v>
      </c>
      <c r="AD297" s="21">
        <v>0</v>
      </c>
      <c r="AE297" s="54">
        <v>0</v>
      </c>
      <c r="AF297" s="315">
        <f t="shared" si="26"/>
        <v>0</v>
      </c>
    </row>
    <row r="298" spans="1:32" ht="409.5" x14ac:dyDescent="0.25">
      <c r="A298" s="86" t="s">
        <v>588</v>
      </c>
      <c r="B298" s="52" t="s">
        <v>2272</v>
      </c>
      <c r="C298" s="52"/>
      <c r="D298" s="52" t="s">
        <v>2292</v>
      </c>
      <c r="E298" s="22" t="str">
        <f t="shared" si="24"/>
        <v>SEJUSPPROG</v>
      </c>
      <c r="F298" s="52" t="s">
        <v>705</v>
      </c>
      <c r="G298" s="22" t="str">
        <f t="shared" si="25"/>
        <v>P134SEJUSP</v>
      </c>
      <c r="H298" s="52" t="s">
        <v>1356</v>
      </c>
      <c r="I298" s="22" t="s">
        <v>16</v>
      </c>
      <c r="J298" s="107" t="s">
        <v>1670</v>
      </c>
      <c r="K298" s="22" t="str">
        <f>VLOOKUP(CONCATENATE(A298,LEFT(J298,4)),AGRUPAMENTO!$D$2:$E$6783,2,FALSE)</f>
        <v>Obras e projetos de obras</v>
      </c>
      <c r="L298" s="52" t="s">
        <v>94</v>
      </c>
      <c r="M298" s="52" t="str">
        <f t="shared" si="22"/>
        <v>FONTESEJUSP</v>
      </c>
      <c r="N298" s="52">
        <v>10</v>
      </c>
      <c r="O298" s="52" t="s">
        <v>2571</v>
      </c>
      <c r="P298" s="52" t="s">
        <v>58</v>
      </c>
      <c r="Q298" s="52" t="s">
        <v>3834</v>
      </c>
      <c r="R298" s="52">
        <v>19</v>
      </c>
      <c r="S298" s="52" t="s">
        <v>3833</v>
      </c>
      <c r="T298" s="88">
        <v>90000</v>
      </c>
      <c r="U298" s="53">
        <v>1</v>
      </c>
      <c r="V298" s="58">
        <f t="shared" si="23"/>
        <v>1710000</v>
      </c>
      <c r="W298" s="52" t="s">
        <v>49</v>
      </c>
      <c r="X298" s="52" t="s">
        <v>4487</v>
      </c>
      <c r="Y298" s="52" t="s">
        <v>4488</v>
      </c>
      <c r="Z298" s="52" t="s">
        <v>4489</v>
      </c>
      <c r="AA298" s="52">
        <v>0</v>
      </c>
      <c r="AB298" s="52">
        <v>0</v>
      </c>
      <c r="AC298" s="52">
        <v>0</v>
      </c>
      <c r="AD298" s="21">
        <v>0</v>
      </c>
      <c r="AE298" s="54">
        <v>0</v>
      </c>
      <c r="AF298" s="315">
        <f t="shared" si="26"/>
        <v>0</v>
      </c>
    </row>
    <row r="299" spans="1:32" ht="409.5" x14ac:dyDescent="0.25">
      <c r="A299" s="86" t="s">
        <v>588</v>
      </c>
      <c r="B299" s="52" t="s">
        <v>2272</v>
      </c>
      <c r="C299" s="52"/>
      <c r="D299" s="52" t="s">
        <v>2292</v>
      </c>
      <c r="E299" s="22" t="str">
        <f t="shared" si="24"/>
        <v>SEJUSPPROG</v>
      </c>
      <c r="F299" s="52" t="s">
        <v>705</v>
      </c>
      <c r="G299" s="22" t="str">
        <f t="shared" si="25"/>
        <v>P134SEJUSP</v>
      </c>
      <c r="H299" s="52" t="s">
        <v>1356</v>
      </c>
      <c r="I299" s="22" t="s">
        <v>16</v>
      </c>
      <c r="J299" s="107" t="s">
        <v>1628</v>
      </c>
      <c r="K299" s="22" t="str">
        <f>VLOOKUP(CONCATENATE(A299,LEFT(J299,4)),AGRUPAMENTO!$D$2:$E$6783,2,FALSE)</f>
        <v>Pronto Pagamento</v>
      </c>
      <c r="L299" s="52" t="s">
        <v>44</v>
      </c>
      <c r="M299" s="52" t="str">
        <f t="shared" si="22"/>
        <v>FONTESEJUSP</v>
      </c>
      <c r="N299" s="52">
        <v>10</v>
      </c>
      <c r="O299" s="52" t="s">
        <v>2572</v>
      </c>
      <c r="P299" s="52" t="s">
        <v>46</v>
      </c>
      <c r="Q299" s="52" t="s">
        <v>3835</v>
      </c>
      <c r="R299" s="52">
        <v>19</v>
      </c>
      <c r="S299" s="52" t="s">
        <v>3836</v>
      </c>
      <c r="T299" s="88">
        <v>5000</v>
      </c>
      <c r="U299" s="53">
        <v>12</v>
      </c>
      <c r="V299" s="58">
        <f t="shared" si="23"/>
        <v>1140000</v>
      </c>
      <c r="W299" s="52" t="s">
        <v>49</v>
      </c>
      <c r="X299" s="52" t="s">
        <v>4490</v>
      </c>
      <c r="Y299" s="52" t="s">
        <v>4491</v>
      </c>
      <c r="Z299" s="52" t="s">
        <v>4492</v>
      </c>
      <c r="AA299" s="52">
        <v>0</v>
      </c>
      <c r="AB299" s="52">
        <v>0</v>
      </c>
      <c r="AC299" s="52">
        <v>0</v>
      </c>
      <c r="AD299" s="21">
        <v>1</v>
      </c>
      <c r="AE299" s="54">
        <v>1</v>
      </c>
      <c r="AF299" s="315">
        <f t="shared" si="26"/>
        <v>1140000</v>
      </c>
    </row>
    <row r="300" spans="1:32" ht="409.5" x14ac:dyDescent="0.25">
      <c r="A300" s="86" t="s">
        <v>588</v>
      </c>
      <c r="B300" s="52" t="s">
        <v>2272</v>
      </c>
      <c r="C300" s="52"/>
      <c r="D300" s="52" t="s">
        <v>2292</v>
      </c>
      <c r="E300" s="22" t="str">
        <f t="shared" si="24"/>
        <v>SEJUSPPROG</v>
      </c>
      <c r="F300" s="52" t="s">
        <v>705</v>
      </c>
      <c r="G300" s="22" t="str">
        <f t="shared" si="25"/>
        <v>P134SEJUSP</v>
      </c>
      <c r="H300" s="52" t="s">
        <v>1356</v>
      </c>
      <c r="I300" s="22" t="s">
        <v>16</v>
      </c>
      <c r="J300" s="52" t="s">
        <v>2131</v>
      </c>
      <c r="K300" s="22" t="str">
        <f>VLOOKUP(CONCATENATE(A300,LEFT(J300,4)),AGRUPAMENTO!$D$2:$E$6783,2,FALSE)</f>
        <v>Diárias e viagens</v>
      </c>
      <c r="L300" s="52" t="s">
        <v>44</v>
      </c>
      <c r="M300" s="52" t="str">
        <f t="shared" si="22"/>
        <v>FONTESEJUSP</v>
      </c>
      <c r="N300" s="52">
        <v>10</v>
      </c>
      <c r="O300" s="55" t="s">
        <v>2573</v>
      </c>
      <c r="P300" s="52" t="s">
        <v>46</v>
      </c>
      <c r="Q300" s="52" t="s">
        <v>3837</v>
      </c>
      <c r="R300" s="52">
        <v>34</v>
      </c>
      <c r="S300" s="52" t="s">
        <v>3838</v>
      </c>
      <c r="T300" s="88">
        <v>362</v>
      </c>
      <c r="U300" s="53">
        <v>1</v>
      </c>
      <c r="V300" s="58">
        <f t="shared" si="23"/>
        <v>12308</v>
      </c>
      <c r="W300" s="52" t="s">
        <v>49</v>
      </c>
      <c r="X300" s="52" t="s">
        <v>4493</v>
      </c>
      <c r="Y300" s="52" t="s">
        <v>4494</v>
      </c>
      <c r="Z300" s="52" t="s">
        <v>4495</v>
      </c>
      <c r="AA300" s="52">
        <v>0</v>
      </c>
      <c r="AB300" s="52">
        <v>0</v>
      </c>
      <c r="AC300" s="52">
        <v>0</v>
      </c>
      <c r="AD300" s="21">
        <v>0.86749884668513244</v>
      </c>
      <c r="AE300" s="54">
        <v>0.86749884668513244</v>
      </c>
      <c r="AF300" s="315">
        <f t="shared" si="26"/>
        <v>10677.17580500061</v>
      </c>
    </row>
    <row r="301" spans="1:32" ht="409.5" x14ac:dyDescent="0.25">
      <c r="A301" s="86" t="s">
        <v>588</v>
      </c>
      <c r="B301" s="118" t="s">
        <v>2272</v>
      </c>
      <c r="C301" s="52"/>
      <c r="D301" s="118" t="s">
        <v>2292</v>
      </c>
      <c r="E301" s="22" t="str">
        <f t="shared" si="24"/>
        <v>SEJUSPPROG</v>
      </c>
      <c r="F301" s="52" t="s">
        <v>705</v>
      </c>
      <c r="G301" s="22" t="str">
        <f t="shared" si="25"/>
        <v>P134SEJUSP</v>
      </c>
      <c r="H301" s="52" t="s">
        <v>1356</v>
      </c>
      <c r="I301" s="22" t="s">
        <v>16</v>
      </c>
      <c r="J301" s="107" t="s">
        <v>2177</v>
      </c>
      <c r="K301" s="22" t="str">
        <f>VLOOKUP(CONCATENATE(A301,LEFT(J301,4)),AGRUPAMENTO!$D$2:$E$6783,2,FALSE)</f>
        <v>Gestão de equipamentos</v>
      </c>
      <c r="L301" s="118" t="s">
        <v>44</v>
      </c>
      <c r="M301" s="52" t="str">
        <f t="shared" si="22"/>
        <v>FONTESEJUSP</v>
      </c>
      <c r="N301" s="52">
        <v>10</v>
      </c>
      <c r="O301" s="118" t="s">
        <v>2574</v>
      </c>
      <c r="P301" s="118" t="s">
        <v>58</v>
      </c>
      <c r="Q301" s="118" t="s">
        <v>3839</v>
      </c>
      <c r="R301" s="118">
        <v>14</v>
      </c>
      <c r="S301" s="118" t="s">
        <v>3840</v>
      </c>
      <c r="T301" s="177">
        <v>12000</v>
      </c>
      <c r="U301" s="178">
        <v>1</v>
      </c>
      <c r="V301" s="58">
        <f t="shared" si="23"/>
        <v>168000</v>
      </c>
      <c r="W301" s="52" t="s">
        <v>49</v>
      </c>
      <c r="X301" s="118" t="s">
        <v>4496</v>
      </c>
      <c r="Y301" s="118" t="s">
        <v>4497</v>
      </c>
      <c r="Z301" s="118" t="s">
        <v>4498</v>
      </c>
      <c r="AA301" s="52">
        <v>0</v>
      </c>
      <c r="AB301" s="52">
        <v>0</v>
      </c>
      <c r="AC301" s="52">
        <v>0</v>
      </c>
      <c r="AD301" s="21">
        <v>0</v>
      </c>
      <c r="AE301" s="54">
        <v>0</v>
      </c>
      <c r="AF301" s="315">
        <f t="shared" si="26"/>
        <v>0</v>
      </c>
    </row>
    <row r="302" spans="1:32" ht="409.5" x14ac:dyDescent="0.25">
      <c r="A302" s="86" t="s">
        <v>588</v>
      </c>
      <c r="B302" s="52" t="s">
        <v>2272</v>
      </c>
      <c r="C302" s="52"/>
      <c r="D302" s="52" t="s">
        <v>2292</v>
      </c>
      <c r="E302" s="22" t="str">
        <f t="shared" si="24"/>
        <v>SEJUSPPROG</v>
      </c>
      <c r="F302" s="52" t="s">
        <v>705</v>
      </c>
      <c r="G302" s="22" t="str">
        <f t="shared" si="25"/>
        <v>P134SEJUSP</v>
      </c>
      <c r="H302" s="52" t="s">
        <v>1356</v>
      </c>
      <c r="I302" s="22" t="s">
        <v>16</v>
      </c>
      <c r="J302" s="107" t="s">
        <v>2177</v>
      </c>
      <c r="K302" s="22" t="str">
        <f>VLOOKUP(CONCATENATE(A302,LEFT(J302,4)),AGRUPAMENTO!$D$2:$E$6783,2,FALSE)</f>
        <v>Gestão de equipamentos</v>
      </c>
      <c r="L302" s="52" t="s">
        <v>44</v>
      </c>
      <c r="M302" s="52" t="str">
        <f t="shared" si="22"/>
        <v>FONTESEJUSP</v>
      </c>
      <c r="N302" s="52">
        <v>10</v>
      </c>
      <c r="O302" s="52" t="s">
        <v>2575</v>
      </c>
      <c r="P302" s="52" t="s">
        <v>58</v>
      </c>
      <c r="Q302" s="52" t="s">
        <v>3841</v>
      </c>
      <c r="R302" s="52">
        <v>6</v>
      </c>
      <c r="S302" s="52" t="s">
        <v>3842</v>
      </c>
      <c r="T302" s="88">
        <v>26211.360000000001</v>
      </c>
      <c r="U302" s="53">
        <v>1</v>
      </c>
      <c r="V302" s="58">
        <f t="shared" si="23"/>
        <v>157268.16</v>
      </c>
      <c r="W302" s="52" t="s">
        <v>49</v>
      </c>
      <c r="X302" s="55" t="s">
        <v>4499</v>
      </c>
      <c r="Y302" s="52" t="s">
        <v>4500</v>
      </c>
      <c r="Z302" s="52" t="s">
        <v>4501</v>
      </c>
      <c r="AA302" s="52">
        <v>0</v>
      </c>
      <c r="AB302" s="52">
        <v>0</v>
      </c>
      <c r="AC302" s="52">
        <v>0</v>
      </c>
      <c r="AD302" s="21">
        <v>0</v>
      </c>
      <c r="AE302" s="54">
        <v>0</v>
      </c>
      <c r="AF302" s="315">
        <f t="shared" si="26"/>
        <v>0</v>
      </c>
    </row>
    <row r="303" spans="1:32" ht="409.5" x14ac:dyDescent="0.25">
      <c r="A303" s="86" t="s">
        <v>588</v>
      </c>
      <c r="B303" s="52" t="s">
        <v>2272</v>
      </c>
      <c r="C303" s="52"/>
      <c r="D303" s="52" t="s">
        <v>2292</v>
      </c>
      <c r="E303" s="22" t="str">
        <f t="shared" si="24"/>
        <v>SEJUSPPROG</v>
      </c>
      <c r="F303" s="52" t="s">
        <v>705</v>
      </c>
      <c r="G303" s="22" t="str">
        <f t="shared" si="25"/>
        <v>P134SEJUSP</v>
      </c>
      <c r="H303" s="52" t="s">
        <v>1356</v>
      </c>
      <c r="I303" s="22" t="s">
        <v>16</v>
      </c>
      <c r="J303" s="107" t="s">
        <v>1643</v>
      </c>
      <c r="K303" s="22" t="str">
        <f>VLOOKUP(CONCATENATE(A303,LEFT(J303,4)),AGRUPAMENTO!$D$2:$E$6783,2,FALSE)</f>
        <v>Reparo de imóveis</v>
      </c>
      <c r="L303" s="52" t="s">
        <v>44</v>
      </c>
      <c r="M303" s="52" t="str">
        <f t="shared" si="22"/>
        <v>FONTESEJUSP</v>
      </c>
      <c r="N303" s="52">
        <v>10</v>
      </c>
      <c r="O303" s="52" t="s">
        <v>2576</v>
      </c>
      <c r="P303" s="52" t="s">
        <v>58</v>
      </c>
      <c r="Q303" s="52" t="s">
        <v>3843</v>
      </c>
      <c r="R303" s="52">
        <v>20</v>
      </c>
      <c r="S303" s="52" t="s">
        <v>3844</v>
      </c>
      <c r="T303" s="88">
        <v>1600</v>
      </c>
      <c r="U303" s="53">
        <v>1</v>
      </c>
      <c r="V303" s="58">
        <f t="shared" si="23"/>
        <v>32000</v>
      </c>
      <c r="W303" s="52" t="s">
        <v>49</v>
      </c>
      <c r="X303" s="52" t="s">
        <v>4502</v>
      </c>
      <c r="Y303" s="52" t="s">
        <v>4503</v>
      </c>
      <c r="Z303" s="52" t="s">
        <v>4504</v>
      </c>
      <c r="AA303" s="52">
        <v>0</v>
      </c>
      <c r="AB303" s="52">
        <v>0</v>
      </c>
      <c r="AC303" s="52">
        <v>0</v>
      </c>
      <c r="AD303" s="21">
        <v>0.24450815293978012</v>
      </c>
      <c r="AE303" s="54">
        <v>0.24450815293978012</v>
      </c>
      <c r="AF303" s="315">
        <f t="shared" si="26"/>
        <v>7824.2608940729642</v>
      </c>
    </row>
    <row r="304" spans="1:32" ht="409.5" x14ac:dyDescent="0.25">
      <c r="A304" s="86" t="s">
        <v>588</v>
      </c>
      <c r="B304" s="52" t="s">
        <v>2272</v>
      </c>
      <c r="C304" s="52"/>
      <c r="D304" s="52" t="s">
        <v>2292</v>
      </c>
      <c r="E304" s="22" t="str">
        <f t="shared" si="24"/>
        <v>SEJUSPPROG</v>
      </c>
      <c r="F304" s="52" t="s">
        <v>705</v>
      </c>
      <c r="G304" s="22" t="str">
        <f t="shared" si="25"/>
        <v>P134SEJUSP</v>
      </c>
      <c r="H304" s="52" t="s">
        <v>1356</v>
      </c>
      <c r="I304" s="22" t="s">
        <v>16</v>
      </c>
      <c r="J304" s="107" t="s">
        <v>1643</v>
      </c>
      <c r="K304" s="22" t="str">
        <f>VLOOKUP(CONCATENATE(A304,LEFT(J304,4)),AGRUPAMENTO!$D$2:$E$6783,2,FALSE)</f>
        <v>Reparo de imóveis</v>
      </c>
      <c r="L304" s="52" t="s">
        <v>44</v>
      </c>
      <c r="M304" s="52" t="str">
        <f t="shared" si="22"/>
        <v>FONTESEJUSP</v>
      </c>
      <c r="N304" s="52">
        <v>10</v>
      </c>
      <c r="O304" s="52" t="s">
        <v>2577</v>
      </c>
      <c r="P304" s="52" t="s">
        <v>58</v>
      </c>
      <c r="Q304" s="52" t="s">
        <v>3843</v>
      </c>
      <c r="R304" s="52">
        <v>40</v>
      </c>
      <c r="S304" s="52" t="s">
        <v>3844</v>
      </c>
      <c r="T304" s="88">
        <v>301</v>
      </c>
      <c r="U304" s="53">
        <v>1</v>
      </c>
      <c r="V304" s="58">
        <f t="shared" si="23"/>
        <v>12040</v>
      </c>
      <c r="W304" s="52" t="s">
        <v>49</v>
      </c>
      <c r="X304" s="52" t="s">
        <v>4505</v>
      </c>
      <c r="Y304" s="52" t="s">
        <v>4506</v>
      </c>
      <c r="Z304" s="52" t="s">
        <v>4507</v>
      </c>
      <c r="AA304" s="52">
        <v>0</v>
      </c>
      <c r="AB304" s="52">
        <v>0</v>
      </c>
      <c r="AC304" s="52">
        <v>0</v>
      </c>
      <c r="AD304" s="21">
        <v>0.24450815293978012</v>
      </c>
      <c r="AE304" s="54">
        <v>0.24450815293978012</v>
      </c>
      <c r="AF304" s="315">
        <f t="shared" si="26"/>
        <v>2943.8781613949527</v>
      </c>
    </row>
    <row r="305" spans="1:32" ht="409.5" x14ac:dyDescent="0.25">
      <c r="A305" s="86" t="s">
        <v>588</v>
      </c>
      <c r="B305" s="52" t="s">
        <v>2272</v>
      </c>
      <c r="C305" s="52"/>
      <c r="D305" s="52" t="s">
        <v>2292</v>
      </c>
      <c r="E305" s="22" t="str">
        <f t="shared" si="24"/>
        <v>SEJUSPPROG</v>
      </c>
      <c r="F305" s="52" t="s">
        <v>705</v>
      </c>
      <c r="G305" s="22" t="str">
        <f t="shared" si="25"/>
        <v>P134SEJUSP</v>
      </c>
      <c r="H305" s="52" t="s">
        <v>1356</v>
      </c>
      <c r="I305" s="22" t="s">
        <v>16</v>
      </c>
      <c r="J305" s="52" t="s">
        <v>2131</v>
      </c>
      <c r="K305" s="22" t="str">
        <f>VLOOKUP(CONCATENATE(A305,LEFT(J305,4)),AGRUPAMENTO!$D$2:$E$6783,2,FALSE)</f>
        <v>Diárias e viagens</v>
      </c>
      <c r="L305" s="52" t="s">
        <v>44</v>
      </c>
      <c r="M305" s="52" t="str">
        <f t="shared" si="22"/>
        <v>FONTESEJUSP</v>
      </c>
      <c r="N305" s="52">
        <v>10</v>
      </c>
      <c r="O305" s="52" t="s">
        <v>2578</v>
      </c>
      <c r="P305" s="52" t="s">
        <v>46</v>
      </c>
      <c r="Q305" s="52" t="s">
        <v>3845</v>
      </c>
      <c r="R305" s="52">
        <v>102</v>
      </c>
      <c r="S305" s="52" t="s">
        <v>3846</v>
      </c>
      <c r="T305" s="88">
        <v>362</v>
      </c>
      <c r="U305" s="53">
        <v>1</v>
      </c>
      <c r="V305" s="58">
        <f t="shared" si="23"/>
        <v>36924</v>
      </c>
      <c r="W305" s="52" t="s">
        <v>49</v>
      </c>
      <c r="X305" s="52" t="s">
        <v>4508</v>
      </c>
      <c r="Y305" s="52" t="s">
        <v>4509</v>
      </c>
      <c r="Z305" s="52" t="s">
        <v>4510</v>
      </c>
      <c r="AA305" s="52">
        <v>0</v>
      </c>
      <c r="AB305" s="52">
        <v>0</v>
      </c>
      <c r="AC305" s="52">
        <v>0</v>
      </c>
      <c r="AD305" s="21">
        <v>0.86749884668513244</v>
      </c>
      <c r="AE305" s="54">
        <v>0.86749884668513244</v>
      </c>
      <c r="AF305" s="315">
        <f t="shared" si="26"/>
        <v>32031.52741500183</v>
      </c>
    </row>
    <row r="306" spans="1:32" ht="405" x14ac:dyDescent="0.25">
      <c r="A306" s="86" t="s">
        <v>588</v>
      </c>
      <c r="B306" s="52" t="s">
        <v>2272</v>
      </c>
      <c r="C306" s="52"/>
      <c r="D306" s="52" t="s">
        <v>2292</v>
      </c>
      <c r="E306" s="22" t="str">
        <f t="shared" si="24"/>
        <v>SEJUSPPROG</v>
      </c>
      <c r="F306" s="52" t="s">
        <v>705</v>
      </c>
      <c r="G306" s="22" t="str">
        <f t="shared" si="25"/>
        <v>P134SEJUSP</v>
      </c>
      <c r="H306" s="52" t="s">
        <v>1356</v>
      </c>
      <c r="I306" s="22" t="s">
        <v>16</v>
      </c>
      <c r="J306" s="52" t="s">
        <v>2131</v>
      </c>
      <c r="K306" s="22" t="str">
        <f>VLOOKUP(CONCATENATE(A306,LEFT(J306,4)),AGRUPAMENTO!$D$2:$E$6783,2,FALSE)</f>
        <v>Diárias e viagens</v>
      </c>
      <c r="L306" s="52" t="s">
        <v>44</v>
      </c>
      <c r="M306" s="52" t="str">
        <f t="shared" si="22"/>
        <v>FONTESEJUSP</v>
      </c>
      <c r="N306" s="52">
        <v>10</v>
      </c>
      <c r="O306" s="52" t="s">
        <v>2579</v>
      </c>
      <c r="P306" s="52" t="s">
        <v>46</v>
      </c>
      <c r="Q306" s="52" t="s">
        <v>3847</v>
      </c>
      <c r="R306" s="52">
        <v>51</v>
      </c>
      <c r="S306" s="52" t="s">
        <v>3846</v>
      </c>
      <c r="T306" s="88">
        <v>362</v>
      </c>
      <c r="U306" s="53">
        <v>1</v>
      </c>
      <c r="V306" s="58">
        <f t="shared" si="23"/>
        <v>18462</v>
      </c>
      <c r="W306" s="52" t="s">
        <v>49</v>
      </c>
      <c r="X306" s="52" t="s">
        <v>4511</v>
      </c>
      <c r="Y306" s="52" t="s">
        <v>4512</v>
      </c>
      <c r="Z306" s="52" t="s">
        <v>4513</v>
      </c>
      <c r="AA306" s="52">
        <v>0</v>
      </c>
      <c r="AB306" s="52">
        <v>0</v>
      </c>
      <c r="AC306" s="52">
        <v>0</v>
      </c>
      <c r="AD306" s="21">
        <v>0.86749884668513244</v>
      </c>
      <c r="AE306" s="54">
        <v>0.86749884668513244</v>
      </c>
      <c r="AF306" s="315">
        <f t="shared" si="26"/>
        <v>16015.763707500915</v>
      </c>
    </row>
    <row r="307" spans="1:32" ht="405" x14ac:dyDescent="0.25">
      <c r="A307" s="86" t="s">
        <v>588</v>
      </c>
      <c r="B307" s="52" t="s">
        <v>2272</v>
      </c>
      <c r="C307" s="52"/>
      <c r="D307" s="52" t="s">
        <v>2292</v>
      </c>
      <c r="E307" s="22" t="str">
        <f t="shared" si="24"/>
        <v>SEJUSPPROG</v>
      </c>
      <c r="F307" s="52" t="s">
        <v>705</v>
      </c>
      <c r="G307" s="22" t="str">
        <f t="shared" si="25"/>
        <v>P134SEJUSP</v>
      </c>
      <c r="H307" s="52" t="s">
        <v>1356</v>
      </c>
      <c r="I307" s="22" t="s">
        <v>16</v>
      </c>
      <c r="J307" s="52" t="s">
        <v>2131</v>
      </c>
      <c r="K307" s="22" t="str">
        <f>VLOOKUP(CONCATENATE(A307,LEFT(J307,4)),AGRUPAMENTO!$D$2:$E$6783,2,FALSE)</f>
        <v>Diárias e viagens</v>
      </c>
      <c r="L307" s="52" t="s">
        <v>44</v>
      </c>
      <c r="M307" s="52" t="str">
        <f t="shared" si="22"/>
        <v>FONTESEJUSP</v>
      </c>
      <c r="N307" s="52">
        <v>10</v>
      </c>
      <c r="O307" s="52" t="s">
        <v>2580</v>
      </c>
      <c r="P307" s="52" t="s">
        <v>46</v>
      </c>
      <c r="Q307" s="52" t="s">
        <v>3847</v>
      </c>
      <c r="R307" s="52">
        <v>51</v>
      </c>
      <c r="S307" s="52" t="s">
        <v>3846</v>
      </c>
      <c r="T307" s="88">
        <v>362</v>
      </c>
      <c r="U307" s="53">
        <v>1</v>
      </c>
      <c r="V307" s="58">
        <f t="shared" si="23"/>
        <v>18462</v>
      </c>
      <c r="W307" s="52" t="s">
        <v>49</v>
      </c>
      <c r="X307" s="52" t="s">
        <v>4514</v>
      </c>
      <c r="Y307" s="52" t="s">
        <v>4512</v>
      </c>
      <c r="Z307" s="52" t="s">
        <v>4513</v>
      </c>
      <c r="AA307" s="52">
        <v>0</v>
      </c>
      <c r="AB307" s="52">
        <v>0</v>
      </c>
      <c r="AC307" s="52">
        <v>0</v>
      </c>
      <c r="AD307" s="21">
        <v>0.86749884668513244</v>
      </c>
      <c r="AE307" s="54">
        <v>0.86749884668513244</v>
      </c>
      <c r="AF307" s="315">
        <f t="shared" si="26"/>
        <v>16015.763707500915</v>
      </c>
    </row>
    <row r="308" spans="1:32" ht="345" x14ac:dyDescent="0.25">
      <c r="A308" s="86" t="s">
        <v>588</v>
      </c>
      <c r="B308" s="52" t="s">
        <v>2272</v>
      </c>
      <c r="C308" s="52"/>
      <c r="D308" s="52" t="s">
        <v>2292</v>
      </c>
      <c r="E308" s="22" t="str">
        <f t="shared" si="24"/>
        <v>SEJUSPPROG</v>
      </c>
      <c r="F308" s="52" t="s">
        <v>705</v>
      </c>
      <c r="G308" s="22" t="str">
        <f t="shared" si="25"/>
        <v>P134SEJUSP</v>
      </c>
      <c r="H308" s="52" t="s">
        <v>1356</v>
      </c>
      <c r="I308" s="22" t="s">
        <v>16</v>
      </c>
      <c r="J308" s="52" t="s">
        <v>2131</v>
      </c>
      <c r="K308" s="22" t="str">
        <f>VLOOKUP(CONCATENATE(A308,LEFT(J308,4)),AGRUPAMENTO!$D$2:$E$6783,2,FALSE)</f>
        <v>Diárias e viagens</v>
      </c>
      <c r="L308" s="52" t="s">
        <v>44</v>
      </c>
      <c r="M308" s="52" t="str">
        <f t="shared" si="22"/>
        <v>FONTESEJUSP</v>
      </c>
      <c r="N308" s="52">
        <v>10</v>
      </c>
      <c r="O308" s="52" t="s">
        <v>2581</v>
      </c>
      <c r="P308" s="52" t="s">
        <v>46</v>
      </c>
      <c r="Q308" s="52" t="s">
        <v>3847</v>
      </c>
      <c r="R308" s="52">
        <v>51</v>
      </c>
      <c r="S308" s="52" t="s">
        <v>3846</v>
      </c>
      <c r="T308" s="88">
        <v>362</v>
      </c>
      <c r="U308" s="53">
        <v>1</v>
      </c>
      <c r="V308" s="58">
        <f t="shared" si="23"/>
        <v>18462</v>
      </c>
      <c r="W308" s="52" t="s">
        <v>49</v>
      </c>
      <c r="X308" s="52" t="s">
        <v>4515</v>
      </c>
      <c r="Y308" s="52" t="s">
        <v>4512</v>
      </c>
      <c r="Z308" s="52" t="s">
        <v>4513</v>
      </c>
      <c r="AA308" s="52">
        <v>0</v>
      </c>
      <c r="AB308" s="52">
        <v>0</v>
      </c>
      <c r="AC308" s="52">
        <v>0</v>
      </c>
      <c r="AD308" s="21">
        <v>0.86749884668513244</v>
      </c>
      <c r="AE308" s="54">
        <v>0.86749884668513244</v>
      </c>
      <c r="AF308" s="315">
        <f t="shared" si="26"/>
        <v>16015.763707500915</v>
      </c>
    </row>
    <row r="309" spans="1:32" ht="255" x14ac:dyDescent="0.25">
      <c r="A309" s="86" t="s">
        <v>588</v>
      </c>
      <c r="B309" s="52" t="s">
        <v>2272</v>
      </c>
      <c r="C309" s="52"/>
      <c r="D309" s="52" t="s">
        <v>2292</v>
      </c>
      <c r="E309" s="22" t="str">
        <f t="shared" si="24"/>
        <v>SEJUSPPROG</v>
      </c>
      <c r="F309" s="52" t="s">
        <v>705</v>
      </c>
      <c r="G309" s="22" t="str">
        <f t="shared" si="25"/>
        <v>P134SEJUSP</v>
      </c>
      <c r="H309" s="52" t="s">
        <v>1356</v>
      </c>
      <c r="I309" s="22" t="s">
        <v>16</v>
      </c>
      <c r="J309" s="52" t="s">
        <v>2131</v>
      </c>
      <c r="K309" s="22" t="str">
        <f>VLOOKUP(CONCATENATE(A309,LEFT(J309,4)),AGRUPAMENTO!$D$2:$E$6783,2,FALSE)</f>
        <v>Diárias e viagens</v>
      </c>
      <c r="L309" s="52" t="s">
        <v>44</v>
      </c>
      <c r="M309" s="52" t="str">
        <f t="shared" si="22"/>
        <v>FONTESEJUSP</v>
      </c>
      <c r="N309" s="52">
        <v>10</v>
      </c>
      <c r="O309" s="52" t="s">
        <v>2582</v>
      </c>
      <c r="P309" s="52" t="s">
        <v>46</v>
      </c>
      <c r="Q309" s="52" t="s">
        <v>3848</v>
      </c>
      <c r="R309" s="52">
        <v>2</v>
      </c>
      <c r="S309" s="52" t="s">
        <v>3849</v>
      </c>
      <c r="T309" s="88">
        <v>1500</v>
      </c>
      <c r="U309" s="53">
        <v>1</v>
      </c>
      <c r="V309" s="58">
        <f t="shared" si="23"/>
        <v>3000</v>
      </c>
      <c r="W309" s="52" t="s">
        <v>49</v>
      </c>
      <c r="X309" s="52" t="s">
        <v>4516</v>
      </c>
      <c r="Y309" s="52" t="s">
        <v>4517</v>
      </c>
      <c r="Z309" s="52" t="s">
        <v>4518</v>
      </c>
      <c r="AA309" s="52">
        <v>0</v>
      </c>
      <c r="AB309" s="52">
        <v>0</v>
      </c>
      <c r="AC309" s="52">
        <v>0</v>
      </c>
      <c r="AD309" s="21">
        <v>0.86749884668513244</v>
      </c>
      <c r="AE309" s="54">
        <v>0.86749884668513244</v>
      </c>
      <c r="AF309" s="315">
        <f t="shared" si="26"/>
        <v>2602.4965400553974</v>
      </c>
    </row>
    <row r="310" spans="1:32" ht="255" x14ac:dyDescent="0.25">
      <c r="A310" s="86" t="s">
        <v>588</v>
      </c>
      <c r="B310" s="52" t="s">
        <v>2272</v>
      </c>
      <c r="C310" s="52"/>
      <c r="D310" s="52" t="s">
        <v>2292</v>
      </c>
      <c r="E310" s="22" t="str">
        <f t="shared" si="24"/>
        <v>SEJUSPPROG</v>
      </c>
      <c r="F310" s="52" t="s">
        <v>705</v>
      </c>
      <c r="G310" s="22" t="str">
        <f t="shared" si="25"/>
        <v>P134SEJUSP</v>
      </c>
      <c r="H310" s="52" t="s">
        <v>1356</v>
      </c>
      <c r="I310" s="22" t="s">
        <v>16</v>
      </c>
      <c r="J310" s="52" t="s">
        <v>2131</v>
      </c>
      <c r="K310" s="22" t="str">
        <f>VLOOKUP(CONCATENATE(A310,LEFT(J310,4)),AGRUPAMENTO!$D$2:$E$6783,2,FALSE)</f>
        <v>Diárias e viagens</v>
      </c>
      <c r="L310" s="52" t="s">
        <v>44</v>
      </c>
      <c r="M310" s="52" t="str">
        <f t="shared" si="22"/>
        <v>FONTESEJUSP</v>
      </c>
      <c r="N310" s="52">
        <v>10</v>
      </c>
      <c r="O310" s="52" t="s">
        <v>2582</v>
      </c>
      <c r="P310" s="52" t="s">
        <v>46</v>
      </c>
      <c r="Q310" s="52" t="s">
        <v>3850</v>
      </c>
      <c r="R310" s="52">
        <v>6</v>
      </c>
      <c r="S310" s="52" t="s">
        <v>3846</v>
      </c>
      <c r="T310" s="88">
        <v>470</v>
      </c>
      <c r="U310" s="53">
        <v>1</v>
      </c>
      <c r="V310" s="58">
        <f t="shared" si="23"/>
        <v>2820</v>
      </c>
      <c r="W310" s="52" t="s">
        <v>49</v>
      </c>
      <c r="X310" s="52" t="s">
        <v>4516</v>
      </c>
      <c r="Y310" s="52" t="s">
        <v>4517</v>
      </c>
      <c r="Z310" s="52" t="s">
        <v>4518</v>
      </c>
      <c r="AA310" s="52">
        <v>0</v>
      </c>
      <c r="AB310" s="52">
        <v>0</v>
      </c>
      <c r="AC310" s="52">
        <v>0</v>
      </c>
      <c r="AD310" s="21">
        <v>0.86749884668513244</v>
      </c>
      <c r="AE310" s="54">
        <v>0.86749884668513244</v>
      </c>
      <c r="AF310" s="315">
        <f t="shared" si="26"/>
        <v>2446.3467476520736</v>
      </c>
    </row>
    <row r="311" spans="1:32" ht="345" x14ac:dyDescent="0.25">
      <c r="A311" s="86" t="s">
        <v>588</v>
      </c>
      <c r="B311" s="52" t="s">
        <v>2272</v>
      </c>
      <c r="C311" s="52"/>
      <c r="D311" s="52" t="s">
        <v>2292</v>
      </c>
      <c r="E311" s="22" t="str">
        <f t="shared" si="24"/>
        <v>SEJUSPPROG</v>
      </c>
      <c r="F311" s="52" t="s">
        <v>705</v>
      </c>
      <c r="G311" s="22" t="str">
        <f t="shared" si="25"/>
        <v>P134SEJUSP</v>
      </c>
      <c r="H311" s="52" t="s">
        <v>1356</v>
      </c>
      <c r="I311" s="22" t="s">
        <v>16</v>
      </c>
      <c r="J311" s="52" t="s">
        <v>2131</v>
      </c>
      <c r="K311" s="22" t="str">
        <f>VLOOKUP(CONCATENATE(A311,LEFT(J311,4)),AGRUPAMENTO!$D$2:$E$6783,2,FALSE)</f>
        <v>Diárias e viagens</v>
      </c>
      <c r="L311" s="52" t="s">
        <v>44</v>
      </c>
      <c r="M311" s="52" t="str">
        <f t="shared" si="22"/>
        <v>FONTESEJUSP</v>
      </c>
      <c r="N311" s="52">
        <v>10</v>
      </c>
      <c r="O311" s="52" t="s">
        <v>2583</v>
      </c>
      <c r="P311" s="52" t="s">
        <v>46</v>
      </c>
      <c r="Q311" s="52" t="s">
        <v>3851</v>
      </c>
      <c r="R311" s="52">
        <v>24</v>
      </c>
      <c r="S311" s="52" t="s">
        <v>3846</v>
      </c>
      <c r="T311" s="88">
        <v>362</v>
      </c>
      <c r="U311" s="53">
        <v>1</v>
      </c>
      <c r="V311" s="58">
        <f t="shared" si="23"/>
        <v>8688</v>
      </c>
      <c r="W311" s="52" t="s">
        <v>49</v>
      </c>
      <c r="X311" s="52" t="s">
        <v>4515</v>
      </c>
      <c r="Y311" s="52" t="s">
        <v>4512</v>
      </c>
      <c r="Z311" s="52" t="s">
        <v>4513</v>
      </c>
      <c r="AA311" s="52">
        <v>0</v>
      </c>
      <c r="AB311" s="52">
        <v>0</v>
      </c>
      <c r="AC311" s="52">
        <v>0</v>
      </c>
      <c r="AD311" s="21">
        <v>0.86749884668513244</v>
      </c>
      <c r="AE311" s="54">
        <v>0.86749884668513244</v>
      </c>
      <c r="AF311" s="315">
        <f t="shared" si="26"/>
        <v>7536.8299800004306</v>
      </c>
    </row>
    <row r="312" spans="1:32" ht="345" x14ac:dyDescent="0.25">
      <c r="A312" s="86" t="s">
        <v>588</v>
      </c>
      <c r="B312" s="52" t="s">
        <v>2272</v>
      </c>
      <c r="C312" s="52"/>
      <c r="D312" s="52" t="s">
        <v>2292</v>
      </c>
      <c r="E312" s="22" t="str">
        <f t="shared" si="24"/>
        <v>SEJUSPPROG</v>
      </c>
      <c r="F312" s="52" t="s">
        <v>705</v>
      </c>
      <c r="G312" s="22" t="str">
        <f t="shared" si="25"/>
        <v>P134SEJUSP</v>
      </c>
      <c r="H312" s="52" t="s">
        <v>1356</v>
      </c>
      <c r="I312" s="22" t="s">
        <v>16</v>
      </c>
      <c r="J312" s="52" t="s">
        <v>2131</v>
      </c>
      <c r="K312" s="22" t="str">
        <f>VLOOKUP(CONCATENATE(A312,LEFT(J312,4)),AGRUPAMENTO!$D$2:$E$6783,2,FALSE)</f>
        <v>Diárias e viagens</v>
      </c>
      <c r="L312" s="52" t="s">
        <v>44</v>
      </c>
      <c r="M312" s="52" t="str">
        <f t="shared" si="22"/>
        <v>FONTESEJUSP</v>
      </c>
      <c r="N312" s="52">
        <v>10</v>
      </c>
      <c r="O312" s="52" t="s">
        <v>2583</v>
      </c>
      <c r="P312" s="52" t="s">
        <v>46</v>
      </c>
      <c r="Q312" s="52" t="s">
        <v>3852</v>
      </c>
      <c r="R312" s="52">
        <v>24</v>
      </c>
      <c r="S312" s="52" t="s">
        <v>3846</v>
      </c>
      <c r="T312" s="88">
        <v>362</v>
      </c>
      <c r="U312" s="53">
        <v>1</v>
      </c>
      <c r="V312" s="58">
        <f t="shared" si="23"/>
        <v>8688</v>
      </c>
      <c r="W312" s="52" t="s">
        <v>49</v>
      </c>
      <c r="X312" s="52" t="s">
        <v>4515</v>
      </c>
      <c r="Y312" s="52" t="s">
        <v>4512</v>
      </c>
      <c r="Z312" s="52" t="s">
        <v>4513</v>
      </c>
      <c r="AA312" s="52">
        <v>0</v>
      </c>
      <c r="AB312" s="52">
        <v>0</v>
      </c>
      <c r="AC312" s="52">
        <v>0</v>
      </c>
      <c r="AD312" s="21">
        <v>0.86749884668513244</v>
      </c>
      <c r="AE312" s="54">
        <v>0.86749884668513244</v>
      </c>
      <c r="AF312" s="315">
        <f t="shared" si="26"/>
        <v>7536.8299800004306</v>
      </c>
    </row>
    <row r="313" spans="1:32" ht="255" x14ac:dyDescent="0.25">
      <c r="A313" s="86" t="s">
        <v>588</v>
      </c>
      <c r="B313" s="52" t="s">
        <v>2272</v>
      </c>
      <c r="C313" s="52"/>
      <c r="D313" s="52" t="s">
        <v>2292</v>
      </c>
      <c r="E313" s="22" t="str">
        <f t="shared" si="24"/>
        <v>SEJUSPPROG</v>
      </c>
      <c r="F313" s="52" t="s">
        <v>705</v>
      </c>
      <c r="G313" s="22" t="str">
        <f t="shared" si="25"/>
        <v>P134SEJUSP</v>
      </c>
      <c r="H313" s="52" t="s">
        <v>1356</v>
      </c>
      <c r="I313" s="22" t="s">
        <v>16</v>
      </c>
      <c r="J313" s="52" t="s">
        <v>2131</v>
      </c>
      <c r="K313" s="22" t="str">
        <f>VLOOKUP(CONCATENATE(A313,LEFT(J313,4)),AGRUPAMENTO!$D$2:$E$6783,2,FALSE)</f>
        <v>Diárias e viagens</v>
      </c>
      <c r="L313" s="52" t="s">
        <v>44</v>
      </c>
      <c r="M313" s="52" t="str">
        <f t="shared" si="22"/>
        <v>FONTESEJUSP</v>
      </c>
      <c r="N313" s="52">
        <v>10</v>
      </c>
      <c r="O313" s="52" t="s">
        <v>2584</v>
      </c>
      <c r="P313" s="52" t="s">
        <v>46</v>
      </c>
      <c r="Q313" s="52" t="s">
        <v>3853</v>
      </c>
      <c r="R313" s="52">
        <v>12</v>
      </c>
      <c r="S313" s="52" t="s">
        <v>3846</v>
      </c>
      <c r="T313" s="88">
        <v>362</v>
      </c>
      <c r="U313" s="53">
        <v>1</v>
      </c>
      <c r="V313" s="58">
        <f t="shared" si="23"/>
        <v>4344</v>
      </c>
      <c r="W313" s="52" t="s">
        <v>49</v>
      </c>
      <c r="X313" s="52" t="s">
        <v>4519</v>
      </c>
      <c r="Y313" s="52" t="s">
        <v>4512</v>
      </c>
      <c r="Z313" s="52" t="s">
        <v>4513</v>
      </c>
      <c r="AA313" s="52">
        <v>0</v>
      </c>
      <c r="AB313" s="52">
        <v>0</v>
      </c>
      <c r="AC313" s="52">
        <v>0</v>
      </c>
      <c r="AD313" s="21">
        <v>0.86749884668513244</v>
      </c>
      <c r="AE313" s="54">
        <v>0.86749884668513244</v>
      </c>
      <c r="AF313" s="315">
        <f t="shared" si="26"/>
        <v>3768.4149900002153</v>
      </c>
    </row>
    <row r="314" spans="1:32" ht="255" x14ac:dyDescent="0.25">
      <c r="A314" s="86" t="s">
        <v>588</v>
      </c>
      <c r="B314" s="52" t="s">
        <v>2272</v>
      </c>
      <c r="C314" s="52"/>
      <c r="D314" s="52" t="s">
        <v>2292</v>
      </c>
      <c r="E314" s="22" t="str">
        <f t="shared" si="24"/>
        <v>SEJUSPPROG</v>
      </c>
      <c r="F314" s="52" t="s">
        <v>705</v>
      </c>
      <c r="G314" s="22" t="str">
        <f t="shared" si="25"/>
        <v>P134SEJUSP</v>
      </c>
      <c r="H314" s="52" t="s">
        <v>1356</v>
      </c>
      <c r="I314" s="22" t="s">
        <v>16</v>
      </c>
      <c r="J314" s="52" t="s">
        <v>2131</v>
      </c>
      <c r="K314" s="22" t="str">
        <f>VLOOKUP(CONCATENATE(A314,LEFT(J314,4)),AGRUPAMENTO!$D$2:$E$6783,2,FALSE)</f>
        <v>Diárias e viagens</v>
      </c>
      <c r="L314" s="52" t="s">
        <v>44</v>
      </c>
      <c r="M314" s="52" t="str">
        <f t="shared" si="22"/>
        <v>FONTESEJUSP</v>
      </c>
      <c r="N314" s="52">
        <v>10</v>
      </c>
      <c r="O314" s="52" t="s">
        <v>2584</v>
      </c>
      <c r="P314" s="52" t="s">
        <v>46</v>
      </c>
      <c r="Q314" s="52" t="s">
        <v>3853</v>
      </c>
      <c r="R314" s="52">
        <v>12</v>
      </c>
      <c r="S314" s="52" t="s">
        <v>3846</v>
      </c>
      <c r="T314" s="88">
        <v>362</v>
      </c>
      <c r="U314" s="53">
        <v>1</v>
      </c>
      <c r="V314" s="58">
        <f t="shared" si="23"/>
        <v>4344</v>
      </c>
      <c r="W314" s="52" t="s">
        <v>49</v>
      </c>
      <c r="X314" s="52" t="s">
        <v>4519</v>
      </c>
      <c r="Y314" s="52" t="s">
        <v>4512</v>
      </c>
      <c r="Z314" s="52" t="s">
        <v>4513</v>
      </c>
      <c r="AA314" s="52">
        <v>0</v>
      </c>
      <c r="AB314" s="52">
        <v>0</v>
      </c>
      <c r="AC314" s="52">
        <v>0</v>
      </c>
      <c r="AD314" s="21">
        <v>0.86749884668513244</v>
      </c>
      <c r="AE314" s="54">
        <v>0.86749884668513244</v>
      </c>
      <c r="AF314" s="315">
        <f t="shared" si="26"/>
        <v>3768.4149900002153</v>
      </c>
    </row>
    <row r="315" spans="1:32" ht="292.5" x14ac:dyDescent="0.25">
      <c r="A315" s="52" t="s">
        <v>588</v>
      </c>
      <c r="B315" s="107" t="s">
        <v>2270</v>
      </c>
      <c r="C315" s="52"/>
      <c r="D315" s="52" t="s">
        <v>2293</v>
      </c>
      <c r="E315" s="22" t="str">
        <f t="shared" si="24"/>
        <v>SEJUSPPROG</v>
      </c>
      <c r="F315" s="52" t="s">
        <v>705</v>
      </c>
      <c r="G315" s="22" t="str">
        <f t="shared" si="25"/>
        <v>P134SEJUSP</v>
      </c>
      <c r="H315" s="52" t="s">
        <v>1371</v>
      </c>
      <c r="I315" s="22" t="s">
        <v>16</v>
      </c>
      <c r="J315" s="52" t="s">
        <v>2131</v>
      </c>
      <c r="K315" s="22" t="str">
        <f>VLOOKUP(CONCATENATE(A315,LEFT(J315,4)),AGRUPAMENTO!$D$2:$E$6783,2,FALSE)</f>
        <v>Diárias e viagens</v>
      </c>
      <c r="L315" s="52" t="s">
        <v>44</v>
      </c>
      <c r="M315" s="52" t="str">
        <f t="shared" si="22"/>
        <v>FONTESEJUSP</v>
      </c>
      <c r="N315" s="52">
        <v>10</v>
      </c>
      <c r="O315" s="145" t="s">
        <v>2585</v>
      </c>
      <c r="P315" s="52" t="s">
        <v>46</v>
      </c>
      <c r="Q315" s="145" t="s">
        <v>3854</v>
      </c>
      <c r="R315" s="52">
        <v>1300</v>
      </c>
      <c r="S315" s="192" t="s">
        <v>3855</v>
      </c>
      <c r="T315" s="88">
        <v>470</v>
      </c>
      <c r="U315" s="53">
        <v>1</v>
      </c>
      <c r="V315" s="58">
        <f t="shared" si="23"/>
        <v>611000</v>
      </c>
      <c r="W315" s="52" t="s">
        <v>49</v>
      </c>
      <c r="X315" s="145" t="s">
        <v>4520</v>
      </c>
      <c r="Y315" s="145" t="s">
        <v>4521</v>
      </c>
      <c r="Z315" s="196" t="s">
        <v>4522</v>
      </c>
      <c r="AA315" s="52">
        <v>0</v>
      </c>
      <c r="AB315" s="52">
        <v>0</v>
      </c>
      <c r="AC315" s="52">
        <v>0</v>
      </c>
      <c r="AD315" s="21">
        <v>0.86749884668513244</v>
      </c>
      <c r="AE315" s="54">
        <v>0.86749884668513244</v>
      </c>
      <c r="AF315" s="315">
        <f t="shared" si="26"/>
        <v>530041.7953246159</v>
      </c>
    </row>
    <row r="316" spans="1:32" ht="292.5" x14ac:dyDescent="0.25">
      <c r="A316" s="52" t="s">
        <v>588</v>
      </c>
      <c r="B316" s="107" t="s">
        <v>2270</v>
      </c>
      <c r="C316" s="52"/>
      <c r="D316" s="52" t="s">
        <v>2293</v>
      </c>
      <c r="E316" s="22" t="str">
        <f t="shared" si="24"/>
        <v>SEJUSPPROG</v>
      </c>
      <c r="F316" s="52" t="s">
        <v>705</v>
      </c>
      <c r="G316" s="22" t="str">
        <f t="shared" si="25"/>
        <v>P134SEJUSP</v>
      </c>
      <c r="H316" s="52" t="s">
        <v>1371</v>
      </c>
      <c r="I316" s="22" t="s">
        <v>16</v>
      </c>
      <c r="J316" s="52" t="s">
        <v>2131</v>
      </c>
      <c r="K316" s="22" t="str">
        <f>VLOOKUP(CONCATENATE(A316,LEFT(J316,4)),AGRUPAMENTO!$D$2:$E$6783,2,FALSE)</f>
        <v>Diárias e viagens</v>
      </c>
      <c r="L316" s="52" t="s">
        <v>44</v>
      </c>
      <c r="M316" s="52" t="str">
        <f t="shared" si="22"/>
        <v>FONTESEJUSP</v>
      </c>
      <c r="N316" s="52">
        <v>10</v>
      </c>
      <c r="O316" s="146" t="s">
        <v>2586</v>
      </c>
      <c r="P316" s="52" t="s">
        <v>46</v>
      </c>
      <c r="Q316" s="145" t="s">
        <v>3856</v>
      </c>
      <c r="R316" s="145">
        <v>10</v>
      </c>
      <c r="S316" s="193" t="s">
        <v>3857</v>
      </c>
      <c r="T316" s="88">
        <v>1656.63</v>
      </c>
      <c r="U316" s="53">
        <v>1</v>
      </c>
      <c r="V316" s="58">
        <f t="shared" si="23"/>
        <v>16566.300000000003</v>
      </c>
      <c r="W316" s="52" t="s">
        <v>49</v>
      </c>
      <c r="X316" s="145" t="s">
        <v>4523</v>
      </c>
      <c r="Y316" s="145" t="s">
        <v>4524</v>
      </c>
      <c r="Z316" s="196" t="s">
        <v>4522</v>
      </c>
      <c r="AA316" s="52">
        <v>0</v>
      </c>
      <c r="AB316" s="52">
        <v>0</v>
      </c>
      <c r="AC316" s="52">
        <v>0</v>
      </c>
      <c r="AD316" s="21">
        <v>0.86749884668513244</v>
      </c>
      <c r="AE316" s="54">
        <v>0.86749884668513244</v>
      </c>
      <c r="AF316" s="315">
        <f t="shared" si="26"/>
        <v>14371.246143839911</v>
      </c>
    </row>
    <row r="317" spans="1:32" ht="330" x14ac:dyDescent="0.25">
      <c r="A317" s="106" t="s">
        <v>588</v>
      </c>
      <c r="B317" s="107" t="s">
        <v>2271</v>
      </c>
      <c r="C317" s="52"/>
      <c r="D317" s="106" t="s">
        <v>2289</v>
      </c>
      <c r="E317" s="22" t="str">
        <f t="shared" si="24"/>
        <v>SEJUSPPROG</v>
      </c>
      <c r="F317" s="123" t="s">
        <v>886</v>
      </c>
      <c r="G317" s="22" t="str">
        <f t="shared" si="25"/>
        <v>P146SEJUSP</v>
      </c>
      <c r="H317" s="106" t="s">
        <v>1424</v>
      </c>
      <c r="I317" s="22" t="s">
        <v>16</v>
      </c>
      <c r="J317" s="106" t="s">
        <v>1677</v>
      </c>
      <c r="K317" s="22" t="str">
        <f>VLOOKUP(CONCATENATE(A317,LEFT(J317,4)),AGRUPAMENTO!$D$2:$E$6783,2,FALSE)</f>
        <v>Aquisições de itens de TIC</v>
      </c>
      <c r="L317" s="106" t="s">
        <v>94</v>
      </c>
      <c r="M317" s="52" t="str">
        <f t="shared" si="22"/>
        <v>FONTESEJUSP</v>
      </c>
      <c r="N317" s="52">
        <v>10</v>
      </c>
      <c r="O317" s="106" t="s">
        <v>2587</v>
      </c>
      <c r="P317" s="106" t="s">
        <v>58</v>
      </c>
      <c r="Q317" s="106" t="s">
        <v>3812</v>
      </c>
      <c r="R317" s="106">
        <v>1</v>
      </c>
      <c r="S317" s="106" t="s">
        <v>3813</v>
      </c>
      <c r="T317" s="190">
        <v>1450984.42</v>
      </c>
      <c r="U317" s="191">
        <v>1</v>
      </c>
      <c r="V317" s="58">
        <f t="shared" si="23"/>
        <v>1450984.42</v>
      </c>
      <c r="W317" s="106" t="s">
        <v>68</v>
      </c>
      <c r="X317" s="106" t="s">
        <v>4458</v>
      </c>
      <c r="Y317" s="271" t="s">
        <v>4459</v>
      </c>
      <c r="Z317" s="271" t="s">
        <v>4460</v>
      </c>
      <c r="AA317" s="106">
        <v>1</v>
      </c>
      <c r="AB317" s="106">
        <v>1</v>
      </c>
      <c r="AC317" s="107">
        <v>3</v>
      </c>
      <c r="AD317" s="21">
        <v>0</v>
      </c>
      <c r="AE317" s="54">
        <v>0</v>
      </c>
      <c r="AF317" s="315">
        <f t="shared" si="26"/>
        <v>0</v>
      </c>
    </row>
    <row r="318" spans="1:32" ht="330" x14ac:dyDescent="0.25">
      <c r="A318" s="105" t="s">
        <v>588</v>
      </c>
      <c r="B318" s="107" t="s">
        <v>2271</v>
      </c>
      <c r="C318" s="52"/>
      <c r="D318" s="106" t="s">
        <v>2289</v>
      </c>
      <c r="E318" s="22" t="str">
        <f t="shared" si="24"/>
        <v>SEJUSPPROG</v>
      </c>
      <c r="F318" s="123" t="s">
        <v>886</v>
      </c>
      <c r="G318" s="22" t="str">
        <f t="shared" si="25"/>
        <v>P146SEJUSP</v>
      </c>
      <c r="H318" s="106" t="s">
        <v>1424</v>
      </c>
      <c r="I318" s="22" t="s">
        <v>16</v>
      </c>
      <c r="J318" s="106" t="s">
        <v>1677</v>
      </c>
      <c r="K318" s="22" t="str">
        <f>VLOOKUP(CONCATENATE(A318,LEFT(J318,4)),AGRUPAMENTO!$D$2:$E$6783,2,FALSE)</f>
        <v>Aquisições de itens de TIC</v>
      </c>
      <c r="L318" s="106" t="s">
        <v>94</v>
      </c>
      <c r="M318" s="52" t="str">
        <f t="shared" si="22"/>
        <v>FONTESEJUSP</v>
      </c>
      <c r="N318" s="52">
        <v>10</v>
      </c>
      <c r="O318" s="106" t="s">
        <v>2588</v>
      </c>
      <c r="P318" s="106" t="s">
        <v>58</v>
      </c>
      <c r="Q318" s="106" t="s">
        <v>3812</v>
      </c>
      <c r="R318" s="106">
        <v>1</v>
      </c>
      <c r="S318" s="106" t="s">
        <v>3813</v>
      </c>
      <c r="T318" s="190">
        <v>1200000</v>
      </c>
      <c r="U318" s="191">
        <v>1</v>
      </c>
      <c r="V318" s="58">
        <f t="shared" si="23"/>
        <v>1200000</v>
      </c>
      <c r="W318" s="106" t="s">
        <v>68</v>
      </c>
      <c r="X318" s="273" t="s">
        <v>4458</v>
      </c>
      <c r="Y318" s="271" t="s">
        <v>4459</v>
      </c>
      <c r="Z318" s="271" t="s">
        <v>4460</v>
      </c>
      <c r="AA318" s="106">
        <v>1</v>
      </c>
      <c r="AB318" s="106">
        <v>1</v>
      </c>
      <c r="AC318" s="107">
        <v>3</v>
      </c>
      <c r="AD318" s="21">
        <v>0</v>
      </c>
      <c r="AE318" s="54">
        <v>0</v>
      </c>
      <c r="AF318" s="315">
        <f t="shared" si="26"/>
        <v>0</v>
      </c>
    </row>
    <row r="319" spans="1:32" ht="409.5" x14ac:dyDescent="0.25">
      <c r="A319" s="86" t="s">
        <v>588</v>
      </c>
      <c r="B319" s="107" t="s">
        <v>2270</v>
      </c>
      <c r="C319" s="52"/>
      <c r="D319" s="52" t="s">
        <v>2293</v>
      </c>
      <c r="E319" s="22" t="str">
        <f t="shared" si="24"/>
        <v>SEJUSPPROG</v>
      </c>
      <c r="F319" s="52" t="s">
        <v>705</v>
      </c>
      <c r="G319" s="22" t="str">
        <f t="shared" si="25"/>
        <v>P134SEJUSP</v>
      </c>
      <c r="H319" s="52" t="s">
        <v>1371</v>
      </c>
      <c r="I319" s="22" t="s">
        <v>16</v>
      </c>
      <c r="J319" s="52" t="s">
        <v>445</v>
      </c>
      <c r="K319" s="22" t="str">
        <f>VLOOKUP(CONCATENATE(A319,LEFT(J319,4)),AGRUPAMENTO!$D$2:$E$6783,2,FALSE)</f>
        <v>Material de consumo</v>
      </c>
      <c r="L319" s="52" t="s">
        <v>44</v>
      </c>
      <c r="M319" s="52" t="str">
        <f t="shared" si="22"/>
        <v>FONTESEJUSP</v>
      </c>
      <c r="N319" s="52">
        <v>10</v>
      </c>
      <c r="O319" s="141" t="s">
        <v>2589</v>
      </c>
      <c r="P319" s="52" t="s">
        <v>58</v>
      </c>
      <c r="Q319" s="194" t="s">
        <v>3858</v>
      </c>
      <c r="R319" s="195">
        <v>64000</v>
      </c>
      <c r="S319" s="194" t="s">
        <v>3859</v>
      </c>
      <c r="T319" s="88">
        <v>4.55</v>
      </c>
      <c r="U319" s="53">
        <v>1</v>
      </c>
      <c r="V319" s="58">
        <f t="shared" si="23"/>
        <v>291200</v>
      </c>
      <c r="W319" s="52" t="s">
        <v>49</v>
      </c>
      <c r="X319" s="274" t="s">
        <v>4525</v>
      </c>
      <c r="Y319" s="196" t="s">
        <v>4526</v>
      </c>
      <c r="Z319" s="196" t="s">
        <v>4527</v>
      </c>
      <c r="AA319" s="52">
        <v>0</v>
      </c>
      <c r="AB319" s="52">
        <v>0</v>
      </c>
      <c r="AC319" s="52">
        <v>0</v>
      </c>
      <c r="AD319" s="21">
        <v>0</v>
      </c>
      <c r="AE319" s="54">
        <v>0</v>
      </c>
      <c r="AF319" s="315">
        <f t="shared" si="26"/>
        <v>0</v>
      </c>
    </row>
    <row r="320" spans="1:32" ht="409.5" x14ac:dyDescent="0.25">
      <c r="A320" s="86" t="s">
        <v>588</v>
      </c>
      <c r="B320" s="107" t="s">
        <v>2270</v>
      </c>
      <c r="C320" s="52"/>
      <c r="D320" s="52" t="s">
        <v>2293</v>
      </c>
      <c r="E320" s="22" t="str">
        <f t="shared" si="24"/>
        <v>SEJUSPPROG</v>
      </c>
      <c r="F320" s="52" t="s">
        <v>705</v>
      </c>
      <c r="G320" s="22" t="str">
        <f t="shared" si="25"/>
        <v>P134SEJUSP</v>
      </c>
      <c r="H320" s="52" t="s">
        <v>1371</v>
      </c>
      <c r="I320" s="22" t="s">
        <v>16</v>
      </c>
      <c r="J320" s="52" t="s">
        <v>445</v>
      </c>
      <c r="K320" s="22" t="str">
        <f>VLOOKUP(CONCATENATE(A320,LEFT(J320,4)),AGRUPAMENTO!$D$2:$E$6783,2,FALSE)</f>
        <v>Material de consumo</v>
      </c>
      <c r="L320" s="52" t="s">
        <v>44</v>
      </c>
      <c r="M320" s="52" t="str">
        <f t="shared" si="22"/>
        <v>FONTESEJUSP</v>
      </c>
      <c r="N320" s="52">
        <v>10</v>
      </c>
      <c r="O320" s="141" t="s">
        <v>2590</v>
      </c>
      <c r="P320" s="52" t="s">
        <v>58</v>
      </c>
      <c r="Q320" s="194" t="s">
        <v>3858</v>
      </c>
      <c r="R320" s="195">
        <v>60000</v>
      </c>
      <c r="S320" s="147" t="s">
        <v>3860</v>
      </c>
      <c r="T320" s="88">
        <v>40.28</v>
      </c>
      <c r="U320" s="53">
        <v>1</v>
      </c>
      <c r="V320" s="58">
        <f t="shared" si="23"/>
        <v>2416800</v>
      </c>
      <c r="W320" s="52" t="s">
        <v>49</v>
      </c>
      <c r="X320" s="274" t="s">
        <v>4525</v>
      </c>
      <c r="Y320" s="196" t="s">
        <v>4526</v>
      </c>
      <c r="Z320" s="196" t="s">
        <v>4527</v>
      </c>
      <c r="AA320" s="52">
        <v>0</v>
      </c>
      <c r="AB320" s="52">
        <v>0</v>
      </c>
      <c r="AC320" s="52">
        <v>0</v>
      </c>
      <c r="AD320" s="21">
        <v>0</v>
      </c>
      <c r="AE320" s="54">
        <v>0</v>
      </c>
      <c r="AF320" s="315">
        <f t="shared" si="26"/>
        <v>0</v>
      </c>
    </row>
    <row r="321" spans="1:32" ht="409.5" x14ac:dyDescent="0.25">
      <c r="A321" s="86" t="s">
        <v>588</v>
      </c>
      <c r="B321" s="107" t="s">
        <v>2270</v>
      </c>
      <c r="C321" s="52"/>
      <c r="D321" s="52" t="s">
        <v>2293</v>
      </c>
      <c r="E321" s="22" t="str">
        <f t="shared" si="24"/>
        <v>SEJUSPPROG</v>
      </c>
      <c r="F321" s="52" t="s">
        <v>705</v>
      </c>
      <c r="G321" s="22" t="str">
        <f t="shared" si="25"/>
        <v>P134SEJUSP</v>
      </c>
      <c r="H321" s="52" t="s">
        <v>1371</v>
      </c>
      <c r="I321" s="22" t="s">
        <v>16</v>
      </c>
      <c r="J321" s="52" t="s">
        <v>445</v>
      </c>
      <c r="K321" s="22" t="str">
        <f>VLOOKUP(CONCATENATE(A321,LEFT(J321,4)),AGRUPAMENTO!$D$2:$E$6783,2,FALSE)</f>
        <v>Material de consumo</v>
      </c>
      <c r="L321" s="52" t="s">
        <v>44</v>
      </c>
      <c r="M321" s="52" t="str">
        <f t="shared" ref="M321:M384" si="27">CONCATENATE("FONTE",A321)</f>
        <v>FONTESEJUSP</v>
      </c>
      <c r="N321" s="52">
        <v>10</v>
      </c>
      <c r="O321" s="147" t="s">
        <v>2591</v>
      </c>
      <c r="P321" s="52" t="s">
        <v>58</v>
      </c>
      <c r="Q321" s="194" t="s">
        <v>3858</v>
      </c>
      <c r="R321" s="195">
        <v>516000</v>
      </c>
      <c r="S321" s="147" t="s">
        <v>3860</v>
      </c>
      <c r="T321" s="88">
        <v>3.61</v>
      </c>
      <c r="U321" s="53">
        <v>1</v>
      </c>
      <c r="V321" s="58">
        <f t="shared" si="23"/>
        <v>1862760</v>
      </c>
      <c r="W321" s="52" t="s">
        <v>49</v>
      </c>
      <c r="X321" s="274" t="s">
        <v>4525</v>
      </c>
      <c r="Y321" s="196" t="s">
        <v>4526</v>
      </c>
      <c r="Z321" s="196" t="s">
        <v>4527</v>
      </c>
      <c r="AA321" s="52">
        <v>0</v>
      </c>
      <c r="AB321" s="52">
        <v>0</v>
      </c>
      <c r="AC321" s="52">
        <v>0</v>
      </c>
      <c r="AD321" s="21">
        <v>0</v>
      </c>
      <c r="AE321" s="54">
        <v>0</v>
      </c>
      <c r="AF321" s="315">
        <f t="shared" si="26"/>
        <v>0</v>
      </c>
    </row>
    <row r="322" spans="1:32" ht="409.5" x14ac:dyDescent="0.25">
      <c r="A322" s="86" t="s">
        <v>588</v>
      </c>
      <c r="B322" s="107" t="s">
        <v>2270</v>
      </c>
      <c r="C322" s="52"/>
      <c r="D322" s="52" t="s">
        <v>2293</v>
      </c>
      <c r="E322" s="22" t="str">
        <f t="shared" si="24"/>
        <v>SEJUSPPROG</v>
      </c>
      <c r="F322" s="52" t="s">
        <v>705</v>
      </c>
      <c r="G322" s="22" t="str">
        <f t="shared" si="25"/>
        <v>P134SEJUSP</v>
      </c>
      <c r="H322" s="52" t="s">
        <v>1371</v>
      </c>
      <c r="I322" s="22" t="s">
        <v>16</v>
      </c>
      <c r="J322" s="52" t="s">
        <v>445</v>
      </c>
      <c r="K322" s="22" t="str">
        <f>VLOOKUP(CONCATENATE(A322,LEFT(J322,4)),AGRUPAMENTO!$D$2:$E$6783,2,FALSE)</f>
        <v>Material de consumo</v>
      </c>
      <c r="L322" s="52" t="s">
        <v>44</v>
      </c>
      <c r="M322" s="52" t="str">
        <f t="shared" si="27"/>
        <v>FONTESEJUSP</v>
      </c>
      <c r="N322" s="52">
        <v>10</v>
      </c>
      <c r="O322" s="147" t="s">
        <v>2592</v>
      </c>
      <c r="P322" s="52" t="s">
        <v>58</v>
      </c>
      <c r="Q322" s="194" t="s">
        <v>3858</v>
      </c>
      <c r="R322" s="195">
        <v>150000</v>
      </c>
      <c r="S322" s="147" t="s">
        <v>3860</v>
      </c>
      <c r="T322" s="88">
        <v>3.61</v>
      </c>
      <c r="U322" s="53">
        <v>1</v>
      </c>
      <c r="V322" s="58">
        <f t="shared" ref="V322:V385" si="28">R322*T322*U322</f>
        <v>541500</v>
      </c>
      <c r="W322" s="52" t="s">
        <v>49</v>
      </c>
      <c r="X322" s="275" t="s">
        <v>4525</v>
      </c>
      <c r="Y322" s="276" t="s">
        <v>4526</v>
      </c>
      <c r="Z322" s="276" t="s">
        <v>4527</v>
      </c>
      <c r="AA322" s="52">
        <v>0</v>
      </c>
      <c r="AB322" s="52">
        <v>0</v>
      </c>
      <c r="AC322" s="52">
        <v>0</v>
      </c>
      <c r="AD322" s="21">
        <v>0</v>
      </c>
      <c r="AE322" s="54">
        <v>0</v>
      </c>
      <c r="AF322" s="315">
        <f t="shared" si="26"/>
        <v>0</v>
      </c>
    </row>
    <row r="323" spans="1:32" ht="409.5" x14ac:dyDescent="0.25">
      <c r="A323" s="86" t="s">
        <v>588</v>
      </c>
      <c r="B323" s="107" t="s">
        <v>2270</v>
      </c>
      <c r="C323" s="52"/>
      <c r="D323" s="52" t="s">
        <v>2293</v>
      </c>
      <c r="E323" s="22" t="str">
        <f t="shared" ref="E323:E386" si="29">CONCATENATE(A323,"PROG")</f>
        <v>SEJUSPPROG</v>
      </c>
      <c r="F323" s="52" t="s">
        <v>705</v>
      </c>
      <c r="G323" s="22" t="str">
        <f t="shared" si="25"/>
        <v>P134SEJUSP</v>
      </c>
      <c r="H323" s="52" t="s">
        <v>1371</v>
      </c>
      <c r="I323" s="22" t="s">
        <v>16</v>
      </c>
      <c r="J323" s="52" t="s">
        <v>445</v>
      </c>
      <c r="K323" s="22" t="str">
        <f>VLOOKUP(CONCATENATE(A323,LEFT(J323,4)),AGRUPAMENTO!$D$2:$E$6783,2,FALSE)</f>
        <v>Material de consumo</v>
      </c>
      <c r="L323" s="52" t="s">
        <v>44</v>
      </c>
      <c r="M323" s="52" t="str">
        <f t="shared" si="27"/>
        <v>FONTESEJUSP</v>
      </c>
      <c r="N323" s="52">
        <v>10</v>
      </c>
      <c r="O323" s="147" t="s">
        <v>2593</v>
      </c>
      <c r="P323" s="52" t="s">
        <v>58</v>
      </c>
      <c r="Q323" s="194" t="s">
        <v>3858</v>
      </c>
      <c r="R323" s="195">
        <v>152200</v>
      </c>
      <c r="S323" s="147" t="s">
        <v>3860</v>
      </c>
      <c r="T323" s="88">
        <v>5.94</v>
      </c>
      <c r="U323" s="53">
        <v>1</v>
      </c>
      <c r="V323" s="58">
        <f t="shared" si="28"/>
        <v>904068.00000000012</v>
      </c>
      <c r="W323" s="52" t="s">
        <v>49</v>
      </c>
      <c r="X323" s="275" t="s">
        <v>4525</v>
      </c>
      <c r="Y323" s="276" t="s">
        <v>4526</v>
      </c>
      <c r="Z323" s="276" t="s">
        <v>4527</v>
      </c>
      <c r="AA323" s="52">
        <v>0</v>
      </c>
      <c r="AB323" s="52">
        <v>0</v>
      </c>
      <c r="AC323" s="52">
        <v>0</v>
      </c>
      <c r="AD323" s="21">
        <v>0</v>
      </c>
      <c r="AE323" s="54">
        <v>0</v>
      </c>
      <c r="AF323" s="315">
        <f t="shared" si="26"/>
        <v>0</v>
      </c>
    </row>
    <row r="324" spans="1:32" ht="409.5" x14ac:dyDescent="0.25">
      <c r="A324" s="86" t="s">
        <v>588</v>
      </c>
      <c r="B324" s="107" t="s">
        <v>2270</v>
      </c>
      <c r="C324" s="52"/>
      <c r="D324" s="52" t="s">
        <v>2293</v>
      </c>
      <c r="E324" s="22" t="str">
        <f t="shared" si="29"/>
        <v>SEJUSPPROG</v>
      </c>
      <c r="F324" s="52" t="s">
        <v>705</v>
      </c>
      <c r="G324" s="22" t="str">
        <f t="shared" ref="G324:G387" si="30">CONCATENATE("P",(LEFT(F324,3)),A324)</f>
        <v>P134SEJUSP</v>
      </c>
      <c r="H324" s="52" t="s">
        <v>1371</v>
      </c>
      <c r="I324" s="22" t="s">
        <v>16</v>
      </c>
      <c r="J324" s="52" t="s">
        <v>445</v>
      </c>
      <c r="K324" s="22" t="str">
        <f>VLOOKUP(CONCATENATE(A324,LEFT(J324,4)),AGRUPAMENTO!$D$2:$E$6783,2,FALSE)</f>
        <v>Material de consumo</v>
      </c>
      <c r="L324" s="52" t="s">
        <v>44</v>
      </c>
      <c r="M324" s="52" t="str">
        <f t="shared" si="27"/>
        <v>FONTESEJUSP</v>
      </c>
      <c r="N324" s="52">
        <v>10</v>
      </c>
      <c r="O324" s="147" t="s">
        <v>2594</v>
      </c>
      <c r="P324" s="52" t="s">
        <v>58</v>
      </c>
      <c r="Q324" s="194" t="s">
        <v>3858</v>
      </c>
      <c r="R324" s="195">
        <v>88900</v>
      </c>
      <c r="S324" s="147" t="s">
        <v>3860</v>
      </c>
      <c r="T324" s="88">
        <v>6.5</v>
      </c>
      <c r="U324" s="53">
        <v>1</v>
      </c>
      <c r="V324" s="58">
        <f t="shared" si="28"/>
        <v>577850</v>
      </c>
      <c r="W324" s="52" t="s">
        <v>49</v>
      </c>
      <c r="X324" s="275" t="s">
        <v>4525</v>
      </c>
      <c r="Y324" s="276" t="s">
        <v>4526</v>
      </c>
      <c r="Z324" s="276" t="s">
        <v>4527</v>
      </c>
      <c r="AA324" s="52">
        <v>0</v>
      </c>
      <c r="AB324" s="52">
        <v>0</v>
      </c>
      <c r="AC324" s="52">
        <v>0</v>
      </c>
      <c r="AD324" s="21">
        <v>0</v>
      </c>
      <c r="AE324" s="54">
        <v>0</v>
      </c>
      <c r="AF324" s="315">
        <f t="shared" ref="AF324:AF387" si="31">AE324*V324</f>
        <v>0</v>
      </c>
    </row>
    <row r="325" spans="1:32" ht="409.5" x14ac:dyDescent="0.25">
      <c r="A325" s="86" t="s">
        <v>588</v>
      </c>
      <c r="B325" s="107" t="s">
        <v>2270</v>
      </c>
      <c r="C325" s="52"/>
      <c r="D325" s="52" t="s">
        <v>2293</v>
      </c>
      <c r="E325" s="22" t="str">
        <f t="shared" si="29"/>
        <v>SEJUSPPROG</v>
      </c>
      <c r="F325" s="52" t="s">
        <v>705</v>
      </c>
      <c r="G325" s="22" t="str">
        <f t="shared" si="30"/>
        <v>P134SEJUSP</v>
      </c>
      <c r="H325" s="52" t="s">
        <v>1371</v>
      </c>
      <c r="I325" s="22" t="s">
        <v>16</v>
      </c>
      <c r="J325" s="52" t="s">
        <v>445</v>
      </c>
      <c r="K325" s="22" t="str">
        <f>VLOOKUP(CONCATENATE(A325,LEFT(J325,4)),AGRUPAMENTO!$D$2:$E$6783,2,FALSE)</f>
        <v>Material de consumo</v>
      </c>
      <c r="L325" s="52" t="s">
        <v>44</v>
      </c>
      <c r="M325" s="52" t="str">
        <f t="shared" si="27"/>
        <v>FONTESEJUSP</v>
      </c>
      <c r="N325" s="52">
        <v>10</v>
      </c>
      <c r="O325" s="147" t="s">
        <v>2595</v>
      </c>
      <c r="P325" s="52" t="s">
        <v>58</v>
      </c>
      <c r="Q325" s="194" t="s">
        <v>3858</v>
      </c>
      <c r="R325" s="52">
        <v>548</v>
      </c>
      <c r="S325" s="147" t="s">
        <v>3860</v>
      </c>
      <c r="T325" s="88">
        <v>300</v>
      </c>
      <c r="U325" s="53">
        <v>1</v>
      </c>
      <c r="V325" s="58">
        <f t="shared" si="28"/>
        <v>164400</v>
      </c>
      <c r="W325" s="52" t="s">
        <v>49</v>
      </c>
      <c r="X325" s="275" t="s">
        <v>3860</v>
      </c>
      <c r="Y325" s="276" t="s">
        <v>4528</v>
      </c>
      <c r="Z325" s="276" t="s">
        <v>4529</v>
      </c>
      <c r="AA325" s="52">
        <v>0</v>
      </c>
      <c r="AB325" s="52">
        <v>0</v>
      </c>
      <c r="AC325" s="52">
        <v>0</v>
      </c>
      <c r="AD325" s="21">
        <v>0</v>
      </c>
      <c r="AE325" s="54">
        <v>0</v>
      </c>
      <c r="AF325" s="315">
        <f t="shared" si="31"/>
        <v>0</v>
      </c>
    </row>
    <row r="326" spans="1:32" ht="409.5" x14ac:dyDescent="0.25">
      <c r="A326" s="86" t="s">
        <v>588</v>
      </c>
      <c r="B326" s="107" t="s">
        <v>2270</v>
      </c>
      <c r="C326" s="52"/>
      <c r="D326" s="52" t="s">
        <v>2293</v>
      </c>
      <c r="E326" s="22" t="str">
        <f t="shared" si="29"/>
        <v>SEJUSPPROG</v>
      </c>
      <c r="F326" s="52" t="s">
        <v>705</v>
      </c>
      <c r="G326" s="22" t="str">
        <f t="shared" si="30"/>
        <v>P134SEJUSP</v>
      </c>
      <c r="H326" s="52" t="s">
        <v>1371</v>
      </c>
      <c r="I326" s="22" t="s">
        <v>16</v>
      </c>
      <c r="J326" s="52" t="s">
        <v>445</v>
      </c>
      <c r="K326" s="22" t="str">
        <f>VLOOKUP(CONCATENATE(A326,LEFT(J326,4)),AGRUPAMENTO!$D$2:$E$6783,2,FALSE)</f>
        <v>Material de consumo</v>
      </c>
      <c r="L326" s="52" t="s">
        <v>44</v>
      </c>
      <c r="M326" s="52" t="str">
        <f t="shared" si="27"/>
        <v>FONTESEJUSP</v>
      </c>
      <c r="N326" s="52">
        <v>10</v>
      </c>
      <c r="O326" s="147" t="s">
        <v>2596</v>
      </c>
      <c r="P326" s="52" t="s">
        <v>58</v>
      </c>
      <c r="Q326" s="196" t="s">
        <v>3858</v>
      </c>
      <c r="R326" s="195">
        <v>2531</v>
      </c>
      <c r="S326" s="147" t="s">
        <v>3860</v>
      </c>
      <c r="T326" s="88">
        <v>455</v>
      </c>
      <c r="U326" s="53">
        <v>1</v>
      </c>
      <c r="V326" s="58">
        <f t="shared" si="28"/>
        <v>1151605</v>
      </c>
      <c r="W326" s="52" t="s">
        <v>49</v>
      </c>
      <c r="X326" s="274" t="s">
        <v>3860</v>
      </c>
      <c r="Y326" s="196" t="s">
        <v>4528</v>
      </c>
      <c r="Z326" s="196" t="s">
        <v>4529</v>
      </c>
      <c r="AA326" s="52">
        <v>0</v>
      </c>
      <c r="AB326" s="52">
        <v>0</v>
      </c>
      <c r="AC326" s="52">
        <v>0</v>
      </c>
      <c r="AD326" s="21">
        <v>0</v>
      </c>
      <c r="AE326" s="54">
        <v>0</v>
      </c>
      <c r="AF326" s="315">
        <f t="shared" si="31"/>
        <v>0</v>
      </c>
    </row>
    <row r="327" spans="1:32" ht="409.5" x14ac:dyDescent="0.25">
      <c r="A327" s="86" t="s">
        <v>588</v>
      </c>
      <c r="B327" s="107" t="s">
        <v>2270</v>
      </c>
      <c r="C327" s="52"/>
      <c r="D327" s="52" t="s">
        <v>2293</v>
      </c>
      <c r="E327" s="22" t="str">
        <f t="shared" si="29"/>
        <v>SEJUSPPROG</v>
      </c>
      <c r="F327" s="52" t="s">
        <v>705</v>
      </c>
      <c r="G327" s="22" t="str">
        <f t="shared" si="30"/>
        <v>P134SEJUSP</v>
      </c>
      <c r="H327" s="52" t="s">
        <v>1371</v>
      </c>
      <c r="I327" s="22" t="s">
        <v>16</v>
      </c>
      <c r="J327" s="52" t="s">
        <v>445</v>
      </c>
      <c r="K327" s="22" t="str">
        <f>VLOOKUP(CONCATENATE(A327,LEFT(J327,4)),AGRUPAMENTO!$D$2:$E$6783,2,FALSE)</f>
        <v>Material de consumo</v>
      </c>
      <c r="L327" s="52" t="s">
        <v>44</v>
      </c>
      <c r="M327" s="52" t="str">
        <f t="shared" si="27"/>
        <v>FONTESEJUSP</v>
      </c>
      <c r="N327" s="52">
        <v>10</v>
      </c>
      <c r="O327" s="147" t="s">
        <v>2597</v>
      </c>
      <c r="P327" s="52" t="s">
        <v>58</v>
      </c>
      <c r="Q327" s="196" t="s">
        <v>3858</v>
      </c>
      <c r="R327" s="195">
        <v>90350</v>
      </c>
      <c r="S327" s="147" t="s">
        <v>3860</v>
      </c>
      <c r="T327" s="88">
        <v>6</v>
      </c>
      <c r="U327" s="53">
        <v>1</v>
      </c>
      <c r="V327" s="58">
        <f t="shared" si="28"/>
        <v>542100</v>
      </c>
      <c r="W327" s="52" t="s">
        <v>49</v>
      </c>
      <c r="X327" s="274" t="s">
        <v>3860</v>
      </c>
      <c r="Y327" s="196" t="s">
        <v>4530</v>
      </c>
      <c r="Z327" s="196" t="s">
        <v>4531</v>
      </c>
      <c r="AA327" s="52">
        <v>0</v>
      </c>
      <c r="AB327" s="52">
        <v>0</v>
      </c>
      <c r="AC327" s="52">
        <v>0</v>
      </c>
      <c r="AD327" s="21">
        <v>0</v>
      </c>
      <c r="AE327" s="54">
        <v>0</v>
      </c>
      <c r="AF327" s="315">
        <f t="shared" si="31"/>
        <v>0</v>
      </c>
    </row>
    <row r="328" spans="1:32" ht="168.75" x14ac:dyDescent="0.25">
      <c r="A328" s="86" t="s">
        <v>588</v>
      </c>
      <c r="B328" s="107" t="s">
        <v>2270</v>
      </c>
      <c r="C328" s="52"/>
      <c r="D328" s="52" t="s">
        <v>2293</v>
      </c>
      <c r="E328" s="22" t="str">
        <f t="shared" si="29"/>
        <v>SEJUSPPROG</v>
      </c>
      <c r="F328" s="52" t="s">
        <v>705</v>
      </c>
      <c r="G328" s="22" t="str">
        <f t="shared" si="30"/>
        <v>P134SEJUSP</v>
      </c>
      <c r="H328" s="52" t="s">
        <v>1371</v>
      </c>
      <c r="I328" s="22" t="s">
        <v>16</v>
      </c>
      <c r="J328" s="52" t="s">
        <v>2232</v>
      </c>
      <c r="K328" s="22" t="str">
        <f>VLOOKUP(CONCATENATE(A328,LEFT(J328,4)),AGRUPAMENTO!$D$2:$E$6783,2,FALSE)</f>
        <v>Demais despesas de capital</v>
      </c>
      <c r="L328" s="52" t="s">
        <v>94</v>
      </c>
      <c r="M328" s="52" t="str">
        <f t="shared" si="27"/>
        <v>FONTESEJUSP</v>
      </c>
      <c r="N328" s="52">
        <v>10</v>
      </c>
      <c r="O328" s="118" t="s">
        <v>2598</v>
      </c>
      <c r="P328" s="52" t="s">
        <v>58</v>
      </c>
      <c r="Q328" s="145" t="s">
        <v>3861</v>
      </c>
      <c r="R328" s="52">
        <v>2</v>
      </c>
      <c r="S328" s="197" t="s">
        <v>3862</v>
      </c>
      <c r="T328" s="88">
        <v>2000</v>
      </c>
      <c r="U328" s="53">
        <v>1</v>
      </c>
      <c r="V328" s="58">
        <f t="shared" si="28"/>
        <v>4000</v>
      </c>
      <c r="W328" s="52" t="s">
        <v>49</v>
      </c>
      <c r="X328" s="145" t="s">
        <v>4532</v>
      </c>
      <c r="Y328" s="145" t="s">
        <v>4533</v>
      </c>
      <c r="Z328" s="196" t="s">
        <v>4534</v>
      </c>
      <c r="AA328" s="52">
        <v>0</v>
      </c>
      <c r="AB328" s="52">
        <v>0</v>
      </c>
      <c r="AC328" s="52">
        <v>0</v>
      </c>
      <c r="AD328" s="21">
        <v>0</v>
      </c>
      <c r="AE328" s="54">
        <v>0</v>
      </c>
      <c r="AF328" s="315">
        <f t="shared" si="31"/>
        <v>0</v>
      </c>
    </row>
    <row r="329" spans="1:32" ht="135" x14ac:dyDescent="0.25">
      <c r="A329" s="86" t="s">
        <v>588</v>
      </c>
      <c r="B329" s="107" t="s">
        <v>2270</v>
      </c>
      <c r="C329" s="52"/>
      <c r="D329" s="52" t="s">
        <v>2293</v>
      </c>
      <c r="E329" s="22" t="str">
        <f t="shared" si="29"/>
        <v>SEJUSPPROG</v>
      </c>
      <c r="F329" s="52" t="s">
        <v>705</v>
      </c>
      <c r="G329" s="22" t="str">
        <f t="shared" si="30"/>
        <v>P134SEJUSP</v>
      </c>
      <c r="H329" s="52" t="s">
        <v>1371</v>
      </c>
      <c r="I329" s="22" t="s">
        <v>16</v>
      </c>
      <c r="J329" s="52" t="s">
        <v>2232</v>
      </c>
      <c r="K329" s="22" t="str">
        <f>VLOOKUP(CONCATENATE(A329,LEFT(J329,4)),AGRUPAMENTO!$D$2:$E$6783,2,FALSE)</f>
        <v>Demais despesas de capital</v>
      </c>
      <c r="L329" s="52" t="s">
        <v>94</v>
      </c>
      <c r="M329" s="52" t="str">
        <f t="shared" si="27"/>
        <v>FONTESEJUSP</v>
      </c>
      <c r="N329" s="52">
        <v>10</v>
      </c>
      <c r="O329" s="118" t="s">
        <v>2599</v>
      </c>
      <c r="P329" s="52" t="s">
        <v>58</v>
      </c>
      <c r="Q329" s="52" t="s">
        <v>3863</v>
      </c>
      <c r="R329" s="52">
        <v>2</v>
      </c>
      <c r="S329" s="197" t="s">
        <v>3862</v>
      </c>
      <c r="T329" s="88">
        <v>500</v>
      </c>
      <c r="U329" s="53">
        <v>1</v>
      </c>
      <c r="V329" s="58">
        <f t="shared" si="28"/>
        <v>1000</v>
      </c>
      <c r="W329" s="52" t="s">
        <v>49</v>
      </c>
      <c r="X329" s="52" t="s">
        <v>4535</v>
      </c>
      <c r="Y329" s="52" t="s">
        <v>4536</v>
      </c>
      <c r="Z329" s="52" t="s">
        <v>4537</v>
      </c>
      <c r="AA329" s="52">
        <v>0</v>
      </c>
      <c r="AB329" s="52">
        <v>0</v>
      </c>
      <c r="AC329" s="52">
        <v>0</v>
      </c>
      <c r="AD329" s="21">
        <v>0</v>
      </c>
      <c r="AE329" s="54">
        <v>0</v>
      </c>
      <c r="AF329" s="315">
        <f t="shared" si="31"/>
        <v>0</v>
      </c>
    </row>
    <row r="330" spans="1:32" ht="120" x14ac:dyDescent="0.25">
      <c r="A330" s="86" t="s">
        <v>588</v>
      </c>
      <c r="B330" s="107" t="s">
        <v>2270</v>
      </c>
      <c r="C330" s="52"/>
      <c r="D330" s="52" t="s">
        <v>2293</v>
      </c>
      <c r="E330" s="22" t="str">
        <f t="shared" si="29"/>
        <v>SEJUSPPROG</v>
      </c>
      <c r="F330" s="52" t="s">
        <v>705</v>
      </c>
      <c r="G330" s="22" t="str">
        <f t="shared" si="30"/>
        <v>P134SEJUSP</v>
      </c>
      <c r="H330" s="52" t="s">
        <v>1371</v>
      </c>
      <c r="I330" s="22" t="s">
        <v>16</v>
      </c>
      <c r="J330" s="52" t="s">
        <v>2232</v>
      </c>
      <c r="K330" s="22" t="str">
        <f>VLOOKUP(CONCATENATE(A330,LEFT(J330,4)),AGRUPAMENTO!$D$2:$E$6783,2,FALSE)</f>
        <v>Demais despesas de capital</v>
      </c>
      <c r="L330" s="52" t="s">
        <v>94</v>
      </c>
      <c r="M330" s="52" t="str">
        <f t="shared" si="27"/>
        <v>FONTESEJUSP</v>
      </c>
      <c r="N330" s="52">
        <v>10</v>
      </c>
      <c r="O330" s="118" t="s">
        <v>2600</v>
      </c>
      <c r="P330" s="52" t="s">
        <v>58</v>
      </c>
      <c r="Q330" s="52" t="s">
        <v>3864</v>
      </c>
      <c r="R330" s="52">
        <v>2</v>
      </c>
      <c r="S330" s="197" t="s">
        <v>3862</v>
      </c>
      <c r="T330" s="88">
        <v>1350</v>
      </c>
      <c r="U330" s="53">
        <v>1</v>
      </c>
      <c r="V330" s="58">
        <f t="shared" si="28"/>
        <v>2700</v>
      </c>
      <c r="W330" s="52" t="s">
        <v>49</v>
      </c>
      <c r="X330" s="277" t="s">
        <v>4538</v>
      </c>
      <c r="Y330" s="52" t="s">
        <v>4539</v>
      </c>
      <c r="Z330" s="52" t="s">
        <v>4540</v>
      </c>
      <c r="AA330" s="52">
        <v>0</v>
      </c>
      <c r="AB330" s="52">
        <v>0</v>
      </c>
      <c r="AC330" s="52">
        <v>0</v>
      </c>
      <c r="AD330" s="21">
        <v>0</v>
      </c>
      <c r="AE330" s="54">
        <v>0</v>
      </c>
      <c r="AF330" s="315">
        <f t="shared" si="31"/>
        <v>0</v>
      </c>
    </row>
    <row r="331" spans="1:32" ht="409.5" x14ac:dyDescent="0.25">
      <c r="A331" s="86" t="s">
        <v>588</v>
      </c>
      <c r="B331" s="107" t="s">
        <v>2270</v>
      </c>
      <c r="C331" s="52"/>
      <c r="D331" s="52" t="s">
        <v>2293</v>
      </c>
      <c r="E331" s="22" t="str">
        <f t="shared" si="29"/>
        <v>SEJUSPPROG</v>
      </c>
      <c r="F331" s="52" t="s">
        <v>705</v>
      </c>
      <c r="G331" s="22" t="str">
        <f t="shared" si="30"/>
        <v>P134SEJUSP</v>
      </c>
      <c r="H331" s="52" t="s">
        <v>1371</v>
      </c>
      <c r="I331" s="22" t="s">
        <v>16</v>
      </c>
      <c r="J331" s="52" t="s">
        <v>287</v>
      </c>
      <c r="K331" s="22" t="str">
        <f>VLOOKUP(CONCATENATE(A331,LEFT(J331,4)),AGRUPAMENTO!$D$2:$E$6783,2,FALSE)</f>
        <v>Demais despesas de capital</v>
      </c>
      <c r="L331" s="52" t="s">
        <v>94</v>
      </c>
      <c r="M331" s="52" t="str">
        <f t="shared" si="27"/>
        <v>FONTESEJUSP</v>
      </c>
      <c r="N331" s="52">
        <v>10</v>
      </c>
      <c r="O331" s="118" t="s">
        <v>2601</v>
      </c>
      <c r="P331" s="52" t="s">
        <v>58</v>
      </c>
      <c r="Q331" s="198" t="s">
        <v>3865</v>
      </c>
      <c r="R331" s="52">
        <v>40</v>
      </c>
      <c r="S331" s="197" t="s">
        <v>3862</v>
      </c>
      <c r="T331" s="88">
        <v>2777.86</v>
      </c>
      <c r="U331" s="53">
        <v>1</v>
      </c>
      <c r="V331" s="58">
        <f t="shared" si="28"/>
        <v>111114.40000000001</v>
      </c>
      <c r="W331" s="52" t="s">
        <v>49</v>
      </c>
      <c r="X331" s="194" t="s">
        <v>4541</v>
      </c>
      <c r="Y331" s="52" t="s">
        <v>4542</v>
      </c>
      <c r="Z331" s="52" t="s">
        <v>4543</v>
      </c>
      <c r="AA331" s="52">
        <v>0</v>
      </c>
      <c r="AB331" s="52">
        <v>0</v>
      </c>
      <c r="AC331" s="52">
        <v>0</v>
      </c>
      <c r="AD331" s="21">
        <v>0</v>
      </c>
      <c r="AE331" s="54">
        <v>0</v>
      </c>
      <c r="AF331" s="315">
        <f t="shared" si="31"/>
        <v>0</v>
      </c>
    </row>
    <row r="332" spans="1:32" ht="409.5" x14ac:dyDescent="0.25">
      <c r="A332" s="86" t="s">
        <v>588</v>
      </c>
      <c r="B332" s="107" t="s">
        <v>2270</v>
      </c>
      <c r="C332" s="52"/>
      <c r="D332" s="52" t="s">
        <v>2293</v>
      </c>
      <c r="E332" s="22" t="str">
        <f t="shared" si="29"/>
        <v>SEJUSPPROG</v>
      </c>
      <c r="F332" s="52" t="s">
        <v>705</v>
      </c>
      <c r="G332" s="22" t="str">
        <f t="shared" si="30"/>
        <v>P134SEJUSP</v>
      </c>
      <c r="H332" s="52" t="s">
        <v>1371</v>
      </c>
      <c r="I332" s="22" t="s">
        <v>16</v>
      </c>
      <c r="J332" s="52" t="s">
        <v>490</v>
      </c>
      <c r="K332" s="22" t="str">
        <f>VLOOKUP(CONCATENATE(A332,LEFT(J332,4)),AGRUPAMENTO!$D$2:$E$6783,2,FALSE)</f>
        <v>Material de consumo</v>
      </c>
      <c r="L332" s="52" t="s">
        <v>44</v>
      </c>
      <c r="M332" s="52" t="str">
        <f t="shared" si="27"/>
        <v>FONTESEJUSP</v>
      </c>
      <c r="N332" s="52">
        <v>10</v>
      </c>
      <c r="O332" s="118" t="s">
        <v>2602</v>
      </c>
      <c r="P332" s="52" t="s">
        <v>58</v>
      </c>
      <c r="Q332" s="198" t="s">
        <v>3865</v>
      </c>
      <c r="R332" s="52">
        <v>40</v>
      </c>
      <c r="S332" s="197" t="s">
        <v>3862</v>
      </c>
      <c r="T332" s="88">
        <v>195</v>
      </c>
      <c r="U332" s="53">
        <v>1</v>
      </c>
      <c r="V332" s="58">
        <f t="shared" si="28"/>
        <v>7800</v>
      </c>
      <c r="W332" s="52" t="s">
        <v>49</v>
      </c>
      <c r="X332" s="194" t="s">
        <v>4541</v>
      </c>
      <c r="Y332" s="52" t="s">
        <v>4542</v>
      </c>
      <c r="Z332" s="145" t="s">
        <v>4544</v>
      </c>
      <c r="AA332" s="52">
        <v>0</v>
      </c>
      <c r="AB332" s="52">
        <v>0</v>
      </c>
      <c r="AC332" s="52">
        <v>0</v>
      </c>
      <c r="AD332" s="21">
        <v>0</v>
      </c>
      <c r="AE332" s="54">
        <v>0</v>
      </c>
      <c r="AF332" s="315">
        <f t="shared" si="31"/>
        <v>0</v>
      </c>
    </row>
    <row r="333" spans="1:32" ht="409.5" x14ac:dyDescent="0.25">
      <c r="A333" s="86" t="s">
        <v>588</v>
      </c>
      <c r="B333" s="107" t="s">
        <v>2270</v>
      </c>
      <c r="C333" s="52"/>
      <c r="D333" s="52" t="s">
        <v>2293</v>
      </c>
      <c r="E333" s="22" t="str">
        <f t="shared" si="29"/>
        <v>SEJUSPPROG</v>
      </c>
      <c r="F333" s="52" t="s">
        <v>705</v>
      </c>
      <c r="G333" s="22" t="str">
        <f t="shared" si="30"/>
        <v>P134SEJUSP</v>
      </c>
      <c r="H333" s="52" t="s">
        <v>1371</v>
      </c>
      <c r="I333" s="22" t="s">
        <v>16</v>
      </c>
      <c r="J333" s="52" t="s">
        <v>445</v>
      </c>
      <c r="K333" s="22" t="str">
        <f>VLOOKUP(CONCATENATE(A333,LEFT(J333,4)),AGRUPAMENTO!$D$2:$E$6783,2,FALSE)</f>
        <v>Material de consumo</v>
      </c>
      <c r="L333" s="52" t="s">
        <v>44</v>
      </c>
      <c r="M333" s="52" t="str">
        <f t="shared" si="27"/>
        <v>FONTESEJUSP</v>
      </c>
      <c r="N333" s="52">
        <v>10</v>
      </c>
      <c r="O333" s="148" t="s">
        <v>2603</v>
      </c>
      <c r="P333" s="52" t="s">
        <v>3716</v>
      </c>
      <c r="Q333" s="52" t="s">
        <v>3866</v>
      </c>
      <c r="R333" s="52">
        <v>500</v>
      </c>
      <c r="S333" s="52" t="s">
        <v>3862</v>
      </c>
      <c r="T333" s="88">
        <v>350</v>
      </c>
      <c r="U333" s="53">
        <v>1</v>
      </c>
      <c r="V333" s="58">
        <f t="shared" si="28"/>
        <v>175000</v>
      </c>
      <c r="W333" s="52" t="s">
        <v>49</v>
      </c>
      <c r="X333" s="52" t="s">
        <v>4545</v>
      </c>
      <c r="Y333" s="194" t="s">
        <v>4546</v>
      </c>
      <c r="Z333" s="194" t="s">
        <v>4547</v>
      </c>
      <c r="AA333" s="52">
        <v>0</v>
      </c>
      <c r="AB333" s="52">
        <v>0</v>
      </c>
      <c r="AC333" s="52">
        <v>0</v>
      </c>
      <c r="AD333" s="21">
        <v>0</v>
      </c>
      <c r="AE333" s="54">
        <v>0</v>
      </c>
      <c r="AF333" s="315">
        <f t="shared" si="31"/>
        <v>0</v>
      </c>
    </row>
    <row r="334" spans="1:32" ht="409.5" x14ac:dyDescent="0.25">
      <c r="A334" s="86" t="s">
        <v>588</v>
      </c>
      <c r="B334" s="107" t="s">
        <v>2270</v>
      </c>
      <c r="C334" s="52"/>
      <c r="D334" s="52" t="s">
        <v>2293</v>
      </c>
      <c r="E334" s="22" t="str">
        <f t="shared" si="29"/>
        <v>SEJUSPPROG</v>
      </c>
      <c r="F334" s="52" t="s">
        <v>705</v>
      </c>
      <c r="G334" s="22" t="str">
        <f t="shared" si="30"/>
        <v>P134SEJUSP</v>
      </c>
      <c r="H334" s="52" t="s">
        <v>1371</v>
      </c>
      <c r="I334" s="22" t="s">
        <v>16</v>
      </c>
      <c r="J334" s="52" t="s">
        <v>490</v>
      </c>
      <c r="K334" s="22" t="str">
        <f>VLOOKUP(CONCATENATE(A334,LEFT(J334,4)),AGRUPAMENTO!$D$2:$E$6783,2,FALSE)</f>
        <v>Material de consumo</v>
      </c>
      <c r="L334" s="52" t="s">
        <v>44</v>
      </c>
      <c r="M334" s="52" t="str">
        <f t="shared" si="27"/>
        <v>FONTESEJUSP</v>
      </c>
      <c r="N334" s="52">
        <v>10</v>
      </c>
      <c r="O334" s="52" t="s">
        <v>2604</v>
      </c>
      <c r="P334" s="52" t="s">
        <v>46</v>
      </c>
      <c r="Q334" s="52" t="s">
        <v>3866</v>
      </c>
      <c r="R334" s="52">
        <v>144</v>
      </c>
      <c r="S334" s="52" t="s">
        <v>3862</v>
      </c>
      <c r="T334" s="88">
        <v>15.4</v>
      </c>
      <c r="U334" s="53">
        <v>1</v>
      </c>
      <c r="V334" s="58">
        <f t="shared" si="28"/>
        <v>2217.6</v>
      </c>
      <c r="W334" s="52" t="s">
        <v>49</v>
      </c>
      <c r="X334" s="52" t="s">
        <v>4545</v>
      </c>
      <c r="Y334" s="194" t="s">
        <v>4546</v>
      </c>
      <c r="Z334" s="194" t="s">
        <v>4547</v>
      </c>
      <c r="AA334" s="52">
        <v>0</v>
      </c>
      <c r="AB334" s="52">
        <v>0</v>
      </c>
      <c r="AC334" s="52">
        <v>0</v>
      </c>
      <c r="AD334" s="21">
        <v>0.66843255889259856</v>
      </c>
      <c r="AE334" s="54">
        <v>0.66843255889259856</v>
      </c>
      <c r="AF334" s="315">
        <f t="shared" si="31"/>
        <v>1482.3160426002264</v>
      </c>
    </row>
    <row r="335" spans="1:32" ht="409.5" x14ac:dyDescent="0.25">
      <c r="A335" s="86" t="s">
        <v>588</v>
      </c>
      <c r="B335" s="107" t="s">
        <v>2270</v>
      </c>
      <c r="C335" s="52"/>
      <c r="D335" s="52" t="s">
        <v>2293</v>
      </c>
      <c r="E335" s="22" t="str">
        <f t="shared" si="29"/>
        <v>SEJUSPPROG</v>
      </c>
      <c r="F335" s="52" t="s">
        <v>705</v>
      </c>
      <c r="G335" s="22" t="str">
        <f t="shared" si="30"/>
        <v>P134SEJUSP</v>
      </c>
      <c r="H335" s="52" t="s">
        <v>1371</v>
      </c>
      <c r="I335" s="22" t="s">
        <v>16</v>
      </c>
      <c r="J335" s="52" t="s">
        <v>490</v>
      </c>
      <c r="K335" s="22" t="str">
        <f>VLOOKUP(CONCATENATE(A335,LEFT(J335,4)),AGRUPAMENTO!$D$2:$E$6783,2,FALSE)</f>
        <v>Material de consumo</v>
      </c>
      <c r="L335" s="52" t="s">
        <v>44</v>
      </c>
      <c r="M335" s="52" t="str">
        <f t="shared" si="27"/>
        <v>FONTESEJUSP</v>
      </c>
      <c r="N335" s="52">
        <v>10</v>
      </c>
      <c r="O335" s="52" t="s">
        <v>2605</v>
      </c>
      <c r="P335" s="52" t="s">
        <v>46</v>
      </c>
      <c r="Q335" s="52" t="s">
        <v>3867</v>
      </c>
      <c r="R335" s="52">
        <v>48</v>
      </c>
      <c r="S335" s="52" t="s">
        <v>3862</v>
      </c>
      <c r="T335" s="88">
        <v>49</v>
      </c>
      <c r="U335" s="53">
        <v>1</v>
      </c>
      <c r="V335" s="58">
        <f t="shared" si="28"/>
        <v>2352</v>
      </c>
      <c r="W335" s="52" t="s">
        <v>49</v>
      </c>
      <c r="X335" s="52" t="s">
        <v>4545</v>
      </c>
      <c r="Y335" s="194" t="s">
        <v>4546</v>
      </c>
      <c r="Z335" s="194" t="s">
        <v>4547</v>
      </c>
      <c r="AA335" s="52">
        <v>0</v>
      </c>
      <c r="AB335" s="52">
        <v>0</v>
      </c>
      <c r="AC335" s="52">
        <v>0</v>
      </c>
      <c r="AD335" s="21">
        <v>0.66843255889259856</v>
      </c>
      <c r="AE335" s="54">
        <v>0.66843255889259856</v>
      </c>
      <c r="AF335" s="315">
        <f t="shared" si="31"/>
        <v>1572.1533785153918</v>
      </c>
    </row>
    <row r="336" spans="1:32" ht="409.5" x14ac:dyDescent="0.25">
      <c r="A336" s="86" t="s">
        <v>588</v>
      </c>
      <c r="B336" s="107" t="s">
        <v>2270</v>
      </c>
      <c r="C336" s="52"/>
      <c r="D336" s="52" t="s">
        <v>2293</v>
      </c>
      <c r="E336" s="22" t="str">
        <f t="shared" si="29"/>
        <v>SEJUSPPROG</v>
      </c>
      <c r="F336" s="52" t="s">
        <v>705</v>
      </c>
      <c r="G336" s="22" t="str">
        <f t="shared" si="30"/>
        <v>P134SEJUSP</v>
      </c>
      <c r="H336" s="52" t="s">
        <v>1371</v>
      </c>
      <c r="I336" s="22" t="s">
        <v>16</v>
      </c>
      <c r="J336" s="52" t="s">
        <v>490</v>
      </c>
      <c r="K336" s="22" t="str">
        <f>VLOOKUP(CONCATENATE(A336,LEFT(J336,4)),AGRUPAMENTO!$D$2:$E$6783,2,FALSE)</f>
        <v>Material de consumo</v>
      </c>
      <c r="L336" s="52" t="s">
        <v>44</v>
      </c>
      <c r="M336" s="52" t="str">
        <f t="shared" si="27"/>
        <v>FONTESEJUSP</v>
      </c>
      <c r="N336" s="52">
        <v>10</v>
      </c>
      <c r="O336" s="52" t="s">
        <v>2606</v>
      </c>
      <c r="P336" s="52" t="s">
        <v>46</v>
      </c>
      <c r="Q336" s="52" t="s">
        <v>3867</v>
      </c>
      <c r="R336" s="52">
        <v>40</v>
      </c>
      <c r="S336" s="52" t="s">
        <v>3862</v>
      </c>
      <c r="T336" s="88">
        <v>144</v>
      </c>
      <c r="U336" s="53">
        <v>1</v>
      </c>
      <c r="V336" s="58">
        <f t="shared" si="28"/>
        <v>5760</v>
      </c>
      <c r="W336" s="52" t="s">
        <v>49</v>
      </c>
      <c r="X336" s="52" t="s">
        <v>4545</v>
      </c>
      <c r="Y336" s="194" t="s">
        <v>4546</v>
      </c>
      <c r="Z336" s="194" t="s">
        <v>4547</v>
      </c>
      <c r="AA336" s="52">
        <v>0</v>
      </c>
      <c r="AB336" s="52">
        <v>0</v>
      </c>
      <c r="AC336" s="52">
        <v>0</v>
      </c>
      <c r="AD336" s="21">
        <v>0.66843255889259856</v>
      </c>
      <c r="AE336" s="54">
        <v>0.66843255889259856</v>
      </c>
      <c r="AF336" s="315">
        <f t="shared" si="31"/>
        <v>3850.1715392213678</v>
      </c>
    </row>
    <row r="337" spans="1:32" ht="337.5" x14ac:dyDescent="0.25">
      <c r="A337" s="86" t="s">
        <v>588</v>
      </c>
      <c r="B337" s="107" t="s">
        <v>2270</v>
      </c>
      <c r="C337" s="52"/>
      <c r="D337" s="52" t="s">
        <v>2293</v>
      </c>
      <c r="E337" s="22" t="str">
        <f t="shared" si="29"/>
        <v>SEJUSPPROG</v>
      </c>
      <c r="F337" s="52" t="s">
        <v>705</v>
      </c>
      <c r="G337" s="22" t="str">
        <f t="shared" si="30"/>
        <v>P134SEJUSP</v>
      </c>
      <c r="H337" s="52" t="s">
        <v>1371</v>
      </c>
      <c r="I337" s="22" t="s">
        <v>16</v>
      </c>
      <c r="J337" s="52" t="s">
        <v>1628</v>
      </c>
      <c r="K337" s="22" t="str">
        <f>VLOOKUP(CONCATENATE(A337,LEFT(J337,4)),AGRUPAMENTO!$D$2:$E$6783,2,FALSE)</f>
        <v>Pronto Pagamento</v>
      </c>
      <c r="L337" s="52" t="s">
        <v>44</v>
      </c>
      <c r="M337" s="52" t="str">
        <f t="shared" si="27"/>
        <v>FONTESEJUSP</v>
      </c>
      <c r="N337" s="52">
        <v>10</v>
      </c>
      <c r="O337" s="145" t="s">
        <v>2607</v>
      </c>
      <c r="P337" s="52" t="s">
        <v>58</v>
      </c>
      <c r="Q337" s="52" t="s">
        <v>3868</v>
      </c>
      <c r="R337" s="52">
        <v>12</v>
      </c>
      <c r="S337" s="52" t="s">
        <v>3869</v>
      </c>
      <c r="T337" s="88">
        <v>4000</v>
      </c>
      <c r="U337" s="53">
        <v>1</v>
      </c>
      <c r="V337" s="58">
        <f t="shared" si="28"/>
        <v>48000</v>
      </c>
      <c r="W337" s="52" t="s">
        <v>49</v>
      </c>
      <c r="X337" s="145" t="s">
        <v>4548</v>
      </c>
      <c r="Y337" s="145" t="s">
        <v>4549</v>
      </c>
      <c r="Z337" s="145" t="s">
        <v>4550</v>
      </c>
      <c r="AA337" s="52">
        <v>0</v>
      </c>
      <c r="AB337" s="52">
        <v>0</v>
      </c>
      <c r="AC337" s="52">
        <v>0</v>
      </c>
      <c r="AD337" s="21">
        <v>1</v>
      </c>
      <c r="AE337" s="54">
        <v>1</v>
      </c>
      <c r="AF337" s="315">
        <f t="shared" si="31"/>
        <v>48000</v>
      </c>
    </row>
    <row r="338" spans="1:32" ht="150" x14ac:dyDescent="0.25">
      <c r="A338" s="86" t="s">
        <v>588</v>
      </c>
      <c r="B338" s="107" t="s">
        <v>2270</v>
      </c>
      <c r="C338" s="52"/>
      <c r="D338" s="52" t="s">
        <v>2293</v>
      </c>
      <c r="E338" s="22" t="str">
        <f t="shared" si="29"/>
        <v>SEJUSPPROG</v>
      </c>
      <c r="F338" s="52" t="s">
        <v>705</v>
      </c>
      <c r="G338" s="22" t="str">
        <f t="shared" si="30"/>
        <v>P134SEJUSP</v>
      </c>
      <c r="H338" s="52" t="s">
        <v>1371</v>
      </c>
      <c r="I338" s="22" t="s">
        <v>16</v>
      </c>
      <c r="J338" s="52" t="s">
        <v>1628</v>
      </c>
      <c r="K338" s="22" t="str">
        <f>VLOOKUP(CONCATENATE(A338,LEFT(J338,4)),AGRUPAMENTO!$D$2:$E$6783,2,FALSE)</f>
        <v>Pronto Pagamento</v>
      </c>
      <c r="L338" s="52" t="s">
        <v>44</v>
      </c>
      <c r="M338" s="52" t="str">
        <f t="shared" si="27"/>
        <v>FONTESEJUSP</v>
      </c>
      <c r="N338" s="52">
        <v>10</v>
      </c>
      <c r="O338" s="52" t="s">
        <v>2608</v>
      </c>
      <c r="P338" s="52" t="s">
        <v>46</v>
      </c>
      <c r="Q338" s="52" t="s">
        <v>3868</v>
      </c>
      <c r="R338" s="52">
        <v>12</v>
      </c>
      <c r="S338" s="52" t="s">
        <v>3869</v>
      </c>
      <c r="T338" s="88">
        <v>4000</v>
      </c>
      <c r="U338" s="53">
        <v>1</v>
      </c>
      <c r="V338" s="58">
        <f t="shared" si="28"/>
        <v>48000</v>
      </c>
      <c r="W338" s="52" t="s">
        <v>49</v>
      </c>
      <c r="X338" s="145" t="s">
        <v>4551</v>
      </c>
      <c r="Y338" s="145" t="s">
        <v>4552</v>
      </c>
      <c r="Z338" s="145" t="s">
        <v>4553</v>
      </c>
      <c r="AA338" s="52">
        <v>0</v>
      </c>
      <c r="AB338" s="52">
        <v>0</v>
      </c>
      <c r="AC338" s="52">
        <v>0</v>
      </c>
      <c r="AD338" s="21">
        <v>1</v>
      </c>
      <c r="AE338" s="54">
        <v>1</v>
      </c>
      <c r="AF338" s="315">
        <f t="shared" si="31"/>
        <v>48000</v>
      </c>
    </row>
    <row r="339" spans="1:32" ht="180" x14ac:dyDescent="0.25">
      <c r="A339" s="86" t="s">
        <v>588</v>
      </c>
      <c r="B339" s="107" t="s">
        <v>2270</v>
      </c>
      <c r="C339" s="52"/>
      <c r="D339" s="52" t="s">
        <v>2293</v>
      </c>
      <c r="E339" s="22" t="str">
        <f t="shared" si="29"/>
        <v>SEJUSPPROG</v>
      </c>
      <c r="F339" s="52" t="s">
        <v>705</v>
      </c>
      <c r="G339" s="22" t="str">
        <f t="shared" si="30"/>
        <v>P134SEJUSP</v>
      </c>
      <c r="H339" s="52" t="s">
        <v>1371</v>
      </c>
      <c r="I339" s="22" t="s">
        <v>16</v>
      </c>
      <c r="J339" s="52" t="s">
        <v>2189</v>
      </c>
      <c r="K339" s="22" t="str">
        <f>VLOOKUP(CONCATENATE(A339,LEFT(J339,4)),AGRUPAMENTO!$D$2:$E$6783,2,FALSE)</f>
        <v>Cursos de formação e capacitações</v>
      </c>
      <c r="L339" s="52" t="s">
        <v>44</v>
      </c>
      <c r="M339" s="52" t="str">
        <f t="shared" si="27"/>
        <v>FONTESEJUSP</v>
      </c>
      <c r="N339" s="52">
        <v>10</v>
      </c>
      <c r="O339" s="145" t="s">
        <v>2609</v>
      </c>
      <c r="P339" s="52" t="s">
        <v>58</v>
      </c>
      <c r="Q339" s="52" t="s">
        <v>3870</v>
      </c>
      <c r="R339" s="52">
        <v>10</v>
      </c>
      <c r="S339" s="52" t="s">
        <v>3862</v>
      </c>
      <c r="T339" s="88">
        <v>20000</v>
      </c>
      <c r="U339" s="53">
        <v>1</v>
      </c>
      <c r="V339" s="58">
        <f t="shared" si="28"/>
        <v>200000</v>
      </c>
      <c r="W339" s="52" t="s">
        <v>49</v>
      </c>
      <c r="X339" s="145" t="s">
        <v>4554</v>
      </c>
      <c r="Y339" s="145" t="s">
        <v>4555</v>
      </c>
      <c r="Z339" s="145" t="s">
        <v>4556</v>
      </c>
      <c r="AA339" s="52">
        <v>0</v>
      </c>
      <c r="AB339" s="52">
        <v>0</v>
      </c>
      <c r="AC339" s="52">
        <v>0</v>
      </c>
      <c r="AD339" s="21">
        <v>1</v>
      </c>
      <c r="AE339" s="54">
        <v>1</v>
      </c>
      <c r="AF339" s="315">
        <f t="shared" si="31"/>
        <v>200000</v>
      </c>
    </row>
    <row r="340" spans="1:32" ht="135" x14ac:dyDescent="0.25">
      <c r="A340" s="86" t="s">
        <v>588</v>
      </c>
      <c r="B340" s="107" t="s">
        <v>2270</v>
      </c>
      <c r="C340" s="52"/>
      <c r="D340" s="52" t="s">
        <v>2293</v>
      </c>
      <c r="E340" s="22" t="str">
        <f t="shared" si="29"/>
        <v>SEJUSPPROG</v>
      </c>
      <c r="F340" s="52" t="s">
        <v>705</v>
      </c>
      <c r="G340" s="22" t="str">
        <f t="shared" si="30"/>
        <v>P134SEJUSP</v>
      </c>
      <c r="H340" s="52" t="s">
        <v>1371</v>
      </c>
      <c r="I340" s="22" t="s">
        <v>16</v>
      </c>
      <c r="J340" s="52" t="s">
        <v>2167</v>
      </c>
      <c r="K340" s="22" t="str">
        <f>VLOOKUP(CONCATENATE(A340,LEFT(J340,4)),AGRUPAMENTO!$D$2:$E$6783,2,FALSE)</f>
        <v>Cursos de formação e capacitações</v>
      </c>
      <c r="L340" s="52" t="s">
        <v>44</v>
      </c>
      <c r="M340" s="52" t="str">
        <f t="shared" si="27"/>
        <v>FONTESEJUSP</v>
      </c>
      <c r="N340" s="52">
        <v>10</v>
      </c>
      <c r="O340" s="52" t="s">
        <v>2610</v>
      </c>
      <c r="P340" s="52" t="s">
        <v>58</v>
      </c>
      <c r="Q340" s="52" t="s">
        <v>3812</v>
      </c>
      <c r="R340" s="52">
        <v>100</v>
      </c>
      <c r="S340" s="52" t="s">
        <v>3871</v>
      </c>
      <c r="T340" s="88">
        <v>619.75</v>
      </c>
      <c r="U340" s="53">
        <v>1</v>
      </c>
      <c r="V340" s="58">
        <f t="shared" si="28"/>
        <v>61975</v>
      </c>
      <c r="W340" s="52" t="s">
        <v>49</v>
      </c>
      <c r="X340" s="52" t="s">
        <v>4557</v>
      </c>
      <c r="Y340" s="52" t="s">
        <v>4558</v>
      </c>
      <c r="Z340" s="52" t="s">
        <v>4559</v>
      </c>
      <c r="AA340" s="52">
        <v>0</v>
      </c>
      <c r="AB340" s="52">
        <v>0</v>
      </c>
      <c r="AC340" s="52">
        <v>0</v>
      </c>
      <c r="AD340" s="21">
        <v>1</v>
      </c>
      <c r="AE340" s="54">
        <v>1</v>
      </c>
      <c r="AF340" s="315">
        <f t="shared" si="31"/>
        <v>61975</v>
      </c>
    </row>
    <row r="341" spans="1:32" ht="337.5" x14ac:dyDescent="0.25">
      <c r="A341" s="86" t="s">
        <v>588</v>
      </c>
      <c r="B341" s="107" t="s">
        <v>2270</v>
      </c>
      <c r="C341" s="52"/>
      <c r="D341" s="52" t="s">
        <v>2293</v>
      </c>
      <c r="E341" s="22" t="str">
        <f t="shared" si="29"/>
        <v>SEJUSPPROG</v>
      </c>
      <c r="F341" s="52" t="s">
        <v>705</v>
      </c>
      <c r="G341" s="22" t="str">
        <f t="shared" si="30"/>
        <v>P134SEJUSP</v>
      </c>
      <c r="H341" s="52" t="s">
        <v>1371</v>
      </c>
      <c r="I341" s="22" t="s">
        <v>16</v>
      </c>
      <c r="J341" s="52" t="s">
        <v>313</v>
      </c>
      <c r="K341" s="22" t="str">
        <f>VLOOKUP(CONCATENATE(A341,LEFT(J341,4)),AGRUPAMENTO!$D$2:$E$6783,2,FALSE)</f>
        <v>Aquisições de itens de TIC</v>
      </c>
      <c r="L341" s="52" t="s">
        <v>94</v>
      </c>
      <c r="M341" s="52" t="str">
        <f t="shared" si="27"/>
        <v>FONTESEJUSP</v>
      </c>
      <c r="N341" s="52">
        <v>10</v>
      </c>
      <c r="O341" s="52" t="s">
        <v>2611</v>
      </c>
      <c r="P341" s="52" t="s">
        <v>58</v>
      </c>
      <c r="Q341" s="52" t="s">
        <v>3872</v>
      </c>
      <c r="R341" s="52">
        <v>1</v>
      </c>
      <c r="S341" s="145" t="s">
        <v>3873</v>
      </c>
      <c r="T341" s="88">
        <v>42520.44</v>
      </c>
      <c r="U341" s="53">
        <v>1</v>
      </c>
      <c r="V341" s="58">
        <f t="shared" si="28"/>
        <v>42520.44</v>
      </c>
      <c r="W341" s="52" t="s">
        <v>49</v>
      </c>
      <c r="X341" s="145" t="s">
        <v>4560</v>
      </c>
      <c r="Y341" s="145" t="s">
        <v>4561</v>
      </c>
      <c r="Z341" s="145" t="s">
        <v>4562</v>
      </c>
      <c r="AA341" s="52">
        <v>0</v>
      </c>
      <c r="AB341" s="52">
        <v>0</v>
      </c>
      <c r="AC341" s="52">
        <v>0</v>
      </c>
      <c r="AD341" s="21">
        <v>0</v>
      </c>
      <c r="AE341" s="54">
        <v>0</v>
      </c>
      <c r="AF341" s="315">
        <f t="shared" si="31"/>
        <v>0</v>
      </c>
    </row>
    <row r="342" spans="1:32" ht="405" x14ac:dyDescent="0.25">
      <c r="A342" s="86" t="s">
        <v>588</v>
      </c>
      <c r="B342" s="107" t="s">
        <v>2270</v>
      </c>
      <c r="C342" s="52"/>
      <c r="D342" s="52" t="s">
        <v>2293</v>
      </c>
      <c r="E342" s="22" t="str">
        <f t="shared" si="29"/>
        <v>SEJUSPPROG</v>
      </c>
      <c r="F342" s="52" t="s">
        <v>705</v>
      </c>
      <c r="G342" s="22" t="str">
        <f t="shared" si="30"/>
        <v>P134SEJUSP</v>
      </c>
      <c r="H342" s="52" t="s">
        <v>1371</v>
      </c>
      <c r="I342" s="22" t="s">
        <v>16</v>
      </c>
      <c r="J342" s="52" t="s">
        <v>2129</v>
      </c>
      <c r="K342" s="22" t="str">
        <f>VLOOKUP(CONCATENATE(A342,LEFT(J342,4)),AGRUPAMENTO!$D$2:$E$6783,2,FALSE)</f>
        <v>Auxílios diversos (transp alim funeral e etc)</v>
      </c>
      <c r="L342" s="52" t="s">
        <v>44</v>
      </c>
      <c r="M342" s="52" t="str">
        <f t="shared" si="27"/>
        <v>FONTESEJUSP</v>
      </c>
      <c r="N342" s="52">
        <v>10</v>
      </c>
      <c r="O342" s="52" t="s">
        <v>2612</v>
      </c>
      <c r="P342" s="52" t="s">
        <v>58</v>
      </c>
      <c r="Q342" s="52" t="s">
        <v>3872</v>
      </c>
      <c r="R342" s="52">
        <v>1600</v>
      </c>
      <c r="S342" s="145" t="s">
        <v>3874</v>
      </c>
      <c r="T342" s="88">
        <v>2666.32</v>
      </c>
      <c r="U342" s="53">
        <v>1</v>
      </c>
      <c r="V342" s="58">
        <f t="shared" si="28"/>
        <v>4266112</v>
      </c>
      <c r="W342" s="52" t="s">
        <v>49</v>
      </c>
      <c r="X342" s="145" t="s">
        <v>4563</v>
      </c>
      <c r="Y342" s="145" t="s">
        <v>4564</v>
      </c>
      <c r="Z342" s="145" t="s">
        <v>4565</v>
      </c>
      <c r="AA342" s="52">
        <v>0</v>
      </c>
      <c r="AB342" s="52">
        <v>0</v>
      </c>
      <c r="AC342" s="52">
        <v>0</v>
      </c>
      <c r="AD342" s="21">
        <v>0</v>
      </c>
      <c r="AE342" s="54">
        <v>0</v>
      </c>
      <c r="AF342" s="315">
        <f t="shared" si="31"/>
        <v>0</v>
      </c>
    </row>
    <row r="343" spans="1:32" ht="330" x14ac:dyDescent="0.25">
      <c r="A343" s="105" t="s">
        <v>588</v>
      </c>
      <c r="B343" s="107" t="s">
        <v>2271</v>
      </c>
      <c r="C343" s="52"/>
      <c r="D343" s="106" t="s">
        <v>2289</v>
      </c>
      <c r="E343" s="22" t="str">
        <f t="shared" si="29"/>
        <v>SEJUSPPROG</v>
      </c>
      <c r="F343" s="123" t="s">
        <v>886</v>
      </c>
      <c r="G343" s="22" t="str">
        <f t="shared" si="30"/>
        <v>P146SEJUSP</v>
      </c>
      <c r="H343" s="106" t="s">
        <v>1424</v>
      </c>
      <c r="I343" s="22" t="s">
        <v>16</v>
      </c>
      <c r="J343" s="106" t="s">
        <v>1677</v>
      </c>
      <c r="K343" s="22" t="str">
        <f>VLOOKUP(CONCATENATE(A343,LEFT(J343,4)),AGRUPAMENTO!$D$2:$E$6783,2,FALSE)</f>
        <v>Aquisições de itens de TIC</v>
      </c>
      <c r="L343" s="106" t="s">
        <v>94</v>
      </c>
      <c r="M343" s="52" t="str">
        <f t="shared" si="27"/>
        <v>FONTESEJUSP</v>
      </c>
      <c r="N343" s="52">
        <v>10</v>
      </c>
      <c r="O343" s="106" t="s">
        <v>2613</v>
      </c>
      <c r="P343" s="106" t="s">
        <v>58</v>
      </c>
      <c r="Q343" s="106" t="s">
        <v>3812</v>
      </c>
      <c r="R343" s="106">
        <v>1</v>
      </c>
      <c r="S343" s="106" t="s">
        <v>3813</v>
      </c>
      <c r="T343" s="190">
        <v>1350000</v>
      </c>
      <c r="U343" s="191">
        <v>1</v>
      </c>
      <c r="V343" s="58">
        <f t="shared" si="28"/>
        <v>1350000</v>
      </c>
      <c r="W343" s="106" t="s">
        <v>68</v>
      </c>
      <c r="X343" s="106" t="s">
        <v>4458</v>
      </c>
      <c r="Y343" s="271" t="s">
        <v>4459</v>
      </c>
      <c r="Z343" s="271" t="s">
        <v>4460</v>
      </c>
      <c r="AA343" s="106">
        <v>1</v>
      </c>
      <c r="AB343" s="106">
        <v>1</v>
      </c>
      <c r="AC343" s="107">
        <v>3</v>
      </c>
      <c r="AD343" s="21">
        <v>0</v>
      </c>
      <c r="AE343" s="54">
        <v>0</v>
      </c>
      <c r="AF343" s="315">
        <f t="shared" si="31"/>
        <v>0</v>
      </c>
    </row>
    <row r="344" spans="1:32" ht="236.25" x14ac:dyDescent="0.25">
      <c r="A344" s="86" t="s">
        <v>588</v>
      </c>
      <c r="B344" s="107" t="s">
        <v>2270</v>
      </c>
      <c r="C344" s="52"/>
      <c r="D344" s="52" t="s">
        <v>2293</v>
      </c>
      <c r="E344" s="22" t="str">
        <f t="shared" si="29"/>
        <v>SEJUSPPROG</v>
      </c>
      <c r="F344" s="52" t="s">
        <v>705</v>
      </c>
      <c r="G344" s="22" t="str">
        <f t="shared" si="30"/>
        <v>P134SEJUSP</v>
      </c>
      <c r="H344" s="52" t="s">
        <v>1371</v>
      </c>
      <c r="I344" s="22" t="s">
        <v>16</v>
      </c>
      <c r="J344" s="52" t="s">
        <v>2149</v>
      </c>
      <c r="K344" s="22" t="str">
        <f>VLOOKUP(CONCATENATE(A344,LEFT(J344,4)),AGRUPAMENTO!$D$2:$E$6783,2,FALSE)</f>
        <v>Diárias e viagens</v>
      </c>
      <c r="L344" s="52" t="s">
        <v>44</v>
      </c>
      <c r="M344" s="52" t="str">
        <f t="shared" si="27"/>
        <v>FONTESEJUSP</v>
      </c>
      <c r="N344" s="52">
        <v>10</v>
      </c>
      <c r="O344" s="146" t="s">
        <v>2614</v>
      </c>
      <c r="P344" s="52" t="s">
        <v>46</v>
      </c>
      <c r="Q344" s="145" t="s">
        <v>3875</v>
      </c>
      <c r="R344" s="52">
        <v>60</v>
      </c>
      <c r="S344" s="52" t="s">
        <v>3862</v>
      </c>
      <c r="T344" s="88">
        <v>1000</v>
      </c>
      <c r="U344" s="53">
        <v>1</v>
      </c>
      <c r="V344" s="58">
        <f t="shared" si="28"/>
        <v>60000</v>
      </c>
      <c r="W344" s="52" t="s">
        <v>49</v>
      </c>
      <c r="X344" s="145" t="s">
        <v>4520</v>
      </c>
      <c r="Y344" s="145" t="s">
        <v>4566</v>
      </c>
      <c r="Z344" s="196" t="s">
        <v>4522</v>
      </c>
      <c r="AA344" s="52">
        <v>0</v>
      </c>
      <c r="AB344" s="52">
        <v>0</v>
      </c>
      <c r="AC344" s="52">
        <v>0</v>
      </c>
      <c r="AD344" s="21">
        <v>0.86749884668513244</v>
      </c>
      <c r="AE344" s="54">
        <v>0.86749884668513244</v>
      </c>
      <c r="AF344" s="315">
        <f t="shared" si="31"/>
        <v>52049.930801107948</v>
      </c>
    </row>
    <row r="345" spans="1:32" ht="202.5" x14ac:dyDescent="0.25">
      <c r="A345" s="86" t="s">
        <v>588</v>
      </c>
      <c r="B345" s="107" t="s">
        <v>2270</v>
      </c>
      <c r="C345" s="52"/>
      <c r="D345" s="52" t="s">
        <v>2293</v>
      </c>
      <c r="E345" s="22" t="str">
        <f t="shared" si="29"/>
        <v>SEJUSPPROG</v>
      </c>
      <c r="F345" s="52" t="s">
        <v>705</v>
      </c>
      <c r="G345" s="22" t="str">
        <f t="shared" si="30"/>
        <v>P134SEJUSP</v>
      </c>
      <c r="H345" s="52" t="s">
        <v>1371</v>
      </c>
      <c r="I345" s="22" t="s">
        <v>16</v>
      </c>
      <c r="J345" s="52" t="s">
        <v>2197</v>
      </c>
      <c r="K345" s="22" t="str">
        <f>VLOOKUP(CONCATENATE(A345,LEFT(J345,4)),AGRUPAMENTO!$D$2:$E$6783,2,FALSE)</f>
        <v>Concurso público</v>
      </c>
      <c r="L345" s="52" t="s">
        <v>44</v>
      </c>
      <c r="M345" s="52" t="str">
        <f t="shared" si="27"/>
        <v>FONTESEJUSP</v>
      </c>
      <c r="N345" s="52">
        <v>10</v>
      </c>
      <c r="O345" s="52" t="s">
        <v>2615</v>
      </c>
      <c r="P345" s="52" t="s">
        <v>58</v>
      </c>
      <c r="Q345" s="52" t="s">
        <v>3872</v>
      </c>
      <c r="R345" s="52">
        <v>1600</v>
      </c>
      <c r="S345" s="145" t="s">
        <v>3876</v>
      </c>
      <c r="T345" s="88">
        <v>6843.96</v>
      </c>
      <c r="U345" s="53">
        <v>1</v>
      </c>
      <c r="V345" s="58">
        <f t="shared" si="28"/>
        <v>10950336</v>
      </c>
      <c r="W345" s="52" t="s">
        <v>49</v>
      </c>
      <c r="X345" s="145" t="s">
        <v>4567</v>
      </c>
      <c r="Y345" s="145" t="s">
        <v>4568</v>
      </c>
      <c r="Z345" s="145" t="s">
        <v>4569</v>
      </c>
      <c r="AA345" s="52">
        <v>0</v>
      </c>
      <c r="AB345" s="52">
        <v>0</v>
      </c>
      <c r="AC345" s="52">
        <v>0</v>
      </c>
      <c r="AD345" s="21">
        <v>0</v>
      </c>
      <c r="AE345" s="54">
        <v>0</v>
      </c>
      <c r="AF345" s="315">
        <f t="shared" si="31"/>
        <v>0</v>
      </c>
    </row>
    <row r="346" spans="1:32" ht="239.25" x14ac:dyDescent="0.25">
      <c r="A346" s="86" t="s">
        <v>588</v>
      </c>
      <c r="B346" s="107" t="s">
        <v>2270</v>
      </c>
      <c r="C346" s="52"/>
      <c r="D346" s="52" t="s">
        <v>2293</v>
      </c>
      <c r="E346" s="22" t="str">
        <f t="shared" si="29"/>
        <v>SEJUSPPROG</v>
      </c>
      <c r="F346" s="52" t="s">
        <v>705</v>
      </c>
      <c r="G346" s="22" t="str">
        <f t="shared" si="30"/>
        <v>P134SEJUSP</v>
      </c>
      <c r="H346" s="52" t="s">
        <v>1371</v>
      </c>
      <c r="I346" s="22" t="s">
        <v>16</v>
      </c>
      <c r="J346" s="52" t="s">
        <v>2197</v>
      </c>
      <c r="K346" s="22" t="str">
        <f>VLOOKUP(CONCATENATE(A346,LEFT(J346,4)),AGRUPAMENTO!$D$2:$E$6783,2,FALSE)</f>
        <v>Concurso público</v>
      </c>
      <c r="L346" s="52" t="s">
        <v>44</v>
      </c>
      <c r="M346" s="52" t="str">
        <f t="shared" si="27"/>
        <v>FONTESEJUSP</v>
      </c>
      <c r="N346" s="52">
        <v>10</v>
      </c>
      <c r="O346" s="52" t="s">
        <v>2616</v>
      </c>
      <c r="P346" s="52" t="s">
        <v>58</v>
      </c>
      <c r="Q346" s="52" t="s">
        <v>3812</v>
      </c>
      <c r="R346" s="52">
        <v>211</v>
      </c>
      <c r="S346" s="199" t="s">
        <v>3877</v>
      </c>
      <c r="T346" s="88">
        <v>10824.51</v>
      </c>
      <c r="U346" s="53">
        <v>1</v>
      </c>
      <c r="V346" s="58">
        <f t="shared" si="28"/>
        <v>2283971.61</v>
      </c>
      <c r="W346" s="52" t="s">
        <v>49</v>
      </c>
      <c r="X346" s="145" t="s">
        <v>4570</v>
      </c>
      <c r="Y346" s="145" t="s">
        <v>4571</v>
      </c>
      <c r="Z346" s="145" t="s">
        <v>4572</v>
      </c>
      <c r="AA346" s="52">
        <v>0</v>
      </c>
      <c r="AB346" s="52">
        <v>0</v>
      </c>
      <c r="AC346" s="52">
        <v>0</v>
      </c>
      <c r="AD346" s="21">
        <v>1</v>
      </c>
      <c r="AE346" s="54">
        <v>1</v>
      </c>
      <c r="AF346" s="315">
        <f t="shared" si="31"/>
        <v>2283971.61</v>
      </c>
    </row>
    <row r="347" spans="1:32" ht="330" x14ac:dyDescent="0.25">
      <c r="A347" s="105" t="s">
        <v>588</v>
      </c>
      <c r="B347" s="107" t="s">
        <v>2271</v>
      </c>
      <c r="C347" s="52"/>
      <c r="D347" s="107" t="s">
        <v>2289</v>
      </c>
      <c r="E347" s="22" t="str">
        <f t="shared" si="29"/>
        <v>SEJUSPPROG</v>
      </c>
      <c r="F347" s="123" t="s">
        <v>886</v>
      </c>
      <c r="G347" s="22" t="str">
        <f t="shared" si="30"/>
        <v>P146SEJUSP</v>
      </c>
      <c r="H347" s="106" t="s">
        <v>1424</v>
      </c>
      <c r="I347" s="22" t="s">
        <v>16</v>
      </c>
      <c r="J347" s="106" t="s">
        <v>1677</v>
      </c>
      <c r="K347" s="22" t="str">
        <f>VLOOKUP(CONCATENATE(A347,LEFT(J347,4)),AGRUPAMENTO!$D$2:$E$6783,2,FALSE)</f>
        <v>Aquisições de itens de TIC</v>
      </c>
      <c r="L347" s="106" t="s">
        <v>94</v>
      </c>
      <c r="M347" s="52" t="str">
        <f t="shared" si="27"/>
        <v>FONTESEJUSP</v>
      </c>
      <c r="N347" s="52">
        <v>10</v>
      </c>
      <c r="O347" s="106" t="s">
        <v>2617</v>
      </c>
      <c r="P347" s="106" t="s">
        <v>58</v>
      </c>
      <c r="Q347" s="106" t="s">
        <v>3812</v>
      </c>
      <c r="R347" s="106">
        <v>1</v>
      </c>
      <c r="S347" s="106" t="s">
        <v>3813</v>
      </c>
      <c r="T347" s="190">
        <v>2000000</v>
      </c>
      <c r="U347" s="191">
        <v>1</v>
      </c>
      <c r="V347" s="58">
        <f t="shared" si="28"/>
        <v>2000000</v>
      </c>
      <c r="W347" s="106" t="s">
        <v>68</v>
      </c>
      <c r="X347" s="106" t="s">
        <v>4458</v>
      </c>
      <c r="Y347" s="271" t="s">
        <v>4459</v>
      </c>
      <c r="Z347" s="271" t="s">
        <v>4460</v>
      </c>
      <c r="AA347" s="106">
        <v>1</v>
      </c>
      <c r="AB347" s="106">
        <v>1</v>
      </c>
      <c r="AC347" s="107">
        <v>3</v>
      </c>
      <c r="AD347" s="21">
        <v>0</v>
      </c>
      <c r="AE347" s="54">
        <v>0</v>
      </c>
      <c r="AF347" s="315">
        <f t="shared" si="31"/>
        <v>0</v>
      </c>
    </row>
    <row r="348" spans="1:32" ht="330" x14ac:dyDescent="0.25">
      <c r="A348" s="105" t="s">
        <v>588</v>
      </c>
      <c r="B348" s="107" t="s">
        <v>2271</v>
      </c>
      <c r="C348" s="52"/>
      <c r="D348" s="107" t="s">
        <v>2289</v>
      </c>
      <c r="E348" s="22" t="str">
        <f t="shared" si="29"/>
        <v>SEJUSPPROG</v>
      </c>
      <c r="F348" s="123" t="s">
        <v>886</v>
      </c>
      <c r="G348" s="22" t="str">
        <f t="shared" si="30"/>
        <v>P146SEJUSP</v>
      </c>
      <c r="H348" s="106" t="s">
        <v>1424</v>
      </c>
      <c r="I348" s="22" t="s">
        <v>16</v>
      </c>
      <c r="J348" s="106" t="s">
        <v>1677</v>
      </c>
      <c r="K348" s="22" t="str">
        <f>VLOOKUP(CONCATENATE(A348,LEFT(J348,4)),AGRUPAMENTO!$D$2:$E$6783,2,FALSE)</f>
        <v>Aquisições de itens de TIC</v>
      </c>
      <c r="L348" s="106" t="s">
        <v>94</v>
      </c>
      <c r="M348" s="52" t="str">
        <f t="shared" si="27"/>
        <v>FONTESEJUSP</v>
      </c>
      <c r="N348" s="52">
        <v>10</v>
      </c>
      <c r="O348" s="106" t="s">
        <v>2618</v>
      </c>
      <c r="P348" s="106" t="s">
        <v>58</v>
      </c>
      <c r="Q348" s="106" t="s">
        <v>3812</v>
      </c>
      <c r="R348" s="106">
        <v>1</v>
      </c>
      <c r="S348" s="106" t="s">
        <v>3813</v>
      </c>
      <c r="T348" s="190">
        <v>1150000</v>
      </c>
      <c r="U348" s="191">
        <v>1</v>
      </c>
      <c r="V348" s="58">
        <f t="shared" si="28"/>
        <v>1150000</v>
      </c>
      <c r="W348" s="106" t="s">
        <v>68</v>
      </c>
      <c r="X348" s="106" t="s">
        <v>4458</v>
      </c>
      <c r="Y348" s="271" t="s">
        <v>4459</v>
      </c>
      <c r="Z348" s="271" t="s">
        <v>4460</v>
      </c>
      <c r="AA348" s="106">
        <v>1</v>
      </c>
      <c r="AB348" s="106">
        <v>1</v>
      </c>
      <c r="AC348" s="107">
        <v>3</v>
      </c>
      <c r="AD348" s="21">
        <v>0</v>
      </c>
      <c r="AE348" s="54">
        <v>0</v>
      </c>
      <c r="AF348" s="315">
        <f t="shared" si="31"/>
        <v>0</v>
      </c>
    </row>
    <row r="349" spans="1:32" ht="330" x14ac:dyDescent="0.25">
      <c r="A349" s="105" t="s">
        <v>588</v>
      </c>
      <c r="B349" s="107" t="s">
        <v>2271</v>
      </c>
      <c r="C349" s="52"/>
      <c r="D349" s="107" t="s">
        <v>2289</v>
      </c>
      <c r="E349" s="22" t="str">
        <f t="shared" si="29"/>
        <v>SEJUSPPROG</v>
      </c>
      <c r="F349" s="123" t="s">
        <v>886</v>
      </c>
      <c r="G349" s="22" t="str">
        <f t="shared" si="30"/>
        <v>P146SEJUSP</v>
      </c>
      <c r="H349" s="106" t="s">
        <v>1424</v>
      </c>
      <c r="I349" s="22" t="s">
        <v>16</v>
      </c>
      <c r="J349" s="106" t="s">
        <v>1677</v>
      </c>
      <c r="K349" s="22" t="str">
        <f>VLOOKUP(CONCATENATE(A349,LEFT(J349,4)),AGRUPAMENTO!$D$2:$E$6783,2,FALSE)</f>
        <v>Aquisições de itens de TIC</v>
      </c>
      <c r="L349" s="106" t="s">
        <v>94</v>
      </c>
      <c r="M349" s="52" t="str">
        <f t="shared" si="27"/>
        <v>FONTESEJUSP</v>
      </c>
      <c r="N349" s="52">
        <v>10</v>
      </c>
      <c r="O349" s="106" t="s">
        <v>2619</v>
      </c>
      <c r="P349" s="106" t="s">
        <v>58</v>
      </c>
      <c r="Q349" s="106" t="s">
        <v>3812</v>
      </c>
      <c r="R349" s="106">
        <v>1</v>
      </c>
      <c r="S349" s="106" t="s">
        <v>3813</v>
      </c>
      <c r="T349" s="190">
        <v>800000</v>
      </c>
      <c r="U349" s="191">
        <v>1</v>
      </c>
      <c r="V349" s="58">
        <f t="shared" si="28"/>
        <v>800000</v>
      </c>
      <c r="W349" s="106" t="s">
        <v>68</v>
      </c>
      <c r="X349" s="106" t="s">
        <v>4458</v>
      </c>
      <c r="Y349" s="271" t="s">
        <v>4459</v>
      </c>
      <c r="Z349" s="271" t="s">
        <v>4460</v>
      </c>
      <c r="AA349" s="106">
        <v>1</v>
      </c>
      <c r="AB349" s="106">
        <v>1</v>
      </c>
      <c r="AC349" s="107">
        <v>3</v>
      </c>
      <c r="AD349" s="21">
        <v>0</v>
      </c>
      <c r="AE349" s="54">
        <v>0</v>
      </c>
      <c r="AF349" s="315">
        <f t="shared" si="31"/>
        <v>0</v>
      </c>
    </row>
    <row r="350" spans="1:32" ht="330" x14ac:dyDescent="0.25">
      <c r="A350" s="105" t="s">
        <v>588</v>
      </c>
      <c r="B350" s="107" t="s">
        <v>2271</v>
      </c>
      <c r="C350" s="52"/>
      <c r="D350" s="107" t="s">
        <v>2289</v>
      </c>
      <c r="E350" s="22" t="str">
        <f t="shared" si="29"/>
        <v>SEJUSPPROG</v>
      </c>
      <c r="F350" s="123" t="s">
        <v>886</v>
      </c>
      <c r="G350" s="22" t="str">
        <f t="shared" si="30"/>
        <v>P146SEJUSP</v>
      </c>
      <c r="H350" s="106" t="s">
        <v>1424</v>
      </c>
      <c r="I350" s="22" t="s">
        <v>16</v>
      </c>
      <c r="J350" s="106" t="s">
        <v>1677</v>
      </c>
      <c r="K350" s="22" t="str">
        <f>VLOOKUP(CONCATENATE(A350,LEFT(J350,4)),AGRUPAMENTO!$D$2:$E$6783,2,FALSE)</f>
        <v>Aquisições de itens de TIC</v>
      </c>
      <c r="L350" s="106" t="s">
        <v>94</v>
      </c>
      <c r="M350" s="52" t="str">
        <f t="shared" si="27"/>
        <v>FONTESEJUSP</v>
      </c>
      <c r="N350" s="52">
        <v>10</v>
      </c>
      <c r="O350" s="106" t="s">
        <v>2620</v>
      </c>
      <c r="P350" s="106" t="s">
        <v>58</v>
      </c>
      <c r="Q350" s="106" t="s">
        <v>3812</v>
      </c>
      <c r="R350" s="106">
        <v>1</v>
      </c>
      <c r="S350" s="106" t="s">
        <v>3813</v>
      </c>
      <c r="T350" s="190">
        <v>800000</v>
      </c>
      <c r="U350" s="191">
        <v>1</v>
      </c>
      <c r="V350" s="58">
        <f t="shared" si="28"/>
        <v>800000</v>
      </c>
      <c r="W350" s="106" t="s">
        <v>68</v>
      </c>
      <c r="X350" s="106" t="s">
        <v>4458</v>
      </c>
      <c r="Y350" s="271" t="s">
        <v>4459</v>
      </c>
      <c r="Z350" s="271" t="s">
        <v>4460</v>
      </c>
      <c r="AA350" s="106">
        <v>1</v>
      </c>
      <c r="AB350" s="106">
        <v>1</v>
      </c>
      <c r="AC350" s="107">
        <v>3</v>
      </c>
      <c r="AD350" s="21">
        <v>0</v>
      </c>
      <c r="AE350" s="54">
        <v>0</v>
      </c>
      <c r="AF350" s="315">
        <f t="shared" si="31"/>
        <v>0</v>
      </c>
    </row>
    <row r="351" spans="1:32" ht="255" x14ac:dyDescent="0.25">
      <c r="A351" s="86" t="s">
        <v>588</v>
      </c>
      <c r="B351" s="108" t="s">
        <v>2268</v>
      </c>
      <c r="C351" s="52"/>
      <c r="D351" s="108" t="s">
        <v>2274</v>
      </c>
      <c r="E351" s="22" t="str">
        <f t="shared" si="29"/>
        <v>SEJUSPPROG</v>
      </c>
      <c r="F351" s="124" t="s">
        <v>681</v>
      </c>
      <c r="G351" s="22" t="str">
        <f t="shared" si="30"/>
        <v>P129SEJUSP</v>
      </c>
      <c r="H351" s="52" t="s">
        <v>1015</v>
      </c>
      <c r="I351" s="22" t="s">
        <v>16</v>
      </c>
      <c r="J351" s="52" t="s">
        <v>2245</v>
      </c>
      <c r="K351" s="22" t="str">
        <f>VLOOKUP(CONCATENATE(A351,LEFT(J351,4)),AGRUPAMENTO!$D$2:$E$6783,2,FALSE)</f>
        <v>Termos de parceria e contratos de gestão</v>
      </c>
      <c r="L351" s="52" t="s">
        <v>44</v>
      </c>
      <c r="M351" s="52" t="str">
        <f t="shared" si="27"/>
        <v>FONTESEJUSP</v>
      </c>
      <c r="N351" s="52">
        <v>60</v>
      </c>
      <c r="O351" s="52" t="s">
        <v>2309</v>
      </c>
      <c r="P351" s="52" t="s">
        <v>58</v>
      </c>
      <c r="Q351" s="52" t="s">
        <v>3878</v>
      </c>
      <c r="R351" s="52">
        <v>1</v>
      </c>
      <c r="S351" s="52" t="s">
        <v>3879</v>
      </c>
      <c r="T351" s="88">
        <v>302065.31641842751</v>
      </c>
      <c r="U351" s="53">
        <v>3</v>
      </c>
      <c r="V351" s="58">
        <f t="shared" si="28"/>
        <v>906195.94925528252</v>
      </c>
      <c r="W351" s="52" t="s">
        <v>68</v>
      </c>
      <c r="X351" s="52" t="s">
        <v>4573</v>
      </c>
      <c r="Y351" s="52" t="s">
        <v>4574</v>
      </c>
      <c r="Z351" s="52" t="s">
        <v>4575</v>
      </c>
      <c r="AA351" s="52">
        <v>1</v>
      </c>
      <c r="AB351" s="52">
        <v>1</v>
      </c>
      <c r="AC351" s="108">
        <v>4</v>
      </c>
      <c r="AD351" s="21">
        <v>0</v>
      </c>
      <c r="AE351" s="54">
        <v>0</v>
      </c>
      <c r="AF351" s="315">
        <f t="shared" si="31"/>
        <v>0</v>
      </c>
    </row>
    <row r="352" spans="1:32" ht="409.5" x14ac:dyDescent="0.25">
      <c r="A352" s="105" t="s">
        <v>588</v>
      </c>
      <c r="B352" s="107" t="s">
        <v>2273</v>
      </c>
      <c r="C352" s="52"/>
      <c r="D352" s="107" t="s">
        <v>2294</v>
      </c>
      <c r="E352" s="22" t="str">
        <f t="shared" si="29"/>
        <v>SEJUSPPROG</v>
      </c>
      <c r="F352" s="52" t="s">
        <v>699</v>
      </c>
      <c r="G352" s="22" t="str">
        <f t="shared" si="30"/>
        <v>P141SEJUSP</v>
      </c>
      <c r="H352" s="52" t="s">
        <v>1403</v>
      </c>
      <c r="I352" s="22" t="s">
        <v>16</v>
      </c>
      <c r="J352" s="52" t="s">
        <v>490</v>
      </c>
      <c r="K352" s="22" t="str">
        <f>VLOOKUP(CONCATENATE(A352,LEFT(J352,4)),AGRUPAMENTO!$D$2:$E$6783,2,FALSE)</f>
        <v>Material de consumo</v>
      </c>
      <c r="L352" s="52" t="s">
        <v>44</v>
      </c>
      <c r="M352" s="52" t="str">
        <f t="shared" si="27"/>
        <v>FONTESEJUSP</v>
      </c>
      <c r="N352" s="52">
        <v>10</v>
      </c>
      <c r="O352" s="52" t="s">
        <v>2621</v>
      </c>
      <c r="P352" s="52" t="s">
        <v>58</v>
      </c>
      <c r="Q352" s="52" t="s">
        <v>3880</v>
      </c>
      <c r="R352" s="52">
        <v>120</v>
      </c>
      <c r="S352" s="52" t="s">
        <v>3881</v>
      </c>
      <c r="T352" s="88">
        <v>85</v>
      </c>
      <c r="U352" s="53">
        <v>1</v>
      </c>
      <c r="V352" s="58">
        <f t="shared" si="28"/>
        <v>10200</v>
      </c>
      <c r="W352" s="278" t="s">
        <v>68</v>
      </c>
      <c r="X352" s="278" t="s">
        <v>4576</v>
      </c>
      <c r="Y352" s="279" t="s">
        <v>4577</v>
      </c>
      <c r="Z352" s="278" t="s">
        <v>4578</v>
      </c>
      <c r="AA352" s="278">
        <v>1</v>
      </c>
      <c r="AB352" s="278">
        <v>3</v>
      </c>
      <c r="AC352" s="280">
        <v>4</v>
      </c>
      <c r="AD352" s="21">
        <v>0</v>
      </c>
      <c r="AE352" s="54">
        <v>0</v>
      </c>
      <c r="AF352" s="315">
        <f t="shared" si="31"/>
        <v>0</v>
      </c>
    </row>
    <row r="353" spans="1:32" ht="210" x14ac:dyDescent="0.25">
      <c r="A353" s="86" t="s">
        <v>588</v>
      </c>
      <c r="B353" s="107" t="s">
        <v>2269</v>
      </c>
      <c r="C353" s="52"/>
      <c r="D353" s="107" t="s">
        <v>2275</v>
      </c>
      <c r="E353" s="22" t="str">
        <f t="shared" si="29"/>
        <v>SEJUSPPROG</v>
      </c>
      <c r="F353" s="52" t="s">
        <v>729</v>
      </c>
      <c r="G353" s="22" t="str">
        <f t="shared" si="30"/>
        <v>P130SEJUSP</v>
      </c>
      <c r="H353" s="54" t="s">
        <v>1183</v>
      </c>
      <c r="I353" s="22" t="s">
        <v>16</v>
      </c>
      <c r="J353" s="92" t="s">
        <v>1627</v>
      </c>
      <c r="K353" s="22" t="str">
        <f>VLOOKUP(CONCATENATE(A353,LEFT(J353,4)),AGRUPAMENTO!$D$2:$E$6783,2,FALSE)</f>
        <v>Diárias e viagens</v>
      </c>
      <c r="L353" s="92" t="s">
        <v>44</v>
      </c>
      <c r="M353" s="52" t="str">
        <f t="shared" si="27"/>
        <v>FONTESEJUSP</v>
      </c>
      <c r="N353" s="52">
        <v>60</v>
      </c>
      <c r="O353" s="92" t="s">
        <v>2622</v>
      </c>
      <c r="P353" s="92" t="s">
        <v>46</v>
      </c>
      <c r="Q353" s="92" t="s">
        <v>3882</v>
      </c>
      <c r="R353" s="92">
        <v>4</v>
      </c>
      <c r="S353" s="92" t="s">
        <v>3883</v>
      </c>
      <c r="T353" s="200">
        <v>5000</v>
      </c>
      <c r="U353" s="201">
        <v>12</v>
      </c>
      <c r="V353" s="58">
        <f t="shared" si="28"/>
        <v>240000</v>
      </c>
      <c r="W353" s="52" t="s">
        <v>49</v>
      </c>
      <c r="X353" s="92" t="s">
        <v>4579</v>
      </c>
      <c r="Y353" s="92" t="s">
        <v>4580</v>
      </c>
      <c r="Z353" s="92" t="s">
        <v>4581</v>
      </c>
      <c r="AA353" s="52">
        <v>0</v>
      </c>
      <c r="AB353" s="52">
        <v>0</v>
      </c>
      <c r="AC353" s="52">
        <v>0</v>
      </c>
      <c r="AD353" s="21">
        <v>0.86749884668513244</v>
      </c>
      <c r="AE353" s="54">
        <v>0.86749884668513244</v>
      </c>
      <c r="AF353" s="315">
        <f t="shared" si="31"/>
        <v>208199.72320443179</v>
      </c>
    </row>
    <row r="354" spans="1:32" ht="409.5" x14ac:dyDescent="0.25">
      <c r="A354" s="105" t="s">
        <v>588</v>
      </c>
      <c r="B354" s="107" t="s">
        <v>2273</v>
      </c>
      <c r="C354" s="52"/>
      <c r="D354" s="107" t="s">
        <v>2295</v>
      </c>
      <c r="E354" s="22" t="str">
        <f t="shared" si="29"/>
        <v>SEJUSPPROG</v>
      </c>
      <c r="F354" s="52" t="s">
        <v>699</v>
      </c>
      <c r="G354" s="22" t="str">
        <f t="shared" si="30"/>
        <v>P141SEJUSP</v>
      </c>
      <c r="H354" s="52" t="s">
        <v>1393</v>
      </c>
      <c r="I354" s="22" t="s">
        <v>16</v>
      </c>
      <c r="J354" s="52" t="s">
        <v>2245</v>
      </c>
      <c r="K354" s="22" t="str">
        <f>VLOOKUP(CONCATENATE(A354,LEFT(J354,4)),AGRUPAMENTO!$D$2:$E$6783,2,FALSE)</f>
        <v>Termos de parceria e contratos de gestão</v>
      </c>
      <c r="L354" s="52" t="s">
        <v>44</v>
      </c>
      <c r="M354" s="52" t="str">
        <f t="shared" si="27"/>
        <v>FONTESEJUSP</v>
      </c>
      <c r="N354" s="52">
        <v>10</v>
      </c>
      <c r="O354" s="52" t="s">
        <v>2623</v>
      </c>
      <c r="P354" s="52" t="s">
        <v>58</v>
      </c>
      <c r="Q354" s="52">
        <v>1</v>
      </c>
      <c r="R354" s="52">
        <v>1</v>
      </c>
      <c r="S354" s="52" t="s">
        <v>3884</v>
      </c>
      <c r="T354" s="88">
        <v>2473432.2999999998</v>
      </c>
      <c r="U354" s="53">
        <v>1</v>
      </c>
      <c r="V354" s="58">
        <f t="shared" si="28"/>
        <v>2473432.2999999998</v>
      </c>
      <c r="W354" s="278" t="s">
        <v>68</v>
      </c>
      <c r="X354" s="278" t="s">
        <v>4582</v>
      </c>
      <c r="Y354" s="279" t="s">
        <v>4583</v>
      </c>
      <c r="Z354" s="278" t="s">
        <v>4584</v>
      </c>
      <c r="AA354" s="52">
        <v>1</v>
      </c>
      <c r="AB354" s="52">
        <v>1</v>
      </c>
      <c r="AC354" s="108">
        <v>5</v>
      </c>
      <c r="AD354" s="21">
        <v>0</v>
      </c>
      <c r="AE354" s="54">
        <v>0</v>
      </c>
      <c r="AF354" s="315">
        <f t="shared" si="31"/>
        <v>0</v>
      </c>
    </row>
    <row r="355" spans="1:32" ht="409.5" x14ac:dyDescent="0.25">
      <c r="A355" s="105" t="s">
        <v>588</v>
      </c>
      <c r="B355" s="107" t="s">
        <v>2273</v>
      </c>
      <c r="C355" s="52"/>
      <c r="D355" s="107" t="s">
        <v>2295</v>
      </c>
      <c r="E355" s="22" t="str">
        <f t="shared" si="29"/>
        <v>SEJUSPPROG</v>
      </c>
      <c r="F355" s="52" t="s">
        <v>699</v>
      </c>
      <c r="G355" s="22" t="str">
        <f t="shared" si="30"/>
        <v>P141SEJUSP</v>
      </c>
      <c r="H355" s="52" t="s">
        <v>1393</v>
      </c>
      <c r="I355" s="22" t="s">
        <v>16</v>
      </c>
      <c r="J355" s="52" t="s">
        <v>2245</v>
      </c>
      <c r="K355" s="22" t="str">
        <f>VLOOKUP(CONCATENATE(A355,LEFT(J355,4)),AGRUPAMENTO!$D$2:$E$6783,2,FALSE)</f>
        <v>Termos de parceria e contratos de gestão</v>
      </c>
      <c r="L355" s="52" t="s">
        <v>44</v>
      </c>
      <c r="M355" s="52" t="str">
        <f t="shared" si="27"/>
        <v>FONTESEJUSP</v>
      </c>
      <c r="N355" s="52">
        <v>10</v>
      </c>
      <c r="O355" s="52" t="s">
        <v>2624</v>
      </c>
      <c r="P355" s="52" t="s">
        <v>58</v>
      </c>
      <c r="Q355" s="52">
        <v>1</v>
      </c>
      <c r="R355" s="52">
        <v>1</v>
      </c>
      <c r="S355" s="52" t="s">
        <v>3884</v>
      </c>
      <c r="T355" s="88">
        <v>2473432.2999999998</v>
      </c>
      <c r="U355" s="53">
        <v>1</v>
      </c>
      <c r="V355" s="58">
        <f t="shared" si="28"/>
        <v>2473432.2999999998</v>
      </c>
      <c r="W355" s="278" t="s">
        <v>68</v>
      </c>
      <c r="X355" s="278" t="s">
        <v>4582</v>
      </c>
      <c r="Y355" s="279" t="s">
        <v>4583</v>
      </c>
      <c r="Z355" s="278" t="s">
        <v>4584</v>
      </c>
      <c r="AA355" s="52">
        <v>1</v>
      </c>
      <c r="AB355" s="52">
        <v>1</v>
      </c>
      <c r="AC355" s="55">
        <v>5</v>
      </c>
      <c r="AD355" s="21">
        <v>0</v>
      </c>
      <c r="AE355" s="54">
        <v>0</v>
      </c>
      <c r="AF355" s="315">
        <f t="shared" si="31"/>
        <v>0</v>
      </c>
    </row>
    <row r="356" spans="1:32" ht="195" x14ac:dyDescent="0.25">
      <c r="A356" s="86" t="s">
        <v>588</v>
      </c>
      <c r="B356" s="107" t="s">
        <v>2269</v>
      </c>
      <c r="C356" s="52"/>
      <c r="D356" s="107" t="s">
        <v>2275</v>
      </c>
      <c r="E356" s="22" t="str">
        <f t="shared" si="29"/>
        <v>SEJUSPPROG</v>
      </c>
      <c r="F356" s="52" t="s">
        <v>729</v>
      </c>
      <c r="G356" s="22" t="str">
        <f t="shared" si="30"/>
        <v>P130SEJUSP</v>
      </c>
      <c r="H356" s="92" t="s">
        <v>1148</v>
      </c>
      <c r="I356" s="22" t="s">
        <v>16</v>
      </c>
      <c r="J356" s="92" t="s">
        <v>2233</v>
      </c>
      <c r="K356" s="22" t="str">
        <f>VLOOKUP(CONCATENATE(A356,LEFT(J356,4)),AGRUPAMENTO!$D$2:$E$6783,2,FALSE)</f>
        <v>Demais despesas de capital</v>
      </c>
      <c r="L356" s="92" t="s">
        <v>94</v>
      </c>
      <c r="M356" s="52" t="str">
        <f t="shared" si="27"/>
        <v>FONTESEJUSP</v>
      </c>
      <c r="N356" s="92">
        <v>10</v>
      </c>
      <c r="O356" s="92" t="s">
        <v>2625</v>
      </c>
      <c r="P356" s="92" t="s">
        <v>46</v>
      </c>
      <c r="Q356" s="92" t="s">
        <v>3720</v>
      </c>
      <c r="R356" s="92">
        <v>49</v>
      </c>
      <c r="S356" s="92" t="s">
        <v>3720</v>
      </c>
      <c r="T356" s="200">
        <v>440000</v>
      </c>
      <c r="U356" s="201">
        <v>1</v>
      </c>
      <c r="V356" s="58">
        <f t="shared" si="28"/>
        <v>21560000</v>
      </c>
      <c r="W356" s="92" t="s">
        <v>68</v>
      </c>
      <c r="X356" s="54" t="s">
        <v>4585</v>
      </c>
      <c r="Y356" s="92" t="s">
        <v>4586</v>
      </c>
      <c r="Z356" s="92" t="s">
        <v>4587</v>
      </c>
      <c r="AA356" s="92">
        <v>1</v>
      </c>
      <c r="AB356" s="92">
        <v>1</v>
      </c>
      <c r="AC356" s="92">
        <v>6</v>
      </c>
      <c r="AD356" s="21">
        <v>0</v>
      </c>
      <c r="AE356" s="54">
        <v>0</v>
      </c>
      <c r="AF356" s="315">
        <f t="shared" si="31"/>
        <v>0</v>
      </c>
    </row>
    <row r="357" spans="1:32" ht="90" x14ac:dyDescent="0.25">
      <c r="A357" s="104" t="s">
        <v>588</v>
      </c>
      <c r="B357" s="110" t="s">
        <v>2270</v>
      </c>
      <c r="C357" s="52"/>
      <c r="D357" s="110" t="s">
        <v>2276</v>
      </c>
      <c r="E357" s="22" t="str">
        <f t="shared" si="29"/>
        <v>SEJUSPPROG</v>
      </c>
      <c r="F357" s="52" t="s">
        <v>729</v>
      </c>
      <c r="G357" s="22" t="str">
        <f t="shared" si="30"/>
        <v>P130SEJUSP</v>
      </c>
      <c r="H357" s="123" t="s">
        <v>1183</v>
      </c>
      <c r="I357" s="22" t="s">
        <v>16</v>
      </c>
      <c r="J357" s="52" t="s">
        <v>445</v>
      </c>
      <c r="K357" s="22" t="str">
        <f>VLOOKUP(CONCATENATE(A357,LEFT(J357,4)),AGRUPAMENTO!$D$2:$E$6783,2,FALSE)</f>
        <v>Material de consumo</v>
      </c>
      <c r="L357" s="142" t="s">
        <v>44</v>
      </c>
      <c r="M357" s="52" t="str">
        <f t="shared" si="27"/>
        <v>FONTESEJUSP</v>
      </c>
      <c r="N357" s="52">
        <v>60</v>
      </c>
      <c r="O357" s="123" t="s">
        <v>2626</v>
      </c>
      <c r="P357" s="123" t="s">
        <v>46</v>
      </c>
      <c r="Q357" s="123" t="s">
        <v>3885</v>
      </c>
      <c r="R357" s="123">
        <v>4550</v>
      </c>
      <c r="S357" s="123" t="s">
        <v>3886</v>
      </c>
      <c r="T357" s="180">
        <v>206.35</v>
      </c>
      <c r="U357" s="181">
        <v>1</v>
      </c>
      <c r="V357" s="58">
        <f t="shared" si="28"/>
        <v>938892.5</v>
      </c>
      <c r="W357" s="123" t="s">
        <v>68</v>
      </c>
      <c r="X357" s="123" t="s">
        <v>4588</v>
      </c>
      <c r="Y357" s="123" t="s">
        <v>4589</v>
      </c>
      <c r="Z357" s="123" t="s">
        <v>4590</v>
      </c>
      <c r="AA357" s="123">
        <v>2</v>
      </c>
      <c r="AB357" s="123">
        <v>2</v>
      </c>
      <c r="AC357" s="123">
        <v>7</v>
      </c>
      <c r="AD357" s="21">
        <v>0</v>
      </c>
      <c r="AE357" s="54">
        <v>0</v>
      </c>
      <c r="AF357" s="315">
        <f t="shared" si="31"/>
        <v>0</v>
      </c>
    </row>
    <row r="358" spans="1:32" ht="390" x14ac:dyDescent="0.25">
      <c r="A358" s="86" t="s">
        <v>588</v>
      </c>
      <c r="B358" s="107" t="s">
        <v>2269</v>
      </c>
      <c r="C358" s="52"/>
      <c r="D358" s="107" t="s">
        <v>2296</v>
      </c>
      <c r="E358" s="22" t="str">
        <f t="shared" si="29"/>
        <v>SEJUSPPROG</v>
      </c>
      <c r="F358" s="52" t="s">
        <v>729</v>
      </c>
      <c r="G358" s="22" t="str">
        <f t="shared" si="30"/>
        <v>P130SEJUSP</v>
      </c>
      <c r="H358" s="92" t="s">
        <v>1210</v>
      </c>
      <c r="I358" s="22" t="s">
        <v>16</v>
      </c>
      <c r="J358" s="92" t="s">
        <v>512</v>
      </c>
      <c r="K358" s="22" t="str">
        <f>VLOOKUP(CONCATENATE(A358,LEFT(J358,4)),AGRUPAMENTO!$D$2:$E$6783,2,FALSE)</f>
        <v>Serviços de vigilância</v>
      </c>
      <c r="L358" s="92" t="s">
        <v>44</v>
      </c>
      <c r="M358" s="52" t="str">
        <f t="shared" si="27"/>
        <v>FONTESEJUSP</v>
      </c>
      <c r="N358" s="52">
        <v>60</v>
      </c>
      <c r="O358" s="92" t="s">
        <v>2627</v>
      </c>
      <c r="P358" s="92" t="s">
        <v>46</v>
      </c>
      <c r="Q358" s="92" t="s">
        <v>3887</v>
      </c>
      <c r="R358" s="92">
        <v>10412</v>
      </c>
      <c r="S358" s="92" t="s">
        <v>3888</v>
      </c>
      <c r="T358" s="200">
        <v>224.1</v>
      </c>
      <c r="U358" s="201">
        <v>12</v>
      </c>
      <c r="V358" s="58">
        <f t="shared" si="28"/>
        <v>27999950.399999999</v>
      </c>
      <c r="W358" s="52" t="s">
        <v>49</v>
      </c>
      <c r="X358" s="92" t="s">
        <v>4591</v>
      </c>
      <c r="Y358" s="92" t="s">
        <v>4592</v>
      </c>
      <c r="Z358" s="92" t="s">
        <v>4593</v>
      </c>
      <c r="AA358" s="52">
        <v>0</v>
      </c>
      <c r="AB358" s="52">
        <v>0</v>
      </c>
      <c r="AC358" s="52">
        <v>0</v>
      </c>
      <c r="AD358" s="21">
        <v>0.91951400797994931</v>
      </c>
      <c r="AE358" s="54">
        <v>0.91951400797994931</v>
      </c>
      <c r="AF358" s="315">
        <f t="shared" si="31"/>
        <v>25746346.615543783</v>
      </c>
    </row>
    <row r="359" spans="1:32" ht="409.5" x14ac:dyDescent="0.25">
      <c r="A359" s="86" t="s">
        <v>588</v>
      </c>
      <c r="B359" s="107" t="s">
        <v>2269</v>
      </c>
      <c r="C359" s="52"/>
      <c r="D359" s="107" t="s">
        <v>2296</v>
      </c>
      <c r="E359" s="22" t="str">
        <f t="shared" si="29"/>
        <v>SEJUSPPROG</v>
      </c>
      <c r="F359" s="52" t="s">
        <v>729</v>
      </c>
      <c r="G359" s="22" t="str">
        <f t="shared" si="30"/>
        <v>P130SEJUSP</v>
      </c>
      <c r="H359" s="92" t="s">
        <v>1234</v>
      </c>
      <c r="I359" s="22" t="s">
        <v>16</v>
      </c>
      <c r="J359" s="92" t="s">
        <v>1750</v>
      </c>
      <c r="K359" s="22" t="str">
        <f>VLOOKUP(CONCATENATE(A359,LEFT(J359,4)),AGRUPAMENTO!$D$2:$E$6783,2,FALSE)</f>
        <v>SUBVENÇÕES SOCIAIS</v>
      </c>
      <c r="L359" s="92" t="s">
        <v>44</v>
      </c>
      <c r="M359" s="52" t="str">
        <f t="shared" si="27"/>
        <v>FONTESEJUSP</v>
      </c>
      <c r="N359" s="52">
        <v>60</v>
      </c>
      <c r="O359" s="149" t="s">
        <v>2628</v>
      </c>
      <c r="P359" s="92" t="s">
        <v>46</v>
      </c>
      <c r="Q359" s="202" t="s">
        <v>3889</v>
      </c>
      <c r="R359" s="92">
        <v>5827</v>
      </c>
      <c r="S359" s="92" t="s">
        <v>3890</v>
      </c>
      <c r="T359" s="200">
        <v>1694.6003873854704</v>
      </c>
      <c r="U359" s="201">
        <v>12</v>
      </c>
      <c r="V359" s="58">
        <f t="shared" si="28"/>
        <v>118493237.48754165</v>
      </c>
      <c r="W359" s="52" t="s">
        <v>49</v>
      </c>
      <c r="X359" s="92" t="s">
        <v>4594</v>
      </c>
      <c r="Y359" s="92" t="s">
        <v>4595</v>
      </c>
      <c r="Z359" s="92" t="s">
        <v>4596</v>
      </c>
      <c r="AA359" s="52">
        <v>0</v>
      </c>
      <c r="AB359" s="52">
        <v>0</v>
      </c>
      <c r="AC359" s="52">
        <v>0</v>
      </c>
      <c r="AD359" s="21">
        <v>0.97618154946514557</v>
      </c>
      <c r="AE359" s="54">
        <v>0.97618154946514557</v>
      </c>
      <c r="AF359" s="315">
        <f t="shared" si="31"/>
        <v>115670912.17172988</v>
      </c>
    </row>
    <row r="360" spans="1:32" ht="409.5" x14ac:dyDescent="0.25">
      <c r="A360" s="86" t="s">
        <v>588</v>
      </c>
      <c r="B360" s="107" t="s">
        <v>2269</v>
      </c>
      <c r="C360" s="52"/>
      <c r="D360" s="107" t="s">
        <v>2296</v>
      </c>
      <c r="E360" s="22" t="str">
        <f t="shared" si="29"/>
        <v>SEJUSPPROG</v>
      </c>
      <c r="F360" s="52" t="s">
        <v>729</v>
      </c>
      <c r="G360" s="22" t="str">
        <f t="shared" si="30"/>
        <v>P130SEJUSP</v>
      </c>
      <c r="H360" s="92" t="s">
        <v>1234</v>
      </c>
      <c r="I360" s="22" t="s">
        <v>16</v>
      </c>
      <c r="J360" s="92" t="s">
        <v>1750</v>
      </c>
      <c r="K360" s="22" t="str">
        <f>VLOOKUP(CONCATENATE(A360,LEFT(J360,4)),AGRUPAMENTO!$D$2:$E$6783,2,FALSE)</f>
        <v>SUBVENÇÕES SOCIAIS</v>
      </c>
      <c r="L360" s="92" t="s">
        <v>44</v>
      </c>
      <c r="M360" s="52" t="str">
        <f t="shared" si="27"/>
        <v>FONTESEJUSP</v>
      </c>
      <c r="N360" s="52">
        <v>60</v>
      </c>
      <c r="O360" s="92" t="s">
        <v>2629</v>
      </c>
      <c r="P360" s="92" t="s">
        <v>46</v>
      </c>
      <c r="Q360" s="92" t="s">
        <v>3891</v>
      </c>
      <c r="R360" s="92">
        <v>6.2399999999999997E-2</v>
      </c>
      <c r="S360" s="92" t="s">
        <v>3892</v>
      </c>
      <c r="T360" s="200">
        <v>61616483.490000002</v>
      </c>
      <c r="U360" s="201">
        <v>1</v>
      </c>
      <c r="V360" s="58">
        <f t="shared" si="28"/>
        <v>3844868.569776</v>
      </c>
      <c r="W360" s="52" t="s">
        <v>49</v>
      </c>
      <c r="X360" s="92" t="s">
        <v>4597</v>
      </c>
      <c r="Y360" s="92" t="s">
        <v>4595</v>
      </c>
      <c r="Z360" s="92" t="s">
        <v>4596</v>
      </c>
      <c r="AA360" s="52">
        <v>0</v>
      </c>
      <c r="AB360" s="52">
        <v>0</v>
      </c>
      <c r="AC360" s="52">
        <v>0</v>
      </c>
      <c r="AD360" s="21">
        <v>0.97618154946514557</v>
      </c>
      <c r="AE360" s="54">
        <v>0.97618154946514557</v>
      </c>
      <c r="AF360" s="315">
        <f t="shared" si="31"/>
        <v>3753289.757933774</v>
      </c>
    </row>
    <row r="361" spans="1:32" ht="409.5" x14ac:dyDescent="0.25">
      <c r="A361" s="86" t="s">
        <v>588</v>
      </c>
      <c r="B361" s="107" t="s">
        <v>2269</v>
      </c>
      <c r="C361" s="52"/>
      <c r="D361" s="107" t="s">
        <v>2296</v>
      </c>
      <c r="E361" s="22" t="str">
        <f t="shared" si="29"/>
        <v>SEJUSPPROG</v>
      </c>
      <c r="F361" s="52" t="s">
        <v>729</v>
      </c>
      <c r="G361" s="22" t="str">
        <f t="shared" si="30"/>
        <v>P130SEJUSP</v>
      </c>
      <c r="H361" s="92" t="s">
        <v>1234</v>
      </c>
      <c r="I361" s="22" t="s">
        <v>16</v>
      </c>
      <c r="J361" s="92" t="s">
        <v>1750</v>
      </c>
      <c r="K361" s="22" t="str">
        <f>VLOOKUP(CONCATENATE(A361,LEFT(J361,4)),AGRUPAMENTO!$D$2:$E$6783,2,FALSE)</f>
        <v>SUBVENÇÕES SOCIAIS</v>
      </c>
      <c r="L361" s="92" t="s">
        <v>44</v>
      </c>
      <c r="M361" s="52" t="str">
        <f t="shared" si="27"/>
        <v>FONTESEJUSP</v>
      </c>
      <c r="N361" s="52">
        <v>60</v>
      </c>
      <c r="O361" s="92" t="s">
        <v>2630</v>
      </c>
      <c r="P361" s="92" t="s">
        <v>46</v>
      </c>
      <c r="Q361" s="92" t="s">
        <v>3893</v>
      </c>
      <c r="R361" s="92">
        <v>4.7100000000000003E-2</v>
      </c>
      <c r="S361" s="92" t="s">
        <v>3894</v>
      </c>
      <c r="T361" s="200">
        <v>56876754</v>
      </c>
      <c r="U361" s="201">
        <v>1</v>
      </c>
      <c r="V361" s="58">
        <f t="shared" si="28"/>
        <v>2678895.1134000001</v>
      </c>
      <c r="W361" s="52" t="s">
        <v>49</v>
      </c>
      <c r="X361" s="92" t="s">
        <v>4598</v>
      </c>
      <c r="Y361" s="92" t="s">
        <v>4595</v>
      </c>
      <c r="Z361" s="92" t="s">
        <v>4596</v>
      </c>
      <c r="AA361" s="52">
        <v>0</v>
      </c>
      <c r="AB361" s="52">
        <v>0</v>
      </c>
      <c r="AC361" s="52">
        <v>0</v>
      </c>
      <c r="AD361" s="21">
        <v>0.97618154946514557</v>
      </c>
      <c r="AE361" s="54">
        <v>0.97618154946514557</v>
      </c>
      <c r="AF361" s="315">
        <f t="shared" si="31"/>
        <v>2615087.982653419</v>
      </c>
    </row>
    <row r="362" spans="1:32" ht="135" x14ac:dyDescent="0.25">
      <c r="A362" s="105" t="s">
        <v>588</v>
      </c>
      <c r="B362" s="107" t="s">
        <v>2271</v>
      </c>
      <c r="C362" s="52"/>
      <c r="D362" s="107" t="s">
        <v>2289</v>
      </c>
      <c r="E362" s="22" t="str">
        <f t="shared" si="29"/>
        <v>SEJUSPPROG</v>
      </c>
      <c r="F362" s="123" t="s">
        <v>886</v>
      </c>
      <c r="G362" s="22" t="str">
        <f t="shared" si="30"/>
        <v>P146SEJUSP</v>
      </c>
      <c r="H362" s="106" t="s">
        <v>1424</v>
      </c>
      <c r="I362" s="22" t="s">
        <v>16</v>
      </c>
      <c r="J362" s="106" t="s">
        <v>458</v>
      </c>
      <c r="K362" s="22" t="str">
        <f>VLOOKUP(CONCATENATE(A362,LEFT(J362,4)),AGRUPAMENTO!$D$2:$E$6783,2,FALSE)</f>
        <v>Demais despesas de capital</v>
      </c>
      <c r="L362" s="106" t="s">
        <v>94</v>
      </c>
      <c r="M362" s="52" t="str">
        <f t="shared" si="27"/>
        <v>FONTESEJUSP</v>
      </c>
      <c r="N362" s="52">
        <v>10</v>
      </c>
      <c r="O362" s="106" t="s">
        <v>2631</v>
      </c>
      <c r="P362" s="106" t="s">
        <v>58</v>
      </c>
      <c r="Q362" s="106" t="s">
        <v>3812</v>
      </c>
      <c r="R362" s="106">
        <v>1</v>
      </c>
      <c r="S362" s="106" t="s">
        <v>3895</v>
      </c>
      <c r="T362" s="190">
        <v>260000</v>
      </c>
      <c r="U362" s="191">
        <v>1</v>
      </c>
      <c r="V362" s="58">
        <f t="shared" si="28"/>
        <v>260000</v>
      </c>
      <c r="W362" s="106" t="s">
        <v>68</v>
      </c>
      <c r="X362" s="106" t="s">
        <v>4599</v>
      </c>
      <c r="Y362" s="271" t="s">
        <v>4600</v>
      </c>
      <c r="Z362" s="271" t="s">
        <v>4601</v>
      </c>
      <c r="AA362" s="106">
        <v>2</v>
      </c>
      <c r="AB362" s="106">
        <v>2</v>
      </c>
      <c r="AC362" s="106">
        <v>8</v>
      </c>
      <c r="AD362" s="21">
        <v>0</v>
      </c>
      <c r="AE362" s="54">
        <v>0</v>
      </c>
      <c r="AF362" s="315">
        <f t="shared" si="31"/>
        <v>0</v>
      </c>
    </row>
    <row r="363" spans="1:32" ht="135" x14ac:dyDescent="0.25">
      <c r="A363" s="105" t="s">
        <v>588</v>
      </c>
      <c r="B363" s="107" t="s">
        <v>2271</v>
      </c>
      <c r="C363" s="52"/>
      <c r="D363" s="107" t="s">
        <v>2289</v>
      </c>
      <c r="E363" s="22" t="str">
        <f t="shared" si="29"/>
        <v>SEJUSPPROG</v>
      </c>
      <c r="F363" s="123" t="s">
        <v>886</v>
      </c>
      <c r="G363" s="22" t="str">
        <f t="shared" si="30"/>
        <v>P146SEJUSP</v>
      </c>
      <c r="H363" s="106" t="s">
        <v>1424</v>
      </c>
      <c r="I363" s="22" t="s">
        <v>16</v>
      </c>
      <c r="J363" s="106" t="s">
        <v>458</v>
      </c>
      <c r="K363" s="22" t="str">
        <f>VLOOKUP(CONCATENATE(A363,LEFT(J363,4)),AGRUPAMENTO!$D$2:$E$6783,2,FALSE)</f>
        <v>Demais despesas de capital</v>
      </c>
      <c r="L363" s="106" t="s">
        <v>94</v>
      </c>
      <c r="M363" s="52" t="str">
        <f t="shared" si="27"/>
        <v>FONTESEJUSP</v>
      </c>
      <c r="N363" s="52">
        <v>10</v>
      </c>
      <c r="O363" s="106" t="s">
        <v>2632</v>
      </c>
      <c r="P363" s="106" t="s">
        <v>58</v>
      </c>
      <c r="Q363" s="106" t="s">
        <v>3812</v>
      </c>
      <c r="R363" s="106">
        <v>1</v>
      </c>
      <c r="S363" s="106" t="s">
        <v>3895</v>
      </c>
      <c r="T363" s="190">
        <v>260000</v>
      </c>
      <c r="U363" s="191">
        <v>1</v>
      </c>
      <c r="V363" s="58">
        <f t="shared" si="28"/>
        <v>260000</v>
      </c>
      <c r="W363" s="106" t="s">
        <v>68</v>
      </c>
      <c r="X363" s="106" t="s">
        <v>4599</v>
      </c>
      <c r="Y363" s="271" t="s">
        <v>4600</v>
      </c>
      <c r="Z363" s="271" t="s">
        <v>4601</v>
      </c>
      <c r="AA363" s="106">
        <v>2</v>
      </c>
      <c r="AB363" s="106">
        <v>2</v>
      </c>
      <c r="AC363" s="106">
        <v>8</v>
      </c>
      <c r="AD363" s="21">
        <v>0</v>
      </c>
      <c r="AE363" s="54">
        <v>0</v>
      </c>
      <c r="AF363" s="315">
        <f t="shared" si="31"/>
        <v>0</v>
      </c>
    </row>
    <row r="364" spans="1:32" ht="150" x14ac:dyDescent="0.25">
      <c r="A364" s="86" t="s">
        <v>588</v>
      </c>
      <c r="B364" s="107" t="s">
        <v>2269</v>
      </c>
      <c r="C364" s="52"/>
      <c r="D364" s="107" t="s">
        <v>2297</v>
      </c>
      <c r="E364" s="22" t="str">
        <f t="shared" si="29"/>
        <v>SEJUSPPROG</v>
      </c>
      <c r="F364" s="52" t="s">
        <v>729</v>
      </c>
      <c r="G364" s="22" t="str">
        <f t="shared" si="30"/>
        <v>P130SEJUSP</v>
      </c>
      <c r="H364" s="92" t="s">
        <v>1183</v>
      </c>
      <c r="I364" s="22" t="s">
        <v>16</v>
      </c>
      <c r="J364" s="92" t="s">
        <v>1628</v>
      </c>
      <c r="K364" s="22" t="str">
        <f>VLOOKUP(CONCATENATE(A364,LEFT(J364,4)),AGRUPAMENTO!$D$2:$E$6783,2,FALSE)</f>
        <v>Pronto Pagamento</v>
      </c>
      <c r="L364" s="92" t="s">
        <v>44</v>
      </c>
      <c r="M364" s="52" t="str">
        <f t="shared" si="27"/>
        <v>FONTESEJUSP</v>
      </c>
      <c r="N364" s="52">
        <v>60</v>
      </c>
      <c r="O364" s="92" t="s">
        <v>2633</v>
      </c>
      <c r="P364" s="92" t="s">
        <v>46</v>
      </c>
      <c r="Q364" s="92" t="s">
        <v>3896</v>
      </c>
      <c r="R364" s="92">
        <v>1</v>
      </c>
      <c r="S364" s="92" t="s">
        <v>3897</v>
      </c>
      <c r="T364" s="200">
        <v>3000</v>
      </c>
      <c r="U364" s="201">
        <v>12</v>
      </c>
      <c r="V364" s="58">
        <f t="shared" si="28"/>
        <v>36000</v>
      </c>
      <c r="W364" s="52" t="s">
        <v>49</v>
      </c>
      <c r="X364" s="92" t="s">
        <v>4602</v>
      </c>
      <c r="Y364" s="92" t="s">
        <v>4603</v>
      </c>
      <c r="Z364" s="92" t="s">
        <v>4604</v>
      </c>
      <c r="AA364" s="52">
        <v>0</v>
      </c>
      <c r="AB364" s="52">
        <v>0</v>
      </c>
      <c r="AC364" s="52">
        <v>0</v>
      </c>
      <c r="AD364" s="21">
        <v>1</v>
      </c>
      <c r="AE364" s="54">
        <v>1</v>
      </c>
      <c r="AF364" s="315">
        <f t="shared" si="31"/>
        <v>36000</v>
      </c>
    </row>
    <row r="365" spans="1:32" ht="345" x14ac:dyDescent="0.25">
      <c r="A365" s="86" t="s">
        <v>588</v>
      </c>
      <c r="B365" s="107" t="s">
        <v>2269</v>
      </c>
      <c r="C365" s="52"/>
      <c r="D365" s="107" t="s">
        <v>2297</v>
      </c>
      <c r="E365" s="22" t="str">
        <f t="shared" si="29"/>
        <v>SEJUSPPROG</v>
      </c>
      <c r="F365" s="52" t="s">
        <v>729</v>
      </c>
      <c r="G365" s="22" t="str">
        <f t="shared" si="30"/>
        <v>P130SEJUSP</v>
      </c>
      <c r="H365" s="92" t="s">
        <v>1148</v>
      </c>
      <c r="I365" s="22" t="s">
        <v>16</v>
      </c>
      <c r="J365" s="52" t="s">
        <v>313</v>
      </c>
      <c r="K365" s="22" t="str">
        <f>VLOOKUP(CONCATENATE(A365,LEFT(J365,4)),AGRUPAMENTO!$D$2:$E$6783,2,FALSE)</f>
        <v>Aquisições de itens de TIC</v>
      </c>
      <c r="L365" s="52" t="s">
        <v>94</v>
      </c>
      <c r="M365" s="52" t="str">
        <f t="shared" si="27"/>
        <v>FONTESEJUSP</v>
      </c>
      <c r="N365" s="52">
        <v>60</v>
      </c>
      <c r="O365" s="92" t="s">
        <v>2634</v>
      </c>
      <c r="P365" s="92" t="s">
        <v>46</v>
      </c>
      <c r="Q365" s="92" t="s">
        <v>3898</v>
      </c>
      <c r="R365" s="92">
        <v>1</v>
      </c>
      <c r="S365" s="92" t="s">
        <v>3899</v>
      </c>
      <c r="T365" s="200">
        <v>70000</v>
      </c>
      <c r="U365" s="201">
        <v>1</v>
      </c>
      <c r="V365" s="58">
        <f t="shared" si="28"/>
        <v>70000</v>
      </c>
      <c r="W365" s="52" t="s">
        <v>49</v>
      </c>
      <c r="X365" s="92" t="s">
        <v>4605</v>
      </c>
      <c r="Y365" s="92" t="s">
        <v>4606</v>
      </c>
      <c r="Z365" s="92" t="s">
        <v>4607</v>
      </c>
      <c r="AA365" s="52">
        <v>0</v>
      </c>
      <c r="AB365" s="52">
        <v>0</v>
      </c>
      <c r="AC365" s="52">
        <v>0</v>
      </c>
      <c r="AD365" s="21">
        <v>0.23752316495302667</v>
      </c>
      <c r="AE365" s="54">
        <v>0.23752316495302667</v>
      </c>
      <c r="AF365" s="315">
        <f t="shared" si="31"/>
        <v>16626.621546711867</v>
      </c>
    </row>
    <row r="366" spans="1:32" ht="135" x14ac:dyDescent="0.25">
      <c r="A366" s="105" t="s">
        <v>588</v>
      </c>
      <c r="B366" s="107" t="s">
        <v>2271</v>
      </c>
      <c r="C366" s="52"/>
      <c r="D366" s="107" t="s">
        <v>2289</v>
      </c>
      <c r="E366" s="22" t="str">
        <f t="shared" si="29"/>
        <v>SEJUSPPROG</v>
      </c>
      <c r="F366" s="123" t="s">
        <v>886</v>
      </c>
      <c r="G366" s="22" t="str">
        <f t="shared" si="30"/>
        <v>P146SEJUSP</v>
      </c>
      <c r="H366" s="106" t="s">
        <v>1424</v>
      </c>
      <c r="I366" s="22" t="s">
        <v>16</v>
      </c>
      <c r="J366" s="106" t="s">
        <v>458</v>
      </c>
      <c r="K366" s="22" t="str">
        <f>VLOOKUP(CONCATENATE(A366,LEFT(J366,4)),AGRUPAMENTO!$D$2:$E$6783,2,FALSE)</f>
        <v>Demais despesas de capital</v>
      </c>
      <c r="L366" s="106" t="s">
        <v>94</v>
      </c>
      <c r="M366" s="52" t="str">
        <f t="shared" si="27"/>
        <v>FONTESEJUSP</v>
      </c>
      <c r="N366" s="52">
        <v>10</v>
      </c>
      <c r="O366" s="106" t="s">
        <v>2635</v>
      </c>
      <c r="P366" s="106" t="s">
        <v>58</v>
      </c>
      <c r="Q366" s="106" t="s">
        <v>3812</v>
      </c>
      <c r="R366" s="106">
        <v>1</v>
      </c>
      <c r="S366" s="106" t="s">
        <v>3895</v>
      </c>
      <c r="T366" s="190">
        <v>260000</v>
      </c>
      <c r="U366" s="191">
        <v>1</v>
      </c>
      <c r="V366" s="58">
        <f t="shared" si="28"/>
        <v>260000</v>
      </c>
      <c r="W366" s="106" t="s">
        <v>68</v>
      </c>
      <c r="X366" s="106" t="s">
        <v>4599</v>
      </c>
      <c r="Y366" s="271" t="s">
        <v>4600</v>
      </c>
      <c r="Z366" s="271" t="s">
        <v>4601</v>
      </c>
      <c r="AA366" s="106">
        <v>2</v>
      </c>
      <c r="AB366" s="106">
        <v>2</v>
      </c>
      <c r="AC366" s="106">
        <v>8</v>
      </c>
      <c r="AD366" s="21">
        <v>0</v>
      </c>
      <c r="AE366" s="54">
        <v>0</v>
      </c>
      <c r="AF366" s="315">
        <f t="shared" si="31"/>
        <v>0</v>
      </c>
    </row>
    <row r="367" spans="1:32" ht="135" x14ac:dyDescent="0.25">
      <c r="A367" s="105" t="s">
        <v>588</v>
      </c>
      <c r="B367" s="107" t="s">
        <v>2271</v>
      </c>
      <c r="C367" s="52"/>
      <c r="D367" s="107" t="s">
        <v>2289</v>
      </c>
      <c r="E367" s="22" t="str">
        <f t="shared" si="29"/>
        <v>SEJUSPPROG</v>
      </c>
      <c r="F367" s="123" t="s">
        <v>886</v>
      </c>
      <c r="G367" s="22" t="str">
        <f t="shared" si="30"/>
        <v>P146SEJUSP</v>
      </c>
      <c r="H367" s="106" t="s">
        <v>1424</v>
      </c>
      <c r="I367" s="22" t="s">
        <v>16</v>
      </c>
      <c r="J367" s="106" t="s">
        <v>458</v>
      </c>
      <c r="K367" s="22" t="str">
        <f>VLOOKUP(CONCATENATE(A367,LEFT(J367,4)),AGRUPAMENTO!$D$2:$E$6783,2,FALSE)</f>
        <v>Demais despesas de capital</v>
      </c>
      <c r="L367" s="106" t="s">
        <v>94</v>
      </c>
      <c r="M367" s="52" t="str">
        <f t="shared" si="27"/>
        <v>FONTESEJUSP</v>
      </c>
      <c r="N367" s="52">
        <v>10</v>
      </c>
      <c r="O367" s="106" t="s">
        <v>2636</v>
      </c>
      <c r="P367" s="106" t="s">
        <v>58</v>
      </c>
      <c r="Q367" s="106" t="s">
        <v>3812</v>
      </c>
      <c r="R367" s="106">
        <v>1</v>
      </c>
      <c r="S367" s="106" t="s">
        <v>3895</v>
      </c>
      <c r="T367" s="190">
        <v>260000</v>
      </c>
      <c r="U367" s="191">
        <v>1</v>
      </c>
      <c r="V367" s="58">
        <f t="shared" si="28"/>
        <v>260000</v>
      </c>
      <c r="W367" s="106" t="s">
        <v>68</v>
      </c>
      <c r="X367" s="106" t="s">
        <v>4599</v>
      </c>
      <c r="Y367" s="271" t="s">
        <v>4600</v>
      </c>
      <c r="Z367" s="271" t="s">
        <v>4601</v>
      </c>
      <c r="AA367" s="106">
        <v>2</v>
      </c>
      <c r="AB367" s="106">
        <v>2</v>
      </c>
      <c r="AC367" s="106">
        <v>8</v>
      </c>
      <c r="AD367" s="21">
        <v>0</v>
      </c>
      <c r="AE367" s="54">
        <v>0</v>
      </c>
      <c r="AF367" s="315">
        <f t="shared" si="31"/>
        <v>0</v>
      </c>
    </row>
    <row r="368" spans="1:32" ht="75" x14ac:dyDescent="0.25">
      <c r="A368" s="86" t="s">
        <v>588</v>
      </c>
      <c r="B368" s="107" t="s">
        <v>2269</v>
      </c>
      <c r="C368" s="52"/>
      <c r="D368" s="107" t="s">
        <v>2298</v>
      </c>
      <c r="E368" s="22" t="str">
        <f t="shared" si="29"/>
        <v>SEJUSPPROG</v>
      </c>
      <c r="F368" s="52" t="s">
        <v>729</v>
      </c>
      <c r="G368" s="22" t="str">
        <f t="shared" si="30"/>
        <v>P130SEJUSP</v>
      </c>
      <c r="H368" s="92" t="s">
        <v>1183</v>
      </c>
      <c r="I368" s="22" t="s">
        <v>16</v>
      </c>
      <c r="J368" s="92" t="s">
        <v>1628</v>
      </c>
      <c r="K368" s="22" t="str">
        <f>VLOOKUP(CONCATENATE(A368,LEFT(J368,4)),AGRUPAMENTO!$D$2:$E$6783,2,FALSE)</f>
        <v>Pronto Pagamento</v>
      </c>
      <c r="L368" s="92" t="s">
        <v>44</v>
      </c>
      <c r="M368" s="52" t="str">
        <f t="shared" si="27"/>
        <v>FONTESEJUSP</v>
      </c>
      <c r="N368" s="52">
        <v>60</v>
      </c>
      <c r="O368" s="92" t="s">
        <v>2637</v>
      </c>
      <c r="P368" s="92" t="s">
        <v>46</v>
      </c>
      <c r="Q368" s="92" t="s">
        <v>3896</v>
      </c>
      <c r="R368" s="92">
        <v>90</v>
      </c>
      <c r="S368" s="92" t="s">
        <v>3897</v>
      </c>
      <c r="T368" s="200">
        <v>4000</v>
      </c>
      <c r="U368" s="201">
        <v>10</v>
      </c>
      <c r="V368" s="58">
        <f t="shared" si="28"/>
        <v>3600000</v>
      </c>
      <c r="W368" s="52" t="s">
        <v>49</v>
      </c>
      <c r="X368" s="92" t="s">
        <v>4608</v>
      </c>
      <c r="Y368" s="92" t="s">
        <v>4609</v>
      </c>
      <c r="Z368" s="92" t="s">
        <v>4610</v>
      </c>
      <c r="AA368" s="52">
        <v>0</v>
      </c>
      <c r="AB368" s="52">
        <v>0</v>
      </c>
      <c r="AC368" s="52">
        <v>0</v>
      </c>
      <c r="AD368" s="21">
        <v>1</v>
      </c>
      <c r="AE368" s="54">
        <v>1</v>
      </c>
      <c r="AF368" s="315">
        <f t="shared" si="31"/>
        <v>3600000</v>
      </c>
    </row>
    <row r="369" spans="1:32" ht="75" x14ac:dyDescent="0.25">
      <c r="A369" s="86" t="s">
        <v>588</v>
      </c>
      <c r="B369" s="107" t="s">
        <v>2269</v>
      </c>
      <c r="C369" s="52"/>
      <c r="D369" s="107" t="s">
        <v>2298</v>
      </c>
      <c r="E369" s="22" t="str">
        <f t="shared" si="29"/>
        <v>SEJUSPPROG</v>
      </c>
      <c r="F369" s="52" t="s">
        <v>729</v>
      </c>
      <c r="G369" s="22" t="str">
        <f t="shared" si="30"/>
        <v>P130SEJUSP</v>
      </c>
      <c r="H369" s="92" t="s">
        <v>1259</v>
      </c>
      <c r="I369" s="22" t="s">
        <v>16</v>
      </c>
      <c r="J369" s="92" t="s">
        <v>1628</v>
      </c>
      <c r="K369" s="22" t="str">
        <f>VLOOKUP(CONCATENATE(A369,LEFT(J369,4)),AGRUPAMENTO!$D$2:$E$6783,2,FALSE)</f>
        <v>Pronto Pagamento</v>
      </c>
      <c r="L369" s="92" t="s">
        <v>44</v>
      </c>
      <c r="M369" s="52" t="str">
        <f t="shared" si="27"/>
        <v>FONTESEJUSP</v>
      </c>
      <c r="N369" s="52">
        <v>10</v>
      </c>
      <c r="O369" s="92" t="s">
        <v>2637</v>
      </c>
      <c r="P369" s="92" t="s">
        <v>46</v>
      </c>
      <c r="Q369" s="92" t="s">
        <v>3896</v>
      </c>
      <c r="R369" s="92">
        <v>3</v>
      </c>
      <c r="S369" s="92" t="s">
        <v>3897</v>
      </c>
      <c r="T369" s="200">
        <v>4000</v>
      </c>
      <c r="U369" s="201">
        <v>10</v>
      </c>
      <c r="V369" s="58">
        <f t="shared" si="28"/>
        <v>120000</v>
      </c>
      <c r="W369" s="52" t="s">
        <v>49</v>
      </c>
      <c r="X369" s="92" t="s">
        <v>4608</v>
      </c>
      <c r="Y369" s="92" t="s">
        <v>4609</v>
      </c>
      <c r="Z369" s="92" t="s">
        <v>4610</v>
      </c>
      <c r="AA369" s="52">
        <v>0</v>
      </c>
      <c r="AB369" s="52">
        <v>0</v>
      </c>
      <c r="AC369" s="52">
        <v>0</v>
      </c>
      <c r="AD369" s="21">
        <v>1</v>
      </c>
      <c r="AE369" s="54">
        <v>1</v>
      </c>
      <c r="AF369" s="315">
        <f t="shared" si="31"/>
        <v>120000</v>
      </c>
    </row>
    <row r="370" spans="1:32" ht="180" x14ac:dyDescent="0.25">
      <c r="A370" s="86" t="s">
        <v>588</v>
      </c>
      <c r="B370" s="107" t="s">
        <v>2269</v>
      </c>
      <c r="C370" s="52"/>
      <c r="D370" s="107" t="s">
        <v>2299</v>
      </c>
      <c r="E370" s="22" t="str">
        <f t="shared" si="29"/>
        <v>SEJUSPPROG</v>
      </c>
      <c r="F370" s="52" t="s">
        <v>729</v>
      </c>
      <c r="G370" s="22" t="str">
        <f t="shared" si="30"/>
        <v>P130SEJUSP</v>
      </c>
      <c r="H370" s="92" t="s">
        <v>1183</v>
      </c>
      <c r="I370" s="22" t="s">
        <v>16</v>
      </c>
      <c r="J370" s="52" t="s">
        <v>2131</v>
      </c>
      <c r="K370" s="22" t="str">
        <f>VLOOKUP(CONCATENATE(A370,LEFT(J370,4)),AGRUPAMENTO!$D$2:$E$6783,2,FALSE)</f>
        <v>Diárias e viagens</v>
      </c>
      <c r="L370" s="92" t="s">
        <v>44</v>
      </c>
      <c r="M370" s="52" t="str">
        <f t="shared" si="27"/>
        <v>FONTESEJUSP</v>
      </c>
      <c r="N370" s="52">
        <v>60</v>
      </c>
      <c r="O370" s="92" t="s">
        <v>2638</v>
      </c>
      <c r="P370" s="92" t="s">
        <v>46</v>
      </c>
      <c r="Q370" s="92" t="s">
        <v>3900</v>
      </c>
      <c r="R370" s="203">
        <v>1600</v>
      </c>
      <c r="S370" s="92" t="s">
        <v>3901</v>
      </c>
      <c r="T370" s="200">
        <v>362</v>
      </c>
      <c r="U370" s="201">
        <v>12</v>
      </c>
      <c r="V370" s="58">
        <f t="shared" si="28"/>
        <v>6950400</v>
      </c>
      <c r="W370" s="52" t="s">
        <v>49</v>
      </c>
      <c r="X370" s="92" t="s">
        <v>4611</v>
      </c>
      <c r="Y370" s="92" t="s">
        <v>4612</v>
      </c>
      <c r="Z370" s="92" t="s">
        <v>4613</v>
      </c>
      <c r="AA370" s="52">
        <v>0</v>
      </c>
      <c r="AB370" s="52">
        <v>0</v>
      </c>
      <c r="AC370" s="52">
        <v>0</v>
      </c>
      <c r="AD370" s="21">
        <v>0.86749884668513244</v>
      </c>
      <c r="AE370" s="54">
        <v>0.86749884668513244</v>
      </c>
      <c r="AF370" s="315">
        <f t="shared" si="31"/>
        <v>6029463.9840003448</v>
      </c>
    </row>
    <row r="371" spans="1:32" ht="180" x14ac:dyDescent="0.25">
      <c r="A371" s="86" t="s">
        <v>588</v>
      </c>
      <c r="B371" s="107" t="s">
        <v>2269</v>
      </c>
      <c r="C371" s="52"/>
      <c r="D371" s="107" t="s">
        <v>2299</v>
      </c>
      <c r="E371" s="22" t="str">
        <f t="shared" si="29"/>
        <v>SEJUSPPROG</v>
      </c>
      <c r="F371" s="52" t="s">
        <v>729</v>
      </c>
      <c r="G371" s="22" t="str">
        <f t="shared" si="30"/>
        <v>P130SEJUSP</v>
      </c>
      <c r="H371" s="92" t="s">
        <v>1183</v>
      </c>
      <c r="I371" s="22" t="s">
        <v>16</v>
      </c>
      <c r="J371" s="52" t="s">
        <v>2131</v>
      </c>
      <c r="K371" s="22" t="str">
        <f>VLOOKUP(CONCATENATE(A371,LEFT(J371,4)),AGRUPAMENTO!$D$2:$E$6783,2,FALSE)</f>
        <v>Diárias e viagens</v>
      </c>
      <c r="L371" s="92" t="s">
        <v>44</v>
      </c>
      <c r="M371" s="52" t="str">
        <f t="shared" si="27"/>
        <v>FONTESEJUSP</v>
      </c>
      <c r="N371" s="52">
        <v>60</v>
      </c>
      <c r="O371" s="92" t="s">
        <v>2639</v>
      </c>
      <c r="P371" s="92" t="s">
        <v>46</v>
      </c>
      <c r="Q371" s="92" t="s">
        <v>3902</v>
      </c>
      <c r="R371" s="92">
        <v>420</v>
      </c>
      <c r="S371" s="92" t="s">
        <v>3901</v>
      </c>
      <c r="T371" s="200">
        <v>362</v>
      </c>
      <c r="U371" s="201">
        <v>12</v>
      </c>
      <c r="V371" s="58">
        <f t="shared" si="28"/>
        <v>1824480</v>
      </c>
      <c r="W371" s="52" t="s">
        <v>49</v>
      </c>
      <c r="X371" s="92" t="s">
        <v>4614</v>
      </c>
      <c r="Y371" s="92" t="s">
        <v>4612</v>
      </c>
      <c r="Z371" s="92" t="s">
        <v>4613</v>
      </c>
      <c r="AA371" s="52">
        <v>0</v>
      </c>
      <c r="AB371" s="52">
        <v>0</v>
      </c>
      <c r="AC371" s="52">
        <v>0</v>
      </c>
      <c r="AD371" s="21">
        <v>0.86749884668513244</v>
      </c>
      <c r="AE371" s="54">
        <v>0.86749884668513244</v>
      </c>
      <c r="AF371" s="315">
        <f t="shared" si="31"/>
        <v>1582734.2958000905</v>
      </c>
    </row>
    <row r="372" spans="1:32" ht="180" x14ac:dyDescent="0.25">
      <c r="A372" s="86" t="s">
        <v>588</v>
      </c>
      <c r="B372" s="107" t="s">
        <v>2269</v>
      </c>
      <c r="C372" s="52"/>
      <c r="D372" s="107" t="s">
        <v>2299</v>
      </c>
      <c r="E372" s="22" t="str">
        <f t="shared" si="29"/>
        <v>SEJUSPPROG</v>
      </c>
      <c r="F372" s="52" t="s">
        <v>729</v>
      </c>
      <c r="G372" s="22" t="str">
        <f t="shared" si="30"/>
        <v>P130SEJUSP</v>
      </c>
      <c r="H372" s="92" t="s">
        <v>1183</v>
      </c>
      <c r="I372" s="22" t="s">
        <v>16</v>
      </c>
      <c r="J372" s="52" t="s">
        <v>2131</v>
      </c>
      <c r="K372" s="22" t="str">
        <f>VLOOKUP(CONCATENATE(A372,LEFT(J372,4)),AGRUPAMENTO!$D$2:$E$6783,2,FALSE)</f>
        <v>Diárias e viagens</v>
      </c>
      <c r="L372" s="92" t="s">
        <v>44</v>
      </c>
      <c r="M372" s="52" t="str">
        <f t="shared" si="27"/>
        <v>FONTESEJUSP</v>
      </c>
      <c r="N372" s="52">
        <v>60</v>
      </c>
      <c r="O372" s="150" t="s">
        <v>2640</v>
      </c>
      <c r="P372" s="92" t="s">
        <v>46</v>
      </c>
      <c r="Q372" s="150" t="s">
        <v>3903</v>
      </c>
      <c r="R372" s="92">
        <v>420</v>
      </c>
      <c r="S372" s="92" t="s">
        <v>3901</v>
      </c>
      <c r="T372" s="200">
        <v>362</v>
      </c>
      <c r="U372" s="201">
        <v>12</v>
      </c>
      <c r="V372" s="58">
        <f t="shared" si="28"/>
        <v>1824480</v>
      </c>
      <c r="W372" s="52" t="s">
        <v>49</v>
      </c>
      <c r="X372" s="150" t="s">
        <v>4615</v>
      </c>
      <c r="Y372" s="92" t="s">
        <v>4612</v>
      </c>
      <c r="Z372" s="92" t="s">
        <v>4613</v>
      </c>
      <c r="AA372" s="52">
        <v>0</v>
      </c>
      <c r="AB372" s="52">
        <v>0</v>
      </c>
      <c r="AC372" s="52">
        <v>0</v>
      </c>
      <c r="AD372" s="21">
        <v>0.86749884668513244</v>
      </c>
      <c r="AE372" s="54">
        <v>0.86749884668513244</v>
      </c>
      <c r="AF372" s="315">
        <f t="shared" si="31"/>
        <v>1582734.2958000905</v>
      </c>
    </row>
    <row r="373" spans="1:32" ht="300" x14ac:dyDescent="0.25">
      <c r="A373" s="86" t="s">
        <v>588</v>
      </c>
      <c r="B373" s="107" t="s">
        <v>2269</v>
      </c>
      <c r="C373" s="52"/>
      <c r="D373" s="107" t="s">
        <v>2300</v>
      </c>
      <c r="E373" s="22" t="str">
        <f t="shared" si="29"/>
        <v>SEJUSPPROG</v>
      </c>
      <c r="F373" s="52" t="s">
        <v>729</v>
      </c>
      <c r="G373" s="22" t="str">
        <f t="shared" si="30"/>
        <v>P130SEJUSP</v>
      </c>
      <c r="H373" s="92" t="s">
        <v>1259</v>
      </c>
      <c r="I373" s="22" t="s">
        <v>16</v>
      </c>
      <c r="J373" s="92" t="s">
        <v>1713</v>
      </c>
      <c r="K373" s="22" t="str">
        <f>VLOOKUP(CONCATENATE(A373,LEFT(J373,4)),AGRUPAMENTO!$D$2:$E$6783,2,FALSE)</f>
        <v>Serviços de saúde e medicamentos</v>
      </c>
      <c r="L373" s="92" t="s">
        <v>94</v>
      </c>
      <c r="M373" s="52" t="str">
        <f t="shared" si="27"/>
        <v>FONTESEJUSP</v>
      </c>
      <c r="N373" s="92">
        <v>10</v>
      </c>
      <c r="O373" s="92" t="s">
        <v>2641</v>
      </c>
      <c r="P373" s="92" t="s">
        <v>46</v>
      </c>
      <c r="Q373" s="92" t="s">
        <v>3812</v>
      </c>
      <c r="R373" s="92">
        <v>55</v>
      </c>
      <c r="S373" s="92" t="s">
        <v>3904</v>
      </c>
      <c r="T373" s="200">
        <v>446.56</v>
      </c>
      <c r="U373" s="201">
        <v>1</v>
      </c>
      <c r="V373" s="58">
        <f t="shared" si="28"/>
        <v>24560.799999999999</v>
      </c>
      <c r="W373" s="52" t="s">
        <v>49</v>
      </c>
      <c r="X373" s="92" t="s">
        <v>4616</v>
      </c>
      <c r="Y373" s="92" t="s">
        <v>4617</v>
      </c>
      <c r="Z373" s="92" t="s">
        <v>4618</v>
      </c>
      <c r="AA373" s="52">
        <v>0</v>
      </c>
      <c r="AB373" s="52">
        <v>0</v>
      </c>
      <c r="AC373" s="52">
        <v>0</v>
      </c>
      <c r="AD373" s="21">
        <v>1</v>
      </c>
      <c r="AE373" s="54">
        <v>1</v>
      </c>
      <c r="AF373" s="315">
        <f t="shared" si="31"/>
        <v>24560.799999999999</v>
      </c>
    </row>
    <row r="374" spans="1:32" ht="300" x14ac:dyDescent="0.25">
      <c r="A374" s="86" t="s">
        <v>588</v>
      </c>
      <c r="B374" s="107" t="s">
        <v>2269</v>
      </c>
      <c r="C374" s="52"/>
      <c r="D374" s="107" t="s">
        <v>2300</v>
      </c>
      <c r="E374" s="22" t="str">
        <f t="shared" si="29"/>
        <v>SEJUSPPROG</v>
      </c>
      <c r="F374" s="52" t="s">
        <v>729</v>
      </c>
      <c r="G374" s="22" t="str">
        <f t="shared" si="30"/>
        <v>P130SEJUSP</v>
      </c>
      <c r="H374" s="92" t="s">
        <v>1259</v>
      </c>
      <c r="I374" s="22" t="s">
        <v>16</v>
      </c>
      <c r="J374" s="92" t="s">
        <v>1713</v>
      </c>
      <c r="K374" s="22" t="str">
        <f>VLOOKUP(CONCATENATE(A374,LEFT(J374,4)),AGRUPAMENTO!$D$2:$E$6783,2,FALSE)</f>
        <v>Serviços de saúde e medicamentos</v>
      </c>
      <c r="L374" s="92" t="s">
        <v>94</v>
      </c>
      <c r="M374" s="52" t="str">
        <f t="shared" si="27"/>
        <v>FONTESEJUSP</v>
      </c>
      <c r="N374" s="92">
        <v>10</v>
      </c>
      <c r="O374" s="92" t="s">
        <v>2642</v>
      </c>
      <c r="P374" s="92" t="s">
        <v>46</v>
      </c>
      <c r="Q374" s="92" t="s">
        <v>3812</v>
      </c>
      <c r="R374" s="92">
        <v>51</v>
      </c>
      <c r="S374" s="92" t="s">
        <v>3904</v>
      </c>
      <c r="T374" s="200">
        <v>1210</v>
      </c>
      <c r="U374" s="201">
        <v>1</v>
      </c>
      <c r="V374" s="58">
        <f t="shared" si="28"/>
        <v>61710</v>
      </c>
      <c r="W374" s="52" t="s">
        <v>49</v>
      </c>
      <c r="X374" s="92" t="s">
        <v>4616</v>
      </c>
      <c r="Y374" s="92" t="s">
        <v>4617</v>
      </c>
      <c r="Z374" s="92" t="s">
        <v>4618</v>
      </c>
      <c r="AA374" s="52">
        <v>0</v>
      </c>
      <c r="AB374" s="52">
        <v>0</v>
      </c>
      <c r="AC374" s="52">
        <v>0</v>
      </c>
      <c r="AD374" s="21">
        <v>1</v>
      </c>
      <c r="AE374" s="54">
        <v>1</v>
      </c>
      <c r="AF374" s="315">
        <f t="shared" si="31"/>
        <v>61710</v>
      </c>
    </row>
    <row r="375" spans="1:32" ht="300" x14ac:dyDescent="0.25">
      <c r="A375" s="86" t="s">
        <v>588</v>
      </c>
      <c r="B375" s="107" t="s">
        <v>2269</v>
      </c>
      <c r="C375" s="52"/>
      <c r="D375" s="107" t="s">
        <v>2300</v>
      </c>
      <c r="E375" s="22" t="str">
        <f t="shared" si="29"/>
        <v>SEJUSPPROG</v>
      </c>
      <c r="F375" s="52" t="s">
        <v>729</v>
      </c>
      <c r="G375" s="22" t="str">
        <f t="shared" si="30"/>
        <v>P130SEJUSP</v>
      </c>
      <c r="H375" s="92" t="s">
        <v>1259</v>
      </c>
      <c r="I375" s="22" t="s">
        <v>16</v>
      </c>
      <c r="J375" s="92" t="s">
        <v>1713</v>
      </c>
      <c r="K375" s="22" t="str">
        <f>VLOOKUP(CONCATENATE(A375,LEFT(J375,4)),AGRUPAMENTO!$D$2:$E$6783,2,FALSE)</f>
        <v>Serviços de saúde e medicamentos</v>
      </c>
      <c r="L375" s="92" t="s">
        <v>94</v>
      </c>
      <c r="M375" s="52" t="str">
        <f t="shared" si="27"/>
        <v>FONTESEJUSP</v>
      </c>
      <c r="N375" s="92">
        <v>10</v>
      </c>
      <c r="O375" s="92" t="s">
        <v>2643</v>
      </c>
      <c r="P375" s="92" t="s">
        <v>46</v>
      </c>
      <c r="Q375" s="92" t="s">
        <v>3812</v>
      </c>
      <c r="R375" s="92">
        <v>51</v>
      </c>
      <c r="S375" s="92" t="s">
        <v>3905</v>
      </c>
      <c r="T375" s="200">
        <v>1893</v>
      </c>
      <c r="U375" s="201">
        <v>1</v>
      </c>
      <c r="V375" s="58">
        <f t="shared" si="28"/>
        <v>96543</v>
      </c>
      <c r="W375" s="52" t="s">
        <v>49</v>
      </c>
      <c r="X375" s="92" t="s">
        <v>4616</v>
      </c>
      <c r="Y375" s="92" t="s">
        <v>4617</v>
      </c>
      <c r="Z375" s="92" t="s">
        <v>4618</v>
      </c>
      <c r="AA375" s="52">
        <v>0</v>
      </c>
      <c r="AB375" s="52">
        <v>0</v>
      </c>
      <c r="AC375" s="52">
        <v>0</v>
      </c>
      <c r="AD375" s="21">
        <v>1</v>
      </c>
      <c r="AE375" s="54">
        <v>1</v>
      </c>
      <c r="AF375" s="315">
        <f t="shared" si="31"/>
        <v>96543</v>
      </c>
    </row>
    <row r="376" spans="1:32" ht="300" x14ac:dyDescent="0.25">
      <c r="A376" s="86" t="s">
        <v>588</v>
      </c>
      <c r="B376" s="107" t="s">
        <v>2269</v>
      </c>
      <c r="C376" s="52"/>
      <c r="D376" s="107" t="s">
        <v>2300</v>
      </c>
      <c r="E376" s="22" t="str">
        <f t="shared" si="29"/>
        <v>SEJUSPPROG</v>
      </c>
      <c r="F376" s="52" t="s">
        <v>729</v>
      </c>
      <c r="G376" s="22" t="str">
        <f t="shared" si="30"/>
        <v>P130SEJUSP</v>
      </c>
      <c r="H376" s="92" t="s">
        <v>1259</v>
      </c>
      <c r="I376" s="22" t="s">
        <v>16</v>
      </c>
      <c r="J376" s="92" t="s">
        <v>1676</v>
      </c>
      <c r="K376" s="22" t="str">
        <f>VLOOKUP(CONCATENATE(A376,LEFT(J376,4)),AGRUPAMENTO!$D$2:$E$6783,2,FALSE)</f>
        <v>Aquisições de itens de TIC</v>
      </c>
      <c r="L376" s="92" t="s">
        <v>94</v>
      </c>
      <c r="M376" s="52" t="str">
        <f t="shared" si="27"/>
        <v>FONTESEJUSP</v>
      </c>
      <c r="N376" s="92">
        <v>10</v>
      </c>
      <c r="O376" s="151" t="s">
        <v>2644</v>
      </c>
      <c r="P376" s="92" t="s">
        <v>46</v>
      </c>
      <c r="Q376" s="92" t="s">
        <v>3812</v>
      </c>
      <c r="R376" s="204">
        <v>113</v>
      </c>
      <c r="S376" s="92" t="s">
        <v>3904</v>
      </c>
      <c r="T376" s="200">
        <v>5000</v>
      </c>
      <c r="U376" s="201">
        <v>1</v>
      </c>
      <c r="V376" s="58">
        <f t="shared" si="28"/>
        <v>565000</v>
      </c>
      <c r="W376" s="52" t="s">
        <v>49</v>
      </c>
      <c r="X376" s="92" t="s">
        <v>4616</v>
      </c>
      <c r="Y376" s="92" t="s">
        <v>4617</v>
      </c>
      <c r="Z376" s="92" t="s">
        <v>4618</v>
      </c>
      <c r="AA376" s="52">
        <v>0</v>
      </c>
      <c r="AB376" s="52">
        <v>0</v>
      </c>
      <c r="AC376" s="52">
        <v>0</v>
      </c>
      <c r="AD376" s="21">
        <v>0.23752316495302667</v>
      </c>
      <c r="AE376" s="54">
        <v>0.23752316495302667</v>
      </c>
      <c r="AF376" s="315">
        <f t="shared" si="31"/>
        <v>134200.58819846006</v>
      </c>
    </row>
    <row r="377" spans="1:32" ht="300" x14ac:dyDescent="0.25">
      <c r="A377" s="86" t="s">
        <v>588</v>
      </c>
      <c r="B377" s="107" t="s">
        <v>2269</v>
      </c>
      <c r="C377" s="52"/>
      <c r="D377" s="107" t="s">
        <v>2300</v>
      </c>
      <c r="E377" s="22" t="str">
        <f t="shared" si="29"/>
        <v>SEJUSPPROG</v>
      </c>
      <c r="F377" s="52" t="s">
        <v>729</v>
      </c>
      <c r="G377" s="22" t="str">
        <f t="shared" si="30"/>
        <v>P130SEJUSP</v>
      </c>
      <c r="H377" s="92" t="s">
        <v>1259</v>
      </c>
      <c r="I377" s="22" t="s">
        <v>16</v>
      </c>
      <c r="J377" s="92" t="s">
        <v>1713</v>
      </c>
      <c r="K377" s="22" t="str">
        <f>VLOOKUP(CONCATENATE(A377,LEFT(J377,4)),AGRUPAMENTO!$D$2:$E$6783,2,FALSE)</f>
        <v>Serviços de saúde e medicamentos</v>
      </c>
      <c r="L377" s="92" t="s">
        <v>94</v>
      </c>
      <c r="M377" s="52" t="str">
        <f t="shared" si="27"/>
        <v>FONTESEJUSP</v>
      </c>
      <c r="N377" s="92">
        <v>10</v>
      </c>
      <c r="O377" s="150" t="s">
        <v>2645</v>
      </c>
      <c r="P377" s="92" t="s">
        <v>46</v>
      </c>
      <c r="Q377" s="92" t="s">
        <v>3812</v>
      </c>
      <c r="R377" s="204">
        <v>48</v>
      </c>
      <c r="S377" s="92" t="s">
        <v>3904</v>
      </c>
      <c r="T377" s="200">
        <v>272.5</v>
      </c>
      <c r="U377" s="201">
        <v>1</v>
      </c>
      <c r="V377" s="58">
        <f t="shared" si="28"/>
        <v>13080</v>
      </c>
      <c r="W377" s="52" t="s">
        <v>49</v>
      </c>
      <c r="X377" s="92" t="s">
        <v>4616</v>
      </c>
      <c r="Y377" s="92" t="s">
        <v>4617</v>
      </c>
      <c r="Z377" s="92" t="s">
        <v>4618</v>
      </c>
      <c r="AA377" s="52">
        <v>0</v>
      </c>
      <c r="AB377" s="52">
        <v>0</v>
      </c>
      <c r="AC377" s="52">
        <v>0</v>
      </c>
      <c r="AD377" s="21">
        <v>1</v>
      </c>
      <c r="AE377" s="54">
        <v>1</v>
      </c>
      <c r="AF377" s="315">
        <f t="shared" si="31"/>
        <v>13080</v>
      </c>
    </row>
    <row r="378" spans="1:32" ht="300" x14ac:dyDescent="0.25">
      <c r="A378" s="86" t="s">
        <v>588</v>
      </c>
      <c r="B378" s="107" t="s">
        <v>2269</v>
      </c>
      <c r="C378" s="52"/>
      <c r="D378" s="107" t="s">
        <v>2300</v>
      </c>
      <c r="E378" s="22" t="str">
        <f t="shared" si="29"/>
        <v>SEJUSPPROG</v>
      </c>
      <c r="F378" s="52" t="s">
        <v>729</v>
      </c>
      <c r="G378" s="22" t="str">
        <f t="shared" si="30"/>
        <v>P130SEJUSP</v>
      </c>
      <c r="H378" s="92" t="s">
        <v>1259</v>
      </c>
      <c r="I378" s="22" t="s">
        <v>16</v>
      </c>
      <c r="J378" s="92" t="s">
        <v>1713</v>
      </c>
      <c r="K378" s="22" t="str">
        <f>VLOOKUP(CONCATENATE(A378,LEFT(J378,4)),AGRUPAMENTO!$D$2:$E$6783,2,FALSE)</f>
        <v>Serviços de saúde e medicamentos</v>
      </c>
      <c r="L378" s="92" t="s">
        <v>94</v>
      </c>
      <c r="M378" s="52" t="str">
        <f t="shared" si="27"/>
        <v>FONTESEJUSP</v>
      </c>
      <c r="N378" s="92">
        <v>10</v>
      </c>
      <c r="O378" s="92" t="s">
        <v>2646</v>
      </c>
      <c r="P378" s="92" t="s">
        <v>46</v>
      </c>
      <c r="Q378" s="92" t="s">
        <v>3812</v>
      </c>
      <c r="R378" s="204">
        <v>58</v>
      </c>
      <c r="S378" s="92" t="s">
        <v>3905</v>
      </c>
      <c r="T378" s="200">
        <v>129.9</v>
      </c>
      <c r="U378" s="201">
        <v>1</v>
      </c>
      <c r="V378" s="58">
        <f t="shared" si="28"/>
        <v>7534.2000000000007</v>
      </c>
      <c r="W378" s="52" t="s">
        <v>49</v>
      </c>
      <c r="X378" s="92" t="s">
        <v>4616</v>
      </c>
      <c r="Y378" s="92" t="s">
        <v>4617</v>
      </c>
      <c r="Z378" s="92" t="s">
        <v>4618</v>
      </c>
      <c r="AA378" s="52">
        <v>0</v>
      </c>
      <c r="AB378" s="52">
        <v>0</v>
      </c>
      <c r="AC378" s="52">
        <v>0</v>
      </c>
      <c r="AD378" s="21">
        <v>1</v>
      </c>
      <c r="AE378" s="54">
        <v>1</v>
      </c>
      <c r="AF378" s="315">
        <f t="shared" si="31"/>
        <v>7534.2000000000007</v>
      </c>
    </row>
    <row r="379" spans="1:32" ht="300" x14ac:dyDescent="0.25">
      <c r="A379" s="107" t="s">
        <v>588</v>
      </c>
      <c r="B379" s="107" t="s">
        <v>2269</v>
      </c>
      <c r="C379" s="52"/>
      <c r="D379" s="107" t="s">
        <v>2300</v>
      </c>
      <c r="E379" s="22" t="str">
        <f t="shared" si="29"/>
        <v>SEJUSPPROG</v>
      </c>
      <c r="F379" s="52" t="s">
        <v>729</v>
      </c>
      <c r="G379" s="22" t="str">
        <f t="shared" si="30"/>
        <v>P130SEJUSP</v>
      </c>
      <c r="H379" s="92" t="s">
        <v>1259</v>
      </c>
      <c r="I379" s="22" t="s">
        <v>16</v>
      </c>
      <c r="J379" s="92" t="s">
        <v>458</v>
      </c>
      <c r="K379" s="22" t="str">
        <f>VLOOKUP(CONCATENATE(A379,LEFT(J379,4)),AGRUPAMENTO!$D$2:$E$6783,2,FALSE)</f>
        <v>Demais despesas de capital</v>
      </c>
      <c r="L379" s="92" t="s">
        <v>94</v>
      </c>
      <c r="M379" s="52" t="str">
        <f t="shared" si="27"/>
        <v>FONTESEJUSP</v>
      </c>
      <c r="N379" s="92">
        <v>10</v>
      </c>
      <c r="O379" s="152" t="s">
        <v>2647</v>
      </c>
      <c r="P379" s="92" t="s">
        <v>46</v>
      </c>
      <c r="Q379" s="92" t="s">
        <v>3812</v>
      </c>
      <c r="R379" s="204">
        <v>239</v>
      </c>
      <c r="S379" s="92" t="s">
        <v>3904</v>
      </c>
      <c r="T379" s="200">
        <v>3227.08</v>
      </c>
      <c r="U379" s="201">
        <v>1</v>
      </c>
      <c r="V379" s="58">
        <f t="shared" si="28"/>
        <v>771272.12</v>
      </c>
      <c r="W379" s="52" t="s">
        <v>49</v>
      </c>
      <c r="X379" s="92" t="s">
        <v>4616</v>
      </c>
      <c r="Y379" s="92" t="s">
        <v>4617</v>
      </c>
      <c r="Z379" s="92" t="s">
        <v>4618</v>
      </c>
      <c r="AA379" s="52">
        <v>0</v>
      </c>
      <c r="AB379" s="52">
        <v>0</v>
      </c>
      <c r="AC379" s="52">
        <v>0</v>
      </c>
      <c r="AD379" s="21">
        <v>1</v>
      </c>
      <c r="AE379" s="54">
        <v>1</v>
      </c>
      <c r="AF379" s="315">
        <f t="shared" si="31"/>
        <v>771272.12</v>
      </c>
    </row>
    <row r="380" spans="1:32" ht="300" x14ac:dyDescent="0.25">
      <c r="A380" s="107" t="s">
        <v>588</v>
      </c>
      <c r="B380" s="107" t="s">
        <v>2269</v>
      </c>
      <c r="C380" s="52"/>
      <c r="D380" s="107" t="s">
        <v>2300</v>
      </c>
      <c r="E380" s="22" t="str">
        <f t="shared" si="29"/>
        <v>SEJUSPPROG</v>
      </c>
      <c r="F380" s="52" t="s">
        <v>729</v>
      </c>
      <c r="G380" s="22" t="str">
        <f t="shared" si="30"/>
        <v>P130SEJUSP</v>
      </c>
      <c r="H380" s="92" t="s">
        <v>1259</v>
      </c>
      <c r="I380" s="22" t="s">
        <v>16</v>
      </c>
      <c r="J380" s="92" t="s">
        <v>2232</v>
      </c>
      <c r="K380" s="22" t="str">
        <f>VLOOKUP(CONCATENATE(A380,LEFT(J380,4)),AGRUPAMENTO!$D$2:$E$6783,2,FALSE)</f>
        <v>Demais despesas de capital</v>
      </c>
      <c r="L380" s="92" t="s">
        <v>94</v>
      </c>
      <c r="M380" s="52" t="str">
        <f t="shared" si="27"/>
        <v>FONTESEJUSP</v>
      </c>
      <c r="N380" s="92">
        <v>10</v>
      </c>
      <c r="O380" s="150" t="s">
        <v>2648</v>
      </c>
      <c r="P380" s="92" t="s">
        <v>46</v>
      </c>
      <c r="Q380" s="92" t="s">
        <v>3812</v>
      </c>
      <c r="R380" s="204">
        <v>249</v>
      </c>
      <c r="S380" s="205" t="s">
        <v>3904</v>
      </c>
      <c r="T380" s="206">
        <v>1194.5</v>
      </c>
      <c r="U380" s="201">
        <v>1</v>
      </c>
      <c r="V380" s="58">
        <f t="shared" si="28"/>
        <v>297430.5</v>
      </c>
      <c r="W380" s="52" t="s">
        <v>49</v>
      </c>
      <c r="X380" s="92" t="s">
        <v>4616</v>
      </c>
      <c r="Y380" s="92" t="s">
        <v>4617</v>
      </c>
      <c r="Z380" s="92" t="s">
        <v>4618</v>
      </c>
      <c r="AA380" s="52">
        <v>0</v>
      </c>
      <c r="AB380" s="52">
        <v>0</v>
      </c>
      <c r="AC380" s="52">
        <v>0</v>
      </c>
      <c r="AD380" s="21">
        <v>1</v>
      </c>
      <c r="AE380" s="54">
        <v>1</v>
      </c>
      <c r="AF380" s="315">
        <f t="shared" si="31"/>
        <v>297430.5</v>
      </c>
    </row>
    <row r="381" spans="1:32" ht="300" x14ac:dyDescent="0.25">
      <c r="A381" s="107" t="s">
        <v>588</v>
      </c>
      <c r="B381" s="107" t="s">
        <v>2269</v>
      </c>
      <c r="C381" s="52"/>
      <c r="D381" s="107" t="s">
        <v>2300</v>
      </c>
      <c r="E381" s="22" t="str">
        <f t="shared" si="29"/>
        <v>SEJUSPPROG</v>
      </c>
      <c r="F381" s="52" t="s">
        <v>729</v>
      </c>
      <c r="G381" s="22" t="str">
        <f t="shared" si="30"/>
        <v>P130SEJUSP</v>
      </c>
      <c r="H381" s="92" t="s">
        <v>1259</v>
      </c>
      <c r="I381" s="22" t="s">
        <v>16</v>
      </c>
      <c r="J381" s="92" t="s">
        <v>2232</v>
      </c>
      <c r="K381" s="22" t="str">
        <f>VLOOKUP(CONCATENATE(A381,LEFT(J381,4)),AGRUPAMENTO!$D$2:$E$6783,2,FALSE)</f>
        <v>Demais despesas de capital</v>
      </c>
      <c r="L381" s="92" t="s">
        <v>94</v>
      </c>
      <c r="M381" s="52" t="str">
        <f t="shared" si="27"/>
        <v>FONTESEJUSP</v>
      </c>
      <c r="N381" s="92">
        <v>10</v>
      </c>
      <c r="O381" s="150" t="s">
        <v>2649</v>
      </c>
      <c r="P381" s="92" t="s">
        <v>46</v>
      </c>
      <c r="Q381" s="92" t="s">
        <v>3812</v>
      </c>
      <c r="R381" s="204">
        <v>94</v>
      </c>
      <c r="S381" s="138" t="s">
        <v>3904</v>
      </c>
      <c r="T381" s="207">
        <v>885.92499999999995</v>
      </c>
      <c r="U381" s="201">
        <v>1</v>
      </c>
      <c r="V381" s="58">
        <f t="shared" si="28"/>
        <v>83276.95</v>
      </c>
      <c r="W381" s="52" t="s">
        <v>49</v>
      </c>
      <c r="X381" s="92" t="s">
        <v>4616</v>
      </c>
      <c r="Y381" s="92" t="s">
        <v>4617</v>
      </c>
      <c r="Z381" s="92" t="s">
        <v>4618</v>
      </c>
      <c r="AA381" s="52">
        <v>0</v>
      </c>
      <c r="AB381" s="52">
        <v>0</v>
      </c>
      <c r="AC381" s="52">
        <v>0</v>
      </c>
      <c r="AD381" s="21">
        <v>1</v>
      </c>
      <c r="AE381" s="54">
        <v>1</v>
      </c>
      <c r="AF381" s="315">
        <f t="shared" si="31"/>
        <v>83276.95</v>
      </c>
    </row>
    <row r="382" spans="1:32" ht="300" x14ac:dyDescent="0.25">
      <c r="A382" s="107" t="s">
        <v>588</v>
      </c>
      <c r="B382" s="107" t="s">
        <v>2269</v>
      </c>
      <c r="C382" s="52"/>
      <c r="D382" s="107" t="s">
        <v>2300</v>
      </c>
      <c r="E382" s="22" t="str">
        <f t="shared" si="29"/>
        <v>SEJUSPPROG</v>
      </c>
      <c r="F382" s="52" t="s">
        <v>729</v>
      </c>
      <c r="G382" s="22" t="str">
        <f t="shared" si="30"/>
        <v>P130SEJUSP</v>
      </c>
      <c r="H382" s="92" t="s">
        <v>1259</v>
      </c>
      <c r="I382" s="22" t="s">
        <v>16</v>
      </c>
      <c r="J382" s="92" t="s">
        <v>1713</v>
      </c>
      <c r="K382" s="22" t="str">
        <f>VLOOKUP(CONCATENATE(A382,LEFT(J382,4)),AGRUPAMENTO!$D$2:$E$6783,2,FALSE)</f>
        <v>Serviços de saúde e medicamentos</v>
      </c>
      <c r="L382" s="92" t="s">
        <v>94</v>
      </c>
      <c r="M382" s="52" t="str">
        <f t="shared" si="27"/>
        <v>FONTESEJUSP</v>
      </c>
      <c r="N382" s="92">
        <v>10</v>
      </c>
      <c r="O382" s="150" t="s">
        <v>2650</v>
      </c>
      <c r="P382" s="92" t="s">
        <v>46</v>
      </c>
      <c r="Q382" s="92" t="s">
        <v>3812</v>
      </c>
      <c r="R382" s="204">
        <v>50</v>
      </c>
      <c r="S382" s="131" t="s">
        <v>3904</v>
      </c>
      <c r="T382" s="208">
        <v>2467</v>
      </c>
      <c r="U382" s="201">
        <v>1</v>
      </c>
      <c r="V382" s="58">
        <f t="shared" si="28"/>
        <v>123350</v>
      </c>
      <c r="W382" s="52" t="s">
        <v>49</v>
      </c>
      <c r="X382" s="92" t="s">
        <v>4616</v>
      </c>
      <c r="Y382" s="92" t="s">
        <v>4617</v>
      </c>
      <c r="Z382" s="92" t="s">
        <v>4618</v>
      </c>
      <c r="AA382" s="52">
        <v>0</v>
      </c>
      <c r="AB382" s="52">
        <v>0</v>
      </c>
      <c r="AC382" s="52">
        <v>0</v>
      </c>
      <c r="AD382" s="21">
        <v>1</v>
      </c>
      <c r="AE382" s="54">
        <v>1</v>
      </c>
      <c r="AF382" s="315">
        <f t="shared" si="31"/>
        <v>123350</v>
      </c>
    </row>
    <row r="383" spans="1:32" ht="300" x14ac:dyDescent="0.25">
      <c r="A383" s="107" t="s">
        <v>588</v>
      </c>
      <c r="B383" s="107" t="s">
        <v>2269</v>
      </c>
      <c r="C383" s="52"/>
      <c r="D383" s="107" t="s">
        <v>2300</v>
      </c>
      <c r="E383" s="22" t="str">
        <f t="shared" si="29"/>
        <v>SEJUSPPROG</v>
      </c>
      <c r="F383" s="52" t="s">
        <v>729</v>
      </c>
      <c r="G383" s="22" t="str">
        <f t="shared" si="30"/>
        <v>P130SEJUSP</v>
      </c>
      <c r="H383" s="92" t="s">
        <v>1259</v>
      </c>
      <c r="I383" s="22" t="s">
        <v>16</v>
      </c>
      <c r="J383" s="92" t="s">
        <v>1713</v>
      </c>
      <c r="K383" s="22" t="str">
        <f>VLOOKUP(CONCATENATE(A383,LEFT(J383,4)),AGRUPAMENTO!$D$2:$E$6783,2,FALSE)</f>
        <v>Serviços de saúde e medicamentos</v>
      </c>
      <c r="L383" s="92" t="s">
        <v>94</v>
      </c>
      <c r="M383" s="52" t="str">
        <f t="shared" si="27"/>
        <v>FONTESEJUSP</v>
      </c>
      <c r="N383" s="92">
        <v>10</v>
      </c>
      <c r="O383" s="92" t="s">
        <v>2651</v>
      </c>
      <c r="P383" s="92" t="s">
        <v>46</v>
      </c>
      <c r="Q383" s="92" t="s">
        <v>3812</v>
      </c>
      <c r="R383" s="204">
        <v>35</v>
      </c>
      <c r="S383" s="209" t="s">
        <v>3904</v>
      </c>
      <c r="T383" s="200">
        <v>950</v>
      </c>
      <c r="U383" s="201">
        <v>1</v>
      </c>
      <c r="V383" s="58">
        <f t="shared" si="28"/>
        <v>33250</v>
      </c>
      <c r="W383" s="52" t="s">
        <v>49</v>
      </c>
      <c r="X383" s="92" t="s">
        <v>4616</v>
      </c>
      <c r="Y383" s="92" t="s">
        <v>4617</v>
      </c>
      <c r="Z383" s="92" t="s">
        <v>4618</v>
      </c>
      <c r="AA383" s="52">
        <v>0</v>
      </c>
      <c r="AB383" s="52">
        <v>0</v>
      </c>
      <c r="AC383" s="52">
        <v>0</v>
      </c>
      <c r="AD383" s="21">
        <v>1</v>
      </c>
      <c r="AE383" s="54">
        <v>1</v>
      </c>
      <c r="AF383" s="315">
        <f t="shared" si="31"/>
        <v>33250</v>
      </c>
    </row>
    <row r="384" spans="1:32" ht="300" x14ac:dyDescent="0.25">
      <c r="A384" s="107" t="s">
        <v>588</v>
      </c>
      <c r="B384" s="107" t="s">
        <v>2269</v>
      </c>
      <c r="C384" s="52"/>
      <c r="D384" s="107" t="s">
        <v>2300</v>
      </c>
      <c r="E384" s="22" t="str">
        <f t="shared" si="29"/>
        <v>SEJUSPPROG</v>
      </c>
      <c r="F384" s="52" t="s">
        <v>729</v>
      </c>
      <c r="G384" s="22" t="str">
        <f t="shared" si="30"/>
        <v>P130SEJUSP</v>
      </c>
      <c r="H384" s="92" t="s">
        <v>1259</v>
      </c>
      <c r="I384" s="22" t="s">
        <v>16</v>
      </c>
      <c r="J384" s="92" t="s">
        <v>1713</v>
      </c>
      <c r="K384" s="22" t="str">
        <f>VLOOKUP(CONCATENATE(A384,LEFT(J384,4)),AGRUPAMENTO!$D$2:$E$6783,2,FALSE)</f>
        <v>Serviços de saúde e medicamentos</v>
      </c>
      <c r="L384" s="92" t="s">
        <v>94</v>
      </c>
      <c r="M384" s="52" t="str">
        <f t="shared" si="27"/>
        <v>FONTESEJUSP</v>
      </c>
      <c r="N384" s="92">
        <v>10</v>
      </c>
      <c r="O384" s="152" t="s">
        <v>2652</v>
      </c>
      <c r="P384" s="92" t="s">
        <v>46</v>
      </c>
      <c r="Q384" s="92" t="s">
        <v>3812</v>
      </c>
      <c r="R384" s="204">
        <v>59</v>
      </c>
      <c r="S384" s="92" t="s">
        <v>3904</v>
      </c>
      <c r="T384" s="200">
        <v>173</v>
      </c>
      <c r="U384" s="201">
        <v>1</v>
      </c>
      <c r="V384" s="58">
        <f t="shared" si="28"/>
        <v>10207</v>
      </c>
      <c r="W384" s="52" t="s">
        <v>49</v>
      </c>
      <c r="X384" s="92" t="s">
        <v>4616</v>
      </c>
      <c r="Y384" s="92" t="s">
        <v>4617</v>
      </c>
      <c r="Z384" s="92" t="s">
        <v>4618</v>
      </c>
      <c r="AA384" s="52">
        <v>0</v>
      </c>
      <c r="AB384" s="52">
        <v>0</v>
      </c>
      <c r="AC384" s="52">
        <v>0</v>
      </c>
      <c r="AD384" s="21">
        <v>1</v>
      </c>
      <c r="AE384" s="54">
        <v>1</v>
      </c>
      <c r="AF384" s="315">
        <f t="shared" si="31"/>
        <v>10207</v>
      </c>
    </row>
    <row r="385" spans="1:32" ht="300" x14ac:dyDescent="0.25">
      <c r="A385" s="107" t="s">
        <v>588</v>
      </c>
      <c r="B385" s="107" t="s">
        <v>2269</v>
      </c>
      <c r="C385" s="52"/>
      <c r="D385" s="107" t="s">
        <v>2300</v>
      </c>
      <c r="E385" s="22" t="str">
        <f t="shared" si="29"/>
        <v>SEJUSPPROG</v>
      </c>
      <c r="F385" s="52" t="s">
        <v>729</v>
      </c>
      <c r="G385" s="22" t="str">
        <f t="shared" si="30"/>
        <v>P130SEJUSP</v>
      </c>
      <c r="H385" s="92" t="s">
        <v>1259</v>
      </c>
      <c r="I385" s="22" t="s">
        <v>16</v>
      </c>
      <c r="J385" s="92" t="s">
        <v>1713</v>
      </c>
      <c r="K385" s="22" t="str">
        <f>VLOOKUP(CONCATENATE(A385,LEFT(J385,4)),AGRUPAMENTO!$D$2:$E$6783,2,FALSE)</f>
        <v>Serviços de saúde e medicamentos</v>
      </c>
      <c r="L385" s="92" t="s">
        <v>94</v>
      </c>
      <c r="M385" s="52" t="str">
        <f t="shared" ref="M385:M448" si="32">CONCATENATE("FONTE",A385)</f>
        <v>FONTESEJUSP</v>
      </c>
      <c r="N385" s="92">
        <v>10</v>
      </c>
      <c r="O385" s="150" t="s">
        <v>2653</v>
      </c>
      <c r="P385" s="92" t="s">
        <v>46</v>
      </c>
      <c r="Q385" s="92" t="s">
        <v>3812</v>
      </c>
      <c r="R385" s="204">
        <v>67</v>
      </c>
      <c r="S385" s="92" t="s">
        <v>3904</v>
      </c>
      <c r="T385" s="200">
        <v>67.900000000000006</v>
      </c>
      <c r="U385" s="201">
        <v>1</v>
      </c>
      <c r="V385" s="58">
        <f t="shared" si="28"/>
        <v>4549.3</v>
      </c>
      <c r="W385" s="52" t="s">
        <v>49</v>
      </c>
      <c r="X385" s="92" t="s">
        <v>4616</v>
      </c>
      <c r="Y385" s="92" t="s">
        <v>4617</v>
      </c>
      <c r="Z385" s="92" t="s">
        <v>4618</v>
      </c>
      <c r="AA385" s="52">
        <v>0</v>
      </c>
      <c r="AB385" s="52">
        <v>0</v>
      </c>
      <c r="AC385" s="52">
        <v>0</v>
      </c>
      <c r="AD385" s="21">
        <v>1</v>
      </c>
      <c r="AE385" s="54">
        <v>1</v>
      </c>
      <c r="AF385" s="315">
        <f t="shared" si="31"/>
        <v>4549.3</v>
      </c>
    </row>
    <row r="386" spans="1:32" ht="300" x14ac:dyDescent="0.25">
      <c r="A386" s="107" t="s">
        <v>588</v>
      </c>
      <c r="B386" s="107" t="s">
        <v>2269</v>
      </c>
      <c r="C386" s="52"/>
      <c r="D386" s="107" t="s">
        <v>2300</v>
      </c>
      <c r="E386" s="22" t="str">
        <f t="shared" si="29"/>
        <v>SEJUSPPROG</v>
      </c>
      <c r="F386" s="52" t="s">
        <v>729</v>
      </c>
      <c r="G386" s="22" t="str">
        <f t="shared" si="30"/>
        <v>P130SEJUSP</v>
      </c>
      <c r="H386" s="92" t="s">
        <v>1259</v>
      </c>
      <c r="I386" s="22" t="s">
        <v>16</v>
      </c>
      <c r="J386" s="92" t="s">
        <v>458</v>
      </c>
      <c r="K386" s="22" t="str">
        <f>VLOOKUP(CONCATENATE(A386,LEFT(J386,4)),AGRUPAMENTO!$D$2:$E$6783,2,FALSE)</f>
        <v>Demais despesas de capital</v>
      </c>
      <c r="L386" s="92" t="s">
        <v>94</v>
      </c>
      <c r="M386" s="52" t="str">
        <f t="shared" si="32"/>
        <v>FONTESEJUSP</v>
      </c>
      <c r="N386" s="92">
        <v>10</v>
      </c>
      <c r="O386" s="150" t="s">
        <v>2654</v>
      </c>
      <c r="P386" s="92" t="s">
        <v>46</v>
      </c>
      <c r="Q386" s="92" t="s">
        <v>3812</v>
      </c>
      <c r="R386" s="204">
        <v>32</v>
      </c>
      <c r="S386" s="92" t="s">
        <v>3904</v>
      </c>
      <c r="T386" s="200">
        <v>3990</v>
      </c>
      <c r="U386" s="201">
        <v>1</v>
      </c>
      <c r="V386" s="58">
        <f t="shared" ref="V386:V449" si="33">R386*T386*U386</f>
        <v>127680</v>
      </c>
      <c r="W386" s="52" t="s">
        <v>49</v>
      </c>
      <c r="X386" s="92" t="s">
        <v>4616</v>
      </c>
      <c r="Y386" s="92" t="s">
        <v>4617</v>
      </c>
      <c r="Z386" s="92" t="s">
        <v>4618</v>
      </c>
      <c r="AA386" s="52">
        <v>0</v>
      </c>
      <c r="AB386" s="52">
        <v>0</v>
      </c>
      <c r="AC386" s="52">
        <v>0</v>
      </c>
      <c r="AD386" s="21">
        <v>1</v>
      </c>
      <c r="AE386" s="54">
        <v>1</v>
      </c>
      <c r="AF386" s="315">
        <f t="shared" si="31"/>
        <v>127680</v>
      </c>
    </row>
    <row r="387" spans="1:32" ht="300" x14ac:dyDescent="0.25">
      <c r="A387" s="107" t="s">
        <v>588</v>
      </c>
      <c r="B387" s="107" t="s">
        <v>2269</v>
      </c>
      <c r="C387" s="52"/>
      <c r="D387" s="107" t="s">
        <v>2300</v>
      </c>
      <c r="E387" s="22" t="str">
        <f t="shared" ref="E387:E450" si="34">CONCATENATE(A387,"PROG")</f>
        <v>SEJUSPPROG</v>
      </c>
      <c r="F387" s="52" t="s">
        <v>729</v>
      </c>
      <c r="G387" s="22" t="str">
        <f t="shared" si="30"/>
        <v>P130SEJUSP</v>
      </c>
      <c r="H387" s="92" t="s">
        <v>1259</v>
      </c>
      <c r="I387" s="22" t="s">
        <v>16</v>
      </c>
      <c r="J387" s="92" t="s">
        <v>1676</v>
      </c>
      <c r="K387" s="22" t="str">
        <f>VLOOKUP(CONCATENATE(A387,LEFT(J387,4)),AGRUPAMENTO!$D$2:$E$6783,2,FALSE)</f>
        <v>Aquisições de itens de TIC</v>
      </c>
      <c r="L387" s="92" t="s">
        <v>94</v>
      </c>
      <c r="M387" s="52" t="str">
        <f t="shared" si="32"/>
        <v>FONTESEJUSP</v>
      </c>
      <c r="N387" s="92">
        <v>10</v>
      </c>
      <c r="O387" s="150" t="s">
        <v>2655</v>
      </c>
      <c r="P387" s="92" t="s">
        <v>46</v>
      </c>
      <c r="Q387" s="92" t="s">
        <v>3812</v>
      </c>
      <c r="R387" s="204">
        <v>201</v>
      </c>
      <c r="S387" s="92" t="s">
        <v>3905</v>
      </c>
      <c r="T387" s="200">
        <v>59.9</v>
      </c>
      <c r="U387" s="201">
        <v>1</v>
      </c>
      <c r="V387" s="58">
        <f t="shared" si="33"/>
        <v>12039.9</v>
      </c>
      <c r="W387" s="52" t="s">
        <v>49</v>
      </c>
      <c r="X387" s="92" t="s">
        <v>4616</v>
      </c>
      <c r="Y387" s="92" t="s">
        <v>4617</v>
      </c>
      <c r="Z387" s="92" t="s">
        <v>4618</v>
      </c>
      <c r="AA387" s="52">
        <v>0</v>
      </c>
      <c r="AB387" s="52">
        <v>0</v>
      </c>
      <c r="AC387" s="52">
        <v>0</v>
      </c>
      <c r="AD387" s="21">
        <v>0.23752316495302667</v>
      </c>
      <c r="AE387" s="54">
        <v>0.23752316495302667</v>
      </c>
      <c r="AF387" s="315">
        <f t="shared" si="31"/>
        <v>2859.7551537179456</v>
      </c>
    </row>
    <row r="388" spans="1:32" ht="300" x14ac:dyDescent="0.25">
      <c r="A388" s="107" t="s">
        <v>588</v>
      </c>
      <c r="B388" s="107" t="s">
        <v>2269</v>
      </c>
      <c r="C388" s="52"/>
      <c r="D388" s="107" t="s">
        <v>2300</v>
      </c>
      <c r="E388" s="22" t="str">
        <f t="shared" si="34"/>
        <v>SEJUSPPROG</v>
      </c>
      <c r="F388" s="52" t="s">
        <v>729</v>
      </c>
      <c r="G388" s="22" t="str">
        <f t="shared" ref="G388:G451" si="35">CONCATENATE("P",(LEFT(F388,3)),A388)</f>
        <v>P130SEJUSP</v>
      </c>
      <c r="H388" s="92" t="s">
        <v>1259</v>
      </c>
      <c r="I388" s="22" t="s">
        <v>16</v>
      </c>
      <c r="J388" s="92" t="s">
        <v>458</v>
      </c>
      <c r="K388" s="22" t="str">
        <f>VLOOKUP(CONCATENATE(A388,LEFT(J388,4)),AGRUPAMENTO!$D$2:$E$6783,2,FALSE)</f>
        <v>Demais despesas de capital</v>
      </c>
      <c r="L388" s="92" t="s">
        <v>94</v>
      </c>
      <c r="M388" s="52" t="str">
        <f t="shared" si="32"/>
        <v>FONTESEJUSP</v>
      </c>
      <c r="N388" s="92">
        <v>10</v>
      </c>
      <c r="O388" s="153" t="s">
        <v>2656</v>
      </c>
      <c r="P388" s="92" t="s">
        <v>46</v>
      </c>
      <c r="Q388" s="92" t="s">
        <v>3812</v>
      </c>
      <c r="R388" s="204">
        <v>3</v>
      </c>
      <c r="S388" s="92" t="s">
        <v>3904</v>
      </c>
      <c r="T388" s="200">
        <v>359.9</v>
      </c>
      <c r="U388" s="201">
        <v>1</v>
      </c>
      <c r="V388" s="58">
        <f t="shared" si="33"/>
        <v>1079.6999999999998</v>
      </c>
      <c r="W388" s="52" t="s">
        <v>49</v>
      </c>
      <c r="X388" s="92" t="s">
        <v>4616</v>
      </c>
      <c r="Y388" s="92" t="s">
        <v>4617</v>
      </c>
      <c r="Z388" s="92" t="s">
        <v>4618</v>
      </c>
      <c r="AA388" s="52">
        <v>0</v>
      </c>
      <c r="AB388" s="52">
        <v>0</v>
      </c>
      <c r="AC388" s="52">
        <v>0</v>
      </c>
      <c r="AD388" s="21">
        <v>1</v>
      </c>
      <c r="AE388" s="54">
        <v>1</v>
      </c>
      <c r="AF388" s="315">
        <f t="shared" ref="AF388:AF451" si="36">AE388*V388</f>
        <v>1079.6999999999998</v>
      </c>
    </row>
    <row r="389" spans="1:32" ht="300" x14ac:dyDescent="0.25">
      <c r="A389" s="107" t="s">
        <v>588</v>
      </c>
      <c r="B389" s="107" t="s">
        <v>2269</v>
      </c>
      <c r="C389" s="52"/>
      <c r="D389" s="107" t="s">
        <v>2300</v>
      </c>
      <c r="E389" s="22" t="str">
        <f t="shared" si="34"/>
        <v>SEJUSPPROG</v>
      </c>
      <c r="F389" s="52" t="s">
        <v>729</v>
      </c>
      <c r="G389" s="22" t="str">
        <f t="shared" si="35"/>
        <v>P130SEJUSP</v>
      </c>
      <c r="H389" s="92" t="s">
        <v>1259</v>
      </c>
      <c r="I389" s="22" t="s">
        <v>16</v>
      </c>
      <c r="J389" s="92" t="s">
        <v>1713</v>
      </c>
      <c r="K389" s="22" t="str">
        <f>VLOOKUP(CONCATENATE(A389,LEFT(J389,4)),AGRUPAMENTO!$D$2:$E$6783,2,FALSE)</f>
        <v>Serviços de saúde e medicamentos</v>
      </c>
      <c r="L389" s="92" t="s">
        <v>94</v>
      </c>
      <c r="M389" s="52" t="str">
        <f t="shared" si="32"/>
        <v>FONTESEJUSP</v>
      </c>
      <c r="N389" s="92">
        <v>10</v>
      </c>
      <c r="O389" s="154" t="s">
        <v>2657</v>
      </c>
      <c r="P389" s="92" t="s">
        <v>46</v>
      </c>
      <c r="Q389" s="92" t="s">
        <v>3812</v>
      </c>
      <c r="R389" s="204">
        <v>18</v>
      </c>
      <c r="S389" s="92" t="s">
        <v>3905</v>
      </c>
      <c r="T389" s="200">
        <v>4880</v>
      </c>
      <c r="U389" s="201">
        <v>1</v>
      </c>
      <c r="V389" s="58">
        <f t="shared" si="33"/>
        <v>87840</v>
      </c>
      <c r="W389" s="52" t="s">
        <v>49</v>
      </c>
      <c r="X389" s="92" t="s">
        <v>4616</v>
      </c>
      <c r="Y389" s="92" t="s">
        <v>4617</v>
      </c>
      <c r="Z389" s="92" t="s">
        <v>4618</v>
      </c>
      <c r="AA389" s="52">
        <v>0</v>
      </c>
      <c r="AB389" s="52">
        <v>0</v>
      </c>
      <c r="AC389" s="52">
        <v>0</v>
      </c>
      <c r="AD389" s="21">
        <v>1</v>
      </c>
      <c r="AE389" s="54">
        <v>1</v>
      </c>
      <c r="AF389" s="315">
        <f t="shared" si="36"/>
        <v>87840</v>
      </c>
    </row>
    <row r="390" spans="1:32" ht="300" x14ac:dyDescent="0.25">
      <c r="A390" s="107" t="s">
        <v>588</v>
      </c>
      <c r="B390" s="107" t="s">
        <v>2269</v>
      </c>
      <c r="C390" s="52"/>
      <c r="D390" s="107" t="s">
        <v>2300</v>
      </c>
      <c r="E390" s="22" t="str">
        <f t="shared" si="34"/>
        <v>SEJUSPPROG</v>
      </c>
      <c r="F390" s="52" t="s">
        <v>729</v>
      </c>
      <c r="G390" s="22" t="str">
        <f t="shared" si="35"/>
        <v>P130SEJUSP</v>
      </c>
      <c r="H390" s="92" t="s">
        <v>1259</v>
      </c>
      <c r="I390" s="22" t="s">
        <v>16</v>
      </c>
      <c r="J390" s="92" t="s">
        <v>1676</v>
      </c>
      <c r="K390" s="22" t="str">
        <f>VLOOKUP(CONCATENATE(A390,LEFT(J390,4)),AGRUPAMENTO!$D$2:$E$6783,2,FALSE)</f>
        <v>Aquisições de itens de TIC</v>
      </c>
      <c r="L390" s="92" t="s">
        <v>94</v>
      </c>
      <c r="M390" s="52" t="str">
        <f t="shared" si="32"/>
        <v>FONTESEJUSP</v>
      </c>
      <c r="N390" s="92">
        <v>10</v>
      </c>
      <c r="O390" s="155" t="s">
        <v>2658</v>
      </c>
      <c r="P390" s="92" t="s">
        <v>46</v>
      </c>
      <c r="Q390" s="92" t="s">
        <v>3812</v>
      </c>
      <c r="R390" s="204">
        <v>237</v>
      </c>
      <c r="S390" s="92" t="s">
        <v>3904</v>
      </c>
      <c r="T390" s="200">
        <v>3907</v>
      </c>
      <c r="U390" s="201">
        <v>1</v>
      </c>
      <c r="V390" s="58">
        <f t="shared" si="33"/>
        <v>925959</v>
      </c>
      <c r="W390" s="52" t="s">
        <v>49</v>
      </c>
      <c r="X390" s="92" t="s">
        <v>4616</v>
      </c>
      <c r="Y390" s="92" t="s">
        <v>4617</v>
      </c>
      <c r="Z390" s="92" t="s">
        <v>4618</v>
      </c>
      <c r="AA390" s="52">
        <v>0</v>
      </c>
      <c r="AB390" s="52">
        <v>0</v>
      </c>
      <c r="AC390" s="52">
        <v>0</v>
      </c>
      <c r="AD390" s="21">
        <v>0.23752316495302667</v>
      </c>
      <c r="AE390" s="54">
        <v>0.23752316495302667</v>
      </c>
      <c r="AF390" s="315">
        <f t="shared" si="36"/>
        <v>219936.71229673963</v>
      </c>
    </row>
    <row r="391" spans="1:32" ht="300" x14ac:dyDescent="0.25">
      <c r="A391" s="107" t="s">
        <v>588</v>
      </c>
      <c r="B391" s="107" t="s">
        <v>2269</v>
      </c>
      <c r="C391" s="52"/>
      <c r="D391" s="107" t="s">
        <v>2300</v>
      </c>
      <c r="E391" s="22" t="str">
        <f t="shared" si="34"/>
        <v>SEJUSPPROG</v>
      </c>
      <c r="F391" s="52" t="s">
        <v>729</v>
      </c>
      <c r="G391" s="22" t="str">
        <f t="shared" si="35"/>
        <v>P130SEJUSP</v>
      </c>
      <c r="H391" s="92" t="s">
        <v>1259</v>
      </c>
      <c r="I391" s="22" t="s">
        <v>16</v>
      </c>
      <c r="J391" s="92" t="s">
        <v>1713</v>
      </c>
      <c r="K391" s="22" t="str">
        <f>VLOOKUP(CONCATENATE(A391,LEFT(J391,4)),AGRUPAMENTO!$D$2:$E$6783,2,FALSE)</f>
        <v>Serviços de saúde e medicamentos</v>
      </c>
      <c r="L391" s="92" t="s">
        <v>94</v>
      </c>
      <c r="M391" s="52" t="str">
        <f t="shared" si="32"/>
        <v>FONTESEJUSP</v>
      </c>
      <c r="N391" s="92">
        <v>10</v>
      </c>
      <c r="O391" s="155" t="s">
        <v>2659</v>
      </c>
      <c r="P391" s="92" t="s">
        <v>46</v>
      </c>
      <c r="Q391" s="92" t="s">
        <v>3812</v>
      </c>
      <c r="R391" s="204">
        <v>22</v>
      </c>
      <c r="S391" s="92" t="s">
        <v>3904</v>
      </c>
      <c r="T391" s="200">
        <v>4849.99</v>
      </c>
      <c r="U391" s="201">
        <v>1</v>
      </c>
      <c r="V391" s="58">
        <f t="shared" si="33"/>
        <v>106699.78</v>
      </c>
      <c r="W391" s="52" t="s">
        <v>49</v>
      </c>
      <c r="X391" s="92" t="s">
        <v>4616</v>
      </c>
      <c r="Y391" s="92" t="s">
        <v>4617</v>
      </c>
      <c r="Z391" s="92" t="s">
        <v>4618</v>
      </c>
      <c r="AA391" s="52">
        <v>0</v>
      </c>
      <c r="AB391" s="52">
        <v>0</v>
      </c>
      <c r="AC391" s="52">
        <v>0</v>
      </c>
      <c r="AD391" s="21">
        <v>1</v>
      </c>
      <c r="AE391" s="54">
        <v>1</v>
      </c>
      <c r="AF391" s="315">
        <f t="shared" si="36"/>
        <v>106699.78</v>
      </c>
    </row>
    <row r="392" spans="1:32" ht="300" x14ac:dyDescent="0.25">
      <c r="A392" s="107" t="s">
        <v>588</v>
      </c>
      <c r="B392" s="107" t="s">
        <v>2269</v>
      </c>
      <c r="C392" s="52"/>
      <c r="D392" s="107" t="s">
        <v>2300</v>
      </c>
      <c r="E392" s="22" t="str">
        <f t="shared" si="34"/>
        <v>SEJUSPPROG</v>
      </c>
      <c r="F392" s="52" t="s">
        <v>729</v>
      </c>
      <c r="G392" s="22" t="str">
        <f t="shared" si="35"/>
        <v>P130SEJUSP</v>
      </c>
      <c r="H392" s="92" t="s">
        <v>1259</v>
      </c>
      <c r="I392" s="22" t="s">
        <v>16</v>
      </c>
      <c r="J392" s="92" t="s">
        <v>1713</v>
      </c>
      <c r="K392" s="22" t="str">
        <f>VLOOKUP(CONCATENATE(A392,LEFT(J392,4)),AGRUPAMENTO!$D$2:$E$6783,2,FALSE)</f>
        <v>Serviços de saúde e medicamentos</v>
      </c>
      <c r="L392" s="92" t="s">
        <v>94</v>
      </c>
      <c r="M392" s="52" t="str">
        <f t="shared" si="32"/>
        <v>FONTESEJUSP</v>
      </c>
      <c r="N392" s="92">
        <v>10</v>
      </c>
      <c r="O392" s="155" t="s">
        <v>2660</v>
      </c>
      <c r="P392" s="92" t="s">
        <v>46</v>
      </c>
      <c r="Q392" s="92" t="s">
        <v>3812</v>
      </c>
      <c r="R392" s="204">
        <v>73</v>
      </c>
      <c r="S392" s="92" t="s">
        <v>3904</v>
      </c>
      <c r="T392" s="200">
        <v>264</v>
      </c>
      <c r="U392" s="201">
        <v>1</v>
      </c>
      <c r="V392" s="58">
        <f t="shared" si="33"/>
        <v>19272</v>
      </c>
      <c r="W392" s="52" t="s">
        <v>49</v>
      </c>
      <c r="X392" s="92" t="s">
        <v>4616</v>
      </c>
      <c r="Y392" s="92" t="s">
        <v>4617</v>
      </c>
      <c r="Z392" s="92" t="s">
        <v>4618</v>
      </c>
      <c r="AA392" s="52">
        <v>0</v>
      </c>
      <c r="AB392" s="52">
        <v>0</v>
      </c>
      <c r="AC392" s="52">
        <v>0</v>
      </c>
      <c r="AD392" s="21">
        <v>1</v>
      </c>
      <c r="AE392" s="54">
        <v>1</v>
      </c>
      <c r="AF392" s="315">
        <f t="shared" si="36"/>
        <v>19272</v>
      </c>
    </row>
    <row r="393" spans="1:32" ht="300" x14ac:dyDescent="0.25">
      <c r="A393" s="107" t="s">
        <v>588</v>
      </c>
      <c r="B393" s="107" t="s">
        <v>2269</v>
      </c>
      <c r="C393" s="52"/>
      <c r="D393" s="107" t="s">
        <v>2300</v>
      </c>
      <c r="E393" s="22" t="str">
        <f t="shared" si="34"/>
        <v>SEJUSPPROG</v>
      </c>
      <c r="F393" s="52" t="s">
        <v>729</v>
      </c>
      <c r="G393" s="22" t="str">
        <f t="shared" si="35"/>
        <v>P130SEJUSP</v>
      </c>
      <c r="H393" s="92" t="s">
        <v>1259</v>
      </c>
      <c r="I393" s="22" t="s">
        <v>16</v>
      </c>
      <c r="J393" s="92" t="s">
        <v>1713</v>
      </c>
      <c r="K393" s="22" t="str">
        <f>VLOOKUP(CONCATENATE(A393,LEFT(J393,4)),AGRUPAMENTO!$D$2:$E$6783,2,FALSE)</f>
        <v>Serviços de saúde e medicamentos</v>
      </c>
      <c r="L393" s="92" t="s">
        <v>94</v>
      </c>
      <c r="M393" s="52" t="str">
        <f t="shared" si="32"/>
        <v>FONTESEJUSP</v>
      </c>
      <c r="N393" s="92">
        <v>10</v>
      </c>
      <c r="O393" s="155" t="s">
        <v>2661</v>
      </c>
      <c r="P393" s="92" t="s">
        <v>46</v>
      </c>
      <c r="Q393" s="92" t="s">
        <v>3812</v>
      </c>
      <c r="R393" s="204">
        <v>41</v>
      </c>
      <c r="S393" s="92" t="s">
        <v>3904</v>
      </c>
      <c r="T393" s="200">
        <v>1156.27</v>
      </c>
      <c r="U393" s="201">
        <v>1</v>
      </c>
      <c r="V393" s="58">
        <f t="shared" si="33"/>
        <v>47407.07</v>
      </c>
      <c r="W393" s="52" t="s">
        <v>49</v>
      </c>
      <c r="X393" s="92" t="s">
        <v>4616</v>
      </c>
      <c r="Y393" s="92" t="s">
        <v>4617</v>
      </c>
      <c r="Z393" s="92" t="s">
        <v>4618</v>
      </c>
      <c r="AA393" s="52">
        <v>0</v>
      </c>
      <c r="AB393" s="52">
        <v>0</v>
      </c>
      <c r="AC393" s="52">
        <v>0</v>
      </c>
      <c r="AD393" s="21">
        <v>1</v>
      </c>
      <c r="AE393" s="54">
        <v>1</v>
      </c>
      <c r="AF393" s="315">
        <f t="shared" si="36"/>
        <v>47407.07</v>
      </c>
    </row>
    <row r="394" spans="1:32" ht="300" x14ac:dyDescent="0.25">
      <c r="A394" s="107" t="s">
        <v>588</v>
      </c>
      <c r="B394" s="107" t="s">
        <v>2269</v>
      </c>
      <c r="C394" s="52"/>
      <c r="D394" s="107" t="s">
        <v>2300</v>
      </c>
      <c r="E394" s="22" t="str">
        <f t="shared" si="34"/>
        <v>SEJUSPPROG</v>
      </c>
      <c r="F394" s="52" t="s">
        <v>729</v>
      </c>
      <c r="G394" s="22" t="str">
        <f t="shared" si="35"/>
        <v>P130SEJUSP</v>
      </c>
      <c r="H394" s="92" t="s">
        <v>1259</v>
      </c>
      <c r="I394" s="22" t="s">
        <v>16</v>
      </c>
      <c r="J394" s="92" t="s">
        <v>1713</v>
      </c>
      <c r="K394" s="22" t="str">
        <f>VLOOKUP(CONCATENATE(A394,LEFT(J394,4)),AGRUPAMENTO!$D$2:$E$6783,2,FALSE)</f>
        <v>Serviços de saúde e medicamentos</v>
      </c>
      <c r="L394" s="92" t="s">
        <v>94</v>
      </c>
      <c r="M394" s="52" t="str">
        <f t="shared" si="32"/>
        <v>FONTESEJUSP</v>
      </c>
      <c r="N394" s="92">
        <v>10</v>
      </c>
      <c r="O394" s="153" t="s">
        <v>2662</v>
      </c>
      <c r="P394" s="92" t="s">
        <v>46</v>
      </c>
      <c r="Q394" s="92" t="s">
        <v>3812</v>
      </c>
      <c r="R394" s="204">
        <v>85</v>
      </c>
      <c r="S394" s="92" t="s">
        <v>3904</v>
      </c>
      <c r="T394" s="200">
        <v>20</v>
      </c>
      <c r="U394" s="201">
        <v>1</v>
      </c>
      <c r="V394" s="58">
        <f t="shared" si="33"/>
        <v>1700</v>
      </c>
      <c r="W394" s="52" t="s">
        <v>49</v>
      </c>
      <c r="X394" s="92" t="s">
        <v>4616</v>
      </c>
      <c r="Y394" s="92" t="s">
        <v>4617</v>
      </c>
      <c r="Z394" s="92" t="s">
        <v>4618</v>
      </c>
      <c r="AA394" s="52">
        <v>0</v>
      </c>
      <c r="AB394" s="52">
        <v>0</v>
      </c>
      <c r="AC394" s="52">
        <v>0</v>
      </c>
      <c r="AD394" s="21">
        <v>1</v>
      </c>
      <c r="AE394" s="54">
        <v>1</v>
      </c>
      <c r="AF394" s="315">
        <f t="shared" si="36"/>
        <v>1700</v>
      </c>
    </row>
    <row r="395" spans="1:32" ht="300" x14ac:dyDescent="0.25">
      <c r="A395" s="107" t="s">
        <v>588</v>
      </c>
      <c r="B395" s="107" t="s">
        <v>2269</v>
      </c>
      <c r="C395" s="52"/>
      <c r="D395" s="107" t="s">
        <v>2300</v>
      </c>
      <c r="E395" s="22" t="str">
        <f t="shared" si="34"/>
        <v>SEJUSPPROG</v>
      </c>
      <c r="F395" s="52" t="s">
        <v>729</v>
      </c>
      <c r="G395" s="22" t="str">
        <f t="shared" si="35"/>
        <v>P130SEJUSP</v>
      </c>
      <c r="H395" s="92" t="s">
        <v>1259</v>
      </c>
      <c r="I395" s="22" t="s">
        <v>16</v>
      </c>
      <c r="J395" s="92" t="s">
        <v>1713</v>
      </c>
      <c r="K395" s="22" t="str">
        <f>VLOOKUP(CONCATENATE(A395,LEFT(J395,4)),AGRUPAMENTO!$D$2:$E$6783,2,FALSE)</f>
        <v>Serviços de saúde e medicamentos</v>
      </c>
      <c r="L395" s="92" t="s">
        <v>94</v>
      </c>
      <c r="M395" s="52" t="str">
        <f t="shared" si="32"/>
        <v>FONTESEJUSP</v>
      </c>
      <c r="N395" s="92">
        <v>10</v>
      </c>
      <c r="O395" s="156" t="s">
        <v>2663</v>
      </c>
      <c r="P395" s="92" t="s">
        <v>46</v>
      </c>
      <c r="Q395" s="92" t="s">
        <v>3812</v>
      </c>
      <c r="R395" s="204">
        <v>32</v>
      </c>
      <c r="S395" s="92" t="s">
        <v>3904</v>
      </c>
      <c r="T395" s="200">
        <v>700</v>
      </c>
      <c r="U395" s="201">
        <v>1</v>
      </c>
      <c r="V395" s="58">
        <f t="shared" si="33"/>
        <v>22400</v>
      </c>
      <c r="W395" s="52" t="s">
        <v>49</v>
      </c>
      <c r="X395" s="92" t="s">
        <v>4616</v>
      </c>
      <c r="Y395" s="92" t="s">
        <v>4617</v>
      </c>
      <c r="Z395" s="92" t="s">
        <v>4618</v>
      </c>
      <c r="AA395" s="52">
        <v>0</v>
      </c>
      <c r="AB395" s="52">
        <v>0</v>
      </c>
      <c r="AC395" s="52">
        <v>0</v>
      </c>
      <c r="AD395" s="21">
        <v>1</v>
      </c>
      <c r="AE395" s="54">
        <v>1</v>
      </c>
      <c r="AF395" s="315">
        <f t="shared" si="36"/>
        <v>22400</v>
      </c>
    </row>
    <row r="396" spans="1:32" ht="300" x14ac:dyDescent="0.25">
      <c r="A396" s="107" t="s">
        <v>588</v>
      </c>
      <c r="B396" s="107" t="s">
        <v>2269</v>
      </c>
      <c r="C396" s="52"/>
      <c r="D396" s="107" t="s">
        <v>2300</v>
      </c>
      <c r="E396" s="22" t="str">
        <f t="shared" si="34"/>
        <v>SEJUSPPROG</v>
      </c>
      <c r="F396" s="52" t="s">
        <v>729</v>
      </c>
      <c r="G396" s="22" t="str">
        <f t="shared" si="35"/>
        <v>P130SEJUSP</v>
      </c>
      <c r="H396" s="92" t="s">
        <v>1259</v>
      </c>
      <c r="I396" s="22" t="s">
        <v>16</v>
      </c>
      <c r="J396" s="92" t="s">
        <v>1713</v>
      </c>
      <c r="K396" s="22" t="str">
        <f>VLOOKUP(CONCATENATE(A396,LEFT(J396,4)),AGRUPAMENTO!$D$2:$E$6783,2,FALSE)</f>
        <v>Serviços de saúde e medicamentos</v>
      </c>
      <c r="L396" s="92" t="s">
        <v>94</v>
      </c>
      <c r="M396" s="52" t="str">
        <f t="shared" si="32"/>
        <v>FONTESEJUSP</v>
      </c>
      <c r="N396" s="92">
        <v>10</v>
      </c>
      <c r="O396" s="155" t="s">
        <v>2664</v>
      </c>
      <c r="P396" s="92" t="s">
        <v>46</v>
      </c>
      <c r="Q396" s="92" t="s">
        <v>3812</v>
      </c>
      <c r="R396" s="204">
        <v>34</v>
      </c>
      <c r="S396" s="92" t="s">
        <v>3904</v>
      </c>
      <c r="T396" s="200">
        <v>1061.8900000000001</v>
      </c>
      <c r="U396" s="201">
        <v>1</v>
      </c>
      <c r="V396" s="58">
        <f t="shared" si="33"/>
        <v>36104.26</v>
      </c>
      <c r="W396" s="52" t="s">
        <v>49</v>
      </c>
      <c r="X396" s="92" t="s">
        <v>4616</v>
      </c>
      <c r="Y396" s="92" t="s">
        <v>4617</v>
      </c>
      <c r="Z396" s="92" t="s">
        <v>4618</v>
      </c>
      <c r="AA396" s="52">
        <v>0</v>
      </c>
      <c r="AB396" s="52">
        <v>0</v>
      </c>
      <c r="AC396" s="52">
        <v>0</v>
      </c>
      <c r="AD396" s="21">
        <v>1</v>
      </c>
      <c r="AE396" s="54">
        <v>1</v>
      </c>
      <c r="AF396" s="315">
        <f t="shared" si="36"/>
        <v>36104.26</v>
      </c>
    </row>
    <row r="397" spans="1:32" ht="300" x14ac:dyDescent="0.25">
      <c r="A397" s="107" t="s">
        <v>588</v>
      </c>
      <c r="B397" s="107" t="s">
        <v>2269</v>
      </c>
      <c r="C397" s="52"/>
      <c r="D397" s="107" t="s">
        <v>2300</v>
      </c>
      <c r="E397" s="22" t="str">
        <f t="shared" si="34"/>
        <v>SEJUSPPROG</v>
      </c>
      <c r="F397" s="52" t="s">
        <v>729</v>
      </c>
      <c r="G397" s="22" t="str">
        <f t="shared" si="35"/>
        <v>P130SEJUSP</v>
      </c>
      <c r="H397" s="92" t="s">
        <v>1259</v>
      </c>
      <c r="I397" s="22" t="s">
        <v>16</v>
      </c>
      <c r="J397" s="92" t="s">
        <v>1713</v>
      </c>
      <c r="K397" s="22" t="str">
        <f>VLOOKUP(CONCATENATE(A397,LEFT(J397,4)),AGRUPAMENTO!$D$2:$E$6783,2,FALSE)</f>
        <v>Serviços de saúde e medicamentos</v>
      </c>
      <c r="L397" s="92" t="s">
        <v>94</v>
      </c>
      <c r="M397" s="52" t="str">
        <f t="shared" si="32"/>
        <v>FONTESEJUSP</v>
      </c>
      <c r="N397" s="92">
        <v>10</v>
      </c>
      <c r="O397" s="155" t="s">
        <v>2665</v>
      </c>
      <c r="P397" s="92" t="s">
        <v>46</v>
      </c>
      <c r="Q397" s="92" t="s">
        <v>3812</v>
      </c>
      <c r="R397" s="204">
        <v>29</v>
      </c>
      <c r="S397" s="92" t="s">
        <v>3904</v>
      </c>
      <c r="T397" s="200">
        <v>610.73</v>
      </c>
      <c r="U397" s="201">
        <v>1</v>
      </c>
      <c r="V397" s="58">
        <f t="shared" si="33"/>
        <v>17711.170000000002</v>
      </c>
      <c r="W397" s="52" t="s">
        <v>49</v>
      </c>
      <c r="X397" s="92" t="s">
        <v>4616</v>
      </c>
      <c r="Y397" s="92" t="s">
        <v>4617</v>
      </c>
      <c r="Z397" s="92" t="s">
        <v>4618</v>
      </c>
      <c r="AA397" s="52">
        <v>0</v>
      </c>
      <c r="AB397" s="52">
        <v>0</v>
      </c>
      <c r="AC397" s="52">
        <v>0</v>
      </c>
      <c r="AD397" s="21">
        <v>1</v>
      </c>
      <c r="AE397" s="54">
        <v>1</v>
      </c>
      <c r="AF397" s="315">
        <f t="shared" si="36"/>
        <v>17711.170000000002</v>
      </c>
    </row>
    <row r="398" spans="1:32" ht="300" x14ac:dyDescent="0.25">
      <c r="A398" s="107" t="s">
        <v>588</v>
      </c>
      <c r="B398" s="107" t="s">
        <v>2269</v>
      </c>
      <c r="C398" s="52"/>
      <c r="D398" s="107" t="s">
        <v>2300</v>
      </c>
      <c r="E398" s="22" t="str">
        <f t="shared" si="34"/>
        <v>SEJUSPPROG</v>
      </c>
      <c r="F398" s="52" t="s">
        <v>729</v>
      </c>
      <c r="G398" s="22" t="str">
        <f t="shared" si="35"/>
        <v>P130SEJUSP</v>
      </c>
      <c r="H398" s="92" t="s">
        <v>1259</v>
      </c>
      <c r="I398" s="22" t="s">
        <v>16</v>
      </c>
      <c r="J398" s="92" t="s">
        <v>1713</v>
      </c>
      <c r="K398" s="22" t="str">
        <f>VLOOKUP(CONCATENATE(A398,LEFT(J398,4)),AGRUPAMENTO!$D$2:$E$6783,2,FALSE)</f>
        <v>Serviços de saúde e medicamentos</v>
      </c>
      <c r="L398" s="92" t="s">
        <v>94</v>
      </c>
      <c r="M398" s="52" t="str">
        <f t="shared" si="32"/>
        <v>FONTESEJUSP</v>
      </c>
      <c r="N398" s="92">
        <v>10</v>
      </c>
      <c r="O398" s="155" t="s">
        <v>2666</v>
      </c>
      <c r="P398" s="92" t="s">
        <v>46</v>
      </c>
      <c r="Q398" s="92" t="s">
        <v>3812</v>
      </c>
      <c r="R398" s="204">
        <v>60</v>
      </c>
      <c r="S398" s="92" t="s">
        <v>3904</v>
      </c>
      <c r="T398" s="200">
        <v>758.33</v>
      </c>
      <c r="U398" s="201">
        <v>1</v>
      </c>
      <c r="V398" s="58">
        <f t="shared" si="33"/>
        <v>45499.8</v>
      </c>
      <c r="W398" s="52" t="s">
        <v>49</v>
      </c>
      <c r="X398" s="92" t="s">
        <v>4616</v>
      </c>
      <c r="Y398" s="92" t="s">
        <v>4617</v>
      </c>
      <c r="Z398" s="92" t="s">
        <v>4618</v>
      </c>
      <c r="AA398" s="52">
        <v>0</v>
      </c>
      <c r="AB398" s="52">
        <v>0</v>
      </c>
      <c r="AC398" s="52">
        <v>0</v>
      </c>
      <c r="AD398" s="21">
        <v>1</v>
      </c>
      <c r="AE398" s="54">
        <v>1</v>
      </c>
      <c r="AF398" s="315">
        <f t="shared" si="36"/>
        <v>45499.8</v>
      </c>
    </row>
    <row r="399" spans="1:32" ht="300" x14ac:dyDescent="0.25">
      <c r="A399" s="107" t="s">
        <v>588</v>
      </c>
      <c r="B399" s="107" t="s">
        <v>2269</v>
      </c>
      <c r="C399" s="52"/>
      <c r="D399" s="107" t="s">
        <v>2300</v>
      </c>
      <c r="E399" s="22" t="str">
        <f t="shared" si="34"/>
        <v>SEJUSPPROG</v>
      </c>
      <c r="F399" s="52" t="s">
        <v>729</v>
      </c>
      <c r="G399" s="22" t="str">
        <f t="shared" si="35"/>
        <v>P130SEJUSP</v>
      </c>
      <c r="H399" s="92" t="s">
        <v>1259</v>
      </c>
      <c r="I399" s="22" t="s">
        <v>16</v>
      </c>
      <c r="J399" s="92" t="s">
        <v>1713</v>
      </c>
      <c r="K399" s="22" t="str">
        <f>VLOOKUP(CONCATENATE(A399,LEFT(J399,4)),AGRUPAMENTO!$D$2:$E$6783,2,FALSE)</f>
        <v>Serviços de saúde e medicamentos</v>
      </c>
      <c r="L399" s="92" t="s">
        <v>94</v>
      </c>
      <c r="M399" s="52" t="str">
        <f t="shared" si="32"/>
        <v>FONTESEJUSP</v>
      </c>
      <c r="N399" s="92">
        <v>10</v>
      </c>
      <c r="O399" s="155" t="s">
        <v>2667</v>
      </c>
      <c r="P399" s="92" t="s">
        <v>46</v>
      </c>
      <c r="Q399" s="92" t="s">
        <v>3812</v>
      </c>
      <c r="R399" s="204">
        <v>73</v>
      </c>
      <c r="S399" s="92" t="s">
        <v>3904</v>
      </c>
      <c r="T399" s="200">
        <v>441.99</v>
      </c>
      <c r="U399" s="201">
        <v>1</v>
      </c>
      <c r="V399" s="58">
        <f t="shared" si="33"/>
        <v>32265.27</v>
      </c>
      <c r="W399" s="52" t="s">
        <v>49</v>
      </c>
      <c r="X399" s="92" t="s">
        <v>4616</v>
      </c>
      <c r="Y399" s="92" t="s">
        <v>4617</v>
      </c>
      <c r="Z399" s="92" t="s">
        <v>4618</v>
      </c>
      <c r="AA399" s="52">
        <v>0</v>
      </c>
      <c r="AB399" s="52">
        <v>0</v>
      </c>
      <c r="AC399" s="52">
        <v>0</v>
      </c>
      <c r="AD399" s="21">
        <v>1</v>
      </c>
      <c r="AE399" s="54">
        <v>1</v>
      </c>
      <c r="AF399" s="315">
        <f t="shared" si="36"/>
        <v>32265.27</v>
      </c>
    </row>
    <row r="400" spans="1:32" ht="300" x14ac:dyDescent="0.25">
      <c r="A400" s="107" t="s">
        <v>588</v>
      </c>
      <c r="B400" s="107" t="s">
        <v>2269</v>
      </c>
      <c r="C400" s="52"/>
      <c r="D400" s="107" t="s">
        <v>2300</v>
      </c>
      <c r="E400" s="22" t="str">
        <f t="shared" si="34"/>
        <v>SEJUSPPROG</v>
      </c>
      <c r="F400" s="52" t="s">
        <v>729</v>
      </c>
      <c r="G400" s="22" t="str">
        <f t="shared" si="35"/>
        <v>P130SEJUSP</v>
      </c>
      <c r="H400" s="92" t="s">
        <v>1259</v>
      </c>
      <c r="I400" s="22" t="s">
        <v>16</v>
      </c>
      <c r="J400" s="92" t="s">
        <v>1713</v>
      </c>
      <c r="K400" s="22" t="str">
        <f>VLOOKUP(CONCATENATE(A400,LEFT(J400,4)),AGRUPAMENTO!$D$2:$E$6783,2,FALSE)</f>
        <v>Serviços de saúde e medicamentos</v>
      </c>
      <c r="L400" s="92" t="s">
        <v>94</v>
      </c>
      <c r="M400" s="52" t="str">
        <f t="shared" si="32"/>
        <v>FONTESEJUSP</v>
      </c>
      <c r="N400" s="92">
        <v>10</v>
      </c>
      <c r="O400" s="155" t="s">
        <v>2668</v>
      </c>
      <c r="P400" s="92" t="s">
        <v>46</v>
      </c>
      <c r="Q400" s="92" t="s">
        <v>3812</v>
      </c>
      <c r="R400" s="204">
        <v>43</v>
      </c>
      <c r="S400" s="92" t="s">
        <v>3904</v>
      </c>
      <c r="T400" s="200">
        <v>986.8</v>
      </c>
      <c r="U400" s="201">
        <v>1</v>
      </c>
      <c r="V400" s="58">
        <f t="shared" si="33"/>
        <v>42432.4</v>
      </c>
      <c r="W400" s="52" t="s">
        <v>49</v>
      </c>
      <c r="X400" s="92" t="s">
        <v>4616</v>
      </c>
      <c r="Y400" s="92" t="s">
        <v>4617</v>
      </c>
      <c r="Z400" s="92" t="s">
        <v>4618</v>
      </c>
      <c r="AA400" s="52">
        <v>0</v>
      </c>
      <c r="AB400" s="52">
        <v>0</v>
      </c>
      <c r="AC400" s="52">
        <v>0</v>
      </c>
      <c r="AD400" s="21">
        <v>1</v>
      </c>
      <c r="AE400" s="54">
        <v>1</v>
      </c>
      <c r="AF400" s="315">
        <f t="shared" si="36"/>
        <v>42432.4</v>
      </c>
    </row>
    <row r="401" spans="1:32" ht="300" x14ac:dyDescent="0.25">
      <c r="A401" s="107" t="s">
        <v>588</v>
      </c>
      <c r="B401" s="107" t="s">
        <v>2269</v>
      </c>
      <c r="C401" s="52"/>
      <c r="D401" s="107" t="s">
        <v>2300</v>
      </c>
      <c r="E401" s="22" t="str">
        <f t="shared" si="34"/>
        <v>SEJUSPPROG</v>
      </c>
      <c r="F401" s="52" t="s">
        <v>729</v>
      </c>
      <c r="G401" s="22" t="str">
        <f t="shared" si="35"/>
        <v>P130SEJUSP</v>
      </c>
      <c r="H401" s="92" t="s">
        <v>1259</v>
      </c>
      <c r="I401" s="22" t="s">
        <v>16</v>
      </c>
      <c r="J401" s="92" t="s">
        <v>1713</v>
      </c>
      <c r="K401" s="22" t="str">
        <f>VLOOKUP(CONCATENATE(A401,LEFT(J401,4)),AGRUPAMENTO!$D$2:$E$6783,2,FALSE)</f>
        <v>Serviços de saúde e medicamentos</v>
      </c>
      <c r="L401" s="92" t="s">
        <v>94</v>
      </c>
      <c r="M401" s="52" t="str">
        <f t="shared" si="32"/>
        <v>FONTESEJUSP</v>
      </c>
      <c r="N401" s="92">
        <v>10</v>
      </c>
      <c r="O401" s="155" t="s">
        <v>2669</v>
      </c>
      <c r="P401" s="92" t="s">
        <v>46</v>
      </c>
      <c r="Q401" s="92" t="s">
        <v>3812</v>
      </c>
      <c r="R401" s="204">
        <v>1</v>
      </c>
      <c r="S401" s="92" t="s">
        <v>3904</v>
      </c>
      <c r="T401" s="200">
        <v>19500</v>
      </c>
      <c r="U401" s="201">
        <v>1</v>
      </c>
      <c r="V401" s="58">
        <f t="shared" si="33"/>
        <v>19500</v>
      </c>
      <c r="W401" s="52" t="s">
        <v>49</v>
      </c>
      <c r="X401" s="92" t="s">
        <v>4616</v>
      </c>
      <c r="Y401" s="92" t="s">
        <v>4617</v>
      </c>
      <c r="Z401" s="92" t="s">
        <v>4618</v>
      </c>
      <c r="AA401" s="52">
        <v>0</v>
      </c>
      <c r="AB401" s="52">
        <v>0</v>
      </c>
      <c r="AC401" s="52">
        <v>0</v>
      </c>
      <c r="AD401" s="21">
        <v>1</v>
      </c>
      <c r="AE401" s="54">
        <v>1</v>
      </c>
      <c r="AF401" s="315">
        <f t="shared" si="36"/>
        <v>19500</v>
      </c>
    </row>
    <row r="402" spans="1:32" ht="300" x14ac:dyDescent="0.25">
      <c r="A402" s="107" t="s">
        <v>588</v>
      </c>
      <c r="B402" s="107" t="s">
        <v>2269</v>
      </c>
      <c r="C402" s="52"/>
      <c r="D402" s="107" t="s">
        <v>2300</v>
      </c>
      <c r="E402" s="22" t="str">
        <f t="shared" si="34"/>
        <v>SEJUSPPROG</v>
      </c>
      <c r="F402" s="52" t="s">
        <v>729</v>
      </c>
      <c r="G402" s="22" t="str">
        <f t="shared" si="35"/>
        <v>P130SEJUSP</v>
      </c>
      <c r="H402" s="92" t="s">
        <v>1259</v>
      </c>
      <c r="I402" s="22" t="s">
        <v>16</v>
      </c>
      <c r="J402" s="92" t="s">
        <v>1713</v>
      </c>
      <c r="K402" s="22" t="str">
        <f>VLOOKUP(CONCATENATE(A402,LEFT(J402,4)),AGRUPAMENTO!$D$2:$E$6783,2,FALSE)</f>
        <v>Serviços de saúde e medicamentos</v>
      </c>
      <c r="L402" s="92" t="s">
        <v>94</v>
      </c>
      <c r="M402" s="52" t="str">
        <f t="shared" si="32"/>
        <v>FONTESEJUSP</v>
      </c>
      <c r="N402" s="92">
        <v>10</v>
      </c>
      <c r="O402" s="155" t="s">
        <v>2670</v>
      </c>
      <c r="P402" s="92" t="s">
        <v>46</v>
      </c>
      <c r="Q402" s="92" t="s">
        <v>3812</v>
      </c>
      <c r="R402" s="204">
        <v>26</v>
      </c>
      <c r="S402" s="92" t="s">
        <v>3905</v>
      </c>
      <c r="T402" s="200">
        <v>165</v>
      </c>
      <c r="U402" s="201">
        <v>1</v>
      </c>
      <c r="V402" s="58">
        <f t="shared" si="33"/>
        <v>4290</v>
      </c>
      <c r="W402" s="52" t="s">
        <v>49</v>
      </c>
      <c r="X402" s="92" t="s">
        <v>4616</v>
      </c>
      <c r="Y402" s="92" t="s">
        <v>4617</v>
      </c>
      <c r="Z402" s="92" t="s">
        <v>4618</v>
      </c>
      <c r="AA402" s="52">
        <v>0</v>
      </c>
      <c r="AB402" s="52">
        <v>0</v>
      </c>
      <c r="AC402" s="52">
        <v>0</v>
      </c>
      <c r="AD402" s="21">
        <v>1</v>
      </c>
      <c r="AE402" s="54">
        <v>1</v>
      </c>
      <c r="AF402" s="315">
        <f t="shared" si="36"/>
        <v>4290</v>
      </c>
    </row>
    <row r="403" spans="1:32" ht="300" x14ac:dyDescent="0.25">
      <c r="A403" s="107" t="s">
        <v>588</v>
      </c>
      <c r="B403" s="107" t="s">
        <v>2269</v>
      </c>
      <c r="C403" s="52"/>
      <c r="D403" s="107" t="s">
        <v>2300</v>
      </c>
      <c r="E403" s="22" t="str">
        <f t="shared" si="34"/>
        <v>SEJUSPPROG</v>
      </c>
      <c r="F403" s="52" t="s">
        <v>729</v>
      </c>
      <c r="G403" s="22" t="str">
        <f t="shared" si="35"/>
        <v>P130SEJUSP</v>
      </c>
      <c r="H403" s="92" t="s">
        <v>1259</v>
      </c>
      <c r="I403" s="22" t="s">
        <v>16</v>
      </c>
      <c r="J403" s="92" t="s">
        <v>1713</v>
      </c>
      <c r="K403" s="22" t="str">
        <f>VLOOKUP(CONCATENATE(A403,LEFT(J403,4)),AGRUPAMENTO!$D$2:$E$6783,2,FALSE)</f>
        <v>Serviços de saúde e medicamentos</v>
      </c>
      <c r="L403" s="92" t="s">
        <v>94</v>
      </c>
      <c r="M403" s="52" t="str">
        <f t="shared" si="32"/>
        <v>FONTESEJUSP</v>
      </c>
      <c r="N403" s="92">
        <v>10</v>
      </c>
      <c r="O403" s="155" t="s">
        <v>2671</v>
      </c>
      <c r="P403" s="92" t="s">
        <v>46</v>
      </c>
      <c r="Q403" s="92" t="s">
        <v>3812</v>
      </c>
      <c r="R403" s="204">
        <v>52</v>
      </c>
      <c r="S403" s="92" t="s">
        <v>3904</v>
      </c>
      <c r="T403" s="200">
        <v>611.5</v>
      </c>
      <c r="U403" s="201">
        <v>1</v>
      </c>
      <c r="V403" s="58">
        <f t="shared" si="33"/>
        <v>31798</v>
      </c>
      <c r="W403" s="52" t="s">
        <v>49</v>
      </c>
      <c r="X403" s="92" t="s">
        <v>4616</v>
      </c>
      <c r="Y403" s="92" t="s">
        <v>4617</v>
      </c>
      <c r="Z403" s="92" t="s">
        <v>4618</v>
      </c>
      <c r="AA403" s="52">
        <v>0</v>
      </c>
      <c r="AB403" s="52">
        <v>0</v>
      </c>
      <c r="AC403" s="52">
        <v>0</v>
      </c>
      <c r="AD403" s="21">
        <v>1</v>
      </c>
      <c r="AE403" s="54">
        <v>1</v>
      </c>
      <c r="AF403" s="315">
        <f t="shared" si="36"/>
        <v>31798</v>
      </c>
    </row>
    <row r="404" spans="1:32" ht="300" x14ac:dyDescent="0.25">
      <c r="A404" s="107" t="s">
        <v>588</v>
      </c>
      <c r="B404" s="107" t="s">
        <v>2269</v>
      </c>
      <c r="C404" s="52"/>
      <c r="D404" s="107" t="s">
        <v>2300</v>
      </c>
      <c r="E404" s="22" t="str">
        <f t="shared" si="34"/>
        <v>SEJUSPPROG</v>
      </c>
      <c r="F404" s="52" t="s">
        <v>729</v>
      </c>
      <c r="G404" s="22" t="str">
        <f t="shared" si="35"/>
        <v>P130SEJUSP</v>
      </c>
      <c r="H404" s="92" t="s">
        <v>1259</v>
      </c>
      <c r="I404" s="22" t="s">
        <v>16</v>
      </c>
      <c r="J404" s="92" t="s">
        <v>1713</v>
      </c>
      <c r="K404" s="22" t="str">
        <f>VLOOKUP(CONCATENATE(A404,LEFT(J404,4)),AGRUPAMENTO!$D$2:$E$6783,2,FALSE)</f>
        <v>Serviços de saúde e medicamentos</v>
      </c>
      <c r="L404" s="92" t="s">
        <v>94</v>
      </c>
      <c r="M404" s="52" t="str">
        <f t="shared" si="32"/>
        <v>FONTESEJUSP</v>
      </c>
      <c r="N404" s="92">
        <v>10</v>
      </c>
      <c r="O404" s="155" t="s">
        <v>2672</v>
      </c>
      <c r="P404" s="92" t="s">
        <v>46</v>
      </c>
      <c r="Q404" s="92" t="s">
        <v>3812</v>
      </c>
      <c r="R404" s="204">
        <v>49</v>
      </c>
      <c r="S404" s="92" t="s">
        <v>3904</v>
      </c>
      <c r="T404" s="200">
        <v>65</v>
      </c>
      <c r="U404" s="201">
        <v>1</v>
      </c>
      <c r="V404" s="58">
        <f t="shared" si="33"/>
        <v>3185</v>
      </c>
      <c r="W404" s="52" t="s">
        <v>49</v>
      </c>
      <c r="X404" s="92" t="s">
        <v>4616</v>
      </c>
      <c r="Y404" s="92" t="s">
        <v>4617</v>
      </c>
      <c r="Z404" s="92" t="s">
        <v>4618</v>
      </c>
      <c r="AA404" s="52">
        <v>0</v>
      </c>
      <c r="AB404" s="52">
        <v>0</v>
      </c>
      <c r="AC404" s="52">
        <v>0</v>
      </c>
      <c r="AD404" s="21">
        <v>1</v>
      </c>
      <c r="AE404" s="54">
        <v>1</v>
      </c>
      <c r="AF404" s="315">
        <f t="shared" si="36"/>
        <v>3185</v>
      </c>
    </row>
    <row r="405" spans="1:32" ht="300" x14ac:dyDescent="0.25">
      <c r="A405" s="107" t="s">
        <v>588</v>
      </c>
      <c r="B405" s="107" t="s">
        <v>2269</v>
      </c>
      <c r="C405" s="52"/>
      <c r="D405" s="107" t="s">
        <v>2300</v>
      </c>
      <c r="E405" s="22" t="str">
        <f t="shared" si="34"/>
        <v>SEJUSPPROG</v>
      </c>
      <c r="F405" s="52" t="s">
        <v>729</v>
      </c>
      <c r="G405" s="22" t="str">
        <f t="shared" si="35"/>
        <v>P130SEJUSP</v>
      </c>
      <c r="H405" s="92" t="s">
        <v>1259</v>
      </c>
      <c r="I405" s="22" t="s">
        <v>16</v>
      </c>
      <c r="J405" s="92" t="s">
        <v>458</v>
      </c>
      <c r="K405" s="22" t="str">
        <f>VLOOKUP(CONCATENATE(A405,LEFT(J405,4)),AGRUPAMENTO!$D$2:$E$6783,2,FALSE)</f>
        <v>Demais despesas de capital</v>
      </c>
      <c r="L405" s="92" t="s">
        <v>94</v>
      </c>
      <c r="M405" s="52" t="str">
        <f t="shared" si="32"/>
        <v>FONTESEJUSP</v>
      </c>
      <c r="N405" s="92">
        <v>10</v>
      </c>
      <c r="O405" s="155" t="s">
        <v>2673</v>
      </c>
      <c r="P405" s="92" t="s">
        <v>46</v>
      </c>
      <c r="Q405" s="92" t="s">
        <v>3812</v>
      </c>
      <c r="R405" s="204">
        <v>1</v>
      </c>
      <c r="S405" s="92" t="s">
        <v>3905</v>
      </c>
      <c r="T405" s="200">
        <v>349</v>
      </c>
      <c r="U405" s="201">
        <v>1</v>
      </c>
      <c r="V405" s="58">
        <f t="shared" si="33"/>
        <v>349</v>
      </c>
      <c r="W405" s="52" t="s">
        <v>49</v>
      </c>
      <c r="X405" s="92" t="s">
        <v>4616</v>
      </c>
      <c r="Y405" s="92" t="s">
        <v>4617</v>
      </c>
      <c r="Z405" s="92" t="s">
        <v>4618</v>
      </c>
      <c r="AA405" s="52">
        <v>0</v>
      </c>
      <c r="AB405" s="52">
        <v>0</v>
      </c>
      <c r="AC405" s="52">
        <v>0</v>
      </c>
      <c r="AD405" s="21">
        <v>1</v>
      </c>
      <c r="AE405" s="54">
        <v>1</v>
      </c>
      <c r="AF405" s="315">
        <f t="shared" si="36"/>
        <v>349</v>
      </c>
    </row>
    <row r="406" spans="1:32" ht="300" x14ac:dyDescent="0.25">
      <c r="A406" s="107" t="s">
        <v>588</v>
      </c>
      <c r="B406" s="107" t="s">
        <v>2269</v>
      </c>
      <c r="C406" s="52"/>
      <c r="D406" s="107" t="s">
        <v>2300</v>
      </c>
      <c r="E406" s="22" t="str">
        <f t="shared" si="34"/>
        <v>SEJUSPPROG</v>
      </c>
      <c r="F406" s="52" t="s">
        <v>729</v>
      </c>
      <c r="G406" s="22" t="str">
        <f t="shared" si="35"/>
        <v>P130SEJUSP</v>
      </c>
      <c r="H406" s="92" t="s">
        <v>1259</v>
      </c>
      <c r="I406" s="22" t="s">
        <v>16</v>
      </c>
      <c r="J406" s="92" t="s">
        <v>458</v>
      </c>
      <c r="K406" s="22" t="str">
        <f>VLOOKUP(CONCATENATE(A406,LEFT(J406,4)),AGRUPAMENTO!$D$2:$E$6783,2,FALSE)</f>
        <v>Demais despesas de capital</v>
      </c>
      <c r="L406" s="92" t="s">
        <v>94</v>
      </c>
      <c r="M406" s="52" t="str">
        <f t="shared" si="32"/>
        <v>FONTESEJUSP</v>
      </c>
      <c r="N406" s="92">
        <v>10</v>
      </c>
      <c r="O406" s="155" t="s">
        <v>2674</v>
      </c>
      <c r="P406" s="92" t="s">
        <v>46</v>
      </c>
      <c r="Q406" s="92" t="s">
        <v>3812</v>
      </c>
      <c r="R406" s="204">
        <v>33</v>
      </c>
      <c r="S406" s="92" t="s">
        <v>3904</v>
      </c>
      <c r="T406" s="200">
        <v>1638</v>
      </c>
      <c r="U406" s="201">
        <v>1</v>
      </c>
      <c r="V406" s="58">
        <f t="shared" si="33"/>
        <v>54054</v>
      </c>
      <c r="W406" s="52" t="s">
        <v>49</v>
      </c>
      <c r="X406" s="92" t="s">
        <v>4616</v>
      </c>
      <c r="Y406" s="92" t="s">
        <v>4617</v>
      </c>
      <c r="Z406" s="92" t="s">
        <v>4618</v>
      </c>
      <c r="AA406" s="52">
        <v>0</v>
      </c>
      <c r="AB406" s="52">
        <v>0</v>
      </c>
      <c r="AC406" s="52">
        <v>0</v>
      </c>
      <c r="AD406" s="21">
        <v>1</v>
      </c>
      <c r="AE406" s="54">
        <v>1</v>
      </c>
      <c r="AF406" s="315">
        <f t="shared" si="36"/>
        <v>54054</v>
      </c>
    </row>
    <row r="407" spans="1:32" ht="300" x14ac:dyDescent="0.25">
      <c r="A407" s="107" t="s">
        <v>588</v>
      </c>
      <c r="B407" s="107" t="s">
        <v>2269</v>
      </c>
      <c r="C407" s="52"/>
      <c r="D407" s="107" t="s">
        <v>2300</v>
      </c>
      <c r="E407" s="22" t="str">
        <f t="shared" si="34"/>
        <v>SEJUSPPROG</v>
      </c>
      <c r="F407" s="52" t="s">
        <v>729</v>
      </c>
      <c r="G407" s="22" t="str">
        <f t="shared" si="35"/>
        <v>P130SEJUSP</v>
      </c>
      <c r="H407" s="92" t="s">
        <v>1259</v>
      </c>
      <c r="I407" s="22" t="s">
        <v>16</v>
      </c>
      <c r="J407" s="92" t="s">
        <v>1713</v>
      </c>
      <c r="K407" s="22" t="str">
        <f>VLOOKUP(CONCATENATE(A407,LEFT(J407,4)),AGRUPAMENTO!$D$2:$E$6783,2,FALSE)</f>
        <v>Serviços de saúde e medicamentos</v>
      </c>
      <c r="L407" s="92" t="s">
        <v>94</v>
      </c>
      <c r="M407" s="52" t="str">
        <f t="shared" si="32"/>
        <v>FONTESEJUSP</v>
      </c>
      <c r="N407" s="92">
        <v>10</v>
      </c>
      <c r="O407" s="155" t="s">
        <v>2675</v>
      </c>
      <c r="P407" s="92" t="s">
        <v>46</v>
      </c>
      <c r="Q407" s="92" t="s">
        <v>3812</v>
      </c>
      <c r="R407" s="204">
        <v>3</v>
      </c>
      <c r="S407" s="92" t="s">
        <v>3904</v>
      </c>
      <c r="T407" s="200">
        <v>2525</v>
      </c>
      <c r="U407" s="201">
        <v>1</v>
      </c>
      <c r="V407" s="58">
        <f t="shared" si="33"/>
        <v>7575</v>
      </c>
      <c r="W407" s="52" t="s">
        <v>49</v>
      </c>
      <c r="X407" s="92" t="s">
        <v>4616</v>
      </c>
      <c r="Y407" s="92" t="s">
        <v>4617</v>
      </c>
      <c r="Z407" s="92" t="s">
        <v>4618</v>
      </c>
      <c r="AA407" s="52">
        <v>0</v>
      </c>
      <c r="AB407" s="52">
        <v>0</v>
      </c>
      <c r="AC407" s="52">
        <v>0</v>
      </c>
      <c r="AD407" s="21">
        <v>1</v>
      </c>
      <c r="AE407" s="54">
        <v>1</v>
      </c>
      <c r="AF407" s="315">
        <f t="shared" si="36"/>
        <v>7575</v>
      </c>
    </row>
    <row r="408" spans="1:32" ht="300" x14ac:dyDescent="0.25">
      <c r="A408" s="107" t="s">
        <v>588</v>
      </c>
      <c r="B408" s="107" t="s">
        <v>2269</v>
      </c>
      <c r="C408" s="52"/>
      <c r="D408" s="107" t="s">
        <v>2300</v>
      </c>
      <c r="E408" s="22" t="str">
        <f t="shared" si="34"/>
        <v>SEJUSPPROG</v>
      </c>
      <c r="F408" s="52" t="s">
        <v>729</v>
      </c>
      <c r="G408" s="22" t="str">
        <f t="shared" si="35"/>
        <v>P130SEJUSP</v>
      </c>
      <c r="H408" s="92" t="s">
        <v>1259</v>
      </c>
      <c r="I408" s="22" t="s">
        <v>16</v>
      </c>
      <c r="J408" s="92" t="s">
        <v>458</v>
      </c>
      <c r="K408" s="22" t="str">
        <f>VLOOKUP(CONCATENATE(A408,LEFT(J408,4)),AGRUPAMENTO!$D$2:$E$6783,2,FALSE)</f>
        <v>Demais despesas de capital</v>
      </c>
      <c r="L408" s="92" t="s">
        <v>94</v>
      </c>
      <c r="M408" s="52" t="str">
        <f t="shared" si="32"/>
        <v>FONTESEJUSP</v>
      </c>
      <c r="N408" s="92">
        <v>10</v>
      </c>
      <c r="O408" s="155" t="s">
        <v>2676</v>
      </c>
      <c r="P408" s="92" t="s">
        <v>46</v>
      </c>
      <c r="Q408" s="92" t="s">
        <v>3812</v>
      </c>
      <c r="R408" s="204">
        <v>205</v>
      </c>
      <c r="S408" s="92" t="s">
        <v>3905</v>
      </c>
      <c r="T408" s="200">
        <v>290</v>
      </c>
      <c r="U408" s="201">
        <v>1</v>
      </c>
      <c r="V408" s="58">
        <f t="shared" si="33"/>
        <v>59450</v>
      </c>
      <c r="W408" s="52" t="s">
        <v>49</v>
      </c>
      <c r="X408" s="92" t="s">
        <v>4616</v>
      </c>
      <c r="Y408" s="92" t="s">
        <v>4617</v>
      </c>
      <c r="Z408" s="92" t="s">
        <v>4618</v>
      </c>
      <c r="AA408" s="52">
        <v>0</v>
      </c>
      <c r="AB408" s="52">
        <v>0</v>
      </c>
      <c r="AC408" s="52">
        <v>0</v>
      </c>
      <c r="AD408" s="21">
        <v>1</v>
      </c>
      <c r="AE408" s="54">
        <v>1</v>
      </c>
      <c r="AF408" s="315">
        <f t="shared" si="36"/>
        <v>59450</v>
      </c>
    </row>
    <row r="409" spans="1:32" ht="300" x14ac:dyDescent="0.25">
      <c r="A409" s="107" t="s">
        <v>588</v>
      </c>
      <c r="B409" s="107" t="s">
        <v>2269</v>
      </c>
      <c r="C409" s="52"/>
      <c r="D409" s="107" t="s">
        <v>2300</v>
      </c>
      <c r="E409" s="22" t="str">
        <f t="shared" si="34"/>
        <v>SEJUSPPROG</v>
      </c>
      <c r="F409" s="52" t="s">
        <v>729</v>
      </c>
      <c r="G409" s="22" t="str">
        <f t="shared" si="35"/>
        <v>P130SEJUSP</v>
      </c>
      <c r="H409" s="92" t="s">
        <v>1259</v>
      </c>
      <c r="I409" s="22" t="s">
        <v>16</v>
      </c>
      <c r="J409" s="92" t="s">
        <v>1713</v>
      </c>
      <c r="K409" s="22" t="str">
        <f>VLOOKUP(CONCATENATE(A409,LEFT(J409,4)),AGRUPAMENTO!$D$2:$E$6783,2,FALSE)</f>
        <v>Serviços de saúde e medicamentos</v>
      </c>
      <c r="L409" s="92" t="s">
        <v>94</v>
      </c>
      <c r="M409" s="52" t="str">
        <f t="shared" si="32"/>
        <v>FONTESEJUSP</v>
      </c>
      <c r="N409" s="92">
        <v>10</v>
      </c>
      <c r="O409" s="155" t="s">
        <v>2677</v>
      </c>
      <c r="P409" s="92" t="s">
        <v>46</v>
      </c>
      <c r="Q409" s="92" t="s">
        <v>3812</v>
      </c>
      <c r="R409" s="204">
        <v>182</v>
      </c>
      <c r="S409" s="92" t="s">
        <v>3904</v>
      </c>
      <c r="T409" s="200">
        <v>583</v>
      </c>
      <c r="U409" s="201">
        <v>1</v>
      </c>
      <c r="V409" s="58">
        <f t="shared" si="33"/>
        <v>106106</v>
      </c>
      <c r="W409" s="52" t="s">
        <v>49</v>
      </c>
      <c r="X409" s="92" t="s">
        <v>4616</v>
      </c>
      <c r="Y409" s="92" t="s">
        <v>4617</v>
      </c>
      <c r="Z409" s="92" t="s">
        <v>4618</v>
      </c>
      <c r="AA409" s="52">
        <v>0</v>
      </c>
      <c r="AB409" s="52">
        <v>0</v>
      </c>
      <c r="AC409" s="52">
        <v>0</v>
      </c>
      <c r="AD409" s="21">
        <v>1</v>
      </c>
      <c r="AE409" s="54">
        <v>1</v>
      </c>
      <c r="AF409" s="315">
        <f t="shared" si="36"/>
        <v>106106</v>
      </c>
    </row>
    <row r="410" spans="1:32" ht="300" x14ac:dyDescent="0.25">
      <c r="A410" s="107" t="s">
        <v>588</v>
      </c>
      <c r="B410" s="107" t="s">
        <v>2269</v>
      </c>
      <c r="C410" s="52"/>
      <c r="D410" s="107" t="s">
        <v>2300</v>
      </c>
      <c r="E410" s="22" t="str">
        <f t="shared" si="34"/>
        <v>SEJUSPPROG</v>
      </c>
      <c r="F410" s="52" t="s">
        <v>729</v>
      </c>
      <c r="G410" s="22" t="str">
        <f t="shared" si="35"/>
        <v>P130SEJUSP</v>
      </c>
      <c r="H410" s="92" t="s">
        <v>1259</v>
      </c>
      <c r="I410" s="22" t="s">
        <v>16</v>
      </c>
      <c r="J410" s="92" t="s">
        <v>1713</v>
      </c>
      <c r="K410" s="22" t="str">
        <f>VLOOKUP(CONCATENATE(A410,LEFT(J410,4)),AGRUPAMENTO!$D$2:$E$6783,2,FALSE)</f>
        <v>Serviços de saúde e medicamentos</v>
      </c>
      <c r="L410" s="92" t="s">
        <v>94</v>
      </c>
      <c r="M410" s="52" t="str">
        <f t="shared" si="32"/>
        <v>FONTESEJUSP</v>
      </c>
      <c r="N410" s="92">
        <v>10</v>
      </c>
      <c r="O410" s="155" t="s">
        <v>2678</v>
      </c>
      <c r="P410" s="92" t="s">
        <v>46</v>
      </c>
      <c r="Q410" s="92" t="s">
        <v>3812</v>
      </c>
      <c r="R410" s="204">
        <v>2</v>
      </c>
      <c r="S410" s="92" t="s">
        <v>3905</v>
      </c>
      <c r="T410" s="200">
        <v>700</v>
      </c>
      <c r="U410" s="201">
        <v>1</v>
      </c>
      <c r="V410" s="58">
        <f t="shared" si="33"/>
        <v>1400</v>
      </c>
      <c r="W410" s="52" t="s">
        <v>49</v>
      </c>
      <c r="X410" s="92" t="s">
        <v>4616</v>
      </c>
      <c r="Y410" s="92" t="s">
        <v>4617</v>
      </c>
      <c r="Z410" s="92" t="s">
        <v>4618</v>
      </c>
      <c r="AA410" s="52">
        <v>0</v>
      </c>
      <c r="AB410" s="52">
        <v>0</v>
      </c>
      <c r="AC410" s="52">
        <v>0</v>
      </c>
      <c r="AD410" s="21">
        <v>1</v>
      </c>
      <c r="AE410" s="54">
        <v>1</v>
      </c>
      <c r="AF410" s="315">
        <f t="shared" si="36"/>
        <v>1400</v>
      </c>
    </row>
    <row r="411" spans="1:32" ht="300" x14ac:dyDescent="0.25">
      <c r="A411" s="107" t="s">
        <v>588</v>
      </c>
      <c r="B411" s="107" t="s">
        <v>2269</v>
      </c>
      <c r="C411" s="52"/>
      <c r="D411" s="107" t="s">
        <v>2300</v>
      </c>
      <c r="E411" s="22" t="str">
        <f t="shared" si="34"/>
        <v>SEJUSPPROG</v>
      </c>
      <c r="F411" s="52" t="s">
        <v>729</v>
      </c>
      <c r="G411" s="22" t="str">
        <f t="shared" si="35"/>
        <v>P130SEJUSP</v>
      </c>
      <c r="H411" s="92" t="s">
        <v>1259</v>
      </c>
      <c r="I411" s="22" t="s">
        <v>16</v>
      </c>
      <c r="J411" s="92" t="s">
        <v>1713</v>
      </c>
      <c r="K411" s="22" t="str">
        <f>VLOOKUP(CONCATENATE(A411,LEFT(J411,4)),AGRUPAMENTO!$D$2:$E$6783,2,FALSE)</f>
        <v>Serviços de saúde e medicamentos</v>
      </c>
      <c r="L411" s="92" t="s">
        <v>94</v>
      </c>
      <c r="M411" s="52" t="str">
        <f t="shared" si="32"/>
        <v>FONTESEJUSP</v>
      </c>
      <c r="N411" s="92">
        <v>10</v>
      </c>
      <c r="O411" s="153" t="s">
        <v>2679</v>
      </c>
      <c r="P411" s="92" t="s">
        <v>46</v>
      </c>
      <c r="Q411" s="92" t="s">
        <v>3812</v>
      </c>
      <c r="R411" s="204">
        <v>264</v>
      </c>
      <c r="S411" s="92" t="s">
        <v>3905</v>
      </c>
      <c r="T411" s="200">
        <v>88</v>
      </c>
      <c r="U411" s="201">
        <v>1</v>
      </c>
      <c r="V411" s="58">
        <f t="shared" si="33"/>
        <v>23232</v>
      </c>
      <c r="W411" s="52" t="s">
        <v>49</v>
      </c>
      <c r="X411" s="92" t="s">
        <v>4616</v>
      </c>
      <c r="Y411" s="92" t="s">
        <v>4617</v>
      </c>
      <c r="Z411" s="92" t="s">
        <v>4618</v>
      </c>
      <c r="AA411" s="52">
        <v>0</v>
      </c>
      <c r="AB411" s="52">
        <v>0</v>
      </c>
      <c r="AC411" s="52">
        <v>0</v>
      </c>
      <c r="AD411" s="21">
        <v>1</v>
      </c>
      <c r="AE411" s="54">
        <v>1</v>
      </c>
      <c r="AF411" s="315">
        <f t="shared" si="36"/>
        <v>23232</v>
      </c>
    </row>
    <row r="412" spans="1:32" ht="300" x14ac:dyDescent="0.25">
      <c r="A412" s="107" t="s">
        <v>588</v>
      </c>
      <c r="B412" s="107" t="s">
        <v>2269</v>
      </c>
      <c r="C412" s="52"/>
      <c r="D412" s="107" t="s">
        <v>2300</v>
      </c>
      <c r="E412" s="22" t="str">
        <f t="shared" si="34"/>
        <v>SEJUSPPROG</v>
      </c>
      <c r="F412" s="52" t="s">
        <v>729</v>
      </c>
      <c r="G412" s="22" t="str">
        <f t="shared" si="35"/>
        <v>P130SEJUSP</v>
      </c>
      <c r="H412" s="92" t="s">
        <v>1259</v>
      </c>
      <c r="I412" s="22" t="s">
        <v>16</v>
      </c>
      <c r="J412" s="92" t="s">
        <v>1713</v>
      </c>
      <c r="K412" s="22" t="str">
        <f>VLOOKUP(CONCATENATE(A412,LEFT(J412,4)),AGRUPAMENTO!$D$2:$E$6783,2,FALSE)</f>
        <v>Serviços de saúde e medicamentos</v>
      </c>
      <c r="L412" s="92" t="s">
        <v>94</v>
      </c>
      <c r="M412" s="52" t="str">
        <f t="shared" si="32"/>
        <v>FONTESEJUSP</v>
      </c>
      <c r="N412" s="92">
        <v>10</v>
      </c>
      <c r="O412" s="153" t="s">
        <v>2680</v>
      </c>
      <c r="P412" s="92" t="s">
        <v>46</v>
      </c>
      <c r="Q412" s="92" t="s">
        <v>3812</v>
      </c>
      <c r="R412" s="204">
        <v>208</v>
      </c>
      <c r="S412" s="92" t="s">
        <v>3905</v>
      </c>
      <c r="T412" s="200">
        <v>120</v>
      </c>
      <c r="U412" s="201">
        <v>1</v>
      </c>
      <c r="V412" s="58">
        <f t="shared" si="33"/>
        <v>24960</v>
      </c>
      <c r="W412" s="52" t="s">
        <v>49</v>
      </c>
      <c r="X412" s="92" t="s">
        <v>4616</v>
      </c>
      <c r="Y412" s="92" t="s">
        <v>4617</v>
      </c>
      <c r="Z412" s="92" t="s">
        <v>4618</v>
      </c>
      <c r="AA412" s="52">
        <v>0</v>
      </c>
      <c r="AB412" s="52">
        <v>0</v>
      </c>
      <c r="AC412" s="52">
        <v>0</v>
      </c>
      <c r="AD412" s="21">
        <v>1</v>
      </c>
      <c r="AE412" s="54">
        <v>1</v>
      </c>
      <c r="AF412" s="315">
        <f t="shared" si="36"/>
        <v>24960</v>
      </c>
    </row>
    <row r="413" spans="1:32" ht="300" x14ac:dyDescent="0.25">
      <c r="A413" s="107" t="s">
        <v>588</v>
      </c>
      <c r="B413" s="107" t="s">
        <v>2269</v>
      </c>
      <c r="C413" s="52"/>
      <c r="D413" s="107" t="s">
        <v>2300</v>
      </c>
      <c r="E413" s="22" t="str">
        <f t="shared" si="34"/>
        <v>SEJUSPPROG</v>
      </c>
      <c r="F413" s="52" t="s">
        <v>729</v>
      </c>
      <c r="G413" s="22" t="str">
        <f t="shared" si="35"/>
        <v>P130SEJUSP</v>
      </c>
      <c r="H413" s="92" t="s">
        <v>1259</v>
      </c>
      <c r="I413" s="22" t="s">
        <v>16</v>
      </c>
      <c r="J413" s="92" t="s">
        <v>1713</v>
      </c>
      <c r="K413" s="22" t="str">
        <f>VLOOKUP(CONCATENATE(A413,LEFT(J413,4)),AGRUPAMENTO!$D$2:$E$6783,2,FALSE)</f>
        <v>Serviços de saúde e medicamentos</v>
      </c>
      <c r="L413" s="92" t="s">
        <v>94</v>
      </c>
      <c r="M413" s="52" t="str">
        <f t="shared" si="32"/>
        <v>FONTESEJUSP</v>
      </c>
      <c r="N413" s="92">
        <v>10</v>
      </c>
      <c r="O413" s="156" t="s">
        <v>2681</v>
      </c>
      <c r="P413" s="92" t="s">
        <v>46</v>
      </c>
      <c r="Q413" s="92" t="s">
        <v>3812</v>
      </c>
      <c r="R413" s="204">
        <v>4</v>
      </c>
      <c r="S413" s="92" t="s">
        <v>3905</v>
      </c>
      <c r="T413" s="200">
        <v>87</v>
      </c>
      <c r="U413" s="201">
        <v>1</v>
      </c>
      <c r="V413" s="58">
        <f t="shared" si="33"/>
        <v>348</v>
      </c>
      <c r="W413" s="52" t="s">
        <v>49</v>
      </c>
      <c r="X413" s="92" t="s">
        <v>4616</v>
      </c>
      <c r="Y413" s="92" t="s">
        <v>4617</v>
      </c>
      <c r="Z413" s="92" t="s">
        <v>4618</v>
      </c>
      <c r="AA413" s="52">
        <v>0</v>
      </c>
      <c r="AB413" s="52">
        <v>0</v>
      </c>
      <c r="AC413" s="52">
        <v>0</v>
      </c>
      <c r="AD413" s="21">
        <v>1</v>
      </c>
      <c r="AE413" s="54">
        <v>1</v>
      </c>
      <c r="AF413" s="315">
        <f t="shared" si="36"/>
        <v>348</v>
      </c>
    </row>
    <row r="414" spans="1:32" ht="300" x14ac:dyDescent="0.25">
      <c r="A414" s="107" t="s">
        <v>588</v>
      </c>
      <c r="B414" s="107" t="s">
        <v>2269</v>
      </c>
      <c r="C414" s="52"/>
      <c r="D414" s="107" t="s">
        <v>2300</v>
      </c>
      <c r="E414" s="22" t="str">
        <f t="shared" si="34"/>
        <v>SEJUSPPROG</v>
      </c>
      <c r="F414" s="52" t="s">
        <v>729</v>
      </c>
      <c r="G414" s="22" t="str">
        <f t="shared" si="35"/>
        <v>P130SEJUSP</v>
      </c>
      <c r="H414" s="92" t="s">
        <v>1259</v>
      </c>
      <c r="I414" s="22" t="s">
        <v>16</v>
      </c>
      <c r="J414" s="92" t="s">
        <v>1713</v>
      </c>
      <c r="K414" s="22" t="str">
        <f>VLOOKUP(CONCATENATE(A414,LEFT(J414,4)),AGRUPAMENTO!$D$2:$E$6783,2,FALSE)</f>
        <v>Serviços de saúde e medicamentos</v>
      </c>
      <c r="L414" s="92" t="s">
        <v>94</v>
      </c>
      <c r="M414" s="52" t="str">
        <f t="shared" si="32"/>
        <v>FONTESEJUSP</v>
      </c>
      <c r="N414" s="92">
        <v>10</v>
      </c>
      <c r="O414" s="155" t="s">
        <v>2682</v>
      </c>
      <c r="P414" s="92" t="s">
        <v>46</v>
      </c>
      <c r="Q414" s="92" t="s">
        <v>3812</v>
      </c>
      <c r="R414" s="204">
        <v>4</v>
      </c>
      <c r="S414" s="92" t="s">
        <v>3905</v>
      </c>
      <c r="T414" s="200">
        <v>120</v>
      </c>
      <c r="U414" s="201">
        <v>1</v>
      </c>
      <c r="V414" s="58">
        <f t="shared" si="33"/>
        <v>480</v>
      </c>
      <c r="W414" s="52" t="s">
        <v>49</v>
      </c>
      <c r="X414" s="92" t="s">
        <v>4616</v>
      </c>
      <c r="Y414" s="92" t="s">
        <v>4617</v>
      </c>
      <c r="Z414" s="92" t="s">
        <v>4618</v>
      </c>
      <c r="AA414" s="52">
        <v>0</v>
      </c>
      <c r="AB414" s="52">
        <v>0</v>
      </c>
      <c r="AC414" s="52">
        <v>0</v>
      </c>
      <c r="AD414" s="21">
        <v>1</v>
      </c>
      <c r="AE414" s="54">
        <v>1</v>
      </c>
      <c r="AF414" s="315">
        <f t="shared" si="36"/>
        <v>480</v>
      </c>
    </row>
    <row r="415" spans="1:32" ht="300" x14ac:dyDescent="0.25">
      <c r="A415" s="107" t="s">
        <v>588</v>
      </c>
      <c r="B415" s="107" t="s">
        <v>2269</v>
      </c>
      <c r="C415" s="52"/>
      <c r="D415" s="107" t="s">
        <v>2300</v>
      </c>
      <c r="E415" s="22" t="str">
        <f t="shared" si="34"/>
        <v>SEJUSPPROG</v>
      </c>
      <c r="F415" s="52" t="s">
        <v>729</v>
      </c>
      <c r="G415" s="22" t="str">
        <f t="shared" si="35"/>
        <v>P130SEJUSP</v>
      </c>
      <c r="H415" s="92" t="s">
        <v>1259</v>
      </c>
      <c r="I415" s="22" t="s">
        <v>16</v>
      </c>
      <c r="J415" s="92" t="s">
        <v>1713</v>
      </c>
      <c r="K415" s="22" t="str">
        <f>VLOOKUP(CONCATENATE(A415,LEFT(J415,4)),AGRUPAMENTO!$D$2:$E$6783,2,FALSE)</f>
        <v>Serviços de saúde e medicamentos</v>
      </c>
      <c r="L415" s="92" t="s">
        <v>94</v>
      </c>
      <c r="M415" s="52" t="str">
        <f t="shared" si="32"/>
        <v>FONTESEJUSP</v>
      </c>
      <c r="N415" s="92">
        <v>10</v>
      </c>
      <c r="O415" s="155" t="s">
        <v>2683</v>
      </c>
      <c r="P415" s="92" t="s">
        <v>46</v>
      </c>
      <c r="Q415" s="92" t="s">
        <v>3812</v>
      </c>
      <c r="R415" s="204">
        <v>41</v>
      </c>
      <c r="S415" s="92" t="s">
        <v>3905</v>
      </c>
      <c r="T415" s="200">
        <v>104</v>
      </c>
      <c r="U415" s="201">
        <v>1</v>
      </c>
      <c r="V415" s="58">
        <f t="shared" si="33"/>
        <v>4264</v>
      </c>
      <c r="W415" s="52" t="s">
        <v>49</v>
      </c>
      <c r="X415" s="92" t="s">
        <v>4616</v>
      </c>
      <c r="Y415" s="92" t="s">
        <v>4617</v>
      </c>
      <c r="Z415" s="92" t="s">
        <v>4618</v>
      </c>
      <c r="AA415" s="52">
        <v>0</v>
      </c>
      <c r="AB415" s="52">
        <v>0</v>
      </c>
      <c r="AC415" s="52">
        <v>0</v>
      </c>
      <c r="AD415" s="21">
        <v>1</v>
      </c>
      <c r="AE415" s="54">
        <v>1</v>
      </c>
      <c r="AF415" s="315">
        <f t="shared" si="36"/>
        <v>4264</v>
      </c>
    </row>
    <row r="416" spans="1:32" ht="300" x14ac:dyDescent="0.25">
      <c r="A416" s="107" t="s">
        <v>588</v>
      </c>
      <c r="B416" s="107" t="s">
        <v>2269</v>
      </c>
      <c r="C416" s="52"/>
      <c r="D416" s="107" t="s">
        <v>2300</v>
      </c>
      <c r="E416" s="22" t="str">
        <f t="shared" si="34"/>
        <v>SEJUSPPROG</v>
      </c>
      <c r="F416" s="52" t="s">
        <v>729</v>
      </c>
      <c r="G416" s="22" t="str">
        <f t="shared" si="35"/>
        <v>P130SEJUSP</v>
      </c>
      <c r="H416" s="92" t="s">
        <v>1259</v>
      </c>
      <c r="I416" s="22" t="s">
        <v>16</v>
      </c>
      <c r="J416" s="92" t="s">
        <v>1713</v>
      </c>
      <c r="K416" s="22" t="str">
        <f>VLOOKUP(CONCATENATE(A416,LEFT(J416,4)),AGRUPAMENTO!$D$2:$E$6783,2,FALSE)</f>
        <v>Serviços de saúde e medicamentos</v>
      </c>
      <c r="L416" s="92" t="s">
        <v>94</v>
      </c>
      <c r="M416" s="52" t="str">
        <f t="shared" si="32"/>
        <v>FONTESEJUSP</v>
      </c>
      <c r="N416" s="92">
        <v>10</v>
      </c>
      <c r="O416" s="153" t="s">
        <v>2684</v>
      </c>
      <c r="P416" s="92" t="s">
        <v>46</v>
      </c>
      <c r="Q416" s="92" t="s">
        <v>3812</v>
      </c>
      <c r="R416" s="204">
        <v>142</v>
      </c>
      <c r="S416" s="92" t="s">
        <v>3904</v>
      </c>
      <c r="T416" s="200">
        <v>30</v>
      </c>
      <c r="U416" s="201">
        <v>1</v>
      </c>
      <c r="V416" s="58">
        <f t="shared" si="33"/>
        <v>4260</v>
      </c>
      <c r="W416" s="52" t="s">
        <v>49</v>
      </c>
      <c r="X416" s="92" t="s">
        <v>4616</v>
      </c>
      <c r="Y416" s="92" t="s">
        <v>4617</v>
      </c>
      <c r="Z416" s="92" t="s">
        <v>4618</v>
      </c>
      <c r="AA416" s="52">
        <v>0</v>
      </c>
      <c r="AB416" s="52">
        <v>0</v>
      </c>
      <c r="AC416" s="52">
        <v>0</v>
      </c>
      <c r="AD416" s="21">
        <v>1</v>
      </c>
      <c r="AE416" s="54">
        <v>1</v>
      </c>
      <c r="AF416" s="315">
        <f t="shared" si="36"/>
        <v>4260</v>
      </c>
    </row>
    <row r="417" spans="1:32" ht="300" x14ac:dyDescent="0.25">
      <c r="A417" s="107" t="s">
        <v>588</v>
      </c>
      <c r="B417" s="107" t="s">
        <v>2269</v>
      </c>
      <c r="C417" s="52"/>
      <c r="D417" s="107" t="s">
        <v>2300</v>
      </c>
      <c r="E417" s="22" t="str">
        <f t="shared" si="34"/>
        <v>SEJUSPPROG</v>
      </c>
      <c r="F417" s="52" t="s">
        <v>729</v>
      </c>
      <c r="G417" s="22" t="str">
        <f t="shared" si="35"/>
        <v>P130SEJUSP</v>
      </c>
      <c r="H417" s="92" t="s">
        <v>1259</v>
      </c>
      <c r="I417" s="22" t="s">
        <v>16</v>
      </c>
      <c r="J417" s="92" t="s">
        <v>1713</v>
      </c>
      <c r="K417" s="22" t="str">
        <f>VLOOKUP(CONCATENATE(A417,LEFT(J417,4)),AGRUPAMENTO!$D$2:$E$6783,2,FALSE)</f>
        <v>Serviços de saúde e medicamentos</v>
      </c>
      <c r="L417" s="92" t="s">
        <v>94</v>
      </c>
      <c r="M417" s="52" t="str">
        <f t="shared" si="32"/>
        <v>FONTESEJUSP</v>
      </c>
      <c r="N417" s="92">
        <v>10</v>
      </c>
      <c r="O417" s="156" t="s">
        <v>2685</v>
      </c>
      <c r="P417" s="92" t="s">
        <v>46</v>
      </c>
      <c r="Q417" s="92" t="s">
        <v>3812</v>
      </c>
      <c r="R417" s="204">
        <v>23</v>
      </c>
      <c r="S417" s="92" t="s">
        <v>3905</v>
      </c>
      <c r="T417" s="200">
        <v>649</v>
      </c>
      <c r="U417" s="201">
        <v>1</v>
      </c>
      <c r="V417" s="58">
        <f t="shared" si="33"/>
        <v>14927</v>
      </c>
      <c r="W417" s="52" t="s">
        <v>49</v>
      </c>
      <c r="X417" s="92" t="s">
        <v>4616</v>
      </c>
      <c r="Y417" s="92" t="s">
        <v>4617</v>
      </c>
      <c r="Z417" s="92" t="s">
        <v>4618</v>
      </c>
      <c r="AA417" s="52">
        <v>0</v>
      </c>
      <c r="AB417" s="52">
        <v>0</v>
      </c>
      <c r="AC417" s="52">
        <v>0</v>
      </c>
      <c r="AD417" s="21">
        <v>1</v>
      </c>
      <c r="AE417" s="54">
        <v>1</v>
      </c>
      <c r="AF417" s="315">
        <f t="shared" si="36"/>
        <v>14927</v>
      </c>
    </row>
    <row r="418" spans="1:32" ht="300" x14ac:dyDescent="0.25">
      <c r="A418" s="107" t="s">
        <v>588</v>
      </c>
      <c r="B418" s="107" t="s">
        <v>2269</v>
      </c>
      <c r="C418" s="52"/>
      <c r="D418" s="107" t="s">
        <v>2300</v>
      </c>
      <c r="E418" s="22" t="str">
        <f t="shared" si="34"/>
        <v>SEJUSPPROG</v>
      </c>
      <c r="F418" s="52" t="s">
        <v>729</v>
      </c>
      <c r="G418" s="22" t="str">
        <f t="shared" si="35"/>
        <v>P130SEJUSP</v>
      </c>
      <c r="H418" s="92" t="s">
        <v>1259</v>
      </c>
      <c r="I418" s="22" t="s">
        <v>16</v>
      </c>
      <c r="J418" s="92" t="s">
        <v>1713</v>
      </c>
      <c r="K418" s="22" t="str">
        <f>VLOOKUP(CONCATENATE(A418,LEFT(J418,4)),AGRUPAMENTO!$D$2:$E$6783,2,FALSE)</f>
        <v>Serviços de saúde e medicamentos</v>
      </c>
      <c r="L418" s="92" t="s">
        <v>94</v>
      </c>
      <c r="M418" s="52" t="str">
        <f t="shared" si="32"/>
        <v>FONTESEJUSP</v>
      </c>
      <c r="N418" s="92">
        <v>10</v>
      </c>
      <c r="O418" s="155" t="s">
        <v>2686</v>
      </c>
      <c r="P418" s="92" t="s">
        <v>46</v>
      </c>
      <c r="Q418" s="92" t="s">
        <v>3812</v>
      </c>
      <c r="R418" s="204">
        <v>20</v>
      </c>
      <c r="S418" s="92" t="s">
        <v>3905</v>
      </c>
      <c r="T418" s="200">
        <v>1800</v>
      </c>
      <c r="U418" s="201">
        <v>1</v>
      </c>
      <c r="V418" s="58">
        <f t="shared" si="33"/>
        <v>36000</v>
      </c>
      <c r="W418" s="52" t="s">
        <v>49</v>
      </c>
      <c r="X418" s="92" t="s">
        <v>4616</v>
      </c>
      <c r="Y418" s="92" t="s">
        <v>4617</v>
      </c>
      <c r="Z418" s="92" t="s">
        <v>4618</v>
      </c>
      <c r="AA418" s="52">
        <v>0</v>
      </c>
      <c r="AB418" s="52">
        <v>0</v>
      </c>
      <c r="AC418" s="52">
        <v>0</v>
      </c>
      <c r="AD418" s="21">
        <v>1</v>
      </c>
      <c r="AE418" s="54">
        <v>1</v>
      </c>
      <c r="AF418" s="315">
        <f t="shared" si="36"/>
        <v>36000</v>
      </c>
    </row>
    <row r="419" spans="1:32" ht="300" x14ac:dyDescent="0.25">
      <c r="A419" s="107" t="s">
        <v>588</v>
      </c>
      <c r="B419" s="107" t="s">
        <v>2269</v>
      </c>
      <c r="C419" s="52"/>
      <c r="D419" s="107" t="s">
        <v>2300</v>
      </c>
      <c r="E419" s="22" t="str">
        <f t="shared" si="34"/>
        <v>SEJUSPPROG</v>
      </c>
      <c r="F419" s="52" t="s">
        <v>729</v>
      </c>
      <c r="G419" s="22" t="str">
        <f t="shared" si="35"/>
        <v>P130SEJUSP</v>
      </c>
      <c r="H419" s="92" t="s">
        <v>1259</v>
      </c>
      <c r="I419" s="22" t="s">
        <v>16</v>
      </c>
      <c r="J419" s="92" t="s">
        <v>458</v>
      </c>
      <c r="K419" s="22" t="str">
        <f>VLOOKUP(CONCATENATE(A419,LEFT(J419,4)),AGRUPAMENTO!$D$2:$E$6783,2,FALSE)</f>
        <v>Demais despesas de capital</v>
      </c>
      <c r="L419" s="92" t="s">
        <v>94</v>
      </c>
      <c r="M419" s="52" t="str">
        <f t="shared" si="32"/>
        <v>FONTESEJUSP</v>
      </c>
      <c r="N419" s="92">
        <v>10</v>
      </c>
      <c r="O419" s="153" t="s">
        <v>2687</v>
      </c>
      <c r="P419" s="92" t="s">
        <v>46</v>
      </c>
      <c r="Q419" s="92" t="s">
        <v>3812</v>
      </c>
      <c r="R419" s="204">
        <v>333</v>
      </c>
      <c r="S419" s="92" t="s">
        <v>3905</v>
      </c>
      <c r="T419" s="200">
        <v>69</v>
      </c>
      <c r="U419" s="201">
        <v>1</v>
      </c>
      <c r="V419" s="58">
        <f t="shared" si="33"/>
        <v>22977</v>
      </c>
      <c r="W419" s="52" t="s">
        <v>49</v>
      </c>
      <c r="X419" s="92" t="s">
        <v>4616</v>
      </c>
      <c r="Y419" s="92" t="s">
        <v>4617</v>
      </c>
      <c r="Z419" s="92" t="s">
        <v>4618</v>
      </c>
      <c r="AA419" s="52">
        <v>0</v>
      </c>
      <c r="AB419" s="52">
        <v>0</v>
      </c>
      <c r="AC419" s="52">
        <v>0</v>
      </c>
      <c r="AD419" s="21">
        <v>1</v>
      </c>
      <c r="AE419" s="54">
        <v>1</v>
      </c>
      <c r="AF419" s="315">
        <f t="shared" si="36"/>
        <v>22977</v>
      </c>
    </row>
    <row r="420" spans="1:32" ht="300" x14ac:dyDescent="0.25">
      <c r="A420" s="107" t="s">
        <v>588</v>
      </c>
      <c r="B420" s="107" t="s">
        <v>2269</v>
      </c>
      <c r="C420" s="52"/>
      <c r="D420" s="107" t="s">
        <v>2300</v>
      </c>
      <c r="E420" s="22" t="str">
        <f t="shared" si="34"/>
        <v>SEJUSPPROG</v>
      </c>
      <c r="F420" s="52" t="s">
        <v>729</v>
      </c>
      <c r="G420" s="22" t="str">
        <f t="shared" si="35"/>
        <v>P130SEJUSP</v>
      </c>
      <c r="H420" s="92" t="s">
        <v>1259</v>
      </c>
      <c r="I420" s="22" t="s">
        <v>16</v>
      </c>
      <c r="J420" s="92" t="s">
        <v>458</v>
      </c>
      <c r="K420" s="22" t="str">
        <f>VLOOKUP(CONCATENATE(A420,LEFT(J420,4)),AGRUPAMENTO!$D$2:$E$6783,2,FALSE)</f>
        <v>Demais despesas de capital</v>
      </c>
      <c r="L420" s="92" t="s">
        <v>94</v>
      </c>
      <c r="M420" s="52" t="str">
        <f t="shared" si="32"/>
        <v>FONTESEJUSP</v>
      </c>
      <c r="N420" s="92">
        <v>10</v>
      </c>
      <c r="O420" s="156" t="s">
        <v>2688</v>
      </c>
      <c r="P420" s="92" t="s">
        <v>46</v>
      </c>
      <c r="Q420" s="92" t="s">
        <v>3812</v>
      </c>
      <c r="R420" s="204">
        <v>56</v>
      </c>
      <c r="S420" s="92" t="s">
        <v>3905</v>
      </c>
      <c r="T420" s="200">
        <v>89</v>
      </c>
      <c r="U420" s="201">
        <v>1</v>
      </c>
      <c r="V420" s="58">
        <f t="shared" si="33"/>
        <v>4984</v>
      </c>
      <c r="W420" s="52" t="s">
        <v>49</v>
      </c>
      <c r="X420" s="92" t="s">
        <v>4616</v>
      </c>
      <c r="Y420" s="92" t="s">
        <v>4617</v>
      </c>
      <c r="Z420" s="92" t="s">
        <v>4618</v>
      </c>
      <c r="AA420" s="52">
        <v>0</v>
      </c>
      <c r="AB420" s="52">
        <v>0</v>
      </c>
      <c r="AC420" s="52">
        <v>0</v>
      </c>
      <c r="AD420" s="21">
        <v>1</v>
      </c>
      <c r="AE420" s="54">
        <v>1</v>
      </c>
      <c r="AF420" s="315">
        <f t="shared" si="36"/>
        <v>4984</v>
      </c>
    </row>
    <row r="421" spans="1:32" ht="300" x14ac:dyDescent="0.25">
      <c r="A421" s="107" t="s">
        <v>588</v>
      </c>
      <c r="B421" s="107" t="s">
        <v>2269</v>
      </c>
      <c r="C421" s="52"/>
      <c r="D421" s="107" t="s">
        <v>2300</v>
      </c>
      <c r="E421" s="22" t="str">
        <f t="shared" si="34"/>
        <v>SEJUSPPROG</v>
      </c>
      <c r="F421" s="52" t="s">
        <v>729</v>
      </c>
      <c r="G421" s="22" t="str">
        <f t="shared" si="35"/>
        <v>P130SEJUSP</v>
      </c>
      <c r="H421" s="92" t="s">
        <v>1259</v>
      </c>
      <c r="I421" s="22" t="s">
        <v>16</v>
      </c>
      <c r="J421" s="92" t="s">
        <v>1713</v>
      </c>
      <c r="K421" s="22" t="str">
        <f>VLOOKUP(CONCATENATE(A421,LEFT(J421,4)),AGRUPAMENTO!$D$2:$E$6783,2,FALSE)</f>
        <v>Serviços de saúde e medicamentos</v>
      </c>
      <c r="L421" s="92" t="s">
        <v>94</v>
      </c>
      <c r="M421" s="52" t="str">
        <f t="shared" si="32"/>
        <v>FONTESEJUSP</v>
      </c>
      <c r="N421" s="92">
        <v>10</v>
      </c>
      <c r="O421" s="155" t="s">
        <v>2689</v>
      </c>
      <c r="P421" s="92" t="s">
        <v>46</v>
      </c>
      <c r="Q421" s="92" t="s">
        <v>3812</v>
      </c>
      <c r="R421" s="204">
        <v>92</v>
      </c>
      <c r="S421" s="92" t="s">
        <v>3905</v>
      </c>
      <c r="T421" s="200">
        <v>70</v>
      </c>
      <c r="U421" s="201">
        <v>1</v>
      </c>
      <c r="V421" s="58">
        <f t="shared" si="33"/>
        <v>6440</v>
      </c>
      <c r="W421" s="52" t="s">
        <v>49</v>
      </c>
      <c r="X421" s="92" t="s">
        <v>4616</v>
      </c>
      <c r="Y421" s="92" t="s">
        <v>4617</v>
      </c>
      <c r="Z421" s="92" t="s">
        <v>4618</v>
      </c>
      <c r="AA421" s="52">
        <v>0</v>
      </c>
      <c r="AB421" s="52">
        <v>0</v>
      </c>
      <c r="AC421" s="52">
        <v>0</v>
      </c>
      <c r="AD421" s="21">
        <v>1</v>
      </c>
      <c r="AE421" s="54">
        <v>1</v>
      </c>
      <c r="AF421" s="315">
        <f t="shared" si="36"/>
        <v>6440</v>
      </c>
    </row>
    <row r="422" spans="1:32" ht="300" x14ac:dyDescent="0.25">
      <c r="A422" s="107" t="s">
        <v>588</v>
      </c>
      <c r="B422" s="107" t="s">
        <v>2269</v>
      </c>
      <c r="C422" s="52"/>
      <c r="D422" s="107" t="s">
        <v>2300</v>
      </c>
      <c r="E422" s="22" t="str">
        <f t="shared" si="34"/>
        <v>SEJUSPPROG</v>
      </c>
      <c r="F422" s="52" t="s">
        <v>729</v>
      </c>
      <c r="G422" s="22" t="str">
        <f t="shared" si="35"/>
        <v>P130SEJUSP</v>
      </c>
      <c r="H422" s="92" t="s">
        <v>1259</v>
      </c>
      <c r="I422" s="22" t="s">
        <v>16</v>
      </c>
      <c r="J422" s="92" t="s">
        <v>1713</v>
      </c>
      <c r="K422" s="22" t="str">
        <f>VLOOKUP(CONCATENATE(A422,LEFT(J422,4)),AGRUPAMENTO!$D$2:$E$6783,2,FALSE)</f>
        <v>Serviços de saúde e medicamentos</v>
      </c>
      <c r="L422" s="92" t="s">
        <v>94</v>
      </c>
      <c r="M422" s="52" t="str">
        <f t="shared" si="32"/>
        <v>FONTESEJUSP</v>
      </c>
      <c r="N422" s="92">
        <v>10</v>
      </c>
      <c r="O422" s="153" t="s">
        <v>2690</v>
      </c>
      <c r="P422" s="92" t="s">
        <v>46</v>
      </c>
      <c r="Q422" s="92" t="s">
        <v>3812</v>
      </c>
      <c r="R422" s="204">
        <v>182</v>
      </c>
      <c r="S422" s="92" t="s">
        <v>3905</v>
      </c>
      <c r="T422" s="200">
        <v>99</v>
      </c>
      <c r="U422" s="201">
        <v>1</v>
      </c>
      <c r="V422" s="58">
        <f t="shared" si="33"/>
        <v>18018</v>
      </c>
      <c r="W422" s="52" t="s">
        <v>49</v>
      </c>
      <c r="X422" s="92" t="s">
        <v>4616</v>
      </c>
      <c r="Y422" s="92" t="s">
        <v>4617</v>
      </c>
      <c r="Z422" s="92" t="s">
        <v>4618</v>
      </c>
      <c r="AA422" s="52">
        <v>0</v>
      </c>
      <c r="AB422" s="52">
        <v>0</v>
      </c>
      <c r="AC422" s="52">
        <v>0</v>
      </c>
      <c r="AD422" s="21">
        <v>1</v>
      </c>
      <c r="AE422" s="54">
        <v>1</v>
      </c>
      <c r="AF422" s="315">
        <f t="shared" si="36"/>
        <v>18018</v>
      </c>
    </row>
    <row r="423" spans="1:32" ht="300" x14ac:dyDescent="0.25">
      <c r="A423" s="107" t="s">
        <v>588</v>
      </c>
      <c r="B423" s="107" t="s">
        <v>2269</v>
      </c>
      <c r="C423" s="52"/>
      <c r="D423" s="107" t="s">
        <v>2300</v>
      </c>
      <c r="E423" s="22" t="str">
        <f t="shared" si="34"/>
        <v>SEJUSPPROG</v>
      </c>
      <c r="F423" s="52" t="s">
        <v>729</v>
      </c>
      <c r="G423" s="22" t="str">
        <f t="shared" si="35"/>
        <v>P130SEJUSP</v>
      </c>
      <c r="H423" s="92" t="s">
        <v>1259</v>
      </c>
      <c r="I423" s="22" t="s">
        <v>16</v>
      </c>
      <c r="J423" s="92" t="s">
        <v>2232</v>
      </c>
      <c r="K423" s="22" t="str">
        <f>VLOOKUP(CONCATENATE(A423,LEFT(J423,4)),AGRUPAMENTO!$D$2:$E$6783,2,FALSE)</f>
        <v>Demais despesas de capital</v>
      </c>
      <c r="L423" s="92" t="s">
        <v>94</v>
      </c>
      <c r="M423" s="52" t="str">
        <f t="shared" si="32"/>
        <v>FONTESEJUSP</v>
      </c>
      <c r="N423" s="92">
        <v>10</v>
      </c>
      <c r="O423" s="156" t="s">
        <v>2691</v>
      </c>
      <c r="P423" s="92" t="s">
        <v>46</v>
      </c>
      <c r="Q423" s="92" t="s">
        <v>3812</v>
      </c>
      <c r="R423" s="204">
        <v>74</v>
      </c>
      <c r="S423" s="92" t="s">
        <v>3905</v>
      </c>
      <c r="T423" s="200">
        <v>300</v>
      </c>
      <c r="U423" s="201">
        <v>1</v>
      </c>
      <c r="V423" s="58">
        <f t="shared" si="33"/>
        <v>22200</v>
      </c>
      <c r="W423" s="52" t="s">
        <v>49</v>
      </c>
      <c r="X423" s="92" t="s">
        <v>4616</v>
      </c>
      <c r="Y423" s="92" t="s">
        <v>4617</v>
      </c>
      <c r="Z423" s="92" t="s">
        <v>4618</v>
      </c>
      <c r="AA423" s="52">
        <v>0</v>
      </c>
      <c r="AB423" s="52">
        <v>0</v>
      </c>
      <c r="AC423" s="52">
        <v>0</v>
      </c>
      <c r="AD423" s="21">
        <v>1</v>
      </c>
      <c r="AE423" s="54">
        <v>1</v>
      </c>
      <c r="AF423" s="315">
        <f t="shared" si="36"/>
        <v>22200</v>
      </c>
    </row>
    <row r="424" spans="1:32" ht="300" x14ac:dyDescent="0.25">
      <c r="A424" s="107" t="s">
        <v>588</v>
      </c>
      <c r="B424" s="107" t="s">
        <v>2269</v>
      </c>
      <c r="C424" s="52"/>
      <c r="D424" s="107" t="s">
        <v>2300</v>
      </c>
      <c r="E424" s="22" t="str">
        <f t="shared" si="34"/>
        <v>SEJUSPPROG</v>
      </c>
      <c r="F424" s="52" t="s">
        <v>729</v>
      </c>
      <c r="G424" s="22" t="str">
        <f t="shared" si="35"/>
        <v>P130SEJUSP</v>
      </c>
      <c r="H424" s="92" t="s">
        <v>1259</v>
      </c>
      <c r="I424" s="22" t="s">
        <v>16</v>
      </c>
      <c r="J424" s="92" t="s">
        <v>1713</v>
      </c>
      <c r="K424" s="22" t="str">
        <f>VLOOKUP(CONCATENATE(A424,LEFT(J424,4)),AGRUPAMENTO!$D$2:$E$6783,2,FALSE)</f>
        <v>Serviços de saúde e medicamentos</v>
      </c>
      <c r="L424" s="92" t="s">
        <v>94</v>
      </c>
      <c r="M424" s="52" t="str">
        <f t="shared" si="32"/>
        <v>FONTESEJUSP</v>
      </c>
      <c r="N424" s="92">
        <v>10</v>
      </c>
      <c r="O424" s="155" t="s">
        <v>2692</v>
      </c>
      <c r="P424" s="92" t="s">
        <v>46</v>
      </c>
      <c r="Q424" s="92" t="s">
        <v>3812</v>
      </c>
      <c r="R424" s="204">
        <v>13</v>
      </c>
      <c r="S424" s="92" t="s">
        <v>3905</v>
      </c>
      <c r="T424" s="200">
        <v>533</v>
      </c>
      <c r="U424" s="201">
        <v>1</v>
      </c>
      <c r="V424" s="58">
        <f t="shared" si="33"/>
        <v>6929</v>
      </c>
      <c r="W424" s="52" t="s">
        <v>49</v>
      </c>
      <c r="X424" s="92" t="s">
        <v>4616</v>
      </c>
      <c r="Y424" s="92" t="s">
        <v>4617</v>
      </c>
      <c r="Z424" s="92" t="s">
        <v>4618</v>
      </c>
      <c r="AA424" s="52">
        <v>0</v>
      </c>
      <c r="AB424" s="52">
        <v>0</v>
      </c>
      <c r="AC424" s="52">
        <v>0</v>
      </c>
      <c r="AD424" s="21">
        <v>1</v>
      </c>
      <c r="AE424" s="54">
        <v>1</v>
      </c>
      <c r="AF424" s="315">
        <f t="shared" si="36"/>
        <v>6929</v>
      </c>
    </row>
    <row r="425" spans="1:32" ht="300" x14ac:dyDescent="0.25">
      <c r="A425" s="107" t="s">
        <v>588</v>
      </c>
      <c r="B425" s="107" t="s">
        <v>2269</v>
      </c>
      <c r="C425" s="52"/>
      <c r="D425" s="107" t="s">
        <v>2300</v>
      </c>
      <c r="E425" s="22" t="str">
        <f t="shared" si="34"/>
        <v>SEJUSPPROG</v>
      </c>
      <c r="F425" s="52" t="s">
        <v>729</v>
      </c>
      <c r="G425" s="22" t="str">
        <f t="shared" si="35"/>
        <v>P130SEJUSP</v>
      </c>
      <c r="H425" s="92" t="s">
        <v>1259</v>
      </c>
      <c r="I425" s="22" t="s">
        <v>16</v>
      </c>
      <c r="J425" s="92" t="s">
        <v>1713</v>
      </c>
      <c r="K425" s="22" t="str">
        <f>VLOOKUP(CONCATENATE(A425,LEFT(J425,4)),AGRUPAMENTO!$D$2:$E$6783,2,FALSE)</f>
        <v>Serviços de saúde e medicamentos</v>
      </c>
      <c r="L425" s="92" t="s">
        <v>94</v>
      </c>
      <c r="M425" s="52" t="str">
        <f t="shared" si="32"/>
        <v>FONTESEJUSP</v>
      </c>
      <c r="N425" s="92">
        <v>10</v>
      </c>
      <c r="O425" s="155" t="s">
        <v>2693</v>
      </c>
      <c r="P425" s="92" t="s">
        <v>46</v>
      </c>
      <c r="Q425" s="92" t="s">
        <v>3812</v>
      </c>
      <c r="R425" s="204">
        <v>25</v>
      </c>
      <c r="S425" s="92" t="s">
        <v>3905</v>
      </c>
      <c r="T425" s="200">
        <v>3499</v>
      </c>
      <c r="U425" s="201">
        <v>1</v>
      </c>
      <c r="V425" s="58">
        <f t="shared" si="33"/>
        <v>87475</v>
      </c>
      <c r="W425" s="52" t="s">
        <v>49</v>
      </c>
      <c r="X425" s="92" t="s">
        <v>4616</v>
      </c>
      <c r="Y425" s="92" t="s">
        <v>4617</v>
      </c>
      <c r="Z425" s="92" t="s">
        <v>4618</v>
      </c>
      <c r="AA425" s="52">
        <v>0</v>
      </c>
      <c r="AB425" s="52">
        <v>0</v>
      </c>
      <c r="AC425" s="52">
        <v>0</v>
      </c>
      <c r="AD425" s="21">
        <v>1</v>
      </c>
      <c r="AE425" s="54">
        <v>1</v>
      </c>
      <c r="AF425" s="315">
        <f t="shared" si="36"/>
        <v>87475</v>
      </c>
    </row>
    <row r="426" spans="1:32" ht="300" x14ac:dyDescent="0.25">
      <c r="A426" s="107" t="s">
        <v>588</v>
      </c>
      <c r="B426" s="107" t="s">
        <v>2269</v>
      </c>
      <c r="C426" s="52"/>
      <c r="D426" s="107" t="s">
        <v>2300</v>
      </c>
      <c r="E426" s="22" t="str">
        <f t="shared" si="34"/>
        <v>SEJUSPPROG</v>
      </c>
      <c r="F426" s="52" t="s">
        <v>729</v>
      </c>
      <c r="G426" s="22" t="str">
        <f t="shared" si="35"/>
        <v>P130SEJUSP</v>
      </c>
      <c r="H426" s="92" t="s">
        <v>1259</v>
      </c>
      <c r="I426" s="22" t="s">
        <v>16</v>
      </c>
      <c r="J426" s="92" t="s">
        <v>1713</v>
      </c>
      <c r="K426" s="22" t="str">
        <f>VLOOKUP(CONCATENATE(A426,LEFT(J426,4)),AGRUPAMENTO!$D$2:$E$6783,2,FALSE)</f>
        <v>Serviços de saúde e medicamentos</v>
      </c>
      <c r="L426" s="92" t="s">
        <v>94</v>
      </c>
      <c r="M426" s="52" t="str">
        <f t="shared" si="32"/>
        <v>FONTESEJUSP</v>
      </c>
      <c r="N426" s="92">
        <v>10</v>
      </c>
      <c r="O426" s="153" t="s">
        <v>2694</v>
      </c>
      <c r="P426" s="92" t="s">
        <v>46</v>
      </c>
      <c r="Q426" s="92" t="s">
        <v>3812</v>
      </c>
      <c r="R426" s="204">
        <v>11</v>
      </c>
      <c r="S426" s="92" t="s">
        <v>3905</v>
      </c>
      <c r="T426" s="200">
        <v>750</v>
      </c>
      <c r="U426" s="201">
        <v>1</v>
      </c>
      <c r="V426" s="58">
        <f t="shared" si="33"/>
        <v>8250</v>
      </c>
      <c r="W426" s="52" t="s">
        <v>49</v>
      </c>
      <c r="X426" s="92" t="s">
        <v>4616</v>
      </c>
      <c r="Y426" s="92" t="s">
        <v>4617</v>
      </c>
      <c r="Z426" s="92" t="s">
        <v>4618</v>
      </c>
      <c r="AA426" s="52">
        <v>0</v>
      </c>
      <c r="AB426" s="52">
        <v>0</v>
      </c>
      <c r="AC426" s="52">
        <v>0</v>
      </c>
      <c r="AD426" s="21">
        <v>1</v>
      </c>
      <c r="AE426" s="54">
        <v>1</v>
      </c>
      <c r="AF426" s="315">
        <f t="shared" si="36"/>
        <v>8250</v>
      </c>
    </row>
    <row r="427" spans="1:32" ht="300" x14ac:dyDescent="0.25">
      <c r="A427" s="107" t="s">
        <v>588</v>
      </c>
      <c r="B427" s="107" t="s">
        <v>2269</v>
      </c>
      <c r="C427" s="52"/>
      <c r="D427" s="107" t="s">
        <v>2300</v>
      </c>
      <c r="E427" s="22" t="str">
        <f t="shared" si="34"/>
        <v>SEJUSPPROG</v>
      </c>
      <c r="F427" s="52" t="s">
        <v>729</v>
      </c>
      <c r="G427" s="22" t="str">
        <f t="shared" si="35"/>
        <v>P130SEJUSP</v>
      </c>
      <c r="H427" s="92" t="s">
        <v>1259</v>
      </c>
      <c r="I427" s="22" t="s">
        <v>16</v>
      </c>
      <c r="J427" s="92" t="s">
        <v>1713</v>
      </c>
      <c r="K427" s="22" t="str">
        <f>VLOOKUP(CONCATENATE(A427,LEFT(J427,4)),AGRUPAMENTO!$D$2:$E$6783,2,FALSE)</f>
        <v>Serviços de saúde e medicamentos</v>
      </c>
      <c r="L427" s="92" t="s">
        <v>94</v>
      </c>
      <c r="M427" s="52" t="str">
        <f t="shared" si="32"/>
        <v>FONTESEJUSP</v>
      </c>
      <c r="N427" s="92">
        <v>10</v>
      </c>
      <c r="O427" s="156" t="s">
        <v>2695</v>
      </c>
      <c r="P427" s="92" t="s">
        <v>46</v>
      </c>
      <c r="Q427" s="92" t="s">
        <v>3812</v>
      </c>
      <c r="R427" s="204">
        <v>16</v>
      </c>
      <c r="S427" s="92" t="s">
        <v>3905</v>
      </c>
      <c r="T427" s="200">
        <v>400</v>
      </c>
      <c r="U427" s="201">
        <v>1</v>
      </c>
      <c r="V427" s="58">
        <f t="shared" si="33"/>
        <v>6400</v>
      </c>
      <c r="W427" s="52" t="s">
        <v>49</v>
      </c>
      <c r="X427" s="92" t="s">
        <v>4616</v>
      </c>
      <c r="Y427" s="92" t="s">
        <v>4617</v>
      </c>
      <c r="Z427" s="92" t="s">
        <v>4618</v>
      </c>
      <c r="AA427" s="52">
        <v>0</v>
      </c>
      <c r="AB427" s="52">
        <v>0</v>
      </c>
      <c r="AC427" s="52">
        <v>0</v>
      </c>
      <c r="AD427" s="21">
        <v>1</v>
      </c>
      <c r="AE427" s="54">
        <v>1</v>
      </c>
      <c r="AF427" s="315">
        <f t="shared" si="36"/>
        <v>6400</v>
      </c>
    </row>
    <row r="428" spans="1:32" ht="300" x14ac:dyDescent="0.25">
      <c r="A428" s="107" t="s">
        <v>588</v>
      </c>
      <c r="B428" s="107" t="s">
        <v>2269</v>
      </c>
      <c r="C428" s="52"/>
      <c r="D428" s="107" t="s">
        <v>2300</v>
      </c>
      <c r="E428" s="22" t="str">
        <f t="shared" si="34"/>
        <v>SEJUSPPROG</v>
      </c>
      <c r="F428" s="52" t="s">
        <v>729</v>
      </c>
      <c r="G428" s="22" t="str">
        <f t="shared" si="35"/>
        <v>P130SEJUSP</v>
      </c>
      <c r="H428" s="92" t="s">
        <v>1259</v>
      </c>
      <c r="I428" s="22" t="s">
        <v>16</v>
      </c>
      <c r="J428" s="92" t="s">
        <v>1713</v>
      </c>
      <c r="K428" s="22" t="str">
        <f>VLOOKUP(CONCATENATE(A428,LEFT(J428,4)),AGRUPAMENTO!$D$2:$E$6783,2,FALSE)</f>
        <v>Serviços de saúde e medicamentos</v>
      </c>
      <c r="L428" s="92" t="s">
        <v>94</v>
      </c>
      <c r="M428" s="52" t="str">
        <f t="shared" si="32"/>
        <v>FONTESEJUSP</v>
      </c>
      <c r="N428" s="92">
        <v>10</v>
      </c>
      <c r="O428" s="153" t="s">
        <v>2696</v>
      </c>
      <c r="P428" s="92" t="s">
        <v>46</v>
      </c>
      <c r="Q428" s="92" t="s">
        <v>3812</v>
      </c>
      <c r="R428" s="204">
        <v>142</v>
      </c>
      <c r="S428" s="92" t="s">
        <v>3905</v>
      </c>
      <c r="T428" s="200">
        <v>70</v>
      </c>
      <c r="U428" s="201">
        <v>1</v>
      </c>
      <c r="V428" s="58">
        <f t="shared" si="33"/>
        <v>9940</v>
      </c>
      <c r="W428" s="52" t="s">
        <v>49</v>
      </c>
      <c r="X428" s="92" t="s">
        <v>4616</v>
      </c>
      <c r="Y428" s="92" t="s">
        <v>4617</v>
      </c>
      <c r="Z428" s="92" t="s">
        <v>4618</v>
      </c>
      <c r="AA428" s="52">
        <v>0</v>
      </c>
      <c r="AB428" s="52">
        <v>0</v>
      </c>
      <c r="AC428" s="52">
        <v>0</v>
      </c>
      <c r="AD428" s="21">
        <v>1</v>
      </c>
      <c r="AE428" s="54">
        <v>1</v>
      </c>
      <c r="AF428" s="315">
        <f t="shared" si="36"/>
        <v>9940</v>
      </c>
    </row>
    <row r="429" spans="1:32" ht="300" x14ac:dyDescent="0.25">
      <c r="A429" s="107" t="s">
        <v>588</v>
      </c>
      <c r="B429" s="107" t="s">
        <v>2269</v>
      </c>
      <c r="C429" s="52"/>
      <c r="D429" s="107" t="s">
        <v>2300</v>
      </c>
      <c r="E429" s="22" t="str">
        <f t="shared" si="34"/>
        <v>SEJUSPPROG</v>
      </c>
      <c r="F429" s="52" t="s">
        <v>729</v>
      </c>
      <c r="G429" s="22" t="str">
        <f t="shared" si="35"/>
        <v>P130SEJUSP</v>
      </c>
      <c r="H429" s="92" t="s">
        <v>1259</v>
      </c>
      <c r="I429" s="22" t="s">
        <v>16</v>
      </c>
      <c r="J429" s="92" t="s">
        <v>1713</v>
      </c>
      <c r="K429" s="22" t="str">
        <f>VLOOKUP(CONCATENATE(A429,LEFT(J429,4)),AGRUPAMENTO!$D$2:$E$6783,2,FALSE)</f>
        <v>Serviços de saúde e medicamentos</v>
      </c>
      <c r="L429" s="92" t="s">
        <v>94</v>
      </c>
      <c r="M429" s="52" t="str">
        <f t="shared" si="32"/>
        <v>FONTESEJUSP</v>
      </c>
      <c r="N429" s="92">
        <v>10</v>
      </c>
      <c r="O429" s="156" t="s">
        <v>2697</v>
      </c>
      <c r="P429" s="92" t="s">
        <v>46</v>
      </c>
      <c r="Q429" s="92" t="s">
        <v>3812</v>
      </c>
      <c r="R429" s="204">
        <v>167</v>
      </c>
      <c r="S429" s="92" t="s">
        <v>3905</v>
      </c>
      <c r="T429" s="200">
        <v>50</v>
      </c>
      <c r="U429" s="201">
        <v>1</v>
      </c>
      <c r="V429" s="58">
        <f t="shared" si="33"/>
        <v>8350</v>
      </c>
      <c r="W429" s="52" t="s">
        <v>49</v>
      </c>
      <c r="X429" s="92" t="s">
        <v>4616</v>
      </c>
      <c r="Y429" s="92" t="s">
        <v>4617</v>
      </c>
      <c r="Z429" s="92" t="s">
        <v>4618</v>
      </c>
      <c r="AA429" s="52">
        <v>0</v>
      </c>
      <c r="AB429" s="52">
        <v>0</v>
      </c>
      <c r="AC429" s="52">
        <v>0</v>
      </c>
      <c r="AD429" s="21">
        <v>1</v>
      </c>
      <c r="AE429" s="54">
        <v>1</v>
      </c>
      <c r="AF429" s="315">
        <f t="shared" si="36"/>
        <v>8350</v>
      </c>
    </row>
    <row r="430" spans="1:32" ht="300" x14ac:dyDescent="0.25">
      <c r="A430" s="107" t="s">
        <v>588</v>
      </c>
      <c r="B430" s="107" t="s">
        <v>2269</v>
      </c>
      <c r="C430" s="52"/>
      <c r="D430" s="107" t="s">
        <v>2300</v>
      </c>
      <c r="E430" s="22" t="str">
        <f t="shared" si="34"/>
        <v>SEJUSPPROG</v>
      </c>
      <c r="F430" s="52" t="s">
        <v>729</v>
      </c>
      <c r="G430" s="22" t="str">
        <f t="shared" si="35"/>
        <v>P130SEJUSP</v>
      </c>
      <c r="H430" s="92" t="s">
        <v>1259</v>
      </c>
      <c r="I430" s="22" t="s">
        <v>16</v>
      </c>
      <c r="J430" s="92" t="s">
        <v>1713</v>
      </c>
      <c r="K430" s="22" t="str">
        <f>VLOOKUP(CONCATENATE(A430,LEFT(J430,4)),AGRUPAMENTO!$D$2:$E$6783,2,FALSE)</f>
        <v>Serviços de saúde e medicamentos</v>
      </c>
      <c r="L430" s="92" t="s">
        <v>94</v>
      </c>
      <c r="M430" s="52" t="str">
        <f t="shared" si="32"/>
        <v>FONTESEJUSP</v>
      </c>
      <c r="N430" s="92">
        <v>10</v>
      </c>
      <c r="O430" s="153" t="s">
        <v>2698</v>
      </c>
      <c r="P430" s="92" t="s">
        <v>46</v>
      </c>
      <c r="Q430" s="92" t="s">
        <v>3812</v>
      </c>
      <c r="R430" s="204">
        <v>140</v>
      </c>
      <c r="S430" s="92" t="s">
        <v>3905</v>
      </c>
      <c r="T430" s="200">
        <v>14.78</v>
      </c>
      <c r="U430" s="201">
        <v>1</v>
      </c>
      <c r="V430" s="58">
        <f t="shared" si="33"/>
        <v>2069.1999999999998</v>
      </c>
      <c r="W430" s="52" t="s">
        <v>49</v>
      </c>
      <c r="X430" s="92" t="s">
        <v>4616</v>
      </c>
      <c r="Y430" s="92" t="s">
        <v>4617</v>
      </c>
      <c r="Z430" s="92" t="s">
        <v>4618</v>
      </c>
      <c r="AA430" s="52">
        <v>0</v>
      </c>
      <c r="AB430" s="52">
        <v>0</v>
      </c>
      <c r="AC430" s="52">
        <v>0</v>
      </c>
      <c r="AD430" s="21">
        <v>1</v>
      </c>
      <c r="AE430" s="54">
        <v>1</v>
      </c>
      <c r="AF430" s="315">
        <f t="shared" si="36"/>
        <v>2069.1999999999998</v>
      </c>
    </row>
    <row r="431" spans="1:32" ht="300" x14ac:dyDescent="0.25">
      <c r="A431" s="107" t="s">
        <v>588</v>
      </c>
      <c r="B431" s="107" t="s">
        <v>2269</v>
      </c>
      <c r="C431" s="52"/>
      <c r="D431" s="107" t="s">
        <v>2300</v>
      </c>
      <c r="E431" s="22" t="str">
        <f t="shared" si="34"/>
        <v>SEJUSPPROG</v>
      </c>
      <c r="F431" s="52" t="s">
        <v>729</v>
      </c>
      <c r="G431" s="22" t="str">
        <f t="shared" si="35"/>
        <v>P130SEJUSP</v>
      </c>
      <c r="H431" s="92" t="s">
        <v>1259</v>
      </c>
      <c r="I431" s="22" t="s">
        <v>16</v>
      </c>
      <c r="J431" s="92" t="s">
        <v>1713</v>
      </c>
      <c r="K431" s="22" t="str">
        <f>VLOOKUP(CONCATENATE(A431,LEFT(J431,4)),AGRUPAMENTO!$D$2:$E$6783,2,FALSE)</f>
        <v>Serviços de saúde e medicamentos</v>
      </c>
      <c r="L431" s="92" t="s">
        <v>94</v>
      </c>
      <c r="M431" s="52" t="str">
        <f t="shared" si="32"/>
        <v>FONTESEJUSP</v>
      </c>
      <c r="N431" s="92">
        <v>10</v>
      </c>
      <c r="O431" s="153" t="s">
        <v>2699</v>
      </c>
      <c r="P431" s="92" t="s">
        <v>46</v>
      </c>
      <c r="Q431" s="92" t="s">
        <v>3812</v>
      </c>
      <c r="R431" s="204">
        <v>69</v>
      </c>
      <c r="S431" s="92" t="s">
        <v>3905</v>
      </c>
      <c r="T431" s="200">
        <v>35.299999999999997</v>
      </c>
      <c r="U431" s="201">
        <v>1</v>
      </c>
      <c r="V431" s="58">
        <f t="shared" si="33"/>
        <v>2435.6999999999998</v>
      </c>
      <c r="W431" s="52" t="s">
        <v>49</v>
      </c>
      <c r="X431" s="92" t="s">
        <v>4616</v>
      </c>
      <c r="Y431" s="92" t="s">
        <v>4617</v>
      </c>
      <c r="Z431" s="92" t="s">
        <v>4618</v>
      </c>
      <c r="AA431" s="52">
        <v>0</v>
      </c>
      <c r="AB431" s="52">
        <v>0</v>
      </c>
      <c r="AC431" s="52">
        <v>0</v>
      </c>
      <c r="AD431" s="21">
        <v>1</v>
      </c>
      <c r="AE431" s="54">
        <v>1</v>
      </c>
      <c r="AF431" s="315">
        <f t="shared" si="36"/>
        <v>2435.6999999999998</v>
      </c>
    </row>
    <row r="432" spans="1:32" ht="300" x14ac:dyDescent="0.25">
      <c r="A432" s="107" t="s">
        <v>588</v>
      </c>
      <c r="B432" s="107" t="s">
        <v>2269</v>
      </c>
      <c r="C432" s="52"/>
      <c r="D432" s="107" t="s">
        <v>2300</v>
      </c>
      <c r="E432" s="22" t="str">
        <f t="shared" si="34"/>
        <v>SEJUSPPROG</v>
      </c>
      <c r="F432" s="52" t="s">
        <v>729</v>
      </c>
      <c r="G432" s="22" t="str">
        <f t="shared" si="35"/>
        <v>P130SEJUSP</v>
      </c>
      <c r="H432" s="92" t="s">
        <v>1259</v>
      </c>
      <c r="I432" s="22" t="s">
        <v>16</v>
      </c>
      <c r="J432" s="92" t="s">
        <v>1713</v>
      </c>
      <c r="K432" s="22" t="str">
        <f>VLOOKUP(CONCATENATE(A432,LEFT(J432,4)),AGRUPAMENTO!$D$2:$E$6783,2,FALSE)</f>
        <v>Serviços de saúde e medicamentos</v>
      </c>
      <c r="L432" s="92" t="s">
        <v>94</v>
      </c>
      <c r="M432" s="52" t="str">
        <f t="shared" si="32"/>
        <v>FONTESEJUSP</v>
      </c>
      <c r="N432" s="92">
        <v>10</v>
      </c>
      <c r="O432" s="153" t="s">
        <v>2700</v>
      </c>
      <c r="P432" s="92" t="s">
        <v>46</v>
      </c>
      <c r="Q432" s="92" t="s">
        <v>3812</v>
      </c>
      <c r="R432" s="204">
        <v>103</v>
      </c>
      <c r="S432" s="92" t="s">
        <v>3905</v>
      </c>
      <c r="T432" s="200">
        <v>40</v>
      </c>
      <c r="U432" s="201">
        <v>1</v>
      </c>
      <c r="V432" s="58">
        <f t="shared" si="33"/>
        <v>4120</v>
      </c>
      <c r="W432" s="52" t="s">
        <v>49</v>
      </c>
      <c r="X432" s="92" t="s">
        <v>4616</v>
      </c>
      <c r="Y432" s="92" t="s">
        <v>4617</v>
      </c>
      <c r="Z432" s="92" t="s">
        <v>4618</v>
      </c>
      <c r="AA432" s="52">
        <v>0</v>
      </c>
      <c r="AB432" s="52">
        <v>0</v>
      </c>
      <c r="AC432" s="52">
        <v>0</v>
      </c>
      <c r="AD432" s="21">
        <v>1</v>
      </c>
      <c r="AE432" s="54">
        <v>1</v>
      </c>
      <c r="AF432" s="315">
        <f t="shared" si="36"/>
        <v>4120</v>
      </c>
    </row>
    <row r="433" spans="1:32" ht="300" x14ac:dyDescent="0.25">
      <c r="A433" s="107" t="s">
        <v>588</v>
      </c>
      <c r="B433" s="107" t="s">
        <v>2269</v>
      </c>
      <c r="C433" s="52"/>
      <c r="D433" s="107" t="s">
        <v>2300</v>
      </c>
      <c r="E433" s="22" t="str">
        <f t="shared" si="34"/>
        <v>SEJUSPPROG</v>
      </c>
      <c r="F433" s="52" t="s">
        <v>729</v>
      </c>
      <c r="G433" s="22" t="str">
        <f t="shared" si="35"/>
        <v>P130SEJUSP</v>
      </c>
      <c r="H433" s="92" t="s">
        <v>1259</v>
      </c>
      <c r="I433" s="22" t="s">
        <v>16</v>
      </c>
      <c r="J433" s="92" t="s">
        <v>1713</v>
      </c>
      <c r="K433" s="22" t="str">
        <f>VLOOKUP(CONCATENATE(A433,LEFT(J433,4)),AGRUPAMENTO!$D$2:$E$6783,2,FALSE)</f>
        <v>Serviços de saúde e medicamentos</v>
      </c>
      <c r="L433" s="92" t="s">
        <v>94</v>
      </c>
      <c r="M433" s="52" t="str">
        <f t="shared" si="32"/>
        <v>FONTESEJUSP</v>
      </c>
      <c r="N433" s="92">
        <v>10</v>
      </c>
      <c r="O433" s="153" t="s">
        <v>2701</v>
      </c>
      <c r="P433" s="92" t="s">
        <v>46</v>
      </c>
      <c r="Q433" s="92" t="s">
        <v>3812</v>
      </c>
      <c r="R433" s="204">
        <v>125</v>
      </c>
      <c r="S433" s="92" t="s">
        <v>3905</v>
      </c>
      <c r="T433" s="200">
        <v>50</v>
      </c>
      <c r="U433" s="201">
        <v>1</v>
      </c>
      <c r="V433" s="58">
        <f t="shared" si="33"/>
        <v>6250</v>
      </c>
      <c r="W433" s="52" t="s">
        <v>49</v>
      </c>
      <c r="X433" s="92" t="s">
        <v>4616</v>
      </c>
      <c r="Y433" s="92" t="s">
        <v>4617</v>
      </c>
      <c r="Z433" s="92" t="s">
        <v>4618</v>
      </c>
      <c r="AA433" s="52">
        <v>0</v>
      </c>
      <c r="AB433" s="52">
        <v>0</v>
      </c>
      <c r="AC433" s="52">
        <v>0</v>
      </c>
      <c r="AD433" s="21">
        <v>1</v>
      </c>
      <c r="AE433" s="54">
        <v>1</v>
      </c>
      <c r="AF433" s="315">
        <f t="shared" si="36"/>
        <v>6250</v>
      </c>
    </row>
    <row r="434" spans="1:32" ht="300" x14ac:dyDescent="0.25">
      <c r="A434" s="107" t="s">
        <v>588</v>
      </c>
      <c r="B434" s="107" t="s">
        <v>2269</v>
      </c>
      <c r="C434" s="52"/>
      <c r="D434" s="107" t="s">
        <v>2300</v>
      </c>
      <c r="E434" s="22" t="str">
        <f t="shared" si="34"/>
        <v>SEJUSPPROG</v>
      </c>
      <c r="F434" s="52" t="s">
        <v>729</v>
      </c>
      <c r="G434" s="22" t="str">
        <f t="shared" si="35"/>
        <v>P130SEJUSP</v>
      </c>
      <c r="H434" s="92" t="s">
        <v>1259</v>
      </c>
      <c r="I434" s="22" t="s">
        <v>16</v>
      </c>
      <c r="J434" s="92" t="s">
        <v>1713</v>
      </c>
      <c r="K434" s="22" t="str">
        <f>VLOOKUP(CONCATENATE(A434,LEFT(J434,4)),AGRUPAMENTO!$D$2:$E$6783,2,FALSE)</f>
        <v>Serviços de saúde e medicamentos</v>
      </c>
      <c r="L434" s="92" t="s">
        <v>94</v>
      </c>
      <c r="M434" s="52" t="str">
        <f t="shared" si="32"/>
        <v>FONTESEJUSP</v>
      </c>
      <c r="N434" s="92">
        <v>10</v>
      </c>
      <c r="O434" s="156" t="s">
        <v>2702</v>
      </c>
      <c r="P434" s="92" t="s">
        <v>46</v>
      </c>
      <c r="Q434" s="92" t="s">
        <v>3812</v>
      </c>
      <c r="R434" s="204">
        <v>128</v>
      </c>
      <c r="S434" s="92" t="s">
        <v>3905</v>
      </c>
      <c r="T434" s="200">
        <v>60</v>
      </c>
      <c r="U434" s="201">
        <v>1</v>
      </c>
      <c r="V434" s="58">
        <f t="shared" si="33"/>
        <v>7680</v>
      </c>
      <c r="W434" s="52" t="s">
        <v>49</v>
      </c>
      <c r="X434" s="92" t="s">
        <v>4616</v>
      </c>
      <c r="Y434" s="92" t="s">
        <v>4617</v>
      </c>
      <c r="Z434" s="92" t="s">
        <v>4618</v>
      </c>
      <c r="AA434" s="52">
        <v>0</v>
      </c>
      <c r="AB434" s="52">
        <v>0</v>
      </c>
      <c r="AC434" s="52">
        <v>0</v>
      </c>
      <c r="AD434" s="21">
        <v>1</v>
      </c>
      <c r="AE434" s="54">
        <v>1</v>
      </c>
      <c r="AF434" s="315">
        <f t="shared" si="36"/>
        <v>7680</v>
      </c>
    </row>
    <row r="435" spans="1:32" ht="300" x14ac:dyDescent="0.25">
      <c r="A435" s="107" t="s">
        <v>588</v>
      </c>
      <c r="B435" s="107" t="s">
        <v>2269</v>
      </c>
      <c r="C435" s="52"/>
      <c r="D435" s="107" t="s">
        <v>2300</v>
      </c>
      <c r="E435" s="22" t="str">
        <f t="shared" si="34"/>
        <v>SEJUSPPROG</v>
      </c>
      <c r="F435" s="52" t="s">
        <v>729</v>
      </c>
      <c r="G435" s="22" t="str">
        <f t="shared" si="35"/>
        <v>P130SEJUSP</v>
      </c>
      <c r="H435" s="92" t="s">
        <v>1259</v>
      </c>
      <c r="I435" s="22" t="s">
        <v>16</v>
      </c>
      <c r="J435" s="92" t="s">
        <v>1713</v>
      </c>
      <c r="K435" s="22" t="str">
        <f>VLOOKUP(CONCATENATE(A435,LEFT(J435,4)),AGRUPAMENTO!$D$2:$E$6783,2,FALSE)</f>
        <v>Serviços de saúde e medicamentos</v>
      </c>
      <c r="L435" s="92" t="s">
        <v>94</v>
      </c>
      <c r="M435" s="52" t="str">
        <f t="shared" si="32"/>
        <v>FONTESEJUSP</v>
      </c>
      <c r="N435" s="92">
        <v>10</v>
      </c>
      <c r="O435" s="155" t="s">
        <v>2703</v>
      </c>
      <c r="P435" s="92" t="s">
        <v>46</v>
      </c>
      <c r="Q435" s="92" t="s">
        <v>3812</v>
      </c>
      <c r="R435" s="204">
        <v>142</v>
      </c>
      <c r="S435" s="92" t="s">
        <v>3905</v>
      </c>
      <c r="T435" s="200">
        <v>43</v>
      </c>
      <c r="U435" s="201">
        <v>1</v>
      </c>
      <c r="V435" s="58">
        <f t="shared" si="33"/>
        <v>6106</v>
      </c>
      <c r="W435" s="52" t="s">
        <v>49</v>
      </c>
      <c r="X435" s="92" t="s">
        <v>4616</v>
      </c>
      <c r="Y435" s="92" t="s">
        <v>4617</v>
      </c>
      <c r="Z435" s="92" t="s">
        <v>4618</v>
      </c>
      <c r="AA435" s="52">
        <v>0</v>
      </c>
      <c r="AB435" s="52">
        <v>0</v>
      </c>
      <c r="AC435" s="52">
        <v>0</v>
      </c>
      <c r="AD435" s="21">
        <v>1</v>
      </c>
      <c r="AE435" s="54">
        <v>1</v>
      </c>
      <c r="AF435" s="315">
        <f t="shared" si="36"/>
        <v>6106</v>
      </c>
    </row>
    <row r="436" spans="1:32" ht="300" x14ac:dyDescent="0.25">
      <c r="A436" s="107" t="s">
        <v>588</v>
      </c>
      <c r="B436" s="107" t="s">
        <v>2269</v>
      </c>
      <c r="C436" s="52"/>
      <c r="D436" s="107" t="s">
        <v>2300</v>
      </c>
      <c r="E436" s="22" t="str">
        <f t="shared" si="34"/>
        <v>SEJUSPPROG</v>
      </c>
      <c r="F436" s="52" t="s">
        <v>729</v>
      </c>
      <c r="G436" s="22" t="str">
        <f t="shared" si="35"/>
        <v>P130SEJUSP</v>
      </c>
      <c r="H436" s="92" t="s">
        <v>1259</v>
      </c>
      <c r="I436" s="22" t="s">
        <v>16</v>
      </c>
      <c r="J436" s="92" t="s">
        <v>1713</v>
      </c>
      <c r="K436" s="22" t="str">
        <f>VLOOKUP(CONCATENATE(A436,LEFT(J436,4)),AGRUPAMENTO!$D$2:$E$6783,2,FALSE)</f>
        <v>Serviços de saúde e medicamentos</v>
      </c>
      <c r="L436" s="92" t="s">
        <v>94</v>
      </c>
      <c r="M436" s="52" t="str">
        <f t="shared" si="32"/>
        <v>FONTESEJUSP</v>
      </c>
      <c r="N436" s="92">
        <v>10</v>
      </c>
      <c r="O436" s="155" t="s">
        <v>2704</v>
      </c>
      <c r="P436" s="92" t="s">
        <v>46</v>
      </c>
      <c r="Q436" s="92" t="s">
        <v>3812</v>
      </c>
      <c r="R436" s="204">
        <v>115</v>
      </c>
      <c r="S436" s="92" t="s">
        <v>3905</v>
      </c>
      <c r="T436" s="200">
        <v>39</v>
      </c>
      <c r="U436" s="201">
        <v>1</v>
      </c>
      <c r="V436" s="58">
        <f t="shared" si="33"/>
        <v>4485</v>
      </c>
      <c r="W436" s="52" t="s">
        <v>49</v>
      </c>
      <c r="X436" s="92" t="s">
        <v>4616</v>
      </c>
      <c r="Y436" s="92" t="s">
        <v>4617</v>
      </c>
      <c r="Z436" s="92" t="s">
        <v>4618</v>
      </c>
      <c r="AA436" s="52">
        <v>0</v>
      </c>
      <c r="AB436" s="52">
        <v>0</v>
      </c>
      <c r="AC436" s="52">
        <v>0</v>
      </c>
      <c r="AD436" s="21">
        <v>1</v>
      </c>
      <c r="AE436" s="54">
        <v>1</v>
      </c>
      <c r="AF436" s="315">
        <f t="shared" si="36"/>
        <v>4485</v>
      </c>
    </row>
    <row r="437" spans="1:32" ht="300" x14ac:dyDescent="0.25">
      <c r="A437" s="107" t="s">
        <v>588</v>
      </c>
      <c r="B437" s="107" t="s">
        <v>2269</v>
      </c>
      <c r="C437" s="52"/>
      <c r="D437" s="107" t="s">
        <v>2300</v>
      </c>
      <c r="E437" s="22" t="str">
        <f t="shared" si="34"/>
        <v>SEJUSPPROG</v>
      </c>
      <c r="F437" s="52" t="s">
        <v>729</v>
      </c>
      <c r="G437" s="22" t="str">
        <f t="shared" si="35"/>
        <v>P130SEJUSP</v>
      </c>
      <c r="H437" s="92" t="s">
        <v>1259</v>
      </c>
      <c r="I437" s="22" t="s">
        <v>16</v>
      </c>
      <c r="J437" s="92" t="s">
        <v>1713</v>
      </c>
      <c r="K437" s="22" t="str">
        <f>VLOOKUP(CONCATENATE(A437,LEFT(J437,4)),AGRUPAMENTO!$D$2:$E$6783,2,FALSE)</f>
        <v>Serviços de saúde e medicamentos</v>
      </c>
      <c r="L437" s="92" t="s">
        <v>94</v>
      </c>
      <c r="M437" s="52" t="str">
        <f t="shared" si="32"/>
        <v>FONTESEJUSP</v>
      </c>
      <c r="N437" s="92">
        <v>10</v>
      </c>
      <c r="O437" s="155" t="s">
        <v>2705</v>
      </c>
      <c r="P437" s="92" t="s">
        <v>46</v>
      </c>
      <c r="Q437" s="92" t="s">
        <v>3812</v>
      </c>
      <c r="R437" s="204">
        <v>94</v>
      </c>
      <c r="S437" s="92" t="s">
        <v>3905</v>
      </c>
      <c r="T437" s="200">
        <v>99.9</v>
      </c>
      <c r="U437" s="201">
        <v>1</v>
      </c>
      <c r="V437" s="58">
        <f t="shared" si="33"/>
        <v>9390.6</v>
      </c>
      <c r="W437" s="52" t="s">
        <v>49</v>
      </c>
      <c r="X437" s="92" t="s">
        <v>4616</v>
      </c>
      <c r="Y437" s="92" t="s">
        <v>4617</v>
      </c>
      <c r="Z437" s="92" t="s">
        <v>4618</v>
      </c>
      <c r="AA437" s="52">
        <v>0</v>
      </c>
      <c r="AB437" s="52">
        <v>0</v>
      </c>
      <c r="AC437" s="52">
        <v>0</v>
      </c>
      <c r="AD437" s="21">
        <v>1</v>
      </c>
      <c r="AE437" s="54">
        <v>1</v>
      </c>
      <c r="AF437" s="315">
        <f t="shared" si="36"/>
        <v>9390.6</v>
      </c>
    </row>
    <row r="438" spans="1:32" ht="300" x14ac:dyDescent="0.25">
      <c r="A438" s="107" t="s">
        <v>588</v>
      </c>
      <c r="B438" s="107" t="s">
        <v>2269</v>
      </c>
      <c r="C438" s="52"/>
      <c r="D438" s="107" t="s">
        <v>2300</v>
      </c>
      <c r="E438" s="22" t="str">
        <f t="shared" si="34"/>
        <v>SEJUSPPROG</v>
      </c>
      <c r="F438" s="52" t="s">
        <v>729</v>
      </c>
      <c r="G438" s="22" t="str">
        <f t="shared" si="35"/>
        <v>P130SEJUSP</v>
      </c>
      <c r="H438" s="92" t="s">
        <v>1259</v>
      </c>
      <c r="I438" s="22" t="s">
        <v>16</v>
      </c>
      <c r="J438" s="92" t="s">
        <v>1713</v>
      </c>
      <c r="K438" s="22" t="str">
        <f>VLOOKUP(CONCATENATE(A438,LEFT(J438,4)),AGRUPAMENTO!$D$2:$E$6783,2,FALSE)</f>
        <v>Serviços de saúde e medicamentos</v>
      </c>
      <c r="L438" s="92" t="s">
        <v>94</v>
      </c>
      <c r="M438" s="52" t="str">
        <f t="shared" si="32"/>
        <v>FONTESEJUSP</v>
      </c>
      <c r="N438" s="92">
        <v>10</v>
      </c>
      <c r="O438" s="153" t="s">
        <v>2706</v>
      </c>
      <c r="P438" s="92" t="s">
        <v>46</v>
      </c>
      <c r="Q438" s="92" t="s">
        <v>3812</v>
      </c>
      <c r="R438" s="204">
        <v>119</v>
      </c>
      <c r="S438" s="92" t="s">
        <v>3905</v>
      </c>
      <c r="T438" s="200">
        <v>141</v>
      </c>
      <c r="U438" s="201">
        <v>1</v>
      </c>
      <c r="V438" s="58">
        <f t="shared" si="33"/>
        <v>16779</v>
      </c>
      <c r="W438" s="52" t="s">
        <v>49</v>
      </c>
      <c r="X438" s="92" t="s">
        <v>4616</v>
      </c>
      <c r="Y438" s="92" t="s">
        <v>4617</v>
      </c>
      <c r="Z438" s="92" t="s">
        <v>4618</v>
      </c>
      <c r="AA438" s="52">
        <v>0</v>
      </c>
      <c r="AB438" s="52">
        <v>0</v>
      </c>
      <c r="AC438" s="52">
        <v>0</v>
      </c>
      <c r="AD438" s="21">
        <v>1</v>
      </c>
      <c r="AE438" s="54">
        <v>1</v>
      </c>
      <c r="AF438" s="315">
        <f t="shared" si="36"/>
        <v>16779</v>
      </c>
    </row>
    <row r="439" spans="1:32" ht="300" x14ac:dyDescent="0.25">
      <c r="A439" s="107" t="s">
        <v>588</v>
      </c>
      <c r="B439" s="107" t="s">
        <v>2269</v>
      </c>
      <c r="C439" s="52"/>
      <c r="D439" s="107" t="s">
        <v>2300</v>
      </c>
      <c r="E439" s="22" t="str">
        <f t="shared" si="34"/>
        <v>SEJUSPPROG</v>
      </c>
      <c r="F439" s="52" t="s">
        <v>729</v>
      </c>
      <c r="G439" s="22" t="str">
        <f t="shared" si="35"/>
        <v>P130SEJUSP</v>
      </c>
      <c r="H439" s="92" t="s">
        <v>1259</v>
      </c>
      <c r="I439" s="22" t="s">
        <v>16</v>
      </c>
      <c r="J439" s="92" t="s">
        <v>1713</v>
      </c>
      <c r="K439" s="22" t="str">
        <f>VLOOKUP(CONCATENATE(A439,LEFT(J439,4)),AGRUPAMENTO!$D$2:$E$6783,2,FALSE)</f>
        <v>Serviços de saúde e medicamentos</v>
      </c>
      <c r="L439" s="92" t="s">
        <v>94</v>
      </c>
      <c r="M439" s="52" t="str">
        <f t="shared" si="32"/>
        <v>FONTESEJUSP</v>
      </c>
      <c r="N439" s="92">
        <v>10</v>
      </c>
      <c r="O439" s="156" t="s">
        <v>2707</v>
      </c>
      <c r="P439" s="92" t="s">
        <v>46</v>
      </c>
      <c r="Q439" s="92" t="s">
        <v>3812</v>
      </c>
      <c r="R439" s="204">
        <v>132</v>
      </c>
      <c r="S439" s="92" t="s">
        <v>3905</v>
      </c>
      <c r="T439" s="200">
        <v>15</v>
      </c>
      <c r="U439" s="201">
        <v>1</v>
      </c>
      <c r="V439" s="58">
        <f t="shared" si="33"/>
        <v>1980</v>
      </c>
      <c r="W439" s="52" t="s">
        <v>49</v>
      </c>
      <c r="X439" s="92" t="s">
        <v>4616</v>
      </c>
      <c r="Y439" s="92" t="s">
        <v>4617</v>
      </c>
      <c r="Z439" s="92" t="s">
        <v>4618</v>
      </c>
      <c r="AA439" s="52">
        <v>0</v>
      </c>
      <c r="AB439" s="52">
        <v>0</v>
      </c>
      <c r="AC439" s="52">
        <v>0</v>
      </c>
      <c r="AD439" s="21">
        <v>1</v>
      </c>
      <c r="AE439" s="54">
        <v>1</v>
      </c>
      <c r="AF439" s="315">
        <f t="shared" si="36"/>
        <v>1980</v>
      </c>
    </row>
    <row r="440" spans="1:32" ht="300" x14ac:dyDescent="0.25">
      <c r="A440" s="107" t="s">
        <v>588</v>
      </c>
      <c r="B440" s="107" t="s">
        <v>2269</v>
      </c>
      <c r="C440" s="52"/>
      <c r="D440" s="107" t="s">
        <v>2300</v>
      </c>
      <c r="E440" s="22" t="str">
        <f t="shared" si="34"/>
        <v>SEJUSPPROG</v>
      </c>
      <c r="F440" s="52" t="s">
        <v>729</v>
      </c>
      <c r="G440" s="22" t="str">
        <f t="shared" si="35"/>
        <v>P130SEJUSP</v>
      </c>
      <c r="H440" s="92" t="s">
        <v>1259</v>
      </c>
      <c r="I440" s="22" t="s">
        <v>16</v>
      </c>
      <c r="J440" s="92" t="s">
        <v>1713</v>
      </c>
      <c r="K440" s="22" t="str">
        <f>VLOOKUP(CONCATENATE(A440,LEFT(J440,4)),AGRUPAMENTO!$D$2:$E$6783,2,FALSE)</f>
        <v>Serviços de saúde e medicamentos</v>
      </c>
      <c r="L440" s="92" t="s">
        <v>94</v>
      </c>
      <c r="M440" s="52" t="str">
        <f t="shared" si="32"/>
        <v>FONTESEJUSP</v>
      </c>
      <c r="N440" s="92">
        <v>10</v>
      </c>
      <c r="O440" s="153" t="s">
        <v>2708</v>
      </c>
      <c r="P440" s="92" t="s">
        <v>46</v>
      </c>
      <c r="Q440" s="92" t="s">
        <v>3812</v>
      </c>
      <c r="R440" s="204">
        <v>77</v>
      </c>
      <c r="S440" s="92" t="s">
        <v>3904</v>
      </c>
      <c r="T440" s="200">
        <v>176.47</v>
      </c>
      <c r="U440" s="201">
        <v>1</v>
      </c>
      <c r="V440" s="58">
        <f t="shared" si="33"/>
        <v>13588.19</v>
      </c>
      <c r="W440" s="52" t="s">
        <v>49</v>
      </c>
      <c r="X440" s="92" t="s">
        <v>4616</v>
      </c>
      <c r="Y440" s="92" t="s">
        <v>4617</v>
      </c>
      <c r="Z440" s="92" t="s">
        <v>4618</v>
      </c>
      <c r="AA440" s="52">
        <v>0</v>
      </c>
      <c r="AB440" s="52">
        <v>0</v>
      </c>
      <c r="AC440" s="52">
        <v>0</v>
      </c>
      <c r="AD440" s="21">
        <v>1</v>
      </c>
      <c r="AE440" s="54">
        <v>1</v>
      </c>
      <c r="AF440" s="315">
        <f t="shared" si="36"/>
        <v>13588.19</v>
      </c>
    </row>
    <row r="441" spans="1:32" ht="300" x14ac:dyDescent="0.25">
      <c r="A441" s="107" t="s">
        <v>588</v>
      </c>
      <c r="B441" s="107" t="s">
        <v>2269</v>
      </c>
      <c r="C441" s="52"/>
      <c r="D441" s="107" t="s">
        <v>2300</v>
      </c>
      <c r="E441" s="22" t="str">
        <f t="shared" si="34"/>
        <v>SEJUSPPROG</v>
      </c>
      <c r="F441" s="52" t="s">
        <v>729</v>
      </c>
      <c r="G441" s="22" t="str">
        <f t="shared" si="35"/>
        <v>P130SEJUSP</v>
      </c>
      <c r="H441" s="92" t="s">
        <v>1259</v>
      </c>
      <c r="I441" s="22" t="s">
        <v>16</v>
      </c>
      <c r="J441" s="92" t="s">
        <v>1713</v>
      </c>
      <c r="K441" s="22" t="str">
        <f>VLOOKUP(CONCATENATE(A441,LEFT(J441,4)),AGRUPAMENTO!$D$2:$E$6783,2,FALSE)</f>
        <v>Serviços de saúde e medicamentos</v>
      </c>
      <c r="L441" s="92" t="s">
        <v>94</v>
      </c>
      <c r="M441" s="52" t="str">
        <f t="shared" si="32"/>
        <v>FONTESEJUSP</v>
      </c>
      <c r="N441" s="92">
        <v>10</v>
      </c>
      <c r="O441" s="156" t="s">
        <v>2709</v>
      </c>
      <c r="P441" s="92" t="s">
        <v>46</v>
      </c>
      <c r="Q441" s="92" t="s">
        <v>3812</v>
      </c>
      <c r="R441" s="204">
        <v>58</v>
      </c>
      <c r="S441" s="92" t="s">
        <v>3905</v>
      </c>
      <c r="T441" s="200">
        <v>145</v>
      </c>
      <c r="U441" s="201">
        <v>1</v>
      </c>
      <c r="V441" s="58">
        <f t="shared" si="33"/>
        <v>8410</v>
      </c>
      <c r="W441" s="52" t="s">
        <v>49</v>
      </c>
      <c r="X441" s="92" t="s">
        <v>4616</v>
      </c>
      <c r="Y441" s="92" t="s">
        <v>4617</v>
      </c>
      <c r="Z441" s="92" t="s">
        <v>4618</v>
      </c>
      <c r="AA441" s="52">
        <v>0</v>
      </c>
      <c r="AB441" s="52">
        <v>0</v>
      </c>
      <c r="AC441" s="52">
        <v>0</v>
      </c>
      <c r="AD441" s="21">
        <v>1</v>
      </c>
      <c r="AE441" s="54">
        <v>1</v>
      </c>
      <c r="AF441" s="315">
        <f t="shared" si="36"/>
        <v>8410</v>
      </c>
    </row>
    <row r="442" spans="1:32" ht="300" x14ac:dyDescent="0.25">
      <c r="A442" s="107" t="s">
        <v>588</v>
      </c>
      <c r="B442" s="107" t="s">
        <v>2269</v>
      </c>
      <c r="C442" s="52"/>
      <c r="D442" s="107" t="s">
        <v>2300</v>
      </c>
      <c r="E442" s="22" t="str">
        <f t="shared" si="34"/>
        <v>SEJUSPPROG</v>
      </c>
      <c r="F442" s="52" t="s">
        <v>729</v>
      </c>
      <c r="G442" s="22" t="str">
        <f t="shared" si="35"/>
        <v>P130SEJUSP</v>
      </c>
      <c r="H442" s="92" t="s">
        <v>1259</v>
      </c>
      <c r="I442" s="22" t="s">
        <v>16</v>
      </c>
      <c r="J442" s="92" t="s">
        <v>1713</v>
      </c>
      <c r="K442" s="22" t="str">
        <f>VLOOKUP(CONCATENATE(A442,LEFT(J442,4)),AGRUPAMENTO!$D$2:$E$6783,2,FALSE)</f>
        <v>Serviços de saúde e medicamentos</v>
      </c>
      <c r="L442" s="92" t="s">
        <v>94</v>
      </c>
      <c r="M442" s="52" t="str">
        <f t="shared" si="32"/>
        <v>FONTESEJUSP</v>
      </c>
      <c r="N442" s="92">
        <v>10</v>
      </c>
      <c r="O442" s="155" t="s">
        <v>2710</v>
      </c>
      <c r="P442" s="92" t="s">
        <v>46</v>
      </c>
      <c r="Q442" s="92" t="s">
        <v>3812</v>
      </c>
      <c r="R442" s="204">
        <v>30</v>
      </c>
      <c r="S442" s="92" t="s">
        <v>3905</v>
      </c>
      <c r="T442" s="200">
        <v>94</v>
      </c>
      <c r="U442" s="201">
        <v>1</v>
      </c>
      <c r="V442" s="58">
        <f t="shared" si="33"/>
        <v>2820</v>
      </c>
      <c r="W442" s="52" t="s">
        <v>49</v>
      </c>
      <c r="X442" s="92" t="s">
        <v>4616</v>
      </c>
      <c r="Y442" s="92" t="s">
        <v>4617</v>
      </c>
      <c r="Z442" s="92" t="s">
        <v>4618</v>
      </c>
      <c r="AA442" s="52">
        <v>0</v>
      </c>
      <c r="AB442" s="52">
        <v>0</v>
      </c>
      <c r="AC442" s="52">
        <v>0</v>
      </c>
      <c r="AD442" s="21">
        <v>1</v>
      </c>
      <c r="AE442" s="54">
        <v>1</v>
      </c>
      <c r="AF442" s="315">
        <f t="shared" si="36"/>
        <v>2820</v>
      </c>
    </row>
    <row r="443" spans="1:32" ht="300" x14ac:dyDescent="0.25">
      <c r="A443" s="107" t="s">
        <v>588</v>
      </c>
      <c r="B443" s="107" t="s">
        <v>2269</v>
      </c>
      <c r="C443" s="52"/>
      <c r="D443" s="107" t="s">
        <v>2300</v>
      </c>
      <c r="E443" s="22" t="str">
        <f t="shared" si="34"/>
        <v>SEJUSPPROG</v>
      </c>
      <c r="F443" s="52" t="s">
        <v>729</v>
      </c>
      <c r="G443" s="22" t="str">
        <f t="shared" si="35"/>
        <v>P130SEJUSP</v>
      </c>
      <c r="H443" s="92" t="s">
        <v>1259</v>
      </c>
      <c r="I443" s="22" t="s">
        <v>16</v>
      </c>
      <c r="J443" s="92" t="s">
        <v>1713</v>
      </c>
      <c r="K443" s="22" t="str">
        <f>VLOOKUP(CONCATENATE(A443,LEFT(J443,4)),AGRUPAMENTO!$D$2:$E$6783,2,FALSE)</f>
        <v>Serviços de saúde e medicamentos</v>
      </c>
      <c r="L443" s="92" t="s">
        <v>94</v>
      </c>
      <c r="M443" s="52" t="str">
        <f t="shared" si="32"/>
        <v>FONTESEJUSP</v>
      </c>
      <c r="N443" s="92">
        <v>10</v>
      </c>
      <c r="O443" s="155" t="s">
        <v>2711</v>
      </c>
      <c r="P443" s="92" t="s">
        <v>46</v>
      </c>
      <c r="Q443" s="92" t="s">
        <v>3812</v>
      </c>
      <c r="R443" s="204">
        <v>29</v>
      </c>
      <c r="S443" s="92" t="s">
        <v>3905</v>
      </c>
      <c r="T443" s="200">
        <v>3151.8</v>
      </c>
      <c r="U443" s="201">
        <v>1</v>
      </c>
      <c r="V443" s="58">
        <f t="shared" si="33"/>
        <v>91402.200000000012</v>
      </c>
      <c r="W443" s="52" t="s">
        <v>49</v>
      </c>
      <c r="X443" s="92" t="s">
        <v>4616</v>
      </c>
      <c r="Y443" s="92" t="s">
        <v>4617</v>
      </c>
      <c r="Z443" s="92" t="s">
        <v>4618</v>
      </c>
      <c r="AA443" s="52">
        <v>0</v>
      </c>
      <c r="AB443" s="52">
        <v>0</v>
      </c>
      <c r="AC443" s="52">
        <v>0</v>
      </c>
      <c r="AD443" s="21">
        <v>1</v>
      </c>
      <c r="AE443" s="54">
        <v>1</v>
      </c>
      <c r="AF443" s="315">
        <f t="shared" si="36"/>
        <v>91402.200000000012</v>
      </c>
    </row>
    <row r="444" spans="1:32" ht="300" x14ac:dyDescent="0.25">
      <c r="A444" s="107" t="s">
        <v>588</v>
      </c>
      <c r="B444" s="107" t="s">
        <v>2269</v>
      </c>
      <c r="C444" s="52"/>
      <c r="D444" s="107" t="s">
        <v>2300</v>
      </c>
      <c r="E444" s="22" t="str">
        <f t="shared" si="34"/>
        <v>SEJUSPPROG</v>
      </c>
      <c r="F444" s="52" t="s">
        <v>729</v>
      </c>
      <c r="G444" s="22" t="str">
        <f t="shared" si="35"/>
        <v>P130SEJUSP</v>
      </c>
      <c r="H444" s="92" t="s">
        <v>1259</v>
      </c>
      <c r="I444" s="22" t="s">
        <v>16</v>
      </c>
      <c r="J444" s="92" t="s">
        <v>1713</v>
      </c>
      <c r="K444" s="22" t="str">
        <f>VLOOKUP(CONCATENATE(A444,LEFT(J444,4)),AGRUPAMENTO!$D$2:$E$6783,2,FALSE)</f>
        <v>Serviços de saúde e medicamentos</v>
      </c>
      <c r="L444" s="92" t="s">
        <v>94</v>
      </c>
      <c r="M444" s="52" t="str">
        <f t="shared" si="32"/>
        <v>FONTESEJUSP</v>
      </c>
      <c r="N444" s="92">
        <v>10</v>
      </c>
      <c r="O444" s="153" t="s">
        <v>2712</v>
      </c>
      <c r="P444" s="92" t="s">
        <v>46</v>
      </c>
      <c r="Q444" s="92" t="s">
        <v>3812</v>
      </c>
      <c r="R444" s="204">
        <v>109</v>
      </c>
      <c r="S444" s="92" t="s">
        <v>3905</v>
      </c>
      <c r="T444" s="200">
        <v>14</v>
      </c>
      <c r="U444" s="201">
        <v>1</v>
      </c>
      <c r="V444" s="58">
        <f t="shared" si="33"/>
        <v>1526</v>
      </c>
      <c r="W444" s="52" t="s">
        <v>49</v>
      </c>
      <c r="X444" s="92" t="s">
        <v>4616</v>
      </c>
      <c r="Y444" s="92" t="s">
        <v>4617</v>
      </c>
      <c r="Z444" s="92" t="s">
        <v>4618</v>
      </c>
      <c r="AA444" s="52">
        <v>0</v>
      </c>
      <c r="AB444" s="52">
        <v>0</v>
      </c>
      <c r="AC444" s="52">
        <v>0</v>
      </c>
      <c r="AD444" s="21">
        <v>1</v>
      </c>
      <c r="AE444" s="54">
        <v>1</v>
      </c>
      <c r="AF444" s="315">
        <f t="shared" si="36"/>
        <v>1526</v>
      </c>
    </row>
    <row r="445" spans="1:32" ht="300" x14ac:dyDescent="0.25">
      <c r="A445" s="107" t="s">
        <v>588</v>
      </c>
      <c r="B445" s="107" t="s">
        <v>2269</v>
      </c>
      <c r="C445" s="52"/>
      <c r="D445" s="107" t="s">
        <v>2300</v>
      </c>
      <c r="E445" s="22" t="str">
        <f t="shared" si="34"/>
        <v>SEJUSPPROG</v>
      </c>
      <c r="F445" s="52" t="s">
        <v>729</v>
      </c>
      <c r="G445" s="22" t="str">
        <f t="shared" si="35"/>
        <v>P130SEJUSP</v>
      </c>
      <c r="H445" s="92" t="s">
        <v>1259</v>
      </c>
      <c r="I445" s="22" t="s">
        <v>16</v>
      </c>
      <c r="J445" s="92" t="s">
        <v>1713</v>
      </c>
      <c r="K445" s="22" t="str">
        <f>VLOOKUP(CONCATENATE(A445,LEFT(J445,4)),AGRUPAMENTO!$D$2:$E$6783,2,FALSE)</f>
        <v>Serviços de saúde e medicamentos</v>
      </c>
      <c r="L445" s="92" t="s">
        <v>94</v>
      </c>
      <c r="M445" s="52" t="str">
        <f t="shared" si="32"/>
        <v>FONTESEJUSP</v>
      </c>
      <c r="N445" s="92">
        <v>10</v>
      </c>
      <c r="O445" s="153" t="s">
        <v>2713</v>
      </c>
      <c r="P445" s="92" t="s">
        <v>46</v>
      </c>
      <c r="Q445" s="92" t="s">
        <v>3812</v>
      </c>
      <c r="R445" s="204">
        <v>103</v>
      </c>
      <c r="S445" s="92" t="s">
        <v>3905</v>
      </c>
      <c r="T445" s="200">
        <v>28</v>
      </c>
      <c r="U445" s="201">
        <v>1</v>
      </c>
      <c r="V445" s="58">
        <f t="shared" si="33"/>
        <v>2884</v>
      </c>
      <c r="W445" s="52" t="s">
        <v>49</v>
      </c>
      <c r="X445" s="92" t="s">
        <v>4616</v>
      </c>
      <c r="Y445" s="92" t="s">
        <v>4617</v>
      </c>
      <c r="Z445" s="92" t="s">
        <v>4618</v>
      </c>
      <c r="AA445" s="52">
        <v>0</v>
      </c>
      <c r="AB445" s="52">
        <v>0</v>
      </c>
      <c r="AC445" s="52">
        <v>0</v>
      </c>
      <c r="AD445" s="21">
        <v>1</v>
      </c>
      <c r="AE445" s="54">
        <v>1</v>
      </c>
      <c r="AF445" s="315">
        <f t="shared" si="36"/>
        <v>2884</v>
      </c>
    </row>
    <row r="446" spans="1:32" ht="300" x14ac:dyDescent="0.25">
      <c r="A446" s="107" t="s">
        <v>588</v>
      </c>
      <c r="B446" s="107" t="s">
        <v>2269</v>
      </c>
      <c r="C446" s="52"/>
      <c r="D446" s="107" t="s">
        <v>2300</v>
      </c>
      <c r="E446" s="22" t="str">
        <f t="shared" si="34"/>
        <v>SEJUSPPROG</v>
      </c>
      <c r="F446" s="52" t="s">
        <v>729</v>
      </c>
      <c r="G446" s="22" t="str">
        <f t="shared" si="35"/>
        <v>P130SEJUSP</v>
      </c>
      <c r="H446" s="92" t="s">
        <v>1259</v>
      </c>
      <c r="I446" s="22" t="s">
        <v>16</v>
      </c>
      <c r="J446" s="92" t="s">
        <v>1713</v>
      </c>
      <c r="K446" s="22" t="str">
        <f>VLOOKUP(CONCATENATE(A446,LEFT(J446,4)),AGRUPAMENTO!$D$2:$E$6783,2,FALSE)</f>
        <v>Serviços de saúde e medicamentos</v>
      </c>
      <c r="L446" s="92" t="s">
        <v>94</v>
      </c>
      <c r="M446" s="52" t="str">
        <f t="shared" si="32"/>
        <v>FONTESEJUSP</v>
      </c>
      <c r="N446" s="92">
        <v>10</v>
      </c>
      <c r="O446" s="156" t="s">
        <v>2714</v>
      </c>
      <c r="P446" s="92" t="s">
        <v>46</v>
      </c>
      <c r="Q446" s="92" t="s">
        <v>3812</v>
      </c>
      <c r="R446" s="204">
        <v>252</v>
      </c>
      <c r="S446" s="92" t="s">
        <v>3904</v>
      </c>
      <c r="T446" s="200">
        <v>10.78</v>
      </c>
      <c r="U446" s="201">
        <v>1</v>
      </c>
      <c r="V446" s="58">
        <f t="shared" si="33"/>
        <v>2716.56</v>
      </c>
      <c r="W446" s="52" t="s">
        <v>49</v>
      </c>
      <c r="X446" s="92" t="s">
        <v>4616</v>
      </c>
      <c r="Y446" s="92" t="s">
        <v>4617</v>
      </c>
      <c r="Z446" s="92" t="s">
        <v>4618</v>
      </c>
      <c r="AA446" s="52">
        <v>0</v>
      </c>
      <c r="AB446" s="52">
        <v>0</v>
      </c>
      <c r="AC446" s="52">
        <v>0</v>
      </c>
      <c r="AD446" s="21">
        <v>1</v>
      </c>
      <c r="AE446" s="54">
        <v>1</v>
      </c>
      <c r="AF446" s="315">
        <f t="shared" si="36"/>
        <v>2716.56</v>
      </c>
    </row>
    <row r="447" spans="1:32" ht="300" x14ac:dyDescent="0.25">
      <c r="A447" s="107" t="s">
        <v>588</v>
      </c>
      <c r="B447" s="107" t="s">
        <v>2269</v>
      </c>
      <c r="C447" s="52"/>
      <c r="D447" s="107" t="s">
        <v>2300</v>
      </c>
      <c r="E447" s="22" t="str">
        <f t="shared" si="34"/>
        <v>SEJUSPPROG</v>
      </c>
      <c r="F447" s="52" t="s">
        <v>729</v>
      </c>
      <c r="G447" s="22" t="str">
        <f t="shared" si="35"/>
        <v>P130SEJUSP</v>
      </c>
      <c r="H447" s="92" t="s">
        <v>1259</v>
      </c>
      <c r="I447" s="22" t="s">
        <v>16</v>
      </c>
      <c r="J447" s="92" t="s">
        <v>1713</v>
      </c>
      <c r="K447" s="22" t="str">
        <f>VLOOKUP(CONCATENATE(A447,LEFT(J447,4)),AGRUPAMENTO!$D$2:$E$6783,2,FALSE)</f>
        <v>Serviços de saúde e medicamentos</v>
      </c>
      <c r="L447" s="92" t="s">
        <v>94</v>
      </c>
      <c r="M447" s="52" t="str">
        <f t="shared" si="32"/>
        <v>FONTESEJUSP</v>
      </c>
      <c r="N447" s="92">
        <v>10</v>
      </c>
      <c r="O447" s="155" t="s">
        <v>2715</v>
      </c>
      <c r="P447" s="92" t="s">
        <v>46</v>
      </c>
      <c r="Q447" s="92" t="s">
        <v>3812</v>
      </c>
      <c r="R447" s="204">
        <v>88</v>
      </c>
      <c r="S447" s="92" t="s">
        <v>3905</v>
      </c>
      <c r="T447" s="200">
        <v>12.9</v>
      </c>
      <c r="U447" s="201">
        <v>1</v>
      </c>
      <c r="V447" s="58">
        <f t="shared" si="33"/>
        <v>1135.2</v>
      </c>
      <c r="W447" s="52" t="s">
        <v>49</v>
      </c>
      <c r="X447" s="92" t="s">
        <v>4616</v>
      </c>
      <c r="Y447" s="92" t="s">
        <v>4617</v>
      </c>
      <c r="Z447" s="92" t="s">
        <v>4618</v>
      </c>
      <c r="AA447" s="52">
        <v>0</v>
      </c>
      <c r="AB447" s="52">
        <v>0</v>
      </c>
      <c r="AC447" s="52">
        <v>0</v>
      </c>
      <c r="AD447" s="21">
        <v>1</v>
      </c>
      <c r="AE447" s="54">
        <v>1</v>
      </c>
      <c r="AF447" s="315">
        <f t="shared" si="36"/>
        <v>1135.2</v>
      </c>
    </row>
    <row r="448" spans="1:32" ht="300" x14ac:dyDescent="0.25">
      <c r="A448" s="107" t="s">
        <v>588</v>
      </c>
      <c r="B448" s="107" t="s">
        <v>2269</v>
      </c>
      <c r="C448" s="52"/>
      <c r="D448" s="107" t="s">
        <v>2300</v>
      </c>
      <c r="E448" s="22" t="str">
        <f t="shared" si="34"/>
        <v>SEJUSPPROG</v>
      </c>
      <c r="F448" s="52" t="s">
        <v>729</v>
      </c>
      <c r="G448" s="22" t="str">
        <f t="shared" si="35"/>
        <v>P130SEJUSP</v>
      </c>
      <c r="H448" s="92" t="s">
        <v>1259</v>
      </c>
      <c r="I448" s="22" t="s">
        <v>16</v>
      </c>
      <c r="J448" s="92" t="s">
        <v>1713</v>
      </c>
      <c r="K448" s="22" t="str">
        <f>VLOOKUP(CONCATENATE(A448,LEFT(J448,4)),AGRUPAMENTO!$D$2:$E$6783,2,FALSE)</f>
        <v>Serviços de saúde e medicamentos</v>
      </c>
      <c r="L448" s="92" t="s">
        <v>94</v>
      </c>
      <c r="M448" s="52" t="str">
        <f t="shared" si="32"/>
        <v>FONTESEJUSP</v>
      </c>
      <c r="N448" s="92">
        <v>10</v>
      </c>
      <c r="O448" s="155" t="s">
        <v>2716</v>
      </c>
      <c r="P448" s="92" t="s">
        <v>46</v>
      </c>
      <c r="Q448" s="92" t="s">
        <v>3812</v>
      </c>
      <c r="R448" s="204">
        <v>9</v>
      </c>
      <c r="S448" s="92" t="s">
        <v>3905</v>
      </c>
      <c r="T448" s="200">
        <v>209.16</v>
      </c>
      <c r="U448" s="201">
        <v>1</v>
      </c>
      <c r="V448" s="58">
        <f t="shared" si="33"/>
        <v>1882.44</v>
      </c>
      <c r="W448" s="52" t="s">
        <v>49</v>
      </c>
      <c r="X448" s="92" t="s">
        <v>4616</v>
      </c>
      <c r="Y448" s="92" t="s">
        <v>4617</v>
      </c>
      <c r="Z448" s="92" t="s">
        <v>4618</v>
      </c>
      <c r="AA448" s="52">
        <v>0</v>
      </c>
      <c r="AB448" s="52">
        <v>0</v>
      </c>
      <c r="AC448" s="52">
        <v>0</v>
      </c>
      <c r="AD448" s="21">
        <v>1</v>
      </c>
      <c r="AE448" s="54">
        <v>1</v>
      </c>
      <c r="AF448" s="315">
        <f t="shared" si="36"/>
        <v>1882.44</v>
      </c>
    </row>
    <row r="449" spans="1:32" ht="300" x14ac:dyDescent="0.25">
      <c r="A449" s="107" t="s">
        <v>588</v>
      </c>
      <c r="B449" s="107" t="s">
        <v>2269</v>
      </c>
      <c r="C449" s="52"/>
      <c r="D449" s="107" t="s">
        <v>2300</v>
      </c>
      <c r="E449" s="22" t="str">
        <f t="shared" si="34"/>
        <v>SEJUSPPROG</v>
      </c>
      <c r="F449" s="52" t="s">
        <v>729</v>
      </c>
      <c r="G449" s="22" t="str">
        <f t="shared" si="35"/>
        <v>P130SEJUSP</v>
      </c>
      <c r="H449" s="92" t="s">
        <v>1259</v>
      </c>
      <c r="I449" s="22" t="s">
        <v>16</v>
      </c>
      <c r="J449" s="92" t="s">
        <v>1713</v>
      </c>
      <c r="K449" s="22" t="str">
        <f>VLOOKUP(CONCATENATE(A449,LEFT(J449,4)),AGRUPAMENTO!$D$2:$E$6783,2,FALSE)</f>
        <v>Serviços de saúde e medicamentos</v>
      </c>
      <c r="L449" s="92" t="s">
        <v>94</v>
      </c>
      <c r="M449" s="52" t="str">
        <f t="shared" ref="M449:M499" si="37">CONCATENATE("FONTE",A449)</f>
        <v>FONTESEJUSP</v>
      </c>
      <c r="N449" s="92">
        <v>10</v>
      </c>
      <c r="O449" s="155" t="s">
        <v>2717</v>
      </c>
      <c r="P449" s="92" t="s">
        <v>46</v>
      </c>
      <c r="Q449" s="92" t="s">
        <v>3812</v>
      </c>
      <c r="R449" s="204">
        <v>79</v>
      </c>
      <c r="S449" s="92" t="s">
        <v>3905</v>
      </c>
      <c r="T449" s="200">
        <v>20</v>
      </c>
      <c r="U449" s="201">
        <v>1</v>
      </c>
      <c r="V449" s="58">
        <f t="shared" si="33"/>
        <v>1580</v>
      </c>
      <c r="W449" s="52" t="s">
        <v>49</v>
      </c>
      <c r="X449" s="92" t="s">
        <v>4616</v>
      </c>
      <c r="Y449" s="92" t="s">
        <v>4617</v>
      </c>
      <c r="Z449" s="92" t="s">
        <v>4618</v>
      </c>
      <c r="AA449" s="52">
        <v>0</v>
      </c>
      <c r="AB449" s="52">
        <v>0</v>
      </c>
      <c r="AC449" s="52">
        <v>0</v>
      </c>
      <c r="AD449" s="21">
        <v>1</v>
      </c>
      <c r="AE449" s="54">
        <v>1</v>
      </c>
      <c r="AF449" s="315">
        <f t="shared" si="36"/>
        <v>1580</v>
      </c>
    </row>
    <row r="450" spans="1:32" ht="300" x14ac:dyDescent="0.25">
      <c r="A450" s="107" t="s">
        <v>588</v>
      </c>
      <c r="B450" s="107" t="s">
        <v>2269</v>
      </c>
      <c r="C450" s="52"/>
      <c r="D450" s="107" t="s">
        <v>2300</v>
      </c>
      <c r="E450" s="22" t="str">
        <f t="shared" si="34"/>
        <v>SEJUSPPROG</v>
      </c>
      <c r="F450" s="52" t="s">
        <v>729</v>
      </c>
      <c r="G450" s="22" t="str">
        <f t="shared" si="35"/>
        <v>P130SEJUSP</v>
      </c>
      <c r="H450" s="92" t="s">
        <v>1259</v>
      </c>
      <c r="I450" s="22" t="s">
        <v>16</v>
      </c>
      <c r="J450" s="92" t="s">
        <v>1713</v>
      </c>
      <c r="K450" s="22" t="str">
        <f>VLOOKUP(CONCATENATE(A450,LEFT(J450,4)),AGRUPAMENTO!$D$2:$E$6783,2,FALSE)</f>
        <v>Serviços de saúde e medicamentos</v>
      </c>
      <c r="L450" s="92" t="s">
        <v>94</v>
      </c>
      <c r="M450" s="52" t="str">
        <f t="shared" si="37"/>
        <v>FONTESEJUSP</v>
      </c>
      <c r="N450" s="92">
        <v>10</v>
      </c>
      <c r="O450" s="155" t="s">
        <v>2718</v>
      </c>
      <c r="P450" s="92" t="s">
        <v>46</v>
      </c>
      <c r="Q450" s="92" t="s">
        <v>3812</v>
      </c>
      <c r="R450" s="204">
        <v>69</v>
      </c>
      <c r="S450" s="92" t="s">
        <v>3905</v>
      </c>
      <c r="T450" s="200">
        <v>18</v>
      </c>
      <c r="U450" s="201">
        <v>1</v>
      </c>
      <c r="V450" s="58">
        <f t="shared" ref="V450:V513" si="38">R450*T450*U450</f>
        <v>1242</v>
      </c>
      <c r="W450" s="52" t="s">
        <v>49</v>
      </c>
      <c r="X450" s="92" t="s">
        <v>4616</v>
      </c>
      <c r="Y450" s="92" t="s">
        <v>4617</v>
      </c>
      <c r="Z450" s="92" t="s">
        <v>4618</v>
      </c>
      <c r="AA450" s="52">
        <v>0</v>
      </c>
      <c r="AB450" s="52">
        <v>0</v>
      </c>
      <c r="AC450" s="52">
        <v>0</v>
      </c>
      <c r="AD450" s="21">
        <v>1</v>
      </c>
      <c r="AE450" s="54">
        <v>1</v>
      </c>
      <c r="AF450" s="315">
        <f t="shared" si="36"/>
        <v>1242</v>
      </c>
    </row>
    <row r="451" spans="1:32" ht="300" x14ac:dyDescent="0.25">
      <c r="A451" s="107" t="s">
        <v>588</v>
      </c>
      <c r="B451" s="107" t="s">
        <v>2269</v>
      </c>
      <c r="C451" s="52"/>
      <c r="D451" s="107" t="s">
        <v>2300</v>
      </c>
      <c r="E451" s="22" t="str">
        <f t="shared" ref="E451:E514" si="39">CONCATENATE(A451,"PROG")</f>
        <v>SEJUSPPROG</v>
      </c>
      <c r="F451" s="52" t="s">
        <v>729</v>
      </c>
      <c r="G451" s="22" t="str">
        <f t="shared" si="35"/>
        <v>P130SEJUSP</v>
      </c>
      <c r="H451" s="92" t="s">
        <v>1259</v>
      </c>
      <c r="I451" s="22" t="s">
        <v>16</v>
      </c>
      <c r="J451" s="92" t="s">
        <v>1713</v>
      </c>
      <c r="K451" s="22" t="str">
        <f>VLOOKUP(CONCATENATE(A451,LEFT(J451,4)),AGRUPAMENTO!$D$2:$E$6783,2,FALSE)</f>
        <v>Serviços de saúde e medicamentos</v>
      </c>
      <c r="L451" s="92" t="s">
        <v>94</v>
      </c>
      <c r="M451" s="52" t="str">
        <f t="shared" si="37"/>
        <v>FONTESEJUSP</v>
      </c>
      <c r="N451" s="92">
        <v>10</v>
      </c>
      <c r="O451" s="155" t="s">
        <v>2719</v>
      </c>
      <c r="P451" s="92" t="s">
        <v>46</v>
      </c>
      <c r="Q451" s="92" t="s">
        <v>3812</v>
      </c>
      <c r="R451" s="204">
        <v>75</v>
      </c>
      <c r="S451" s="92" t="s">
        <v>3905</v>
      </c>
      <c r="T451" s="200">
        <v>15</v>
      </c>
      <c r="U451" s="201">
        <v>1</v>
      </c>
      <c r="V451" s="58">
        <f t="shared" si="38"/>
        <v>1125</v>
      </c>
      <c r="W451" s="52" t="s">
        <v>49</v>
      </c>
      <c r="X451" s="92" t="s">
        <v>4616</v>
      </c>
      <c r="Y451" s="92" t="s">
        <v>4617</v>
      </c>
      <c r="Z451" s="92" t="s">
        <v>4618</v>
      </c>
      <c r="AA451" s="52">
        <v>0</v>
      </c>
      <c r="AB451" s="52">
        <v>0</v>
      </c>
      <c r="AC451" s="52">
        <v>0</v>
      </c>
      <c r="AD451" s="21">
        <v>1</v>
      </c>
      <c r="AE451" s="54">
        <v>1</v>
      </c>
      <c r="AF451" s="315">
        <f t="shared" si="36"/>
        <v>1125</v>
      </c>
    </row>
    <row r="452" spans="1:32" ht="300" x14ac:dyDescent="0.25">
      <c r="A452" s="107" t="s">
        <v>588</v>
      </c>
      <c r="B452" s="107" t="s">
        <v>2269</v>
      </c>
      <c r="C452" s="52"/>
      <c r="D452" s="107" t="s">
        <v>2300</v>
      </c>
      <c r="E452" s="22" t="str">
        <f t="shared" si="39"/>
        <v>SEJUSPPROG</v>
      </c>
      <c r="F452" s="52" t="s">
        <v>729</v>
      </c>
      <c r="G452" s="22" t="str">
        <f t="shared" ref="G452:G515" si="40">CONCATENATE("P",(LEFT(F452,3)),A452)</f>
        <v>P130SEJUSP</v>
      </c>
      <c r="H452" s="92" t="s">
        <v>1259</v>
      </c>
      <c r="I452" s="22" t="s">
        <v>16</v>
      </c>
      <c r="J452" s="92" t="s">
        <v>1713</v>
      </c>
      <c r="K452" s="22" t="str">
        <f>VLOOKUP(CONCATENATE(A452,LEFT(J452,4)),AGRUPAMENTO!$D$2:$E$6783,2,FALSE)</f>
        <v>Serviços de saúde e medicamentos</v>
      </c>
      <c r="L452" s="92" t="s">
        <v>94</v>
      </c>
      <c r="M452" s="52" t="str">
        <f t="shared" si="37"/>
        <v>FONTESEJUSP</v>
      </c>
      <c r="N452" s="92">
        <v>10</v>
      </c>
      <c r="O452" s="153" t="s">
        <v>2720</v>
      </c>
      <c r="P452" s="92" t="s">
        <v>46</v>
      </c>
      <c r="Q452" s="92" t="s">
        <v>3812</v>
      </c>
      <c r="R452" s="204">
        <v>27</v>
      </c>
      <c r="S452" s="92" t="s">
        <v>3905</v>
      </c>
      <c r="T452" s="200">
        <v>23</v>
      </c>
      <c r="U452" s="201">
        <v>1</v>
      </c>
      <c r="V452" s="58">
        <f t="shared" si="38"/>
        <v>621</v>
      </c>
      <c r="W452" s="52" t="s">
        <v>49</v>
      </c>
      <c r="X452" s="92" t="s">
        <v>4616</v>
      </c>
      <c r="Y452" s="92" t="s">
        <v>4617</v>
      </c>
      <c r="Z452" s="92" t="s">
        <v>4618</v>
      </c>
      <c r="AA452" s="52">
        <v>0</v>
      </c>
      <c r="AB452" s="52">
        <v>0</v>
      </c>
      <c r="AC452" s="52">
        <v>0</v>
      </c>
      <c r="AD452" s="21">
        <v>1</v>
      </c>
      <c r="AE452" s="54">
        <v>1</v>
      </c>
      <c r="AF452" s="315">
        <f t="shared" ref="AF452:AF515" si="41">AE452*V452</f>
        <v>621</v>
      </c>
    </row>
    <row r="453" spans="1:32" ht="300" x14ac:dyDescent="0.25">
      <c r="A453" s="107" t="s">
        <v>588</v>
      </c>
      <c r="B453" s="107" t="s">
        <v>2269</v>
      </c>
      <c r="C453" s="52"/>
      <c r="D453" s="107" t="s">
        <v>2300</v>
      </c>
      <c r="E453" s="22" t="str">
        <f t="shared" si="39"/>
        <v>SEJUSPPROG</v>
      </c>
      <c r="F453" s="52" t="s">
        <v>729</v>
      </c>
      <c r="G453" s="22" t="str">
        <f t="shared" si="40"/>
        <v>P130SEJUSP</v>
      </c>
      <c r="H453" s="92" t="s">
        <v>1259</v>
      </c>
      <c r="I453" s="22" t="s">
        <v>16</v>
      </c>
      <c r="J453" s="92" t="s">
        <v>1713</v>
      </c>
      <c r="K453" s="22" t="str">
        <f>VLOOKUP(CONCATENATE(A453,LEFT(J453,4)),AGRUPAMENTO!$D$2:$E$6783,2,FALSE)</f>
        <v>Serviços de saúde e medicamentos</v>
      </c>
      <c r="L453" s="92" t="s">
        <v>94</v>
      </c>
      <c r="M453" s="52" t="str">
        <f t="shared" si="37"/>
        <v>FONTESEJUSP</v>
      </c>
      <c r="N453" s="92">
        <v>10</v>
      </c>
      <c r="O453" s="153" t="s">
        <v>2721</v>
      </c>
      <c r="P453" s="92" t="s">
        <v>46</v>
      </c>
      <c r="Q453" s="92" t="s">
        <v>3812</v>
      </c>
      <c r="R453" s="204">
        <v>75</v>
      </c>
      <c r="S453" s="92" t="s">
        <v>3905</v>
      </c>
      <c r="T453" s="200">
        <v>30</v>
      </c>
      <c r="U453" s="201">
        <v>1</v>
      </c>
      <c r="V453" s="58">
        <f t="shared" si="38"/>
        <v>2250</v>
      </c>
      <c r="W453" s="52" t="s">
        <v>49</v>
      </c>
      <c r="X453" s="92" t="s">
        <v>4616</v>
      </c>
      <c r="Y453" s="92" t="s">
        <v>4617</v>
      </c>
      <c r="Z453" s="92" t="s">
        <v>4618</v>
      </c>
      <c r="AA453" s="52">
        <v>0</v>
      </c>
      <c r="AB453" s="52">
        <v>0</v>
      </c>
      <c r="AC453" s="52">
        <v>0</v>
      </c>
      <c r="AD453" s="21">
        <v>1</v>
      </c>
      <c r="AE453" s="54">
        <v>1</v>
      </c>
      <c r="AF453" s="315">
        <f t="shared" si="41"/>
        <v>2250</v>
      </c>
    </row>
    <row r="454" spans="1:32" ht="300" x14ac:dyDescent="0.25">
      <c r="A454" s="107" t="s">
        <v>588</v>
      </c>
      <c r="B454" s="107" t="s">
        <v>2269</v>
      </c>
      <c r="C454" s="52"/>
      <c r="D454" s="107" t="s">
        <v>2300</v>
      </c>
      <c r="E454" s="22" t="str">
        <f t="shared" si="39"/>
        <v>SEJUSPPROG</v>
      </c>
      <c r="F454" s="52" t="s">
        <v>729</v>
      </c>
      <c r="G454" s="22" t="str">
        <f t="shared" si="40"/>
        <v>P130SEJUSP</v>
      </c>
      <c r="H454" s="92" t="s">
        <v>1259</v>
      </c>
      <c r="I454" s="22" t="s">
        <v>16</v>
      </c>
      <c r="J454" s="92" t="s">
        <v>1713</v>
      </c>
      <c r="K454" s="22" t="str">
        <f>VLOOKUP(CONCATENATE(A454,LEFT(J454,4)),AGRUPAMENTO!$D$2:$E$6783,2,FALSE)</f>
        <v>Serviços de saúde e medicamentos</v>
      </c>
      <c r="L454" s="92" t="s">
        <v>94</v>
      </c>
      <c r="M454" s="52" t="str">
        <f t="shared" si="37"/>
        <v>FONTESEJUSP</v>
      </c>
      <c r="N454" s="92">
        <v>10</v>
      </c>
      <c r="O454" s="153" t="s">
        <v>2722</v>
      </c>
      <c r="P454" s="92" t="s">
        <v>46</v>
      </c>
      <c r="Q454" s="92" t="s">
        <v>3812</v>
      </c>
      <c r="R454" s="204">
        <v>97</v>
      </c>
      <c r="S454" s="92" t="s">
        <v>3905</v>
      </c>
      <c r="T454" s="200">
        <v>30</v>
      </c>
      <c r="U454" s="201">
        <v>1</v>
      </c>
      <c r="V454" s="58">
        <f t="shared" si="38"/>
        <v>2910</v>
      </c>
      <c r="W454" s="52" t="s">
        <v>49</v>
      </c>
      <c r="X454" s="92" t="s">
        <v>4616</v>
      </c>
      <c r="Y454" s="92" t="s">
        <v>4617</v>
      </c>
      <c r="Z454" s="92" t="s">
        <v>4618</v>
      </c>
      <c r="AA454" s="52">
        <v>0</v>
      </c>
      <c r="AB454" s="52">
        <v>0</v>
      </c>
      <c r="AC454" s="52">
        <v>0</v>
      </c>
      <c r="AD454" s="21">
        <v>1</v>
      </c>
      <c r="AE454" s="54">
        <v>1</v>
      </c>
      <c r="AF454" s="315">
        <f t="shared" si="41"/>
        <v>2910</v>
      </c>
    </row>
    <row r="455" spans="1:32" ht="300" x14ac:dyDescent="0.25">
      <c r="A455" s="107" t="s">
        <v>588</v>
      </c>
      <c r="B455" s="107" t="s">
        <v>2269</v>
      </c>
      <c r="C455" s="52"/>
      <c r="D455" s="107" t="s">
        <v>2300</v>
      </c>
      <c r="E455" s="22" t="str">
        <f t="shared" si="39"/>
        <v>SEJUSPPROG</v>
      </c>
      <c r="F455" s="52" t="s">
        <v>729</v>
      </c>
      <c r="G455" s="22" t="str">
        <f t="shared" si="40"/>
        <v>P130SEJUSP</v>
      </c>
      <c r="H455" s="92" t="s">
        <v>1259</v>
      </c>
      <c r="I455" s="22" t="s">
        <v>16</v>
      </c>
      <c r="J455" s="92" t="s">
        <v>1713</v>
      </c>
      <c r="K455" s="22" t="str">
        <f>VLOOKUP(CONCATENATE(A455,LEFT(J455,4)),AGRUPAMENTO!$D$2:$E$6783,2,FALSE)</f>
        <v>Serviços de saúde e medicamentos</v>
      </c>
      <c r="L455" s="92" t="s">
        <v>94</v>
      </c>
      <c r="M455" s="52" t="str">
        <f t="shared" si="37"/>
        <v>FONTESEJUSP</v>
      </c>
      <c r="N455" s="92">
        <v>10</v>
      </c>
      <c r="O455" s="153" t="s">
        <v>2723</v>
      </c>
      <c r="P455" s="92" t="s">
        <v>46</v>
      </c>
      <c r="Q455" s="92" t="s">
        <v>3812</v>
      </c>
      <c r="R455" s="204">
        <v>38</v>
      </c>
      <c r="S455" s="92" t="s">
        <v>3905</v>
      </c>
      <c r="T455" s="200">
        <v>15</v>
      </c>
      <c r="U455" s="201">
        <v>1</v>
      </c>
      <c r="V455" s="58">
        <f t="shared" si="38"/>
        <v>570</v>
      </c>
      <c r="W455" s="52" t="s">
        <v>49</v>
      </c>
      <c r="X455" s="92" t="s">
        <v>4616</v>
      </c>
      <c r="Y455" s="92" t="s">
        <v>4617</v>
      </c>
      <c r="Z455" s="92" t="s">
        <v>4618</v>
      </c>
      <c r="AA455" s="52">
        <v>0</v>
      </c>
      <c r="AB455" s="52">
        <v>0</v>
      </c>
      <c r="AC455" s="52">
        <v>0</v>
      </c>
      <c r="AD455" s="21">
        <v>1</v>
      </c>
      <c r="AE455" s="54">
        <v>1</v>
      </c>
      <c r="AF455" s="315">
        <f t="shared" si="41"/>
        <v>570</v>
      </c>
    </row>
    <row r="456" spans="1:32" ht="300" x14ac:dyDescent="0.25">
      <c r="A456" s="107" t="s">
        <v>588</v>
      </c>
      <c r="B456" s="107" t="s">
        <v>2269</v>
      </c>
      <c r="C456" s="52"/>
      <c r="D456" s="107" t="s">
        <v>2300</v>
      </c>
      <c r="E456" s="22" t="str">
        <f t="shared" si="39"/>
        <v>SEJUSPPROG</v>
      </c>
      <c r="F456" s="52" t="s">
        <v>729</v>
      </c>
      <c r="G456" s="22" t="str">
        <f t="shared" si="40"/>
        <v>P130SEJUSP</v>
      </c>
      <c r="H456" s="92" t="s">
        <v>1259</v>
      </c>
      <c r="I456" s="22" t="s">
        <v>16</v>
      </c>
      <c r="J456" s="92" t="s">
        <v>1713</v>
      </c>
      <c r="K456" s="22" t="str">
        <f>VLOOKUP(CONCATENATE(A456,LEFT(J456,4)),AGRUPAMENTO!$D$2:$E$6783,2,FALSE)</f>
        <v>Serviços de saúde e medicamentos</v>
      </c>
      <c r="L456" s="92" t="s">
        <v>94</v>
      </c>
      <c r="M456" s="52" t="str">
        <f t="shared" si="37"/>
        <v>FONTESEJUSP</v>
      </c>
      <c r="N456" s="92">
        <v>10</v>
      </c>
      <c r="O456" s="156" t="s">
        <v>2724</v>
      </c>
      <c r="P456" s="92" t="s">
        <v>46</v>
      </c>
      <c r="Q456" s="92" t="s">
        <v>3812</v>
      </c>
      <c r="R456" s="204">
        <v>46</v>
      </c>
      <c r="S456" s="92" t="s">
        <v>3905</v>
      </c>
      <c r="T456" s="200">
        <v>15</v>
      </c>
      <c r="U456" s="201">
        <v>1</v>
      </c>
      <c r="V456" s="58">
        <f t="shared" si="38"/>
        <v>690</v>
      </c>
      <c r="W456" s="52" t="s">
        <v>49</v>
      </c>
      <c r="X456" s="92" t="s">
        <v>4616</v>
      </c>
      <c r="Y456" s="92" t="s">
        <v>4617</v>
      </c>
      <c r="Z456" s="92" t="s">
        <v>4618</v>
      </c>
      <c r="AA456" s="52">
        <v>0</v>
      </c>
      <c r="AB456" s="52">
        <v>0</v>
      </c>
      <c r="AC456" s="52">
        <v>0</v>
      </c>
      <c r="AD456" s="21">
        <v>1</v>
      </c>
      <c r="AE456" s="54">
        <v>1</v>
      </c>
      <c r="AF456" s="315">
        <f t="shared" si="41"/>
        <v>690</v>
      </c>
    </row>
    <row r="457" spans="1:32" ht="300" x14ac:dyDescent="0.25">
      <c r="A457" s="107" t="s">
        <v>588</v>
      </c>
      <c r="B457" s="107" t="s">
        <v>2269</v>
      </c>
      <c r="C457" s="52"/>
      <c r="D457" s="107" t="s">
        <v>2300</v>
      </c>
      <c r="E457" s="22" t="str">
        <f t="shared" si="39"/>
        <v>SEJUSPPROG</v>
      </c>
      <c r="F457" s="52" t="s">
        <v>729</v>
      </c>
      <c r="G457" s="22" t="str">
        <f t="shared" si="40"/>
        <v>P130SEJUSP</v>
      </c>
      <c r="H457" s="92" t="s">
        <v>1259</v>
      </c>
      <c r="I457" s="22" t="s">
        <v>16</v>
      </c>
      <c r="J457" s="92" t="s">
        <v>1713</v>
      </c>
      <c r="K457" s="22" t="str">
        <f>VLOOKUP(CONCATENATE(A457,LEFT(J457,4)),AGRUPAMENTO!$D$2:$E$6783,2,FALSE)</f>
        <v>Serviços de saúde e medicamentos</v>
      </c>
      <c r="L457" s="92" t="s">
        <v>94</v>
      </c>
      <c r="M457" s="52" t="str">
        <f t="shared" si="37"/>
        <v>FONTESEJUSP</v>
      </c>
      <c r="N457" s="92">
        <v>10</v>
      </c>
      <c r="O457" s="155" t="s">
        <v>2725</v>
      </c>
      <c r="P457" s="92" t="s">
        <v>46</v>
      </c>
      <c r="Q457" s="92" t="s">
        <v>3812</v>
      </c>
      <c r="R457" s="204">
        <v>106</v>
      </c>
      <c r="S457" s="92" t="s">
        <v>3905</v>
      </c>
      <c r="T457" s="200">
        <v>15</v>
      </c>
      <c r="U457" s="201">
        <v>1</v>
      </c>
      <c r="V457" s="58">
        <f t="shared" si="38"/>
        <v>1590</v>
      </c>
      <c r="W457" s="52" t="s">
        <v>49</v>
      </c>
      <c r="X457" s="92" t="s">
        <v>4616</v>
      </c>
      <c r="Y457" s="92" t="s">
        <v>4617</v>
      </c>
      <c r="Z457" s="92" t="s">
        <v>4618</v>
      </c>
      <c r="AA457" s="52">
        <v>0</v>
      </c>
      <c r="AB457" s="52">
        <v>0</v>
      </c>
      <c r="AC457" s="52">
        <v>0</v>
      </c>
      <c r="AD457" s="21">
        <v>1</v>
      </c>
      <c r="AE457" s="54">
        <v>1</v>
      </c>
      <c r="AF457" s="315">
        <f t="shared" si="41"/>
        <v>1590</v>
      </c>
    </row>
    <row r="458" spans="1:32" ht="300" x14ac:dyDescent="0.25">
      <c r="A458" s="107" t="s">
        <v>588</v>
      </c>
      <c r="B458" s="107" t="s">
        <v>2269</v>
      </c>
      <c r="C458" s="52"/>
      <c r="D458" s="107" t="s">
        <v>2300</v>
      </c>
      <c r="E458" s="22" t="str">
        <f t="shared" si="39"/>
        <v>SEJUSPPROG</v>
      </c>
      <c r="F458" s="52" t="s">
        <v>729</v>
      </c>
      <c r="G458" s="22" t="str">
        <f t="shared" si="40"/>
        <v>P130SEJUSP</v>
      </c>
      <c r="H458" s="92" t="s">
        <v>1259</v>
      </c>
      <c r="I458" s="22" t="s">
        <v>16</v>
      </c>
      <c r="J458" s="92" t="s">
        <v>1713</v>
      </c>
      <c r="K458" s="22" t="str">
        <f>VLOOKUP(CONCATENATE(A458,LEFT(J458,4)),AGRUPAMENTO!$D$2:$E$6783,2,FALSE)</f>
        <v>Serviços de saúde e medicamentos</v>
      </c>
      <c r="L458" s="92" t="s">
        <v>94</v>
      </c>
      <c r="M458" s="52" t="str">
        <f t="shared" si="37"/>
        <v>FONTESEJUSP</v>
      </c>
      <c r="N458" s="92">
        <v>10</v>
      </c>
      <c r="O458" s="155" t="s">
        <v>2726</v>
      </c>
      <c r="P458" s="92" t="s">
        <v>46</v>
      </c>
      <c r="Q458" s="92" t="s">
        <v>3812</v>
      </c>
      <c r="R458" s="204">
        <v>43</v>
      </c>
      <c r="S458" s="92" t="s">
        <v>3905</v>
      </c>
      <c r="T458" s="200">
        <v>14</v>
      </c>
      <c r="U458" s="201">
        <v>1</v>
      </c>
      <c r="V458" s="58">
        <f t="shared" si="38"/>
        <v>602</v>
      </c>
      <c r="W458" s="52" t="s">
        <v>49</v>
      </c>
      <c r="X458" s="92" t="s">
        <v>4616</v>
      </c>
      <c r="Y458" s="92" t="s">
        <v>4617</v>
      </c>
      <c r="Z458" s="92" t="s">
        <v>4618</v>
      </c>
      <c r="AA458" s="52">
        <v>0</v>
      </c>
      <c r="AB458" s="52">
        <v>0</v>
      </c>
      <c r="AC458" s="52">
        <v>0</v>
      </c>
      <c r="AD458" s="21">
        <v>1</v>
      </c>
      <c r="AE458" s="54">
        <v>1</v>
      </c>
      <c r="AF458" s="315">
        <f t="shared" si="41"/>
        <v>602</v>
      </c>
    </row>
    <row r="459" spans="1:32" ht="300" x14ac:dyDescent="0.25">
      <c r="A459" s="107" t="s">
        <v>588</v>
      </c>
      <c r="B459" s="107" t="s">
        <v>2269</v>
      </c>
      <c r="C459" s="52"/>
      <c r="D459" s="107" t="s">
        <v>2300</v>
      </c>
      <c r="E459" s="22" t="str">
        <f t="shared" si="39"/>
        <v>SEJUSPPROG</v>
      </c>
      <c r="F459" s="52" t="s">
        <v>729</v>
      </c>
      <c r="G459" s="22" t="str">
        <f t="shared" si="40"/>
        <v>P130SEJUSP</v>
      </c>
      <c r="H459" s="92" t="s">
        <v>1259</v>
      </c>
      <c r="I459" s="22" t="s">
        <v>16</v>
      </c>
      <c r="J459" s="92" t="s">
        <v>1713</v>
      </c>
      <c r="K459" s="22" t="str">
        <f>VLOOKUP(CONCATENATE(A459,LEFT(J459,4)),AGRUPAMENTO!$D$2:$E$6783,2,FALSE)</f>
        <v>Serviços de saúde e medicamentos</v>
      </c>
      <c r="L459" s="92" t="s">
        <v>94</v>
      </c>
      <c r="M459" s="52" t="str">
        <f t="shared" si="37"/>
        <v>FONTESEJUSP</v>
      </c>
      <c r="N459" s="92">
        <v>10</v>
      </c>
      <c r="O459" s="153" t="s">
        <v>2727</v>
      </c>
      <c r="P459" s="92" t="s">
        <v>46</v>
      </c>
      <c r="Q459" s="92" t="s">
        <v>3812</v>
      </c>
      <c r="R459" s="204">
        <v>30</v>
      </c>
      <c r="S459" s="92" t="s">
        <v>3905</v>
      </c>
      <c r="T459" s="200">
        <v>15</v>
      </c>
      <c r="U459" s="201">
        <v>1</v>
      </c>
      <c r="V459" s="58">
        <f t="shared" si="38"/>
        <v>450</v>
      </c>
      <c r="W459" s="52" t="s">
        <v>49</v>
      </c>
      <c r="X459" s="92" t="s">
        <v>4616</v>
      </c>
      <c r="Y459" s="92" t="s">
        <v>4617</v>
      </c>
      <c r="Z459" s="92" t="s">
        <v>4618</v>
      </c>
      <c r="AA459" s="52">
        <v>0</v>
      </c>
      <c r="AB459" s="52">
        <v>0</v>
      </c>
      <c r="AC459" s="52">
        <v>0</v>
      </c>
      <c r="AD459" s="21">
        <v>1</v>
      </c>
      <c r="AE459" s="54">
        <v>1</v>
      </c>
      <c r="AF459" s="315">
        <f t="shared" si="41"/>
        <v>450</v>
      </c>
    </row>
    <row r="460" spans="1:32" ht="300" x14ac:dyDescent="0.25">
      <c r="A460" s="107" t="s">
        <v>588</v>
      </c>
      <c r="B460" s="107" t="s">
        <v>2269</v>
      </c>
      <c r="C460" s="52"/>
      <c r="D460" s="107" t="s">
        <v>2300</v>
      </c>
      <c r="E460" s="22" t="str">
        <f t="shared" si="39"/>
        <v>SEJUSPPROG</v>
      </c>
      <c r="F460" s="52" t="s">
        <v>729</v>
      </c>
      <c r="G460" s="22" t="str">
        <f t="shared" si="40"/>
        <v>P130SEJUSP</v>
      </c>
      <c r="H460" s="92" t="s">
        <v>1259</v>
      </c>
      <c r="I460" s="22" t="s">
        <v>16</v>
      </c>
      <c r="J460" s="92" t="s">
        <v>1713</v>
      </c>
      <c r="K460" s="22" t="str">
        <f>VLOOKUP(CONCATENATE(A460,LEFT(J460,4)),AGRUPAMENTO!$D$2:$E$6783,2,FALSE)</f>
        <v>Serviços de saúde e medicamentos</v>
      </c>
      <c r="L460" s="92" t="s">
        <v>94</v>
      </c>
      <c r="M460" s="52" t="str">
        <f t="shared" si="37"/>
        <v>FONTESEJUSP</v>
      </c>
      <c r="N460" s="92">
        <v>10</v>
      </c>
      <c r="O460" s="156" t="s">
        <v>2728</v>
      </c>
      <c r="P460" s="92" t="s">
        <v>46</v>
      </c>
      <c r="Q460" s="92" t="s">
        <v>3812</v>
      </c>
      <c r="R460" s="204">
        <v>67</v>
      </c>
      <c r="S460" s="92" t="s">
        <v>3905</v>
      </c>
      <c r="T460" s="200">
        <v>77.510000000000005</v>
      </c>
      <c r="U460" s="201">
        <v>1</v>
      </c>
      <c r="V460" s="58">
        <f t="shared" si="38"/>
        <v>5193.17</v>
      </c>
      <c r="W460" s="52" t="s">
        <v>49</v>
      </c>
      <c r="X460" s="92" t="s">
        <v>4616</v>
      </c>
      <c r="Y460" s="92" t="s">
        <v>4617</v>
      </c>
      <c r="Z460" s="92" t="s">
        <v>4618</v>
      </c>
      <c r="AA460" s="52">
        <v>0</v>
      </c>
      <c r="AB460" s="52">
        <v>0</v>
      </c>
      <c r="AC460" s="52">
        <v>0</v>
      </c>
      <c r="AD460" s="21">
        <v>1</v>
      </c>
      <c r="AE460" s="54">
        <v>1</v>
      </c>
      <c r="AF460" s="315">
        <f t="shared" si="41"/>
        <v>5193.17</v>
      </c>
    </row>
    <row r="461" spans="1:32" ht="300" x14ac:dyDescent="0.25">
      <c r="A461" s="107" t="s">
        <v>588</v>
      </c>
      <c r="B461" s="107" t="s">
        <v>2269</v>
      </c>
      <c r="C461" s="52"/>
      <c r="D461" s="107" t="s">
        <v>2300</v>
      </c>
      <c r="E461" s="22" t="str">
        <f t="shared" si="39"/>
        <v>SEJUSPPROG</v>
      </c>
      <c r="F461" s="52" t="s">
        <v>729</v>
      </c>
      <c r="G461" s="22" t="str">
        <f t="shared" si="40"/>
        <v>P130SEJUSP</v>
      </c>
      <c r="H461" s="92" t="s">
        <v>1259</v>
      </c>
      <c r="I461" s="22" t="s">
        <v>16</v>
      </c>
      <c r="J461" s="92" t="s">
        <v>1713</v>
      </c>
      <c r="K461" s="22" t="str">
        <f>VLOOKUP(CONCATENATE(A461,LEFT(J461,4)),AGRUPAMENTO!$D$2:$E$6783,2,FALSE)</f>
        <v>Serviços de saúde e medicamentos</v>
      </c>
      <c r="L461" s="92" t="s">
        <v>94</v>
      </c>
      <c r="M461" s="52" t="str">
        <f t="shared" si="37"/>
        <v>FONTESEJUSP</v>
      </c>
      <c r="N461" s="92">
        <v>10</v>
      </c>
      <c r="O461" s="153" t="s">
        <v>2729</v>
      </c>
      <c r="P461" s="92" t="s">
        <v>46</v>
      </c>
      <c r="Q461" s="92" t="s">
        <v>3812</v>
      </c>
      <c r="R461" s="204">
        <v>83</v>
      </c>
      <c r="S461" s="92" t="s">
        <v>3905</v>
      </c>
      <c r="T461" s="200">
        <v>45</v>
      </c>
      <c r="U461" s="201">
        <v>1</v>
      </c>
      <c r="V461" s="58">
        <f t="shared" si="38"/>
        <v>3735</v>
      </c>
      <c r="W461" s="52" t="s">
        <v>49</v>
      </c>
      <c r="X461" s="92" t="s">
        <v>4616</v>
      </c>
      <c r="Y461" s="92" t="s">
        <v>4617</v>
      </c>
      <c r="Z461" s="92" t="s">
        <v>4618</v>
      </c>
      <c r="AA461" s="52">
        <v>0</v>
      </c>
      <c r="AB461" s="52">
        <v>0</v>
      </c>
      <c r="AC461" s="52">
        <v>0</v>
      </c>
      <c r="AD461" s="21">
        <v>1</v>
      </c>
      <c r="AE461" s="54">
        <v>1</v>
      </c>
      <c r="AF461" s="315">
        <f t="shared" si="41"/>
        <v>3735</v>
      </c>
    </row>
    <row r="462" spans="1:32" ht="300" x14ac:dyDescent="0.25">
      <c r="A462" s="107" t="s">
        <v>588</v>
      </c>
      <c r="B462" s="107" t="s">
        <v>2269</v>
      </c>
      <c r="C462" s="52"/>
      <c r="D462" s="107" t="s">
        <v>2300</v>
      </c>
      <c r="E462" s="22" t="str">
        <f t="shared" si="39"/>
        <v>SEJUSPPROG</v>
      </c>
      <c r="F462" s="52" t="s">
        <v>729</v>
      </c>
      <c r="G462" s="22" t="str">
        <f t="shared" si="40"/>
        <v>P130SEJUSP</v>
      </c>
      <c r="H462" s="92" t="s">
        <v>1259</v>
      </c>
      <c r="I462" s="22" t="s">
        <v>16</v>
      </c>
      <c r="J462" s="92" t="s">
        <v>1713</v>
      </c>
      <c r="K462" s="22" t="str">
        <f>VLOOKUP(CONCATENATE(A462,LEFT(J462,4)),AGRUPAMENTO!$D$2:$E$6783,2,FALSE)</f>
        <v>Serviços de saúde e medicamentos</v>
      </c>
      <c r="L462" s="92" t="s">
        <v>94</v>
      </c>
      <c r="M462" s="52" t="str">
        <f t="shared" si="37"/>
        <v>FONTESEJUSP</v>
      </c>
      <c r="N462" s="92">
        <v>10</v>
      </c>
      <c r="O462" s="156" t="s">
        <v>2730</v>
      </c>
      <c r="P462" s="92" t="s">
        <v>46</v>
      </c>
      <c r="Q462" s="92" t="s">
        <v>3812</v>
      </c>
      <c r="R462" s="204">
        <v>97</v>
      </c>
      <c r="S462" s="92" t="s">
        <v>3904</v>
      </c>
      <c r="T462" s="200">
        <v>15.73</v>
      </c>
      <c r="U462" s="201">
        <v>1</v>
      </c>
      <c r="V462" s="58">
        <f t="shared" si="38"/>
        <v>1525.81</v>
      </c>
      <c r="W462" s="52" t="s">
        <v>49</v>
      </c>
      <c r="X462" s="92" t="s">
        <v>4616</v>
      </c>
      <c r="Y462" s="92" t="s">
        <v>4617</v>
      </c>
      <c r="Z462" s="92" t="s">
        <v>4618</v>
      </c>
      <c r="AA462" s="52">
        <v>0</v>
      </c>
      <c r="AB462" s="52">
        <v>0</v>
      </c>
      <c r="AC462" s="52">
        <v>0</v>
      </c>
      <c r="AD462" s="21">
        <v>1</v>
      </c>
      <c r="AE462" s="54">
        <v>1</v>
      </c>
      <c r="AF462" s="315">
        <f t="shared" si="41"/>
        <v>1525.81</v>
      </c>
    </row>
    <row r="463" spans="1:32" ht="300" x14ac:dyDescent="0.25">
      <c r="A463" s="107" t="s">
        <v>588</v>
      </c>
      <c r="B463" s="107" t="s">
        <v>2269</v>
      </c>
      <c r="C463" s="52"/>
      <c r="D463" s="107" t="s">
        <v>2300</v>
      </c>
      <c r="E463" s="22" t="str">
        <f t="shared" si="39"/>
        <v>SEJUSPPROG</v>
      </c>
      <c r="F463" s="52" t="s">
        <v>729</v>
      </c>
      <c r="G463" s="22" t="str">
        <f t="shared" si="40"/>
        <v>P130SEJUSP</v>
      </c>
      <c r="H463" s="92" t="s">
        <v>1259</v>
      </c>
      <c r="I463" s="22" t="s">
        <v>16</v>
      </c>
      <c r="J463" s="92" t="s">
        <v>1713</v>
      </c>
      <c r="K463" s="22" t="str">
        <f>VLOOKUP(CONCATENATE(A463,LEFT(J463,4)),AGRUPAMENTO!$D$2:$E$6783,2,FALSE)</f>
        <v>Serviços de saúde e medicamentos</v>
      </c>
      <c r="L463" s="92" t="s">
        <v>94</v>
      </c>
      <c r="M463" s="52" t="str">
        <f t="shared" si="37"/>
        <v>FONTESEJUSP</v>
      </c>
      <c r="N463" s="92">
        <v>10</v>
      </c>
      <c r="O463" s="153" t="s">
        <v>2731</v>
      </c>
      <c r="P463" s="92" t="s">
        <v>46</v>
      </c>
      <c r="Q463" s="92" t="s">
        <v>3812</v>
      </c>
      <c r="R463" s="204">
        <v>94</v>
      </c>
      <c r="S463" s="92" t="s">
        <v>3905</v>
      </c>
      <c r="T463" s="200">
        <v>97.52</v>
      </c>
      <c r="U463" s="201">
        <v>1</v>
      </c>
      <c r="V463" s="58">
        <f t="shared" si="38"/>
        <v>9166.8799999999992</v>
      </c>
      <c r="W463" s="52" t="s">
        <v>49</v>
      </c>
      <c r="X463" s="92" t="s">
        <v>4616</v>
      </c>
      <c r="Y463" s="92" t="s">
        <v>4617</v>
      </c>
      <c r="Z463" s="92" t="s">
        <v>4618</v>
      </c>
      <c r="AA463" s="52">
        <v>0</v>
      </c>
      <c r="AB463" s="52">
        <v>0</v>
      </c>
      <c r="AC463" s="52">
        <v>0</v>
      </c>
      <c r="AD463" s="21">
        <v>1</v>
      </c>
      <c r="AE463" s="54">
        <v>1</v>
      </c>
      <c r="AF463" s="315">
        <f t="shared" si="41"/>
        <v>9166.8799999999992</v>
      </c>
    </row>
    <row r="464" spans="1:32" ht="300" x14ac:dyDescent="0.25">
      <c r="A464" s="107" t="s">
        <v>588</v>
      </c>
      <c r="B464" s="107" t="s">
        <v>2269</v>
      </c>
      <c r="C464" s="52"/>
      <c r="D464" s="107" t="s">
        <v>2300</v>
      </c>
      <c r="E464" s="22" t="str">
        <f t="shared" si="39"/>
        <v>SEJUSPPROG</v>
      </c>
      <c r="F464" s="52" t="s">
        <v>729</v>
      </c>
      <c r="G464" s="22" t="str">
        <f t="shared" si="40"/>
        <v>P130SEJUSP</v>
      </c>
      <c r="H464" s="92" t="s">
        <v>1259</v>
      </c>
      <c r="I464" s="22" t="s">
        <v>16</v>
      </c>
      <c r="J464" s="92" t="s">
        <v>1713</v>
      </c>
      <c r="K464" s="22" t="str">
        <f>VLOOKUP(CONCATENATE(A464,LEFT(J464,4)),AGRUPAMENTO!$D$2:$E$6783,2,FALSE)</f>
        <v>Serviços de saúde e medicamentos</v>
      </c>
      <c r="L464" s="92" t="s">
        <v>94</v>
      </c>
      <c r="M464" s="52" t="str">
        <f t="shared" si="37"/>
        <v>FONTESEJUSP</v>
      </c>
      <c r="N464" s="92">
        <v>10</v>
      </c>
      <c r="O464" s="153" t="s">
        <v>2732</v>
      </c>
      <c r="P464" s="92" t="s">
        <v>46</v>
      </c>
      <c r="Q464" s="92" t="s">
        <v>3812</v>
      </c>
      <c r="R464" s="204">
        <v>22</v>
      </c>
      <c r="S464" s="92" t="s">
        <v>3905</v>
      </c>
      <c r="T464" s="200">
        <v>59</v>
      </c>
      <c r="U464" s="201">
        <v>1</v>
      </c>
      <c r="V464" s="58">
        <f t="shared" si="38"/>
        <v>1298</v>
      </c>
      <c r="W464" s="52" t="s">
        <v>49</v>
      </c>
      <c r="X464" s="92" t="s">
        <v>4616</v>
      </c>
      <c r="Y464" s="92" t="s">
        <v>4617</v>
      </c>
      <c r="Z464" s="92" t="s">
        <v>4618</v>
      </c>
      <c r="AA464" s="52">
        <v>0</v>
      </c>
      <c r="AB464" s="52">
        <v>0</v>
      </c>
      <c r="AC464" s="52">
        <v>0</v>
      </c>
      <c r="AD464" s="21">
        <v>1</v>
      </c>
      <c r="AE464" s="54">
        <v>1</v>
      </c>
      <c r="AF464" s="315">
        <f t="shared" si="41"/>
        <v>1298</v>
      </c>
    </row>
    <row r="465" spans="1:32" ht="300" x14ac:dyDescent="0.25">
      <c r="A465" s="107" t="s">
        <v>588</v>
      </c>
      <c r="B465" s="107" t="s">
        <v>2269</v>
      </c>
      <c r="C465" s="52"/>
      <c r="D465" s="107" t="s">
        <v>2300</v>
      </c>
      <c r="E465" s="22" t="str">
        <f t="shared" si="39"/>
        <v>SEJUSPPROG</v>
      </c>
      <c r="F465" s="52" t="s">
        <v>729</v>
      </c>
      <c r="G465" s="22" t="str">
        <f t="shared" si="40"/>
        <v>P130SEJUSP</v>
      </c>
      <c r="H465" s="92" t="s">
        <v>1259</v>
      </c>
      <c r="I465" s="22" t="s">
        <v>16</v>
      </c>
      <c r="J465" s="92" t="s">
        <v>1713</v>
      </c>
      <c r="K465" s="22" t="str">
        <f>VLOOKUP(CONCATENATE(A465,LEFT(J465,4)),AGRUPAMENTO!$D$2:$E$6783,2,FALSE)</f>
        <v>Serviços de saúde e medicamentos</v>
      </c>
      <c r="L465" s="92" t="s">
        <v>94</v>
      </c>
      <c r="M465" s="52" t="str">
        <f t="shared" si="37"/>
        <v>FONTESEJUSP</v>
      </c>
      <c r="N465" s="92">
        <v>10</v>
      </c>
      <c r="O465" s="153" t="s">
        <v>2733</v>
      </c>
      <c r="P465" s="92" t="s">
        <v>46</v>
      </c>
      <c r="Q465" s="92" t="s">
        <v>3812</v>
      </c>
      <c r="R465" s="204">
        <v>13</v>
      </c>
      <c r="S465" s="92" t="s">
        <v>3905</v>
      </c>
      <c r="T465" s="200">
        <v>33</v>
      </c>
      <c r="U465" s="201">
        <v>1</v>
      </c>
      <c r="V465" s="58">
        <f t="shared" si="38"/>
        <v>429</v>
      </c>
      <c r="W465" s="52" t="s">
        <v>49</v>
      </c>
      <c r="X465" s="92" t="s">
        <v>4616</v>
      </c>
      <c r="Y465" s="92" t="s">
        <v>4617</v>
      </c>
      <c r="Z465" s="92" t="s">
        <v>4618</v>
      </c>
      <c r="AA465" s="52">
        <v>0</v>
      </c>
      <c r="AB465" s="52">
        <v>0</v>
      </c>
      <c r="AC465" s="52">
        <v>0</v>
      </c>
      <c r="AD465" s="21">
        <v>1</v>
      </c>
      <c r="AE465" s="54">
        <v>1</v>
      </c>
      <c r="AF465" s="315">
        <f t="shared" si="41"/>
        <v>429</v>
      </c>
    </row>
    <row r="466" spans="1:32" ht="300" x14ac:dyDescent="0.25">
      <c r="A466" s="107" t="s">
        <v>588</v>
      </c>
      <c r="B466" s="107" t="s">
        <v>2269</v>
      </c>
      <c r="C466" s="52"/>
      <c r="D466" s="107" t="s">
        <v>2300</v>
      </c>
      <c r="E466" s="22" t="str">
        <f t="shared" si="39"/>
        <v>SEJUSPPROG</v>
      </c>
      <c r="F466" s="52" t="s">
        <v>729</v>
      </c>
      <c r="G466" s="22" t="str">
        <f t="shared" si="40"/>
        <v>P130SEJUSP</v>
      </c>
      <c r="H466" s="92" t="s">
        <v>1259</v>
      </c>
      <c r="I466" s="22" t="s">
        <v>16</v>
      </c>
      <c r="J466" s="92" t="s">
        <v>1713</v>
      </c>
      <c r="K466" s="22" t="str">
        <f>VLOOKUP(CONCATENATE(A466,LEFT(J466,4)),AGRUPAMENTO!$D$2:$E$6783,2,FALSE)</f>
        <v>Serviços de saúde e medicamentos</v>
      </c>
      <c r="L466" s="92" t="s">
        <v>94</v>
      </c>
      <c r="M466" s="52" t="str">
        <f t="shared" si="37"/>
        <v>FONTESEJUSP</v>
      </c>
      <c r="N466" s="92">
        <v>10</v>
      </c>
      <c r="O466" s="155" t="s">
        <v>2734</v>
      </c>
      <c r="P466" s="92" t="s">
        <v>46</v>
      </c>
      <c r="Q466" s="92" t="s">
        <v>3812</v>
      </c>
      <c r="R466" s="204">
        <v>1</v>
      </c>
      <c r="S466" s="92" t="s">
        <v>3905</v>
      </c>
      <c r="T466" s="200">
        <v>138</v>
      </c>
      <c r="U466" s="201">
        <v>1</v>
      </c>
      <c r="V466" s="58">
        <f t="shared" si="38"/>
        <v>138</v>
      </c>
      <c r="W466" s="52" t="s">
        <v>49</v>
      </c>
      <c r="X466" s="92" t="s">
        <v>4616</v>
      </c>
      <c r="Y466" s="92" t="s">
        <v>4617</v>
      </c>
      <c r="Z466" s="92" t="s">
        <v>4618</v>
      </c>
      <c r="AA466" s="52">
        <v>0</v>
      </c>
      <c r="AB466" s="52">
        <v>0</v>
      </c>
      <c r="AC466" s="52">
        <v>0</v>
      </c>
      <c r="AD466" s="21">
        <v>1</v>
      </c>
      <c r="AE466" s="54">
        <v>1</v>
      </c>
      <c r="AF466" s="315">
        <f t="shared" si="41"/>
        <v>138</v>
      </c>
    </row>
    <row r="467" spans="1:32" ht="300" x14ac:dyDescent="0.25">
      <c r="A467" s="107" t="s">
        <v>588</v>
      </c>
      <c r="B467" s="107" t="s">
        <v>2269</v>
      </c>
      <c r="C467" s="52"/>
      <c r="D467" s="107" t="s">
        <v>2300</v>
      </c>
      <c r="E467" s="22" t="str">
        <f t="shared" si="39"/>
        <v>SEJUSPPROG</v>
      </c>
      <c r="F467" s="52" t="s">
        <v>729</v>
      </c>
      <c r="G467" s="22" t="str">
        <f t="shared" si="40"/>
        <v>P130SEJUSP</v>
      </c>
      <c r="H467" s="92" t="s">
        <v>1259</v>
      </c>
      <c r="I467" s="22" t="s">
        <v>16</v>
      </c>
      <c r="J467" s="92" t="s">
        <v>1713</v>
      </c>
      <c r="K467" s="22" t="str">
        <f>VLOOKUP(CONCATENATE(A467,LEFT(J467,4)),AGRUPAMENTO!$D$2:$E$6783,2,FALSE)</f>
        <v>Serviços de saúde e medicamentos</v>
      </c>
      <c r="L467" s="92" t="s">
        <v>94</v>
      </c>
      <c r="M467" s="52" t="str">
        <f t="shared" si="37"/>
        <v>FONTESEJUSP</v>
      </c>
      <c r="N467" s="92">
        <v>10</v>
      </c>
      <c r="O467" s="153" t="s">
        <v>2735</v>
      </c>
      <c r="P467" s="92" t="s">
        <v>46</v>
      </c>
      <c r="Q467" s="92" t="s">
        <v>3812</v>
      </c>
      <c r="R467" s="204">
        <v>1</v>
      </c>
      <c r="S467" s="92" t="s">
        <v>3905</v>
      </c>
      <c r="T467" s="200">
        <v>55</v>
      </c>
      <c r="U467" s="201">
        <v>1</v>
      </c>
      <c r="V467" s="58">
        <f t="shared" si="38"/>
        <v>55</v>
      </c>
      <c r="W467" s="52" t="s">
        <v>49</v>
      </c>
      <c r="X467" s="92" t="s">
        <v>4616</v>
      </c>
      <c r="Y467" s="92" t="s">
        <v>4617</v>
      </c>
      <c r="Z467" s="92" t="s">
        <v>4618</v>
      </c>
      <c r="AA467" s="52">
        <v>0</v>
      </c>
      <c r="AB467" s="52">
        <v>0</v>
      </c>
      <c r="AC467" s="52">
        <v>0</v>
      </c>
      <c r="AD467" s="21">
        <v>1</v>
      </c>
      <c r="AE467" s="54">
        <v>1</v>
      </c>
      <c r="AF467" s="315">
        <f t="shared" si="41"/>
        <v>55</v>
      </c>
    </row>
    <row r="468" spans="1:32" ht="300" x14ac:dyDescent="0.25">
      <c r="A468" s="107" t="s">
        <v>588</v>
      </c>
      <c r="B468" s="107" t="s">
        <v>2269</v>
      </c>
      <c r="C468" s="52"/>
      <c r="D468" s="107" t="s">
        <v>2300</v>
      </c>
      <c r="E468" s="22" t="str">
        <f t="shared" si="39"/>
        <v>SEJUSPPROG</v>
      </c>
      <c r="F468" s="52" t="s">
        <v>729</v>
      </c>
      <c r="G468" s="22" t="str">
        <f t="shared" si="40"/>
        <v>P130SEJUSP</v>
      </c>
      <c r="H468" s="92" t="s">
        <v>1259</v>
      </c>
      <c r="I468" s="22" t="s">
        <v>16</v>
      </c>
      <c r="J468" s="92" t="s">
        <v>1713</v>
      </c>
      <c r="K468" s="22" t="str">
        <f>VLOOKUP(CONCATENATE(A468,LEFT(J468,4)),AGRUPAMENTO!$D$2:$E$6783,2,FALSE)</f>
        <v>Serviços de saúde e medicamentos</v>
      </c>
      <c r="L468" s="92" t="s">
        <v>94</v>
      </c>
      <c r="M468" s="52" t="str">
        <f t="shared" si="37"/>
        <v>FONTESEJUSP</v>
      </c>
      <c r="N468" s="92">
        <v>10</v>
      </c>
      <c r="O468" s="155" t="s">
        <v>2736</v>
      </c>
      <c r="P468" s="92" t="s">
        <v>46</v>
      </c>
      <c r="Q468" s="92" t="s">
        <v>3812</v>
      </c>
      <c r="R468" s="204">
        <v>9</v>
      </c>
      <c r="S468" s="92" t="s">
        <v>3905</v>
      </c>
      <c r="T468" s="200">
        <v>39</v>
      </c>
      <c r="U468" s="201">
        <v>1</v>
      </c>
      <c r="V468" s="58">
        <f t="shared" si="38"/>
        <v>351</v>
      </c>
      <c r="W468" s="52" t="s">
        <v>49</v>
      </c>
      <c r="X468" s="92" t="s">
        <v>4616</v>
      </c>
      <c r="Y468" s="92" t="s">
        <v>4617</v>
      </c>
      <c r="Z468" s="92" t="s">
        <v>4618</v>
      </c>
      <c r="AA468" s="52">
        <v>0</v>
      </c>
      <c r="AB468" s="52">
        <v>0</v>
      </c>
      <c r="AC468" s="52">
        <v>0</v>
      </c>
      <c r="AD468" s="21">
        <v>1</v>
      </c>
      <c r="AE468" s="54">
        <v>1</v>
      </c>
      <c r="AF468" s="315">
        <f t="shared" si="41"/>
        <v>351</v>
      </c>
    </row>
    <row r="469" spans="1:32" ht="300" x14ac:dyDescent="0.25">
      <c r="A469" s="107" t="s">
        <v>588</v>
      </c>
      <c r="B469" s="107" t="s">
        <v>2269</v>
      </c>
      <c r="C469" s="52"/>
      <c r="D469" s="107" t="s">
        <v>2300</v>
      </c>
      <c r="E469" s="22" t="str">
        <f t="shared" si="39"/>
        <v>SEJUSPPROG</v>
      </c>
      <c r="F469" s="52" t="s">
        <v>729</v>
      </c>
      <c r="G469" s="22" t="str">
        <f t="shared" si="40"/>
        <v>P130SEJUSP</v>
      </c>
      <c r="H469" s="92" t="s">
        <v>1259</v>
      </c>
      <c r="I469" s="22" t="s">
        <v>16</v>
      </c>
      <c r="J469" s="92" t="s">
        <v>1713</v>
      </c>
      <c r="K469" s="22" t="str">
        <f>VLOOKUP(CONCATENATE(A469,LEFT(J469,4)),AGRUPAMENTO!$D$2:$E$6783,2,FALSE)</f>
        <v>Serviços de saúde e medicamentos</v>
      </c>
      <c r="L469" s="92" t="s">
        <v>94</v>
      </c>
      <c r="M469" s="52" t="str">
        <f t="shared" si="37"/>
        <v>FONTESEJUSP</v>
      </c>
      <c r="N469" s="92">
        <v>10</v>
      </c>
      <c r="O469" s="153" t="s">
        <v>2737</v>
      </c>
      <c r="P469" s="92" t="s">
        <v>46</v>
      </c>
      <c r="Q469" s="92" t="s">
        <v>3812</v>
      </c>
      <c r="R469" s="204">
        <v>20</v>
      </c>
      <c r="S469" s="92" t="s">
        <v>3905</v>
      </c>
      <c r="T469" s="200">
        <v>174.93</v>
      </c>
      <c r="U469" s="201">
        <v>1</v>
      </c>
      <c r="V469" s="58">
        <f t="shared" si="38"/>
        <v>3498.6000000000004</v>
      </c>
      <c r="W469" s="52" t="s">
        <v>49</v>
      </c>
      <c r="X469" s="92" t="s">
        <v>4616</v>
      </c>
      <c r="Y469" s="92" t="s">
        <v>4617</v>
      </c>
      <c r="Z469" s="92" t="s">
        <v>4618</v>
      </c>
      <c r="AA469" s="52">
        <v>0</v>
      </c>
      <c r="AB469" s="52">
        <v>0</v>
      </c>
      <c r="AC469" s="52">
        <v>0</v>
      </c>
      <c r="AD469" s="21">
        <v>1</v>
      </c>
      <c r="AE469" s="54">
        <v>1</v>
      </c>
      <c r="AF469" s="315">
        <f t="shared" si="41"/>
        <v>3498.6000000000004</v>
      </c>
    </row>
    <row r="470" spans="1:32" ht="300" x14ac:dyDescent="0.25">
      <c r="A470" s="107" t="s">
        <v>588</v>
      </c>
      <c r="B470" s="107" t="s">
        <v>2269</v>
      </c>
      <c r="C470" s="52"/>
      <c r="D470" s="107" t="s">
        <v>2300</v>
      </c>
      <c r="E470" s="22" t="str">
        <f t="shared" si="39"/>
        <v>SEJUSPPROG</v>
      </c>
      <c r="F470" s="52" t="s">
        <v>729</v>
      </c>
      <c r="G470" s="22" t="str">
        <f t="shared" si="40"/>
        <v>P130SEJUSP</v>
      </c>
      <c r="H470" s="92" t="s">
        <v>1259</v>
      </c>
      <c r="I470" s="22" t="s">
        <v>16</v>
      </c>
      <c r="J470" s="92" t="s">
        <v>1713</v>
      </c>
      <c r="K470" s="22" t="str">
        <f>VLOOKUP(CONCATENATE(A470,LEFT(J470,4)),AGRUPAMENTO!$D$2:$E$6783,2,FALSE)</f>
        <v>Serviços de saúde e medicamentos</v>
      </c>
      <c r="L470" s="92" t="s">
        <v>94</v>
      </c>
      <c r="M470" s="52" t="str">
        <f t="shared" si="37"/>
        <v>FONTESEJUSP</v>
      </c>
      <c r="N470" s="92">
        <v>10</v>
      </c>
      <c r="O470" s="153" t="s">
        <v>2738</v>
      </c>
      <c r="P470" s="92" t="s">
        <v>46</v>
      </c>
      <c r="Q470" s="92" t="s">
        <v>3812</v>
      </c>
      <c r="R470" s="204">
        <v>1</v>
      </c>
      <c r="S470" s="92" t="s">
        <v>3905</v>
      </c>
      <c r="T470" s="200">
        <v>38</v>
      </c>
      <c r="U470" s="201">
        <v>1</v>
      </c>
      <c r="V470" s="58">
        <f t="shared" si="38"/>
        <v>38</v>
      </c>
      <c r="W470" s="52" t="s">
        <v>49</v>
      </c>
      <c r="X470" s="92" t="s">
        <v>4616</v>
      </c>
      <c r="Y470" s="92" t="s">
        <v>4617</v>
      </c>
      <c r="Z470" s="92" t="s">
        <v>4618</v>
      </c>
      <c r="AA470" s="52">
        <v>0</v>
      </c>
      <c r="AB470" s="52">
        <v>0</v>
      </c>
      <c r="AC470" s="52">
        <v>0</v>
      </c>
      <c r="AD470" s="21">
        <v>1</v>
      </c>
      <c r="AE470" s="54">
        <v>1</v>
      </c>
      <c r="AF470" s="315">
        <f t="shared" si="41"/>
        <v>38</v>
      </c>
    </row>
    <row r="471" spans="1:32" ht="300" x14ac:dyDescent="0.25">
      <c r="A471" s="107" t="s">
        <v>588</v>
      </c>
      <c r="B471" s="107" t="s">
        <v>2269</v>
      </c>
      <c r="C471" s="52"/>
      <c r="D471" s="107" t="s">
        <v>2300</v>
      </c>
      <c r="E471" s="22" t="str">
        <f t="shared" si="39"/>
        <v>SEJUSPPROG</v>
      </c>
      <c r="F471" s="52" t="s">
        <v>729</v>
      </c>
      <c r="G471" s="22" t="str">
        <f t="shared" si="40"/>
        <v>P130SEJUSP</v>
      </c>
      <c r="H471" s="92" t="s">
        <v>1259</v>
      </c>
      <c r="I471" s="22" t="s">
        <v>16</v>
      </c>
      <c r="J471" s="92" t="s">
        <v>1713</v>
      </c>
      <c r="K471" s="22" t="str">
        <f>VLOOKUP(CONCATENATE(A471,LEFT(J471,4)),AGRUPAMENTO!$D$2:$E$6783,2,FALSE)</f>
        <v>Serviços de saúde e medicamentos</v>
      </c>
      <c r="L471" s="92" t="s">
        <v>94</v>
      </c>
      <c r="M471" s="52" t="str">
        <f t="shared" si="37"/>
        <v>FONTESEJUSP</v>
      </c>
      <c r="N471" s="92">
        <v>10</v>
      </c>
      <c r="O471" s="155" t="s">
        <v>2739</v>
      </c>
      <c r="P471" s="92" t="s">
        <v>46</v>
      </c>
      <c r="Q471" s="92" t="s">
        <v>3812</v>
      </c>
      <c r="R471" s="204">
        <v>112</v>
      </c>
      <c r="S471" s="92" t="s">
        <v>3905</v>
      </c>
      <c r="T471" s="200">
        <v>43</v>
      </c>
      <c r="U471" s="201">
        <v>1</v>
      </c>
      <c r="V471" s="58">
        <f t="shared" si="38"/>
        <v>4816</v>
      </c>
      <c r="W471" s="52" t="s">
        <v>49</v>
      </c>
      <c r="X471" s="92" t="s">
        <v>4616</v>
      </c>
      <c r="Y471" s="92" t="s">
        <v>4617</v>
      </c>
      <c r="Z471" s="92" t="s">
        <v>4618</v>
      </c>
      <c r="AA471" s="52">
        <v>0</v>
      </c>
      <c r="AB471" s="52">
        <v>0</v>
      </c>
      <c r="AC471" s="52">
        <v>0</v>
      </c>
      <c r="AD471" s="21">
        <v>1</v>
      </c>
      <c r="AE471" s="54">
        <v>1</v>
      </c>
      <c r="AF471" s="315">
        <f t="shared" si="41"/>
        <v>4816</v>
      </c>
    </row>
    <row r="472" spans="1:32" ht="300" x14ac:dyDescent="0.25">
      <c r="A472" s="107" t="s">
        <v>588</v>
      </c>
      <c r="B472" s="107" t="s">
        <v>2269</v>
      </c>
      <c r="C472" s="52"/>
      <c r="D472" s="107" t="s">
        <v>2300</v>
      </c>
      <c r="E472" s="22" t="str">
        <f t="shared" si="39"/>
        <v>SEJUSPPROG</v>
      </c>
      <c r="F472" s="52" t="s">
        <v>729</v>
      </c>
      <c r="G472" s="22" t="str">
        <f t="shared" si="40"/>
        <v>P130SEJUSP</v>
      </c>
      <c r="H472" s="92" t="s">
        <v>1259</v>
      </c>
      <c r="I472" s="22" t="s">
        <v>16</v>
      </c>
      <c r="J472" s="92" t="s">
        <v>1713</v>
      </c>
      <c r="K472" s="22" t="str">
        <f>VLOOKUP(CONCATENATE(A472,LEFT(J472,4)),AGRUPAMENTO!$D$2:$E$6783,2,FALSE)</f>
        <v>Serviços de saúde e medicamentos</v>
      </c>
      <c r="L472" s="92" t="s">
        <v>94</v>
      </c>
      <c r="M472" s="52" t="str">
        <f t="shared" si="37"/>
        <v>FONTESEJUSP</v>
      </c>
      <c r="N472" s="92">
        <v>10</v>
      </c>
      <c r="O472" s="155" t="s">
        <v>2740</v>
      </c>
      <c r="P472" s="92" t="s">
        <v>46</v>
      </c>
      <c r="Q472" s="92" t="s">
        <v>3812</v>
      </c>
      <c r="R472" s="204">
        <v>89</v>
      </c>
      <c r="S472" s="92" t="s">
        <v>3905</v>
      </c>
      <c r="T472" s="200">
        <v>30</v>
      </c>
      <c r="U472" s="201">
        <v>1</v>
      </c>
      <c r="V472" s="58">
        <f t="shared" si="38"/>
        <v>2670</v>
      </c>
      <c r="W472" s="52" t="s">
        <v>49</v>
      </c>
      <c r="X472" s="92" t="s">
        <v>4616</v>
      </c>
      <c r="Y472" s="92" t="s">
        <v>4617</v>
      </c>
      <c r="Z472" s="92" t="s">
        <v>4618</v>
      </c>
      <c r="AA472" s="52">
        <v>0</v>
      </c>
      <c r="AB472" s="52">
        <v>0</v>
      </c>
      <c r="AC472" s="52">
        <v>0</v>
      </c>
      <c r="AD472" s="21">
        <v>1</v>
      </c>
      <c r="AE472" s="54">
        <v>1</v>
      </c>
      <c r="AF472" s="315">
        <f t="shared" si="41"/>
        <v>2670</v>
      </c>
    </row>
    <row r="473" spans="1:32" ht="300" x14ac:dyDescent="0.25">
      <c r="A473" s="107" t="s">
        <v>588</v>
      </c>
      <c r="B473" s="107" t="s">
        <v>2269</v>
      </c>
      <c r="C473" s="52"/>
      <c r="D473" s="107" t="s">
        <v>2300</v>
      </c>
      <c r="E473" s="22" t="str">
        <f t="shared" si="39"/>
        <v>SEJUSPPROG</v>
      </c>
      <c r="F473" s="52" t="s">
        <v>729</v>
      </c>
      <c r="G473" s="22" t="str">
        <f t="shared" si="40"/>
        <v>P130SEJUSP</v>
      </c>
      <c r="H473" s="92" t="s">
        <v>1259</v>
      </c>
      <c r="I473" s="22" t="s">
        <v>16</v>
      </c>
      <c r="J473" s="92" t="s">
        <v>1713</v>
      </c>
      <c r="K473" s="22" t="str">
        <f>VLOOKUP(CONCATENATE(A473,LEFT(J473,4)),AGRUPAMENTO!$D$2:$E$6783,2,FALSE)</f>
        <v>Serviços de saúde e medicamentos</v>
      </c>
      <c r="L473" s="92" t="s">
        <v>94</v>
      </c>
      <c r="M473" s="52" t="str">
        <f t="shared" si="37"/>
        <v>FONTESEJUSP</v>
      </c>
      <c r="N473" s="92">
        <v>10</v>
      </c>
      <c r="O473" s="155" t="s">
        <v>2741</v>
      </c>
      <c r="P473" s="92" t="s">
        <v>46</v>
      </c>
      <c r="Q473" s="92" t="s">
        <v>3812</v>
      </c>
      <c r="R473" s="204">
        <v>8</v>
      </c>
      <c r="S473" s="92" t="s">
        <v>3905</v>
      </c>
      <c r="T473" s="200">
        <v>32</v>
      </c>
      <c r="U473" s="201">
        <v>1</v>
      </c>
      <c r="V473" s="58">
        <f t="shared" si="38"/>
        <v>256</v>
      </c>
      <c r="W473" s="52" t="s">
        <v>49</v>
      </c>
      <c r="X473" s="92" t="s">
        <v>4616</v>
      </c>
      <c r="Y473" s="92" t="s">
        <v>4617</v>
      </c>
      <c r="Z473" s="92" t="s">
        <v>4618</v>
      </c>
      <c r="AA473" s="52">
        <v>0</v>
      </c>
      <c r="AB473" s="52">
        <v>0</v>
      </c>
      <c r="AC473" s="52">
        <v>0</v>
      </c>
      <c r="AD473" s="21">
        <v>1</v>
      </c>
      <c r="AE473" s="54">
        <v>1</v>
      </c>
      <c r="AF473" s="315">
        <f t="shared" si="41"/>
        <v>256</v>
      </c>
    </row>
    <row r="474" spans="1:32" ht="300" x14ac:dyDescent="0.25">
      <c r="A474" s="107" t="s">
        <v>588</v>
      </c>
      <c r="B474" s="107" t="s">
        <v>2269</v>
      </c>
      <c r="C474" s="52"/>
      <c r="D474" s="107" t="s">
        <v>2300</v>
      </c>
      <c r="E474" s="22" t="str">
        <f t="shared" si="39"/>
        <v>SEJUSPPROG</v>
      </c>
      <c r="F474" s="52" t="s">
        <v>729</v>
      </c>
      <c r="G474" s="22" t="str">
        <f t="shared" si="40"/>
        <v>P130SEJUSP</v>
      </c>
      <c r="H474" s="92" t="s">
        <v>1259</v>
      </c>
      <c r="I474" s="22" t="s">
        <v>16</v>
      </c>
      <c r="J474" s="92" t="s">
        <v>1713</v>
      </c>
      <c r="K474" s="22" t="str">
        <f>VLOOKUP(CONCATENATE(A474,LEFT(J474,4)),AGRUPAMENTO!$D$2:$E$6783,2,FALSE)</f>
        <v>Serviços de saúde e medicamentos</v>
      </c>
      <c r="L474" s="92" t="s">
        <v>94</v>
      </c>
      <c r="M474" s="52" t="str">
        <f t="shared" si="37"/>
        <v>FONTESEJUSP</v>
      </c>
      <c r="N474" s="92">
        <v>10</v>
      </c>
      <c r="O474" s="153" t="s">
        <v>2742</v>
      </c>
      <c r="P474" s="92" t="s">
        <v>46</v>
      </c>
      <c r="Q474" s="92" t="s">
        <v>3812</v>
      </c>
      <c r="R474" s="204">
        <v>30</v>
      </c>
      <c r="S474" s="92" t="s">
        <v>3905</v>
      </c>
      <c r="T474" s="200">
        <v>25</v>
      </c>
      <c r="U474" s="201">
        <v>1</v>
      </c>
      <c r="V474" s="58">
        <f t="shared" si="38"/>
        <v>750</v>
      </c>
      <c r="W474" s="52" t="s">
        <v>49</v>
      </c>
      <c r="X474" s="92" t="s">
        <v>4616</v>
      </c>
      <c r="Y474" s="92" t="s">
        <v>4617</v>
      </c>
      <c r="Z474" s="92" t="s">
        <v>4618</v>
      </c>
      <c r="AA474" s="52">
        <v>0</v>
      </c>
      <c r="AB474" s="52">
        <v>0</v>
      </c>
      <c r="AC474" s="52">
        <v>0</v>
      </c>
      <c r="AD474" s="21">
        <v>1</v>
      </c>
      <c r="AE474" s="54">
        <v>1</v>
      </c>
      <c r="AF474" s="315">
        <f t="shared" si="41"/>
        <v>750</v>
      </c>
    </row>
    <row r="475" spans="1:32" ht="300" x14ac:dyDescent="0.25">
      <c r="A475" s="107" t="s">
        <v>588</v>
      </c>
      <c r="B475" s="107" t="s">
        <v>2269</v>
      </c>
      <c r="C475" s="52"/>
      <c r="D475" s="107" t="s">
        <v>2300</v>
      </c>
      <c r="E475" s="22" t="str">
        <f t="shared" si="39"/>
        <v>SEJUSPPROG</v>
      </c>
      <c r="F475" s="52" t="s">
        <v>729</v>
      </c>
      <c r="G475" s="22" t="str">
        <f t="shared" si="40"/>
        <v>P130SEJUSP</v>
      </c>
      <c r="H475" s="92" t="s">
        <v>1259</v>
      </c>
      <c r="I475" s="22" t="s">
        <v>16</v>
      </c>
      <c r="J475" s="92" t="s">
        <v>1713</v>
      </c>
      <c r="K475" s="22" t="str">
        <f>VLOOKUP(CONCATENATE(A475,LEFT(J475,4)),AGRUPAMENTO!$D$2:$E$6783,2,FALSE)</f>
        <v>Serviços de saúde e medicamentos</v>
      </c>
      <c r="L475" s="92" t="s">
        <v>94</v>
      </c>
      <c r="M475" s="52" t="str">
        <f t="shared" si="37"/>
        <v>FONTESEJUSP</v>
      </c>
      <c r="N475" s="92">
        <v>10</v>
      </c>
      <c r="O475" s="153" t="s">
        <v>2743</v>
      </c>
      <c r="P475" s="92" t="s">
        <v>46</v>
      </c>
      <c r="Q475" s="92" t="s">
        <v>3812</v>
      </c>
      <c r="R475" s="204">
        <v>44</v>
      </c>
      <c r="S475" s="92" t="s">
        <v>3905</v>
      </c>
      <c r="T475" s="200">
        <v>19</v>
      </c>
      <c r="U475" s="201">
        <v>1</v>
      </c>
      <c r="V475" s="58">
        <f t="shared" si="38"/>
        <v>836</v>
      </c>
      <c r="W475" s="52" t="s">
        <v>49</v>
      </c>
      <c r="X475" s="92" t="s">
        <v>4616</v>
      </c>
      <c r="Y475" s="92" t="s">
        <v>4617</v>
      </c>
      <c r="Z475" s="92" t="s">
        <v>4618</v>
      </c>
      <c r="AA475" s="52">
        <v>0</v>
      </c>
      <c r="AB475" s="52">
        <v>0</v>
      </c>
      <c r="AC475" s="52">
        <v>0</v>
      </c>
      <c r="AD475" s="21">
        <v>1</v>
      </c>
      <c r="AE475" s="54">
        <v>1</v>
      </c>
      <c r="AF475" s="315">
        <f t="shared" si="41"/>
        <v>836</v>
      </c>
    </row>
    <row r="476" spans="1:32" ht="300" x14ac:dyDescent="0.25">
      <c r="A476" s="107" t="s">
        <v>588</v>
      </c>
      <c r="B476" s="107" t="s">
        <v>2269</v>
      </c>
      <c r="C476" s="52"/>
      <c r="D476" s="107" t="s">
        <v>2300</v>
      </c>
      <c r="E476" s="22" t="str">
        <f t="shared" si="39"/>
        <v>SEJUSPPROG</v>
      </c>
      <c r="F476" s="52" t="s">
        <v>729</v>
      </c>
      <c r="G476" s="22" t="str">
        <f t="shared" si="40"/>
        <v>P130SEJUSP</v>
      </c>
      <c r="H476" s="92" t="s">
        <v>1259</v>
      </c>
      <c r="I476" s="22" t="s">
        <v>16</v>
      </c>
      <c r="J476" s="92" t="s">
        <v>1713</v>
      </c>
      <c r="K476" s="22" t="str">
        <f>VLOOKUP(CONCATENATE(A476,LEFT(J476,4)),AGRUPAMENTO!$D$2:$E$6783,2,FALSE)</f>
        <v>Serviços de saúde e medicamentos</v>
      </c>
      <c r="L476" s="92" t="s">
        <v>94</v>
      </c>
      <c r="M476" s="52" t="str">
        <f t="shared" si="37"/>
        <v>FONTESEJUSP</v>
      </c>
      <c r="N476" s="92">
        <v>10</v>
      </c>
      <c r="O476" s="153" t="s">
        <v>2744</v>
      </c>
      <c r="P476" s="92" t="s">
        <v>46</v>
      </c>
      <c r="Q476" s="92" t="s">
        <v>3812</v>
      </c>
      <c r="R476" s="204">
        <v>40</v>
      </c>
      <c r="S476" s="92" t="s">
        <v>3905</v>
      </c>
      <c r="T476" s="200">
        <v>17</v>
      </c>
      <c r="U476" s="201">
        <v>1</v>
      </c>
      <c r="V476" s="58">
        <f t="shared" si="38"/>
        <v>680</v>
      </c>
      <c r="W476" s="52" t="s">
        <v>49</v>
      </c>
      <c r="X476" s="92" t="s">
        <v>4616</v>
      </c>
      <c r="Y476" s="92" t="s">
        <v>4617</v>
      </c>
      <c r="Z476" s="92" t="s">
        <v>4618</v>
      </c>
      <c r="AA476" s="52">
        <v>0</v>
      </c>
      <c r="AB476" s="52">
        <v>0</v>
      </c>
      <c r="AC476" s="52">
        <v>0</v>
      </c>
      <c r="AD476" s="21">
        <v>1</v>
      </c>
      <c r="AE476" s="54">
        <v>1</v>
      </c>
      <c r="AF476" s="315">
        <f t="shared" si="41"/>
        <v>680</v>
      </c>
    </row>
    <row r="477" spans="1:32" ht="300" x14ac:dyDescent="0.25">
      <c r="A477" s="107" t="s">
        <v>588</v>
      </c>
      <c r="B477" s="107" t="s">
        <v>2269</v>
      </c>
      <c r="C477" s="52"/>
      <c r="D477" s="107" t="s">
        <v>2300</v>
      </c>
      <c r="E477" s="22" t="str">
        <f t="shared" si="39"/>
        <v>SEJUSPPROG</v>
      </c>
      <c r="F477" s="52" t="s">
        <v>729</v>
      </c>
      <c r="G477" s="22" t="str">
        <f t="shared" si="40"/>
        <v>P130SEJUSP</v>
      </c>
      <c r="H477" s="92" t="s">
        <v>1259</v>
      </c>
      <c r="I477" s="22" t="s">
        <v>16</v>
      </c>
      <c r="J477" s="92" t="s">
        <v>1713</v>
      </c>
      <c r="K477" s="22" t="str">
        <f>VLOOKUP(CONCATENATE(A477,LEFT(J477,4)),AGRUPAMENTO!$D$2:$E$6783,2,FALSE)</f>
        <v>Serviços de saúde e medicamentos</v>
      </c>
      <c r="L477" s="92" t="s">
        <v>94</v>
      </c>
      <c r="M477" s="52" t="str">
        <f t="shared" si="37"/>
        <v>FONTESEJUSP</v>
      </c>
      <c r="N477" s="92">
        <v>10</v>
      </c>
      <c r="O477" s="156" t="s">
        <v>2745</v>
      </c>
      <c r="P477" s="92" t="s">
        <v>46</v>
      </c>
      <c r="Q477" s="92" t="s">
        <v>3812</v>
      </c>
      <c r="R477" s="204">
        <v>138</v>
      </c>
      <c r="S477" s="92" t="s">
        <v>3905</v>
      </c>
      <c r="T477" s="200">
        <v>21</v>
      </c>
      <c r="U477" s="201">
        <v>1</v>
      </c>
      <c r="V477" s="58">
        <f t="shared" si="38"/>
        <v>2898</v>
      </c>
      <c r="W477" s="52" t="s">
        <v>49</v>
      </c>
      <c r="X477" s="92" t="s">
        <v>4616</v>
      </c>
      <c r="Y477" s="92" t="s">
        <v>4617</v>
      </c>
      <c r="Z477" s="92" t="s">
        <v>4618</v>
      </c>
      <c r="AA477" s="52">
        <v>0</v>
      </c>
      <c r="AB477" s="52">
        <v>0</v>
      </c>
      <c r="AC477" s="52">
        <v>0</v>
      </c>
      <c r="AD477" s="21">
        <v>1</v>
      </c>
      <c r="AE477" s="54">
        <v>1</v>
      </c>
      <c r="AF477" s="315">
        <f t="shared" si="41"/>
        <v>2898</v>
      </c>
    </row>
    <row r="478" spans="1:32" ht="300" x14ac:dyDescent="0.25">
      <c r="A478" s="107" t="s">
        <v>588</v>
      </c>
      <c r="B478" s="107" t="s">
        <v>2269</v>
      </c>
      <c r="C478" s="52"/>
      <c r="D478" s="107" t="s">
        <v>2300</v>
      </c>
      <c r="E478" s="22" t="str">
        <f t="shared" si="39"/>
        <v>SEJUSPPROG</v>
      </c>
      <c r="F478" s="52" t="s">
        <v>729</v>
      </c>
      <c r="G478" s="22" t="str">
        <f t="shared" si="40"/>
        <v>P130SEJUSP</v>
      </c>
      <c r="H478" s="92" t="s">
        <v>1259</v>
      </c>
      <c r="I478" s="22" t="s">
        <v>16</v>
      </c>
      <c r="J478" s="92" t="s">
        <v>1713</v>
      </c>
      <c r="K478" s="22" t="str">
        <f>VLOOKUP(CONCATENATE(A478,LEFT(J478,4)),AGRUPAMENTO!$D$2:$E$6783,2,FALSE)</f>
        <v>Serviços de saúde e medicamentos</v>
      </c>
      <c r="L478" s="92" t="s">
        <v>94</v>
      </c>
      <c r="M478" s="52" t="str">
        <f t="shared" si="37"/>
        <v>FONTESEJUSP</v>
      </c>
      <c r="N478" s="92">
        <v>10</v>
      </c>
      <c r="O478" s="155" t="s">
        <v>2746</v>
      </c>
      <c r="P478" s="92" t="s">
        <v>46</v>
      </c>
      <c r="Q478" s="92" t="s">
        <v>3812</v>
      </c>
      <c r="R478" s="204">
        <v>63</v>
      </c>
      <c r="S478" s="92" t="s">
        <v>3905</v>
      </c>
      <c r="T478" s="200">
        <v>150</v>
      </c>
      <c r="U478" s="201">
        <v>1</v>
      </c>
      <c r="V478" s="58">
        <f t="shared" si="38"/>
        <v>9450</v>
      </c>
      <c r="W478" s="52" t="s">
        <v>49</v>
      </c>
      <c r="X478" s="92" t="s">
        <v>4616</v>
      </c>
      <c r="Y478" s="92" t="s">
        <v>4617</v>
      </c>
      <c r="Z478" s="92" t="s">
        <v>4618</v>
      </c>
      <c r="AA478" s="52">
        <v>0</v>
      </c>
      <c r="AB478" s="52">
        <v>0</v>
      </c>
      <c r="AC478" s="52">
        <v>0</v>
      </c>
      <c r="AD478" s="21">
        <v>1</v>
      </c>
      <c r="AE478" s="54">
        <v>1</v>
      </c>
      <c r="AF478" s="315">
        <f t="shared" si="41"/>
        <v>9450</v>
      </c>
    </row>
    <row r="479" spans="1:32" ht="300" x14ac:dyDescent="0.25">
      <c r="A479" s="107" t="s">
        <v>588</v>
      </c>
      <c r="B479" s="107" t="s">
        <v>2269</v>
      </c>
      <c r="C479" s="52"/>
      <c r="D479" s="107" t="s">
        <v>2300</v>
      </c>
      <c r="E479" s="22" t="str">
        <f t="shared" si="39"/>
        <v>SEJUSPPROG</v>
      </c>
      <c r="F479" s="52" t="s">
        <v>729</v>
      </c>
      <c r="G479" s="22" t="str">
        <f t="shared" si="40"/>
        <v>P130SEJUSP</v>
      </c>
      <c r="H479" s="92" t="s">
        <v>1259</v>
      </c>
      <c r="I479" s="22" t="s">
        <v>16</v>
      </c>
      <c r="J479" s="92" t="s">
        <v>1713</v>
      </c>
      <c r="K479" s="22" t="str">
        <f>VLOOKUP(CONCATENATE(A479,LEFT(J479,4)),AGRUPAMENTO!$D$2:$E$6783,2,FALSE)</f>
        <v>Serviços de saúde e medicamentos</v>
      </c>
      <c r="L479" s="92" t="s">
        <v>94</v>
      </c>
      <c r="M479" s="52" t="str">
        <f t="shared" si="37"/>
        <v>FONTESEJUSP</v>
      </c>
      <c r="N479" s="92">
        <v>10</v>
      </c>
      <c r="O479" s="155" t="s">
        <v>2747</v>
      </c>
      <c r="P479" s="92" t="s">
        <v>46</v>
      </c>
      <c r="Q479" s="92" t="s">
        <v>3812</v>
      </c>
      <c r="R479" s="204">
        <v>43</v>
      </c>
      <c r="S479" s="92" t="s">
        <v>3905</v>
      </c>
      <c r="T479" s="200">
        <v>140</v>
      </c>
      <c r="U479" s="201">
        <v>1</v>
      </c>
      <c r="V479" s="58">
        <f t="shared" si="38"/>
        <v>6020</v>
      </c>
      <c r="W479" s="52" t="s">
        <v>49</v>
      </c>
      <c r="X479" s="92" t="s">
        <v>4616</v>
      </c>
      <c r="Y479" s="92" t="s">
        <v>4617</v>
      </c>
      <c r="Z479" s="92" t="s">
        <v>4618</v>
      </c>
      <c r="AA479" s="52">
        <v>0</v>
      </c>
      <c r="AB479" s="52">
        <v>0</v>
      </c>
      <c r="AC479" s="52">
        <v>0</v>
      </c>
      <c r="AD479" s="21">
        <v>1</v>
      </c>
      <c r="AE479" s="54">
        <v>1</v>
      </c>
      <c r="AF479" s="315">
        <f t="shared" si="41"/>
        <v>6020</v>
      </c>
    </row>
    <row r="480" spans="1:32" ht="300" x14ac:dyDescent="0.25">
      <c r="A480" s="107" t="s">
        <v>588</v>
      </c>
      <c r="B480" s="107" t="s">
        <v>2269</v>
      </c>
      <c r="C480" s="52"/>
      <c r="D480" s="107" t="s">
        <v>2300</v>
      </c>
      <c r="E480" s="22" t="str">
        <f t="shared" si="39"/>
        <v>SEJUSPPROG</v>
      </c>
      <c r="F480" s="52" t="s">
        <v>729</v>
      </c>
      <c r="G480" s="22" t="str">
        <f t="shared" si="40"/>
        <v>P130SEJUSP</v>
      </c>
      <c r="H480" s="92" t="s">
        <v>1259</v>
      </c>
      <c r="I480" s="22" t="s">
        <v>16</v>
      </c>
      <c r="J480" s="92" t="s">
        <v>1713</v>
      </c>
      <c r="K480" s="22" t="str">
        <f>VLOOKUP(CONCATENATE(A480,LEFT(J480,4)),AGRUPAMENTO!$D$2:$E$6783,2,FALSE)</f>
        <v>Serviços de saúde e medicamentos</v>
      </c>
      <c r="L480" s="92" t="s">
        <v>94</v>
      </c>
      <c r="M480" s="52" t="str">
        <f t="shared" si="37"/>
        <v>FONTESEJUSP</v>
      </c>
      <c r="N480" s="92">
        <v>10</v>
      </c>
      <c r="O480" s="155" t="s">
        <v>2748</v>
      </c>
      <c r="P480" s="92" t="s">
        <v>46</v>
      </c>
      <c r="Q480" s="92" t="s">
        <v>3812</v>
      </c>
      <c r="R480" s="204">
        <v>11</v>
      </c>
      <c r="S480" s="92" t="s">
        <v>3905</v>
      </c>
      <c r="T480" s="200">
        <v>83</v>
      </c>
      <c r="U480" s="201">
        <v>1</v>
      </c>
      <c r="V480" s="58">
        <f t="shared" si="38"/>
        <v>913</v>
      </c>
      <c r="W480" s="52" t="s">
        <v>49</v>
      </c>
      <c r="X480" s="92" t="s">
        <v>4616</v>
      </c>
      <c r="Y480" s="92" t="s">
        <v>4617</v>
      </c>
      <c r="Z480" s="92" t="s">
        <v>4618</v>
      </c>
      <c r="AA480" s="52">
        <v>0</v>
      </c>
      <c r="AB480" s="52">
        <v>0</v>
      </c>
      <c r="AC480" s="52">
        <v>0</v>
      </c>
      <c r="AD480" s="21">
        <v>1</v>
      </c>
      <c r="AE480" s="54">
        <v>1</v>
      </c>
      <c r="AF480" s="315">
        <f t="shared" si="41"/>
        <v>913</v>
      </c>
    </row>
    <row r="481" spans="1:32" ht="300" x14ac:dyDescent="0.25">
      <c r="A481" s="107" t="s">
        <v>588</v>
      </c>
      <c r="B481" s="107" t="s">
        <v>2269</v>
      </c>
      <c r="C481" s="52"/>
      <c r="D481" s="107" t="s">
        <v>2300</v>
      </c>
      <c r="E481" s="22" t="str">
        <f t="shared" si="39"/>
        <v>SEJUSPPROG</v>
      </c>
      <c r="F481" s="52" t="s">
        <v>729</v>
      </c>
      <c r="G481" s="22" t="str">
        <f t="shared" si="40"/>
        <v>P130SEJUSP</v>
      </c>
      <c r="H481" s="92" t="s">
        <v>1259</v>
      </c>
      <c r="I481" s="22" t="s">
        <v>16</v>
      </c>
      <c r="J481" s="92" t="s">
        <v>1713</v>
      </c>
      <c r="K481" s="22" t="str">
        <f>VLOOKUP(CONCATENATE(A481,LEFT(J481,4)),AGRUPAMENTO!$D$2:$E$6783,2,FALSE)</f>
        <v>Serviços de saúde e medicamentos</v>
      </c>
      <c r="L481" s="92" t="s">
        <v>94</v>
      </c>
      <c r="M481" s="52" t="str">
        <f t="shared" si="37"/>
        <v>FONTESEJUSP</v>
      </c>
      <c r="N481" s="92">
        <v>10</v>
      </c>
      <c r="O481" s="153" t="s">
        <v>2749</v>
      </c>
      <c r="P481" s="92" t="s">
        <v>46</v>
      </c>
      <c r="Q481" s="92" t="s">
        <v>3812</v>
      </c>
      <c r="R481" s="204">
        <v>60</v>
      </c>
      <c r="S481" s="92" t="s">
        <v>3905</v>
      </c>
      <c r="T481" s="200">
        <v>88.7</v>
      </c>
      <c r="U481" s="201">
        <v>1</v>
      </c>
      <c r="V481" s="58">
        <f t="shared" si="38"/>
        <v>5322</v>
      </c>
      <c r="W481" s="52" t="s">
        <v>49</v>
      </c>
      <c r="X481" s="92" t="s">
        <v>4616</v>
      </c>
      <c r="Y481" s="92" t="s">
        <v>4617</v>
      </c>
      <c r="Z481" s="92" t="s">
        <v>4618</v>
      </c>
      <c r="AA481" s="52">
        <v>0</v>
      </c>
      <c r="AB481" s="52">
        <v>0</v>
      </c>
      <c r="AC481" s="52">
        <v>0</v>
      </c>
      <c r="AD481" s="21">
        <v>1</v>
      </c>
      <c r="AE481" s="54">
        <v>1</v>
      </c>
      <c r="AF481" s="315">
        <f t="shared" si="41"/>
        <v>5322</v>
      </c>
    </row>
    <row r="482" spans="1:32" ht="300" x14ac:dyDescent="0.25">
      <c r="A482" s="107" t="s">
        <v>588</v>
      </c>
      <c r="B482" s="107" t="s">
        <v>2269</v>
      </c>
      <c r="C482" s="52"/>
      <c r="D482" s="107" t="s">
        <v>2300</v>
      </c>
      <c r="E482" s="22" t="str">
        <f t="shared" si="39"/>
        <v>SEJUSPPROG</v>
      </c>
      <c r="F482" s="52" t="s">
        <v>729</v>
      </c>
      <c r="G482" s="22" t="str">
        <f t="shared" si="40"/>
        <v>P130SEJUSP</v>
      </c>
      <c r="H482" s="92" t="s">
        <v>1259</v>
      </c>
      <c r="I482" s="22" t="s">
        <v>16</v>
      </c>
      <c r="J482" s="92" t="s">
        <v>1713</v>
      </c>
      <c r="K482" s="22" t="str">
        <f>VLOOKUP(CONCATENATE(A482,LEFT(J482,4)),AGRUPAMENTO!$D$2:$E$6783,2,FALSE)</f>
        <v>Serviços de saúde e medicamentos</v>
      </c>
      <c r="L482" s="92" t="s">
        <v>94</v>
      </c>
      <c r="M482" s="52" t="str">
        <f t="shared" si="37"/>
        <v>FONTESEJUSP</v>
      </c>
      <c r="N482" s="92">
        <v>10</v>
      </c>
      <c r="O482" s="156" t="s">
        <v>2750</v>
      </c>
      <c r="P482" s="92" t="s">
        <v>46</v>
      </c>
      <c r="Q482" s="92" t="s">
        <v>3812</v>
      </c>
      <c r="R482" s="204">
        <v>69</v>
      </c>
      <c r="S482" s="92" t="s">
        <v>3905</v>
      </c>
      <c r="T482" s="200">
        <v>99.9</v>
      </c>
      <c r="U482" s="201">
        <v>1</v>
      </c>
      <c r="V482" s="58">
        <f t="shared" si="38"/>
        <v>6893.1</v>
      </c>
      <c r="W482" s="52" t="s">
        <v>49</v>
      </c>
      <c r="X482" s="92" t="s">
        <v>4616</v>
      </c>
      <c r="Y482" s="92" t="s">
        <v>4617</v>
      </c>
      <c r="Z482" s="92" t="s">
        <v>4618</v>
      </c>
      <c r="AA482" s="52">
        <v>0</v>
      </c>
      <c r="AB482" s="52">
        <v>0</v>
      </c>
      <c r="AC482" s="52">
        <v>0</v>
      </c>
      <c r="AD482" s="21">
        <v>1</v>
      </c>
      <c r="AE482" s="54">
        <v>1</v>
      </c>
      <c r="AF482" s="315">
        <f t="shared" si="41"/>
        <v>6893.1</v>
      </c>
    </row>
    <row r="483" spans="1:32" ht="300" x14ac:dyDescent="0.25">
      <c r="A483" s="107" t="s">
        <v>588</v>
      </c>
      <c r="B483" s="107" t="s">
        <v>2269</v>
      </c>
      <c r="C483" s="52"/>
      <c r="D483" s="107" t="s">
        <v>2300</v>
      </c>
      <c r="E483" s="22" t="str">
        <f t="shared" si="39"/>
        <v>SEJUSPPROG</v>
      </c>
      <c r="F483" s="52" t="s">
        <v>729</v>
      </c>
      <c r="G483" s="22" t="str">
        <f t="shared" si="40"/>
        <v>P130SEJUSP</v>
      </c>
      <c r="H483" s="92" t="s">
        <v>1259</v>
      </c>
      <c r="I483" s="22" t="s">
        <v>16</v>
      </c>
      <c r="J483" s="92" t="s">
        <v>1713</v>
      </c>
      <c r="K483" s="22" t="str">
        <f>VLOOKUP(CONCATENATE(A483,LEFT(J483,4)),AGRUPAMENTO!$D$2:$E$6783,2,FALSE)</f>
        <v>Serviços de saúde e medicamentos</v>
      </c>
      <c r="L483" s="92" t="s">
        <v>94</v>
      </c>
      <c r="M483" s="52" t="str">
        <f t="shared" si="37"/>
        <v>FONTESEJUSP</v>
      </c>
      <c r="N483" s="92">
        <v>10</v>
      </c>
      <c r="O483" s="153" t="s">
        <v>2751</v>
      </c>
      <c r="P483" s="92" t="s">
        <v>46</v>
      </c>
      <c r="Q483" s="92" t="s">
        <v>3812</v>
      </c>
      <c r="R483" s="204">
        <v>83</v>
      </c>
      <c r="S483" s="92" t="s">
        <v>3905</v>
      </c>
      <c r="T483" s="200">
        <v>94</v>
      </c>
      <c r="U483" s="201">
        <v>1</v>
      </c>
      <c r="V483" s="58">
        <f t="shared" si="38"/>
        <v>7802</v>
      </c>
      <c r="W483" s="52" t="s">
        <v>49</v>
      </c>
      <c r="X483" s="92" t="s">
        <v>4616</v>
      </c>
      <c r="Y483" s="92" t="s">
        <v>4617</v>
      </c>
      <c r="Z483" s="92" t="s">
        <v>4618</v>
      </c>
      <c r="AA483" s="52">
        <v>0</v>
      </c>
      <c r="AB483" s="52">
        <v>0</v>
      </c>
      <c r="AC483" s="52">
        <v>0</v>
      </c>
      <c r="AD483" s="21">
        <v>1</v>
      </c>
      <c r="AE483" s="54">
        <v>1</v>
      </c>
      <c r="AF483" s="315">
        <f t="shared" si="41"/>
        <v>7802</v>
      </c>
    </row>
    <row r="484" spans="1:32" ht="300" x14ac:dyDescent="0.25">
      <c r="A484" s="107" t="s">
        <v>588</v>
      </c>
      <c r="B484" s="107" t="s">
        <v>2269</v>
      </c>
      <c r="C484" s="52"/>
      <c r="D484" s="107" t="s">
        <v>2300</v>
      </c>
      <c r="E484" s="22" t="str">
        <f t="shared" si="39"/>
        <v>SEJUSPPROG</v>
      </c>
      <c r="F484" s="52" t="s">
        <v>729</v>
      </c>
      <c r="G484" s="22" t="str">
        <f t="shared" si="40"/>
        <v>P130SEJUSP</v>
      </c>
      <c r="H484" s="92" t="s">
        <v>1259</v>
      </c>
      <c r="I484" s="22" t="s">
        <v>16</v>
      </c>
      <c r="J484" s="92" t="s">
        <v>1713</v>
      </c>
      <c r="K484" s="22" t="str">
        <f>VLOOKUP(CONCATENATE(A484,LEFT(J484,4)),AGRUPAMENTO!$D$2:$E$6783,2,FALSE)</f>
        <v>Serviços de saúde e medicamentos</v>
      </c>
      <c r="L484" s="92" t="s">
        <v>94</v>
      </c>
      <c r="M484" s="52" t="str">
        <f t="shared" si="37"/>
        <v>FONTESEJUSP</v>
      </c>
      <c r="N484" s="92">
        <v>10</v>
      </c>
      <c r="O484" s="153" t="s">
        <v>2752</v>
      </c>
      <c r="P484" s="92" t="s">
        <v>46</v>
      </c>
      <c r="Q484" s="92" t="s">
        <v>3812</v>
      </c>
      <c r="R484" s="204">
        <v>5</v>
      </c>
      <c r="S484" s="92" t="s">
        <v>3905</v>
      </c>
      <c r="T484" s="200">
        <v>94</v>
      </c>
      <c r="U484" s="201">
        <v>1</v>
      </c>
      <c r="V484" s="58">
        <f t="shared" si="38"/>
        <v>470</v>
      </c>
      <c r="W484" s="52" t="s">
        <v>49</v>
      </c>
      <c r="X484" s="92" t="s">
        <v>4616</v>
      </c>
      <c r="Y484" s="92" t="s">
        <v>4617</v>
      </c>
      <c r="Z484" s="92" t="s">
        <v>4618</v>
      </c>
      <c r="AA484" s="52">
        <v>0</v>
      </c>
      <c r="AB484" s="52">
        <v>0</v>
      </c>
      <c r="AC484" s="52">
        <v>0</v>
      </c>
      <c r="AD484" s="21">
        <v>1</v>
      </c>
      <c r="AE484" s="54">
        <v>1</v>
      </c>
      <c r="AF484" s="315">
        <f t="shared" si="41"/>
        <v>470</v>
      </c>
    </row>
    <row r="485" spans="1:32" ht="300" x14ac:dyDescent="0.25">
      <c r="A485" s="107" t="s">
        <v>588</v>
      </c>
      <c r="B485" s="107" t="s">
        <v>2269</v>
      </c>
      <c r="C485" s="52"/>
      <c r="D485" s="107" t="s">
        <v>2300</v>
      </c>
      <c r="E485" s="22" t="str">
        <f t="shared" si="39"/>
        <v>SEJUSPPROG</v>
      </c>
      <c r="F485" s="52" t="s">
        <v>729</v>
      </c>
      <c r="G485" s="22" t="str">
        <f t="shared" si="40"/>
        <v>P130SEJUSP</v>
      </c>
      <c r="H485" s="92" t="s">
        <v>1259</v>
      </c>
      <c r="I485" s="22" t="s">
        <v>16</v>
      </c>
      <c r="J485" s="92" t="s">
        <v>1713</v>
      </c>
      <c r="K485" s="22" t="str">
        <f>VLOOKUP(CONCATENATE(A485,LEFT(J485,4)),AGRUPAMENTO!$D$2:$E$6783,2,FALSE)</f>
        <v>Serviços de saúde e medicamentos</v>
      </c>
      <c r="L485" s="92" t="s">
        <v>94</v>
      </c>
      <c r="M485" s="52" t="str">
        <f t="shared" si="37"/>
        <v>FONTESEJUSP</v>
      </c>
      <c r="N485" s="92">
        <v>10</v>
      </c>
      <c r="O485" s="156" t="s">
        <v>2753</v>
      </c>
      <c r="P485" s="92" t="s">
        <v>46</v>
      </c>
      <c r="Q485" s="92" t="s">
        <v>3812</v>
      </c>
      <c r="R485" s="204">
        <v>49</v>
      </c>
      <c r="S485" s="92" t="s">
        <v>3905</v>
      </c>
      <c r="T485" s="200">
        <v>96</v>
      </c>
      <c r="U485" s="201">
        <v>1</v>
      </c>
      <c r="V485" s="58">
        <f t="shared" si="38"/>
        <v>4704</v>
      </c>
      <c r="W485" s="52" t="s">
        <v>49</v>
      </c>
      <c r="X485" s="92" t="s">
        <v>4616</v>
      </c>
      <c r="Y485" s="92" t="s">
        <v>4617</v>
      </c>
      <c r="Z485" s="92" t="s">
        <v>4618</v>
      </c>
      <c r="AA485" s="52">
        <v>0</v>
      </c>
      <c r="AB485" s="52">
        <v>0</v>
      </c>
      <c r="AC485" s="52">
        <v>0</v>
      </c>
      <c r="AD485" s="21">
        <v>1</v>
      </c>
      <c r="AE485" s="54">
        <v>1</v>
      </c>
      <c r="AF485" s="315">
        <f t="shared" si="41"/>
        <v>4704</v>
      </c>
    </row>
    <row r="486" spans="1:32" ht="300" x14ac:dyDescent="0.25">
      <c r="A486" s="107" t="s">
        <v>588</v>
      </c>
      <c r="B486" s="107" t="s">
        <v>2269</v>
      </c>
      <c r="C486" s="52"/>
      <c r="D486" s="107" t="s">
        <v>2300</v>
      </c>
      <c r="E486" s="22" t="str">
        <f t="shared" si="39"/>
        <v>SEJUSPPROG</v>
      </c>
      <c r="F486" s="52" t="s">
        <v>729</v>
      </c>
      <c r="G486" s="22" t="str">
        <f t="shared" si="40"/>
        <v>P130SEJUSP</v>
      </c>
      <c r="H486" s="92" t="s">
        <v>1259</v>
      </c>
      <c r="I486" s="22" t="s">
        <v>16</v>
      </c>
      <c r="J486" s="92" t="s">
        <v>1713</v>
      </c>
      <c r="K486" s="22" t="str">
        <f>VLOOKUP(CONCATENATE(A486,LEFT(J486,4)),AGRUPAMENTO!$D$2:$E$6783,2,FALSE)</f>
        <v>Serviços de saúde e medicamentos</v>
      </c>
      <c r="L486" s="92" t="s">
        <v>94</v>
      </c>
      <c r="M486" s="52" t="str">
        <f t="shared" si="37"/>
        <v>FONTESEJUSP</v>
      </c>
      <c r="N486" s="92">
        <v>10</v>
      </c>
      <c r="O486" s="155" t="s">
        <v>2754</v>
      </c>
      <c r="P486" s="92" t="s">
        <v>46</v>
      </c>
      <c r="Q486" s="92" t="s">
        <v>3812</v>
      </c>
      <c r="R486" s="204">
        <v>78</v>
      </c>
      <c r="S486" s="92" t="s">
        <v>3905</v>
      </c>
      <c r="T486" s="200">
        <v>110</v>
      </c>
      <c r="U486" s="201">
        <v>1</v>
      </c>
      <c r="V486" s="58">
        <f t="shared" si="38"/>
        <v>8580</v>
      </c>
      <c r="W486" s="52" t="s">
        <v>49</v>
      </c>
      <c r="X486" s="92" t="s">
        <v>4616</v>
      </c>
      <c r="Y486" s="92" t="s">
        <v>4617</v>
      </c>
      <c r="Z486" s="92" t="s">
        <v>4618</v>
      </c>
      <c r="AA486" s="52">
        <v>0</v>
      </c>
      <c r="AB486" s="52">
        <v>0</v>
      </c>
      <c r="AC486" s="52">
        <v>0</v>
      </c>
      <c r="AD486" s="21">
        <v>1</v>
      </c>
      <c r="AE486" s="54">
        <v>1</v>
      </c>
      <c r="AF486" s="315">
        <f t="shared" si="41"/>
        <v>8580</v>
      </c>
    </row>
    <row r="487" spans="1:32" ht="300" x14ac:dyDescent="0.25">
      <c r="A487" s="107" t="s">
        <v>588</v>
      </c>
      <c r="B487" s="107" t="s">
        <v>2269</v>
      </c>
      <c r="C487" s="52"/>
      <c r="D487" s="107" t="s">
        <v>2300</v>
      </c>
      <c r="E487" s="22" t="str">
        <f t="shared" si="39"/>
        <v>SEJUSPPROG</v>
      </c>
      <c r="F487" s="52" t="s">
        <v>729</v>
      </c>
      <c r="G487" s="22" t="str">
        <f t="shared" si="40"/>
        <v>P130SEJUSP</v>
      </c>
      <c r="H487" s="92" t="s">
        <v>1259</v>
      </c>
      <c r="I487" s="22" t="s">
        <v>16</v>
      </c>
      <c r="J487" s="92" t="s">
        <v>1713</v>
      </c>
      <c r="K487" s="22" t="str">
        <f>VLOOKUP(CONCATENATE(A487,LEFT(J487,4)),AGRUPAMENTO!$D$2:$E$6783,2,FALSE)</f>
        <v>Serviços de saúde e medicamentos</v>
      </c>
      <c r="L487" s="92" t="s">
        <v>94</v>
      </c>
      <c r="M487" s="52" t="str">
        <f t="shared" si="37"/>
        <v>FONTESEJUSP</v>
      </c>
      <c r="N487" s="92">
        <v>10</v>
      </c>
      <c r="O487" s="153" t="s">
        <v>2755</v>
      </c>
      <c r="P487" s="92" t="s">
        <v>46</v>
      </c>
      <c r="Q487" s="92" t="s">
        <v>3812</v>
      </c>
      <c r="R487" s="204">
        <v>26</v>
      </c>
      <c r="S487" s="92" t="s">
        <v>3905</v>
      </c>
      <c r="T487" s="200">
        <v>839.9</v>
      </c>
      <c r="U487" s="201">
        <v>1</v>
      </c>
      <c r="V487" s="58">
        <f t="shared" si="38"/>
        <v>21837.399999999998</v>
      </c>
      <c r="W487" s="52" t="s">
        <v>49</v>
      </c>
      <c r="X487" s="92" t="s">
        <v>4616</v>
      </c>
      <c r="Y487" s="92" t="s">
        <v>4617</v>
      </c>
      <c r="Z487" s="92" t="s">
        <v>4618</v>
      </c>
      <c r="AA487" s="52">
        <v>0</v>
      </c>
      <c r="AB487" s="52">
        <v>0</v>
      </c>
      <c r="AC487" s="52">
        <v>0</v>
      </c>
      <c r="AD487" s="21">
        <v>1</v>
      </c>
      <c r="AE487" s="54">
        <v>1</v>
      </c>
      <c r="AF487" s="315">
        <f t="shared" si="41"/>
        <v>21837.399999999998</v>
      </c>
    </row>
    <row r="488" spans="1:32" ht="300" x14ac:dyDescent="0.25">
      <c r="A488" s="107" t="s">
        <v>588</v>
      </c>
      <c r="B488" s="107" t="s">
        <v>2269</v>
      </c>
      <c r="C488" s="52"/>
      <c r="D488" s="107" t="s">
        <v>2300</v>
      </c>
      <c r="E488" s="22" t="str">
        <f t="shared" si="39"/>
        <v>SEJUSPPROG</v>
      </c>
      <c r="F488" s="52" t="s">
        <v>729</v>
      </c>
      <c r="G488" s="22" t="str">
        <f t="shared" si="40"/>
        <v>P130SEJUSP</v>
      </c>
      <c r="H488" s="92" t="s">
        <v>1259</v>
      </c>
      <c r="I488" s="22" t="s">
        <v>16</v>
      </c>
      <c r="J488" s="92" t="s">
        <v>1713</v>
      </c>
      <c r="K488" s="22" t="str">
        <f>VLOOKUP(CONCATENATE(A488,LEFT(J488,4)),AGRUPAMENTO!$D$2:$E$6783,2,FALSE)</f>
        <v>Serviços de saúde e medicamentos</v>
      </c>
      <c r="L488" s="92" t="s">
        <v>94</v>
      </c>
      <c r="M488" s="52" t="str">
        <f t="shared" si="37"/>
        <v>FONTESEJUSP</v>
      </c>
      <c r="N488" s="92">
        <v>10</v>
      </c>
      <c r="O488" s="156" t="s">
        <v>2756</v>
      </c>
      <c r="P488" s="92" t="s">
        <v>46</v>
      </c>
      <c r="Q488" s="92" t="s">
        <v>3812</v>
      </c>
      <c r="R488" s="204">
        <v>30</v>
      </c>
      <c r="S488" s="92" t="s">
        <v>3905</v>
      </c>
      <c r="T488" s="200">
        <v>63.38</v>
      </c>
      <c r="U488" s="201">
        <v>1</v>
      </c>
      <c r="V488" s="58">
        <f t="shared" si="38"/>
        <v>1901.4</v>
      </c>
      <c r="W488" s="52" t="s">
        <v>49</v>
      </c>
      <c r="X488" s="92" t="s">
        <v>4616</v>
      </c>
      <c r="Y488" s="92" t="s">
        <v>4617</v>
      </c>
      <c r="Z488" s="92" t="s">
        <v>4618</v>
      </c>
      <c r="AA488" s="52">
        <v>0</v>
      </c>
      <c r="AB488" s="52">
        <v>0</v>
      </c>
      <c r="AC488" s="52">
        <v>0</v>
      </c>
      <c r="AD488" s="21">
        <v>1</v>
      </c>
      <c r="AE488" s="54">
        <v>1</v>
      </c>
      <c r="AF488" s="315">
        <f t="shared" si="41"/>
        <v>1901.4</v>
      </c>
    </row>
    <row r="489" spans="1:32" ht="300" x14ac:dyDescent="0.25">
      <c r="A489" s="107" t="s">
        <v>588</v>
      </c>
      <c r="B489" s="107" t="s">
        <v>2269</v>
      </c>
      <c r="C489" s="52"/>
      <c r="D489" s="107" t="s">
        <v>2300</v>
      </c>
      <c r="E489" s="22" t="str">
        <f t="shared" si="39"/>
        <v>SEJUSPPROG</v>
      </c>
      <c r="F489" s="52" t="s">
        <v>729</v>
      </c>
      <c r="G489" s="22" t="str">
        <f t="shared" si="40"/>
        <v>P130SEJUSP</v>
      </c>
      <c r="H489" s="92" t="s">
        <v>1259</v>
      </c>
      <c r="I489" s="22" t="s">
        <v>16</v>
      </c>
      <c r="J489" s="92" t="s">
        <v>1713</v>
      </c>
      <c r="K489" s="22" t="str">
        <f>VLOOKUP(CONCATENATE(A489,LEFT(J489,4)),AGRUPAMENTO!$D$2:$E$6783,2,FALSE)</f>
        <v>Serviços de saúde e medicamentos</v>
      </c>
      <c r="L489" s="92" t="s">
        <v>94</v>
      </c>
      <c r="M489" s="52" t="str">
        <f t="shared" si="37"/>
        <v>FONTESEJUSP</v>
      </c>
      <c r="N489" s="92">
        <v>10</v>
      </c>
      <c r="O489" s="153" t="s">
        <v>2757</v>
      </c>
      <c r="P489" s="92" t="s">
        <v>46</v>
      </c>
      <c r="Q489" s="92" t="s">
        <v>3812</v>
      </c>
      <c r="R489" s="204">
        <v>14</v>
      </c>
      <c r="S489" s="92" t="s">
        <v>3905</v>
      </c>
      <c r="T489" s="200">
        <v>166.04</v>
      </c>
      <c r="U489" s="201">
        <v>1</v>
      </c>
      <c r="V489" s="58">
        <f t="shared" si="38"/>
        <v>2324.56</v>
      </c>
      <c r="W489" s="52" t="s">
        <v>49</v>
      </c>
      <c r="X489" s="92" t="s">
        <v>4616</v>
      </c>
      <c r="Y489" s="92" t="s">
        <v>4617</v>
      </c>
      <c r="Z489" s="92" t="s">
        <v>4618</v>
      </c>
      <c r="AA489" s="52">
        <v>0</v>
      </c>
      <c r="AB489" s="52">
        <v>0</v>
      </c>
      <c r="AC489" s="52">
        <v>0</v>
      </c>
      <c r="AD489" s="21">
        <v>1</v>
      </c>
      <c r="AE489" s="54">
        <v>1</v>
      </c>
      <c r="AF489" s="315">
        <f t="shared" si="41"/>
        <v>2324.56</v>
      </c>
    </row>
    <row r="490" spans="1:32" ht="300" x14ac:dyDescent="0.25">
      <c r="A490" s="107" t="s">
        <v>588</v>
      </c>
      <c r="B490" s="107" t="s">
        <v>2269</v>
      </c>
      <c r="C490" s="52"/>
      <c r="D490" s="107" t="s">
        <v>2300</v>
      </c>
      <c r="E490" s="22" t="str">
        <f t="shared" si="39"/>
        <v>SEJUSPPROG</v>
      </c>
      <c r="F490" s="52" t="s">
        <v>729</v>
      </c>
      <c r="G490" s="22" t="str">
        <f t="shared" si="40"/>
        <v>P130SEJUSP</v>
      </c>
      <c r="H490" s="92" t="s">
        <v>1259</v>
      </c>
      <c r="I490" s="22" t="s">
        <v>16</v>
      </c>
      <c r="J490" s="92" t="s">
        <v>1713</v>
      </c>
      <c r="K490" s="22" t="str">
        <f>VLOOKUP(CONCATENATE(A490,LEFT(J490,4)),AGRUPAMENTO!$D$2:$E$6783,2,FALSE)</f>
        <v>Serviços de saúde e medicamentos</v>
      </c>
      <c r="L490" s="92" t="s">
        <v>94</v>
      </c>
      <c r="M490" s="52" t="str">
        <f t="shared" si="37"/>
        <v>FONTESEJUSP</v>
      </c>
      <c r="N490" s="92">
        <v>10</v>
      </c>
      <c r="O490" s="155" t="s">
        <v>2758</v>
      </c>
      <c r="P490" s="92" t="s">
        <v>46</v>
      </c>
      <c r="Q490" s="92" t="s">
        <v>3812</v>
      </c>
      <c r="R490" s="204">
        <v>47</v>
      </c>
      <c r="S490" s="92" t="s">
        <v>3905</v>
      </c>
      <c r="T490" s="200">
        <v>44.8</v>
      </c>
      <c r="U490" s="201">
        <v>1</v>
      </c>
      <c r="V490" s="58">
        <f t="shared" si="38"/>
        <v>2105.6</v>
      </c>
      <c r="W490" s="52" t="s">
        <v>49</v>
      </c>
      <c r="X490" s="92" t="s">
        <v>4616</v>
      </c>
      <c r="Y490" s="92" t="s">
        <v>4617</v>
      </c>
      <c r="Z490" s="92" t="s">
        <v>4618</v>
      </c>
      <c r="AA490" s="52">
        <v>0</v>
      </c>
      <c r="AB490" s="52">
        <v>0</v>
      </c>
      <c r="AC490" s="52">
        <v>0</v>
      </c>
      <c r="AD490" s="21">
        <v>1</v>
      </c>
      <c r="AE490" s="54">
        <v>1</v>
      </c>
      <c r="AF490" s="315">
        <f t="shared" si="41"/>
        <v>2105.6</v>
      </c>
    </row>
    <row r="491" spans="1:32" ht="300" x14ac:dyDescent="0.25">
      <c r="A491" s="107" t="s">
        <v>588</v>
      </c>
      <c r="B491" s="107" t="s">
        <v>2269</v>
      </c>
      <c r="C491" s="52"/>
      <c r="D491" s="107" t="s">
        <v>2300</v>
      </c>
      <c r="E491" s="22" t="str">
        <f t="shared" si="39"/>
        <v>SEJUSPPROG</v>
      </c>
      <c r="F491" s="52" t="s">
        <v>729</v>
      </c>
      <c r="G491" s="22" t="str">
        <f t="shared" si="40"/>
        <v>P130SEJUSP</v>
      </c>
      <c r="H491" s="92" t="s">
        <v>1259</v>
      </c>
      <c r="I491" s="22" t="s">
        <v>16</v>
      </c>
      <c r="J491" s="92" t="s">
        <v>1713</v>
      </c>
      <c r="K491" s="22" t="str">
        <f>VLOOKUP(CONCATENATE(A491,LEFT(J491,4)),AGRUPAMENTO!$D$2:$E$6783,2,FALSE)</f>
        <v>Serviços de saúde e medicamentos</v>
      </c>
      <c r="L491" s="92" t="s">
        <v>94</v>
      </c>
      <c r="M491" s="52" t="str">
        <f t="shared" si="37"/>
        <v>FONTESEJUSP</v>
      </c>
      <c r="N491" s="92">
        <v>10</v>
      </c>
      <c r="O491" s="155" t="s">
        <v>2759</v>
      </c>
      <c r="P491" s="92" t="s">
        <v>46</v>
      </c>
      <c r="Q491" s="92" t="s">
        <v>3812</v>
      </c>
      <c r="R491" s="204">
        <v>64</v>
      </c>
      <c r="S491" s="92" t="s">
        <v>3905</v>
      </c>
      <c r="T491" s="200">
        <v>44.8</v>
      </c>
      <c r="U491" s="201">
        <v>1</v>
      </c>
      <c r="V491" s="58">
        <f t="shared" si="38"/>
        <v>2867.2</v>
      </c>
      <c r="W491" s="52" t="s">
        <v>49</v>
      </c>
      <c r="X491" s="92" t="s">
        <v>4616</v>
      </c>
      <c r="Y491" s="92" t="s">
        <v>4617</v>
      </c>
      <c r="Z491" s="92" t="s">
        <v>4618</v>
      </c>
      <c r="AA491" s="52">
        <v>0</v>
      </c>
      <c r="AB491" s="52">
        <v>0</v>
      </c>
      <c r="AC491" s="52">
        <v>0</v>
      </c>
      <c r="AD491" s="21">
        <v>1</v>
      </c>
      <c r="AE491" s="54">
        <v>1</v>
      </c>
      <c r="AF491" s="315">
        <f t="shared" si="41"/>
        <v>2867.2</v>
      </c>
    </row>
    <row r="492" spans="1:32" ht="300" x14ac:dyDescent="0.25">
      <c r="A492" s="107" t="s">
        <v>588</v>
      </c>
      <c r="B492" s="107" t="s">
        <v>2269</v>
      </c>
      <c r="C492" s="52"/>
      <c r="D492" s="107" t="s">
        <v>2300</v>
      </c>
      <c r="E492" s="22" t="str">
        <f t="shared" si="39"/>
        <v>SEJUSPPROG</v>
      </c>
      <c r="F492" s="52" t="s">
        <v>729</v>
      </c>
      <c r="G492" s="22" t="str">
        <f t="shared" si="40"/>
        <v>P130SEJUSP</v>
      </c>
      <c r="H492" s="92" t="s">
        <v>1259</v>
      </c>
      <c r="I492" s="22" t="s">
        <v>16</v>
      </c>
      <c r="J492" s="92" t="s">
        <v>1713</v>
      </c>
      <c r="K492" s="22" t="str">
        <f>VLOOKUP(CONCATENATE(A492,LEFT(J492,4)),AGRUPAMENTO!$D$2:$E$6783,2,FALSE)</f>
        <v>Serviços de saúde e medicamentos</v>
      </c>
      <c r="L492" s="92" t="s">
        <v>94</v>
      </c>
      <c r="M492" s="52" t="str">
        <f t="shared" si="37"/>
        <v>FONTESEJUSP</v>
      </c>
      <c r="N492" s="92">
        <v>10</v>
      </c>
      <c r="O492" s="153" t="s">
        <v>2760</v>
      </c>
      <c r="P492" s="92" t="s">
        <v>46</v>
      </c>
      <c r="Q492" s="92" t="s">
        <v>3812</v>
      </c>
      <c r="R492" s="204">
        <v>14</v>
      </c>
      <c r="S492" s="92" t="s">
        <v>3905</v>
      </c>
      <c r="T492" s="200">
        <v>39</v>
      </c>
      <c r="U492" s="201">
        <v>1</v>
      </c>
      <c r="V492" s="58">
        <f t="shared" si="38"/>
        <v>546</v>
      </c>
      <c r="W492" s="52" t="s">
        <v>49</v>
      </c>
      <c r="X492" s="92" t="s">
        <v>4616</v>
      </c>
      <c r="Y492" s="92" t="s">
        <v>4617</v>
      </c>
      <c r="Z492" s="92" t="s">
        <v>4618</v>
      </c>
      <c r="AA492" s="52">
        <v>0</v>
      </c>
      <c r="AB492" s="52">
        <v>0</v>
      </c>
      <c r="AC492" s="52">
        <v>0</v>
      </c>
      <c r="AD492" s="21">
        <v>1</v>
      </c>
      <c r="AE492" s="54">
        <v>1</v>
      </c>
      <c r="AF492" s="315">
        <f t="shared" si="41"/>
        <v>546</v>
      </c>
    </row>
    <row r="493" spans="1:32" ht="300" x14ac:dyDescent="0.25">
      <c r="A493" s="107" t="s">
        <v>588</v>
      </c>
      <c r="B493" s="107" t="s">
        <v>2269</v>
      </c>
      <c r="C493" s="52"/>
      <c r="D493" s="107" t="s">
        <v>2300</v>
      </c>
      <c r="E493" s="22" t="str">
        <f t="shared" si="39"/>
        <v>SEJUSPPROG</v>
      </c>
      <c r="F493" s="52" t="s">
        <v>729</v>
      </c>
      <c r="G493" s="22" t="str">
        <f t="shared" si="40"/>
        <v>P130SEJUSP</v>
      </c>
      <c r="H493" s="92" t="s">
        <v>1259</v>
      </c>
      <c r="I493" s="22" t="s">
        <v>16</v>
      </c>
      <c r="J493" s="92" t="s">
        <v>1713</v>
      </c>
      <c r="K493" s="22" t="str">
        <f>VLOOKUP(CONCATENATE(A493,LEFT(J493,4)),AGRUPAMENTO!$D$2:$E$6783,2,FALSE)</f>
        <v>Serviços de saúde e medicamentos</v>
      </c>
      <c r="L493" s="92" t="s">
        <v>94</v>
      </c>
      <c r="M493" s="52" t="str">
        <f t="shared" si="37"/>
        <v>FONTESEJUSP</v>
      </c>
      <c r="N493" s="92">
        <v>10</v>
      </c>
      <c r="O493" s="153" t="s">
        <v>2761</v>
      </c>
      <c r="P493" s="92" t="s">
        <v>46</v>
      </c>
      <c r="Q493" s="92" t="s">
        <v>3812</v>
      </c>
      <c r="R493" s="204">
        <v>61</v>
      </c>
      <c r="S493" s="92" t="s">
        <v>3905</v>
      </c>
      <c r="T493" s="200">
        <v>84.9</v>
      </c>
      <c r="U493" s="201">
        <v>1</v>
      </c>
      <c r="V493" s="58">
        <f t="shared" si="38"/>
        <v>5178.9000000000005</v>
      </c>
      <c r="W493" s="52" t="s">
        <v>49</v>
      </c>
      <c r="X493" s="92" t="s">
        <v>4616</v>
      </c>
      <c r="Y493" s="92" t="s">
        <v>4617</v>
      </c>
      <c r="Z493" s="92" t="s">
        <v>4618</v>
      </c>
      <c r="AA493" s="52">
        <v>0</v>
      </c>
      <c r="AB493" s="52">
        <v>0</v>
      </c>
      <c r="AC493" s="52">
        <v>0</v>
      </c>
      <c r="AD493" s="21">
        <v>1</v>
      </c>
      <c r="AE493" s="54">
        <v>1</v>
      </c>
      <c r="AF493" s="315">
        <f t="shared" si="41"/>
        <v>5178.9000000000005</v>
      </c>
    </row>
    <row r="494" spans="1:32" ht="300" x14ac:dyDescent="0.25">
      <c r="A494" s="107" t="s">
        <v>588</v>
      </c>
      <c r="B494" s="107" t="s">
        <v>2269</v>
      </c>
      <c r="C494" s="52"/>
      <c r="D494" s="107" t="s">
        <v>2300</v>
      </c>
      <c r="E494" s="22" t="str">
        <f t="shared" si="39"/>
        <v>SEJUSPPROG</v>
      </c>
      <c r="F494" s="52" t="s">
        <v>729</v>
      </c>
      <c r="G494" s="22" t="str">
        <f t="shared" si="40"/>
        <v>P130SEJUSP</v>
      </c>
      <c r="H494" s="92" t="s">
        <v>1259</v>
      </c>
      <c r="I494" s="22" t="s">
        <v>16</v>
      </c>
      <c r="J494" s="92" t="s">
        <v>1713</v>
      </c>
      <c r="K494" s="22" t="str">
        <f>VLOOKUP(CONCATENATE(A494,LEFT(J494,4)),AGRUPAMENTO!$D$2:$E$6783,2,FALSE)</f>
        <v>Serviços de saúde e medicamentos</v>
      </c>
      <c r="L494" s="92" t="s">
        <v>94</v>
      </c>
      <c r="M494" s="52" t="str">
        <f t="shared" si="37"/>
        <v>FONTESEJUSP</v>
      </c>
      <c r="N494" s="92">
        <v>10</v>
      </c>
      <c r="O494" s="153" t="s">
        <v>2762</v>
      </c>
      <c r="P494" s="92" t="s">
        <v>46</v>
      </c>
      <c r="Q494" s="92" t="s">
        <v>3812</v>
      </c>
      <c r="R494" s="204">
        <v>88</v>
      </c>
      <c r="S494" s="92" t="s">
        <v>3905</v>
      </c>
      <c r="T494" s="200">
        <v>44</v>
      </c>
      <c r="U494" s="201">
        <v>1</v>
      </c>
      <c r="V494" s="58">
        <f t="shared" si="38"/>
        <v>3872</v>
      </c>
      <c r="W494" s="52" t="s">
        <v>49</v>
      </c>
      <c r="X494" s="92" t="s">
        <v>4616</v>
      </c>
      <c r="Y494" s="92" t="s">
        <v>4617</v>
      </c>
      <c r="Z494" s="92" t="s">
        <v>4618</v>
      </c>
      <c r="AA494" s="52">
        <v>0</v>
      </c>
      <c r="AB494" s="52">
        <v>0</v>
      </c>
      <c r="AC494" s="52">
        <v>0</v>
      </c>
      <c r="AD494" s="21">
        <v>1</v>
      </c>
      <c r="AE494" s="54">
        <v>1</v>
      </c>
      <c r="AF494" s="315">
        <f t="shared" si="41"/>
        <v>3872</v>
      </c>
    </row>
    <row r="495" spans="1:32" ht="300" x14ac:dyDescent="0.25">
      <c r="A495" s="107" t="s">
        <v>588</v>
      </c>
      <c r="B495" s="107" t="s">
        <v>2269</v>
      </c>
      <c r="C495" s="52"/>
      <c r="D495" s="107" t="s">
        <v>2300</v>
      </c>
      <c r="E495" s="22" t="str">
        <f t="shared" si="39"/>
        <v>SEJUSPPROG</v>
      </c>
      <c r="F495" s="52" t="s">
        <v>729</v>
      </c>
      <c r="G495" s="22" t="str">
        <f t="shared" si="40"/>
        <v>P130SEJUSP</v>
      </c>
      <c r="H495" s="92" t="s">
        <v>1259</v>
      </c>
      <c r="I495" s="22" t="s">
        <v>16</v>
      </c>
      <c r="J495" s="92" t="s">
        <v>1713</v>
      </c>
      <c r="K495" s="22" t="str">
        <f>VLOOKUP(CONCATENATE(A495,LEFT(J495,4)),AGRUPAMENTO!$D$2:$E$6783,2,FALSE)</f>
        <v>Serviços de saúde e medicamentos</v>
      </c>
      <c r="L495" s="92" t="s">
        <v>94</v>
      </c>
      <c r="M495" s="52" t="str">
        <f t="shared" si="37"/>
        <v>FONTESEJUSP</v>
      </c>
      <c r="N495" s="92">
        <v>10</v>
      </c>
      <c r="O495" s="156" t="s">
        <v>2763</v>
      </c>
      <c r="P495" s="92" t="s">
        <v>46</v>
      </c>
      <c r="Q495" s="92" t="s">
        <v>3812</v>
      </c>
      <c r="R495" s="204">
        <v>271</v>
      </c>
      <c r="S495" s="92" t="s">
        <v>3905</v>
      </c>
      <c r="T495" s="200">
        <v>25</v>
      </c>
      <c r="U495" s="201">
        <v>1</v>
      </c>
      <c r="V495" s="58">
        <f t="shared" si="38"/>
        <v>6775</v>
      </c>
      <c r="W495" s="52" t="s">
        <v>49</v>
      </c>
      <c r="X495" s="92" t="s">
        <v>4616</v>
      </c>
      <c r="Y495" s="92" t="s">
        <v>4617</v>
      </c>
      <c r="Z495" s="92" t="s">
        <v>4618</v>
      </c>
      <c r="AA495" s="52">
        <v>0</v>
      </c>
      <c r="AB495" s="52">
        <v>0</v>
      </c>
      <c r="AC495" s="52">
        <v>0</v>
      </c>
      <c r="AD495" s="21">
        <v>1</v>
      </c>
      <c r="AE495" s="54">
        <v>1</v>
      </c>
      <c r="AF495" s="315">
        <f t="shared" si="41"/>
        <v>6775</v>
      </c>
    </row>
    <row r="496" spans="1:32" ht="300" x14ac:dyDescent="0.25">
      <c r="A496" s="107" t="s">
        <v>588</v>
      </c>
      <c r="B496" s="107" t="s">
        <v>2269</v>
      </c>
      <c r="C496" s="52"/>
      <c r="D496" s="107" t="s">
        <v>2300</v>
      </c>
      <c r="E496" s="22" t="str">
        <f t="shared" si="39"/>
        <v>SEJUSPPROG</v>
      </c>
      <c r="F496" s="52" t="s">
        <v>729</v>
      </c>
      <c r="G496" s="22" t="str">
        <f t="shared" si="40"/>
        <v>P130SEJUSP</v>
      </c>
      <c r="H496" s="92" t="s">
        <v>1259</v>
      </c>
      <c r="I496" s="22" t="s">
        <v>16</v>
      </c>
      <c r="J496" s="92" t="s">
        <v>1713</v>
      </c>
      <c r="K496" s="22" t="str">
        <f>VLOOKUP(CONCATENATE(A496,LEFT(J496,4)),AGRUPAMENTO!$D$2:$E$6783,2,FALSE)</f>
        <v>Serviços de saúde e medicamentos</v>
      </c>
      <c r="L496" s="92" t="s">
        <v>94</v>
      </c>
      <c r="M496" s="52" t="str">
        <f t="shared" si="37"/>
        <v>FONTESEJUSP</v>
      </c>
      <c r="N496" s="92">
        <v>10</v>
      </c>
      <c r="O496" s="155" t="s">
        <v>2764</v>
      </c>
      <c r="P496" s="92" t="s">
        <v>46</v>
      </c>
      <c r="Q496" s="92" t="s">
        <v>3812</v>
      </c>
      <c r="R496" s="204">
        <v>151</v>
      </c>
      <c r="S496" s="92" t="s">
        <v>3904</v>
      </c>
      <c r="T496" s="200">
        <v>142.85</v>
      </c>
      <c r="U496" s="201">
        <v>1</v>
      </c>
      <c r="V496" s="58">
        <f t="shared" si="38"/>
        <v>21570.35</v>
      </c>
      <c r="W496" s="52" t="s">
        <v>49</v>
      </c>
      <c r="X496" s="92" t="s">
        <v>4616</v>
      </c>
      <c r="Y496" s="92" t="s">
        <v>4617</v>
      </c>
      <c r="Z496" s="92" t="s">
        <v>4618</v>
      </c>
      <c r="AA496" s="52">
        <v>0</v>
      </c>
      <c r="AB496" s="52">
        <v>0</v>
      </c>
      <c r="AC496" s="52">
        <v>0</v>
      </c>
      <c r="AD496" s="21">
        <v>1</v>
      </c>
      <c r="AE496" s="54">
        <v>1</v>
      </c>
      <c r="AF496" s="315">
        <f t="shared" si="41"/>
        <v>21570.35</v>
      </c>
    </row>
    <row r="497" spans="1:32" ht="300" x14ac:dyDescent="0.25">
      <c r="A497" s="107" t="s">
        <v>588</v>
      </c>
      <c r="B497" s="107" t="s">
        <v>2269</v>
      </c>
      <c r="C497" s="52"/>
      <c r="D497" s="107" t="s">
        <v>2300</v>
      </c>
      <c r="E497" s="22" t="str">
        <f t="shared" si="39"/>
        <v>SEJUSPPROG</v>
      </c>
      <c r="F497" s="52" t="s">
        <v>729</v>
      </c>
      <c r="G497" s="22" t="str">
        <f t="shared" si="40"/>
        <v>P130SEJUSP</v>
      </c>
      <c r="H497" s="92" t="s">
        <v>1259</v>
      </c>
      <c r="I497" s="22" t="s">
        <v>16</v>
      </c>
      <c r="J497" s="92" t="s">
        <v>1713</v>
      </c>
      <c r="K497" s="22" t="str">
        <f>VLOOKUP(CONCATENATE(A497,LEFT(J497,4)),AGRUPAMENTO!$D$2:$E$6783,2,FALSE)</f>
        <v>Serviços de saúde e medicamentos</v>
      </c>
      <c r="L497" s="92" t="s">
        <v>94</v>
      </c>
      <c r="M497" s="52" t="str">
        <f t="shared" si="37"/>
        <v>FONTESEJUSP</v>
      </c>
      <c r="N497" s="92">
        <v>10</v>
      </c>
      <c r="O497" s="153" t="s">
        <v>2765</v>
      </c>
      <c r="P497" s="92" t="s">
        <v>46</v>
      </c>
      <c r="Q497" s="92" t="s">
        <v>3812</v>
      </c>
      <c r="R497" s="204">
        <v>21</v>
      </c>
      <c r="S497" s="92" t="s">
        <v>3905</v>
      </c>
      <c r="T497" s="200">
        <v>35.5</v>
      </c>
      <c r="U497" s="201">
        <v>1</v>
      </c>
      <c r="V497" s="58">
        <f t="shared" si="38"/>
        <v>745.5</v>
      </c>
      <c r="W497" s="52" t="s">
        <v>49</v>
      </c>
      <c r="X497" s="92" t="s">
        <v>4616</v>
      </c>
      <c r="Y497" s="92" t="s">
        <v>4617</v>
      </c>
      <c r="Z497" s="92" t="s">
        <v>4618</v>
      </c>
      <c r="AA497" s="52">
        <v>0</v>
      </c>
      <c r="AB497" s="52">
        <v>0</v>
      </c>
      <c r="AC497" s="52">
        <v>0</v>
      </c>
      <c r="AD497" s="21">
        <v>1</v>
      </c>
      <c r="AE497" s="54">
        <v>1</v>
      </c>
      <c r="AF497" s="315">
        <f t="shared" si="41"/>
        <v>745.5</v>
      </c>
    </row>
    <row r="498" spans="1:32" ht="300" x14ac:dyDescent="0.25">
      <c r="A498" s="107" t="s">
        <v>588</v>
      </c>
      <c r="B498" s="107" t="s">
        <v>2269</v>
      </c>
      <c r="C498" s="52"/>
      <c r="D498" s="107" t="s">
        <v>2300</v>
      </c>
      <c r="E498" s="22" t="str">
        <f t="shared" si="39"/>
        <v>SEJUSPPROG</v>
      </c>
      <c r="F498" s="52" t="s">
        <v>729</v>
      </c>
      <c r="G498" s="22" t="str">
        <f t="shared" si="40"/>
        <v>P130SEJUSP</v>
      </c>
      <c r="H498" s="92" t="s">
        <v>1259</v>
      </c>
      <c r="I498" s="22" t="s">
        <v>16</v>
      </c>
      <c r="J498" s="92" t="s">
        <v>1713</v>
      </c>
      <c r="K498" s="22" t="str">
        <f>VLOOKUP(CONCATENATE(A498,LEFT(J498,4)),AGRUPAMENTO!$D$2:$E$6783,2,FALSE)</f>
        <v>Serviços de saúde e medicamentos</v>
      </c>
      <c r="L498" s="92" t="s">
        <v>94</v>
      </c>
      <c r="M498" s="52" t="str">
        <f t="shared" si="37"/>
        <v>FONTESEJUSP</v>
      </c>
      <c r="N498" s="92">
        <v>10</v>
      </c>
      <c r="O498" s="156" t="s">
        <v>2766</v>
      </c>
      <c r="P498" s="92" t="s">
        <v>46</v>
      </c>
      <c r="Q498" s="92" t="s">
        <v>3812</v>
      </c>
      <c r="R498" s="204">
        <v>207</v>
      </c>
      <c r="S498" s="92" t="s">
        <v>3905</v>
      </c>
      <c r="T498" s="200">
        <v>60</v>
      </c>
      <c r="U498" s="201">
        <v>1</v>
      </c>
      <c r="V498" s="58">
        <f t="shared" si="38"/>
        <v>12420</v>
      </c>
      <c r="W498" s="52" t="s">
        <v>49</v>
      </c>
      <c r="X498" s="92" t="s">
        <v>4616</v>
      </c>
      <c r="Y498" s="92" t="s">
        <v>4617</v>
      </c>
      <c r="Z498" s="92" t="s">
        <v>4618</v>
      </c>
      <c r="AA498" s="52">
        <v>0</v>
      </c>
      <c r="AB498" s="52">
        <v>0</v>
      </c>
      <c r="AC498" s="52">
        <v>0</v>
      </c>
      <c r="AD498" s="21">
        <v>1</v>
      </c>
      <c r="AE498" s="54">
        <v>1</v>
      </c>
      <c r="AF498" s="315">
        <f t="shared" si="41"/>
        <v>12420</v>
      </c>
    </row>
    <row r="499" spans="1:32" ht="300" x14ac:dyDescent="0.25">
      <c r="A499" s="107" t="s">
        <v>588</v>
      </c>
      <c r="B499" s="107" t="s">
        <v>2269</v>
      </c>
      <c r="C499" s="52"/>
      <c r="D499" s="107" t="s">
        <v>2300</v>
      </c>
      <c r="E499" s="22" t="str">
        <f t="shared" si="39"/>
        <v>SEJUSPPROG</v>
      </c>
      <c r="F499" s="52" t="s">
        <v>729</v>
      </c>
      <c r="G499" s="22" t="str">
        <f t="shared" si="40"/>
        <v>P130SEJUSP</v>
      </c>
      <c r="H499" s="92" t="s">
        <v>1259</v>
      </c>
      <c r="I499" s="22" t="s">
        <v>16</v>
      </c>
      <c r="J499" s="92" t="s">
        <v>1713</v>
      </c>
      <c r="K499" s="22" t="str">
        <f>VLOOKUP(CONCATENATE(A499,LEFT(J499,4)),AGRUPAMENTO!$D$2:$E$6783,2,FALSE)</f>
        <v>Serviços de saúde e medicamentos</v>
      </c>
      <c r="L499" s="92" t="s">
        <v>94</v>
      </c>
      <c r="M499" s="52" t="str">
        <f t="shared" si="37"/>
        <v>FONTESEJUSP</v>
      </c>
      <c r="N499" s="92">
        <v>10</v>
      </c>
      <c r="O499" s="155" t="s">
        <v>2767</v>
      </c>
      <c r="P499" s="92" t="s">
        <v>46</v>
      </c>
      <c r="Q499" s="92" t="s">
        <v>3812</v>
      </c>
      <c r="R499" s="204">
        <v>153</v>
      </c>
      <c r="S499" s="92" t="s">
        <v>3905</v>
      </c>
      <c r="T499" s="200">
        <v>17</v>
      </c>
      <c r="U499" s="201">
        <v>1</v>
      </c>
      <c r="V499" s="58">
        <f t="shared" si="38"/>
        <v>2601</v>
      </c>
      <c r="W499" s="52" t="s">
        <v>49</v>
      </c>
      <c r="X499" s="92" t="s">
        <v>4616</v>
      </c>
      <c r="Y499" s="92" t="s">
        <v>4617</v>
      </c>
      <c r="Z499" s="92" t="s">
        <v>4618</v>
      </c>
      <c r="AA499" s="52">
        <v>0</v>
      </c>
      <c r="AB499" s="52">
        <v>0</v>
      </c>
      <c r="AC499" s="52">
        <v>0</v>
      </c>
      <c r="AD499" s="21">
        <v>1</v>
      </c>
      <c r="AE499" s="54">
        <v>1</v>
      </c>
      <c r="AF499" s="315">
        <f t="shared" si="41"/>
        <v>2601</v>
      </c>
    </row>
    <row r="500" spans="1:32" ht="300" x14ac:dyDescent="0.25">
      <c r="A500" s="107" t="s">
        <v>588</v>
      </c>
      <c r="B500" s="107" t="s">
        <v>2269</v>
      </c>
      <c r="C500" s="52"/>
      <c r="D500" s="107" t="s">
        <v>2300</v>
      </c>
      <c r="E500" s="22" t="str">
        <f t="shared" si="39"/>
        <v>SEJUSPPROG</v>
      </c>
      <c r="F500" s="52" t="s">
        <v>729</v>
      </c>
      <c r="G500" s="22" t="str">
        <f t="shared" si="40"/>
        <v>P130SEJUSP</v>
      </c>
      <c r="H500" s="92" t="s">
        <v>1259</v>
      </c>
      <c r="I500" s="22" t="s">
        <v>16</v>
      </c>
      <c r="J500" s="92" t="s">
        <v>1713</v>
      </c>
      <c r="K500" s="22" t="str">
        <f>VLOOKUP(CONCATENATE(A500,LEFT(J500,4)),AGRUPAMENTO!$D$2:$E$6783,2,FALSE)</f>
        <v>Serviços de saúde e medicamentos</v>
      </c>
      <c r="L500" s="92" t="s">
        <v>94</v>
      </c>
      <c r="M500" s="52"/>
      <c r="N500" s="92">
        <v>10</v>
      </c>
      <c r="O500" s="153" t="s">
        <v>2768</v>
      </c>
      <c r="P500" s="92" t="s">
        <v>46</v>
      </c>
      <c r="Q500" s="92" t="s">
        <v>3812</v>
      </c>
      <c r="R500" s="204">
        <v>173</v>
      </c>
      <c r="S500" s="92" t="s">
        <v>3905</v>
      </c>
      <c r="T500" s="200">
        <v>23</v>
      </c>
      <c r="U500" s="201">
        <v>1</v>
      </c>
      <c r="V500" s="58">
        <f t="shared" si="38"/>
        <v>3979</v>
      </c>
      <c r="W500" s="52" t="s">
        <v>49</v>
      </c>
      <c r="X500" s="92" t="s">
        <v>4616</v>
      </c>
      <c r="Y500" s="92" t="s">
        <v>4617</v>
      </c>
      <c r="Z500" s="92" t="s">
        <v>4618</v>
      </c>
      <c r="AA500" s="52">
        <v>0</v>
      </c>
      <c r="AB500" s="52">
        <v>0</v>
      </c>
      <c r="AC500" s="52">
        <v>0</v>
      </c>
      <c r="AD500" s="21">
        <v>1</v>
      </c>
      <c r="AE500" s="54">
        <v>1</v>
      </c>
      <c r="AF500" s="315">
        <f t="shared" si="41"/>
        <v>3979</v>
      </c>
    </row>
    <row r="501" spans="1:32" ht="300" x14ac:dyDescent="0.25">
      <c r="A501" s="107" t="s">
        <v>588</v>
      </c>
      <c r="B501" s="107" t="s">
        <v>2269</v>
      </c>
      <c r="C501" s="52"/>
      <c r="D501" s="107" t="s">
        <v>2300</v>
      </c>
      <c r="E501" s="22" t="str">
        <f t="shared" si="39"/>
        <v>SEJUSPPROG</v>
      </c>
      <c r="F501" s="52" t="s">
        <v>729</v>
      </c>
      <c r="G501" s="22" t="str">
        <f t="shared" si="40"/>
        <v>P130SEJUSP</v>
      </c>
      <c r="H501" s="92" t="s">
        <v>1259</v>
      </c>
      <c r="I501" s="22" t="s">
        <v>16</v>
      </c>
      <c r="J501" s="92" t="s">
        <v>1713</v>
      </c>
      <c r="K501" s="22" t="str">
        <f>VLOOKUP(CONCATENATE(A501,LEFT(J501,4)),AGRUPAMENTO!$D$2:$E$6783,2,FALSE)</f>
        <v>Serviços de saúde e medicamentos</v>
      </c>
      <c r="L501" s="92" t="s">
        <v>94</v>
      </c>
      <c r="M501" s="52"/>
      <c r="N501" s="92">
        <v>10</v>
      </c>
      <c r="O501" s="156" t="s">
        <v>2769</v>
      </c>
      <c r="P501" s="92" t="s">
        <v>46</v>
      </c>
      <c r="Q501" s="92" t="s">
        <v>3812</v>
      </c>
      <c r="R501" s="204">
        <v>65</v>
      </c>
      <c r="S501" s="92" t="s">
        <v>3905</v>
      </c>
      <c r="T501" s="200">
        <v>219.58</v>
      </c>
      <c r="U501" s="201">
        <v>1</v>
      </c>
      <c r="V501" s="58">
        <f t="shared" si="38"/>
        <v>14272.7</v>
      </c>
      <c r="W501" s="52" t="s">
        <v>49</v>
      </c>
      <c r="X501" s="92" t="s">
        <v>4616</v>
      </c>
      <c r="Y501" s="92" t="s">
        <v>4617</v>
      </c>
      <c r="Z501" s="92" t="s">
        <v>4618</v>
      </c>
      <c r="AA501" s="52">
        <v>0</v>
      </c>
      <c r="AB501" s="52">
        <v>0</v>
      </c>
      <c r="AC501" s="52">
        <v>0</v>
      </c>
      <c r="AD501" s="21">
        <v>1</v>
      </c>
      <c r="AE501" s="54">
        <v>1</v>
      </c>
      <c r="AF501" s="315">
        <f t="shared" si="41"/>
        <v>14272.7</v>
      </c>
    </row>
    <row r="502" spans="1:32" ht="300" x14ac:dyDescent="0.25">
      <c r="A502" s="107" t="s">
        <v>588</v>
      </c>
      <c r="B502" s="107" t="s">
        <v>2269</v>
      </c>
      <c r="C502" s="52"/>
      <c r="D502" s="107" t="s">
        <v>2300</v>
      </c>
      <c r="E502" s="22" t="str">
        <f t="shared" si="39"/>
        <v>SEJUSPPROG</v>
      </c>
      <c r="F502" s="52" t="s">
        <v>729</v>
      </c>
      <c r="G502" s="22" t="str">
        <f t="shared" si="40"/>
        <v>P130SEJUSP</v>
      </c>
      <c r="H502" s="92" t="s">
        <v>1259</v>
      </c>
      <c r="I502" s="22" t="s">
        <v>16</v>
      </c>
      <c r="J502" s="92" t="s">
        <v>1713</v>
      </c>
      <c r="K502" s="22" t="str">
        <f>VLOOKUP(CONCATENATE(A502,LEFT(J502,4)),AGRUPAMENTO!$D$2:$E$6783,2,FALSE)</f>
        <v>Serviços de saúde e medicamentos</v>
      </c>
      <c r="L502" s="92" t="s">
        <v>94</v>
      </c>
      <c r="M502" s="52"/>
      <c r="N502" s="92">
        <v>10</v>
      </c>
      <c r="O502" s="153" t="s">
        <v>2770</v>
      </c>
      <c r="P502" s="92" t="s">
        <v>46</v>
      </c>
      <c r="Q502" s="92" t="s">
        <v>3812</v>
      </c>
      <c r="R502" s="204">
        <v>71</v>
      </c>
      <c r="S502" s="92" t="s">
        <v>3905</v>
      </c>
      <c r="T502" s="200">
        <v>52</v>
      </c>
      <c r="U502" s="201">
        <v>1</v>
      </c>
      <c r="V502" s="58">
        <f t="shared" si="38"/>
        <v>3692</v>
      </c>
      <c r="W502" s="52" t="s">
        <v>49</v>
      </c>
      <c r="X502" s="92" t="s">
        <v>4616</v>
      </c>
      <c r="Y502" s="92" t="s">
        <v>4617</v>
      </c>
      <c r="Z502" s="92" t="s">
        <v>4618</v>
      </c>
      <c r="AA502" s="52">
        <v>0</v>
      </c>
      <c r="AB502" s="52">
        <v>0</v>
      </c>
      <c r="AC502" s="52">
        <v>0</v>
      </c>
      <c r="AD502" s="21">
        <v>1</v>
      </c>
      <c r="AE502" s="54">
        <v>1</v>
      </c>
      <c r="AF502" s="315">
        <f t="shared" si="41"/>
        <v>3692</v>
      </c>
    </row>
    <row r="503" spans="1:32" ht="300" x14ac:dyDescent="0.25">
      <c r="A503" s="107" t="s">
        <v>588</v>
      </c>
      <c r="B503" s="107" t="s">
        <v>2269</v>
      </c>
      <c r="C503" s="52"/>
      <c r="D503" s="107" t="s">
        <v>2300</v>
      </c>
      <c r="E503" s="22" t="str">
        <f t="shared" si="39"/>
        <v>SEJUSPPROG</v>
      </c>
      <c r="F503" s="52" t="s">
        <v>729</v>
      </c>
      <c r="G503" s="22" t="str">
        <f t="shared" si="40"/>
        <v>P130SEJUSP</v>
      </c>
      <c r="H503" s="92" t="s">
        <v>1259</v>
      </c>
      <c r="I503" s="22" t="s">
        <v>16</v>
      </c>
      <c r="J503" s="92" t="s">
        <v>1713</v>
      </c>
      <c r="K503" s="22" t="str">
        <f>VLOOKUP(CONCATENATE(A503,LEFT(J503,4)),AGRUPAMENTO!$D$2:$E$6783,2,FALSE)</f>
        <v>Serviços de saúde e medicamentos</v>
      </c>
      <c r="L503" s="92" t="s">
        <v>94</v>
      </c>
      <c r="M503" s="52"/>
      <c r="N503" s="92">
        <v>10</v>
      </c>
      <c r="O503" s="156" t="s">
        <v>2771</v>
      </c>
      <c r="P503" s="92" t="s">
        <v>46</v>
      </c>
      <c r="Q503" s="92" t="s">
        <v>3812</v>
      </c>
      <c r="R503" s="204">
        <v>30</v>
      </c>
      <c r="S503" s="92" t="s">
        <v>3905</v>
      </c>
      <c r="T503" s="200">
        <v>45</v>
      </c>
      <c r="U503" s="201">
        <v>1</v>
      </c>
      <c r="V503" s="58">
        <f t="shared" si="38"/>
        <v>1350</v>
      </c>
      <c r="W503" s="52" t="s">
        <v>49</v>
      </c>
      <c r="X503" s="92" t="s">
        <v>4616</v>
      </c>
      <c r="Y503" s="92" t="s">
        <v>4617</v>
      </c>
      <c r="Z503" s="92" t="s">
        <v>4618</v>
      </c>
      <c r="AA503" s="52">
        <v>0</v>
      </c>
      <c r="AB503" s="52">
        <v>0</v>
      </c>
      <c r="AC503" s="52">
        <v>0</v>
      </c>
      <c r="AD503" s="21">
        <v>1</v>
      </c>
      <c r="AE503" s="54">
        <v>1</v>
      </c>
      <c r="AF503" s="315">
        <f t="shared" si="41"/>
        <v>1350</v>
      </c>
    </row>
    <row r="504" spans="1:32" ht="300" x14ac:dyDescent="0.25">
      <c r="A504" s="107" t="s">
        <v>588</v>
      </c>
      <c r="B504" s="107" t="s">
        <v>2269</v>
      </c>
      <c r="C504" s="52"/>
      <c r="D504" s="107" t="s">
        <v>2300</v>
      </c>
      <c r="E504" s="22" t="str">
        <f t="shared" si="39"/>
        <v>SEJUSPPROG</v>
      </c>
      <c r="F504" s="52" t="s">
        <v>729</v>
      </c>
      <c r="G504" s="22" t="str">
        <f t="shared" si="40"/>
        <v>P130SEJUSP</v>
      </c>
      <c r="H504" s="92" t="s">
        <v>1259</v>
      </c>
      <c r="I504" s="22" t="s">
        <v>16</v>
      </c>
      <c r="J504" s="92" t="s">
        <v>1713</v>
      </c>
      <c r="K504" s="22" t="str">
        <f>VLOOKUP(CONCATENATE(A504,LEFT(J504,4)),AGRUPAMENTO!$D$2:$E$6783,2,FALSE)</f>
        <v>Serviços de saúde e medicamentos</v>
      </c>
      <c r="L504" s="92" t="s">
        <v>94</v>
      </c>
      <c r="M504" s="52"/>
      <c r="N504" s="92">
        <v>10</v>
      </c>
      <c r="O504" s="153" t="s">
        <v>2772</v>
      </c>
      <c r="P504" s="92" t="s">
        <v>46</v>
      </c>
      <c r="Q504" s="92" t="s">
        <v>3812</v>
      </c>
      <c r="R504" s="204">
        <v>71</v>
      </c>
      <c r="S504" s="92" t="s">
        <v>3905</v>
      </c>
      <c r="T504" s="200">
        <v>50</v>
      </c>
      <c r="U504" s="201">
        <v>1</v>
      </c>
      <c r="V504" s="58">
        <f t="shared" si="38"/>
        <v>3550</v>
      </c>
      <c r="W504" s="52" t="s">
        <v>49</v>
      </c>
      <c r="X504" s="92" t="s">
        <v>4616</v>
      </c>
      <c r="Y504" s="92" t="s">
        <v>4617</v>
      </c>
      <c r="Z504" s="92" t="s">
        <v>4618</v>
      </c>
      <c r="AA504" s="52">
        <v>0</v>
      </c>
      <c r="AB504" s="52">
        <v>0</v>
      </c>
      <c r="AC504" s="52">
        <v>0</v>
      </c>
      <c r="AD504" s="21">
        <v>1</v>
      </c>
      <c r="AE504" s="54">
        <v>1</v>
      </c>
      <c r="AF504" s="315">
        <f t="shared" si="41"/>
        <v>3550</v>
      </c>
    </row>
    <row r="505" spans="1:32" ht="300" x14ac:dyDescent="0.25">
      <c r="A505" s="107" t="s">
        <v>588</v>
      </c>
      <c r="B505" s="107" t="s">
        <v>2269</v>
      </c>
      <c r="C505" s="52"/>
      <c r="D505" s="107" t="s">
        <v>2300</v>
      </c>
      <c r="E505" s="22" t="str">
        <f t="shared" si="39"/>
        <v>SEJUSPPROG</v>
      </c>
      <c r="F505" s="52" t="s">
        <v>729</v>
      </c>
      <c r="G505" s="22" t="str">
        <f t="shared" si="40"/>
        <v>P130SEJUSP</v>
      </c>
      <c r="H505" s="92" t="s">
        <v>1259</v>
      </c>
      <c r="I505" s="22" t="s">
        <v>16</v>
      </c>
      <c r="J505" s="92" t="s">
        <v>1713</v>
      </c>
      <c r="K505" s="22" t="str">
        <f>VLOOKUP(CONCATENATE(A505,LEFT(J505,4)),AGRUPAMENTO!$D$2:$E$6783,2,FALSE)</f>
        <v>Serviços de saúde e medicamentos</v>
      </c>
      <c r="L505" s="92" t="s">
        <v>94</v>
      </c>
      <c r="M505" s="52"/>
      <c r="N505" s="92">
        <v>10</v>
      </c>
      <c r="O505" s="156" t="s">
        <v>2773</v>
      </c>
      <c r="P505" s="92" t="s">
        <v>46</v>
      </c>
      <c r="Q505" s="92" t="s">
        <v>3812</v>
      </c>
      <c r="R505" s="204">
        <v>105</v>
      </c>
      <c r="S505" s="92" t="s">
        <v>3905</v>
      </c>
      <c r="T505" s="200">
        <v>29</v>
      </c>
      <c r="U505" s="201">
        <v>1</v>
      </c>
      <c r="V505" s="58">
        <f t="shared" si="38"/>
        <v>3045</v>
      </c>
      <c r="W505" s="52" t="s">
        <v>49</v>
      </c>
      <c r="X505" s="92" t="s">
        <v>4616</v>
      </c>
      <c r="Y505" s="92" t="s">
        <v>4617</v>
      </c>
      <c r="Z505" s="92" t="s">
        <v>4618</v>
      </c>
      <c r="AA505" s="52">
        <v>0</v>
      </c>
      <c r="AB505" s="52">
        <v>0</v>
      </c>
      <c r="AC505" s="52">
        <v>0</v>
      </c>
      <c r="AD505" s="21">
        <v>1</v>
      </c>
      <c r="AE505" s="54">
        <v>1</v>
      </c>
      <c r="AF505" s="315">
        <f t="shared" si="41"/>
        <v>3045</v>
      </c>
    </row>
    <row r="506" spans="1:32" ht="300" x14ac:dyDescent="0.25">
      <c r="A506" s="107" t="s">
        <v>588</v>
      </c>
      <c r="B506" s="107" t="s">
        <v>2269</v>
      </c>
      <c r="C506" s="52"/>
      <c r="D506" s="107" t="s">
        <v>2300</v>
      </c>
      <c r="E506" s="22" t="str">
        <f t="shared" si="39"/>
        <v>SEJUSPPROG</v>
      </c>
      <c r="F506" s="52" t="s">
        <v>729</v>
      </c>
      <c r="G506" s="22" t="str">
        <f t="shared" si="40"/>
        <v>P130SEJUSP</v>
      </c>
      <c r="H506" s="92" t="s">
        <v>1259</v>
      </c>
      <c r="I506" s="22" t="s">
        <v>16</v>
      </c>
      <c r="J506" s="92" t="s">
        <v>1713</v>
      </c>
      <c r="K506" s="22" t="str">
        <f>VLOOKUP(CONCATENATE(A506,LEFT(J506,4)),AGRUPAMENTO!$D$2:$E$6783,2,FALSE)</f>
        <v>Serviços de saúde e medicamentos</v>
      </c>
      <c r="L506" s="92" t="s">
        <v>94</v>
      </c>
      <c r="M506" s="52"/>
      <c r="N506" s="92">
        <v>10</v>
      </c>
      <c r="O506" s="155" t="s">
        <v>2774</v>
      </c>
      <c r="P506" s="92" t="s">
        <v>46</v>
      </c>
      <c r="Q506" s="92" t="s">
        <v>3812</v>
      </c>
      <c r="R506" s="204">
        <v>44</v>
      </c>
      <c r="S506" s="92" t="s">
        <v>3905</v>
      </c>
      <c r="T506" s="200">
        <v>58</v>
      </c>
      <c r="U506" s="201">
        <v>1</v>
      </c>
      <c r="V506" s="58">
        <f t="shared" si="38"/>
        <v>2552</v>
      </c>
      <c r="W506" s="52" t="s">
        <v>49</v>
      </c>
      <c r="X506" s="92" t="s">
        <v>4616</v>
      </c>
      <c r="Y506" s="92" t="s">
        <v>4617</v>
      </c>
      <c r="Z506" s="92" t="s">
        <v>4618</v>
      </c>
      <c r="AA506" s="52">
        <v>0</v>
      </c>
      <c r="AB506" s="52">
        <v>0</v>
      </c>
      <c r="AC506" s="52">
        <v>0</v>
      </c>
      <c r="AD506" s="21">
        <v>1</v>
      </c>
      <c r="AE506" s="54">
        <v>1</v>
      </c>
      <c r="AF506" s="315">
        <f t="shared" si="41"/>
        <v>2552</v>
      </c>
    </row>
    <row r="507" spans="1:32" ht="300" x14ac:dyDescent="0.25">
      <c r="A507" s="107" t="s">
        <v>588</v>
      </c>
      <c r="B507" s="107" t="s">
        <v>2269</v>
      </c>
      <c r="C507" s="52"/>
      <c r="D507" s="107" t="s">
        <v>2300</v>
      </c>
      <c r="E507" s="22" t="str">
        <f t="shared" si="39"/>
        <v>SEJUSPPROG</v>
      </c>
      <c r="F507" s="52" t="s">
        <v>729</v>
      </c>
      <c r="G507" s="22" t="str">
        <f t="shared" si="40"/>
        <v>P130SEJUSP</v>
      </c>
      <c r="H507" s="92" t="s">
        <v>1259</v>
      </c>
      <c r="I507" s="22" t="s">
        <v>16</v>
      </c>
      <c r="J507" s="92" t="s">
        <v>1713</v>
      </c>
      <c r="K507" s="22" t="str">
        <f>VLOOKUP(CONCATENATE(A507,LEFT(J507,4)),AGRUPAMENTO!$D$2:$E$6783,2,FALSE)</f>
        <v>Serviços de saúde e medicamentos</v>
      </c>
      <c r="L507" s="92" t="s">
        <v>94</v>
      </c>
      <c r="M507" s="52"/>
      <c r="N507" s="92">
        <v>10</v>
      </c>
      <c r="O507" s="155" t="s">
        <v>2775</v>
      </c>
      <c r="P507" s="92" t="s">
        <v>46</v>
      </c>
      <c r="Q507" s="92" t="s">
        <v>3812</v>
      </c>
      <c r="R507" s="204">
        <v>73</v>
      </c>
      <c r="S507" s="92" t="s">
        <v>3905</v>
      </c>
      <c r="T507" s="200">
        <v>42</v>
      </c>
      <c r="U507" s="201">
        <v>1</v>
      </c>
      <c r="V507" s="58">
        <f t="shared" si="38"/>
        <v>3066</v>
      </c>
      <c r="W507" s="52" t="s">
        <v>49</v>
      </c>
      <c r="X507" s="92" t="s">
        <v>4616</v>
      </c>
      <c r="Y507" s="92" t="s">
        <v>4617</v>
      </c>
      <c r="Z507" s="92" t="s">
        <v>4618</v>
      </c>
      <c r="AA507" s="52">
        <v>0</v>
      </c>
      <c r="AB507" s="52">
        <v>0</v>
      </c>
      <c r="AC507" s="52">
        <v>0</v>
      </c>
      <c r="AD507" s="21">
        <v>1</v>
      </c>
      <c r="AE507" s="54">
        <v>1</v>
      </c>
      <c r="AF507" s="315">
        <f t="shared" si="41"/>
        <v>3066</v>
      </c>
    </row>
    <row r="508" spans="1:32" ht="300" x14ac:dyDescent="0.25">
      <c r="A508" s="107" t="s">
        <v>588</v>
      </c>
      <c r="B508" s="107" t="s">
        <v>2269</v>
      </c>
      <c r="C508" s="52"/>
      <c r="D508" s="107" t="s">
        <v>2300</v>
      </c>
      <c r="E508" s="22" t="str">
        <f t="shared" si="39"/>
        <v>SEJUSPPROG</v>
      </c>
      <c r="F508" s="52" t="s">
        <v>729</v>
      </c>
      <c r="G508" s="22" t="str">
        <f t="shared" si="40"/>
        <v>P130SEJUSP</v>
      </c>
      <c r="H508" s="92" t="s">
        <v>1259</v>
      </c>
      <c r="I508" s="22" t="s">
        <v>16</v>
      </c>
      <c r="J508" s="92" t="s">
        <v>1713</v>
      </c>
      <c r="K508" s="22" t="str">
        <f>VLOOKUP(CONCATENATE(A508,LEFT(J508,4)),AGRUPAMENTO!$D$2:$E$6783,2,FALSE)</f>
        <v>Serviços de saúde e medicamentos</v>
      </c>
      <c r="L508" s="92" t="s">
        <v>94</v>
      </c>
      <c r="M508" s="52"/>
      <c r="N508" s="92">
        <v>10</v>
      </c>
      <c r="O508" s="153" t="s">
        <v>2776</v>
      </c>
      <c r="P508" s="92" t="s">
        <v>46</v>
      </c>
      <c r="Q508" s="92" t="s">
        <v>3812</v>
      </c>
      <c r="R508" s="204">
        <v>141</v>
      </c>
      <c r="S508" s="92" t="s">
        <v>3905</v>
      </c>
      <c r="T508" s="200">
        <v>39</v>
      </c>
      <c r="U508" s="201">
        <v>1</v>
      </c>
      <c r="V508" s="58">
        <f t="shared" si="38"/>
        <v>5499</v>
      </c>
      <c r="W508" s="52" t="s">
        <v>49</v>
      </c>
      <c r="X508" s="92" t="s">
        <v>4616</v>
      </c>
      <c r="Y508" s="92" t="s">
        <v>4617</v>
      </c>
      <c r="Z508" s="92" t="s">
        <v>4618</v>
      </c>
      <c r="AA508" s="52">
        <v>0</v>
      </c>
      <c r="AB508" s="52">
        <v>0</v>
      </c>
      <c r="AC508" s="52">
        <v>0</v>
      </c>
      <c r="AD508" s="21">
        <v>1</v>
      </c>
      <c r="AE508" s="54">
        <v>1</v>
      </c>
      <c r="AF508" s="315">
        <f t="shared" si="41"/>
        <v>5499</v>
      </c>
    </row>
    <row r="509" spans="1:32" ht="300" x14ac:dyDescent="0.25">
      <c r="A509" s="107" t="s">
        <v>588</v>
      </c>
      <c r="B509" s="107" t="s">
        <v>2269</v>
      </c>
      <c r="C509" s="52"/>
      <c r="D509" s="107" t="s">
        <v>2300</v>
      </c>
      <c r="E509" s="22" t="str">
        <f t="shared" si="39"/>
        <v>SEJUSPPROG</v>
      </c>
      <c r="F509" s="52" t="s">
        <v>729</v>
      </c>
      <c r="G509" s="22" t="str">
        <f t="shared" si="40"/>
        <v>P130SEJUSP</v>
      </c>
      <c r="H509" s="92" t="s">
        <v>1259</v>
      </c>
      <c r="I509" s="22" t="s">
        <v>16</v>
      </c>
      <c r="J509" s="92" t="s">
        <v>1713</v>
      </c>
      <c r="K509" s="22" t="str">
        <f>VLOOKUP(CONCATENATE(A509,LEFT(J509,4)),AGRUPAMENTO!$D$2:$E$6783,2,FALSE)</f>
        <v>Serviços de saúde e medicamentos</v>
      </c>
      <c r="L509" s="92" t="s">
        <v>94</v>
      </c>
      <c r="M509" s="52"/>
      <c r="N509" s="92">
        <v>10</v>
      </c>
      <c r="O509" s="156" t="s">
        <v>2777</v>
      </c>
      <c r="P509" s="92" t="s">
        <v>46</v>
      </c>
      <c r="Q509" s="92" t="s">
        <v>3812</v>
      </c>
      <c r="R509" s="204">
        <v>49</v>
      </c>
      <c r="S509" s="92" t="s">
        <v>3904</v>
      </c>
      <c r="T509" s="200">
        <v>1375</v>
      </c>
      <c r="U509" s="201">
        <v>1</v>
      </c>
      <c r="V509" s="58">
        <f t="shared" si="38"/>
        <v>67375</v>
      </c>
      <c r="W509" s="52" t="s">
        <v>49</v>
      </c>
      <c r="X509" s="92" t="s">
        <v>4616</v>
      </c>
      <c r="Y509" s="92" t="s">
        <v>4617</v>
      </c>
      <c r="Z509" s="92" t="s">
        <v>4618</v>
      </c>
      <c r="AA509" s="52">
        <v>0</v>
      </c>
      <c r="AB509" s="52">
        <v>0</v>
      </c>
      <c r="AC509" s="52">
        <v>0</v>
      </c>
      <c r="AD509" s="21">
        <v>1</v>
      </c>
      <c r="AE509" s="54">
        <v>1</v>
      </c>
      <c r="AF509" s="315">
        <f t="shared" si="41"/>
        <v>67375</v>
      </c>
    </row>
    <row r="510" spans="1:32" ht="300" x14ac:dyDescent="0.25">
      <c r="A510" s="107" t="s">
        <v>588</v>
      </c>
      <c r="B510" s="107" t="s">
        <v>2269</v>
      </c>
      <c r="C510" s="52"/>
      <c r="D510" s="107" t="s">
        <v>2300</v>
      </c>
      <c r="E510" s="22" t="str">
        <f t="shared" si="39"/>
        <v>SEJUSPPROG</v>
      </c>
      <c r="F510" s="52" t="s">
        <v>729</v>
      </c>
      <c r="G510" s="22" t="str">
        <f t="shared" si="40"/>
        <v>P130SEJUSP</v>
      </c>
      <c r="H510" s="92" t="s">
        <v>1259</v>
      </c>
      <c r="I510" s="22" t="s">
        <v>16</v>
      </c>
      <c r="J510" s="92" t="s">
        <v>2232</v>
      </c>
      <c r="K510" s="22" t="str">
        <f>VLOOKUP(CONCATENATE(A510,LEFT(J510,4)),AGRUPAMENTO!$D$2:$E$6783,2,FALSE)</f>
        <v>Demais despesas de capital</v>
      </c>
      <c r="L510" s="92" t="s">
        <v>94</v>
      </c>
      <c r="M510" s="52"/>
      <c r="N510" s="92">
        <v>10</v>
      </c>
      <c r="O510" s="153" t="s">
        <v>2778</v>
      </c>
      <c r="P510" s="92" t="s">
        <v>46</v>
      </c>
      <c r="Q510" s="92" t="s">
        <v>3812</v>
      </c>
      <c r="R510" s="204">
        <v>142</v>
      </c>
      <c r="S510" s="92" t="s">
        <v>3905</v>
      </c>
      <c r="T510" s="200">
        <v>1419</v>
      </c>
      <c r="U510" s="201">
        <v>1</v>
      </c>
      <c r="V510" s="58">
        <f t="shared" si="38"/>
        <v>201498</v>
      </c>
      <c r="W510" s="52" t="s">
        <v>49</v>
      </c>
      <c r="X510" s="92" t="s">
        <v>4616</v>
      </c>
      <c r="Y510" s="92" t="s">
        <v>4617</v>
      </c>
      <c r="Z510" s="92" t="s">
        <v>4618</v>
      </c>
      <c r="AA510" s="52">
        <v>0</v>
      </c>
      <c r="AB510" s="52">
        <v>0</v>
      </c>
      <c r="AC510" s="52">
        <v>0</v>
      </c>
      <c r="AD510" s="21">
        <v>1</v>
      </c>
      <c r="AE510" s="54">
        <v>1</v>
      </c>
      <c r="AF510" s="315">
        <f t="shared" si="41"/>
        <v>201498</v>
      </c>
    </row>
    <row r="511" spans="1:32" ht="300" x14ac:dyDescent="0.25">
      <c r="A511" s="107" t="s">
        <v>588</v>
      </c>
      <c r="B511" s="107" t="s">
        <v>2269</v>
      </c>
      <c r="C511" s="52"/>
      <c r="D511" s="107" t="s">
        <v>2300</v>
      </c>
      <c r="E511" s="22" t="str">
        <f t="shared" si="39"/>
        <v>SEJUSPPROG</v>
      </c>
      <c r="F511" s="52" t="s">
        <v>729</v>
      </c>
      <c r="G511" s="22" t="str">
        <f t="shared" si="40"/>
        <v>P130SEJUSP</v>
      </c>
      <c r="H511" s="92" t="s">
        <v>1259</v>
      </c>
      <c r="I511" s="22" t="s">
        <v>16</v>
      </c>
      <c r="J511" s="92" t="s">
        <v>1713</v>
      </c>
      <c r="K511" s="22" t="str">
        <f>VLOOKUP(CONCATENATE(A511,LEFT(J511,4)),AGRUPAMENTO!$D$2:$E$6783,2,FALSE)</f>
        <v>Serviços de saúde e medicamentos</v>
      </c>
      <c r="L511" s="92" t="s">
        <v>94</v>
      </c>
      <c r="M511" s="52"/>
      <c r="N511" s="92">
        <v>10</v>
      </c>
      <c r="O511" s="156" t="s">
        <v>2779</v>
      </c>
      <c r="P511" s="92" t="s">
        <v>46</v>
      </c>
      <c r="Q511" s="92" t="s">
        <v>3812</v>
      </c>
      <c r="R511" s="204">
        <v>219</v>
      </c>
      <c r="S511" s="92" t="s">
        <v>3904</v>
      </c>
      <c r="T511" s="200">
        <v>234.75</v>
      </c>
      <c r="U511" s="201">
        <v>1</v>
      </c>
      <c r="V511" s="58">
        <f t="shared" si="38"/>
        <v>51410.25</v>
      </c>
      <c r="W511" s="52" t="s">
        <v>49</v>
      </c>
      <c r="X511" s="92" t="s">
        <v>4616</v>
      </c>
      <c r="Y511" s="92" t="s">
        <v>4617</v>
      </c>
      <c r="Z511" s="92" t="s">
        <v>4618</v>
      </c>
      <c r="AA511" s="52">
        <v>0</v>
      </c>
      <c r="AB511" s="52">
        <v>0</v>
      </c>
      <c r="AC511" s="52">
        <v>0</v>
      </c>
      <c r="AD511" s="21">
        <v>1</v>
      </c>
      <c r="AE511" s="54">
        <v>1</v>
      </c>
      <c r="AF511" s="315">
        <f t="shared" si="41"/>
        <v>51410.25</v>
      </c>
    </row>
    <row r="512" spans="1:32" ht="300" x14ac:dyDescent="0.25">
      <c r="A512" s="107" t="s">
        <v>588</v>
      </c>
      <c r="B512" s="107" t="s">
        <v>2269</v>
      </c>
      <c r="C512" s="52"/>
      <c r="D512" s="107" t="s">
        <v>2300</v>
      </c>
      <c r="E512" s="22" t="str">
        <f t="shared" si="39"/>
        <v>SEJUSPPROG</v>
      </c>
      <c r="F512" s="52" t="s">
        <v>729</v>
      </c>
      <c r="G512" s="22" t="str">
        <f t="shared" si="40"/>
        <v>P130SEJUSP</v>
      </c>
      <c r="H512" s="92" t="s">
        <v>1259</v>
      </c>
      <c r="I512" s="22" t="s">
        <v>16</v>
      </c>
      <c r="J512" s="92" t="s">
        <v>1713</v>
      </c>
      <c r="K512" s="22" t="str">
        <f>VLOOKUP(CONCATENATE(A512,LEFT(J512,4)),AGRUPAMENTO!$D$2:$E$6783,2,FALSE)</f>
        <v>Serviços de saúde e medicamentos</v>
      </c>
      <c r="L512" s="92" t="s">
        <v>94</v>
      </c>
      <c r="M512" s="52"/>
      <c r="N512" s="92">
        <v>10</v>
      </c>
      <c r="O512" s="155" t="s">
        <v>2780</v>
      </c>
      <c r="P512" s="92" t="s">
        <v>46</v>
      </c>
      <c r="Q512" s="92" t="s">
        <v>3812</v>
      </c>
      <c r="R512" s="204">
        <v>22</v>
      </c>
      <c r="S512" s="92" t="s">
        <v>3905</v>
      </c>
      <c r="T512" s="200">
        <v>470</v>
      </c>
      <c r="U512" s="201">
        <v>1</v>
      </c>
      <c r="V512" s="58">
        <f t="shared" si="38"/>
        <v>10340</v>
      </c>
      <c r="W512" s="52" t="s">
        <v>49</v>
      </c>
      <c r="X512" s="92" t="s">
        <v>4616</v>
      </c>
      <c r="Y512" s="92" t="s">
        <v>4617</v>
      </c>
      <c r="Z512" s="92" t="s">
        <v>4618</v>
      </c>
      <c r="AA512" s="52">
        <v>0</v>
      </c>
      <c r="AB512" s="52">
        <v>0</v>
      </c>
      <c r="AC512" s="52">
        <v>0</v>
      </c>
      <c r="AD512" s="21">
        <v>1</v>
      </c>
      <c r="AE512" s="54">
        <v>1</v>
      </c>
      <c r="AF512" s="315">
        <f t="shared" si="41"/>
        <v>10340</v>
      </c>
    </row>
    <row r="513" spans="1:32" ht="300" x14ac:dyDescent="0.25">
      <c r="A513" s="107" t="s">
        <v>588</v>
      </c>
      <c r="B513" s="107" t="s">
        <v>2269</v>
      </c>
      <c r="C513" s="52"/>
      <c r="D513" s="107" t="s">
        <v>2300</v>
      </c>
      <c r="E513" s="22" t="str">
        <f t="shared" si="39"/>
        <v>SEJUSPPROG</v>
      </c>
      <c r="F513" s="52" t="s">
        <v>729</v>
      </c>
      <c r="G513" s="22" t="str">
        <f t="shared" si="40"/>
        <v>P130SEJUSP</v>
      </c>
      <c r="H513" s="92" t="s">
        <v>1259</v>
      </c>
      <c r="I513" s="22" t="s">
        <v>16</v>
      </c>
      <c r="J513" s="92" t="s">
        <v>1713</v>
      </c>
      <c r="K513" s="22" t="str">
        <f>VLOOKUP(CONCATENATE(A513,LEFT(J513,4)),AGRUPAMENTO!$D$2:$E$6783,2,FALSE)</f>
        <v>Serviços de saúde e medicamentos</v>
      </c>
      <c r="L513" s="92" t="s">
        <v>94</v>
      </c>
      <c r="M513" s="52"/>
      <c r="N513" s="92">
        <v>10</v>
      </c>
      <c r="O513" s="155" t="s">
        <v>2781</v>
      </c>
      <c r="P513" s="92" t="s">
        <v>46</v>
      </c>
      <c r="Q513" s="92" t="s">
        <v>3812</v>
      </c>
      <c r="R513" s="204">
        <v>40</v>
      </c>
      <c r="S513" s="92" t="s">
        <v>3904</v>
      </c>
      <c r="T513" s="200">
        <v>1588</v>
      </c>
      <c r="U513" s="201">
        <v>1</v>
      </c>
      <c r="V513" s="58">
        <f t="shared" si="38"/>
        <v>63520</v>
      </c>
      <c r="W513" s="52" t="s">
        <v>49</v>
      </c>
      <c r="X513" s="92" t="s">
        <v>4616</v>
      </c>
      <c r="Y513" s="92" t="s">
        <v>4617</v>
      </c>
      <c r="Z513" s="92" t="s">
        <v>4618</v>
      </c>
      <c r="AA513" s="52">
        <v>0</v>
      </c>
      <c r="AB513" s="52">
        <v>0</v>
      </c>
      <c r="AC513" s="52">
        <v>0</v>
      </c>
      <c r="AD513" s="21">
        <v>1</v>
      </c>
      <c r="AE513" s="54">
        <v>1</v>
      </c>
      <c r="AF513" s="315">
        <f t="shared" si="41"/>
        <v>63520</v>
      </c>
    </row>
    <row r="514" spans="1:32" ht="300" x14ac:dyDescent="0.25">
      <c r="A514" s="107" t="s">
        <v>588</v>
      </c>
      <c r="B514" s="107" t="s">
        <v>2269</v>
      </c>
      <c r="C514" s="52"/>
      <c r="D514" s="107" t="s">
        <v>2300</v>
      </c>
      <c r="E514" s="22" t="str">
        <f t="shared" si="39"/>
        <v>SEJUSPPROG</v>
      </c>
      <c r="F514" s="52" t="s">
        <v>729</v>
      </c>
      <c r="G514" s="22" t="str">
        <f t="shared" si="40"/>
        <v>P130SEJUSP</v>
      </c>
      <c r="H514" s="92" t="s">
        <v>1259</v>
      </c>
      <c r="I514" s="22" t="s">
        <v>16</v>
      </c>
      <c r="J514" s="92" t="s">
        <v>2232</v>
      </c>
      <c r="K514" s="22" t="str">
        <f>VLOOKUP(CONCATENATE(A514,LEFT(J514,4)),AGRUPAMENTO!$D$2:$E$6783,2,FALSE)</f>
        <v>Demais despesas de capital</v>
      </c>
      <c r="L514" s="92" t="s">
        <v>94</v>
      </c>
      <c r="M514" s="52"/>
      <c r="N514" s="92">
        <v>10</v>
      </c>
      <c r="O514" s="155" t="s">
        <v>2782</v>
      </c>
      <c r="P514" s="92" t="s">
        <v>46</v>
      </c>
      <c r="Q514" s="92" t="s">
        <v>3812</v>
      </c>
      <c r="R514" s="204">
        <v>317</v>
      </c>
      <c r="S514" s="92" t="s">
        <v>3905</v>
      </c>
      <c r="T514" s="200">
        <v>386</v>
      </c>
      <c r="U514" s="201">
        <v>1</v>
      </c>
      <c r="V514" s="58">
        <f t="shared" ref="V514:V577" si="42">R514*T514*U514</f>
        <v>122362</v>
      </c>
      <c r="W514" s="52" t="s">
        <v>49</v>
      </c>
      <c r="X514" s="92" t="s">
        <v>4616</v>
      </c>
      <c r="Y514" s="92" t="s">
        <v>4617</v>
      </c>
      <c r="Z514" s="92" t="s">
        <v>4618</v>
      </c>
      <c r="AA514" s="52">
        <v>0</v>
      </c>
      <c r="AB514" s="52">
        <v>0</v>
      </c>
      <c r="AC514" s="52">
        <v>0</v>
      </c>
      <c r="AD514" s="21">
        <v>1</v>
      </c>
      <c r="AE514" s="54">
        <v>1</v>
      </c>
      <c r="AF514" s="315">
        <f t="shared" si="41"/>
        <v>122362</v>
      </c>
    </row>
    <row r="515" spans="1:32" ht="300" x14ac:dyDescent="0.25">
      <c r="A515" s="107" t="s">
        <v>588</v>
      </c>
      <c r="B515" s="107" t="s">
        <v>2269</v>
      </c>
      <c r="C515" s="52"/>
      <c r="D515" s="107" t="s">
        <v>2300</v>
      </c>
      <c r="E515" s="22" t="str">
        <f t="shared" ref="E515:E578" si="43">CONCATENATE(A515,"PROG")</f>
        <v>SEJUSPPROG</v>
      </c>
      <c r="F515" s="52" t="s">
        <v>729</v>
      </c>
      <c r="G515" s="22" t="str">
        <f t="shared" si="40"/>
        <v>P130SEJUSP</v>
      </c>
      <c r="H515" s="92" t="s">
        <v>1259</v>
      </c>
      <c r="I515" s="22" t="s">
        <v>16</v>
      </c>
      <c r="J515" s="92" t="s">
        <v>2232</v>
      </c>
      <c r="K515" s="22" t="str">
        <f>VLOOKUP(CONCATENATE(A515,LEFT(J515,4)),AGRUPAMENTO!$D$2:$E$6783,2,FALSE)</f>
        <v>Demais despesas de capital</v>
      </c>
      <c r="L515" s="92" t="s">
        <v>94</v>
      </c>
      <c r="M515" s="52"/>
      <c r="N515" s="92">
        <v>10</v>
      </c>
      <c r="O515" s="153" t="s">
        <v>2783</v>
      </c>
      <c r="P515" s="92" t="s">
        <v>46</v>
      </c>
      <c r="Q515" s="92" t="s">
        <v>3812</v>
      </c>
      <c r="R515" s="204">
        <v>214</v>
      </c>
      <c r="S515" s="92" t="s">
        <v>3905</v>
      </c>
      <c r="T515" s="200">
        <v>498</v>
      </c>
      <c r="U515" s="201">
        <v>1</v>
      </c>
      <c r="V515" s="58">
        <f t="shared" si="42"/>
        <v>106572</v>
      </c>
      <c r="W515" s="52" t="s">
        <v>49</v>
      </c>
      <c r="X515" s="92" t="s">
        <v>4616</v>
      </c>
      <c r="Y515" s="92" t="s">
        <v>4617</v>
      </c>
      <c r="Z515" s="92" t="s">
        <v>4618</v>
      </c>
      <c r="AA515" s="52">
        <v>0</v>
      </c>
      <c r="AB515" s="52">
        <v>0</v>
      </c>
      <c r="AC515" s="52">
        <v>0</v>
      </c>
      <c r="AD515" s="21">
        <v>1</v>
      </c>
      <c r="AE515" s="54">
        <v>1</v>
      </c>
      <c r="AF515" s="315">
        <f t="shared" si="41"/>
        <v>106572</v>
      </c>
    </row>
    <row r="516" spans="1:32" ht="300" x14ac:dyDescent="0.25">
      <c r="A516" s="107" t="s">
        <v>588</v>
      </c>
      <c r="B516" s="107" t="s">
        <v>2269</v>
      </c>
      <c r="C516" s="52"/>
      <c r="D516" s="107" t="s">
        <v>2300</v>
      </c>
      <c r="E516" s="22" t="str">
        <f t="shared" si="43"/>
        <v>SEJUSPPROG</v>
      </c>
      <c r="F516" s="52" t="s">
        <v>729</v>
      </c>
      <c r="G516" s="22" t="str">
        <f t="shared" ref="G516:G579" si="44">CONCATENATE("P",(LEFT(F516,3)),A516)</f>
        <v>P130SEJUSP</v>
      </c>
      <c r="H516" s="92" t="s">
        <v>1259</v>
      </c>
      <c r="I516" s="22" t="s">
        <v>16</v>
      </c>
      <c r="J516" s="92" t="s">
        <v>1713</v>
      </c>
      <c r="K516" s="22" t="str">
        <f>VLOOKUP(CONCATENATE(A516,LEFT(J516,4)),AGRUPAMENTO!$D$2:$E$6783,2,FALSE)</f>
        <v>Serviços de saúde e medicamentos</v>
      </c>
      <c r="L516" s="92" t="s">
        <v>94</v>
      </c>
      <c r="M516" s="52"/>
      <c r="N516" s="92">
        <v>10</v>
      </c>
      <c r="O516" s="156" t="s">
        <v>2784</v>
      </c>
      <c r="P516" s="92" t="s">
        <v>46</v>
      </c>
      <c r="Q516" s="92" t="s">
        <v>3812</v>
      </c>
      <c r="R516" s="204">
        <v>16</v>
      </c>
      <c r="S516" s="92" t="s">
        <v>3904</v>
      </c>
      <c r="T516" s="200">
        <v>1590</v>
      </c>
      <c r="U516" s="201">
        <v>1</v>
      </c>
      <c r="V516" s="58">
        <f t="shared" si="42"/>
        <v>25440</v>
      </c>
      <c r="W516" s="52" t="s">
        <v>49</v>
      </c>
      <c r="X516" s="92" t="s">
        <v>4616</v>
      </c>
      <c r="Y516" s="92" t="s">
        <v>4617</v>
      </c>
      <c r="Z516" s="92" t="s">
        <v>4618</v>
      </c>
      <c r="AA516" s="52">
        <v>0</v>
      </c>
      <c r="AB516" s="52">
        <v>0</v>
      </c>
      <c r="AC516" s="52">
        <v>0</v>
      </c>
      <c r="AD516" s="21">
        <v>1</v>
      </c>
      <c r="AE516" s="54">
        <v>1</v>
      </c>
      <c r="AF516" s="315">
        <f t="shared" ref="AF516:AF579" si="45">AE516*V516</f>
        <v>25440</v>
      </c>
    </row>
    <row r="517" spans="1:32" ht="300" x14ac:dyDescent="0.25">
      <c r="A517" s="107" t="s">
        <v>588</v>
      </c>
      <c r="B517" s="107" t="s">
        <v>2269</v>
      </c>
      <c r="C517" s="52"/>
      <c r="D517" s="107" t="s">
        <v>2300</v>
      </c>
      <c r="E517" s="22" t="str">
        <f t="shared" si="43"/>
        <v>SEJUSPPROG</v>
      </c>
      <c r="F517" s="52" t="s">
        <v>729</v>
      </c>
      <c r="G517" s="22" t="str">
        <f t="shared" si="44"/>
        <v>P130SEJUSP</v>
      </c>
      <c r="H517" s="92" t="s">
        <v>1259</v>
      </c>
      <c r="I517" s="22" t="s">
        <v>16</v>
      </c>
      <c r="J517" s="92" t="s">
        <v>1713</v>
      </c>
      <c r="K517" s="22" t="str">
        <f>VLOOKUP(CONCATENATE(A517,LEFT(J517,4)),AGRUPAMENTO!$D$2:$E$6783,2,FALSE)</f>
        <v>Serviços de saúde e medicamentos</v>
      </c>
      <c r="L517" s="92" t="s">
        <v>94</v>
      </c>
      <c r="M517" s="52"/>
      <c r="N517" s="92">
        <v>10</v>
      </c>
      <c r="O517" s="153" t="s">
        <v>2785</v>
      </c>
      <c r="P517" s="92" t="s">
        <v>46</v>
      </c>
      <c r="Q517" s="92" t="s">
        <v>3812</v>
      </c>
      <c r="R517" s="204">
        <v>11</v>
      </c>
      <c r="S517" s="92" t="s">
        <v>3904</v>
      </c>
      <c r="T517" s="200">
        <v>5210.83</v>
      </c>
      <c r="U517" s="201">
        <v>1</v>
      </c>
      <c r="V517" s="58">
        <f t="shared" si="42"/>
        <v>57319.13</v>
      </c>
      <c r="W517" s="52" t="s">
        <v>49</v>
      </c>
      <c r="X517" s="92" t="s">
        <v>4616</v>
      </c>
      <c r="Y517" s="92" t="s">
        <v>4617</v>
      </c>
      <c r="Z517" s="92" t="s">
        <v>4618</v>
      </c>
      <c r="AA517" s="52">
        <v>0</v>
      </c>
      <c r="AB517" s="52">
        <v>0</v>
      </c>
      <c r="AC517" s="52">
        <v>0</v>
      </c>
      <c r="AD517" s="21">
        <v>1</v>
      </c>
      <c r="AE517" s="54">
        <v>1</v>
      </c>
      <c r="AF517" s="315">
        <f t="shared" si="45"/>
        <v>57319.13</v>
      </c>
    </row>
    <row r="518" spans="1:32" ht="300" x14ac:dyDescent="0.25">
      <c r="A518" s="107" t="s">
        <v>588</v>
      </c>
      <c r="B518" s="107" t="s">
        <v>2269</v>
      </c>
      <c r="C518" s="52"/>
      <c r="D518" s="107" t="s">
        <v>2300</v>
      </c>
      <c r="E518" s="22" t="str">
        <f t="shared" si="43"/>
        <v>SEJUSPPROG</v>
      </c>
      <c r="F518" s="52" t="s">
        <v>729</v>
      </c>
      <c r="G518" s="22" t="str">
        <f t="shared" si="44"/>
        <v>P130SEJUSP</v>
      </c>
      <c r="H518" s="92" t="s">
        <v>1259</v>
      </c>
      <c r="I518" s="22" t="s">
        <v>16</v>
      </c>
      <c r="J518" s="92" t="s">
        <v>1713</v>
      </c>
      <c r="K518" s="22" t="str">
        <f>VLOOKUP(CONCATENATE(A518,LEFT(J518,4)),AGRUPAMENTO!$D$2:$E$6783,2,FALSE)</f>
        <v>Serviços de saúde e medicamentos</v>
      </c>
      <c r="L518" s="92" t="s">
        <v>94</v>
      </c>
      <c r="M518" s="52"/>
      <c r="N518" s="92">
        <v>10</v>
      </c>
      <c r="O518" s="153" t="s">
        <v>2786</v>
      </c>
      <c r="P518" s="92" t="s">
        <v>46</v>
      </c>
      <c r="Q518" s="92" t="s">
        <v>3812</v>
      </c>
      <c r="R518" s="204">
        <v>16</v>
      </c>
      <c r="S518" s="92" t="s">
        <v>3905</v>
      </c>
      <c r="T518" s="200">
        <v>1100</v>
      </c>
      <c r="U518" s="201">
        <v>1</v>
      </c>
      <c r="V518" s="58">
        <f t="shared" si="42"/>
        <v>17600</v>
      </c>
      <c r="W518" s="52" t="s">
        <v>49</v>
      </c>
      <c r="X518" s="92" t="s">
        <v>4616</v>
      </c>
      <c r="Y518" s="92" t="s">
        <v>4617</v>
      </c>
      <c r="Z518" s="92" t="s">
        <v>4618</v>
      </c>
      <c r="AA518" s="52">
        <v>0</v>
      </c>
      <c r="AB518" s="52">
        <v>0</v>
      </c>
      <c r="AC518" s="52">
        <v>0</v>
      </c>
      <c r="AD518" s="21">
        <v>1</v>
      </c>
      <c r="AE518" s="54">
        <v>1</v>
      </c>
      <c r="AF518" s="315">
        <f t="shared" si="45"/>
        <v>17600</v>
      </c>
    </row>
    <row r="519" spans="1:32" ht="300" x14ac:dyDescent="0.25">
      <c r="A519" s="107" t="s">
        <v>588</v>
      </c>
      <c r="B519" s="107" t="s">
        <v>2269</v>
      </c>
      <c r="C519" s="52"/>
      <c r="D519" s="107" t="s">
        <v>2300</v>
      </c>
      <c r="E519" s="22" t="str">
        <f t="shared" si="43"/>
        <v>SEJUSPPROG</v>
      </c>
      <c r="F519" s="52" t="s">
        <v>729</v>
      </c>
      <c r="G519" s="22" t="str">
        <f t="shared" si="44"/>
        <v>P130SEJUSP</v>
      </c>
      <c r="H519" s="92" t="s">
        <v>1259</v>
      </c>
      <c r="I519" s="22" t="s">
        <v>16</v>
      </c>
      <c r="J519" s="92" t="s">
        <v>1713</v>
      </c>
      <c r="K519" s="22" t="str">
        <f>VLOOKUP(CONCATENATE(A519,LEFT(J519,4)),AGRUPAMENTO!$D$2:$E$6783,2,FALSE)</f>
        <v>Serviços de saúde e medicamentos</v>
      </c>
      <c r="L519" s="92" t="s">
        <v>94</v>
      </c>
      <c r="M519" s="52"/>
      <c r="N519" s="92">
        <v>10</v>
      </c>
      <c r="O519" s="153" t="s">
        <v>2787</v>
      </c>
      <c r="P519" s="92" t="s">
        <v>46</v>
      </c>
      <c r="Q519" s="92" t="s">
        <v>3812</v>
      </c>
      <c r="R519" s="204">
        <v>2</v>
      </c>
      <c r="S519" s="92" t="s">
        <v>3904</v>
      </c>
      <c r="T519" s="200">
        <v>2150</v>
      </c>
      <c r="U519" s="201">
        <v>1</v>
      </c>
      <c r="V519" s="58">
        <f t="shared" si="42"/>
        <v>4300</v>
      </c>
      <c r="W519" s="52" t="s">
        <v>49</v>
      </c>
      <c r="X519" s="92" t="s">
        <v>4616</v>
      </c>
      <c r="Y519" s="92" t="s">
        <v>4617</v>
      </c>
      <c r="Z519" s="92" t="s">
        <v>4618</v>
      </c>
      <c r="AA519" s="52">
        <v>0</v>
      </c>
      <c r="AB519" s="52">
        <v>0</v>
      </c>
      <c r="AC519" s="52">
        <v>0</v>
      </c>
      <c r="AD519" s="21">
        <v>1</v>
      </c>
      <c r="AE519" s="54">
        <v>1</v>
      </c>
      <c r="AF519" s="315">
        <f t="shared" si="45"/>
        <v>4300</v>
      </c>
    </row>
    <row r="520" spans="1:32" ht="300" x14ac:dyDescent="0.25">
      <c r="A520" s="107" t="s">
        <v>588</v>
      </c>
      <c r="B520" s="107" t="s">
        <v>2269</v>
      </c>
      <c r="C520" s="52"/>
      <c r="D520" s="107" t="s">
        <v>2300</v>
      </c>
      <c r="E520" s="22" t="str">
        <f t="shared" si="43"/>
        <v>SEJUSPPROG</v>
      </c>
      <c r="F520" s="52" t="s">
        <v>729</v>
      </c>
      <c r="G520" s="22" t="str">
        <f t="shared" si="44"/>
        <v>P130SEJUSP</v>
      </c>
      <c r="H520" s="92" t="s">
        <v>1259</v>
      </c>
      <c r="I520" s="22" t="s">
        <v>16</v>
      </c>
      <c r="J520" s="92" t="s">
        <v>458</v>
      </c>
      <c r="K520" s="22" t="str">
        <f>VLOOKUP(CONCATENATE(A520,LEFT(J520,4)),AGRUPAMENTO!$D$2:$E$6783,2,FALSE)</f>
        <v>Demais despesas de capital</v>
      </c>
      <c r="L520" s="92" t="s">
        <v>94</v>
      </c>
      <c r="M520" s="52"/>
      <c r="N520" s="92">
        <v>10</v>
      </c>
      <c r="O520" s="153" t="s">
        <v>2788</v>
      </c>
      <c r="P520" s="92" t="s">
        <v>46</v>
      </c>
      <c r="Q520" s="92" t="s">
        <v>3812</v>
      </c>
      <c r="R520" s="204">
        <v>24</v>
      </c>
      <c r="S520" s="92" t="s">
        <v>3905</v>
      </c>
      <c r="T520" s="200">
        <v>1200</v>
      </c>
      <c r="U520" s="201">
        <v>1</v>
      </c>
      <c r="V520" s="58">
        <f t="shared" si="42"/>
        <v>28800</v>
      </c>
      <c r="W520" s="52" t="s">
        <v>49</v>
      </c>
      <c r="X520" s="92" t="s">
        <v>4616</v>
      </c>
      <c r="Y520" s="92" t="s">
        <v>4617</v>
      </c>
      <c r="Z520" s="92" t="s">
        <v>4618</v>
      </c>
      <c r="AA520" s="52">
        <v>0</v>
      </c>
      <c r="AB520" s="52">
        <v>0</v>
      </c>
      <c r="AC520" s="52">
        <v>0</v>
      </c>
      <c r="AD520" s="21">
        <v>1</v>
      </c>
      <c r="AE520" s="54">
        <v>1</v>
      </c>
      <c r="AF520" s="315">
        <f t="shared" si="45"/>
        <v>28800</v>
      </c>
    </row>
    <row r="521" spans="1:32" ht="300" x14ac:dyDescent="0.25">
      <c r="A521" s="107" t="s">
        <v>588</v>
      </c>
      <c r="B521" s="107" t="s">
        <v>2269</v>
      </c>
      <c r="C521" s="52"/>
      <c r="D521" s="107" t="s">
        <v>2300</v>
      </c>
      <c r="E521" s="22" t="str">
        <f t="shared" si="43"/>
        <v>SEJUSPPROG</v>
      </c>
      <c r="F521" s="52" t="s">
        <v>729</v>
      </c>
      <c r="G521" s="22" t="str">
        <f t="shared" si="44"/>
        <v>P130SEJUSP</v>
      </c>
      <c r="H521" s="92" t="s">
        <v>1259</v>
      </c>
      <c r="I521" s="22" t="s">
        <v>16</v>
      </c>
      <c r="J521" s="92" t="s">
        <v>1713</v>
      </c>
      <c r="K521" s="22" t="str">
        <f>VLOOKUP(CONCATENATE(A521,LEFT(J521,4)),AGRUPAMENTO!$D$2:$E$6783,2,FALSE)</f>
        <v>Serviços de saúde e medicamentos</v>
      </c>
      <c r="L521" s="92" t="s">
        <v>94</v>
      </c>
      <c r="M521" s="52"/>
      <c r="N521" s="92">
        <v>10</v>
      </c>
      <c r="O521" s="155" t="s">
        <v>2789</v>
      </c>
      <c r="P521" s="92" t="s">
        <v>46</v>
      </c>
      <c r="Q521" s="92" t="s">
        <v>3812</v>
      </c>
      <c r="R521" s="204">
        <v>4</v>
      </c>
      <c r="S521" s="92" t="s">
        <v>3904</v>
      </c>
      <c r="T521" s="200">
        <v>11440</v>
      </c>
      <c r="U521" s="201">
        <v>1</v>
      </c>
      <c r="V521" s="58">
        <f t="shared" si="42"/>
        <v>45760</v>
      </c>
      <c r="W521" s="52" t="s">
        <v>49</v>
      </c>
      <c r="X521" s="92" t="s">
        <v>4616</v>
      </c>
      <c r="Y521" s="92" t="s">
        <v>4617</v>
      </c>
      <c r="Z521" s="92" t="s">
        <v>4618</v>
      </c>
      <c r="AA521" s="52">
        <v>0</v>
      </c>
      <c r="AB521" s="52">
        <v>0</v>
      </c>
      <c r="AC521" s="52">
        <v>0</v>
      </c>
      <c r="AD521" s="21">
        <v>1</v>
      </c>
      <c r="AE521" s="54">
        <v>1</v>
      </c>
      <c r="AF521" s="315">
        <f t="shared" si="45"/>
        <v>45760</v>
      </c>
    </row>
    <row r="522" spans="1:32" ht="300" x14ac:dyDescent="0.25">
      <c r="A522" s="107" t="s">
        <v>588</v>
      </c>
      <c r="B522" s="107" t="s">
        <v>2269</v>
      </c>
      <c r="C522" s="52"/>
      <c r="D522" s="107" t="s">
        <v>2300</v>
      </c>
      <c r="E522" s="22" t="str">
        <f t="shared" si="43"/>
        <v>SEJUSPPROG</v>
      </c>
      <c r="F522" s="52" t="s">
        <v>729</v>
      </c>
      <c r="G522" s="22" t="str">
        <f t="shared" si="44"/>
        <v>P130SEJUSP</v>
      </c>
      <c r="H522" s="92" t="s">
        <v>1259</v>
      </c>
      <c r="I522" s="22" t="s">
        <v>16</v>
      </c>
      <c r="J522" s="92" t="s">
        <v>1713</v>
      </c>
      <c r="K522" s="22" t="str">
        <f>VLOOKUP(CONCATENATE(A522,LEFT(J522,4)),AGRUPAMENTO!$D$2:$E$6783,2,FALSE)</f>
        <v>Serviços de saúde e medicamentos</v>
      </c>
      <c r="L522" s="92" t="s">
        <v>94</v>
      </c>
      <c r="M522" s="52"/>
      <c r="N522" s="92">
        <v>10</v>
      </c>
      <c r="O522" s="153" t="s">
        <v>2790</v>
      </c>
      <c r="P522" s="92" t="s">
        <v>46</v>
      </c>
      <c r="Q522" s="92" t="s">
        <v>3812</v>
      </c>
      <c r="R522" s="204">
        <v>84</v>
      </c>
      <c r="S522" s="92" t="s">
        <v>3904</v>
      </c>
      <c r="T522" s="200">
        <v>460</v>
      </c>
      <c r="U522" s="201">
        <v>1</v>
      </c>
      <c r="V522" s="58">
        <f t="shared" si="42"/>
        <v>38640</v>
      </c>
      <c r="W522" s="52" t="s">
        <v>49</v>
      </c>
      <c r="X522" s="92" t="s">
        <v>4616</v>
      </c>
      <c r="Y522" s="92" t="s">
        <v>4617</v>
      </c>
      <c r="Z522" s="92" t="s">
        <v>4618</v>
      </c>
      <c r="AA522" s="52">
        <v>0</v>
      </c>
      <c r="AB522" s="52">
        <v>0</v>
      </c>
      <c r="AC522" s="52">
        <v>0</v>
      </c>
      <c r="AD522" s="21">
        <v>1</v>
      </c>
      <c r="AE522" s="54">
        <v>1</v>
      </c>
      <c r="AF522" s="315">
        <f t="shared" si="45"/>
        <v>38640</v>
      </c>
    </row>
    <row r="523" spans="1:32" ht="300" x14ac:dyDescent="0.25">
      <c r="A523" s="107" t="s">
        <v>588</v>
      </c>
      <c r="B523" s="107" t="s">
        <v>2269</v>
      </c>
      <c r="C523" s="52"/>
      <c r="D523" s="107" t="s">
        <v>2300</v>
      </c>
      <c r="E523" s="22" t="str">
        <f t="shared" si="43"/>
        <v>SEJUSPPROG</v>
      </c>
      <c r="F523" s="52" t="s">
        <v>729</v>
      </c>
      <c r="G523" s="22" t="str">
        <f t="shared" si="44"/>
        <v>P130SEJUSP</v>
      </c>
      <c r="H523" s="92" t="s">
        <v>1259</v>
      </c>
      <c r="I523" s="22" t="s">
        <v>16</v>
      </c>
      <c r="J523" s="92" t="s">
        <v>1713</v>
      </c>
      <c r="K523" s="22" t="str">
        <f>VLOOKUP(CONCATENATE(A523,LEFT(J523,4)),AGRUPAMENTO!$D$2:$E$6783,2,FALSE)</f>
        <v>Serviços de saúde e medicamentos</v>
      </c>
      <c r="L523" s="92" t="s">
        <v>94</v>
      </c>
      <c r="M523" s="52"/>
      <c r="N523" s="92">
        <v>10</v>
      </c>
      <c r="O523" s="153" t="s">
        <v>2791</v>
      </c>
      <c r="P523" s="92" t="s">
        <v>46</v>
      </c>
      <c r="Q523" s="92" t="s">
        <v>3812</v>
      </c>
      <c r="R523" s="204">
        <v>42</v>
      </c>
      <c r="S523" s="92" t="s">
        <v>3904</v>
      </c>
      <c r="T523" s="200">
        <v>3300</v>
      </c>
      <c r="U523" s="201">
        <v>1</v>
      </c>
      <c r="V523" s="58">
        <f t="shared" si="42"/>
        <v>138600</v>
      </c>
      <c r="W523" s="52" t="s">
        <v>49</v>
      </c>
      <c r="X523" s="92" t="s">
        <v>4616</v>
      </c>
      <c r="Y523" s="92" t="s">
        <v>4617</v>
      </c>
      <c r="Z523" s="92" t="s">
        <v>4618</v>
      </c>
      <c r="AA523" s="52">
        <v>0</v>
      </c>
      <c r="AB523" s="52">
        <v>0</v>
      </c>
      <c r="AC523" s="52">
        <v>0</v>
      </c>
      <c r="AD523" s="21">
        <v>1</v>
      </c>
      <c r="AE523" s="54">
        <v>1</v>
      </c>
      <c r="AF523" s="315">
        <f t="shared" si="45"/>
        <v>138600</v>
      </c>
    </row>
    <row r="524" spans="1:32" ht="300" x14ac:dyDescent="0.25">
      <c r="A524" s="107" t="s">
        <v>588</v>
      </c>
      <c r="B524" s="107" t="s">
        <v>2269</v>
      </c>
      <c r="C524" s="52"/>
      <c r="D524" s="107" t="s">
        <v>2300</v>
      </c>
      <c r="E524" s="22" t="str">
        <f t="shared" si="43"/>
        <v>SEJUSPPROG</v>
      </c>
      <c r="F524" s="52" t="s">
        <v>729</v>
      </c>
      <c r="G524" s="22" t="str">
        <f t="shared" si="44"/>
        <v>P130SEJUSP</v>
      </c>
      <c r="H524" s="92" t="s">
        <v>1259</v>
      </c>
      <c r="I524" s="22" t="s">
        <v>16</v>
      </c>
      <c r="J524" s="92" t="s">
        <v>2232</v>
      </c>
      <c r="K524" s="22" t="str">
        <f>VLOOKUP(CONCATENATE(A524,LEFT(J524,4)),AGRUPAMENTO!$D$2:$E$6783,2,FALSE)</f>
        <v>Demais despesas de capital</v>
      </c>
      <c r="L524" s="92" t="s">
        <v>94</v>
      </c>
      <c r="M524" s="52"/>
      <c r="N524" s="92">
        <v>10</v>
      </c>
      <c r="O524" s="153" t="s">
        <v>2792</v>
      </c>
      <c r="P524" s="92" t="s">
        <v>46</v>
      </c>
      <c r="Q524" s="92" t="s">
        <v>3812</v>
      </c>
      <c r="R524" s="204">
        <v>42</v>
      </c>
      <c r="S524" s="92" t="s">
        <v>3905</v>
      </c>
      <c r="T524" s="200">
        <v>579</v>
      </c>
      <c r="U524" s="201">
        <v>1</v>
      </c>
      <c r="V524" s="58">
        <f t="shared" si="42"/>
        <v>24318</v>
      </c>
      <c r="W524" s="52" t="s">
        <v>49</v>
      </c>
      <c r="X524" s="92" t="s">
        <v>4616</v>
      </c>
      <c r="Y524" s="92" t="s">
        <v>4617</v>
      </c>
      <c r="Z524" s="92" t="s">
        <v>4618</v>
      </c>
      <c r="AA524" s="52">
        <v>0</v>
      </c>
      <c r="AB524" s="52">
        <v>0</v>
      </c>
      <c r="AC524" s="52">
        <v>0</v>
      </c>
      <c r="AD524" s="21">
        <v>1</v>
      </c>
      <c r="AE524" s="54">
        <v>1</v>
      </c>
      <c r="AF524" s="315">
        <f t="shared" si="45"/>
        <v>24318</v>
      </c>
    </row>
    <row r="525" spans="1:32" ht="300" x14ac:dyDescent="0.25">
      <c r="A525" s="107" t="s">
        <v>588</v>
      </c>
      <c r="B525" s="107" t="s">
        <v>2269</v>
      </c>
      <c r="C525" s="52"/>
      <c r="D525" s="107" t="s">
        <v>2300</v>
      </c>
      <c r="E525" s="22" t="str">
        <f t="shared" si="43"/>
        <v>SEJUSPPROG</v>
      </c>
      <c r="F525" s="52" t="s">
        <v>729</v>
      </c>
      <c r="G525" s="22" t="str">
        <f t="shared" si="44"/>
        <v>P130SEJUSP</v>
      </c>
      <c r="H525" s="92" t="s">
        <v>1259</v>
      </c>
      <c r="I525" s="22" t="s">
        <v>16</v>
      </c>
      <c r="J525" s="92" t="s">
        <v>2232</v>
      </c>
      <c r="K525" s="22" t="str">
        <f>VLOOKUP(CONCATENATE(A525,LEFT(J525,4)),AGRUPAMENTO!$D$2:$E$6783,2,FALSE)</f>
        <v>Demais despesas de capital</v>
      </c>
      <c r="L525" s="92" t="s">
        <v>94</v>
      </c>
      <c r="M525" s="52"/>
      <c r="N525" s="92">
        <v>10</v>
      </c>
      <c r="O525" s="153" t="s">
        <v>2793</v>
      </c>
      <c r="P525" s="92" t="s">
        <v>46</v>
      </c>
      <c r="Q525" s="92" t="s">
        <v>3812</v>
      </c>
      <c r="R525" s="204">
        <v>44</v>
      </c>
      <c r="S525" s="92" t="s">
        <v>3905</v>
      </c>
      <c r="T525" s="200">
        <v>590</v>
      </c>
      <c r="U525" s="201">
        <v>1</v>
      </c>
      <c r="V525" s="58">
        <f t="shared" si="42"/>
        <v>25960</v>
      </c>
      <c r="W525" s="52" t="s">
        <v>49</v>
      </c>
      <c r="X525" s="92" t="s">
        <v>4616</v>
      </c>
      <c r="Y525" s="92" t="s">
        <v>4617</v>
      </c>
      <c r="Z525" s="92" t="s">
        <v>4618</v>
      </c>
      <c r="AA525" s="52">
        <v>0</v>
      </c>
      <c r="AB525" s="52">
        <v>0</v>
      </c>
      <c r="AC525" s="52">
        <v>0</v>
      </c>
      <c r="AD525" s="21">
        <v>1</v>
      </c>
      <c r="AE525" s="54">
        <v>1</v>
      </c>
      <c r="AF525" s="315">
        <f t="shared" si="45"/>
        <v>25960</v>
      </c>
    </row>
    <row r="526" spans="1:32" ht="300" x14ac:dyDescent="0.25">
      <c r="A526" s="107" t="s">
        <v>588</v>
      </c>
      <c r="B526" s="107" t="s">
        <v>2269</v>
      </c>
      <c r="C526" s="52"/>
      <c r="D526" s="107" t="s">
        <v>2300</v>
      </c>
      <c r="E526" s="22" t="str">
        <f t="shared" si="43"/>
        <v>SEJUSPPROG</v>
      </c>
      <c r="F526" s="52" t="s">
        <v>729</v>
      </c>
      <c r="G526" s="22" t="str">
        <f t="shared" si="44"/>
        <v>P130SEJUSP</v>
      </c>
      <c r="H526" s="92" t="s">
        <v>1259</v>
      </c>
      <c r="I526" s="22" t="s">
        <v>16</v>
      </c>
      <c r="J526" s="92" t="s">
        <v>2232</v>
      </c>
      <c r="K526" s="22" t="str">
        <f>VLOOKUP(CONCATENATE(A526,LEFT(J526,4)),AGRUPAMENTO!$D$2:$E$6783,2,FALSE)</f>
        <v>Demais despesas de capital</v>
      </c>
      <c r="L526" s="92" t="s">
        <v>94</v>
      </c>
      <c r="M526" s="52"/>
      <c r="N526" s="92">
        <v>10</v>
      </c>
      <c r="O526" s="156" t="s">
        <v>2794</v>
      </c>
      <c r="P526" s="92" t="s">
        <v>46</v>
      </c>
      <c r="Q526" s="92" t="s">
        <v>3812</v>
      </c>
      <c r="R526" s="204">
        <v>108</v>
      </c>
      <c r="S526" s="92" t="s">
        <v>3905</v>
      </c>
      <c r="T526" s="200">
        <v>620</v>
      </c>
      <c r="U526" s="201">
        <v>1</v>
      </c>
      <c r="V526" s="58">
        <f t="shared" si="42"/>
        <v>66960</v>
      </c>
      <c r="W526" s="52" t="s">
        <v>49</v>
      </c>
      <c r="X526" s="92" t="s">
        <v>4616</v>
      </c>
      <c r="Y526" s="92" t="s">
        <v>4617</v>
      </c>
      <c r="Z526" s="92" t="s">
        <v>4618</v>
      </c>
      <c r="AA526" s="52">
        <v>0</v>
      </c>
      <c r="AB526" s="52">
        <v>0</v>
      </c>
      <c r="AC526" s="52">
        <v>0</v>
      </c>
      <c r="AD526" s="21">
        <v>1</v>
      </c>
      <c r="AE526" s="54">
        <v>1</v>
      </c>
      <c r="AF526" s="315">
        <f t="shared" si="45"/>
        <v>66960</v>
      </c>
    </row>
    <row r="527" spans="1:32" ht="300" x14ac:dyDescent="0.25">
      <c r="A527" s="107" t="s">
        <v>588</v>
      </c>
      <c r="B527" s="107" t="s">
        <v>2269</v>
      </c>
      <c r="C527" s="52"/>
      <c r="D527" s="107" t="s">
        <v>2300</v>
      </c>
      <c r="E527" s="22" t="str">
        <f t="shared" si="43"/>
        <v>SEJUSPPROG</v>
      </c>
      <c r="F527" s="52" t="s">
        <v>729</v>
      </c>
      <c r="G527" s="22" t="str">
        <f t="shared" si="44"/>
        <v>P130SEJUSP</v>
      </c>
      <c r="H527" s="92" t="s">
        <v>1259</v>
      </c>
      <c r="I527" s="22" t="s">
        <v>16</v>
      </c>
      <c r="J527" s="92" t="s">
        <v>458</v>
      </c>
      <c r="K527" s="22" t="str">
        <f>VLOOKUP(CONCATENATE(A527,LEFT(J527,4)),AGRUPAMENTO!$D$2:$E$6783,2,FALSE)</f>
        <v>Demais despesas de capital</v>
      </c>
      <c r="L527" s="92" t="s">
        <v>94</v>
      </c>
      <c r="M527" s="52"/>
      <c r="N527" s="92">
        <v>10</v>
      </c>
      <c r="O527" s="155" t="s">
        <v>2795</v>
      </c>
      <c r="P527" s="92" t="s">
        <v>46</v>
      </c>
      <c r="Q527" s="92" t="s">
        <v>3812</v>
      </c>
      <c r="R527" s="204">
        <v>37</v>
      </c>
      <c r="S527" s="92" t="s">
        <v>3904</v>
      </c>
      <c r="T527" s="200">
        <v>2470.5</v>
      </c>
      <c r="U527" s="201">
        <v>1</v>
      </c>
      <c r="V527" s="58">
        <f t="shared" si="42"/>
        <v>91408.5</v>
      </c>
      <c r="W527" s="52" t="s">
        <v>49</v>
      </c>
      <c r="X527" s="92" t="s">
        <v>4616</v>
      </c>
      <c r="Y527" s="92" t="s">
        <v>4617</v>
      </c>
      <c r="Z527" s="92" t="s">
        <v>4618</v>
      </c>
      <c r="AA527" s="52">
        <v>0</v>
      </c>
      <c r="AB527" s="52">
        <v>0</v>
      </c>
      <c r="AC527" s="52">
        <v>0</v>
      </c>
      <c r="AD527" s="21">
        <v>1</v>
      </c>
      <c r="AE527" s="54">
        <v>1</v>
      </c>
      <c r="AF527" s="315">
        <f t="shared" si="45"/>
        <v>91408.5</v>
      </c>
    </row>
    <row r="528" spans="1:32" ht="300" x14ac:dyDescent="0.25">
      <c r="A528" s="107" t="s">
        <v>588</v>
      </c>
      <c r="B528" s="107" t="s">
        <v>2269</v>
      </c>
      <c r="C528" s="52"/>
      <c r="D528" s="107" t="s">
        <v>2300</v>
      </c>
      <c r="E528" s="22" t="str">
        <f t="shared" si="43"/>
        <v>SEJUSPPROG</v>
      </c>
      <c r="F528" s="52" t="s">
        <v>729</v>
      </c>
      <c r="G528" s="22" t="str">
        <f t="shared" si="44"/>
        <v>P130SEJUSP</v>
      </c>
      <c r="H528" s="92" t="s">
        <v>1259</v>
      </c>
      <c r="I528" s="22" t="s">
        <v>16</v>
      </c>
      <c r="J528" s="92" t="s">
        <v>2232</v>
      </c>
      <c r="K528" s="22" t="str">
        <f>VLOOKUP(CONCATENATE(A528,LEFT(J528,4)),AGRUPAMENTO!$D$2:$E$6783,2,FALSE)</f>
        <v>Demais despesas de capital</v>
      </c>
      <c r="L528" s="92" t="s">
        <v>94</v>
      </c>
      <c r="M528" s="52"/>
      <c r="N528" s="92">
        <v>10</v>
      </c>
      <c r="O528" s="155" t="s">
        <v>2796</v>
      </c>
      <c r="P528" s="92" t="s">
        <v>46</v>
      </c>
      <c r="Q528" s="92" t="s">
        <v>3812</v>
      </c>
      <c r="R528" s="204">
        <v>49</v>
      </c>
      <c r="S528" s="92" t="s">
        <v>3905</v>
      </c>
      <c r="T528" s="200">
        <v>650</v>
      </c>
      <c r="U528" s="201">
        <v>1</v>
      </c>
      <c r="V528" s="58">
        <f t="shared" si="42"/>
        <v>31850</v>
      </c>
      <c r="W528" s="52" t="s">
        <v>49</v>
      </c>
      <c r="X528" s="92" t="s">
        <v>4616</v>
      </c>
      <c r="Y528" s="92" t="s">
        <v>4617</v>
      </c>
      <c r="Z528" s="92" t="s">
        <v>4618</v>
      </c>
      <c r="AA528" s="52">
        <v>0</v>
      </c>
      <c r="AB528" s="52">
        <v>0</v>
      </c>
      <c r="AC528" s="52">
        <v>0</v>
      </c>
      <c r="AD528" s="21">
        <v>1</v>
      </c>
      <c r="AE528" s="54">
        <v>1</v>
      </c>
      <c r="AF528" s="315">
        <f t="shared" si="45"/>
        <v>31850</v>
      </c>
    </row>
    <row r="529" spans="1:32" ht="300" x14ac:dyDescent="0.25">
      <c r="A529" s="107" t="s">
        <v>588</v>
      </c>
      <c r="B529" s="107" t="s">
        <v>2269</v>
      </c>
      <c r="C529" s="52"/>
      <c r="D529" s="107" t="s">
        <v>2300</v>
      </c>
      <c r="E529" s="22" t="str">
        <f t="shared" si="43"/>
        <v>SEJUSPPROG</v>
      </c>
      <c r="F529" s="52" t="s">
        <v>729</v>
      </c>
      <c r="G529" s="22" t="str">
        <f t="shared" si="44"/>
        <v>P130SEJUSP</v>
      </c>
      <c r="H529" s="92" t="s">
        <v>1259</v>
      </c>
      <c r="I529" s="22" t="s">
        <v>16</v>
      </c>
      <c r="J529" s="92" t="s">
        <v>2232</v>
      </c>
      <c r="K529" s="22" t="str">
        <f>VLOOKUP(CONCATENATE(A529,LEFT(J529,4)),AGRUPAMENTO!$D$2:$E$6783,2,FALSE)</f>
        <v>Demais despesas de capital</v>
      </c>
      <c r="L529" s="92" t="s">
        <v>94</v>
      </c>
      <c r="M529" s="52"/>
      <c r="N529" s="92">
        <v>10</v>
      </c>
      <c r="O529" s="155" t="s">
        <v>2797</v>
      </c>
      <c r="P529" s="92" t="s">
        <v>46</v>
      </c>
      <c r="Q529" s="92" t="s">
        <v>3812</v>
      </c>
      <c r="R529" s="204">
        <v>24</v>
      </c>
      <c r="S529" s="92" t="s">
        <v>3904</v>
      </c>
      <c r="T529" s="200">
        <v>869.9</v>
      </c>
      <c r="U529" s="201">
        <v>1</v>
      </c>
      <c r="V529" s="58">
        <f t="shared" si="42"/>
        <v>20877.599999999999</v>
      </c>
      <c r="W529" s="52" t="s">
        <v>49</v>
      </c>
      <c r="X529" s="92" t="s">
        <v>4616</v>
      </c>
      <c r="Y529" s="92" t="s">
        <v>4617</v>
      </c>
      <c r="Z529" s="92" t="s">
        <v>4618</v>
      </c>
      <c r="AA529" s="52">
        <v>0</v>
      </c>
      <c r="AB529" s="52">
        <v>0</v>
      </c>
      <c r="AC529" s="52">
        <v>0</v>
      </c>
      <c r="AD529" s="21">
        <v>1</v>
      </c>
      <c r="AE529" s="54">
        <v>1</v>
      </c>
      <c r="AF529" s="315">
        <f t="shared" si="45"/>
        <v>20877.599999999999</v>
      </c>
    </row>
    <row r="530" spans="1:32" ht="300" x14ac:dyDescent="0.25">
      <c r="A530" s="107" t="s">
        <v>588</v>
      </c>
      <c r="B530" s="107" t="s">
        <v>2269</v>
      </c>
      <c r="C530" s="52"/>
      <c r="D530" s="107" t="s">
        <v>2300</v>
      </c>
      <c r="E530" s="22" t="str">
        <f t="shared" si="43"/>
        <v>SEJUSPPROG</v>
      </c>
      <c r="F530" s="52" t="s">
        <v>729</v>
      </c>
      <c r="G530" s="22" t="str">
        <f t="shared" si="44"/>
        <v>P130SEJUSP</v>
      </c>
      <c r="H530" s="92" t="s">
        <v>1259</v>
      </c>
      <c r="I530" s="22" t="s">
        <v>16</v>
      </c>
      <c r="J530" s="92" t="s">
        <v>1713</v>
      </c>
      <c r="K530" s="22" t="str">
        <f>VLOOKUP(CONCATENATE(A530,LEFT(J530,4)),AGRUPAMENTO!$D$2:$E$6783,2,FALSE)</f>
        <v>Serviços de saúde e medicamentos</v>
      </c>
      <c r="L530" s="92" t="s">
        <v>94</v>
      </c>
      <c r="M530" s="52"/>
      <c r="N530" s="92">
        <v>10</v>
      </c>
      <c r="O530" s="155" t="s">
        <v>2798</v>
      </c>
      <c r="P530" s="92" t="s">
        <v>46</v>
      </c>
      <c r="Q530" s="92" t="s">
        <v>3812</v>
      </c>
      <c r="R530" s="204">
        <v>25</v>
      </c>
      <c r="S530" s="92" t="s">
        <v>3905</v>
      </c>
      <c r="T530" s="200">
        <v>560</v>
      </c>
      <c r="U530" s="201">
        <v>1</v>
      </c>
      <c r="V530" s="58">
        <f t="shared" si="42"/>
        <v>14000</v>
      </c>
      <c r="W530" s="52" t="s">
        <v>49</v>
      </c>
      <c r="X530" s="92" t="s">
        <v>4616</v>
      </c>
      <c r="Y530" s="92" t="s">
        <v>4617</v>
      </c>
      <c r="Z530" s="92" t="s">
        <v>4618</v>
      </c>
      <c r="AA530" s="52">
        <v>0</v>
      </c>
      <c r="AB530" s="52">
        <v>0</v>
      </c>
      <c r="AC530" s="52">
        <v>0</v>
      </c>
      <c r="AD530" s="21">
        <v>1</v>
      </c>
      <c r="AE530" s="54">
        <v>1</v>
      </c>
      <c r="AF530" s="315">
        <f t="shared" si="45"/>
        <v>14000</v>
      </c>
    </row>
    <row r="531" spans="1:32" ht="300" x14ac:dyDescent="0.25">
      <c r="A531" s="107" t="s">
        <v>588</v>
      </c>
      <c r="B531" s="107" t="s">
        <v>2269</v>
      </c>
      <c r="C531" s="52"/>
      <c r="D531" s="107" t="s">
        <v>2300</v>
      </c>
      <c r="E531" s="22" t="str">
        <f t="shared" si="43"/>
        <v>SEJUSPPROG</v>
      </c>
      <c r="F531" s="52" t="s">
        <v>729</v>
      </c>
      <c r="G531" s="22" t="str">
        <f t="shared" si="44"/>
        <v>P130SEJUSP</v>
      </c>
      <c r="H531" s="92" t="s">
        <v>1259</v>
      </c>
      <c r="I531" s="22" t="s">
        <v>16</v>
      </c>
      <c r="J531" s="92" t="s">
        <v>1713</v>
      </c>
      <c r="K531" s="22" t="str">
        <f>VLOOKUP(CONCATENATE(A531,LEFT(J531,4)),AGRUPAMENTO!$D$2:$E$6783,2,FALSE)</f>
        <v>Serviços de saúde e medicamentos</v>
      </c>
      <c r="L531" s="92" t="s">
        <v>94</v>
      </c>
      <c r="M531" s="52"/>
      <c r="N531" s="92">
        <v>10</v>
      </c>
      <c r="O531" s="153" t="s">
        <v>2799</v>
      </c>
      <c r="P531" s="92" t="s">
        <v>46</v>
      </c>
      <c r="Q531" s="92" t="s">
        <v>3812</v>
      </c>
      <c r="R531" s="204">
        <v>2</v>
      </c>
      <c r="S531" s="92" t="s">
        <v>3905</v>
      </c>
      <c r="T531" s="200">
        <v>1528</v>
      </c>
      <c r="U531" s="201">
        <v>1</v>
      </c>
      <c r="V531" s="58">
        <f t="shared" si="42"/>
        <v>3056</v>
      </c>
      <c r="W531" s="52" t="s">
        <v>49</v>
      </c>
      <c r="X531" s="92" t="s">
        <v>4616</v>
      </c>
      <c r="Y531" s="92" t="s">
        <v>4617</v>
      </c>
      <c r="Z531" s="92" t="s">
        <v>4618</v>
      </c>
      <c r="AA531" s="52">
        <v>0</v>
      </c>
      <c r="AB531" s="52">
        <v>0</v>
      </c>
      <c r="AC531" s="52">
        <v>0</v>
      </c>
      <c r="AD531" s="21">
        <v>1</v>
      </c>
      <c r="AE531" s="54">
        <v>1</v>
      </c>
      <c r="AF531" s="315">
        <f t="shared" si="45"/>
        <v>3056</v>
      </c>
    </row>
    <row r="532" spans="1:32" ht="300" x14ac:dyDescent="0.25">
      <c r="A532" s="107" t="s">
        <v>588</v>
      </c>
      <c r="B532" s="107" t="s">
        <v>2269</v>
      </c>
      <c r="C532" s="52"/>
      <c r="D532" s="107" t="s">
        <v>2300</v>
      </c>
      <c r="E532" s="22" t="str">
        <f t="shared" si="43"/>
        <v>SEJUSPPROG</v>
      </c>
      <c r="F532" s="52" t="s">
        <v>729</v>
      </c>
      <c r="G532" s="22" t="str">
        <f t="shared" si="44"/>
        <v>P130SEJUSP</v>
      </c>
      <c r="H532" s="92" t="s">
        <v>1259</v>
      </c>
      <c r="I532" s="22" t="s">
        <v>16</v>
      </c>
      <c r="J532" s="92" t="s">
        <v>2232</v>
      </c>
      <c r="K532" s="22" t="str">
        <f>VLOOKUP(CONCATENATE(A532,LEFT(J532,4)),AGRUPAMENTO!$D$2:$E$6783,2,FALSE)</f>
        <v>Demais despesas de capital</v>
      </c>
      <c r="L532" s="92" t="s">
        <v>94</v>
      </c>
      <c r="M532" s="52"/>
      <c r="N532" s="92">
        <v>10</v>
      </c>
      <c r="O532" s="153" t="s">
        <v>2800</v>
      </c>
      <c r="P532" s="92" t="s">
        <v>46</v>
      </c>
      <c r="Q532" s="92" t="s">
        <v>3812</v>
      </c>
      <c r="R532" s="204">
        <v>35</v>
      </c>
      <c r="S532" s="92" t="s">
        <v>3905</v>
      </c>
      <c r="T532" s="200">
        <v>560</v>
      </c>
      <c r="U532" s="201">
        <v>1</v>
      </c>
      <c r="V532" s="58">
        <f t="shared" si="42"/>
        <v>19600</v>
      </c>
      <c r="W532" s="52" t="s">
        <v>49</v>
      </c>
      <c r="X532" s="92" t="s">
        <v>4616</v>
      </c>
      <c r="Y532" s="92" t="s">
        <v>4617</v>
      </c>
      <c r="Z532" s="92" t="s">
        <v>4618</v>
      </c>
      <c r="AA532" s="52">
        <v>0</v>
      </c>
      <c r="AB532" s="52">
        <v>0</v>
      </c>
      <c r="AC532" s="52">
        <v>0</v>
      </c>
      <c r="AD532" s="21">
        <v>1</v>
      </c>
      <c r="AE532" s="54">
        <v>1</v>
      </c>
      <c r="AF532" s="315">
        <f t="shared" si="45"/>
        <v>19600</v>
      </c>
    </row>
    <row r="533" spans="1:32" ht="300" x14ac:dyDescent="0.25">
      <c r="A533" s="107" t="s">
        <v>588</v>
      </c>
      <c r="B533" s="107" t="s">
        <v>2269</v>
      </c>
      <c r="C533" s="52"/>
      <c r="D533" s="107" t="s">
        <v>2300</v>
      </c>
      <c r="E533" s="22" t="str">
        <f t="shared" si="43"/>
        <v>SEJUSPPROG</v>
      </c>
      <c r="F533" s="52" t="s">
        <v>729</v>
      </c>
      <c r="G533" s="22" t="str">
        <f t="shared" si="44"/>
        <v>P130SEJUSP</v>
      </c>
      <c r="H533" s="92" t="s">
        <v>1259</v>
      </c>
      <c r="I533" s="22" t="s">
        <v>16</v>
      </c>
      <c r="J533" s="92" t="s">
        <v>1713</v>
      </c>
      <c r="K533" s="22" t="str">
        <f>VLOOKUP(CONCATENATE(A533,LEFT(J533,4)),AGRUPAMENTO!$D$2:$E$6783,2,FALSE)</f>
        <v>Serviços de saúde e medicamentos</v>
      </c>
      <c r="L533" s="92" t="s">
        <v>94</v>
      </c>
      <c r="M533" s="52"/>
      <c r="N533" s="92">
        <v>10</v>
      </c>
      <c r="O533" s="156" t="s">
        <v>2801</v>
      </c>
      <c r="P533" s="92" t="s">
        <v>46</v>
      </c>
      <c r="Q533" s="92" t="s">
        <v>3812</v>
      </c>
      <c r="R533" s="204">
        <v>42</v>
      </c>
      <c r="S533" s="92" t="s">
        <v>3904</v>
      </c>
      <c r="T533" s="200">
        <v>106.29</v>
      </c>
      <c r="U533" s="201">
        <v>1</v>
      </c>
      <c r="V533" s="58">
        <f t="shared" si="42"/>
        <v>4464.18</v>
      </c>
      <c r="W533" s="52" t="s">
        <v>49</v>
      </c>
      <c r="X533" s="92" t="s">
        <v>4616</v>
      </c>
      <c r="Y533" s="92" t="s">
        <v>4617</v>
      </c>
      <c r="Z533" s="92" t="s">
        <v>4618</v>
      </c>
      <c r="AA533" s="52">
        <v>0</v>
      </c>
      <c r="AB533" s="52">
        <v>0</v>
      </c>
      <c r="AC533" s="52">
        <v>0</v>
      </c>
      <c r="AD533" s="21">
        <v>1</v>
      </c>
      <c r="AE533" s="54">
        <v>1</v>
      </c>
      <c r="AF533" s="315">
        <f t="shared" si="45"/>
        <v>4464.18</v>
      </c>
    </row>
    <row r="534" spans="1:32" ht="300" x14ac:dyDescent="0.25">
      <c r="A534" s="107" t="s">
        <v>588</v>
      </c>
      <c r="B534" s="107" t="s">
        <v>2269</v>
      </c>
      <c r="C534" s="52"/>
      <c r="D534" s="107" t="s">
        <v>2300</v>
      </c>
      <c r="E534" s="22" t="str">
        <f t="shared" si="43"/>
        <v>SEJUSPPROG</v>
      </c>
      <c r="F534" s="52" t="s">
        <v>729</v>
      </c>
      <c r="G534" s="22" t="str">
        <f t="shared" si="44"/>
        <v>P130SEJUSP</v>
      </c>
      <c r="H534" s="92" t="s">
        <v>1259</v>
      </c>
      <c r="I534" s="22" t="s">
        <v>16</v>
      </c>
      <c r="J534" s="92" t="s">
        <v>1713</v>
      </c>
      <c r="K534" s="22" t="str">
        <f>VLOOKUP(CONCATENATE(A534,LEFT(J534,4)),AGRUPAMENTO!$D$2:$E$6783,2,FALSE)</f>
        <v>Serviços de saúde e medicamentos</v>
      </c>
      <c r="L534" s="92" t="s">
        <v>94</v>
      </c>
      <c r="M534" s="52"/>
      <c r="N534" s="92">
        <v>10</v>
      </c>
      <c r="O534" s="155" t="s">
        <v>2802</v>
      </c>
      <c r="P534" s="92" t="s">
        <v>46</v>
      </c>
      <c r="Q534" s="92" t="s">
        <v>3812</v>
      </c>
      <c r="R534" s="204">
        <v>40</v>
      </c>
      <c r="S534" s="92" t="s">
        <v>3905</v>
      </c>
      <c r="T534" s="200">
        <v>478</v>
      </c>
      <c r="U534" s="201">
        <v>1</v>
      </c>
      <c r="V534" s="58">
        <f t="shared" si="42"/>
        <v>19120</v>
      </c>
      <c r="W534" s="52" t="s">
        <v>49</v>
      </c>
      <c r="X534" s="92" t="s">
        <v>4616</v>
      </c>
      <c r="Y534" s="92" t="s">
        <v>4617</v>
      </c>
      <c r="Z534" s="92" t="s">
        <v>4618</v>
      </c>
      <c r="AA534" s="52">
        <v>0</v>
      </c>
      <c r="AB534" s="52">
        <v>0</v>
      </c>
      <c r="AC534" s="52">
        <v>0</v>
      </c>
      <c r="AD534" s="21">
        <v>1</v>
      </c>
      <c r="AE534" s="54">
        <v>1</v>
      </c>
      <c r="AF534" s="315">
        <f t="shared" si="45"/>
        <v>19120</v>
      </c>
    </row>
    <row r="535" spans="1:32" ht="300" x14ac:dyDescent="0.25">
      <c r="A535" s="107" t="s">
        <v>588</v>
      </c>
      <c r="B535" s="107" t="s">
        <v>2269</v>
      </c>
      <c r="C535" s="52"/>
      <c r="D535" s="107" t="s">
        <v>2300</v>
      </c>
      <c r="E535" s="22" t="str">
        <f t="shared" si="43"/>
        <v>SEJUSPPROG</v>
      </c>
      <c r="F535" s="52" t="s">
        <v>729</v>
      </c>
      <c r="G535" s="22" t="str">
        <f t="shared" si="44"/>
        <v>P130SEJUSP</v>
      </c>
      <c r="H535" s="92" t="s">
        <v>1259</v>
      </c>
      <c r="I535" s="22" t="s">
        <v>16</v>
      </c>
      <c r="J535" s="92" t="s">
        <v>1713</v>
      </c>
      <c r="K535" s="22" t="str">
        <f>VLOOKUP(CONCATENATE(A535,LEFT(J535,4)),AGRUPAMENTO!$D$2:$E$6783,2,FALSE)</f>
        <v>Serviços de saúde e medicamentos</v>
      </c>
      <c r="L535" s="92" t="s">
        <v>94</v>
      </c>
      <c r="M535" s="52"/>
      <c r="N535" s="92">
        <v>10</v>
      </c>
      <c r="O535" s="155" t="s">
        <v>2803</v>
      </c>
      <c r="P535" s="92" t="s">
        <v>46</v>
      </c>
      <c r="Q535" s="92" t="s">
        <v>3812</v>
      </c>
      <c r="R535" s="204">
        <v>27</v>
      </c>
      <c r="S535" s="92" t="s">
        <v>3904</v>
      </c>
      <c r="T535" s="200">
        <v>684</v>
      </c>
      <c r="U535" s="201">
        <v>1</v>
      </c>
      <c r="V535" s="58">
        <f t="shared" si="42"/>
        <v>18468</v>
      </c>
      <c r="W535" s="52" t="s">
        <v>49</v>
      </c>
      <c r="X535" s="92" t="s">
        <v>4616</v>
      </c>
      <c r="Y535" s="92" t="s">
        <v>4617</v>
      </c>
      <c r="Z535" s="92" t="s">
        <v>4618</v>
      </c>
      <c r="AA535" s="52">
        <v>0</v>
      </c>
      <c r="AB535" s="52">
        <v>0</v>
      </c>
      <c r="AC535" s="52">
        <v>0</v>
      </c>
      <c r="AD535" s="21">
        <v>1</v>
      </c>
      <c r="AE535" s="54">
        <v>1</v>
      </c>
      <c r="AF535" s="315">
        <f t="shared" si="45"/>
        <v>18468</v>
      </c>
    </row>
    <row r="536" spans="1:32" ht="300" x14ac:dyDescent="0.25">
      <c r="A536" s="107" t="s">
        <v>588</v>
      </c>
      <c r="B536" s="107" t="s">
        <v>2269</v>
      </c>
      <c r="C536" s="52"/>
      <c r="D536" s="107" t="s">
        <v>2300</v>
      </c>
      <c r="E536" s="22" t="str">
        <f t="shared" si="43"/>
        <v>SEJUSPPROG</v>
      </c>
      <c r="F536" s="52" t="s">
        <v>729</v>
      </c>
      <c r="G536" s="22" t="str">
        <f t="shared" si="44"/>
        <v>P130SEJUSP</v>
      </c>
      <c r="H536" s="92" t="s">
        <v>1259</v>
      </c>
      <c r="I536" s="22" t="s">
        <v>16</v>
      </c>
      <c r="J536" s="92" t="s">
        <v>2232</v>
      </c>
      <c r="K536" s="22" t="str">
        <f>VLOOKUP(CONCATENATE(A536,LEFT(J536,4)),AGRUPAMENTO!$D$2:$E$6783,2,FALSE)</f>
        <v>Demais despesas de capital</v>
      </c>
      <c r="L536" s="92" t="s">
        <v>94</v>
      </c>
      <c r="M536" s="52"/>
      <c r="N536" s="92">
        <v>10</v>
      </c>
      <c r="O536" s="153" t="s">
        <v>2804</v>
      </c>
      <c r="P536" s="92" t="s">
        <v>46</v>
      </c>
      <c r="Q536" s="92" t="s">
        <v>3812</v>
      </c>
      <c r="R536" s="204">
        <v>34</v>
      </c>
      <c r="S536" s="92" t="s">
        <v>3905</v>
      </c>
      <c r="T536" s="200">
        <v>219</v>
      </c>
      <c r="U536" s="201">
        <v>1</v>
      </c>
      <c r="V536" s="58">
        <f t="shared" si="42"/>
        <v>7446</v>
      </c>
      <c r="W536" s="52" t="s">
        <v>49</v>
      </c>
      <c r="X536" s="92" t="s">
        <v>4616</v>
      </c>
      <c r="Y536" s="92" t="s">
        <v>4617</v>
      </c>
      <c r="Z536" s="92" t="s">
        <v>4618</v>
      </c>
      <c r="AA536" s="52">
        <v>0</v>
      </c>
      <c r="AB536" s="52">
        <v>0</v>
      </c>
      <c r="AC536" s="52">
        <v>0</v>
      </c>
      <c r="AD536" s="21">
        <v>1</v>
      </c>
      <c r="AE536" s="54">
        <v>1</v>
      </c>
      <c r="AF536" s="315">
        <f t="shared" si="45"/>
        <v>7446</v>
      </c>
    </row>
    <row r="537" spans="1:32" ht="300" x14ac:dyDescent="0.25">
      <c r="A537" s="107" t="s">
        <v>588</v>
      </c>
      <c r="B537" s="107" t="s">
        <v>2269</v>
      </c>
      <c r="C537" s="52"/>
      <c r="D537" s="107" t="s">
        <v>2300</v>
      </c>
      <c r="E537" s="22" t="str">
        <f t="shared" si="43"/>
        <v>SEJUSPPROG</v>
      </c>
      <c r="F537" s="52" t="s">
        <v>729</v>
      </c>
      <c r="G537" s="22" t="str">
        <f t="shared" si="44"/>
        <v>P130SEJUSP</v>
      </c>
      <c r="H537" s="92" t="s">
        <v>1259</v>
      </c>
      <c r="I537" s="22" t="s">
        <v>16</v>
      </c>
      <c r="J537" s="92" t="s">
        <v>1713</v>
      </c>
      <c r="K537" s="22" t="str">
        <f>VLOOKUP(CONCATENATE(A537,LEFT(J537,4)),AGRUPAMENTO!$D$2:$E$6783,2,FALSE)</f>
        <v>Serviços de saúde e medicamentos</v>
      </c>
      <c r="L537" s="92" t="s">
        <v>94</v>
      </c>
      <c r="M537" s="52"/>
      <c r="N537" s="92">
        <v>10</v>
      </c>
      <c r="O537" s="153" t="s">
        <v>2805</v>
      </c>
      <c r="P537" s="92" t="s">
        <v>46</v>
      </c>
      <c r="Q537" s="92" t="s">
        <v>3812</v>
      </c>
      <c r="R537" s="204">
        <v>23</v>
      </c>
      <c r="S537" s="92" t="s">
        <v>3905</v>
      </c>
      <c r="T537" s="200">
        <v>227</v>
      </c>
      <c r="U537" s="201">
        <v>1</v>
      </c>
      <c r="V537" s="58">
        <f t="shared" si="42"/>
        <v>5221</v>
      </c>
      <c r="W537" s="52" t="s">
        <v>49</v>
      </c>
      <c r="X537" s="92" t="s">
        <v>4616</v>
      </c>
      <c r="Y537" s="92" t="s">
        <v>4617</v>
      </c>
      <c r="Z537" s="92" t="s">
        <v>4618</v>
      </c>
      <c r="AA537" s="52">
        <v>0</v>
      </c>
      <c r="AB537" s="52">
        <v>0</v>
      </c>
      <c r="AC537" s="52">
        <v>0</v>
      </c>
      <c r="AD537" s="21">
        <v>1</v>
      </c>
      <c r="AE537" s="54">
        <v>1</v>
      </c>
      <c r="AF537" s="315">
        <f t="shared" si="45"/>
        <v>5221</v>
      </c>
    </row>
    <row r="538" spans="1:32" ht="300" x14ac:dyDescent="0.25">
      <c r="A538" s="107" t="s">
        <v>588</v>
      </c>
      <c r="B538" s="107" t="s">
        <v>2269</v>
      </c>
      <c r="C538" s="52"/>
      <c r="D538" s="107" t="s">
        <v>2300</v>
      </c>
      <c r="E538" s="22" t="str">
        <f t="shared" si="43"/>
        <v>SEJUSPPROG</v>
      </c>
      <c r="F538" s="52" t="s">
        <v>729</v>
      </c>
      <c r="G538" s="22" t="str">
        <f t="shared" si="44"/>
        <v>P130SEJUSP</v>
      </c>
      <c r="H538" s="92" t="s">
        <v>1259</v>
      </c>
      <c r="I538" s="22" t="s">
        <v>16</v>
      </c>
      <c r="J538" s="92" t="s">
        <v>1713</v>
      </c>
      <c r="K538" s="22" t="str">
        <f>VLOOKUP(CONCATENATE(A538,LEFT(J538,4)),AGRUPAMENTO!$D$2:$E$6783,2,FALSE)</f>
        <v>Serviços de saúde e medicamentos</v>
      </c>
      <c r="L538" s="92" t="s">
        <v>94</v>
      </c>
      <c r="M538" s="52"/>
      <c r="N538" s="92">
        <v>10</v>
      </c>
      <c r="O538" s="156" t="s">
        <v>2806</v>
      </c>
      <c r="P538" s="92" t="s">
        <v>46</v>
      </c>
      <c r="Q538" s="92" t="s">
        <v>3812</v>
      </c>
      <c r="R538" s="204">
        <v>35</v>
      </c>
      <c r="S538" s="92" t="s">
        <v>3905</v>
      </c>
      <c r="T538" s="200">
        <v>11000</v>
      </c>
      <c r="U538" s="201">
        <v>1</v>
      </c>
      <c r="V538" s="58">
        <f t="shared" si="42"/>
        <v>385000</v>
      </c>
      <c r="W538" s="52" t="s">
        <v>49</v>
      </c>
      <c r="X538" s="92" t="s">
        <v>4616</v>
      </c>
      <c r="Y538" s="92" t="s">
        <v>4617</v>
      </c>
      <c r="Z538" s="92" t="s">
        <v>4618</v>
      </c>
      <c r="AA538" s="52">
        <v>0</v>
      </c>
      <c r="AB538" s="52">
        <v>0</v>
      </c>
      <c r="AC538" s="52">
        <v>0</v>
      </c>
      <c r="AD538" s="21">
        <v>1</v>
      </c>
      <c r="AE538" s="54">
        <v>1</v>
      </c>
      <c r="AF538" s="315">
        <f t="shared" si="45"/>
        <v>385000</v>
      </c>
    </row>
    <row r="539" spans="1:32" ht="300" x14ac:dyDescent="0.25">
      <c r="A539" s="107" t="s">
        <v>588</v>
      </c>
      <c r="B539" s="107" t="s">
        <v>2269</v>
      </c>
      <c r="C539" s="52"/>
      <c r="D539" s="107" t="s">
        <v>2300</v>
      </c>
      <c r="E539" s="22" t="str">
        <f t="shared" si="43"/>
        <v>SEJUSPPROG</v>
      </c>
      <c r="F539" s="52" t="s">
        <v>729</v>
      </c>
      <c r="G539" s="22" t="str">
        <f t="shared" si="44"/>
        <v>P130SEJUSP</v>
      </c>
      <c r="H539" s="92" t="s">
        <v>1259</v>
      </c>
      <c r="I539" s="22" t="s">
        <v>16</v>
      </c>
      <c r="J539" s="92" t="s">
        <v>1713</v>
      </c>
      <c r="K539" s="22" t="str">
        <f>VLOOKUP(CONCATENATE(A539,LEFT(J539,4)),AGRUPAMENTO!$D$2:$E$6783,2,FALSE)</f>
        <v>Serviços de saúde e medicamentos</v>
      </c>
      <c r="L539" s="92" t="s">
        <v>94</v>
      </c>
      <c r="M539" s="52"/>
      <c r="N539" s="92">
        <v>10</v>
      </c>
      <c r="O539" s="155" t="s">
        <v>2807</v>
      </c>
      <c r="P539" s="92" t="s">
        <v>46</v>
      </c>
      <c r="Q539" s="92" t="s">
        <v>3812</v>
      </c>
      <c r="R539" s="204">
        <v>46</v>
      </c>
      <c r="S539" s="92" t="s">
        <v>3905</v>
      </c>
      <c r="T539" s="200">
        <v>1000</v>
      </c>
      <c r="U539" s="201">
        <v>1</v>
      </c>
      <c r="V539" s="58">
        <f t="shared" si="42"/>
        <v>46000</v>
      </c>
      <c r="W539" s="52" t="s">
        <v>49</v>
      </c>
      <c r="X539" s="92" t="s">
        <v>4616</v>
      </c>
      <c r="Y539" s="92" t="s">
        <v>4617</v>
      </c>
      <c r="Z539" s="92" t="s">
        <v>4618</v>
      </c>
      <c r="AA539" s="52">
        <v>0</v>
      </c>
      <c r="AB539" s="52">
        <v>0</v>
      </c>
      <c r="AC539" s="52">
        <v>0</v>
      </c>
      <c r="AD539" s="21">
        <v>1</v>
      </c>
      <c r="AE539" s="54">
        <v>1</v>
      </c>
      <c r="AF539" s="315">
        <f t="shared" si="45"/>
        <v>46000</v>
      </c>
    </row>
    <row r="540" spans="1:32" ht="300" x14ac:dyDescent="0.25">
      <c r="A540" s="107" t="s">
        <v>588</v>
      </c>
      <c r="B540" s="107" t="s">
        <v>2269</v>
      </c>
      <c r="C540" s="52"/>
      <c r="D540" s="107" t="s">
        <v>2300</v>
      </c>
      <c r="E540" s="22" t="str">
        <f t="shared" si="43"/>
        <v>SEJUSPPROG</v>
      </c>
      <c r="F540" s="52" t="s">
        <v>729</v>
      </c>
      <c r="G540" s="22" t="str">
        <f t="shared" si="44"/>
        <v>P130SEJUSP</v>
      </c>
      <c r="H540" s="92" t="s">
        <v>1259</v>
      </c>
      <c r="I540" s="22" t="s">
        <v>16</v>
      </c>
      <c r="J540" s="92" t="s">
        <v>1713</v>
      </c>
      <c r="K540" s="22" t="str">
        <f>VLOOKUP(CONCATENATE(A540,LEFT(J540,4)),AGRUPAMENTO!$D$2:$E$6783,2,FALSE)</f>
        <v>Serviços de saúde e medicamentos</v>
      </c>
      <c r="L540" s="92" t="s">
        <v>94</v>
      </c>
      <c r="M540" s="52"/>
      <c r="N540" s="92">
        <v>10</v>
      </c>
      <c r="O540" s="155" t="s">
        <v>2702</v>
      </c>
      <c r="P540" s="92" t="s">
        <v>46</v>
      </c>
      <c r="Q540" s="92" t="s">
        <v>3812</v>
      </c>
      <c r="R540" s="204">
        <v>37</v>
      </c>
      <c r="S540" s="92" t="s">
        <v>3905</v>
      </c>
      <c r="T540" s="200">
        <v>54</v>
      </c>
      <c r="U540" s="201">
        <v>1</v>
      </c>
      <c r="V540" s="58">
        <f t="shared" si="42"/>
        <v>1998</v>
      </c>
      <c r="W540" s="52" t="s">
        <v>49</v>
      </c>
      <c r="X540" s="92" t="s">
        <v>4616</v>
      </c>
      <c r="Y540" s="92" t="s">
        <v>4617</v>
      </c>
      <c r="Z540" s="92" t="s">
        <v>4618</v>
      </c>
      <c r="AA540" s="52">
        <v>0</v>
      </c>
      <c r="AB540" s="52">
        <v>0</v>
      </c>
      <c r="AC540" s="52">
        <v>0</v>
      </c>
      <c r="AD540" s="21">
        <v>1</v>
      </c>
      <c r="AE540" s="54">
        <v>1</v>
      </c>
      <c r="AF540" s="315">
        <f t="shared" si="45"/>
        <v>1998</v>
      </c>
    </row>
    <row r="541" spans="1:32" ht="300" x14ac:dyDescent="0.25">
      <c r="A541" s="107" t="s">
        <v>588</v>
      </c>
      <c r="B541" s="107" t="s">
        <v>2269</v>
      </c>
      <c r="C541" s="52"/>
      <c r="D541" s="107" t="s">
        <v>2300</v>
      </c>
      <c r="E541" s="22" t="str">
        <f t="shared" si="43"/>
        <v>SEJUSPPROG</v>
      </c>
      <c r="F541" s="52" t="s">
        <v>729</v>
      </c>
      <c r="G541" s="22" t="str">
        <f t="shared" si="44"/>
        <v>P130SEJUSP</v>
      </c>
      <c r="H541" s="92" t="s">
        <v>1259</v>
      </c>
      <c r="I541" s="22" t="s">
        <v>16</v>
      </c>
      <c r="J541" s="92" t="s">
        <v>1713</v>
      </c>
      <c r="K541" s="22" t="str">
        <f>VLOOKUP(CONCATENATE(A541,LEFT(J541,4)),AGRUPAMENTO!$D$2:$E$6783,2,FALSE)</f>
        <v>Serviços de saúde e medicamentos</v>
      </c>
      <c r="L541" s="92" t="s">
        <v>94</v>
      </c>
      <c r="M541" s="52"/>
      <c r="N541" s="92">
        <v>10</v>
      </c>
      <c r="O541" s="155" t="s">
        <v>2703</v>
      </c>
      <c r="P541" s="92" t="s">
        <v>46</v>
      </c>
      <c r="Q541" s="92" t="s">
        <v>3812</v>
      </c>
      <c r="R541" s="204">
        <v>48</v>
      </c>
      <c r="S541" s="92" t="s">
        <v>3905</v>
      </c>
      <c r="T541" s="200">
        <v>43</v>
      </c>
      <c r="U541" s="201">
        <v>1</v>
      </c>
      <c r="V541" s="58">
        <f t="shared" si="42"/>
        <v>2064</v>
      </c>
      <c r="W541" s="52" t="s">
        <v>49</v>
      </c>
      <c r="X541" s="92" t="s">
        <v>4616</v>
      </c>
      <c r="Y541" s="92" t="s">
        <v>4617</v>
      </c>
      <c r="Z541" s="92" t="s">
        <v>4618</v>
      </c>
      <c r="AA541" s="52">
        <v>0</v>
      </c>
      <c r="AB541" s="52">
        <v>0</v>
      </c>
      <c r="AC541" s="52">
        <v>0</v>
      </c>
      <c r="AD541" s="21">
        <v>1</v>
      </c>
      <c r="AE541" s="54">
        <v>1</v>
      </c>
      <c r="AF541" s="315">
        <f t="shared" si="45"/>
        <v>2064</v>
      </c>
    </row>
    <row r="542" spans="1:32" ht="300" x14ac:dyDescent="0.25">
      <c r="A542" s="107" t="s">
        <v>588</v>
      </c>
      <c r="B542" s="107" t="s">
        <v>2269</v>
      </c>
      <c r="C542" s="52"/>
      <c r="D542" s="107" t="s">
        <v>2300</v>
      </c>
      <c r="E542" s="22" t="str">
        <f t="shared" si="43"/>
        <v>SEJUSPPROG</v>
      </c>
      <c r="F542" s="52" t="s">
        <v>729</v>
      </c>
      <c r="G542" s="22" t="str">
        <f t="shared" si="44"/>
        <v>P130SEJUSP</v>
      </c>
      <c r="H542" s="92" t="s">
        <v>1259</v>
      </c>
      <c r="I542" s="22" t="s">
        <v>16</v>
      </c>
      <c r="J542" s="92" t="s">
        <v>1713</v>
      </c>
      <c r="K542" s="22" t="str">
        <f>VLOOKUP(CONCATENATE(A542,LEFT(J542,4)),AGRUPAMENTO!$D$2:$E$6783,2,FALSE)</f>
        <v>Serviços de saúde e medicamentos</v>
      </c>
      <c r="L542" s="92" t="s">
        <v>94</v>
      </c>
      <c r="M542" s="52"/>
      <c r="N542" s="92">
        <v>10</v>
      </c>
      <c r="O542" s="155" t="s">
        <v>2808</v>
      </c>
      <c r="P542" s="92" t="s">
        <v>46</v>
      </c>
      <c r="Q542" s="92" t="s">
        <v>3812</v>
      </c>
      <c r="R542" s="204">
        <v>59</v>
      </c>
      <c r="S542" s="92" t="s">
        <v>3905</v>
      </c>
      <c r="T542" s="200">
        <v>8</v>
      </c>
      <c r="U542" s="201">
        <v>1</v>
      </c>
      <c r="V542" s="58">
        <f t="shared" si="42"/>
        <v>472</v>
      </c>
      <c r="W542" s="52" t="s">
        <v>49</v>
      </c>
      <c r="X542" s="92" t="s">
        <v>4616</v>
      </c>
      <c r="Y542" s="92" t="s">
        <v>4617</v>
      </c>
      <c r="Z542" s="92" t="s">
        <v>4618</v>
      </c>
      <c r="AA542" s="52">
        <v>0</v>
      </c>
      <c r="AB542" s="52">
        <v>0</v>
      </c>
      <c r="AC542" s="52">
        <v>0</v>
      </c>
      <c r="AD542" s="21">
        <v>1</v>
      </c>
      <c r="AE542" s="54">
        <v>1</v>
      </c>
      <c r="AF542" s="315">
        <f t="shared" si="45"/>
        <v>472</v>
      </c>
    </row>
    <row r="543" spans="1:32" ht="300" x14ac:dyDescent="0.25">
      <c r="A543" s="107" t="s">
        <v>588</v>
      </c>
      <c r="B543" s="107" t="s">
        <v>2269</v>
      </c>
      <c r="C543" s="52"/>
      <c r="D543" s="107" t="s">
        <v>2300</v>
      </c>
      <c r="E543" s="22" t="str">
        <f t="shared" si="43"/>
        <v>SEJUSPPROG</v>
      </c>
      <c r="F543" s="52" t="s">
        <v>729</v>
      </c>
      <c r="G543" s="22" t="str">
        <f t="shared" si="44"/>
        <v>P130SEJUSP</v>
      </c>
      <c r="H543" s="92" t="s">
        <v>1259</v>
      </c>
      <c r="I543" s="22" t="s">
        <v>16</v>
      </c>
      <c r="J543" s="92" t="s">
        <v>1713</v>
      </c>
      <c r="K543" s="22" t="str">
        <f>VLOOKUP(CONCATENATE(A543,LEFT(J543,4)),AGRUPAMENTO!$D$2:$E$6783,2,FALSE)</f>
        <v>Serviços de saúde e medicamentos</v>
      </c>
      <c r="L543" s="92" t="s">
        <v>94</v>
      </c>
      <c r="M543" s="52"/>
      <c r="N543" s="92">
        <v>10</v>
      </c>
      <c r="O543" s="153" t="s">
        <v>2809</v>
      </c>
      <c r="P543" s="92" t="s">
        <v>46</v>
      </c>
      <c r="Q543" s="92" t="s">
        <v>3812</v>
      </c>
      <c r="R543" s="204">
        <v>160</v>
      </c>
      <c r="S543" s="92" t="s">
        <v>3905</v>
      </c>
      <c r="T543" s="200">
        <v>21.25</v>
      </c>
      <c r="U543" s="201">
        <v>1</v>
      </c>
      <c r="V543" s="58">
        <f t="shared" si="42"/>
        <v>3400</v>
      </c>
      <c r="W543" s="52" t="s">
        <v>49</v>
      </c>
      <c r="X543" s="92" t="s">
        <v>4616</v>
      </c>
      <c r="Y543" s="92" t="s">
        <v>4617</v>
      </c>
      <c r="Z543" s="92" t="s">
        <v>4618</v>
      </c>
      <c r="AA543" s="52">
        <v>0</v>
      </c>
      <c r="AB543" s="52">
        <v>0</v>
      </c>
      <c r="AC543" s="52">
        <v>0</v>
      </c>
      <c r="AD543" s="21">
        <v>1</v>
      </c>
      <c r="AE543" s="54">
        <v>1</v>
      </c>
      <c r="AF543" s="315">
        <f t="shared" si="45"/>
        <v>3400</v>
      </c>
    </row>
    <row r="544" spans="1:32" ht="300" x14ac:dyDescent="0.25">
      <c r="A544" s="107" t="s">
        <v>588</v>
      </c>
      <c r="B544" s="107" t="s">
        <v>2269</v>
      </c>
      <c r="C544" s="52"/>
      <c r="D544" s="107" t="s">
        <v>2300</v>
      </c>
      <c r="E544" s="22" t="str">
        <f t="shared" si="43"/>
        <v>SEJUSPPROG</v>
      </c>
      <c r="F544" s="52" t="s">
        <v>729</v>
      </c>
      <c r="G544" s="22" t="str">
        <f t="shared" si="44"/>
        <v>P130SEJUSP</v>
      </c>
      <c r="H544" s="92" t="s">
        <v>1259</v>
      </c>
      <c r="I544" s="22" t="s">
        <v>16</v>
      </c>
      <c r="J544" s="92" t="s">
        <v>1713</v>
      </c>
      <c r="K544" s="22" t="str">
        <f>VLOOKUP(CONCATENATE(A544,LEFT(J544,4)),AGRUPAMENTO!$D$2:$E$6783,2,FALSE)</f>
        <v>Serviços de saúde e medicamentos</v>
      </c>
      <c r="L544" s="92" t="s">
        <v>94</v>
      </c>
      <c r="M544" s="52"/>
      <c r="N544" s="92">
        <v>10</v>
      </c>
      <c r="O544" s="153" t="s">
        <v>2810</v>
      </c>
      <c r="P544" s="92" t="s">
        <v>46</v>
      </c>
      <c r="Q544" s="92" t="s">
        <v>3812</v>
      </c>
      <c r="R544" s="204">
        <v>44</v>
      </c>
      <c r="S544" s="92" t="s">
        <v>3905</v>
      </c>
      <c r="T544" s="200">
        <v>2500</v>
      </c>
      <c r="U544" s="201">
        <v>1</v>
      </c>
      <c r="V544" s="58">
        <f t="shared" si="42"/>
        <v>110000</v>
      </c>
      <c r="W544" s="52" t="s">
        <v>49</v>
      </c>
      <c r="X544" s="92" t="s">
        <v>4616</v>
      </c>
      <c r="Y544" s="92" t="s">
        <v>4617</v>
      </c>
      <c r="Z544" s="92" t="s">
        <v>4618</v>
      </c>
      <c r="AA544" s="52">
        <v>0</v>
      </c>
      <c r="AB544" s="52">
        <v>0</v>
      </c>
      <c r="AC544" s="52">
        <v>0</v>
      </c>
      <c r="AD544" s="21">
        <v>1</v>
      </c>
      <c r="AE544" s="54">
        <v>1</v>
      </c>
      <c r="AF544" s="315">
        <f t="shared" si="45"/>
        <v>110000</v>
      </c>
    </row>
    <row r="545" spans="1:32" ht="300" x14ac:dyDescent="0.25">
      <c r="A545" s="107" t="s">
        <v>588</v>
      </c>
      <c r="B545" s="107" t="s">
        <v>2269</v>
      </c>
      <c r="C545" s="52"/>
      <c r="D545" s="107" t="s">
        <v>2300</v>
      </c>
      <c r="E545" s="22" t="str">
        <f t="shared" si="43"/>
        <v>SEJUSPPROG</v>
      </c>
      <c r="F545" s="52" t="s">
        <v>729</v>
      </c>
      <c r="G545" s="22" t="str">
        <f t="shared" si="44"/>
        <v>P130SEJUSP</v>
      </c>
      <c r="H545" s="92" t="s">
        <v>1259</v>
      </c>
      <c r="I545" s="22" t="s">
        <v>16</v>
      </c>
      <c r="J545" s="92" t="s">
        <v>1713</v>
      </c>
      <c r="K545" s="22" t="str">
        <f>VLOOKUP(CONCATENATE(A545,LEFT(J545,4)),AGRUPAMENTO!$D$2:$E$6783,2,FALSE)</f>
        <v>Serviços de saúde e medicamentos</v>
      </c>
      <c r="L545" s="92" t="s">
        <v>94</v>
      </c>
      <c r="M545" s="52"/>
      <c r="N545" s="92">
        <v>10</v>
      </c>
      <c r="O545" s="153" t="s">
        <v>2811</v>
      </c>
      <c r="P545" s="92" t="s">
        <v>46</v>
      </c>
      <c r="Q545" s="92" t="s">
        <v>3812</v>
      </c>
      <c r="R545" s="204">
        <v>52</v>
      </c>
      <c r="S545" s="92" t="s">
        <v>3905</v>
      </c>
      <c r="T545" s="200">
        <v>580</v>
      </c>
      <c r="U545" s="201">
        <v>1</v>
      </c>
      <c r="V545" s="58">
        <f t="shared" si="42"/>
        <v>30160</v>
      </c>
      <c r="W545" s="52" t="s">
        <v>49</v>
      </c>
      <c r="X545" s="92" t="s">
        <v>4616</v>
      </c>
      <c r="Y545" s="92" t="s">
        <v>4617</v>
      </c>
      <c r="Z545" s="92" t="s">
        <v>4618</v>
      </c>
      <c r="AA545" s="52">
        <v>0</v>
      </c>
      <c r="AB545" s="52">
        <v>0</v>
      </c>
      <c r="AC545" s="52">
        <v>0</v>
      </c>
      <c r="AD545" s="21">
        <v>1</v>
      </c>
      <c r="AE545" s="54">
        <v>1</v>
      </c>
      <c r="AF545" s="315">
        <f t="shared" si="45"/>
        <v>30160</v>
      </c>
    </row>
    <row r="546" spans="1:32" ht="300" x14ac:dyDescent="0.25">
      <c r="A546" s="107" t="s">
        <v>588</v>
      </c>
      <c r="B546" s="107" t="s">
        <v>2269</v>
      </c>
      <c r="C546" s="52"/>
      <c r="D546" s="107" t="s">
        <v>2300</v>
      </c>
      <c r="E546" s="22" t="str">
        <f t="shared" si="43"/>
        <v>SEJUSPPROG</v>
      </c>
      <c r="F546" s="52" t="s">
        <v>729</v>
      </c>
      <c r="G546" s="22" t="str">
        <f t="shared" si="44"/>
        <v>P130SEJUSP</v>
      </c>
      <c r="H546" s="92" t="s">
        <v>1259</v>
      </c>
      <c r="I546" s="22" t="s">
        <v>16</v>
      </c>
      <c r="J546" s="92" t="s">
        <v>1713</v>
      </c>
      <c r="K546" s="22" t="str">
        <f>VLOOKUP(CONCATENATE(A546,LEFT(J546,4)),AGRUPAMENTO!$D$2:$E$6783,2,FALSE)</f>
        <v>Serviços de saúde e medicamentos</v>
      </c>
      <c r="L546" s="92" t="s">
        <v>94</v>
      </c>
      <c r="M546" s="52"/>
      <c r="N546" s="92">
        <v>10</v>
      </c>
      <c r="O546" s="153" t="s">
        <v>2812</v>
      </c>
      <c r="P546" s="92" t="s">
        <v>46</v>
      </c>
      <c r="Q546" s="92" t="s">
        <v>3812</v>
      </c>
      <c r="R546" s="204">
        <v>82</v>
      </c>
      <c r="S546" s="92" t="s">
        <v>3905</v>
      </c>
      <c r="T546" s="200">
        <v>128</v>
      </c>
      <c r="U546" s="201">
        <v>1</v>
      </c>
      <c r="V546" s="58">
        <f t="shared" si="42"/>
        <v>10496</v>
      </c>
      <c r="W546" s="52" t="s">
        <v>49</v>
      </c>
      <c r="X546" s="92" t="s">
        <v>4616</v>
      </c>
      <c r="Y546" s="92" t="s">
        <v>4617</v>
      </c>
      <c r="Z546" s="92" t="s">
        <v>4618</v>
      </c>
      <c r="AA546" s="52">
        <v>0</v>
      </c>
      <c r="AB546" s="52">
        <v>0</v>
      </c>
      <c r="AC546" s="52">
        <v>0</v>
      </c>
      <c r="AD546" s="21">
        <v>1</v>
      </c>
      <c r="AE546" s="54">
        <v>1</v>
      </c>
      <c r="AF546" s="315">
        <f t="shared" si="45"/>
        <v>10496</v>
      </c>
    </row>
    <row r="547" spans="1:32" ht="300" x14ac:dyDescent="0.25">
      <c r="A547" s="107" t="s">
        <v>588</v>
      </c>
      <c r="B547" s="107" t="s">
        <v>2269</v>
      </c>
      <c r="C547" s="52"/>
      <c r="D547" s="107" t="s">
        <v>2300</v>
      </c>
      <c r="E547" s="22" t="str">
        <f t="shared" si="43"/>
        <v>SEJUSPPROG</v>
      </c>
      <c r="F547" s="52" t="s">
        <v>729</v>
      </c>
      <c r="G547" s="22" t="str">
        <f t="shared" si="44"/>
        <v>P130SEJUSP</v>
      </c>
      <c r="H547" s="92" t="s">
        <v>1259</v>
      </c>
      <c r="I547" s="22" t="s">
        <v>16</v>
      </c>
      <c r="J547" s="92" t="s">
        <v>1713</v>
      </c>
      <c r="K547" s="22" t="str">
        <f>VLOOKUP(CONCATENATE(A547,LEFT(J547,4)),AGRUPAMENTO!$D$2:$E$6783,2,FALSE)</f>
        <v>Serviços de saúde e medicamentos</v>
      </c>
      <c r="L547" s="92" t="s">
        <v>94</v>
      </c>
      <c r="M547" s="52"/>
      <c r="N547" s="92">
        <v>10</v>
      </c>
      <c r="O547" s="156" t="s">
        <v>2813</v>
      </c>
      <c r="P547" s="92" t="s">
        <v>46</v>
      </c>
      <c r="Q547" s="92" t="s">
        <v>3812</v>
      </c>
      <c r="R547" s="204">
        <v>68</v>
      </c>
      <c r="S547" s="92" t="s">
        <v>3905</v>
      </c>
      <c r="T547" s="200">
        <v>20.9</v>
      </c>
      <c r="U547" s="201">
        <v>1</v>
      </c>
      <c r="V547" s="58">
        <f t="shared" si="42"/>
        <v>1421.1999999999998</v>
      </c>
      <c r="W547" s="52" t="s">
        <v>49</v>
      </c>
      <c r="X547" s="92" t="s">
        <v>4616</v>
      </c>
      <c r="Y547" s="92" t="s">
        <v>4617</v>
      </c>
      <c r="Z547" s="92" t="s">
        <v>4618</v>
      </c>
      <c r="AA547" s="52">
        <v>0</v>
      </c>
      <c r="AB547" s="52">
        <v>0</v>
      </c>
      <c r="AC547" s="52">
        <v>0</v>
      </c>
      <c r="AD547" s="21">
        <v>1</v>
      </c>
      <c r="AE547" s="54">
        <v>1</v>
      </c>
      <c r="AF547" s="315">
        <f t="shared" si="45"/>
        <v>1421.1999999999998</v>
      </c>
    </row>
    <row r="548" spans="1:32" ht="300" x14ac:dyDescent="0.25">
      <c r="A548" s="107" t="s">
        <v>588</v>
      </c>
      <c r="B548" s="107" t="s">
        <v>2269</v>
      </c>
      <c r="C548" s="52"/>
      <c r="D548" s="107" t="s">
        <v>2300</v>
      </c>
      <c r="E548" s="22" t="str">
        <f t="shared" si="43"/>
        <v>SEJUSPPROG</v>
      </c>
      <c r="F548" s="52" t="s">
        <v>729</v>
      </c>
      <c r="G548" s="22" t="str">
        <f t="shared" si="44"/>
        <v>P130SEJUSP</v>
      </c>
      <c r="H548" s="92" t="s">
        <v>1259</v>
      </c>
      <c r="I548" s="22" t="s">
        <v>16</v>
      </c>
      <c r="J548" s="92" t="s">
        <v>1713</v>
      </c>
      <c r="K548" s="22" t="str">
        <f>VLOOKUP(CONCATENATE(A548,LEFT(J548,4)),AGRUPAMENTO!$D$2:$E$6783,2,FALSE)</f>
        <v>Serviços de saúde e medicamentos</v>
      </c>
      <c r="L548" s="92" t="s">
        <v>94</v>
      </c>
      <c r="M548" s="52"/>
      <c r="N548" s="92">
        <v>10</v>
      </c>
      <c r="O548" s="153" t="s">
        <v>2814</v>
      </c>
      <c r="P548" s="92" t="s">
        <v>46</v>
      </c>
      <c r="Q548" s="92" t="s">
        <v>3812</v>
      </c>
      <c r="R548" s="204">
        <v>64</v>
      </c>
      <c r="S548" s="92" t="s">
        <v>3905</v>
      </c>
      <c r="T548" s="200">
        <v>25.92</v>
      </c>
      <c r="U548" s="201">
        <v>1</v>
      </c>
      <c r="V548" s="58">
        <f t="shared" si="42"/>
        <v>1658.88</v>
      </c>
      <c r="W548" s="52" t="s">
        <v>49</v>
      </c>
      <c r="X548" s="92" t="s">
        <v>4616</v>
      </c>
      <c r="Y548" s="92" t="s">
        <v>4617</v>
      </c>
      <c r="Z548" s="92" t="s">
        <v>4618</v>
      </c>
      <c r="AA548" s="52">
        <v>0</v>
      </c>
      <c r="AB548" s="52">
        <v>0</v>
      </c>
      <c r="AC548" s="52">
        <v>0</v>
      </c>
      <c r="AD548" s="21">
        <v>1</v>
      </c>
      <c r="AE548" s="54">
        <v>1</v>
      </c>
      <c r="AF548" s="315">
        <f t="shared" si="45"/>
        <v>1658.88</v>
      </c>
    </row>
    <row r="549" spans="1:32" ht="300" x14ac:dyDescent="0.25">
      <c r="A549" s="107" t="s">
        <v>588</v>
      </c>
      <c r="B549" s="107" t="s">
        <v>2269</v>
      </c>
      <c r="C549" s="52"/>
      <c r="D549" s="107" t="s">
        <v>2300</v>
      </c>
      <c r="E549" s="22" t="str">
        <f t="shared" si="43"/>
        <v>SEJUSPPROG</v>
      </c>
      <c r="F549" s="52" t="s">
        <v>729</v>
      </c>
      <c r="G549" s="22" t="str">
        <f t="shared" si="44"/>
        <v>P130SEJUSP</v>
      </c>
      <c r="H549" s="92" t="s">
        <v>1259</v>
      </c>
      <c r="I549" s="22" t="s">
        <v>16</v>
      </c>
      <c r="J549" s="92" t="s">
        <v>1713</v>
      </c>
      <c r="K549" s="22" t="str">
        <f>VLOOKUP(CONCATENATE(A549,LEFT(J549,4)),AGRUPAMENTO!$D$2:$E$6783,2,FALSE)</f>
        <v>Serviços de saúde e medicamentos</v>
      </c>
      <c r="L549" s="92" t="s">
        <v>94</v>
      </c>
      <c r="M549" s="52"/>
      <c r="N549" s="92">
        <v>10</v>
      </c>
      <c r="O549" s="153" t="s">
        <v>2815</v>
      </c>
      <c r="P549" s="92" t="s">
        <v>46</v>
      </c>
      <c r="Q549" s="92" t="s">
        <v>3812</v>
      </c>
      <c r="R549" s="204">
        <v>78</v>
      </c>
      <c r="S549" s="92" t="s">
        <v>3905</v>
      </c>
      <c r="T549" s="200">
        <v>19.989999999999998</v>
      </c>
      <c r="U549" s="201">
        <v>1</v>
      </c>
      <c r="V549" s="58">
        <f t="shared" si="42"/>
        <v>1559.2199999999998</v>
      </c>
      <c r="W549" s="52" t="s">
        <v>49</v>
      </c>
      <c r="X549" s="92" t="s">
        <v>4616</v>
      </c>
      <c r="Y549" s="92" t="s">
        <v>4617</v>
      </c>
      <c r="Z549" s="92" t="s">
        <v>4618</v>
      </c>
      <c r="AA549" s="52">
        <v>0</v>
      </c>
      <c r="AB549" s="52">
        <v>0</v>
      </c>
      <c r="AC549" s="52">
        <v>0</v>
      </c>
      <c r="AD549" s="21">
        <v>1</v>
      </c>
      <c r="AE549" s="54">
        <v>1</v>
      </c>
      <c r="AF549" s="315">
        <f t="shared" si="45"/>
        <v>1559.2199999999998</v>
      </c>
    </row>
    <row r="550" spans="1:32" ht="300" x14ac:dyDescent="0.25">
      <c r="A550" s="107" t="s">
        <v>588</v>
      </c>
      <c r="B550" s="107" t="s">
        <v>2269</v>
      </c>
      <c r="C550" s="52"/>
      <c r="D550" s="107" t="s">
        <v>2300</v>
      </c>
      <c r="E550" s="22" t="str">
        <f t="shared" si="43"/>
        <v>SEJUSPPROG</v>
      </c>
      <c r="F550" s="52" t="s">
        <v>729</v>
      </c>
      <c r="G550" s="22" t="str">
        <f t="shared" si="44"/>
        <v>P130SEJUSP</v>
      </c>
      <c r="H550" s="92" t="s">
        <v>1259</v>
      </c>
      <c r="I550" s="22" t="s">
        <v>16</v>
      </c>
      <c r="J550" s="92" t="s">
        <v>1713</v>
      </c>
      <c r="K550" s="22" t="str">
        <f>VLOOKUP(CONCATENATE(A550,LEFT(J550,4)),AGRUPAMENTO!$D$2:$E$6783,2,FALSE)</f>
        <v>Serviços de saúde e medicamentos</v>
      </c>
      <c r="L550" s="92" t="s">
        <v>94</v>
      </c>
      <c r="M550" s="52"/>
      <c r="N550" s="92">
        <v>10</v>
      </c>
      <c r="O550" s="153" t="s">
        <v>2816</v>
      </c>
      <c r="P550" s="92" t="s">
        <v>46</v>
      </c>
      <c r="Q550" s="92" t="s">
        <v>3812</v>
      </c>
      <c r="R550" s="204">
        <v>58</v>
      </c>
      <c r="S550" s="92" t="s">
        <v>3905</v>
      </c>
      <c r="T550" s="200">
        <v>46.9</v>
      </c>
      <c r="U550" s="201">
        <v>1</v>
      </c>
      <c r="V550" s="58">
        <f t="shared" si="42"/>
        <v>2720.2</v>
      </c>
      <c r="W550" s="52" t="s">
        <v>49</v>
      </c>
      <c r="X550" s="92" t="s">
        <v>4616</v>
      </c>
      <c r="Y550" s="92" t="s">
        <v>4617</v>
      </c>
      <c r="Z550" s="92" t="s">
        <v>4618</v>
      </c>
      <c r="AA550" s="52">
        <v>0</v>
      </c>
      <c r="AB550" s="52">
        <v>0</v>
      </c>
      <c r="AC550" s="52">
        <v>0</v>
      </c>
      <c r="AD550" s="21">
        <v>1</v>
      </c>
      <c r="AE550" s="54">
        <v>1</v>
      </c>
      <c r="AF550" s="315">
        <f t="shared" si="45"/>
        <v>2720.2</v>
      </c>
    </row>
    <row r="551" spans="1:32" ht="300" x14ac:dyDescent="0.25">
      <c r="A551" s="107" t="s">
        <v>588</v>
      </c>
      <c r="B551" s="107" t="s">
        <v>2269</v>
      </c>
      <c r="C551" s="52"/>
      <c r="D551" s="107" t="s">
        <v>2300</v>
      </c>
      <c r="E551" s="22" t="str">
        <f t="shared" si="43"/>
        <v>SEJUSPPROG</v>
      </c>
      <c r="F551" s="52" t="s">
        <v>729</v>
      </c>
      <c r="G551" s="22" t="str">
        <f t="shared" si="44"/>
        <v>P130SEJUSP</v>
      </c>
      <c r="H551" s="92" t="s">
        <v>1259</v>
      </c>
      <c r="I551" s="22" t="s">
        <v>16</v>
      </c>
      <c r="J551" s="92" t="s">
        <v>1713</v>
      </c>
      <c r="K551" s="22" t="str">
        <f>VLOOKUP(CONCATENATE(A551,LEFT(J551,4)),AGRUPAMENTO!$D$2:$E$6783,2,FALSE)</f>
        <v>Serviços de saúde e medicamentos</v>
      </c>
      <c r="L551" s="92" t="s">
        <v>94</v>
      </c>
      <c r="M551" s="52"/>
      <c r="N551" s="92">
        <v>10</v>
      </c>
      <c r="O551" s="153" t="s">
        <v>2817</v>
      </c>
      <c r="P551" s="92" t="s">
        <v>46</v>
      </c>
      <c r="Q551" s="92" t="s">
        <v>3812</v>
      </c>
      <c r="R551" s="204">
        <v>79</v>
      </c>
      <c r="S551" s="92" t="s">
        <v>3905</v>
      </c>
      <c r="T551" s="200">
        <v>32.33</v>
      </c>
      <c r="U551" s="201">
        <v>1</v>
      </c>
      <c r="V551" s="58">
        <f t="shared" si="42"/>
        <v>2554.0699999999997</v>
      </c>
      <c r="W551" s="52" t="s">
        <v>49</v>
      </c>
      <c r="X551" s="92" t="s">
        <v>4616</v>
      </c>
      <c r="Y551" s="92" t="s">
        <v>4617</v>
      </c>
      <c r="Z551" s="92" t="s">
        <v>4618</v>
      </c>
      <c r="AA551" s="52">
        <v>0</v>
      </c>
      <c r="AB551" s="52">
        <v>0</v>
      </c>
      <c r="AC551" s="52">
        <v>0</v>
      </c>
      <c r="AD551" s="21">
        <v>1</v>
      </c>
      <c r="AE551" s="54">
        <v>1</v>
      </c>
      <c r="AF551" s="315">
        <f t="shared" si="45"/>
        <v>2554.0699999999997</v>
      </c>
    </row>
    <row r="552" spans="1:32" ht="300" x14ac:dyDescent="0.25">
      <c r="A552" s="107" t="s">
        <v>588</v>
      </c>
      <c r="B552" s="107" t="s">
        <v>2269</v>
      </c>
      <c r="C552" s="52"/>
      <c r="D552" s="107" t="s">
        <v>2300</v>
      </c>
      <c r="E552" s="22" t="str">
        <f t="shared" si="43"/>
        <v>SEJUSPPROG</v>
      </c>
      <c r="F552" s="52" t="s">
        <v>729</v>
      </c>
      <c r="G552" s="22" t="str">
        <f t="shared" si="44"/>
        <v>P130SEJUSP</v>
      </c>
      <c r="H552" s="92" t="s">
        <v>1259</v>
      </c>
      <c r="I552" s="22" t="s">
        <v>16</v>
      </c>
      <c r="J552" s="92" t="s">
        <v>1713</v>
      </c>
      <c r="K552" s="22" t="str">
        <f>VLOOKUP(CONCATENATE(A552,LEFT(J552,4)),AGRUPAMENTO!$D$2:$E$6783,2,FALSE)</f>
        <v>Serviços de saúde e medicamentos</v>
      </c>
      <c r="L552" s="92" t="s">
        <v>94</v>
      </c>
      <c r="M552" s="52"/>
      <c r="N552" s="92">
        <v>10</v>
      </c>
      <c r="O552" s="156" t="s">
        <v>2818</v>
      </c>
      <c r="P552" s="92" t="s">
        <v>46</v>
      </c>
      <c r="Q552" s="92" t="s">
        <v>3812</v>
      </c>
      <c r="R552" s="204">
        <v>98</v>
      </c>
      <c r="S552" s="92" t="s">
        <v>3905</v>
      </c>
      <c r="T552" s="200">
        <v>30.4</v>
      </c>
      <c r="U552" s="201">
        <v>1</v>
      </c>
      <c r="V552" s="58">
        <f t="shared" si="42"/>
        <v>2979.2</v>
      </c>
      <c r="W552" s="52" t="s">
        <v>49</v>
      </c>
      <c r="X552" s="92" t="s">
        <v>4616</v>
      </c>
      <c r="Y552" s="92" t="s">
        <v>4617</v>
      </c>
      <c r="Z552" s="92" t="s">
        <v>4618</v>
      </c>
      <c r="AA552" s="52">
        <v>0</v>
      </c>
      <c r="AB552" s="52">
        <v>0</v>
      </c>
      <c r="AC552" s="52">
        <v>0</v>
      </c>
      <c r="AD552" s="21">
        <v>1</v>
      </c>
      <c r="AE552" s="54">
        <v>1</v>
      </c>
      <c r="AF552" s="315">
        <f t="shared" si="45"/>
        <v>2979.2</v>
      </c>
    </row>
    <row r="553" spans="1:32" ht="300" x14ac:dyDescent="0.25">
      <c r="A553" s="107" t="s">
        <v>588</v>
      </c>
      <c r="B553" s="107" t="s">
        <v>2269</v>
      </c>
      <c r="C553" s="52"/>
      <c r="D553" s="107" t="s">
        <v>2300</v>
      </c>
      <c r="E553" s="22" t="str">
        <f t="shared" si="43"/>
        <v>SEJUSPPROG</v>
      </c>
      <c r="F553" s="52" t="s">
        <v>729</v>
      </c>
      <c r="G553" s="22" t="str">
        <f t="shared" si="44"/>
        <v>P130SEJUSP</v>
      </c>
      <c r="H553" s="92" t="s">
        <v>1259</v>
      </c>
      <c r="I553" s="22" t="s">
        <v>16</v>
      </c>
      <c r="J553" s="92" t="s">
        <v>1713</v>
      </c>
      <c r="K553" s="22" t="str">
        <f>VLOOKUP(CONCATENATE(A553,LEFT(J553,4)),AGRUPAMENTO!$D$2:$E$6783,2,FALSE)</f>
        <v>Serviços de saúde e medicamentos</v>
      </c>
      <c r="L553" s="92" t="s">
        <v>94</v>
      </c>
      <c r="M553" s="52"/>
      <c r="N553" s="92">
        <v>10</v>
      </c>
      <c r="O553" s="153" t="s">
        <v>2819</v>
      </c>
      <c r="P553" s="92" t="s">
        <v>46</v>
      </c>
      <c r="Q553" s="92" t="s">
        <v>3812</v>
      </c>
      <c r="R553" s="204">
        <v>118</v>
      </c>
      <c r="S553" s="92" t="s">
        <v>3905</v>
      </c>
      <c r="T553" s="200">
        <v>34.75</v>
      </c>
      <c r="U553" s="201">
        <v>1</v>
      </c>
      <c r="V553" s="58">
        <f t="shared" si="42"/>
        <v>4100.5</v>
      </c>
      <c r="W553" s="52" t="s">
        <v>49</v>
      </c>
      <c r="X553" s="92" t="s">
        <v>4616</v>
      </c>
      <c r="Y553" s="92" t="s">
        <v>4617</v>
      </c>
      <c r="Z553" s="92" t="s">
        <v>4618</v>
      </c>
      <c r="AA553" s="52">
        <v>0</v>
      </c>
      <c r="AB553" s="52">
        <v>0</v>
      </c>
      <c r="AC553" s="52">
        <v>0</v>
      </c>
      <c r="AD553" s="21">
        <v>1</v>
      </c>
      <c r="AE553" s="54">
        <v>1</v>
      </c>
      <c r="AF553" s="315">
        <f t="shared" si="45"/>
        <v>4100.5</v>
      </c>
    </row>
    <row r="554" spans="1:32" ht="300" x14ac:dyDescent="0.25">
      <c r="A554" s="107" t="s">
        <v>588</v>
      </c>
      <c r="B554" s="107" t="s">
        <v>2269</v>
      </c>
      <c r="C554" s="52"/>
      <c r="D554" s="107" t="s">
        <v>2300</v>
      </c>
      <c r="E554" s="22" t="str">
        <f t="shared" si="43"/>
        <v>SEJUSPPROG</v>
      </c>
      <c r="F554" s="52" t="s">
        <v>729</v>
      </c>
      <c r="G554" s="22" t="str">
        <f t="shared" si="44"/>
        <v>P130SEJUSP</v>
      </c>
      <c r="H554" s="92" t="s">
        <v>1259</v>
      </c>
      <c r="I554" s="22" t="s">
        <v>16</v>
      </c>
      <c r="J554" s="92" t="s">
        <v>1713</v>
      </c>
      <c r="K554" s="22" t="str">
        <f>VLOOKUP(CONCATENATE(A554,LEFT(J554,4)),AGRUPAMENTO!$D$2:$E$6783,2,FALSE)</f>
        <v>Serviços de saúde e medicamentos</v>
      </c>
      <c r="L554" s="92" t="s">
        <v>94</v>
      </c>
      <c r="M554" s="52"/>
      <c r="N554" s="92">
        <v>10</v>
      </c>
      <c r="O554" s="153" t="s">
        <v>2819</v>
      </c>
      <c r="P554" s="92" t="s">
        <v>46</v>
      </c>
      <c r="Q554" s="92" t="s">
        <v>3812</v>
      </c>
      <c r="R554" s="204">
        <v>118</v>
      </c>
      <c r="S554" s="92" t="s">
        <v>3905</v>
      </c>
      <c r="T554" s="200">
        <v>32.9</v>
      </c>
      <c r="U554" s="201">
        <v>1</v>
      </c>
      <c r="V554" s="58">
        <f t="shared" si="42"/>
        <v>3882.2</v>
      </c>
      <c r="W554" s="52" t="s">
        <v>49</v>
      </c>
      <c r="X554" s="92" t="s">
        <v>4616</v>
      </c>
      <c r="Y554" s="92" t="s">
        <v>4617</v>
      </c>
      <c r="Z554" s="92" t="s">
        <v>4618</v>
      </c>
      <c r="AA554" s="52">
        <v>0</v>
      </c>
      <c r="AB554" s="52">
        <v>0</v>
      </c>
      <c r="AC554" s="52">
        <v>0</v>
      </c>
      <c r="AD554" s="21">
        <v>1</v>
      </c>
      <c r="AE554" s="54">
        <v>1</v>
      </c>
      <c r="AF554" s="315">
        <f t="shared" si="45"/>
        <v>3882.2</v>
      </c>
    </row>
    <row r="555" spans="1:32" ht="300" x14ac:dyDescent="0.25">
      <c r="A555" s="107" t="s">
        <v>588</v>
      </c>
      <c r="B555" s="107" t="s">
        <v>2269</v>
      </c>
      <c r="C555" s="52"/>
      <c r="D555" s="107" t="s">
        <v>2300</v>
      </c>
      <c r="E555" s="22" t="str">
        <f t="shared" si="43"/>
        <v>SEJUSPPROG</v>
      </c>
      <c r="F555" s="52" t="s">
        <v>729</v>
      </c>
      <c r="G555" s="22" t="str">
        <f t="shared" si="44"/>
        <v>P130SEJUSP</v>
      </c>
      <c r="H555" s="92" t="s">
        <v>1259</v>
      </c>
      <c r="I555" s="22" t="s">
        <v>16</v>
      </c>
      <c r="J555" s="92" t="s">
        <v>1713</v>
      </c>
      <c r="K555" s="22" t="str">
        <f>VLOOKUP(CONCATENATE(A555,LEFT(J555,4)),AGRUPAMENTO!$D$2:$E$6783,2,FALSE)</f>
        <v>Serviços de saúde e medicamentos</v>
      </c>
      <c r="L555" s="92" t="s">
        <v>94</v>
      </c>
      <c r="M555" s="52"/>
      <c r="N555" s="92">
        <v>10</v>
      </c>
      <c r="O555" s="153" t="s">
        <v>2820</v>
      </c>
      <c r="P555" s="92" t="s">
        <v>58</v>
      </c>
      <c r="Q555" s="92" t="s">
        <v>3812</v>
      </c>
      <c r="R555" s="92">
        <v>45</v>
      </c>
      <c r="S555" s="92" t="s">
        <v>3906</v>
      </c>
      <c r="T555" s="200">
        <v>1794.81</v>
      </c>
      <c r="U555" s="201">
        <v>1</v>
      </c>
      <c r="V555" s="58">
        <f t="shared" si="42"/>
        <v>80766.45</v>
      </c>
      <c r="W555" s="52" t="s">
        <v>49</v>
      </c>
      <c r="X555" s="92" t="s">
        <v>4619</v>
      </c>
      <c r="Y555" s="92" t="s">
        <v>4617</v>
      </c>
      <c r="Z555" s="92" t="s">
        <v>4618</v>
      </c>
      <c r="AA555" s="52">
        <v>0</v>
      </c>
      <c r="AB555" s="52">
        <v>0</v>
      </c>
      <c r="AC555" s="52">
        <v>0</v>
      </c>
      <c r="AD555" s="21">
        <v>1</v>
      </c>
      <c r="AE555" s="54">
        <v>1</v>
      </c>
      <c r="AF555" s="315">
        <f t="shared" si="45"/>
        <v>80766.45</v>
      </c>
    </row>
    <row r="556" spans="1:32" ht="300" x14ac:dyDescent="0.25">
      <c r="A556" s="107" t="s">
        <v>588</v>
      </c>
      <c r="B556" s="107" t="s">
        <v>2269</v>
      </c>
      <c r="C556" s="52"/>
      <c r="D556" s="107" t="s">
        <v>2300</v>
      </c>
      <c r="E556" s="22" t="str">
        <f t="shared" si="43"/>
        <v>SEJUSPPROG</v>
      </c>
      <c r="F556" s="52" t="s">
        <v>729</v>
      </c>
      <c r="G556" s="22" t="str">
        <f t="shared" si="44"/>
        <v>P130SEJUSP</v>
      </c>
      <c r="H556" s="92" t="s">
        <v>1259</v>
      </c>
      <c r="I556" s="22" t="s">
        <v>16</v>
      </c>
      <c r="J556" s="92" t="s">
        <v>1713</v>
      </c>
      <c r="K556" s="22" t="str">
        <f>VLOOKUP(CONCATENATE(A556,LEFT(J556,4)),AGRUPAMENTO!$D$2:$E$6783,2,FALSE)</f>
        <v>Serviços de saúde e medicamentos</v>
      </c>
      <c r="L556" s="92" t="s">
        <v>94</v>
      </c>
      <c r="M556" s="52"/>
      <c r="N556" s="92">
        <v>10</v>
      </c>
      <c r="O556" s="153" t="s">
        <v>2821</v>
      </c>
      <c r="P556" s="92" t="s">
        <v>58</v>
      </c>
      <c r="Q556" s="92" t="s">
        <v>3812</v>
      </c>
      <c r="R556" s="92">
        <v>310</v>
      </c>
      <c r="S556" s="92" t="s">
        <v>3906</v>
      </c>
      <c r="T556" s="200">
        <v>281.5</v>
      </c>
      <c r="U556" s="201">
        <v>1</v>
      </c>
      <c r="V556" s="58">
        <f t="shared" si="42"/>
        <v>87265</v>
      </c>
      <c r="W556" s="52" t="s">
        <v>49</v>
      </c>
      <c r="X556" s="92" t="s">
        <v>4620</v>
      </c>
      <c r="Y556" s="92" t="s">
        <v>4617</v>
      </c>
      <c r="Z556" s="92" t="s">
        <v>4618</v>
      </c>
      <c r="AA556" s="52">
        <v>0</v>
      </c>
      <c r="AB556" s="52">
        <v>0</v>
      </c>
      <c r="AC556" s="52">
        <v>0</v>
      </c>
      <c r="AD556" s="21">
        <v>1</v>
      </c>
      <c r="AE556" s="54">
        <v>1</v>
      </c>
      <c r="AF556" s="315">
        <f t="shared" si="45"/>
        <v>87265</v>
      </c>
    </row>
    <row r="557" spans="1:32" ht="225" x14ac:dyDescent="0.25">
      <c r="A557" s="107" t="s">
        <v>588</v>
      </c>
      <c r="B557" s="107" t="s">
        <v>2269</v>
      </c>
      <c r="C557" s="52"/>
      <c r="D557" s="107" t="s">
        <v>2300</v>
      </c>
      <c r="E557" s="22" t="str">
        <f t="shared" si="43"/>
        <v>SEJUSPPROG</v>
      </c>
      <c r="F557" s="52" t="s">
        <v>729</v>
      </c>
      <c r="G557" s="22" t="str">
        <f t="shared" si="44"/>
        <v>P130SEJUSP</v>
      </c>
      <c r="H557" s="92" t="s">
        <v>1259</v>
      </c>
      <c r="I557" s="22" t="s">
        <v>16</v>
      </c>
      <c r="J557" s="92" t="s">
        <v>1713</v>
      </c>
      <c r="K557" s="22" t="str">
        <f>VLOOKUP(CONCATENATE(A557,LEFT(J557,4)),AGRUPAMENTO!$D$2:$E$6783,2,FALSE)</f>
        <v>Serviços de saúde e medicamentos</v>
      </c>
      <c r="L557" s="92" t="s">
        <v>94</v>
      </c>
      <c r="M557" s="52"/>
      <c r="N557" s="92">
        <v>10</v>
      </c>
      <c r="O557" s="153" t="s">
        <v>2822</v>
      </c>
      <c r="P557" s="92" t="s">
        <v>58</v>
      </c>
      <c r="Q557" s="92" t="s">
        <v>3812</v>
      </c>
      <c r="R557" s="92">
        <v>190</v>
      </c>
      <c r="S557" s="92" t="s">
        <v>3906</v>
      </c>
      <c r="T557" s="200">
        <v>500</v>
      </c>
      <c r="U557" s="201">
        <v>1</v>
      </c>
      <c r="V557" s="58">
        <f t="shared" si="42"/>
        <v>95000</v>
      </c>
      <c r="W557" s="52" t="s">
        <v>49</v>
      </c>
      <c r="X557" s="92" t="s">
        <v>4621</v>
      </c>
      <c r="Y557" s="92" t="s">
        <v>4622</v>
      </c>
      <c r="Z557" s="92" t="s">
        <v>4623</v>
      </c>
      <c r="AA557" s="52">
        <v>0</v>
      </c>
      <c r="AB557" s="52">
        <v>0</v>
      </c>
      <c r="AC557" s="52">
        <v>0</v>
      </c>
      <c r="AD557" s="21">
        <v>1</v>
      </c>
      <c r="AE557" s="54">
        <v>1</v>
      </c>
      <c r="AF557" s="315">
        <f t="shared" si="45"/>
        <v>95000</v>
      </c>
    </row>
    <row r="558" spans="1:32" ht="105" x14ac:dyDescent="0.25">
      <c r="A558" s="107" t="s">
        <v>588</v>
      </c>
      <c r="B558" s="107" t="s">
        <v>2269</v>
      </c>
      <c r="C558" s="52"/>
      <c r="D558" s="107" t="s">
        <v>2300</v>
      </c>
      <c r="E558" s="22" t="str">
        <f t="shared" si="43"/>
        <v>SEJUSPPROG</v>
      </c>
      <c r="F558" s="52" t="s">
        <v>729</v>
      </c>
      <c r="G558" s="22" t="str">
        <f t="shared" si="44"/>
        <v>P130SEJUSP</v>
      </c>
      <c r="H558" s="92" t="s">
        <v>1259</v>
      </c>
      <c r="I558" s="22" t="s">
        <v>16</v>
      </c>
      <c r="J558" s="52" t="s">
        <v>2131</v>
      </c>
      <c r="K558" s="22" t="str">
        <f>VLOOKUP(CONCATENATE(A558,LEFT(J558,4)),AGRUPAMENTO!$D$2:$E$6783,2,FALSE)</f>
        <v>Diárias e viagens</v>
      </c>
      <c r="L558" s="92" t="s">
        <v>44</v>
      </c>
      <c r="M558" s="52"/>
      <c r="N558" s="52">
        <v>10</v>
      </c>
      <c r="O558" s="153" t="s">
        <v>2823</v>
      </c>
      <c r="P558" s="92" t="s">
        <v>46</v>
      </c>
      <c r="Q558" s="92" t="s">
        <v>3812</v>
      </c>
      <c r="R558" s="92">
        <v>16</v>
      </c>
      <c r="S558" s="92" t="s">
        <v>3907</v>
      </c>
      <c r="T558" s="200">
        <v>338.7</v>
      </c>
      <c r="U558" s="201">
        <v>1</v>
      </c>
      <c r="V558" s="58">
        <f t="shared" si="42"/>
        <v>5419.2</v>
      </c>
      <c r="W558" s="52" t="s">
        <v>49</v>
      </c>
      <c r="X558" s="92" t="s">
        <v>4624</v>
      </c>
      <c r="Y558" s="92" t="s">
        <v>4625</v>
      </c>
      <c r="Z558" s="92" t="s">
        <v>4626</v>
      </c>
      <c r="AA558" s="52">
        <v>0</v>
      </c>
      <c r="AB558" s="52">
        <v>0</v>
      </c>
      <c r="AC558" s="52">
        <v>0</v>
      </c>
      <c r="AD558" s="21">
        <v>0.86749884668513244</v>
      </c>
      <c r="AE558" s="54">
        <v>0.86749884668513244</v>
      </c>
      <c r="AF558" s="315">
        <f t="shared" si="45"/>
        <v>4701.1497499560692</v>
      </c>
    </row>
    <row r="559" spans="1:32" ht="135" x14ac:dyDescent="0.25">
      <c r="A559" s="107" t="s">
        <v>588</v>
      </c>
      <c r="B559" s="107" t="s">
        <v>2269</v>
      </c>
      <c r="C559" s="52"/>
      <c r="D559" s="107" t="s">
        <v>2300</v>
      </c>
      <c r="E559" s="22" t="str">
        <f t="shared" si="43"/>
        <v>SEJUSPPROG</v>
      </c>
      <c r="F559" s="52" t="s">
        <v>729</v>
      </c>
      <c r="G559" s="22" t="str">
        <f t="shared" si="44"/>
        <v>P130SEJUSP</v>
      </c>
      <c r="H559" s="92" t="s">
        <v>1259</v>
      </c>
      <c r="I559" s="22" t="s">
        <v>16</v>
      </c>
      <c r="J559" s="92" t="s">
        <v>2229</v>
      </c>
      <c r="K559" s="22" t="str">
        <f>VLOOKUP(CONCATENATE(A559,LEFT(J559,4)),AGRUPAMENTO!$D$2:$E$6783,2,FALSE)</f>
        <v>Demais despesas de capital</v>
      </c>
      <c r="L559" s="92" t="s">
        <v>94</v>
      </c>
      <c r="M559" s="52"/>
      <c r="N559" s="92">
        <v>10</v>
      </c>
      <c r="O559" s="157" t="s">
        <v>2824</v>
      </c>
      <c r="P559" s="92" t="s">
        <v>58</v>
      </c>
      <c r="Q559" s="92" t="s">
        <v>3908</v>
      </c>
      <c r="R559" s="92">
        <v>3</v>
      </c>
      <c r="S559" s="92" t="s">
        <v>3909</v>
      </c>
      <c r="T559" s="200">
        <v>17890.900000000001</v>
      </c>
      <c r="U559" s="201">
        <v>1</v>
      </c>
      <c r="V559" s="58">
        <f t="shared" si="42"/>
        <v>53672.700000000004</v>
      </c>
      <c r="W559" s="52" t="s">
        <v>49</v>
      </c>
      <c r="X559" s="281" t="s">
        <v>4627</v>
      </c>
      <c r="Y559" s="92" t="s">
        <v>4628</v>
      </c>
      <c r="Z559" s="201" t="s">
        <v>4629</v>
      </c>
      <c r="AA559" s="52">
        <v>0</v>
      </c>
      <c r="AB559" s="52">
        <v>0</v>
      </c>
      <c r="AC559" s="52">
        <v>0</v>
      </c>
      <c r="AD559" s="21">
        <v>1</v>
      </c>
      <c r="AE559" s="54">
        <v>1</v>
      </c>
      <c r="AF559" s="315">
        <f t="shared" si="45"/>
        <v>53672.700000000004</v>
      </c>
    </row>
    <row r="560" spans="1:32" ht="105" x14ac:dyDescent="0.25">
      <c r="A560" s="107" t="s">
        <v>588</v>
      </c>
      <c r="B560" s="107" t="s">
        <v>2269</v>
      </c>
      <c r="C560" s="52"/>
      <c r="D560" s="107" t="s">
        <v>2300</v>
      </c>
      <c r="E560" s="22" t="str">
        <f t="shared" si="43"/>
        <v>SEJUSPPROG</v>
      </c>
      <c r="F560" s="52" t="s">
        <v>729</v>
      </c>
      <c r="G560" s="22" t="str">
        <f t="shared" si="44"/>
        <v>P130SEJUSP</v>
      </c>
      <c r="H560" s="92" t="s">
        <v>1259</v>
      </c>
      <c r="I560" s="22" t="s">
        <v>16</v>
      </c>
      <c r="J560" s="92" t="s">
        <v>2229</v>
      </c>
      <c r="K560" s="22" t="str">
        <f>VLOOKUP(CONCATENATE(A560,LEFT(J560,4)),AGRUPAMENTO!$D$2:$E$6783,2,FALSE)</f>
        <v>Demais despesas de capital</v>
      </c>
      <c r="L560" s="92" t="s">
        <v>94</v>
      </c>
      <c r="M560" s="52"/>
      <c r="N560" s="92">
        <v>10</v>
      </c>
      <c r="O560" s="157" t="s">
        <v>2825</v>
      </c>
      <c r="P560" s="92" t="s">
        <v>58</v>
      </c>
      <c r="Q560" s="92" t="s">
        <v>3908</v>
      </c>
      <c r="R560" s="92">
        <v>3</v>
      </c>
      <c r="S560" s="92" t="s">
        <v>3909</v>
      </c>
      <c r="T560" s="200">
        <v>5841</v>
      </c>
      <c r="U560" s="201">
        <v>1</v>
      </c>
      <c r="V560" s="58">
        <f t="shared" si="42"/>
        <v>17523</v>
      </c>
      <c r="W560" s="52" t="s">
        <v>49</v>
      </c>
      <c r="X560" s="281" t="s">
        <v>4627</v>
      </c>
      <c r="Y560" s="92" t="s">
        <v>4630</v>
      </c>
      <c r="Z560" s="201" t="s">
        <v>4629</v>
      </c>
      <c r="AA560" s="52">
        <v>0</v>
      </c>
      <c r="AB560" s="52">
        <v>0</v>
      </c>
      <c r="AC560" s="52">
        <v>0</v>
      </c>
      <c r="AD560" s="21">
        <v>1</v>
      </c>
      <c r="AE560" s="54">
        <v>1</v>
      </c>
      <c r="AF560" s="315">
        <f t="shared" si="45"/>
        <v>17523</v>
      </c>
    </row>
    <row r="561" spans="1:32" ht="195" x14ac:dyDescent="0.25">
      <c r="A561" s="107" t="s">
        <v>588</v>
      </c>
      <c r="B561" s="107" t="s">
        <v>2269</v>
      </c>
      <c r="C561" s="52"/>
      <c r="D561" s="107" t="s">
        <v>2300</v>
      </c>
      <c r="E561" s="22" t="str">
        <f t="shared" si="43"/>
        <v>SEJUSPPROG</v>
      </c>
      <c r="F561" s="52" t="s">
        <v>729</v>
      </c>
      <c r="G561" s="22" t="str">
        <f t="shared" si="44"/>
        <v>P130SEJUSP</v>
      </c>
      <c r="H561" s="92" t="s">
        <v>1259</v>
      </c>
      <c r="I561" s="22" t="s">
        <v>16</v>
      </c>
      <c r="J561" s="92" t="s">
        <v>2229</v>
      </c>
      <c r="K561" s="22" t="str">
        <f>VLOOKUP(CONCATENATE(A561,LEFT(J561,4)),AGRUPAMENTO!$D$2:$E$6783,2,FALSE)</f>
        <v>Demais despesas de capital</v>
      </c>
      <c r="L561" s="92" t="s">
        <v>94</v>
      </c>
      <c r="M561" s="52"/>
      <c r="N561" s="92">
        <v>10</v>
      </c>
      <c r="O561" s="157" t="s">
        <v>2826</v>
      </c>
      <c r="P561" s="92" t="s">
        <v>58</v>
      </c>
      <c r="Q561" s="92" t="s">
        <v>3908</v>
      </c>
      <c r="R561" s="92">
        <v>1</v>
      </c>
      <c r="S561" s="92" t="s">
        <v>3904</v>
      </c>
      <c r="T561" s="200">
        <v>10938.24</v>
      </c>
      <c r="U561" s="201">
        <v>1</v>
      </c>
      <c r="V561" s="58">
        <f t="shared" si="42"/>
        <v>10938.24</v>
      </c>
      <c r="W561" s="52" t="s">
        <v>49</v>
      </c>
      <c r="X561" s="281" t="s">
        <v>4627</v>
      </c>
      <c r="Y561" s="92" t="s">
        <v>4631</v>
      </c>
      <c r="Z561" s="201" t="s">
        <v>4632</v>
      </c>
      <c r="AA561" s="52">
        <v>0</v>
      </c>
      <c r="AB561" s="52">
        <v>0</v>
      </c>
      <c r="AC561" s="52">
        <v>0</v>
      </c>
      <c r="AD561" s="21">
        <v>1</v>
      </c>
      <c r="AE561" s="54">
        <v>1</v>
      </c>
      <c r="AF561" s="315">
        <f t="shared" si="45"/>
        <v>10938.24</v>
      </c>
    </row>
    <row r="562" spans="1:32" ht="210" x14ac:dyDescent="0.25">
      <c r="A562" s="107" t="s">
        <v>588</v>
      </c>
      <c r="B562" s="107" t="s">
        <v>2269</v>
      </c>
      <c r="C562" s="52"/>
      <c r="D562" s="107" t="s">
        <v>2300</v>
      </c>
      <c r="E562" s="22" t="str">
        <f t="shared" si="43"/>
        <v>SEJUSPPROG</v>
      </c>
      <c r="F562" s="52" t="s">
        <v>729</v>
      </c>
      <c r="G562" s="22" t="str">
        <f t="shared" si="44"/>
        <v>P130SEJUSP</v>
      </c>
      <c r="H562" s="92" t="s">
        <v>1259</v>
      </c>
      <c r="I562" s="22" t="s">
        <v>16</v>
      </c>
      <c r="J562" s="92" t="s">
        <v>2233</v>
      </c>
      <c r="K562" s="22" t="str">
        <f>VLOOKUP(CONCATENATE(A562,LEFT(J562,4)),AGRUPAMENTO!$D$2:$E$6783,2,FALSE)</f>
        <v>Demais despesas de capital</v>
      </c>
      <c r="L562" s="92" t="s">
        <v>94</v>
      </c>
      <c r="M562" s="52"/>
      <c r="N562" s="92">
        <v>10</v>
      </c>
      <c r="O562" s="157" t="s">
        <v>2827</v>
      </c>
      <c r="P562" s="92" t="s">
        <v>58</v>
      </c>
      <c r="Q562" s="92" t="s">
        <v>3908</v>
      </c>
      <c r="R562" s="92">
        <v>2</v>
      </c>
      <c r="S562" s="92" t="s">
        <v>3909</v>
      </c>
      <c r="T562" s="200">
        <v>98990</v>
      </c>
      <c r="U562" s="201">
        <v>1</v>
      </c>
      <c r="V562" s="58">
        <f t="shared" si="42"/>
        <v>197980</v>
      </c>
      <c r="W562" s="52" t="s">
        <v>49</v>
      </c>
      <c r="X562" s="282" t="s">
        <v>4633</v>
      </c>
      <c r="Y562" s="92" t="s">
        <v>4634</v>
      </c>
      <c r="Z562" s="201" t="s">
        <v>4635</v>
      </c>
      <c r="AA562" s="52">
        <v>0</v>
      </c>
      <c r="AB562" s="52">
        <v>0</v>
      </c>
      <c r="AC562" s="52">
        <v>0</v>
      </c>
      <c r="AD562" s="21">
        <v>1</v>
      </c>
      <c r="AE562" s="54">
        <v>1</v>
      </c>
      <c r="AF562" s="315">
        <f t="shared" si="45"/>
        <v>197980</v>
      </c>
    </row>
    <row r="563" spans="1:32" ht="90" x14ac:dyDescent="0.25">
      <c r="A563" s="107" t="s">
        <v>588</v>
      </c>
      <c r="B563" s="107" t="s">
        <v>2269</v>
      </c>
      <c r="C563" s="52"/>
      <c r="D563" s="107" t="s">
        <v>2300</v>
      </c>
      <c r="E563" s="22" t="str">
        <f t="shared" si="43"/>
        <v>SEJUSPPROG</v>
      </c>
      <c r="F563" s="52" t="s">
        <v>729</v>
      </c>
      <c r="G563" s="22" t="str">
        <f t="shared" si="44"/>
        <v>P130SEJUSP</v>
      </c>
      <c r="H563" s="92" t="s">
        <v>1259</v>
      </c>
      <c r="I563" s="22" t="s">
        <v>16</v>
      </c>
      <c r="J563" s="92" t="s">
        <v>2229</v>
      </c>
      <c r="K563" s="22" t="str">
        <f>VLOOKUP(CONCATENATE(A563,LEFT(J563,4)),AGRUPAMENTO!$D$2:$E$6783,2,FALSE)</f>
        <v>Demais despesas de capital</v>
      </c>
      <c r="L563" s="92" t="s">
        <v>94</v>
      </c>
      <c r="M563" s="52"/>
      <c r="N563" s="92">
        <v>10</v>
      </c>
      <c r="O563" s="157" t="s">
        <v>2828</v>
      </c>
      <c r="P563" s="92" t="s">
        <v>46</v>
      </c>
      <c r="Q563" s="92" t="s">
        <v>3908</v>
      </c>
      <c r="R563" s="92">
        <v>2</v>
      </c>
      <c r="S563" s="92" t="s">
        <v>3909</v>
      </c>
      <c r="T563" s="200">
        <v>563.03</v>
      </c>
      <c r="U563" s="201">
        <v>1</v>
      </c>
      <c r="V563" s="58">
        <f t="shared" si="42"/>
        <v>1126.06</v>
      </c>
      <c r="W563" s="52" t="s">
        <v>49</v>
      </c>
      <c r="X563" s="92" t="s">
        <v>4636</v>
      </c>
      <c r="Y563" s="92" t="s">
        <v>4637</v>
      </c>
      <c r="Z563" s="201" t="s">
        <v>4638</v>
      </c>
      <c r="AA563" s="52">
        <v>0</v>
      </c>
      <c r="AB563" s="52">
        <v>0</v>
      </c>
      <c r="AC563" s="52">
        <v>0</v>
      </c>
      <c r="AD563" s="21">
        <v>1</v>
      </c>
      <c r="AE563" s="54">
        <v>1</v>
      </c>
      <c r="AF563" s="315">
        <f t="shared" si="45"/>
        <v>1126.06</v>
      </c>
    </row>
    <row r="564" spans="1:32" ht="210" x14ac:dyDescent="0.25">
      <c r="A564" s="107" t="s">
        <v>588</v>
      </c>
      <c r="B564" s="107" t="s">
        <v>2269</v>
      </c>
      <c r="C564" s="52"/>
      <c r="D564" s="107" t="s">
        <v>2300</v>
      </c>
      <c r="E564" s="22" t="str">
        <f t="shared" si="43"/>
        <v>SEJUSPPROG</v>
      </c>
      <c r="F564" s="52" t="s">
        <v>729</v>
      </c>
      <c r="G564" s="22" t="str">
        <f t="shared" si="44"/>
        <v>P130SEJUSP</v>
      </c>
      <c r="H564" s="92" t="s">
        <v>1259</v>
      </c>
      <c r="I564" s="22" t="s">
        <v>16</v>
      </c>
      <c r="J564" s="92" t="s">
        <v>2229</v>
      </c>
      <c r="K564" s="22" t="str">
        <f>VLOOKUP(CONCATENATE(A564,LEFT(J564,4)),AGRUPAMENTO!$D$2:$E$6783,2,FALSE)</f>
        <v>Demais despesas de capital</v>
      </c>
      <c r="L564" s="92" t="s">
        <v>94</v>
      </c>
      <c r="M564" s="52"/>
      <c r="N564" s="92">
        <v>10</v>
      </c>
      <c r="O564" s="157" t="s">
        <v>2829</v>
      </c>
      <c r="P564" s="92" t="s">
        <v>58</v>
      </c>
      <c r="Q564" s="92" t="s">
        <v>3908</v>
      </c>
      <c r="R564" s="92">
        <v>6</v>
      </c>
      <c r="S564" s="92" t="s">
        <v>3909</v>
      </c>
      <c r="T564" s="200">
        <v>429</v>
      </c>
      <c r="U564" s="201">
        <v>1</v>
      </c>
      <c r="V564" s="58">
        <f t="shared" si="42"/>
        <v>2574</v>
      </c>
      <c r="W564" s="52" t="s">
        <v>49</v>
      </c>
      <c r="X564" s="282" t="s">
        <v>4633</v>
      </c>
      <c r="Y564" s="92" t="s">
        <v>4639</v>
      </c>
      <c r="Z564" s="201" t="s">
        <v>4640</v>
      </c>
      <c r="AA564" s="52">
        <v>0</v>
      </c>
      <c r="AB564" s="52">
        <v>0</v>
      </c>
      <c r="AC564" s="52">
        <v>0</v>
      </c>
      <c r="AD564" s="21">
        <v>1</v>
      </c>
      <c r="AE564" s="54">
        <v>1</v>
      </c>
      <c r="AF564" s="315">
        <f t="shared" si="45"/>
        <v>2574</v>
      </c>
    </row>
    <row r="565" spans="1:32" ht="210" x14ac:dyDescent="0.25">
      <c r="A565" s="107" t="s">
        <v>588</v>
      </c>
      <c r="B565" s="107" t="s">
        <v>2269</v>
      </c>
      <c r="C565" s="52"/>
      <c r="D565" s="107" t="s">
        <v>2300</v>
      </c>
      <c r="E565" s="22" t="str">
        <f t="shared" si="43"/>
        <v>SEJUSPPROG</v>
      </c>
      <c r="F565" s="52" t="s">
        <v>729</v>
      </c>
      <c r="G565" s="22" t="str">
        <f t="shared" si="44"/>
        <v>P130SEJUSP</v>
      </c>
      <c r="H565" s="92" t="s">
        <v>1259</v>
      </c>
      <c r="I565" s="22" t="s">
        <v>16</v>
      </c>
      <c r="J565" s="92" t="s">
        <v>2229</v>
      </c>
      <c r="K565" s="22" t="str">
        <f>VLOOKUP(CONCATENATE(A565,LEFT(J565,4)),AGRUPAMENTO!$D$2:$E$6783,2,FALSE)</f>
        <v>Demais despesas de capital</v>
      </c>
      <c r="L565" s="92" t="s">
        <v>94</v>
      </c>
      <c r="M565" s="52"/>
      <c r="N565" s="92">
        <v>10</v>
      </c>
      <c r="O565" s="157" t="s">
        <v>2830</v>
      </c>
      <c r="P565" s="92" t="s">
        <v>58</v>
      </c>
      <c r="Q565" s="92" t="s">
        <v>3908</v>
      </c>
      <c r="R565" s="92">
        <v>6</v>
      </c>
      <c r="S565" s="92" t="s">
        <v>3909</v>
      </c>
      <c r="T565" s="200">
        <v>648</v>
      </c>
      <c r="U565" s="201">
        <v>1</v>
      </c>
      <c r="V565" s="58">
        <f t="shared" si="42"/>
        <v>3888</v>
      </c>
      <c r="W565" s="52" t="s">
        <v>49</v>
      </c>
      <c r="X565" s="282" t="s">
        <v>4633</v>
      </c>
      <c r="Y565" s="92" t="s">
        <v>4639</v>
      </c>
      <c r="Z565" s="201" t="s">
        <v>4641</v>
      </c>
      <c r="AA565" s="52">
        <v>0</v>
      </c>
      <c r="AB565" s="52">
        <v>0</v>
      </c>
      <c r="AC565" s="52">
        <v>0</v>
      </c>
      <c r="AD565" s="21">
        <v>1</v>
      </c>
      <c r="AE565" s="54">
        <v>1</v>
      </c>
      <c r="AF565" s="315">
        <f t="shared" si="45"/>
        <v>3888</v>
      </c>
    </row>
    <row r="566" spans="1:32" ht="135" x14ac:dyDescent="0.25">
      <c r="A566" s="107" t="s">
        <v>588</v>
      </c>
      <c r="B566" s="107" t="s">
        <v>2269</v>
      </c>
      <c r="C566" s="52"/>
      <c r="D566" s="107" t="s">
        <v>2300</v>
      </c>
      <c r="E566" s="22" t="str">
        <f t="shared" si="43"/>
        <v>SEJUSPPROG</v>
      </c>
      <c r="F566" s="52" t="s">
        <v>729</v>
      </c>
      <c r="G566" s="22" t="str">
        <f t="shared" si="44"/>
        <v>P130SEJUSP</v>
      </c>
      <c r="H566" s="92" t="s">
        <v>1259</v>
      </c>
      <c r="I566" s="22" t="s">
        <v>16</v>
      </c>
      <c r="J566" s="92" t="s">
        <v>1602</v>
      </c>
      <c r="K566" s="22" t="str">
        <f>VLOOKUP(CONCATENATE(A566,LEFT(J566,4)),AGRUPAMENTO!$D$2:$E$6783,2,FALSE)</f>
        <v>Material de consumo</v>
      </c>
      <c r="L566" s="92" t="s">
        <v>44</v>
      </c>
      <c r="M566" s="52"/>
      <c r="N566" s="52">
        <v>10</v>
      </c>
      <c r="O566" s="157" t="s">
        <v>2831</v>
      </c>
      <c r="P566" s="92" t="s">
        <v>58</v>
      </c>
      <c r="Q566" s="92" t="s">
        <v>3908</v>
      </c>
      <c r="R566" s="92">
        <v>3</v>
      </c>
      <c r="S566" s="92" t="s">
        <v>3910</v>
      </c>
      <c r="T566" s="200">
        <v>43</v>
      </c>
      <c r="U566" s="201">
        <v>1</v>
      </c>
      <c r="V566" s="58">
        <f t="shared" si="42"/>
        <v>129</v>
      </c>
      <c r="W566" s="52" t="s">
        <v>49</v>
      </c>
      <c r="X566" s="92" t="s">
        <v>4642</v>
      </c>
      <c r="Y566" s="92" t="s">
        <v>4643</v>
      </c>
      <c r="Z566" s="201" t="s">
        <v>4644</v>
      </c>
      <c r="AA566" s="52">
        <v>0</v>
      </c>
      <c r="AB566" s="52">
        <v>0</v>
      </c>
      <c r="AC566" s="52">
        <v>0</v>
      </c>
      <c r="AD566" s="21">
        <v>0</v>
      </c>
      <c r="AE566" s="54">
        <v>0</v>
      </c>
      <c r="AF566" s="315">
        <f t="shared" si="45"/>
        <v>0</v>
      </c>
    </row>
    <row r="567" spans="1:32" ht="135" x14ac:dyDescent="0.25">
      <c r="A567" s="107" t="s">
        <v>588</v>
      </c>
      <c r="B567" s="107" t="s">
        <v>2269</v>
      </c>
      <c r="C567" s="52"/>
      <c r="D567" s="107" t="s">
        <v>2300</v>
      </c>
      <c r="E567" s="22" t="str">
        <f t="shared" si="43"/>
        <v>SEJUSPPROG</v>
      </c>
      <c r="F567" s="52" t="s">
        <v>729</v>
      </c>
      <c r="G567" s="22" t="str">
        <f t="shared" si="44"/>
        <v>P130SEJUSP</v>
      </c>
      <c r="H567" s="92" t="s">
        <v>1259</v>
      </c>
      <c r="I567" s="22" t="s">
        <v>16</v>
      </c>
      <c r="J567" s="92" t="s">
        <v>1602</v>
      </c>
      <c r="K567" s="22" t="str">
        <f>VLOOKUP(CONCATENATE(A567,LEFT(J567,4)),AGRUPAMENTO!$D$2:$E$6783,2,FALSE)</f>
        <v>Material de consumo</v>
      </c>
      <c r="L567" s="92" t="s">
        <v>44</v>
      </c>
      <c r="M567" s="52"/>
      <c r="N567" s="52">
        <v>10</v>
      </c>
      <c r="O567" s="157" t="s">
        <v>2832</v>
      </c>
      <c r="P567" s="92" t="s">
        <v>58</v>
      </c>
      <c r="Q567" s="92" t="s">
        <v>3908</v>
      </c>
      <c r="R567" s="92">
        <v>20</v>
      </c>
      <c r="S567" s="92" t="s">
        <v>3910</v>
      </c>
      <c r="T567" s="200">
        <v>57.78</v>
      </c>
      <c r="U567" s="201">
        <v>1</v>
      </c>
      <c r="V567" s="58">
        <f t="shared" si="42"/>
        <v>1155.5999999999999</v>
      </c>
      <c r="W567" s="52" t="s">
        <v>49</v>
      </c>
      <c r="X567" s="92" t="s">
        <v>4642</v>
      </c>
      <c r="Y567" s="92" t="s">
        <v>4643</v>
      </c>
      <c r="Z567" s="201" t="s">
        <v>4644</v>
      </c>
      <c r="AA567" s="52">
        <v>0</v>
      </c>
      <c r="AB567" s="52">
        <v>0</v>
      </c>
      <c r="AC567" s="52">
        <v>0</v>
      </c>
      <c r="AD567" s="21">
        <v>0</v>
      </c>
      <c r="AE567" s="54">
        <v>0</v>
      </c>
      <c r="AF567" s="315">
        <f t="shared" si="45"/>
        <v>0</v>
      </c>
    </row>
    <row r="568" spans="1:32" ht="120" x14ac:dyDescent="0.25">
      <c r="A568" s="107" t="s">
        <v>588</v>
      </c>
      <c r="B568" s="107" t="s">
        <v>2269</v>
      </c>
      <c r="C568" s="52"/>
      <c r="D568" s="107" t="s">
        <v>2300</v>
      </c>
      <c r="E568" s="22" t="str">
        <f t="shared" si="43"/>
        <v>SEJUSPPROG</v>
      </c>
      <c r="F568" s="52" t="s">
        <v>729</v>
      </c>
      <c r="G568" s="22" t="str">
        <f t="shared" si="44"/>
        <v>P130SEJUSP</v>
      </c>
      <c r="H568" s="92" t="s">
        <v>1259</v>
      </c>
      <c r="I568" s="22" t="s">
        <v>16</v>
      </c>
      <c r="J568" s="92" t="s">
        <v>1602</v>
      </c>
      <c r="K568" s="22" t="str">
        <f>VLOOKUP(CONCATENATE(A568,LEFT(J568,4)),AGRUPAMENTO!$D$2:$E$6783,2,FALSE)</f>
        <v>Material de consumo</v>
      </c>
      <c r="L568" s="92" t="s">
        <v>44</v>
      </c>
      <c r="M568" s="52"/>
      <c r="N568" s="52">
        <v>10</v>
      </c>
      <c r="O568" s="157" t="s">
        <v>2833</v>
      </c>
      <c r="P568" s="92" t="s">
        <v>58</v>
      </c>
      <c r="Q568" s="92" t="s">
        <v>3908</v>
      </c>
      <c r="R568" s="92">
        <v>40</v>
      </c>
      <c r="S568" s="92" t="s">
        <v>3910</v>
      </c>
      <c r="T568" s="200">
        <v>59.51</v>
      </c>
      <c r="U568" s="201">
        <v>1</v>
      </c>
      <c r="V568" s="58">
        <f t="shared" si="42"/>
        <v>2380.4</v>
      </c>
      <c r="W568" s="52" t="s">
        <v>49</v>
      </c>
      <c r="X568" s="92" t="s">
        <v>4642</v>
      </c>
      <c r="Y568" s="92" t="s">
        <v>4643</v>
      </c>
      <c r="Z568" s="201" t="s">
        <v>4644</v>
      </c>
      <c r="AA568" s="52">
        <v>0</v>
      </c>
      <c r="AB568" s="52">
        <v>0</v>
      </c>
      <c r="AC568" s="52">
        <v>0</v>
      </c>
      <c r="AD568" s="21">
        <v>0</v>
      </c>
      <c r="AE568" s="54">
        <v>0</v>
      </c>
      <c r="AF568" s="315">
        <f t="shared" si="45"/>
        <v>0</v>
      </c>
    </row>
    <row r="569" spans="1:32" ht="120" x14ac:dyDescent="0.25">
      <c r="A569" s="107" t="s">
        <v>588</v>
      </c>
      <c r="B569" s="107" t="s">
        <v>2269</v>
      </c>
      <c r="C569" s="52"/>
      <c r="D569" s="107" t="s">
        <v>2300</v>
      </c>
      <c r="E569" s="22" t="str">
        <f t="shared" si="43"/>
        <v>SEJUSPPROG</v>
      </c>
      <c r="F569" s="52" t="s">
        <v>729</v>
      </c>
      <c r="G569" s="22" t="str">
        <f t="shared" si="44"/>
        <v>P130SEJUSP</v>
      </c>
      <c r="H569" s="92" t="s">
        <v>1259</v>
      </c>
      <c r="I569" s="22" t="s">
        <v>16</v>
      </c>
      <c r="J569" s="92" t="s">
        <v>1602</v>
      </c>
      <c r="K569" s="22" t="str">
        <f>VLOOKUP(CONCATENATE(A569,LEFT(J569,4)),AGRUPAMENTO!$D$2:$E$6783,2,FALSE)</f>
        <v>Material de consumo</v>
      </c>
      <c r="L569" s="92" t="s">
        <v>44</v>
      </c>
      <c r="M569" s="52"/>
      <c r="N569" s="52">
        <v>10</v>
      </c>
      <c r="O569" s="157" t="s">
        <v>2834</v>
      </c>
      <c r="P569" s="92" t="s">
        <v>58</v>
      </c>
      <c r="Q569" s="92" t="s">
        <v>3908</v>
      </c>
      <c r="R569" s="92">
        <v>3</v>
      </c>
      <c r="S569" s="92" t="s">
        <v>3910</v>
      </c>
      <c r="T569" s="200">
        <v>25.42</v>
      </c>
      <c r="U569" s="201">
        <v>1</v>
      </c>
      <c r="V569" s="58">
        <f t="shared" si="42"/>
        <v>76.260000000000005</v>
      </c>
      <c r="W569" s="52" t="s">
        <v>49</v>
      </c>
      <c r="X569" s="92" t="s">
        <v>4642</v>
      </c>
      <c r="Y569" s="92" t="s">
        <v>4643</v>
      </c>
      <c r="Z569" s="201" t="s">
        <v>4644</v>
      </c>
      <c r="AA569" s="52">
        <v>0</v>
      </c>
      <c r="AB569" s="52">
        <v>0</v>
      </c>
      <c r="AC569" s="52">
        <v>0</v>
      </c>
      <c r="AD569" s="21">
        <v>0</v>
      </c>
      <c r="AE569" s="54">
        <v>0</v>
      </c>
      <c r="AF569" s="315">
        <f t="shared" si="45"/>
        <v>0</v>
      </c>
    </row>
    <row r="570" spans="1:32" ht="120" x14ac:dyDescent="0.25">
      <c r="A570" s="107" t="s">
        <v>588</v>
      </c>
      <c r="B570" s="107" t="s">
        <v>2269</v>
      </c>
      <c r="C570" s="52"/>
      <c r="D570" s="107" t="s">
        <v>2300</v>
      </c>
      <c r="E570" s="22" t="str">
        <f t="shared" si="43"/>
        <v>SEJUSPPROG</v>
      </c>
      <c r="F570" s="52" t="s">
        <v>729</v>
      </c>
      <c r="G570" s="22" t="str">
        <f t="shared" si="44"/>
        <v>P130SEJUSP</v>
      </c>
      <c r="H570" s="92" t="s">
        <v>1259</v>
      </c>
      <c r="I570" s="22" t="s">
        <v>16</v>
      </c>
      <c r="J570" s="92" t="s">
        <v>1602</v>
      </c>
      <c r="K570" s="22" t="str">
        <f>VLOOKUP(CONCATENATE(A570,LEFT(J570,4)),AGRUPAMENTO!$D$2:$E$6783,2,FALSE)</f>
        <v>Material de consumo</v>
      </c>
      <c r="L570" s="92" t="s">
        <v>44</v>
      </c>
      <c r="M570" s="52"/>
      <c r="N570" s="52">
        <v>10</v>
      </c>
      <c r="O570" s="157" t="s">
        <v>2835</v>
      </c>
      <c r="P570" s="92" t="s">
        <v>58</v>
      </c>
      <c r="Q570" s="92" t="s">
        <v>3908</v>
      </c>
      <c r="R570" s="92">
        <v>3</v>
      </c>
      <c r="S570" s="92" t="s">
        <v>3910</v>
      </c>
      <c r="T570" s="200">
        <v>387.2</v>
      </c>
      <c r="U570" s="201">
        <v>1</v>
      </c>
      <c r="V570" s="58">
        <f t="shared" si="42"/>
        <v>1161.5999999999999</v>
      </c>
      <c r="W570" s="52" t="s">
        <v>49</v>
      </c>
      <c r="X570" s="92" t="s">
        <v>4642</v>
      </c>
      <c r="Y570" s="92" t="s">
        <v>4643</v>
      </c>
      <c r="Z570" s="201" t="s">
        <v>4644</v>
      </c>
      <c r="AA570" s="52">
        <v>0</v>
      </c>
      <c r="AB570" s="52">
        <v>0</v>
      </c>
      <c r="AC570" s="52">
        <v>0</v>
      </c>
      <c r="AD570" s="21">
        <v>0</v>
      </c>
      <c r="AE570" s="54">
        <v>0</v>
      </c>
      <c r="AF570" s="315">
        <f t="shared" si="45"/>
        <v>0</v>
      </c>
    </row>
    <row r="571" spans="1:32" ht="135" x14ac:dyDescent="0.25">
      <c r="A571" s="107" t="s">
        <v>588</v>
      </c>
      <c r="B571" s="107" t="s">
        <v>2269</v>
      </c>
      <c r="C571" s="52"/>
      <c r="D571" s="107" t="s">
        <v>2300</v>
      </c>
      <c r="E571" s="22" t="str">
        <f t="shared" si="43"/>
        <v>SEJUSPPROG</v>
      </c>
      <c r="F571" s="52" t="s">
        <v>729</v>
      </c>
      <c r="G571" s="22" t="str">
        <f t="shared" si="44"/>
        <v>P130SEJUSP</v>
      </c>
      <c r="H571" s="92" t="s">
        <v>1259</v>
      </c>
      <c r="I571" s="22" t="s">
        <v>16</v>
      </c>
      <c r="J571" s="92" t="s">
        <v>1602</v>
      </c>
      <c r="K571" s="22" t="str">
        <f>VLOOKUP(CONCATENATE(A571,LEFT(J571,4)),AGRUPAMENTO!$D$2:$E$6783,2,FALSE)</f>
        <v>Material de consumo</v>
      </c>
      <c r="L571" s="92" t="s">
        <v>44</v>
      </c>
      <c r="M571" s="52"/>
      <c r="N571" s="52">
        <v>10</v>
      </c>
      <c r="O571" s="157" t="s">
        <v>2836</v>
      </c>
      <c r="P571" s="92" t="s">
        <v>58</v>
      </c>
      <c r="Q571" s="92" t="s">
        <v>3908</v>
      </c>
      <c r="R571" s="92">
        <v>20</v>
      </c>
      <c r="S571" s="92" t="s">
        <v>3910</v>
      </c>
      <c r="T571" s="200">
        <v>96.8</v>
      </c>
      <c r="U571" s="201">
        <v>1</v>
      </c>
      <c r="V571" s="58">
        <f t="shared" si="42"/>
        <v>1936</v>
      </c>
      <c r="W571" s="52" t="s">
        <v>49</v>
      </c>
      <c r="X571" s="92" t="s">
        <v>4642</v>
      </c>
      <c r="Y571" s="92" t="s">
        <v>4643</v>
      </c>
      <c r="Z571" s="201" t="s">
        <v>4644</v>
      </c>
      <c r="AA571" s="52">
        <v>0</v>
      </c>
      <c r="AB571" s="52">
        <v>0</v>
      </c>
      <c r="AC571" s="52">
        <v>0</v>
      </c>
      <c r="AD571" s="21">
        <v>0</v>
      </c>
      <c r="AE571" s="54">
        <v>0</v>
      </c>
      <c r="AF571" s="315">
        <f t="shared" si="45"/>
        <v>0</v>
      </c>
    </row>
    <row r="572" spans="1:32" ht="135" x14ac:dyDescent="0.25">
      <c r="A572" s="107" t="s">
        <v>588</v>
      </c>
      <c r="B572" s="107" t="s">
        <v>2269</v>
      </c>
      <c r="C572" s="52"/>
      <c r="D572" s="107" t="s">
        <v>2300</v>
      </c>
      <c r="E572" s="22" t="str">
        <f t="shared" si="43"/>
        <v>SEJUSPPROG</v>
      </c>
      <c r="F572" s="52" t="s">
        <v>729</v>
      </c>
      <c r="G572" s="22" t="str">
        <f t="shared" si="44"/>
        <v>P130SEJUSP</v>
      </c>
      <c r="H572" s="92" t="s">
        <v>1259</v>
      </c>
      <c r="I572" s="22" t="s">
        <v>16</v>
      </c>
      <c r="J572" s="92" t="s">
        <v>1602</v>
      </c>
      <c r="K572" s="22" t="str">
        <f>VLOOKUP(CONCATENATE(A572,LEFT(J572,4)),AGRUPAMENTO!$D$2:$E$6783,2,FALSE)</f>
        <v>Material de consumo</v>
      </c>
      <c r="L572" s="92" t="s">
        <v>44</v>
      </c>
      <c r="M572" s="52"/>
      <c r="N572" s="52">
        <v>10</v>
      </c>
      <c r="O572" s="157" t="s">
        <v>2837</v>
      </c>
      <c r="P572" s="92" t="s">
        <v>58</v>
      </c>
      <c r="Q572" s="92" t="s">
        <v>3908</v>
      </c>
      <c r="R572" s="92">
        <v>3</v>
      </c>
      <c r="S572" s="92" t="s">
        <v>3910</v>
      </c>
      <c r="T572" s="200">
        <v>1764.18</v>
      </c>
      <c r="U572" s="201">
        <v>1</v>
      </c>
      <c r="V572" s="58">
        <f t="shared" si="42"/>
        <v>5292.54</v>
      </c>
      <c r="W572" s="52" t="s">
        <v>49</v>
      </c>
      <c r="X572" s="92" t="s">
        <v>4642</v>
      </c>
      <c r="Y572" s="92" t="s">
        <v>4643</v>
      </c>
      <c r="Z572" s="201" t="s">
        <v>4644</v>
      </c>
      <c r="AA572" s="52">
        <v>0</v>
      </c>
      <c r="AB572" s="52">
        <v>0</v>
      </c>
      <c r="AC572" s="52">
        <v>0</v>
      </c>
      <c r="AD572" s="21">
        <v>0</v>
      </c>
      <c r="AE572" s="54">
        <v>0</v>
      </c>
      <c r="AF572" s="315">
        <f t="shared" si="45"/>
        <v>0</v>
      </c>
    </row>
    <row r="573" spans="1:32" ht="120" x14ac:dyDescent="0.25">
      <c r="A573" s="107" t="s">
        <v>588</v>
      </c>
      <c r="B573" s="107" t="s">
        <v>2269</v>
      </c>
      <c r="C573" s="52"/>
      <c r="D573" s="107" t="s">
        <v>2300</v>
      </c>
      <c r="E573" s="22" t="str">
        <f t="shared" si="43"/>
        <v>SEJUSPPROG</v>
      </c>
      <c r="F573" s="52" t="s">
        <v>729</v>
      </c>
      <c r="G573" s="22" t="str">
        <f t="shared" si="44"/>
        <v>P130SEJUSP</v>
      </c>
      <c r="H573" s="92" t="s">
        <v>1259</v>
      </c>
      <c r="I573" s="22" t="s">
        <v>16</v>
      </c>
      <c r="J573" s="92" t="s">
        <v>1602</v>
      </c>
      <c r="K573" s="22" t="str">
        <f>VLOOKUP(CONCATENATE(A573,LEFT(J573,4)),AGRUPAMENTO!$D$2:$E$6783,2,FALSE)</f>
        <v>Material de consumo</v>
      </c>
      <c r="L573" s="92" t="s">
        <v>44</v>
      </c>
      <c r="M573" s="52"/>
      <c r="N573" s="52">
        <v>10</v>
      </c>
      <c r="O573" s="157" t="s">
        <v>2838</v>
      </c>
      <c r="P573" s="92" t="s">
        <v>58</v>
      </c>
      <c r="Q573" s="92" t="s">
        <v>3908</v>
      </c>
      <c r="R573" s="92">
        <v>570</v>
      </c>
      <c r="S573" s="92" t="s">
        <v>3910</v>
      </c>
      <c r="T573" s="200">
        <v>23</v>
      </c>
      <c r="U573" s="201">
        <v>1</v>
      </c>
      <c r="V573" s="58">
        <f t="shared" si="42"/>
        <v>13110</v>
      </c>
      <c r="W573" s="52" t="s">
        <v>49</v>
      </c>
      <c r="X573" s="92" t="s">
        <v>4642</v>
      </c>
      <c r="Y573" s="92" t="s">
        <v>4643</v>
      </c>
      <c r="Z573" s="201" t="s">
        <v>4644</v>
      </c>
      <c r="AA573" s="52">
        <v>0</v>
      </c>
      <c r="AB573" s="52">
        <v>0</v>
      </c>
      <c r="AC573" s="52">
        <v>0</v>
      </c>
      <c r="AD573" s="21">
        <v>0</v>
      </c>
      <c r="AE573" s="54">
        <v>0</v>
      </c>
      <c r="AF573" s="315">
        <f t="shared" si="45"/>
        <v>0</v>
      </c>
    </row>
    <row r="574" spans="1:32" ht="120" x14ac:dyDescent="0.25">
      <c r="A574" s="107" t="s">
        <v>588</v>
      </c>
      <c r="B574" s="107" t="s">
        <v>2269</v>
      </c>
      <c r="C574" s="52"/>
      <c r="D574" s="107" t="s">
        <v>2300</v>
      </c>
      <c r="E574" s="22" t="str">
        <f t="shared" si="43"/>
        <v>SEJUSPPROG</v>
      </c>
      <c r="F574" s="52" t="s">
        <v>729</v>
      </c>
      <c r="G574" s="22" t="str">
        <f t="shared" si="44"/>
        <v>P130SEJUSP</v>
      </c>
      <c r="H574" s="92" t="s">
        <v>1259</v>
      </c>
      <c r="I574" s="22" t="s">
        <v>16</v>
      </c>
      <c r="J574" s="92" t="s">
        <v>1602</v>
      </c>
      <c r="K574" s="22" t="str">
        <f>VLOOKUP(CONCATENATE(A574,LEFT(J574,4)),AGRUPAMENTO!$D$2:$E$6783,2,FALSE)</f>
        <v>Material de consumo</v>
      </c>
      <c r="L574" s="92" t="s">
        <v>44</v>
      </c>
      <c r="M574" s="52"/>
      <c r="N574" s="52">
        <v>10</v>
      </c>
      <c r="O574" s="157" t="s">
        <v>2839</v>
      </c>
      <c r="P574" s="92" t="s">
        <v>58</v>
      </c>
      <c r="Q574" s="92" t="s">
        <v>3908</v>
      </c>
      <c r="R574" s="92">
        <v>3</v>
      </c>
      <c r="S574" s="92" t="s">
        <v>3910</v>
      </c>
      <c r="T574" s="200">
        <v>48</v>
      </c>
      <c r="U574" s="201">
        <v>1</v>
      </c>
      <c r="V574" s="58">
        <f t="shared" si="42"/>
        <v>144</v>
      </c>
      <c r="W574" s="52" t="s">
        <v>49</v>
      </c>
      <c r="X574" s="92" t="s">
        <v>4642</v>
      </c>
      <c r="Y574" s="92" t="s">
        <v>4643</v>
      </c>
      <c r="Z574" s="201" t="s">
        <v>4644</v>
      </c>
      <c r="AA574" s="52">
        <v>0</v>
      </c>
      <c r="AB574" s="52">
        <v>0</v>
      </c>
      <c r="AC574" s="52">
        <v>0</v>
      </c>
      <c r="AD574" s="21">
        <v>0</v>
      </c>
      <c r="AE574" s="54">
        <v>0</v>
      </c>
      <c r="AF574" s="315">
        <f t="shared" si="45"/>
        <v>0</v>
      </c>
    </row>
    <row r="575" spans="1:32" ht="135" x14ac:dyDescent="0.25">
      <c r="A575" s="107" t="s">
        <v>588</v>
      </c>
      <c r="B575" s="107" t="s">
        <v>2269</v>
      </c>
      <c r="C575" s="52"/>
      <c r="D575" s="107" t="s">
        <v>2300</v>
      </c>
      <c r="E575" s="22" t="str">
        <f t="shared" si="43"/>
        <v>SEJUSPPROG</v>
      </c>
      <c r="F575" s="52" t="s">
        <v>729</v>
      </c>
      <c r="G575" s="22" t="str">
        <f t="shared" si="44"/>
        <v>P130SEJUSP</v>
      </c>
      <c r="H575" s="92" t="s">
        <v>1259</v>
      </c>
      <c r="I575" s="22" t="s">
        <v>16</v>
      </c>
      <c r="J575" s="92" t="s">
        <v>1602</v>
      </c>
      <c r="K575" s="22" t="str">
        <f>VLOOKUP(CONCATENATE(A575,LEFT(J575,4)),AGRUPAMENTO!$D$2:$E$6783,2,FALSE)</f>
        <v>Material de consumo</v>
      </c>
      <c r="L575" s="92" t="s">
        <v>44</v>
      </c>
      <c r="M575" s="52"/>
      <c r="N575" s="52">
        <v>10</v>
      </c>
      <c r="O575" s="157" t="s">
        <v>2840</v>
      </c>
      <c r="P575" s="92" t="s">
        <v>58</v>
      </c>
      <c r="Q575" s="92" t="s">
        <v>3908</v>
      </c>
      <c r="R575" s="92">
        <v>17</v>
      </c>
      <c r="S575" s="92" t="s">
        <v>3910</v>
      </c>
      <c r="T575" s="200">
        <v>282</v>
      </c>
      <c r="U575" s="201">
        <v>1</v>
      </c>
      <c r="V575" s="58">
        <f t="shared" si="42"/>
        <v>4794</v>
      </c>
      <c r="W575" s="52" t="s">
        <v>49</v>
      </c>
      <c r="X575" s="92" t="s">
        <v>4642</v>
      </c>
      <c r="Y575" s="92" t="s">
        <v>4643</v>
      </c>
      <c r="Z575" s="201" t="s">
        <v>4644</v>
      </c>
      <c r="AA575" s="52">
        <v>0</v>
      </c>
      <c r="AB575" s="52">
        <v>0</v>
      </c>
      <c r="AC575" s="52">
        <v>0</v>
      </c>
      <c r="AD575" s="21">
        <v>0</v>
      </c>
      <c r="AE575" s="54">
        <v>0</v>
      </c>
      <c r="AF575" s="315">
        <f t="shared" si="45"/>
        <v>0</v>
      </c>
    </row>
    <row r="576" spans="1:32" ht="120" x14ac:dyDescent="0.25">
      <c r="A576" s="107" t="s">
        <v>588</v>
      </c>
      <c r="B576" s="107" t="s">
        <v>2269</v>
      </c>
      <c r="C576" s="52"/>
      <c r="D576" s="107" t="s">
        <v>2300</v>
      </c>
      <c r="E576" s="22" t="str">
        <f t="shared" si="43"/>
        <v>SEJUSPPROG</v>
      </c>
      <c r="F576" s="52" t="s">
        <v>729</v>
      </c>
      <c r="G576" s="22" t="str">
        <f t="shared" si="44"/>
        <v>P130SEJUSP</v>
      </c>
      <c r="H576" s="92" t="s">
        <v>1259</v>
      </c>
      <c r="I576" s="22" t="s">
        <v>16</v>
      </c>
      <c r="J576" s="92" t="s">
        <v>1602</v>
      </c>
      <c r="K576" s="22" t="str">
        <f>VLOOKUP(CONCATENATE(A576,LEFT(J576,4)),AGRUPAMENTO!$D$2:$E$6783,2,FALSE)</f>
        <v>Material de consumo</v>
      </c>
      <c r="L576" s="92" t="s">
        <v>44</v>
      </c>
      <c r="M576" s="52"/>
      <c r="N576" s="52">
        <v>10</v>
      </c>
      <c r="O576" s="157" t="s">
        <v>2841</v>
      </c>
      <c r="P576" s="92" t="s">
        <v>58</v>
      </c>
      <c r="Q576" s="92" t="s">
        <v>3908</v>
      </c>
      <c r="R576" s="92">
        <v>17</v>
      </c>
      <c r="S576" s="92" t="s">
        <v>3910</v>
      </c>
      <c r="T576" s="200">
        <v>40</v>
      </c>
      <c r="U576" s="201">
        <v>1</v>
      </c>
      <c r="V576" s="58">
        <f t="shared" si="42"/>
        <v>680</v>
      </c>
      <c r="W576" s="52" t="s">
        <v>49</v>
      </c>
      <c r="X576" s="92" t="s">
        <v>4642</v>
      </c>
      <c r="Y576" s="92" t="s">
        <v>4643</v>
      </c>
      <c r="Z576" s="201" t="s">
        <v>4644</v>
      </c>
      <c r="AA576" s="52">
        <v>0</v>
      </c>
      <c r="AB576" s="52">
        <v>0</v>
      </c>
      <c r="AC576" s="52">
        <v>0</v>
      </c>
      <c r="AD576" s="21">
        <v>0</v>
      </c>
      <c r="AE576" s="54">
        <v>0</v>
      </c>
      <c r="AF576" s="315">
        <f t="shared" si="45"/>
        <v>0</v>
      </c>
    </row>
    <row r="577" spans="1:32" ht="210" x14ac:dyDescent="0.25">
      <c r="A577" s="107" t="s">
        <v>588</v>
      </c>
      <c r="B577" s="107" t="s">
        <v>2269</v>
      </c>
      <c r="C577" s="52"/>
      <c r="D577" s="107" t="s">
        <v>2300</v>
      </c>
      <c r="E577" s="22" t="str">
        <f t="shared" si="43"/>
        <v>SEJUSPPROG</v>
      </c>
      <c r="F577" s="52" t="s">
        <v>729</v>
      </c>
      <c r="G577" s="22" t="str">
        <f t="shared" si="44"/>
        <v>P130SEJUSP</v>
      </c>
      <c r="H577" s="92" t="s">
        <v>1259</v>
      </c>
      <c r="I577" s="22" t="s">
        <v>16</v>
      </c>
      <c r="J577" s="92" t="s">
        <v>1602</v>
      </c>
      <c r="K577" s="22" t="str">
        <f>VLOOKUP(CONCATENATE(A577,LEFT(J577,4)),AGRUPAMENTO!$D$2:$E$6783,2,FALSE)</f>
        <v>Material de consumo</v>
      </c>
      <c r="L577" s="92" t="s">
        <v>44</v>
      </c>
      <c r="M577" s="52"/>
      <c r="N577" s="52">
        <v>10</v>
      </c>
      <c r="O577" s="157" t="s">
        <v>2842</v>
      </c>
      <c r="P577" s="92" t="s">
        <v>58</v>
      </c>
      <c r="Q577" s="92" t="s">
        <v>3908</v>
      </c>
      <c r="R577" s="92">
        <v>3</v>
      </c>
      <c r="S577" s="92" t="s">
        <v>3910</v>
      </c>
      <c r="T577" s="200">
        <v>282</v>
      </c>
      <c r="U577" s="201">
        <v>1</v>
      </c>
      <c r="V577" s="58">
        <f t="shared" si="42"/>
        <v>846</v>
      </c>
      <c r="W577" s="52" t="s">
        <v>49</v>
      </c>
      <c r="X577" s="92" t="s">
        <v>4642</v>
      </c>
      <c r="Y577" s="92" t="s">
        <v>4643</v>
      </c>
      <c r="Z577" s="201" t="s">
        <v>4644</v>
      </c>
      <c r="AA577" s="52">
        <v>0</v>
      </c>
      <c r="AB577" s="52">
        <v>0</v>
      </c>
      <c r="AC577" s="52">
        <v>0</v>
      </c>
      <c r="AD577" s="21">
        <v>0</v>
      </c>
      <c r="AE577" s="54">
        <v>0</v>
      </c>
      <c r="AF577" s="315">
        <f t="shared" si="45"/>
        <v>0</v>
      </c>
    </row>
    <row r="578" spans="1:32" ht="120" x14ac:dyDescent="0.25">
      <c r="A578" s="107" t="s">
        <v>588</v>
      </c>
      <c r="B578" s="107" t="s">
        <v>2269</v>
      </c>
      <c r="C578" s="52"/>
      <c r="D578" s="107" t="s">
        <v>2300</v>
      </c>
      <c r="E578" s="22" t="str">
        <f t="shared" si="43"/>
        <v>SEJUSPPROG</v>
      </c>
      <c r="F578" s="52" t="s">
        <v>729</v>
      </c>
      <c r="G578" s="22" t="str">
        <f t="shared" si="44"/>
        <v>P130SEJUSP</v>
      </c>
      <c r="H578" s="92" t="s">
        <v>1259</v>
      </c>
      <c r="I578" s="22" t="s">
        <v>16</v>
      </c>
      <c r="J578" s="92" t="s">
        <v>1602</v>
      </c>
      <c r="K578" s="22" t="str">
        <f>VLOOKUP(CONCATENATE(A578,LEFT(J578,4)),AGRUPAMENTO!$D$2:$E$6783,2,FALSE)</f>
        <v>Material de consumo</v>
      </c>
      <c r="L578" s="92" t="s">
        <v>44</v>
      </c>
      <c r="M578" s="52"/>
      <c r="N578" s="52">
        <v>10</v>
      </c>
      <c r="O578" s="157" t="s">
        <v>2843</v>
      </c>
      <c r="P578" s="92" t="s">
        <v>58</v>
      </c>
      <c r="Q578" s="92" t="s">
        <v>3908</v>
      </c>
      <c r="R578" s="92">
        <v>20</v>
      </c>
      <c r="S578" s="92" t="s">
        <v>3910</v>
      </c>
      <c r="T578" s="200">
        <v>40</v>
      </c>
      <c r="U578" s="201">
        <v>1</v>
      </c>
      <c r="V578" s="58">
        <f t="shared" ref="V578:V641" si="46">R578*T578*U578</f>
        <v>800</v>
      </c>
      <c r="W578" s="52" t="s">
        <v>49</v>
      </c>
      <c r="X578" s="92" t="s">
        <v>4642</v>
      </c>
      <c r="Y578" s="92" t="s">
        <v>4643</v>
      </c>
      <c r="Z578" s="201" t="s">
        <v>4644</v>
      </c>
      <c r="AA578" s="52">
        <v>0</v>
      </c>
      <c r="AB578" s="52">
        <v>0</v>
      </c>
      <c r="AC578" s="52">
        <v>0</v>
      </c>
      <c r="AD578" s="21">
        <v>0</v>
      </c>
      <c r="AE578" s="54">
        <v>0</v>
      </c>
      <c r="AF578" s="315">
        <f t="shared" si="45"/>
        <v>0</v>
      </c>
    </row>
    <row r="579" spans="1:32" ht="120" x14ac:dyDescent="0.25">
      <c r="A579" s="107" t="s">
        <v>588</v>
      </c>
      <c r="B579" s="107" t="s">
        <v>2269</v>
      </c>
      <c r="C579" s="52"/>
      <c r="D579" s="107" t="s">
        <v>2300</v>
      </c>
      <c r="E579" s="22" t="str">
        <f t="shared" ref="E579:E642" si="47">CONCATENATE(A579,"PROG")</f>
        <v>SEJUSPPROG</v>
      </c>
      <c r="F579" s="52" t="s">
        <v>729</v>
      </c>
      <c r="G579" s="22" t="str">
        <f t="shared" si="44"/>
        <v>P130SEJUSP</v>
      </c>
      <c r="H579" s="92" t="s">
        <v>1259</v>
      </c>
      <c r="I579" s="22" t="s">
        <v>16</v>
      </c>
      <c r="J579" s="92" t="s">
        <v>1602</v>
      </c>
      <c r="K579" s="22" t="str">
        <f>VLOOKUP(CONCATENATE(A579,LEFT(J579,4)),AGRUPAMENTO!$D$2:$E$6783,2,FALSE)</f>
        <v>Material de consumo</v>
      </c>
      <c r="L579" s="92" t="s">
        <v>44</v>
      </c>
      <c r="M579" s="52"/>
      <c r="N579" s="52">
        <v>10</v>
      </c>
      <c r="O579" s="157" t="s">
        <v>2844</v>
      </c>
      <c r="P579" s="92" t="s">
        <v>58</v>
      </c>
      <c r="Q579" s="92" t="s">
        <v>3908</v>
      </c>
      <c r="R579" s="92">
        <v>20</v>
      </c>
      <c r="S579" s="92" t="s">
        <v>3910</v>
      </c>
      <c r="T579" s="200">
        <v>72.599999999999994</v>
      </c>
      <c r="U579" s="201">
        <v>1</v>
      </c>
      <c r="V579" s="58">
        <f t="shared" si="46"/>
        <v>1452</v>
      </c>
      <c r="W579" s="52" t="s">
        <v>49</v>
      </c>
      <c r="X579" s="92" t="s">
        <v>4642</v>
      </c>
      <c r="Y579" s="92" t="s">
        <v>4643</v>
      </c>
      <c r="Z579" s="201" t="s">
        <v>4644</v>
      </c>
      <c r="AA579" s="52">
        <v>0</v>
      </c>
      <c r="AB579" s="52">
        <v>0</v>
      </c>
      <c r="AC579" s="52">
        <v>0</v>
      </c>
      <c r="AD579" s="21">
        <v>0</v>
      </c>
      <c r="AE579" s="54">
        <v>0</v>
      </c>
      <c r="AF579" s="315">
        <f t="shared" si="45"/>
        <v>0</v>
      </c>
    </row>
    <row r="580" spans="1:32" ht="120" x14ac:dyDescent="0.25">
      <c r="A580" s="107" t="s">
        <v>588</v>
      </c>
      <c r="B580" s="107" t="s">
        <v>2269</v>
      </c>
      <c r="C580" s="52"/>
      <c r="D580" s="107" t="s">
        <v>2300</v>
      </c>
      <c r="E580" s="22" t="str">
        <f t="shared" si="47"/>
        <v>SEJUSPPROG</v>
      </c>
      <c r="F580" s="52" t="s">
        <v>729</v>
      </c>
      <c r="G580" s="22" t="str">
        <f t="shared" ref="G580:G643" si="48">CONCATENATE("P",(LEFT(F580,3)),A580)</f>
        <v>P130SEJUSP</v>
      </c>
      <c r="H580" s="92" t="s">
        <v>1259</v>
      </c>
      <c r="I580" s="22" t="s">
        <v>16</v>
      </c>
      <c r="J580" s="92" t="s">
        <v>1602</v>
      </c>
      <c r="K580" s="22" t="str">
        <f>VLOOKUP(CONCATENATE(A580,LEFT(J580,4)),AGRUPAMENTO!$D$2:$E$6783,2,FALSE)</f>
        <v>Material de consumo</v>
      </c>
      <c r="L580" s="92" t="s">
        <v>44</v>
      </c>
      <c r="M580" s="52"/>
      <c r="N580" s="52">
        <v>10</v>
      </c>
      <c r="O580" s="157" t="s">
        <v>2845</v>
      </c>
      <c r="P580" s="92" t="s">
        <v>58</v>
      </c>
      <c r="Q580" s="92" t="s">
        <v>3908</v>
      </c>
      <c r="R580" s="92">
        <v>3</v>
      </c>
      <c r="S580" s="92" t="s">
        <v>3910</v>
      </c>
      <c r="T580" s="200">
        <v>151.25</v>
      </c>
      <c r="U580" s="201">
        <v>1</v>
      </c>
      <c r="V580" s="58">
        <f t="shared" si="46"/>
        <v>453.75</v>
      </c>
      <c r="W580" s="52" t="s">
        <v>49</v>
      </c>
      <c r="X580" s="92" t="s">
        <v>4642</v>
      </c>
      <c r="Y580" s="92" t="s">
        <v>4643</v>
      </c>
      <c r="Z580" s="201" t="s">
        <v>4644</v>
      </c>
      <c r="AA580" s="52">
        <v>0</v>
      </c>
      <c r="AB580" s="52">
        <v>0</v>
      </c>
      <c r="AC580" s="52">
        <v>0</v>
      </c>
      <c r="AD580" s="21">
        <v>0</v>
      </c>
      <c r="AE580" s="54">
        <v>0</v>
      </c>
      <c r="AF580" s="315">
        <f t="shared" ref="AF580:AF643" si="49">AE580*V580</f>
        <v>0</v>
      </c>
    </row>
    <row r="581" spans="1:32" ht="120" x14ac:dyDescent="0.25">
      <c r="A581" s="107" t="s">
        <v>588</v>
      </c>
      <c r="B581" s="107" t="s">
        <v>2269</v>
      </c>
      <c r="C581" s="52"/>
      <c r="D581" s="107" t="s">
        <v>2300</v>
      </c>
      <c r="E581" s="22" t="str">
        <f t="shared" si="47"/>
        <v>SEJUSPPROG</v>
      </c>
      <c r="F581" s="52" t="s">
        <v>729</v>
      </c>
      <c r="G581" s="22" t="str">
        <f t="shared" si="48"/>
        <v>P130SEJUSP</v>
      </c>
      <c r="H581" s="92" t="s">
        <v>1259</v>
      </c>
      <c r="I581" s="22" t="s">
        <v>16</v>
      </c>
      <c r="J581" s="92" t="s">
        <v>1602</v>
      </c>
      <c r="K581" s="22" t="str">
        <f>VLOOKUP(CONCATENATE(A581,LEFT(J581,4)),AGRUPAMENTO!$D$2:$E$6783,2,FALSE)</f>
        <v>Material de consumo</v>
      </c>
      <c r="L581" s="92" t="s">
        <v>44</v>
      </c>
      <c r="M581" s="52"/>
      <c r="N581" s="52">
        <v>10</v>
      </c>
      <c r="O581" s="157" t="s">
        <v>2846</v>
      </c>
      <c r="P581" s="92" t="s">
        <v>58</v>
      </c>
      <c r="Q581" s="92" t="s">
        <v>3908</v>
      </c>
      <c r="R581" s="92">
        <v>6</v>
      </c>
      <c r="S581" s="92" t="s">
        <v>3910</v>
      </c>
      <c r="T581" s="200">
        <v>78.650000000000006</v>
      </c>
      <c r="U581" s="201">
        <v>1</v>
      </c>
      <c r="V581" s="58">
        <f t="shared" si="46"/>
        <v>471.90000000000003</v>
      </c>
      <c r="W581" s="52" t="s">
        <v>49</v>
      </c>
      <c r="X581" s="92" t="s">
        <v>4642</v>
      </c>
      <c r="Y581" s="92" t="s">
        <v>4643</v>
      </c>
      <c r="Z581" s="201" t="s">
        <v>4644</v>
      </c>
      <c r="AA581" s="52">
        <v>0</v>
      </c>
      <c r="AB581" s="52">
        <v>0</v>
      </c>
      <c r="AC581" s="52">
        <v>0</v>
      </c>
      <c r="AD581" s="21">
        <v>0</v>
      </c>
      <c r="AE581" s="54">
        <v>0</v>
      </c>
      <c r="AF581" s="315">
        <f t="shared" si="49"/>
        <v>0</v>
      </c>
    </row>
    <row r="582" spans="1:32" ht="120" x14ac:dyDescent="0.25">
      <c r="A582" s="107" t="s">
        <v>588</v>
      </c>
      <c r="B582" s="107" t="s">
        <v>2269</v>
      </c>
      <c r="C582" s="52"/>
      <c r="D582" s="107" t="s">
        <v>2300</v>
      </c>
      <c r="E582" s="22" t="str">
        <f t="shared" si="47"/>
        <v>SEJUSPPROG</v>
      </c>
      <c r="F582" s="52" t="s">
        <v>729</v>
      </c>
      <c r="G582" s="22" t="str">
        <f t="shared" si="48"/>
        <v>P130SEJUSP</v>
      </c>
      <c r="H582" s="92" t="s">
        <v>1259</v>
      </c>
      <c r="I582" s="22" t="s">
        <v>16</v>
      </c>
      <c r="J582" s="92" t="s">
        <v>1602</v>
      </c>
      <c r="K582" s="22" t="str">
        <f>VLOOKUP(CONCATENATE(A582,LEFT(J582,4)),AGRUPAMENTO!$D$2:$E$6783,2,FALSE)</f>
        <v>Material de consumo</v>
      </c>
      <c r="L582" s="92" t="s">
        <v>44</v>
      </c>
      <c r="M582" s="52"/>
      <c r="N582" s="52">
        <v>10</v>
      </c>
      <c r="O582" s="157" t="s">
        <v>2847</v>
      </c>
      <c r="P582" s="92" t="s">
        <v>58</v>
      </c>
      <c r="Q582" s="92" t="s">
        <v>3908</v>
      </c>
      <c r="R582" s="92">
        <v>3</v>
      </c>
      <c r="S582" s="92" t="s">
        <v>3910</v>
      </c>
      <c r="T582" s="200">
        <v>154.88</v>
      </c>
      <c r="U582" s="201">
        <v>1</v>
      </c>
      <c r="V582" s="58">
        <f t="shared" si="46"/>
        <v>464.64</v>
      </c>
      <c r="W582" s="52" t="s">
        <v>49</v>
      </c>
      <c r="X582" s="92" t="s">
        <v>4642</v>
      </c>
      <c r="Y582" s="92" t="s">
        <v>4643</v>
      </c>
      <c r="Z582" s="201" t="s">
        <v>4644</v>
      </c>
      <c r="AA582" s="52">
        <v>0</v>
      </c>
      <c r="AB582" s="52">
        <v>0</v>
      </c>
      <c r="AC582" s="52">
        <v>0</v>
      </c>
      <c r="AD582" s="21">
        <v>0</v>
      </c>
      <c r="AE582" s="54">
        <v>0</v>
      </c>
      <c r="AF582" s="315">
        <f t="shared" si="49"/>
        <v>0</v>
      </c>
    </row>
    <row r="583" spans="1:32" ht="210" x14ac:dyDescent="0.25">
      <c r="A583" s="107" t="s">
        <v>588</v>
      </c>
      <c r="B583" s="107" t="s">
        <v>2269</v>
      </c>
      <c r="C583" s="52"/>
      <c r="D583" s="107" t="s">
        <v>2300</v>
      </c>
      <c r="E583" s="22" t="str">
        <f t="shared" si="47"/>
        <v>SEJUSPPROG</v>
      </c>
      <c r="F583" s="52" t="s">
        <v>729</v>
      </c>
      <c r="G583" s="22" t="str">
        <f t="shared" si="48"/>
        <v>P130SEJUSP</v>
      </c>
      <c r="H583" s="92" t="s">
        <v>1259</v>
      </c>
      <c r="I583" s="22" t="s">
        <v>16</v>
      </c>
      <c r="J583" s="92" t="s">
        <v>1602</v>
      </c>
      <c r="K583" s="22" t="str">
        <f>VLOOKUP(CONCATENATE(A583,LEFT(J583,4)),AGRUPAMENTO!$D$2:$E$6783,2,FALSE)</f>
        <v>Material de consumo</v>
      </c>
      <c r="L583" s="92" t="s">
        <v>44</v>
      </c>
      <c r="M583" s="52"/>
      <c r="N583" s="52">
        <v>10</v>
      </c>
      <c r="O583" s="153" t="s">
        <v>2848</v>
      </c>
      <c r="P583" s="92" t="s">
        <v>58</v>
      </c>
      <c r="Q583" s="92" t="s">
        <v>3908</v>
      </c>
      <c r="R583" s="92">
        <v>5</v>
      </c>
      <c r="S583" s="92" t="s">
        <v>3909</v>
      </c>
      <c r="T583" s="200">
        <v>9.15</v>
      </c>
      <c r="U583" s="201">
        <v>1</v>
      </c>
      <c r="V583" s="58">
        <f t="shared" si="46"/>
        <v>45.75</v>
      </c>
      <c r="W583" s="52" t="s">
        <v>49</v>
      </c>
      <c r="X583" s="282" t="s">
        <v>4633</v>
      </c>
      <c r="Y583" s="92" t="s">
        <v>4639</v>
      </c>
      <c r="Z583" s="201" t="s">
        <v>4641</v>
      </c>
      <c r="AA583" s="52">
        <v>0</v>
      </c>
      <c r="AB583" s="52">
        <v>0</v>
      </c>
      <c r="AC583" s="52">
        <v>0</v>
      </c>
      <c r="AD583" s="21">
        <v>0</v>
      </c>
      <c r="AE583" s="54">
        <v>0</v>
      </c>
      <c r="AF583" s="315">
        <f t="shared" si="49"/>
        <v>0</v>
      </c>
    </row>
    <row r="584" spans="1:32" ht="120" x14ac:dyDescent="0.25">
      <c r="A584" s="107" t="s">
        <v>588</v>
      </c>
      <c r="B584" s="107" t="s">
        <v>2269</v>
      </c>
      <c r="C584" s="52"/>
      <c r="D584" s="107" t="s">
        <v>2300</v>
      </c>
      <c r="E584" s="22" t="str">
        <f t="shared" si="47"/>
        <v>SEJUSPPROG</v>
      </c>
      <c r="F584" s="52" t="s">
        <v>729</v>
      </c>
      <c r="G584" s="22" t="str">
        <f t="shared" si="48"/>
        <v>P130SEJUSP</v>
      </c>
      <c r="H584" s="92" t="s">
        <v>1259</v>
      </c>
      <c r="I584" s="22" t="s">
        <v>16</v>
      </c>
      <c r="J584" s="92" t="s">
        <v>1602</v>
      </c>
      <c r="K584" s="22" t="str">
        <f>VLOOKUP(CONCATENATE(A584,LEFT(J584,4)),AGRUPAMENTO!$D$2:$E$6783,2,FALSE)</f>
        <v>Material de consumo</v>
      </c>
      <c r="L584" s="92" t="s">
        <v>44</v>
      </c>
      <c r="M584" s="52"/>
      <c r="N584" s="52">
        <v>10</v>
      </c>
      <c r="O584" s="158" t="s">
        <v>2849</v>
      </c>
      <c r="P584" s="92" t="s">
        <v>58</v>
      </c>
      <c r="Q584" s="92" t="s">
        <v>3908</v>
      </c>
      <c r="R584" s="92">
        <v>6</v>
      </c>
      <c r="S584" s="92" t="s">
        <v>3910</v>
      </c>
      <c r="T584" s="200">
        <v>68</v>
      </c>
      <c r="U584" s="201">
        <v>1</v>
      </c>
      <c r="V584" s="58">
        <f t="shared" si="46"/>
        <v>408</v>
      </c>
      <c r="W584" s="52" t="s">
        <v>49</v>
      </c>
      <c r="X584" s="92" t="s">
        <v>4642</v>
      </c>
      <c r="Y584" s="92" t="s">
        <v>4643</v>
      </c>
      <c r="Z584" s="201" t="s">
        <v>4644</v>
      </c>
      <c r="AA584" s="52">
        <v>0</v>
      </c>
      <c r="AB584" s="52">
        <v>0</v>
      </c>
      <c r="AC584" s="52">
        <v>0</v>
      </c>
      <c r="AD584" s="21">
        <v>0</v>
      </c>
      <c r="AE584" s="54">
        <v>0</v>
      </c>
      <c r="AF584" s="315">
        <f t="shared" si="49"/>
        <v>0</v>
      </c>
    </row>
    <row r="585" spans="1:32" ht="120" x14ac:dyDescent="0.25">
      <c r="A585" s="107" t="s">
        <v>588</v>
      </c>
      <c r="B585" s="107" t="s">
        <v>2269</v>
      </c>
      <c r="C585" s="52"/>
      <c r="D585" s="107" t="s">
        <v>2300</v>
      </c>
      <c r="E585" s="22" t="str">
        <f t="shared" si="47"/>
        <v>SEJUSPPROG</v>
      </c>
      <c r="F585" s="52" t="s">
        <v>729</v>
      </c>
      <c r="G585" s="22" t="str">
        <f t="shared" si="48"/>
        <v>P130SEJUSP</v>
      </c>
      <c r="H585" s="92" t="s">
        <v>1259</v>
      </c>
      <c r="I585" s="22" t="s">
        <v>16</v>
      </c>
      <c r="J585" s="92" t="s">
        <v>1602</v>
      </c>
      <c r="K585" s="22" t="str">
        <f>VLOOKUP(CONCATENATE(A585,LEFT(J585,4)),AGRUPAMENTO!$D$2:$E$6783,2,FALSE)</f>
        <v>Material de consumo</v>
      </c>
      <c r="L585" s="92" t="s">
        <v>44</v>
      </c>
      <c r="M585" s="52"/>
      <c r="N585" s="52">
        <v>10</v>
      </c>
      <c r="O585" s="157" t="s">
        <v>2850</v>
      </c>
      <c r="P585" s="92" t="s">
        <v>58</v>
      </c>
      <c r="Q585" s="92" t="s">
        <v>3908</v>
      </c>
      <c r="R585" s="92">
        <v>23</v>
      </c>
      <c r="S585" s="92" t="s">
        <v>3910</v>
      </c>
      <c r="T585" s="200">
        <v>62</v>
      </c>
      <c r="U585" s="201">
        <v>1</v>
      </c>
      <c r="V585" s="58">
        <f t="shared" si="46"/>
        <v>1426</v>
      </c>
      <c r="W585" s="52" t="s">
        <v>49</v>
      </c>
      <c r="X585" s="92" t="s">
        <v>4642</v>
      </c>
      <c r="Y585" s="92" t="s">
        <v>4643</v>
      </c>
      <c r="Z585" s="201" t="s">
        <v>4644</v>
      </c>
      <c r="AA585" s="52">
        <v>0</v>
      </c>
      <c r="AB585" s="52">
        <v>0</v>
      </c>
      <c r="AC585" s="52">
        <v>0</v>
      </c>
      <c r="AD585" s="21">
        <v>0</v>
      </c>
      <c r="AE585" s="54">
        <v>0</v>
      </c>
      <c r="AF585" s="315">
        <f t="shared" si="49"/>
        <v>0</v>
      </c>
    </row>
    <row r="586" spans="1:32" ht="120" x14ac:dyDescent="0.25">
      <c r="A586" s="107" t="s">
        <v>588</v>
      </c>
      <c r="B586" s="107" t="s">
        <v>2269</v>
      </c>
      <c r="C586" s="52"/>
      <c r="D586" s="107" t="s">
        <v>2300</v>
      </c>
      <c r="E586" s="22" t="str">
        <f t="shared" si="47"/>
        <v>SEJUSPPROG</v>
      </c>
      <c r="F586" s="52" t="s">
        <v>729</v>
      </c>
      <c r="G586" s="22" t="str">
        <f t="shared" si="48"/>
        <v>P130SEJUSP</v>
      </c>
      <c r="H586" s="92" t="s">
        <v>1259</v>
      </c>
      <c r="I586" s="22" t="s">
        <v>16</v>
      </c>
      <c r="J586" s="92" t="s">
        <v>1602</v>
      </c>
      <c r="K586" s="22" t="str">
        <f>VLOOKUP(CONCATENATE(A586,LEFT(J586,4)),AGRUPAMENTO!$D$2:$E$6783,2,FALSE)</f>
        <v>Material de consumo</v>
      </c>
      <c r="L586" s="92" t="s">
        <v>44</v>
      </c>
      <c r="M586" s="52"/>
      <c r="N586" s="52">
        <v>10</v>
      </c>
      <c r="O586" s="157" t="s">
        <v>2851</v>
      </c>
      <c r="P586" s="92" t="s">
        <v>58</v>
      </c>
      <c r="Q586" s="92" t="s">
        <v>3908</v>
      </c>
      <c r="R586" s="92">
        <v>3</v>
      </c>
      <c r="S586" s="159" t="s">
        <v>3910</v>
      </c>
      <c r="T586" s="200">
        <v>254</v>
      </c>
      <c r="U586" s="201">
        <v>1</v>
      </c>
      <c r="V586" s="58">
        <f t="shared" si="46"/>
        <v>762</v>
      </c>
      <c r="W586" s="52" t="s">
        <v>49</v>
      </c>
      <c r="X586" s="92" t="s">
        <v>4642</v>
      </c>
      <c r="Y586" s="92" t="s">
        <v>4643</v>
      </c>
      <c r="Z586" s="201" t="s">
        <v>4644</v>
      </c>
      <c r="AA586" s="52">
        <v>0</v>
      </c>
      <c r="AB586" s="52">
        <v>0</v>
      </c>
      <c r="AC586" s="52">
        <v>0</v>
      </c>
      <c r="AD586" s="21">
        <v>0</v>
      </c>
      <c r="AE586" s="54">
        <v>0</v>
      </c>
      <c r="AF586" s="315">
        <f t="shared" si="49"/>
        <v>0</v>
      </c>
    </row>
    <row r="587" spans="1:32" ht="120" x14ac:dyDescent="0.25">
      <c r="A587" s="107" t="s">
        <v>588</v>
      </c>
      <c r="B587" s="107" t="s">
        <v>2269</v>
      </c>
      <c r="C587" s="52"/>
      <c r="D587" s="107" t="s">
        <v>2300</v>
      </c>
      <c r="E587" s="22" t="str">
        <f t="shared" si="47"/>
        <v>SEJUSPPROG</v>
      </c>
      <c r="F587" s="52" t="s">
        <v>729</v>
      </c>
      <c r="G587" s="22" t="str">
        <f t="shared" si="48"/>
        <v>P130SEJUSP</v>
      </c>
      <c r="H587" s="92" t="s">
        <v>1259</v>
      </c>
      <c r="I587" s="22" t="s">
        <v>16</v>
      </c>
      <c r="J587" s="92" t="s">
        <v>1602</v>
      </c>
      <c r="K587" s="22" t="str">
        <f>VLOOKUP(CONCATENATE(A587,LEFT(J587,4)),AGRUPAMENTO!$D$2:$E$6783,2,FALSE)</f>
        <v>Material de consumo</v>
      </c>
      <c r="L587" s="92" t="s">
        <v>44</v>
      </c>
      <c r="M587" s="52"/>
      <c r="N587" s="52">
        <v>10</v>
      </c>
      <c r="O587" s="157" t="s">
        <v>2852</v>
      </c>
      <c r="P587" s="92" t="s">
        <v>58</v>
      </c>
      <c r="Q587" s="92" t="s">
        <v>3908</v>
      </c>
      <c r="R587" s="92">
        <v>570</v>
      </c>
      <c r="S587" s="159" t="s">
        <v>3910</v>
      </c>
      <c r="T587" s="200">
        <v>85</v>
      </c>
      <c r="U587" s="201">
        <v>1</v>
      </c>
      <c r="V587" s="58">
        <f t="shared" si="46"/>
        <v>48450</v>
      </c>
      <c r="W587" s="52" t="s">
        <v>49</v>
      </c>
      <c r="X587" s="92" t="s">
        <v>4642</v>
      </c>
      <c r="Y587" s="92" t="s">
        <v>4643</v>
      </c>
      <c r="Z587" s="212" t="s">
        <v>4644</v>
      </c>
      <c r="AA587" s="52">
        <v>0</v>
      </c>
      <c r="AB587" s="52">
        <v>0</v>
      </c>
      <c r="AC587" s="52">
        <v>0</v>
      </c>
      <c r="AD587" s="21">
        <v>0</v>
      </c>
      <c r="AE587" s="54">
        <v>0</v>
      </c>
      <c r="AF587" s="315">
        <f t="shared" si="49"/>
        <v>0</v>
      </c>
    </row>
    <row r="588" spans="1:32" ht="409.5" x14ac:dyDescent="0.25">
      <c r="A588" s="107" t="s">
        <v>588</v>
      </c>
      <c r="B588" s="107" t="s">
        <v>2269</v>
      </c>
      <c r="C588" s="52"/>
      <c r="D588" s="107" t="s">
        <v>2300</v>
      </c>
      <c r="E588" s="22" t="str">
        <f t="shared" si="47"/>
        <v>SEJUSPPROG</v>
      </c>
      <c r="F588" s="52" t="s">
        <v>729</v>
      </c>
      <c r="G588" s="22" t="str">
        <f t="shared" si="48"/>
        <v>P130SEJUSP</v>
      </c>
      <c r="H588" s="92" t="s">
        <v>1259</v>
      </c>
      <c r="I588" s="22" t="s">
        <v>16</v>
      </c>
      <c r="J588" s="92" t="s">
        <v>1602</v>
      </c>
      <c r="K588" s="22" t="str">
        <f>VLOOKUP(CONCATENATE(A588,LEFT(J588,4)),AGRUPAMENTO!$D$2:$E$6783,2,FALSE)</f>
        <v>Material de consumo</v>
      </c>
      <c r="L588" s="92" t="s">
        <v>44</v>
      </c>
      <c r="M588" s="52"/>
      <c r="N588" s="52">
        <v>10</v>
      </c>
      <c r="O588" s="157" t="s">
        <v>2853</v>
      </c>
      <c r="P588" s="92" t="s">
        <v>58</v>
      </c>
      <c r="Q588" s="92" t="s">
        <v>3908</v>
      </c>
      <c r="R588" s="92">
        <v>1</v>
      </c>
      <c r="S588" s="210" t="s">
        <v>3910</v>
      </c>
      <c r="T588" s="200">
        <v>4499</v>
      </c>
      <c r="U588" s="201">
        <v>1</v>
      </c>
      <c r="V588" s="58">
        <f t="shared" si="46"/>
        <v>4499</v>
      </c>
      <c r="W588" s="52" t="s">
        <v>49</v>
      </c>
      <c r="X588" s="281" t="s">
        <v>4627</v>
      </c>
      <c r="Y588" s="92" t="s">
        <v>4645</v>
      </c>
      <c r="Z588" s="201" t="s">
        <v>4646</v>
      </c>
      <c r="AA588" s="52">
        <v>0</v>
      </c>
      <c r="AB588" s="52">
        <v>0</v>
      </c>
      <c r="AC588" s="52">
        <v>0</v>
      </c>
      <c r="AD588" s="21">
        <v>0</v>
      </c>
      <c r="AE588" s="54">
        <v>0</v>
      </c>
      <c r="AF588" s="315">
        <f t="shared" si="49"/>
        <v>0</v>
      </c>
    </row>
    <row r="589" spans="1:32" ht="120" x14ac:dyDescent="0.25">
      <c r="A589" s="107" t="s">
        <v>588</v>
      </c>
      <c r="B589" s="107" t="s">
        <v>2269</v>
      </c>
      <c r="C589" s="52"/>
      <c r="D589" s="107" t="s">
        <v>2300</v>
      </c>
      <c r="E589" s="22" t="str">
        <f t="shared" si="47"/>
        <v>SEJUSPPROG</v>
      </c>
      <c r="F589" s="52" t="s">
        <v>729</v>
      </c>
      <c r="G589" s="22" t="str">
        <f t="shared" si="48"/>
        <v>P130SEJUSP</v>
      </c>
      <c r="H589" s="92" t="s">
        <v>1259</v>
      </c>
      <c r="I589" s="22" t="s">
        <v>16</v>
      </c>
      <c r="J589" s="92" t="s">
        <v>1603</v>
      </c>
      <c r="K589" s="22" t="str">
        <f>VLOOKUP(CONCATENATE(A589,LEFT(J589,4)),AGRUPAMENTO!$D$2:$E$6783,2,FALSE)</f>
        <v>Material de consumo</v>
      </c>
      <c r="L589" s="92" t="s">
        <v>44</v>
      </c>
      <c r="M589" s="52"/>
      <c r="N589" s="52">
        <v>10</v>
      </c>
      <c r="O589" s="153" t="s">
        <v>2854</v>
      </c>
      <c r="P589" s="92" t="s">
        <v>58</v>
      </c>
      <c r="Q589" s="92" t="s">
        <v>3908</v>
      </c>
      <c r="R589" s="92">
        <v>5</v>
      </c>
      <c r="S589" s="92" t="s">
        <v>3909</v>
      </c>
      <c r="T589" s="200">
        <v>28.98</v>
      </c>
      <c r="U589" s="201">
        <v>1</v>
      </c>
      <c r="V589" s="58">
        <f t="shared" si="46"/>
        <v>144.9</v>
      </c>
      <c r="W589" s="52" t="s">
        <v>49</v>
      </c>
      <c r="X589" s="92" t="s">
        <v>4642</v>
      </c>
      <c r="Y589" s="92" t="s">
        <v>4643</v>
      </c>
      <c r="Z589" s="201" t="s">
        <v>4644</v>
      </c>
      <c r="AA589" s="52">
        <v>0</v>
      </c>
      <c r="AB589" s="52">
        <v>0</v>
      </c>
      <c r="AC589" s="52">
        <v>0</v>
      </c>
      <c r="AD589" s="21">
        <v>0</v>
      </c>
      <c r="AE589" s="54">
        <v>0</v>
      </c>
      <c r="AF589" s="315">
        <f t="shared" si="49"/>
        <v>0</v>
      </c>
    </row>
    <row r="590" spans="1:32" ht="210" x14ac:dyDescent="0.25">
      <c r="A590" s="107" t="s">
        <v>588</v>
      </c>
      <c r="B590" s="107" t="s">
        <v>2269</v>
      </c>
      <c r="C590" s="52"/>
      <c r="D590" s="107" t="s">
        <v>2300</v>
      </c>
      <c r="E590" s="22" t="str">
        <f t="shared" si="47"/>
        <v>SEJUSPPROG</v>
      </c>
      <c r="F590" s="52" t="s">
        <v>729</v>
      </c>
      <c r="G590" s="22" t="str">
        <f t="shared" si="48"/>
        <v>P130SEJUSP</v>
      </c>
      <c r="H590" s="92" t="s">
        <v>1259</v>
      </c>
      <c r="I590" s="22" t="s">
        <v>16</v>
      </c>
      <c r="J590" s="92" t="s">
        <v>1603</v>
      </c>
      <c r="K590" s="22" t="str">
        <f>VLOOKUP(CONCATENATE(A590,LEFT(J590,4)),AGRUPAMENTO!$D$2:$E$6783,2,FALSE)</f>
        <v>Material de consumo</v>
      </c>
      <c r="L590" s="92" t="s">
        <v>44</v>
      </c>
      <c r="M590" s="52"/>
      <c r="N590" s="52">
        <v>10</v>
      </c>
      <c r="O590" s="153" t="s">
        <v>2855</v>
      </c>
      <c r="P590" s="92" t="s">
        <v>58</v>
      </c>
      <c r="Q590" s="92" t="s">
        <v>3908</v>
      </c>
      <c r="R590" s="92">
        <v>5</v>
      </c>
      <c r="S590" s="92" t="s">
        <v>3909</v>
      </c>
      <c r="T590" s="200">
        <v>64</v>
      </c>
      <c r="U590" s="201">
        <v>1</v>
      </c>
      <c r="V590" s="58">
        <f t="shared" si="46"/>
        <v>320</v>
      </c>
      <c r="W590" s="52" t="s">
        <v>49</v>
      </c>
      <c r="X590" s="282" t="s">
        <v>4633</v>
      </c>
      <c r="Y590" s="92" t="s">
        <v>4639</v>
      </c>
      <c r="Z590" s="201" t="s">
        <v>4641</v>
      </c>
      <c r="AA590" s="52">
        <v>0</v>
      </c>
      <c r="AB590" s="52">
        <v>0</v>
      </c>
      <c r="AC590" s="52">
        <v>0</v>
      </c>
      <c r="AD590" s="21">
        <v>0</v>
      </c>
      <c r="AE590" s="54">
        <v>0</v>
      </c>
      <c r="AF590" s="315">
        <f t="shared" si="49"/>
        <v>0</v>
      </c>
    </row>
    <row r="591" spans="1:32" ht="210" x14ac:dyDescent="0.25">
      <c r="A591" s="107" t="s">
        <v>588</v>
      </c>
      <c r="B591" s="107" t="s">
        <v>2269</v>
      </c>
      <c r="C591" s="52"/>
      <c r="D591" s="107" t="s">
        <v>2300</v>
      </c>
      <c r="E591" s="22" t="str">
        <f t="shared" si="47"/>
        <v>SEJUSPPROG</v>
      </c>
      <c r="F591" s="52" t="s">
        <v>729</v>
      </c>
      <c r="G591" s="22" t="str">
        <f t="shared" si="48"/>
        <v>P130SEJUSP</v>
      </c>
      <c r="H591" s="92" t="s">
        <v>1259</v>
      </c>
      <c r="I591" s="22" t="s">
        <v>16</v>
      </c>
      <c r="J591" s="92" t="s">
        <v>1603</v>
      </c>
      <c r="K591" s="22" t="str">
        <f>VLOOKUP(CONCATENATE(A591,LEFT(J591,4)),AGRUPAMENTO!$D$2:$E$6783,2,FALSE)</f>
        <v>Material de consumo</v>
      </c>
      <c r="L591" s="92" t="s">
        <v>44</v>
      </c>
      <c r="M591" s="52"/>
      <c r="N591" s="52">
        <v>10</v>
      </c>
      <c r="O591" s="153" t="s">
        <v>2856</v>
      </c>
      <c r="P591" s="92" t="s">
        <v>58</v>
      </c>
      <c r="Q591" s="92" t="s">
        <v>3908</v>
      </c>
      <c r="R591" s="92">
        <v>5</v>
      </c>
      <c r="S591" s="92" t="s">
        <v>3909</v>
      </c>
      <c r="T591" s="200">
        <v>22.79</v>
      </c>
      <c r="U591" s="201">
        <v>1</v>
      </c>
      <c r="V591" s="58">
        <f t="shared" si="46"/>
        <v>113.94999999999999</v>
      </c>
      <c r="W591" s="52" t="s">
        <v>49</v>
      </c>
      <c r="X591" s="282" t="s">
        <v>4633</v>
      </c>
      <c r="Y591" s="92" t="s">
        <v>4639</v>
      </c>
      <c r="Z591" s="201" t="s">
        <v>4641</v>
      </c>
      <c r="AA591" s="52">
        <v>0</v>
      </c>
      <c r="AB591" s="52">
        <v>0</v>
      </c>
      <c r="AC591" s="52">
        <v>0</v>
      </c>
      <c r="AD591" s="21">
        <v>0</v>
      </c>
      <c r="AE591" s="54">
        <v>0</v>
      </c>
      <c r="AF591" s="315">
        <f t="shared" si="49"/>
        <v>0</v>
      </c>
    </row>
    <row r="592" spans="1:32" ht="210" x14ac:dyDescent="0.25">
      <c r="A592" s="107" t="s">
        <v>588</v>
      </c>
      <c r="B592" s="107" t="s">
        <v>2269</v>
      </c>
      <c r="C592" s="52"/>
      <c r="D592" s="107" t="s">
        <v>2300</v>
      </c>
      <c r="E592" s="22" t="str">
        <f t="shared" si="47"/>
        <v>SEJUSPPROG</v>
      </c>
      <c r="F592" s="52" t="s">
        <v>729</v>
      </c>
      <c r="G592" s="22" t="str">
        <f t="shared" si="48"/>
        <v>P130SEJUSP</v>
      </c>
      <c r="H592" s="92" t="s">
        <v>1259</v>
      </c>
      <c r="I592" s="22" t="s">
        <v>16</v>
      </c>
      <c r="J592" s="92" t="s">
        <v>1603</v>
      </c>
      <c r="K592" s="22" t="str">
        <f>VLOOKUP(CONCATENATE(A592,LEFT(J592,4)),AGRUPAMENTO!$D$2:$E$6783,2,FALSE)</f>
        <v>Material de consumo</v>
      </c>
      <c r="L592" s="92" t="s">
        <v>44</v>
      </c>
      <c r="M592" s="52"/>
      <c r="N592" s="52">
        <v>10</v>
      </c>
      <c r="O592" s="153" t="s">
        <v>2857</v>
      </c>
      <c r="P592" s="92" t="s">
        <v>58</v>
      </c>
      <c r="Q592" s="92" t="s">
        <v>3908</v>
      </c>
      <c r="R592" s="92">
        <v>5</v>
      </c>
      <c r="S592" s="92" t="s">
        <v>3909</v>
      </c>
      <c r="T592" s="200">
        <v>16.899999999999999</v>
      </c>
      <c r="U592" s="201">
        <v>1</v>
      </c>
      <c r="V592" s="58">
        <f t="shared" si="46"/>
        <v>84.5</v>
      </c>
      <c r="W592" s="52" t="s">
        <v>49</v>
      </c>
      <c r="X592" s="282" t="s">
        <v>4633</v>
      </c>
      <c r="Y592" s="92" t="s">
        <v>4639</v>
      </c>
      <c r="Z592" s="201" t="s">
        <v>4641</v>
      </c>
      <c r="AA592" s="52">
        <v>0</v>
      </c>
      <c r="AB592" s="52">
        <v>0</v>
      </c>
      <c r="AC592" s="52">
        <v>0</v>
      </c>
      <c r="AD592" s="21">
        <v>0</v>
      </c>
      <c r="AE592" s="54">
        <v>0</v>
      </c>
      <c r="AF592" s="315">
        <f t="shared" si="49"/>
        <v>0</v>
      </c>
    </row>
    <row r="593" spans="1:32" ht="210" x14ac:dyDescent="0.25">
      <c r="A593" s="107" t="s">
        <v>588</v>
      </c>
      <c r="B593" s="107" t="s">
        <v>2269</v>
      </c>
      <c r="C593" s="52"/>
      <c r="D593" s="107" t="s">
        <v>2300</v>
      </c>
      <c r="E593" s="22" t="str">
        <f t="shared" si="47"/>
        <v>SEJUSPPROG</v>
      </c>
      <c r="F593" s="52" t="s">
        <v>729</v>
      </c>
      <c r="G593" s="22" t="str">
        <f t="shared" si="48"/>
        <v>P130SEJUSP</v>
      </c>
      <c r="H593" s="92" t="s">
        <v>1259</v>
      </c>
      <c r="I593" s="22" t="s">
        <v>16</v>
      </c>
      <c r="J593" s="92" t="s">
        <v>1603</v>
      </c>
      <c r="K593" s="22" t="str">
        <f>VLOOKUP(CONCATENATE(A593,LEFT(J593,4)),AGRUPAMENTO!$D$2:$E$6783,2,FALSE)</f>
        <v>Material de consumo</v>
      </c>
      <c r="L593" s="92" t="s">
        <v>44</v>
      </c>
      <c r="M593" s="52"/>
      <c r="N593" s="52">
        <v>10</v>
      </c>
      <c r="O593" s="153" t="s">
        <v>2858</v>
      </c>
      <c r="P593" s="92" t="s">
        <v>58</v>
      </c>
      <c r="Q593" s="92" t="s">
        <v>3908</v>
      </c>
      <c r="R593" s="92">
        <v>5</v>
      </c>
      <c r="S593" s="92" t="s">
        <v>3909</v>
      </c>
      <c r="T593" s="200">
        <v>15.99</v>
      </c>
      <c r="U593" s="201">
        <v>1</v>
      </c>
      <c r="V593" s="58">
        <f t="shared" si="46"/>
        <v>79.95</v>
      </c>
      <c r="W593" s="52" t="s">
        <v>49</v>
      </c>
      <c r="X593" s="282" t="s">
        <v>4633</v>
      </c>
      <c r="Y593" s="92" t="s">
        <v>4639</v>
      </c>
      <c r="Z593" s="201" t="s">
        <v>4641</v>
      </c>
      <c r="AA593" s="52">
        <v>0</v>
      </c>
      <c r="AB593" s="52">
        <v>0</v>
      </c>
      <c r="AC593" s="52">
        <v>0</v>
      </c>
      <c r="AD593" s="21">
        <v>0</v>
      </c>
      <c r="AE593" s="54">
        <v>0</v>
      </c>
      <c r="AF593" s="315">
        <f t="shared" si="49"/>
        <v>0</v>
      </c>
    </row>
    <row r="594" spans="1:32" ht="210" x14ac:dyDescent="0.25">
      <c r="A594" s="107" t="s">
        <v>588</v>
      </c>
      <c r="B594" s="107" t="s">
        <v>2269</v>
      </c>
      <c r="C594" s="52"/>
      <c r="D594" s="107" t="s">
        <v>2300</v>
      </c>
      <c r="E594" s="22" t="str">
        <f t="shared" si="47"/>
        <v>SEJUSPPROG</v>
      </c>
      <c r="F594" s="52" t="s">
        <v>729</v>
      </c>
      <c r="G594" s="22" t="str">
        <f t="shared" si="48"/>
        <v>P130SEJUSP</v>
      </c>
      <c r="H594" s="92" t="s">
        <v>1259</v>
      </c>
      <c r="I594" s="22" t="s">
        <v>16</v>
      </c>
      <c r="J594" s="92" t="s">
        <v>1603</v>
      </c>
      <c r="K594" s="22" t="str">
        <f>VLOOKUP(CONCATENATE(A594,LEFT(J594,4)),AGRUPAMENTO!$D$2:$E$6783,2,FALSE)</f>
        <v>Material de consumo</v>
      </c>
      <c r="L594" s="92" t="s">
        <v>44</v>
      </c>
      <c r="M594" s="52"/>
      <c r="N594" s="52">
        <v>10</v>
      </c>
      <c r="O594" s="153" t="s">
        <v>2859</v>
      </c>
      <c r="P594" s="92" t="s">
        <v>58</v>
      </c>
      <c r="Q594" s="92" t="s">
        <v>3908</v>
      </c>
      <c r="R594" s="92">
        <v>5</v>
      </c>
      <c r="S594" s="92" t="s">
        <v>3909</v>
      </c>
      <c r="T594" s="200">
        <v>9.66</v>
      </c>
      <c r="U594" s="201">
        <v>1</v>
      </c>
      <c r="V594" s="58">
        <f t="shared" si="46"/>
        <v>48.3</v>
      </c>
      <c r="W594" s="52" t="s">
        <v>49</v>
      </c>
      <c r="X594" s="282" t="s">
        <v>4633</v>
      </c>
      <c r="Y594" s="92" t="s">
        <v>4639</v>
      </c>
      <c r="Z594" s="201" t="s">
        <v>4641</v>
      </c>
      <c r="AA594" s="52">
        <v>0</v>
      </c>
      <c r="AB594" s="52">
        <v>0</v>
      </c>
      <c r="AC594" s="52">
        <v>0</v>
      </c>
      <c r="AD594" s="21">
        <v>0</v>
      </c>
      <c r="AE594" s="54">
        <v>0</v>
      </c>
      <c r="AF594" s="315">
        <f t="shared" si="49"/>
        <v>0</v>
      </c>
    </row>
    <row r="595" spans="1:32" ht="409.5" x14ac:dyDescent="0.25">
      <c r="A595" s="107" t="s">
        <v>588</v>
      </c>
      <c r="B595" s="107" t="s">
        <v>2269</v>
      </c>
      <c r="C595" s="52"/>
      <c r="D595" s="107" t="s">
        <v>2300</v>
      </c>
      <c r="E595" s="22" t="str">
        <f t="shared" si="47"/>
        <v>SEJUSPPROG</v>
      </c>
      <c r="F595" s="52" t="s">
        <v>729</v>
      </c>
      <c r="G595" s="22" t="str">
        <f t="shared" si="48"/>
        <v>P130SEJUSP</v>
      </c>
      <c r="H595" s="92" t="s">
        <v>1148</v>
      </c>
      <c r="I595" s="22" t="s">
        <v>16</v>
      </c>
      <c r="J595" s="92" t="s">
        <v>1676</v>
      </c>
      <c r="K595" s="22" t="str">
        <f>VLOOKUP(CONCATENATE(A595,LEFT(J595,4)),AGRUPAMENTO!$D$2:$E$6783,2,FALSE)</f>
        <v>Aquisições de itens de TIC</v>
      </c>
      <c r="L595" s="92" t="s">
        <v>94</v>
      </c>
      <c r="M595" s="52"/>
      <c r="N595" s="92">
        <v>10</v>
      </c>
      <c r="O595" s="153" t="s">
        <v>2860</v>
      </c>
      <c r="P595" s="92" t="s">
        <v>46</v>
      </c>
      <c r="Q595" s="92" t="s">
        <v>3911</v>
      </c>
      <c r="R595" s="92">
        <v>20</v>
      </c>
      <c r="S595" s="92" t="s">
        <v>3912</v>
      </c>
      <c r="T595" s="200">
        <v>4216.51</v>
      </c>
      <c r="U595" s="201">
        <v>1</v>
      </c>
      <c r="V595" s="58">
        <f t="shared" si="46"/>
        <v>84330.200000000012</v>
      </c>
      <c r="W595" s="52" t="s">
        <v>49</v>
      </c>
      <c r="X595" s="92" t="s">
        <v>4647</v>
      </c>
      <c r="Y595" s="92" t="s">
        <v>4648</v>
      </c>
      <c r="Z595" s="92" t="s">
        <v>4649</v>
      </c>
      <c r="AA595" s="52">
        <v>0</v>
      </c>
      <c r="AB595" s="52">
        <v>0</v>
      </c>
      <c r="AC595" s="52">
        <v>0</v>
      </c>
      <c r="AD595" s="21">
        <v>0</v>
      </c>
      <c r="AE595" s="54">
        <v>0</v>
      </c>
      <c r="AF595" s="315">
        <f t="shared" si="49"/>
        <v>0</v>
      </c>
    </row>
    <row r="596" spans="1:32" ht="409.5" x14ac:dyDescent="0.25">
      <c r="A596" s="108" t="s">
        <v>588</v>
      </c>
      <c r="B596" s="108" t="s">
        <v>2268</v>
      </c>
      <c r="C596" s="52"/>
      <c r="D596" s="108" t="s">
        <v>2274</v>
      </c>
      <c r="E596" s="22" t="str">
        <f t="shared" si="47"/>
        <v>SEJUSPPROG</v>
      </c>
      <c r="F596" s="124" t="s">
        <v>681</v>
      </c>
      <c r="G596" s="22" t="str">
        <f t="shared" si="48"/>
        <v>P129SEJUSP</v>
      </c>
      <c r="H596" s="52" t="s">
        <v>1015</v>
      </c>
      <c r="I596" s="22" t="s">
        <v>16</v>
      </c>
      <c r="J596" s="52" t="s">
        <v>2245</v>
      </c>
      <c r="K596" s="22" t="str">
        <f>VLOOKUP(CONCATENATE(A596,LEFT(J596,4)),AGRUPAMENTO!$D$2:$E$6783,2,FALSE)</f>
        <v>Termos de parceria e contratos de gestão</v>
      </c>
      <c r="L596" s="52" t="s">
        <v>44</v>
      </c>
      <c r="M596" s="52"/>
      <c r="N596" s="52">
        <v>60</v>
      </c>
      <c r="O596" s="52" t="s">
        <v>2861</v>
      </c>
      <c r="P596" s="52" t="s">
        <v>58</v>
      </c>
      <c r="Q596" s="52" t="s">
        <v>3913</v>
      </c>
      <c r="R596" s="52">
        <v>1</v>
      </c>
      <c r="S596" s="52" t="s">
        <v>3914</v>
      </c>
      <c r="T596" s="88">
        <v>3500000</v>
      </c>
      <c r="U596" s="53">
        <v>1</v>
      </c>
      <c r="V596" s="58">
        <f t="shared" si="46"/>
        <v>3500000</v>
      </c>
      <c r="W596" s="52" t="s">
        <v>68</v>
      </c>
      <c r="X596" s="121" t="s">
        <v>4650</v>
      </c>
      <c r="Y596" s="52" t="s">
        <v>4651</v>
      </c>
      <c r="Z596" s="52" t="s">
        <v>4652</v>
      </c>
      <c r="AA596" s="52">
        <v>2</v>
      </c>
      <c r="AB596" s="52">
        <v>2</v>
      </c>
      <c r="AC596" s="52">
        <v>9</v>
      </c>
      <c r="AD596" s="21">
        <v>0</v>
      </c>
      <c r="AE596" s="54">
        <v>0</v>
      </c>
      <c r="AF596" s="315">
        <f t="shared" si="49"/>
        <v>0</v>
      </c>
    </row>
    <row r="597" spans="1:32" ht="409.5" x14ac:dyDescent="0.25">
      <c r="A597" s="107" t="s">
        <v>588</v>
      </c>
      <c r="B597" s="107" t="s">
        <v>2273</v>
      </c>
      <c r="C597" s="52"/>
      <c r="D597" s="107" t="s">
        <v>2294</v>
      </c>
      <c r="E597" s="22" t="str">
        <f t="shared" si="47"/>
        <v>SEJUSPPROG</v>
      </c>
      <c r="F597" s="52" t="s">
        <v>699</v>
      </c>
      <c r="G597" s="22" t="str">
        <f t="shared" si="48"/>
        <v>P141SEJUSP</v>
      </c>
      <c r="H597" s="52" t="s">
        <v>1403</v>
      </c>
      <c r="I597" s="22" t="s">
        <v>16</v>
      </c>
      <c r="J597" s="52" t="s">
        <v>490</v>
      </c>
      <c r="K597" s="22" t="str">
        <f>VLOOKUP(CONCATENATE(A597,LEFT(J597,4)),AGRUPAMENTO!$D$2:$E$6783,2,FALSE)</f>
        <v>Material de consumo</v>
      </c>
      <c r="L597" s="52" t="s">
        <v>44</v>
      </c>
      <c r="M597" s="52"/>
      <c r="N597" s="52">
        <v>10</v>
      </c>
      <c r="O597" s="52" t="s">
        <v>2862</v>
      </c>
      <c r="P597" s="52" t="s">
        <v>58</v>
      </c>
      <c r="Q597" s="52" t="s">
        <v>3915</v>
      </c>
      <c r="R597" s="52">
        <v>7</v>
      </c>
      <c r="S597" s="52" t="s">
        <v>3916</v>
      </c>
      <c r="T597" s="88">
        <v>191</v>
      </c>
      <c r="U597" s="53">
        <v>1</v>
      </c>
      <c r="V597" s="58">
        <f t="shared" si="46"/>
        <v>1337</v>
      </c>
      <c r="W597" s="278" t="s">
        <v>68</v>
      </c>
      <c r="X597" s="283" t="s">
        <v>4653</v>
      </c>
      <c r="Y597" s="279" t="s">
        <v>4577</v>
      </c>
      <c r="Z597" s="278" t="s">
        <v>4578</v>
      </c>
      <c r="AA597" s="278">
        <v>1</v>
      </c>
      <c r="AB597" s="278">
        <v>2</v>
      </c>
      <c r="AC597" s="278">
        <v>10</v>
      </c>
      <c r="AD597" s="21">
        <v>0</v>
      </c>
      <c r="AE597" s="54">
        <v>0</v>
      </c>
      <c r="AF597" s="315">
        <f t="shared" si="49"/>
        <v>0</v>
      </c>
    </row>
    <row r="598" spans="1:32" ht="120" x14ac:dyDescent="0.25">
      <c r="A598" s="107" t="s">
        <v>588</v>
      </c>
      <c r="B598" s="107" t="s">
        <v>2269</v>
      </c>
      <c r="C598" s="52"/>
      <c r="D598" s="107" t="s">
        <v>2300</v>
      </c>
      <c r="E598" s="22" t="str">
        <f t="shared" si="47"/>
        <v>SEJUSPPROG</v>
      </c>
      <c r="F598" s="52" t="s">
        <v>729</v>
      </c>
      <c r="G598" s="22" t="str">
        <f t="shared" si="48"/>
        <v>P130SEJUSP</v>
      </c>
      <c r="H598" s="92" t="s">
        <v>1183</v>
      </c>
      <c r="I598" s="22" t="s">
        <v>16</v>
      </c>
      <c r="J598" s="92" t="s">
        <v>2144</v>
      </c>
      <c r="K598" s="22" t="str">
        <f>VLOOKUP(CONCATENATE(A598,LEFT(J598,4)),AGRUPAMENTO!$D$2:$E$6783,2,FALSE)</f>
        <v>Material de consumo</v>
      </c>
      <c r="L598" s="92" t="s">
        <v>44</v>
      </c>
      <c r="M598" s="52"/>
      <c r="N598" s="52">
        <v>60</v>
      </c>
      <c r="O598" s="153" t="s">
        <v>2863</v>
      </c>
      <c r="P598" s="92" t="s">
        <v>46</v>
      </c>
      <c r="Q598" s="92" t="s">
        <v>3917</v>
      </c>
      <c r="R598" s="92">
        <v>152</v>
      </c>
      <c r="S598" s="92" t="s">
        <v>3918</v>
      </c>
      <c r="T598" s="200">
        <v>200</v>
      </c>
      <c r="U598" s="201">
        <v>1</v>
      </c>
      <c r="V598" s="58">
        <f t="shared" si="46"/>
        <v>30400</v>
      </c>
      <c r="W598" s="52" t="s">
        <v>49</v>
      </c>
      <c r="X598" s="92" t="s">
        <v>4654</v>
      </c>
      <c r="Y598" s="92" t="s">
        <v>4655</v>
      </c>
      <c r="Z598" s="92" t="s">
        <v>4656</v>
      </c>
      <c r="AA598" s="52">
        <v>0</v>
      </c>
      <c r="AB598" s="52">
        <v>0</v>
      </c>
      <c r="AC598" s="52">
        <v>0</v>
      </c>
      <c r="AD598" s="21">
        <v>0.66843255889259856</v>
      </c>
      <c r="AE598" s="54">
        <v>0.66843255889259856</v>
      </c>
      <c r="AF598" s="315">
        <f t="shared" si="49"/>
        <v>20320.349790334996</v>
      </c>
    </row>
    <row r="599" spans="1:32" ht="409.5" x14ac:dyDescent="0.25">
      <c r="A599" s="107" t="s">
        <v>588</v>
      </c>
      <c r="B599" s="107" t="s">
        <v>2273</v>
      </c>
      <c r="C599" s="52"/>
      <c r="D599" s="107" t="s">
        <v>2294</v>
      </c>
      <c r="E599" s="22" t="str">
        <f t="shared" si="47"/>
        <v>SEJUSPPROG</v>
      </c>
      <c r="F599" s="52" t="s">
        <v>699</v>
      </c>
      <c r="G599" s="22" t="str">
        <f t="shared" si="48"/>
        <v>P141SEJUSP</v>
      </c>
      <c r="H599" s="52" t="s">
        <v>1403</v>
      </c>
      <c r="I599" s="22" t="s">
        <v>16</v>
      </c>
      <c r="J599" s="52" t="s">
        <v>490</v>
      </c>
      <c r="K599" s="22" t="str">
        <f>VLOOKUP(CONCATENATE(A599,LEFT(J599,4)),AGRUPAMENTO!$D$2:$E$6783,2,FALSE)</f>
        <v>Material de consumo</v>
      </c>
      <c r="L599" s="52" t="s">
        <v>44</v>
      </c>
      <c r="M599" s="52"/>
      <c r="N599" s="52">
        <v>10</v>
      </c>
      <c r="O599" s="52" t="s">
        <v>2621</v>
      </c>
      <c r="P599" s="52" t="s">
        <v>58</v>
      </c>
      <c r="Q599" s="52" t="s">
        <v>3880</v>
      </c>
      <c r="R599" s="52">
        <v>280</v>
      </c>
      <c r="S599" s="52" t="s">
        <v>3881</v>
      </c>
      <c r="T599" s="88">
        <v>191</v>
      </c>
      <c r="U599" s="53">
        <v>1</v>
      </c>
      <c r="V599" s="58">
        <f t="shared" si="46"/>
        <v>53480</v>
      </c>
      <c r="W599" s="278" t="s">
        <v>68</v>
      </c>
      <c r="X599" s="283" t="s">
        <v>4653</v>
      </c>
      <c r="Y599" s="279" t="s">
        <v>4577</v>
      </c>
      <c r="Z599" s="278" t="s">
        <v>4578</v>
      </c>
      <c r="AA599" s="278">
        <v>1</v>
      </c>
      <c r="AB599" s="278">
        <v>2</v>
      </c>
      <c r="AC599" s="278">
        <v>10</v>
      </c>
      <c r="AD599" s="21">
        <v>0</v>
      </c>
      <c r="AE599" s="54">
        <v>0</v>
      </c>
      <c r="AF599" s="315">
        <f t="shared" si="49"/>
        <v>0</v>
      </c>
    </row>
    <row r="600" spans="1:32" ht="409.5" x14ac:dyDescent="0.25">
      <c r="A600" s="107" t="s">
        <v>588</v>
      </c>
      <c r="B600" s="107" t="s">
        <v>2273</v>
      </c>
      <c r="C600" s="52"/>
      <c r="D600" s="107" t="s">
        <v>2294</v>
      </c>
      <c r="E600" s="22" t="str">
        <f t="shared" si="47"/>
        <v>SEJUSPPROG</v>
      </c>
      <c r="F600" s="52" t="s">
        <v>699</v>
      </c>
      <c r="G600" s="22" t="str">
        <f t="shared" si="48"/>
        <v>P141SEJUSP</v>
      </c>
      <c r="H600" s="52" t="s">
        <v>1403</v>
      </c>
      <c r="I600" s="22" t="s">
        <v>16</v>
      </c>
      <c r="J600" s="52" t="s">
        <v>490</v>
      </c>
      <c r="K600" s="22" t="str">
        <f>VLOOKUP(CONCATENATE(A600,LEFT(J600,4)),AGRUPAMENTO!$D$2:$E$6783,2,FALSE)</f>
        <v>Material de consumo</v>
      </c>
      <c r="L600" s="52" t="s">
        <v>44</v>
      </c>
      <c r="M600" s="52"/>
      <c r="N600" s="52">
        <v>10</v>
      </c>
      <c r="O600" s="52" t="s">
        <v>2864</v>
      </c>
      <c r="P600" s="52" t="s">
        <v>58</v>
      </c>
      <c r="Q600" s="52" t="s">
        <v>3919</v>
      </c>
      <c r="R600" s="52">
        <v>140</v>
      </c>
      <c r="S600" s="52" t="s">
        <v>3920</v>
      </c>
      <c r="T600" s="88">
        <v>191</v>
      </c>
      <c r="U600" s="53">
        <v>1</v>
      </c>
      <c r="V600" s="58">
        <f t="shared" si="46"/>
        <v>26740</v>
      </c>
      <c r="W600" s="278" t="s">
        <v>68</v>
      </c>
      <c r="X600" s="283" t="s">
        <v>4653</v>
      </c>
      <c r="Y600" s="279" t="s">
        <v>4577</v>
      </c>
      <c r="Z600" s="278" t="s">
        <v>4578</v>
      </c>
      <c r="AA600" s="278">
        <v>1</v>
      </c>
      <c r="AB600" s="278">
        <v>2</v>
      </c>
      <c r="AC600" s="278">
        <v>10</v>
      </c>
      <c r="AD600" s="21">
        <v>0</v>
      </c>
      <c r="AE600" s="54">
        <v>0</v>
      </c>
      <c r="AF600" s="315">
        <f t="shared" si="49"/>
        <v>0</v>
      </c>
    </row>
    <row r="601" spans="1:32" ht="409.5" x14ac:dyDescent="0.25">
      <c r="A601" s="107" t="s">
        <v>588</v>
      </c>
      <c r="B601" s="107" t="s">
        <v>2273</v>
      </c>
      <c r="C601" s="52"/>
      <c r="D601" s="107" t="s">
        <v>2294</v>
      </c>
      <c r="E601" s="22" t="str">
        <f t="shared" si="47"/>
        <v>SEJUSPPROG</v>
      </c>
      <c r="F601" s="52" t="s">
        <v>699</v>
      </c>
      <c r="G601" s="22" t="str">
        <f t="shared" si="48"/>
        <v>P141SEJUSP</v>
      </c>
      <c r="H601" s="52" t="s">
        <v>1403</v>
      </c>
      <c r="I601" s="22" t="s">
        <v>16</v>
      </c>
      <c r="J601" s="52" t="s">
        <v>490</v>
      </c>
      <c r="K601" s="22" t="str">
        <f>VLOOKUP(CONCATENATE(A601,LEFT(J601,4)),AGRUPAMENTO!$D$2:$E$6783,2,FALSE)</f>
        <v>Material de consumo</v>
      </c>
      <c r="L601" s="52" t="s">
        <v>44</v>
      </c>
      <c r="M601" s="52"/>
      <c r="N601" s="52">
        <v>10</v>
      </c>
      <c r="O601" s="52" t="s">
        <v>2865</v>
      </c>
      <c r="P601" s="52" t="s">
        <v>58</v>
      </c>
      <c r="Q601" s="52" t="s">
        <v>3921</v>
      </c>
      <c r="R601" s="195">
        <v>8400</v>
      </c>
      <c r="S601" s="52" t="s">
        <v>3922</v>
      </c>
      <c r="T601" s="88">
        <v>15</v>
      </c>
      <c r="U601" s="53">
        <v>1</v>
      </c>
      <c r="V601" s="58">
        <f t="shared" si="46"/>
        <v>126000</v>
      </c>
      <c r="W601" s="278" t="s">
        <v>68</v>
      </c>
      <c r="X601" s="283" t="s">
        <v>4653</v>
      </c>
      <c r="Y601" s="279" t="s">
        <v>4577</v>
      </c>
      <c r="Z601" s="278" t="s">
        <v>4578</v>
      </c>
      <c r="AA601" s="278">
        <v>1</v>
      </c>
      <c r="AB601" s="278">
        <v>2</v>
      </c>
      <c r="AC601" s="278">
        <v>10</v>
      </c>
      <c r="AD601" s="21">
        <v>0</v>
      </c>
      <c r="AE601" s="54">
        <v>0</v>
      </c>
      <c r="AF601" s="315">
        <f t="shared" si="49"/>
        <v>0</v>
      </c>
    </row>
    <row r="602" spans="1:32" ht="180" x14ac:dyDescent="0.25">
      <c r="A602" s="107" t="s">
        <v>588</v>
      </c>
      <c r="B602" s="107" t="s">
        <v>2269</v>
      </c>
      <c r="C602" s="52"/>
      <c r="D602" s="107" t="s">
        <v>2300</v>
      </c>
      <c r="E602" s="22" t="str">
        <f t="shared" si="47"/>
        <v>SEJUSPPROG</v>
      </c>
      <c r="F602" s="52" t="s">
        <v>729</v>
      </c>
      <c r="G602" s="22" t="str">
        <f t="shared" si="48"/>
        <v>P130SEJUSP</v>
      </c>
      <c r="H602" s="128" t="s">
        <v>1183</v>
      </c>
      <c r="I602" s="22" t="s">
        <v>16</v>
      </c>
      <c r="J602" s="92" t="s">
        <v>2231</v>
      </c>
      <c r="K602" s="22" t="str">
        <f>VLOOKUP(CONCATENATE(A602,LEFT(J602,4)),AGRUPAMENTO!$D$2:$E$6783,2,FALSE)</f>
        <v>Demais despesas de capital</v>
      </c>
      <c r="L602" s="128" t="s">
        <v>94</v>
      </c>
      <c r="M602" s="52"/>
      <c r="N602" s="92">
        <v>10</v>
      </c>
      <c r="O602" s="159" t="s">
        <v>2866</v>
      </c>
      <c r="P602" s="159" t="s">
        <v>46</v>
      </c>
      <c r="Q602" s="159" t="s">
        <v>3872</v>
      </c>
      <c r="R602" s="159">
        <v>168</v>
      </c>
      <c r="S602" s="159" t="s">
        <v>3923</v>
      </c>
      <c r="T602" s="211">
        <v>3580</v>
      </c>
      <c r="U602" s="212">
        <v>1</v>
      </c>
      <c r="V602" s="58">
        <f t="shared" si="46"/>
        <v>601440</v>
      </c>
      <c r="W602" s="284" t="s">
        <v>68</v>
      </c>
      <c r="X602" s="285" t="s">
        <v>4657</v>
      </c>
      <c r="Y602" s="128" t="s">
        <v>4658</v>
      </c>
      <c r="Z602" s="128" t="s">
        <v>4659</v>
      </c>
      <c r="AA602" s="284">
        <v>1</v>
      </c>
      <c r="AB602" s="92">
        <v>2</v>
      </c>
      <c r="AC602" s="92">
        <v>11</v>
      </c>
      <c r="AD602" s="21">
        <v>0</v>
      </c>
      <c r="AE602" s="54">
        <v>0</v>
      </c>
      <c r="AF602" s="315">
        <f t="shared" si="49"/>
        <v>0</v>
      </c>
    </row>
    <row r="603" spans="1:32" ht="240" x14ac:dyDescent="0.25">
      <c r="A603" s="107" t="s">
        <v>588</v>
      </c>
      <c r="B603" s="107" t="s">
        <v>2269</v>
      </c>
      <c r="C603" s="52"/>
      <c r="D603" s="107" t="s">
        <v>2300</v>
      </c>
      <c r="E603" s="22" t="str">
        <f t="shared" si="47"/>
        <v>SEJUSPPROG</v>
      </c>
      <c r="F603" s="52" t="s">
        <v>729</v>
      </c>
      <c r="G603" s="22" t="str">
        <f t="shared" si="48"/>
        <v>P130SEJUSP</v>
      </c>
      <c r="H603" s="128" t="s">
        <v>1183</v>
      </c>
      <c r="I603" s="22" t="s">
        <v>16</v>
      </c>
      <c r="J603" s="92" t="s">
        <v>458</v>
      </c>
      <c r="K603" s="22" t="str">
        <f>VLOOKUP(CONCATENATE(A603,LEFT(J603,4)),AGRUPAMENTO!$D$2:$E$6783,2,FALSE)</f>
        <v>Demais despesas de capital</v>
      </c>
      <c r="L603" s="128" t="s">
        <v>94</v>
      </c>
      <c r="M603" s="52"/>
      <c r="N603" s="92">
        <v>10</v>
      </c>
      <c r="O603" s="159" t="s">
        <v>2867</v>
      </c>
      <c r="P603" s="159" t="s">
        <v>46</v>
      </c>
      <c r="Q603" s="159" t="s">
        <v>3872</v>
      </c>
      <c r="R603" s="159">
        <v>50</v>
      </c>
      <c r="S603" s="159" t="s">
        <v>3918</v>
      </c>
      <c r="T603" s="211">
        <v>16250</v>
      </c>
      <c r="U603" s="212">
        <v>1</v>
      </c>
      <c r="V603" s="58">
        <f t="shared" si="46"/>
        <v>812500</v>
      </c>
      <c r="W603" s="284" t="s">
        <v>68</v>
      </c>
      <c r="X603" s="285" t="s">
        <v>4657</v>
      </c>
      <c r="Y603" s="128" t="s">
        <v>4660</v>
      </c>
      <c r="Z603" s="128" t="s">
        <v>4661</v>
      </c>
      <c r="AA603" s="284">
        <v>1</v>
      </c>
      <c r="AB603" s="92">
        <v>2</v>
      </c>
      <c r="AC603" s="92">
        <v>11</v>
      </c>
      <c r="AD603" s="21">
        <v>0</v>
      </c>
      <c r="AE603" s="54">
        <v>0</v>
      </c>
      <c r="AF603" s="315">
        <f t="shared" si="49"/>
        <v>0</v>
      </c>
    </row>
    <row r="604" spans="1:32" ht="240" x14ac:dyDescent="0.25">
      <c r="A604" s="107" t="s">
        <v>588</v>
      </c>
      <c r="B604" s="107" t="s">
        <v>2269</v>
      </c>
      <c r="C604" s="52"/>
      <c r="D604" s="107" t="s">
        <v>2300</v>
      </c>
      <c r="E604" s="22" t="str">
        <f t="shared" si="47"/>
        <v>SEJUSPPROG</v>
      </c>
      <c r="F604" s="52" t="s">
        <v>729</v>
      </c>
      <c r="G604" s="22" t="str">
        <f t="shared" si="48"/>
        <v>P130SEJUSP</v>
      </c>
      <c r="H604" s="128" t="s">
        <v>1183</v>
      </c>
      <c r="I604" s="22" t="s">
        <v>16</v>
      </c>
      <c r="J604" s="92" t="s">
        <v>458</v>
      </c>
      <c r="K604" s="22" t="str">
        <f>VLOOKUP(CONCATENATE(A604,LEFT(J604,4)),AGRUPAMENTO!$D$2:$E$6783,2,FALSE)</f>
        <v>Demais despesas de capital</v>
      </c>
      <c r="L604" s="128" t="s">
        <v>94</v>
      </c>
      <c r="M604" s="52"/>
      <c r="N604" s="92">
        <v>10</v>
      </c>
      <c r="O604" s="159" t="s">
        <v>2868</v>
      </c>
      <c r="P604" s="159" t="s">
        <v>46</v>
      </c>
      <c r="Q604" s="159" t="s">
        <v>3872</v>
      </c>
      <c r="R604" s="159">
        <v>10</v>
      </c>
      <c r="S604" s="159" t="s">
        <v>3918</v>
      </c>
      <c r="T604" s="211">
        <v>4419</v>
      </c>
      <c r="U604" s="212">
        <v>1</v>
      </c>
      <c r="V604" s="58">
        <f t="shared" si="46"/>
        <v>44190</v>
      </c>
      <c r="W604" s="284" t="s">
        <v>68</v>
      </c>
      <c r="X604" s="285" t="s">
        <v>4657</v>
      </c>
      <c r="Y604" s="128" t="s">
        <v>4660</v>
      </c>
      <c r="Z604" s="128" t="s">
        <v>4661</v>
      </c>
      <c r="AA604" s="284">
        <v>1</v>
      </c>
      <c r="AB604" s="92">
        <v>2</v>
      </c>
      <c r="AC604" s="92">
        <v>11</v>
      </c>
      <c r="AD604" s="21">
        <v>0</v>
      </c>
      <c r="AE604" s="54">
        <v>0</v>
      </c>
      <c r="AF604" s="315">
        <f t="shared" si="49"/>
        <v>0</v>
      </c>
    </row>
    <row r="605" spans="1:32" ht="180" x14ac:dyDescent="0.25">
      <c r="A605" s="107" t="s">
        <v>588</v>
      </c>
      <c r="B605" s="107" t="s">
        <v>2269</v>
      </c>
      <c r="C605" s="52"/>
      <c r="D605" s="107" t="s">
        <v>2300</v>
      </c>
      <c r="E605" s="22" t="str">
        <f t="shared" si="47"/>
        <v>SEJUSPPROG</v>
      </c>
      <c r="F605" s="52" t="s">
        <v>729</v>
      </c>
      <c r="G605" s="22" t="str">
        <f t="shared" si="48"/>
        <v>P130SEJUSP</v>
      </c>
      <c r="H605" s="128" t="s">
        <v>1183</v>
      </c>
      <c r="I605" s="22" t="s">
        <v>16</v>
      </c>
      <c r="J605" s="92" t="s">
        <v>2232</v>
      </c>
      <c r="K605" s="22" t="str">
        <f>VLOOKUP(CONCATENATE(A605,LEFT(J605,4)),AGRUPAMENTO!$D$2:$E$6783,2,FALSE)</f>
        <v>Demais despesas de capital</v>
      </c>
      <c r="L605" s="128" t="s">
        <v>94</v>
      </c>
      <c r="M605" s="52"/>
      <c r="N605" s="92">
        <v>10</v>
      </c>
      <c r="O605" s="159" t="s">
        <v>2869</v>
      </c>
      <c r="P605" s="159" t="s">
        <v>46</v>
      </c>
      <c r="Q605" s="159" t="s">
        <v>3872</v>
      </c>
      <c r="R605" s="159">
        <v>168</v>
      </c>
      <c r="S605" s="159" t="s">
        <v>3923</v>
      </c>
      <c r="T605" s="211">
        <v>650</v>
      </c>
      <c r="U605" s="212">
        <v>1</v>
      </c>
      <c r="V605" s="58">
        <f t="shared" si="46"/>
        <v>109200</v>
      </c>
      <c r="W605" s="284" t="s">
        <v>68</v>
      </c>
      <c r="X605" s="285" t="s">
        <v>4657</v>
      </c>
      <c r="Y605" s="128" t="s">
        <v>4658</v>
      </c>
      <c r="Z605" s="128" t="s">
        <v>4659</v>
      </c>
      <c r="AA605" s="284">
        <v>1</v>
      </c>
      <c r="AB605" s="92">
        <v>2</v>
      </c>
      <c r="AC605" s="92">
        <v>11</v>
      </c>
      <c r="AD605" s="21">
        <v>0</v>
      </c>
      <c r="AE605" s="54">
        <v>0</v>
      </c>
      <c r="AF605" s="315">
        <f t="shared" si="49"/>
        <v>0</v>
      </c>
    </row>
    <row r="606" spans="1:32" ht="255" x14ac:dyDescent="0.25">
      <c r="A606" s="107" t="s">
        <v>588</v>
      </c>
      <c r="B606" s="107" t="s">
        <v>2269</v>
      </c>
      <c r="C606" s="52"/>
      <c r="D606" s="107" t="s">
        <v>2300</v>
      </c>
      <c r="E606" s="22" t="str">
        <f t="shared" si="47"/>
        <v>SEJUSPPROG</v>
      </c>
      <c r="F606" s="52" t="s">
        <v>729</v>
      </c>
      <c r="G606" s="22" t="str">
        <f t="shared" si="48"/>
        <v>P130SEJUSP</v>
      </c>
      <c r="H606" s="92" t="s">
        <v>1183</v>
      </c>
      <c r="I606" s="22" t="s">
        <v>16</v>
      </c>
      <c r="J606" s="52" t="s">
        <v>2131</v>
      </c>
      <c r="K606" s="22" t="str">
        <f>VLOOKUP(CONCATENATE(A606,LEFT(J606,4)),AGRUPAMENTO!$D$2:$E$6783,2,FALSE)</f>
        <v>Diárias e viagens</v>
      </c>
      <c r="L606" s="92" t="s">
        <v>44</v>
      </c>
      <c r="M606" s="52"/>
      <c r="N606" s="52">
        <v>60</v>
      </c>
      <c r="O606" s="92" t="s">
        <v>2870</v>
      </c>
      <c r="P606" s="92" t="s">
        <v>46</v>
      </c>
      <c r="Q606" s="92" t="s">
        <v>3924</v>
      </c>
      <c r="R606" s="92">
        <v>10</v>
      </c>
      <c r="S606" s="92" t="s">
        <v>3925</v>
      </c>
      <c r="T606" s="200">
        <v>258</v>
      </c>
      <c r="U606" s="201">
        <v>12</v>
      </c>
      <c r="V606" s="58">
        <f t="shared" si="46"/>
        <v>30960</v>
      </c>
      <c r="W606" s="52" t="s">
        <v>49</v>
      </c>
      <c r="X606" s="92" t="s">
        <v>4662</v>
      </c>
      <c r="Y606" s="92" t="s">
        <v>4663</v>
      </c>
      <c r="Z606" s="92" t="s">
        <v>4664</v>
      </c>
      <c r="AA606" s="52">
        <v>0</v>
      </c>
      <c r="AB606" s="52">
        <v>0</v>
      </c>
      <c r="AC606" s="52">
        <v>0</v>
      </c>
      <c r="AD606" s="21">
        <v>0.86749884668513244</v>
      </c>
      <c r="AE606" s="54">
        <v>0.86749884668513244</v>
      </c>
      <c r="AF606" s="315">
        <f t="shared" si="49"/>
        <v>26857.7642933717</v>
      </c>
    </row>
    <row r="607" spans="1:32" ht="180" x14ac:dyDescent="0.25">
      <c r="A607" s="107" t="s">
        <v>588</v>
      </c>
      <c r="B607" s="107" t="s">
        <v>2269</v>
      </c>
      <c r="C607" s="52"/>
      <c r="D607" s="107" t="s">
        <v>2300</v>
      </c>
      <c r="E607" s="22" t="str">
        <f t="shared" si="47"/>
        <v>SEJUSPPROG</v>
      </c>
      <c r="F607" s="52" t="s">
        <v>729</v>
      </c>
      <c r="G607" s="22" t="str">
        <f t="shared" si="48"/>
        <v>P130SEJUSP</v>
      </c>
      <c r="H607" s="128" t="s">
        <v>1183</v>
      </c>
      <c r="I607" s="22" t="s">
        <v>16</v>
      </c>
      <c r="J607" s="92" t="s">
        <v>2232</v>
      </c>
      <c r="K607" s="22" t="str">
        <f>VLOOKUP(CONCATENATE(A607,LEFT(J607,4)),AGRUPAMENTO!$D$2:$E$6783,2,FALSE)</f>
        <v>Demais despesas de capital</v>
      </c>
      <c r="L607" s="128" t="s">
        <v>94</v>
      </c>
      <c r="M607" s="52"/>
      <c r="N607" s="92">
        <v>10</v>
      </c>
      <c r="O607" s="159" t="s">
        <v>2871</v>
      </c>
      <c r="P607" s="159" t="s">
        <v>46</v>
      </c>
      <c r="Q607" s="159" t="s">
        <v>3872</v>
      </c>
      <c r="R607" s="159">
        <v>168</v>
      </c>
      <c r="S607" s="159" t="s">
        <v>3923</v>
      </c>
      <c r="T607" s="211">
        <v>1187</v>
      </c>
      <c r="U607" s="212">
        <v>1</v>
      </c>
      <c r="V607" s="58">
        <f t="shared" si="46"/>
        <v>199416</v>
      </c>
      <c r="W607" s="284" t="s">
        <v>68</v>
      </c>
      <c r="X607" s="128" t="s">
        <v>4657</v>
      </c>
      <c r="Y607" s="128" t="s">
        <v>4658</v>
      </c>
      <c r="Z607" s="128" t="s">
        <v>4659</v>
      </c>
      <c r="AA607" s="284">
        <v>1</v>
      </c>
      <c r="AB607" s="92">
        <v>2</v>
      </c>
      <c r="AC607" s="92">
        <v>11</v>
      </c>
      <c r="AD607" s="21">
        <v>0</v>
      </c>
      <c r="AE607" s="54">
        <v>0</v>
      </c>
      <c r="AF607" s="315">
        <f t="shared" si="49"/>
        <v>0</v>
      </c>
    </row>
    <row r="608" spans="1:32" ht="180" x14ac:dyDescent="0.25">
      <c r="A608" s="107" t="s">
        <v>588</v>
      </c>
      <c r="B608" s="107" t="s">
        <v>2269</v>
      </c>
      <c r="C608" s="52"/>
      <c r="D608" s="107" t="s">
        <v>2300</v>
      </c>
      <c r="E608" s="22" t="str">
        <f t="shared" si="47"/>
        <v>SEJUSPPROG</v>
      </c>
      <c r="F608" s="52" t="s">
        <v>729</v>
      </c>
      <c r="G608" s="22" t="str">
        <f t="shared" si="48"/>
        <v>P130SEJUSP</v>
      </c>
      <c r="H608" s="128" t="s">
        <v>1183</v>
      </c>
      <c r="I608" s="22" t="s">
        <v>16</v>
      </c>
      <c r="J608" s="92" t="s">
        <v>2232</v>
      </c>
      <c r="K608" s="22" t="str">
        <f>VLOOKUP(CONCATENATE(A608,LEFT(J608,4)),AGRUPAMENTO!$D$2:$E$6783,2,FALSE)</f>
        <v>Demais despesas de capital</v>
      </c>
      <c r="L608" s="128" t="s">
        <v>94</v>
      </c>
      <c r="M608" s="52"/>
      <c r="N608" s="92">
        <v>10</v>
      </c>
      <c r="O608" s="159" t="s">
        <v>2872</v>
      </c>
      <c r="P608" s="159" t="s">
        <v>46</v>
      </c>
      <c r="Q608" s="159" t="s">
        <v>3872</v>
      </c>
      <c r="R608" s="159">
        <v>168</v>
      </c>
      <c r="S608" s="159" t="s">
        <v>3923</v>
      </c>
      <c r="T608" s="211">
        <v>400</v>
      </c>
      <c r="U608" s="212">
        <v>1</v>
      </c>
      <c r="V608" s="58">
        <f t="shared" si="46"/>
        <v>67200</v>
      </c>
      <c r="W608" s="284" t="s">
        <v>68</v>
      </c>
      <c r="X608" s="128" t="s">
        <v>4657</v>
      </c>
      <c r="Y608" s="128" t="s">
        <v>4658</v>
      </c>
      <c r="Z608" s="128" t="s">
        <v>4659</v>
      </c>
      <c r="AA608" s="284">
        <v>1</v>
      </c>
      <c r="AB608" s="92">
        <v>2</v>
      </c>
      <c r="AC608" s="92">
        <v>11</v>
      </c>
      <c r="AD608" s="21">
        <v>0</v>
      </c>
      <c r="AE608" s="54">
        <v>0</v>
      </c>
      <c r="AF608" s="315">
        <f t="shared" si="49"/>
        <v>0</v>
      </c>
    </row>
    <row r="609" spans="1:32" ht="180" x14ac:dyDescent="0.25">
      <c r="A609" s="107" t="s">
        <v>588</v>
      </c>
      <c r="B609" s="107" t="s">
        <v>2269</v>
      </c>
      <c r="C609" s="52"/>
      <c r="D609" s="107" t="s">
        <v>2300</v>
      </c>
      <c r="E609" s="22" t="str">
        <f t="shared" si="47"/>
        <v>SEJUSPPROG</v>
      </c>
      <c r="F609" s="52" t="s">
        <v>729</v>
      </c>
      <c r="G609" s="22" t="str">
        <f t="shared" si="48"/>
        <v>P130SEJUSP</v>
      </c>
      <c r="H609" s="128" t="s">
        <v>1183</v>
      </c>
      <c r="I609" s="22" t="s">
        <v>16</v>
      </c>
      <c r="J609" s="92" t="s">
        <v>2232</v>
      </c>
      <c r="K609" s="22" t="str">
        <f>VLOOKUP(CONCATENATE(A609,LEFT(J609,4)),AGRUPAMENTO!$D$2:$E$6783,2,FALSE)</f>
        <v>Demais despesas de capital</v>
      </c>
      <c r="L609" s="128" t="s">
        <v>94</v>
      </c>
      <c r="M609" s="52"/>
      <c r="N609" s="92">
        <v>10</v>
      </c>
      <c r="O609" s="159" t="s">
        <v>2873</v>
      </c>
      <c r="P609" s="159" t="s">
        <v>46</v>
      </c>
      <c r="Q609" s="159" t="s">
        <v>3872</v>
      </c>
      <c r="R609" s="159">
        <v>168</v>
      </c>
      <c r="S609" s="159" t="s">
        <v>3923</v>
      </c>
      <c r="T609" s="211">
        <v>1676.09</v>
      </c>
      <c r="U609" s="212">
        <v>1</v>
      </c>
      <c r="V609" s="58">
        <f t="shared" si="46"/>
        <v>281583.12</v>
      </c>
      <c r="W609" s="284" t="s">
        <v>68</v>
      </c>
      <c r="X609" s="128" t="s">
        <v>4657</v>
      </c>
      <c r="Y609" s="128" t="s">
        <v>4658</v>
      </c>
      <c r="Z609" s="128" t="s">
        <v>4659</v>
      </c>
      <c r="AA609" s="284">
        <v>1</v>
      </c>
      <c r="AB609" s="92">
        <v>2</v>
      </c>
      <c r="AC609" s="92">
        <v>11</v>
      </c>
      <c r="AD609" s="21">
        <v>0</v>
      </c>
      <c r="AE609" s="54">
        <v>0</v>
      </c>
      <c r="AF609" s="315">
        <f t="shared" si="49"/>
        <v>0</v>
      </c>
    </row>
    <row r="610" spans="1:32" ht="180" x14ac:dyDescent="0.25">
      <c r="A610" s="107" t="s">
        <v>588</v>
      </c>
      <c r="B610" s="107" t="s">
        <v>2269</v>
      </c>
      <c r="C610" s="52"/>
      <c r="D610" s="107" t="s">
        <v>2300</v>
      </c>
      <c r="E610" s="22" t="str">
        <f t="shared" si="47"/>
        <v>SEJUSPPROG</v>
      </c>
      <c r="F610" s="52" t="s">
        <v>729</v>
      </c>
      <c r="G610" s="22" t="str">
        <f t="shared" si="48"/>
        <v>P130SEJUSP</v>
      </c>
      <c r="H610" s="128" t="s">
        <v>1183</v>
      </c>
      <c r="I610" s="22" t="s">
        <v>16</v>
      </c>
      <c r="J610" s="92" t="s">
        <v>2232</v>
      </c>
      <c r="K610" s="22" t="str">
        <f>VLOOKUP(CONCATENATE(A610,LEFT(J610,4)),AGRUPAMENTO!$D$2:$E$6783,2,FALSE)</f>
        <v>Demais despesas de capital</v>
      </c>
      <c r="L610" s="128" t="s">
        <v>94</v>
      </c>
      <c r="M610" s="52"/>
      <c r="N610" s="92">
        <v>10</v>
      </c>
      <c r="O610" s="159" t="s">
        <v>2874</v>
      </c>
      <c r="P610" s="159" t="s">
        <v>46</v>
      </c>
      <c r="Q610" s="159" t="s">
        <v>3872</v>
      </c>
      <c r="R610" s="159">
        <v>168</v>
      </c>
      <c r="S610" s="159" t="s">
        <v>3923</v>
      </c>
      <c r="T610" s="211">
        <v>1965</v>
      </c>
      <c r="U610" s="212">
        <v>1</v>
      </c>
      <c r="V610" s="58">
        <f t="shared" si="46"/>
        <v>330120</v>
      </c>
      <c r="W610" s="284" t="s">
        <v>68</v>
      </c>
      <c r="X610" s="128" t="s">
        <v>4657</v>
      </c>
      <c r="Y610" s="128" t="s">
        <v>4658</v>
      </c>
      <c r="Z610" s="128" t="s">
        <v>4659</v>
      </c>
      <c r="AA610" s="284">
        <v>1</v>
      </c>
      <c r="AB610" s="92">
        <v>2</v>
      </c>
      <c r="AC610" s="92">
        <v>11</v>
      </c>
      <c r="AD610" s="21">
        <v>0</v>
      </c>
      <c r="AE610" s="54">
        <v>0</v>
      </c>
      <c r="AF610" s="315">
        <f t="shared" si="49"/>
        <v>0</v>
      </c>
    </row>
    <row r="611" spans="1:32" ht="225" x14ac:dyDescent="0.25">
      <c r="A611" s="107" t="s">
        <v>588</v>
      </c>
      <c r="B611" s="107" t="s">
        <v>2269</v>
      </c>
      <c r="C611" s="52"/>
      <c r="D611" s="107" t="s">
        <v>2300</v>
      </c>
      <c r="E611" s="22" t="str">
        <f t="shared" si="47"/>
        <v>SEJUSPPROG</v>
      </c>
      <c r="F611" s="52" t="s">
        <v>729</v>
      </c>
      <c r="G611" s="22" t="str">
        <f t="shared" si="48"/>
        <v>P130SEJUSP</v>
      </c>
      <c r="H611" s="128" t="s">
        <v>1183</v>
      </c>
      <c r="I611" s="22" t="s">
        <v>16</v>
      </c>
      <c r="J611" s="92" t="s">
        <v>2232</v>
      </c>
      <c r="K611" s="22" t="str">
        <f>VLOOKUP(CONCATENATE(A611,LEFT(J611,4)),AGRUPAMENTO!$D$2:$E$6783,2,FALSE)</f>
        <v>Demais despesas de capital</v>
      </c>
      <c r="L611" s="128" t="s">
        <v>94</v>
      </c>
      <c r="M611" s="52"/>
      <c r="N611" s="92">
        <v>10</v>
      </c>
      <c r="O611" s="159" t="s">
        <v>2875</v>
      </c>
      <c r="P611" s="159" t="s">
        <v>46</v>
      </c>
      <c r="Q611" s="159" t="s">
        <v>3872</v>
      </c>
      <c r="R611" s="159">
        <v>36</v>
      </c>
      <c r="S611" s="159" t="s">
        <v>3926</v>
      </c>
      <c r="T611" s="211">
        <v>1670.57</v>
      </c>
      <c r="U611" s="212">
        <v>1</v>
      </c>
      <c r="V611" s="58">
        <f t="shared" si="46"/>
        <v>60140.52</v>
      </c>
      <c r="W611" s="284" t="s">
        <v>68</v>
      </c>
      <c r="X611" s="128" t="s">
        <v>4657</v>
      </c>
      <c r="Y611" s="128" t="s">
        <v>4658</v>
      </c>
      <c r="Z611" s="128" t="s">
        <v>4659</v>
      </c>
      <c r="AA611" s="284">
        <v>1</v>
      </c>
      <c r="AB611" s="92">
        <v>2</v>
      </c>
      <c r="AC611" s="92">
        <v>11</v>
      </c>
      <c r="AD611" s="21">
        <v>0</v>
      </c>
      <c r="AE611" s="54">
        <v>0</v>
      </c>
      <c r="AF611" s="315">
        <f t="shared" si="49"/>
        <v>0</v>
      </c>
    </row>
    <row r="612" spans="1:32" ht="210" x14ac:dyDescent="0.25">
      <c r="A612" s="107" t="s">
        <v>588</v>
      </c>
      <c r="B612" s="107" t="s">
        <v>2269</v>
      </c>
      <c r="C612" s="52"/>
      <c r="D612" s="107" t="s">
        <v>2300</v>
      </c>
      <c r="E612" s="22" t="str">
        <f t="shared" si="47"/>
        <v>SEJUSPPROG</v>
      </c>
      <c r="F612" s="52" t="s">
        <v>729</v>
      </c>
      <c r="G612" s="22" t="str">
        <f t="shared" si="48"/>
        <v>P130SEJUSP</v>
      </c>
      <c r="H612" s="128" t="s">
        <v>1183</v>
      </c>
      <c r="I612" s="22" t="s">
        <v>16</v>
      </c>
      <c r="J612" s="92" t="s">
        <v>2231</v>
      </c>
      <c r="K612" s="22" t="str">
        <f>VLOOKUP(CONCATENATE(A612,LEFT(J612,4)),AGRUPAMENTO!$D$2:$E$6783,2,FALSE)</f>
        <v>Demais despesas de capital</v>
      </c>
      <c r="L612" s="128" t="s">
        <v>94</v>
      </c>
      <c r="M612" s="52"/>
      <c r="N612" s="92">
        <v>10</v>
      </c>
      <c r="O612" s="159" t="s">
        <v>2876</v>
      </c>
      <c r="P612" s="159" t="s">
        <v>46</v>
      </c>
      <c r="Q612" s="159" t="s">
        <v>3872</v>
      </c>
      <c r="R612" s="159">
        <v>168</v>
      </c>
      <c r="S612" s="159" t="s">
        <v>3926</v>
      </c>
      <c r="T612" s="211">
        <v>1605</v>
      </c>
      <c r="U612" s="212">
        <v>1</v>
      </c>
      <c r="V612" s="58">
        <f t="shared" si="46"/>
        <v>269640</v>
      </c>
      <c r="W612" s="284" t="s">
        <v>68</v>
      </c>
      <c r="X612" s="128" t="s">
        <v>4657</v>
      </c>
      <c r="Y612" s="128" t="s">
        <v>4665</v>
      </c>
      <c r="Z612" s="128" t="s">
        <v>4666</v>
      </c>
      <c r="AA612" s="284">
        <v>1</v>
      </c>
      <c r="AB612" s="92">
        <v>2</v>
      </c>
      <c r="AC612" s="92">
        <v>11</v>
      </c>
      <c r="AD612" s="21">
        <v>0</v>
      </c>
      <c r="AE612" s="54">
        <v>0</v>
      </c>
      <c r="AF612" s="315">
        <f t="shared" si="49"/>
        <v>0</v>
      </c>
    </row>
    <row r="613" spans="1:32" ht="240" x14ac:dyDescent="0.25">
      <c r="A613" s="107" t="s">
        <v>588</v>
      </c>
      <c r="B613" s="107" t="s">
        <v>2269</v>
      </c>
      <c r="C613" s="52"/>
      <c r="D613" s="107" t="s">
        <v>2300</v>
      </c>
      <c r="E613" s="22" t="str">
        <f t="shared" si="47"/>
        <v>SEJUSPPROG</v>
      </c>
      <c r="F613" s="52" t="s">
        <v>729</v>
      </c>
      <c r="G613" s="22" t="str">
        <f t="shared" si="48"/>
        <v>P130SEJUSP</v>
      </c>
      <c r="H613" s="128" t="s">
        <v>1183</v>
      </c>
      <c r="I613" s="22" t="s">
        <v>16</v>
      </c>
      <c r="J613" s="92" t="s">
        <v>303</v>
      </c>
      <c r="K613" s="22" t="str">
        <f>VLOOKUP(CONCATENATE(A613,LEFT(J613,4)),AGRUPAMENTO!$D$2:$E$6783,2,FALSE)</f>
        <v>Demais despesas de capital</v>
      </c>
      <c r="L613" s="128" t="s">
        <v>94</v>
      </c>
      <c r="M613" s="52"/>
      <c r="N613" s="92">
        <v>10</v>
      </c>
      <c r="O613" s="159" t="s">
        <v>2877</v>
      </c>
      <c r="P613" s="159" t="s">
        <v>46</v>
      </c>
      <c r="Q613" s="159" t="s">
        <v>3872</v>
      </c>
      <c r="R613" s="159">
        <v>200</v>
      </c>
      <c r="S613" s="159" t="s">
        <v>3918</v>
      </c>
      <c r="T613" s="211">
        <v>294</v>
      </c>
      <c r="U613" s="212">
        <v>1</v>
      </c>
      <c r="V613" s="58">
        <f t="shared" si="46"/>
        <v>58800</v>
      </c>
      <c r="W613" s="284" t="s">
        <v>68</v>
      </c>
      <c r="X613" s="128" t="s">
        <v>4657</v>
      </c>
      <c r="Y613" s="128" t="s">
        <v>4660</v>
      </c>
      <c r="Z613" s="128" t="s">
        <v>4661</v>
      </c>
      <c r="AA613" s="284">
        <v>1</v>
      </c>
      <c r="AB613" s="92">
        <v>2</v>
      </c>
      <c r="AC613" s="92">
        <v>11</v>
      </c>
      <c r="AD613" s="21">
        <v>0</v>
      </c>
      <c r="AE613" s="54">
        <v>0</v>
      </c>
      <c r="AF613" s="315">
        <f t="shared" si="49"/>
        <v>0</v>
      </c>
    </row>
    <row r="614" spans="1:32" ht="240" x14ac:dyDescent="0.25">
      <c r="A614" s="107" t="s">
        <v>588</v>
      </c>
      <c r="B614" s="107" t="s">
        <v>2269</v>
      </c>
      <c r="C614" s="52"/>
      <c r="D614" s="107" t="s">
        <v>2300</v>
      </c>
      <c r="E614" s="22" t="str">
        <f t="shared" si="47"/>
        <v>SEJUSPPROG</v>
      </c>
      <c r="F614" s="52" t="s">
        <v>729</v>
      </c>
      <c r="G614" s="22" t="str">
        <f t="shared" si="48"/>
        <v>P130SEJUSP</v>
      </c>
      <c r="H614" s="128" t="s">
        <v>1183</v>
      </c>
      <c r="I614" s="22" t="s">
        <v>16</v>
      </c>
      <c r="J614" s="92" t="s">
        <v>303</v>
      </c>
      <c r="K614" s="22" t="str">
        <f>VLOOKUP(CONCATENATE(A614,LEFT(J614,4)),AGRUPAMENTO!$D$2:$E$6783,2,FALSE)</f>
        <v>Demais despesas de capital</v>
      </c>
      <c r="L614" s="128" t="s">
        <v>94</v>
      </c>
      <c r="M614" s="52"/>
      <c r="N614" s="92">
        <v>10</v>
      </c>
      <c r="O614" s="159" t="s">
        <v>2878</v>
      </c>
      <c r="P614" s="159" t="s">
        <v>46</v>
      </c>
      <c r="Q614" s="159" t="s">
        <v>3872</v>
      </c>
      <c r="R614" s="159">
        <v>50</v>
      </c>
      <c r="S614" s="159" t="s">
        <v>3918</v>
      </c>
      <c r="T614" s="211">
        <v>2794</v>
      </c>
      <c r="U614" s="212">
        <v>1</v>
      </c>
      <c r="V614" s="58">
        <f t="shared" si="46"/>
        <v>139700</v>
      </c>
      <c r="W614" s="284" t="s">
        <v>68</v>
      </c>
      <c r="X614" s="128" t="s">
        <v>4657</v>
      </c>
      <c r="Y614" s="128" t="s">
        <v>4660</v>
      </c>
      <c r="Z614" s="128" t="s">
        <v>4661</v>
      </c>
      <c r="AA614" s="284">
        <v>1</v>
      </c>
      <c r="AB614" s="92">
        <v>2</v>
      </c>
      <c r="AC614" s="92">
        <v>11</v>
      </c>
      <c r="AD614" s="21">
        <v>0</v>
      </c>
      <c r="AE614" s="54">
        <v>0</v>
      </c>
      <c r="AF614" s="315">
        <f t="shared" si="49"/>
        <v>0</v>
      </c>
    </row>
    <row r="615" spans="1:32" ht="180" x14ac:dyDescent="0.25">
      <c r="A615" s="107" t="s">
        <v>588</v>
      </c>
      <c r="B615" s="107" t="s">
        <v>2269</v>
      </c>
      <c r="C615" s="52"/>
      <c r="D615" s="107" t="s">
        <v>2300</v>
      </c>
      <c r="E615" s="22" t="str">
        <f t="shared" si="47"/>
        <v>SEJUSPPROG</v>
      </c>
      <c r="F615" s="52" t="s">
        <v>729</v>
      </c>
      <c r="G615" s="22" t="str">
        <f t="shared" si="48"/>
        <v>P130SEJUSP</v>
      </c>
      <c r="H615" s="128" t="s">
        <v>1183</v>
      </c>
      <c r="I615" s="22" t="s">
        <v>16</v>
      </c>
      <c r="J615" s="92" t="s">
        <v>2232</v>
      </c>
      <c r="K615" s="22" t="str">
        <f>VLOOKUP(CONCATENATE(A615,LEFT(J615,4)),AGRUPAMENTO!$D$2:$E$6783,2,FALSE)</f>
        <v>Demais despesas de capital</v>
      </c>
      <c r="L615" s="128" t="s">
        <v>94</v>
      </c>
      <c r="M615" s="52"/>
      <c r="N615" s="92">
        <v>10</v>
      </c>
      <c r="O615" s="159" t="s">
        <v>2879</v>
      </c>
      <c r="P615" s="159" t="s">
        <v>46</v>
      </c>
      <c r="Q615" s="159" t="s">
        <v>3872</v>
      </c>
      <c r="R615" s="159">
        <v>168</v>
      </c>
      <c r="S615" s="159" t="s">
        <v>3923</v>
      </c>
      <c r="T615" s="211">
        <v>557</v>
      </c>
      <c r="U615" s="212">
        <v>1</v>
      </c>
      <c r="V615" s="58">
        <f t="shared" si="46"/>
        <v>93576</v>
      </c>
      <c r="W615" s="284" t="s">
        <v>68</v>
      </c>
      <c r="X615" s="128" t="s">
        <v>4657</v>
      </c>
      <c r="Y615" s="128" t="s">
        <v>4658</v>
      </c>
      <c r="Z615" s="128" t="s">
        <v>4659</v>
      </c>
      <c r="AA615" s="284">
        <v>1</v>
      </c>
      <c r="AB615" s="92">
        <v>2</v>
      </c>
      <c r="AC615" s="92">
        <v>11</v>
      </c>
      <c r="AD615" s="21">
        <v>0</v>
      </c>
      <c r="AE615" s="54">
        <v>0</v>
      </c>
      <c r="AF615" s="315">
        <f t="shared" si="49"/>
        <v>0</v>
      </c>
    </row>
    <row r="616" spans="1:32" ht="300" x14ac:dyDescent="0.25">
      <c r="A616" s="107" t="s">
        <v>588</v>
      </c>
      <c r="B616" s="107" t="s">
        <v>2269</v>
      </c>
      <c r="C616" s="52"/>
      <c r="D616" s="107" t="s">
        <v>2300</v>
      </c>
      <c r="E616" s="22" t="str">
        <f t="shared" si="47"/>
        <v>SEJUSPPROG</v>
      </c>
      <c r="F616" s="52" t="s">
        <v>729</v>
      </c>
      <c r="G616" s="22" t="str">
        <f t="shared" si="48"/>
        <v>P130SEJUSP</v>
      </c>
      <c r="H616" s="92" t="s">
        <v>1183</v>
      </c>
      <c r="I616" s="22" t="s">
        <v>16</v>
      </c>
      <c r="J616" s="92" t="s">
        <v>332</v>
      </c>
      <c r="K616" s="22" t="str">
        <f>VLOOKUP(CONCATENATE(A616,LEFT(J616,4)),AGRUPAMENTO!$D$2:$E$6783,2,FALSE)</f>
        <v>Material de consumo</v>
      </c>
      <c r="L616" s="92" t="s">
        <v>44</v>
      </c>
      <c r="M616" s="52"/>
      <c r="N616" s="52">
        <v>60</v>
      </c>
      <c r="O616" s="92" t="s">
        <v>2880</v>
      </c>
      <c r="P616" s="92" t="s">
        <v>46</v>
      </c>
      <c r="Q616" s="92" t="s">
        <v>3927</v>
      </c>
      <c r="R616" s="92">
        <v>600</v>
      </c>
      <c r="S616" s="92" t="s">
        <v>3928</v>
      </c>
      <c r="T616" s="200">
        <v>3.15</v>
      </c>
      <c r="U616" s="201">
        <v>1</v>
      </c>
      <c r="V616" s="58">
        <f t="shared" si="46"/>
        <v>1890</v>
      </c>
      <c r="W616" s="52" t="s">
        <v>49</v>
      </c>
      <c r="X616" s="92" t="s">
        <v>4667</v>
      </c>
      <c r="Y616" s="92" t="s">
        <v>4668</v>
      </c>
      <c r="Z616" s="92" t="s">
        <v>4669</v>
      </c>
      <c r="AA616" s="52">
        <v>0</v>
      </c>
      <c r="AB616" s="52">
        <v>0</v>
      </c>
      <c r="AC616" s="52">
        <v>0</v>
      </c>
      <c r="AD616" s="21">
        <v>0.66843255889259856</v>
      </c>
      <c r="AE616" s="54">
        <v>0.66843255889259856</v>
      </c>
      <c r="AF616" s="315">
        <f t="shared" si="49"/>
        <v>1263.3375363070113</v>
      </c>
    </row>
    <row r="617" spans="1:32" ht="300" x14ac:dyDescent="0.25">
      <c r="A617" s="107" t="s">
        <v>588</v>
      </c>
      <c r="B617" s="107" t="s">
        <v>2269</v>
      </c>
      <c r="C617" s="52"/>
      <c r="D617" s="107" t="s">
        <v>2300</v>
      </c>
      <c r="E617" s="22" t="str">
        <f t="shared" si="47"/>
        <v>SEJUSPPROG</v>
      </c>
      <c r="F617" s="52" t="s">
        <v>729</v>
      </c>
      <c r="G617" s="22" t="str">
        <f t="shared" si="48"/>
        <v>P130SEJUSP</v>
      </c>
      <c r="H617" s="92" t="s">
        <v>1183</v>
      </c>
      <c r="I617" s="22" t="s">
        <v>16</v>
      </c>
      <c r="J617" s="92" t="s">
        <v>332</v>
      </c>
      <c r="K617" s="22" t="str">
        <f>VLOOKUP(CONCATENATE(A617,LEFT(J617,4)),AGRUPAMENTO!$D$2:$E$6783,2,FALSE)</f>
        <v>Material de consumo</v>
      </c>
      <c r="L617" s="92" t="s">
        <v>44</v>
      </c>
      <c r="M617" s="52"/>
      <c r="N617" s="52">
        <v>60</v>
      </c>
      <c r="O617" s="92" t="s">
        <v>2881</v>
      </c>
      <c r="P617" s="92" t="s">
        <v>46</v>
      </c>
      <c r="Q617" s="92" t="s">
        <v>3927</v>
      </c>
      <c r="R617" s="92">
        <v>600</v>
      </c>
      <c r="S617" s="92" t="s">
        <v>3928</v>
      </c>
      <c r="T617" s="200">
        <v>2.6</v>
      </c>
      <c r="U617" s="201">
        <v>1</v>
      </c>
      <c r="V617" s="58">
        <f t="shared" si="46"/>
        <v>1560</v>
      </c>
      <c r="W617" s="52" t="s">
        <v>49</v>
      </c>
      <c r="X617" s="92" t="s">
        <v>4667</v>
      </c>
      <c r="Y617" s="92" t="s">
        <v>4668</v>
      </c>
      <c r="Z617" s="92" t="s">
        <v>4669</v>
      </c>
      <c r="AA617" s="52">
        <v>0</v>
      </c>
      <c r="AB617" s="52">
        <v>0</v>
      </c>
      <c r="AC617" s="52">
        <v>0</v>
      </c>
      <c r="AD617" s="21">
        <v>0.66843255889259856</v>
      </c>
      <c r="AE617" s="54">
        <v>0.66843255889259856</v>
      </c>
      <c r="AF617" s="315">
        <f t="shared" si="49"/>
        <v>1042.7547918724538</v>
      </c>
    </row>
    <row r="618" spans="1:32" ht="300" x14ac:dyDescent="0.25">
      <c r="A618" s="107" t="s">
        <v>588</v>
      </c>
      <c r="B618" s="107" t="s">
        <v>2269</v>
      </c>
      <c r="C618" s="52"/>
      <c r="D618" s="107" t="s">
        <v>2300</v>
      </c>
      <c r="E618" s="22" t="str">
        <f t="shared" si="47"/>
        <v>SEJUSPPROG</v>
      </c>
      <c r="F618" s="52" t="s">
        <v>729</v>
      </c>
      <c r="G618" s="22" t="str">
        <f t="shared" si="48"/>
        <v>P130SEJUSP</v>
      </c>
      <c r="H618" s="92" t="s">
        <v>1183</v>
      </c>
      <c r="I618" s="22" t="s">
        <v>16</v>
      </c>
      <c r="J618" s="92" t="s">
        <v>332</v>
      </c>
      <c r="K618" s="22" t="str">
        <f>VLOOKUP(CONCATENATE(A618,LEFT(J618,4)),AGRUPAMENTO!$D$2:$E$6783,2,FALSE)</f>
        <v>Material de consumo</v>
      </c>
      <c r="L618" s="92" t="s">
        <v>44</v>
      </c>
      <c r="M618" s="52"/>
      <c r="N618" s="52">
        <v>60</v>
      </c>
      <c r="O618" s="92" t="s">
        <v>2882</v>
      </c>
      <c r="P618" s="92" t="s">
        <v>46</v>
      </c>
      <c r="Q618" s="92" t="s">
        <v>3927</v>
      </c>
      <c r="R618" s="92">
        <v>600</v>
      </c>
      <c r="S618" s="92" t="s">
        <v>3928</v>
      </c>
      <c r="T618" s="200">
        <v>3.5</v>
      </c>
      <c r="U618" s="201">
        <v>1</v>
      </c>
      <c r="V618" s="58">
        <f t="shared" si="46"/>
        <v>2100</v>
      </c>
      <c r="W618" s="52" t="s">
        <v>49</v>
      </c>
      <c r="X618" s="92" t="s">
        <v>4667</v>
      </c>
      <c r="Y618" s="92" t="s">
        <v>4668</v>
      </c>
      <c r="Z618" s="92" t="s">
        <v>4669</v>
      </c>
      <c r="AA618" s="52">
        <v>0</v>
      </c>
      <c r="AB618" s="52">
        <v>0</v>
      </c>
      <c r="AC618" s="52">
        <v>0</v>
      </c>
      <c r="AD618" s="21">
        <v>0.66843255889259856</v>
      </c>
      <c r="AE618" s="54">
        <v>0.66843255889259856</v>
      </c>
      <c r="AF618" s="315">
        <f t="shared" si="49"/>
        <v>1403.7083736744569</v>
      </c>
    </row>
    <row r="619" spans="1:32" ht="300" x14ac:dyDescent="0.25">
      <c r="A619" s="107" t="s">
        <v>588</v>
      </c>
      <c r="B619" s="107" t="s">
        <v>2269</v>
      </c>
      <c r="C619" s="52"/>
      <c r="D619" s="107" t="s">
        <v>2300</v>
      </c>
      <c r="E619" s="22" t="str">
        <f t="shared" si="47"/>
        <v>SEJUSPPROG</v>
      </c>
      <c r="F619" s="52" t="s">
        <v>729</v>
      </c>
      <c r="G619" s="22" t="str">
        <f t="shared" si="48"/>
        <v>P130SEJUSP</v>
      </c>
      <c r="H619" s="92" t="s">
        <v>1183</v>
      </c>
      <c r="I619" s="22" t="s">
        <v>16</v>
      </c>
      <c r="J619" s="92" t="s">
        <v>332</v>
      </c>
      <c r="K619" s="22" t="str">
        <f>VLOOKUP(CONCATENATE(A619,LEFT(J619,4)),AGRUPAMENTO!$D$2:$E$6783,2,FALSE)</f>
        <v>Material de consumo</v>
      </c>
      <c r="L619" s="92" t="s">
        <v>44</v>
      </c>
      <c r="M619" s="52"/>
      <c r="N619" s="52">
        <v>60</v>
      </c>
      <c r="O619" s="92" t="s">
        <v>2883</v>
      </c>
      <c r="P619" s="92" t="s">
        <v>46</v>
      </c>
      <c r="Q619" s="92" t="s">
        <v>3927</v>
      </c>
      <c r="R619" s="92">
        <v>1500</v>
      </c>
      <c r="S619" s="92" t="s">
        <v>3928</v>
      </c>
      <c r="T619" s="200">
        <v>4.9000000000000004</v>
      </c>
      <c r="U619" s="201">
        <v>1</v>
      </c>
      <c r="V619" s="58">
        <f t="shared" si="46"/>
        <v>7350.0000000000009</v>
      </c>
      <c r="W619" s="52" t="s">
        <v>49</v>
      </c>
      <c r="X619" s="92" t="s">
        <v>4667</v>
      </c>
      <c r="Y619" s="92" t="s">
        <v>4668</v>
      </c>
      <c r="Z619" s="92" t="s">
        <v>4669</v>
      </c>
      <c r="AA619" s="52">
        <v>0</v>
      </c>
      <c r="AB619" s="52">
        <v>0</v>
      </c>
      <c r="AC619" s="52">
        <v>0</v>
      </c>
      <c r="AD619" s="21">
        <v>0.66843255889259856</v>
      </c>
      <c r="AE619" s="54">
        <v>0.66843255889259856</v>
      </c>
      <c r="AF619" s="315">
        <f t="shared" si="49"/>
        <v>4912.9793078605999</v>
      </c>
    </row>
    <row r="620" spans="1:32" ht="300" x14ac:dyDescent="0.25">
      <c r="A620" s="107" t="s">
        <v>588</v>
      </c>
      <c r="B620" s="107" t="s">
        <v>2269</v>
      </c>
      <c r="C620" s="52"/>
      <c r="D620" s="107" t="s">
        <v>2300</v>
      </c>
      <c r="E620" s="22" t="str">
        <f t="shared" si="47"/>
        <v>SEJUSPPROG</v>
      </c>
      <c r="F620" s="52" t="s">
        <v>729</v>
      </c>
      <c r="G620" s="22" t="str">
        <f t="shared" si="48"/>
        <v>P130SEJUSP</v>
      </c>
      <c r="H620" s="92" t="s">
        <v>1183</v>
      </c>
      <c r="I620" s="22" t="s">
        <v>16</v>
      </c>
      <c r="J620" s="92" t="s">
        <v>332</v>
      </c>
      <c r="K620" s="22" t="str">
        <f>VLOOKUP(CONCATENATE(A620,LEFT(J620,4)),AGRUPAMENTO!$D$2:$E$6783,2,FALSE)</f>
        <v>Material de consumo</v>
      </c>
      <c r="L620" s="92" t="s">
        <v>44</v>
      </c>
      <c r="M620" s="52"/>
      <c r="N620" s="52">
        <v>60</v>
      </c>
      <c r="O620" s="92" t="s">
        <v>2884</v>
      </c>
      <c r="P620" s="92" t="s">
        <v>46</v>
      </c>
      <c r="Q620" s="92" t="s">
        <v>3927</v>
      </c>
      <c r="R620" s="92">
        <v>1500</v>
      </c>
      <c r="S620" s="92" t="s">
        <v>3928</v>
      </c>
      <c r="T620" s="200">
        <v>1.8</v>
      </c>
      <c r="U620" s="201">
        <v>1</v>
      </c>
      <c r="V620" s="58">
        <f t="shared" si="46"/>
        <v>2700</v>
      </c>
      <c r="W620" s="52" t="s">
        <v>49</v>
      </c>
      <c r="X620" s="92" t="s">
        <v>4667</v>
      </c>
      <c r="Y620" s="92" t="s">
        <v>4668</v>
      </c>
      <c r="Z620" s="92" t="s">
        <v>4669</v>
      </c>
      <c r="AA620" s="52">
        <v>0</v>
      </c>
      <c r="AB620" s="52">
        <v>0</v>
      </c>
      <c r="AC620" s="52">
        <v>0</v>
      </c>
      <c r="AD620" s="21">
        <v>0.66843255889259856</v>
      </c>
      <c r="AE620" s="54">
        <v>0.66843255889259856</v>
      </c>
      <c r="AF620" s="315">
        <f t="shared" si="49"/>
        <v>1804.7679090100162</v>
      </c>
    </row>
    <row r="621" spans="1:32" ht="300" x14ac:dyDescent="0.25">
      <c r="A621" s="107" t="s">
        <v>588</v>
      </c>
      <c r="B621" s="107" t="s">
        <v>2269</v>
      </c>
      <c r="C621" s="52"/>
      <c r="D621" s="107" t="s">
        <v>2300</v>
      </c>
      <c r="E621" s="22" t="str">
        <f t="shared" si="47"/>
        <v>SEJUSPPROG</v>
      </c>
      <c r="F621" s="52" t="s">
        <v>729</v>
      </c>
      <c r="G621" s="22" t="str">
        <f t="shared" si="48"/>
        <v>P130SEJUSP</v>
      </c>
      <c r="H621" s="92" t="s">
        <v>1183</v>
      </c>
      <c r="I621" s="22" t="s">
        <v>16</v>
      </c>
      <c r="J621" s="92" t="s">
        <v>332</v>
      </c>
      <c r="K621" s="22" t="str">
        <f>VLOOKUP(CONCATENATE(A621,LEFT(J621,4)),AGRUPAMENTO!$D$2:$E$6783,2,FALSE)</f>
        <v>Material de consumo</v>
      </c>
      <c r="L621" s="92" t="s">
        <v>44</v>
      </c>
      <c r="M621" s="52"/>
      <c r="N621" s="52">
        <v>60</v>
      </c>
      <c r="O621" s="92" t="s">
        <v>2885</v>
      </c>
      <c r="P621" s="92" t="s">
        <v>46</v>
      </c>
      <c r="Q621" s="92" t="s">
        <v>3927</v>
      </c>
      <c r="R621" s="92">
        <v>30000</v>
      </c>
      <c r="S621" s="92" t="s">
        <v>3928</v>
      </c>
      <c r="T621" s="200">
        <v>0.65</v>
      </c>
      <c r="U621" s="201">
        <v>1</v>
      </c>
      <c r="V621" s="58">
        <f t="shared" si="46"/>
        <v>19500</v>
      </c>
      <c r="W621" s="52" t="s">
        <v>49</v>
      </c>
      <c r="X621" s="92" t="s">
        <v>4667</v>
      </c>
      <c r="Y621" s="92" t="s">
        <v>4668</v>
      </c>
      <c r="Z621" s="92" t="s">
        <v>4669</v>
      </c>
      <c r="AA621" s="52">
        <v>0</v>
      </c>
      <c r="AB621" s="52">
        <v>0</v>
      </c>
      <c r="AC621" s="52">
        <v>0</v>
      </c>
      <c r="AD621" s="21">
        <v>0.66843255889259856</v>
      </c>
      <c r="AE621" s="54">
        <v>0.66843255889259856</v>
      </c>
      <c r="AF621" s="315">
        <f t="shared" si="49"/>
        <v>13034.434898405672</v>
      </c>
    </row>
    <row r="622" spans="1:32" ht="300" x14ac:dyDescent="0.25">
      <c r="A622" s="107" t="s">
        <v>588</v>
      </c>
      <c r="B622" s="107" t="s">
        <v>2269</v>
      </c>
      <c r="C622" s="52"/>
      <c r="D622" s="107" t="s">
        <v>2300</v>
      </c>
      <c r="E622" s="22" t="str">
        <f t="shared" si="47"/>
        <v>SEJUSPPROG</v>
      </c>
      <c r="F622" s="52" t="s">
        <v>729</v>
      </c>
      <c r="G622" s="22" t="str">
        <f t="shared" si="48"/>
        <v>P130SEJUSP</v>
      </c>
      <c r="H622" s="92" t="s">
        <v>1183</v>
      </c>
      <c r="I622" s="22" t="s">
        <v>16</v>
      </c>
      <c r="J622" s="92" t="s">
        <v>332</v>
      </c>
      <c r="K622" s="22" t="str">
        <f>VLOOKUP(CONCATENATE(A622,LEFT(J622,4)),AGRUPAMENTO!$D$2:$E$6783,2,FALSE)</f>
        <v>Material de consumo</v>
      </c>
      <c r="L622" s="92" t="s">
        <v>44</v>
      </c>
      <c r="M622" s="52"/>
      <c r="N622" s="52">
        <v>60</v>
      </c>
      <c r="O622" s="92" t="s">
        <v>2886</v>
      </c>
      <c r="P622" s="92" t="s">
        <v>46</v>
      </c>
      <c r="Q622" s="92" t="s">
        <v>3927</v>
      </c>
      <c r="R622" s="92">
        <v>45000</v>
      </c>
      <c r="S622" s="92" t="s">
        <v>3928</v>
      </c>
      <c r="T622" s="200">
        <v>2</v>
      </c>
      <c r="U622" s="201">
        <v>1</v>
      </c>
      <c r="V622" s="58">
        <f t="shared" si="46"/>
        <v>90000</v>
      </c>
      <c r="W622" s="52" t="s">
        <v>49</v>
      </c>
      <c r="X622" s="92" t="s">
        <v>4667</v>
      </c>
      <c r="Y622" s="92" t="s">
        <v>4668</v>
      </c>
      <c r="Z622" s="92" t="s">
        <v>4669</v>
      </c>
      <c r="AA622" s="52">
        <v>0</v>
      </c>
      <c r="AB622" s="52">
        <v>0</v>
      </c>
      <c r="AC622" s="52">
        <v>0</v>
      </c>
      <c r="AD622" s="21">
        <v>0.66843255889259856</v>
      </c>
      <c r="AE622" s="54">
        <v>0.66843255889259856</v>
      </c>
      <c r="AF622" s="315">
        <f t="shared" si="49"/>
        <v>60158.930300333872</v>
      </c>
    </row>
    <row r="623" spans="1:32" ht="300" x14ac:dyDescent="0.25">
      <c r="A623" s="107" t="s">
        <v>588</v>
      </c>
      <c r="B623" s="107" t="s">
        <v>2269</v>
      </c>
      <c r="C623" s="52"/>
      <c r="D623" s="107" t="s">
        <v>2300</v>
      </c>
      <c r="E623" s="22" t="str">
        <f t="shared" si="47"/>
        <v>SEJUSPPROG</v>
      </c>
      <c r="F623" s="52" t="s">
        <v>729</v>
      </c>
      <c r="G623" s="22" t="str">
        <f t="shared" si="48"/>
        <v>P130SEJUSP</v>
      </c>
      <c r="H623" s="92" t="s">
        <v>1183</v>
      </c>
      <c r="I623" s="22" t="s">
        <v>16</v>
      </c>
      <c r="J623" s="92" t="s">
        <v>332</v>
      </c>
      <c r="K623" s="22" t="str">
        <f>VLOOKUP(CONCATENATE(A623,LEFT(J623,4)),AGRUPAMENTO!$D$2:$E$6783,2,FALSE)</f>
        <v>Material de consumo</v>
      </c>
      <c r="L623" s="92" t="s">
        <v>44</v>
      </c>
      <c r="M623" s="52"/>
      <c r="N623" s="52">
        <v>60</v>
      </c>
      <c r="O623" s="92" t="s">
        <v>2887</v>
      </c>
      <c r="P623" s="92" t="s">
        <v>46</v>
      </c>
      <c r="Q623" s="92" t="s">
        <v>3927</v>
      </c>
      <c r="R623" s="92">
        <v>60000</v>
      </c>
      <c r="S623" s="92" t="s">
        <v>3928</v>
      </c>
      <c r="T623" s="200">
        <v>10.6</v>
      </c>
      <c r="U623" s="201">
        <v>1</v>
      </c>
      <c r="V623" s="58">
        <f t="shared" si="46"/>
        <v>636000</v>
      </c>
      <c r="W623" s="52" t="s">
        <v>49</v>
      </c>
      <c r="X623" s="92" t="s">
        <v>4667</v>
      </c>
      <c r="Y623" s="92" t="s">
        <v>4668</v>
      </c>
      <c r="Z623" s="92" t="s">
        <v>4669</v>
      </c>
      <c r="AA623" s="52">
        <v>0</v>
      </c>
      <c r="AB623" s="52">
        <v>0</v>
      </c>
      <c r="AC623" s="52">
        <v>0</v>
      </c>
      <c r="AD623" s="21">
        <v>0.66843255889259856</v>
      </c>
      <c r="AE623" s="54">
        <v>0.66843255889259856</v>
      </c>
      <c r="AF623" s="315">
        <f t="shared" si="49"/>
        <v>425123.10745569266</v>
      </c>
    </row>
    <row r="624" spans="1:32" ht="300" x14ac:dyDescent="0.25">
      <c r="A624" s="107" t="s">
        <v>588</v>
      </c>
      <c r="B624" s="107" t="s">
        <v>2269</v>
      </c>
      <c r="C624" s="52"/>
      <c r="D624" s="107" t="s">
        <v>2300</v>
      </c>
      <c r="E624" s="22" t="str">
        <f t="shared" si="47"/>
        <v>SEJUSPPROG</v>
      </c>
      <c r="F624" s="52" t="s">
        <v>729</v>
      </c>
      <c r="G624" s="22" t="str">
        <f t="shared" si="48"/>
        <v>P130SEJUSP</v>
      </c>
      <c r="H624" s="92" t="s">
        <v>1183</v>
      </c>
      <c r="I624" s="22" t="s">
        <v>16</v>
      </c>
      <c r="J624" s="92" t="s">
        <v>332</v>
      </c>
      <c r="K624" s="22" t="str">
        <f>VLOOKUP(CONCATENATE(A624,LEFT(J624,4)),AGRUPAMENTO!$D$2:$E$6783,2,FALSE)</f>
        <v>Material de consumo</v>
      </c>
      <c r="L624" s="92" t="s">
        <v>44</v>
      </c>
      <c r="M624" s="52"/>
      <c r="N624" s="52">
        <v>60</v>
      </c>
      <c r="O624" s="92" t="s">
        <v>2888</v>
      </c>
      <c r="P624" s="92" t="s">
        <v>46</v>
      </c>
      <c r="Q624" s="92" t="s">
        <v>3927</v>
      </c>
      <c r="R624" s="92">
        <v>3500</v>
      </c>
      <c r="S624" s="92" t="s">
        <v>3928</v>
      </c>
      <c r="T624" s="200">
        <v>9</v>
      </c>
      <c r="U624" s="201">
        <v>1</v>
      </c>
      <c r="V624" s="58">
        <f t="shared" si="46"/>
        <v>31500</v>
      </c>
      <c r="W624" s="52" t="s">
        <v>49</v>
      </c>
      <c r="X624" s="92" t="s">
        <v>4667</v>
      </c>
      <c r="Y624" s="92" t="s">
        <v>4668</v>
      </c>
      <c r="Z624" s="92" t="s">
        <v>4669</v>
      </c>
      <c r="AA624" s="52">
        <v>0</v>
      </c>
      <c r="AB624" s="52">
        <v>0</v>
      </c>
      <c r="AC624" s="52">
        <v>0</v>
      </c>
      <c r="AD624" s="21">
        <v>0.66843255889259856</v>
      </c>
      <c r="AE624" s="54">
        <v>0.66843255889259856</v>
      </c>
      <c r="AF624" s="315">
        <f t="shared" si="49"/>
        <v>21055.625605116853</v>
      </c>
    </row>
    <row r="625" spans="1:32" ht="300" x14ac:dyDescent="0.25">
      <c r="A625" s="107" t="s">
        <v>588</v>
      </c>
      <c r="B625" s="107" t="s">
        <v>2269</v>
      </c>
      <c r="C625" s="52"/>
      <c r="D625" s="107" t="s">
        <v>2300</v>
      </c>
      <c r="E625" s="22" t="str">
        <f t="shared" si="47"/>
        <v>SEJUSPPROG</v>
      </c>
      <c r="F625" s="52" t="s">
        <v>729</v>
      </c>
      <c r="G625" s="22" t="str">
        <f t="shared" si="48"/>
        <v>P130SEJUSP</v>
      </c>
      <c r="H625" s="92" t="s">
        <v>1183</v>
      </c>
      <c r="I625" s="22" t="s">
        <v>16</v>
      </c>
      <c r="J625" s="92" t="s">
        <v>332</v>
      </c>
      <c r="K625" s="22" t="str">
        <f>VLOOKUP(CONCATENATE(A625,LEFT(J625,4)),AGRUPAMENTO!$D$2:$E$6783,2,FALSE)</f>
        <v>Material de consumo</v>
      </c>
      <c r="L625" s="92" t="s">
        <v>44</v>
      </c>
      <c r="M625" s="52"/>
      <c r="N625" s="52">
        <v>60</v>
      </c>
      <c r="O625" s="92" t="s">
        <v>2889</v>
      </c>
      <c r="P625" s="92" t="s">
        <v>46</v>
      </c>
      <c r="Q625" s="92" t="s">
        <v>3927</v>
      </c>
      <c r="R625" s="92">
        <v>800</v>
      </c>
      <c r="S625" s="92" t="s">
        <v>3928</v>
      </c>
      <c r="T625" s="200">
        <v>8.99</v>
      </c>
      <c r="U625" s="201">
        <v>1</v>
      </c>
      <c r="V625" s="58">
        <f t="shared" si="46"/>
        <v>7192</v>
      </c>
      <c r="W625" s="52" t="s">
        <v>49</v>
      </c>
      <c r="X625" s="92" t="s">
        <v>4667</v>
      </c>
      <c r="Y625" s="92" t="s">
        <v>4668</v>
      </c>
      <c r="Z625" s="92" t="s">
        <v>4669</v>
      </c>
      <c r="AA625" s="52">
        <v>0</v>
      </c>
      <c r="AB625" s="52">
        <v>0</v>
      </c>
      <c r="AC625" s="52">
        <v>0</v>
      </c>
      <c r="AD625" s="21">
        <v>0.66843255889259856</v>
      </c>
      <c r="AE625" s="54">
        <v>0.66843255889259856</v>
      </c>
      <c r="AF625" s="315">
        <f t="shared" si="49"/>
        <v>4807.3669635555689</v>
      </c>
    </row>
    <row r="626" spans="1:32" ht="300" x14ac:dyDescent="0.25">
      <c r="A626" s="107" t="s">
        <v>588</v>
      </c>
      <c r="B626" s="107" t="s">
        <v>2269</v>
      </c>
      <c r="C626" s="52"/>
      <c r="D626" s="107" t="s">
        <v>2300</v>
      </c>
      <c r="E626" s="22" t="str">
        <f t="shared" si="47"/>
        <v>SEJUSPPROG</v>
      </c>
      <c r="F626" s="52" t="s">
        <v>729</v>
      </c>
      <c r="G626" s="22" t="str">
        <f t="shared" si="48"/>
        <v>P130SEJUSP</v>
      </c>
      <c r="H626" s="92" t="s">
        <v>1183</v>
      </c>
      <c r="I626" s="22" t="s">
        <v>16</v>
      </c>
      <c r="J626" s="92" t="s">
        <v>332</v>
      </c>
      <c r="K626" s="22" t="str">
        <f>VLOOKUP(CONCATENATE(A626,LEFT(J626,4)),AGRUPAMENTO!$D$2:$E$6783,2,FALSE)</f>
        <v>Material de consumo</v>
      </c>
      <c r="L626" s="92" t="s">
        <v>44</v>
      </c>
      <c r="M626" s="52"/>
      <c r="N626" s="52">
        <v>60</v>
      </c>
      <c r="O626" s="92" t="s">
        <v>2890</v>
      </c>
      <c r="P626" s="92" t="s">
        <v>46</v>
      </c>
      <c r="Q626" s="92" t="s">
        <v>3927</v>
      </c>
      <c r="R626" s="92">
        <v>800</v>
      </c>
      <c r="S626" s="92" t="s">
        <v>3928</v>
      </c>
      <c r="T626" s="200">
        <v>1.75</v>
      </c>
      <c r="U626" s="201">
        <v>1</v>
      </c>
      <c r="V626" s="58">
        <f t="shared" si="46"/>
        <v>1400</v>
      </c>
      <c r="W626" s="52" t="s">
        <v>49</v>
      </c>
      <c r="X626" s="92" t="s">
        <v>4667</v>
      </c>
      <c r="Y626" s="92" t="s">
        <v>4668</v>
      </c>
      <c r="Z626" s="92" t="s">
        <v>4669</v>
      </c>
      <c r="AA626" s="52">
        <v>0</v>
      </c>
      <c r="AB626" s="52">
        <v>0</v>
      </c>
      <c r="AC626" s="52">
        <v>0</v>
      </c>
      <c r="AD626" s="21">
        <v>0.66843255889259856</v>
      </c>
      <c r="AE626" s="54">
        <v>0.66843255889259856</v>
      </c>
      <c r="AF626" s="315">
        <f t="shared" si="49"/>
        <v>935.805582449638</v>
      </c>
    </row>
    <row r="627" spans="1:32" ht="300" x14ac:dyDescent="0.25">
      <c r="A627" s="107" t="s">
        <v>588</v>
      </c>
      <c r="B627" s="107" t="s">
        <v>2269</v>
      </c>
      <c r="C627" s="52"/>
      <c r="D627" s="107" t="s">
        <v>2300</v>
      </c>
      <c r="E627" s="22" t="str">
        <f t="shared" si="47"/>
        <v>SEJUSPPROG</v>
      </c>
      <c r="F627" s="52" t="s">
        <v>729</v>
      </c>
      <c r="G627" s="22" t="str">
        <f t="shared" si="48"/>
        <v>P130SEJUSP</v>
      </c>
      <c r="H627" s="92" t="s">
        <v>1183</v>
      </c>
      <c r="I627" s="22" t="s">
        <v>16</v>
      </c>
      <c r="J627" s="92" t="s">
        <v>332</v>
      </c>
      <c r="K627" s="22" t="str">
        <f>VLOOKUP(CONCATENATE(A627,LEFT(J627,4)),AGRUPAMENTO!$D$2:$E$6783,2,FALSE)</f>
        <v>Material de consumo</v>
      </c>
      <c r="L627" s="92" t="s">
        <v>44</v>
      </c>
      <c r="M627" s="52"/>
      <c r="N627" s="52">
        <v>60</v>
      </c>
      <c r="O627" s="92" t="s">
        <v>2891</v>
      </c>
      <c r="P627" s="92" t="s">
        <v>46</v>
      </c>
      <c r="Q627" s="92" t="s">
        <v>3927</v>
      </c>
      <c r="R627" s="92">
        <v>800</v>
      </c>
      <c r="S627" s="92" t="s">
        <v>3928</v>
      </c>
      <c r="T627" s="200">
        <v>6.95</v>
      </c>
      <c r="U627" s="201">
        <v>1</v>
      </c>
      <c r="V627" s="58">
        <f t="shared" si="46"/>
        <v>5560</v>
      </c>
      <c r="W627" s="52" t="s">
        <v>49</v>
      </c>
      <c r="X627" s="92" t="s">
        <v>4667</v>
      </c>
      <c r="Y627" s="92" t="s">
        <v>4668</v>
      </c>
      <c r="Z627" s="92" t="s">
        <v>4669</v>
      </c>
      <c r="AA627" s="52">
        <v>0</v>
      </c>
      <c r="AB627" s="52">
        <v>0</v>
      </c>
      <c r="AC627" s="52">
        <v>0</v>
      </c>
      <c r="AD627" s="21">
        <v>0.66843255889259856</v>
      </c>
      <c r="AE627" s="54">
        <v>0.66843255889259856</v>
      </c>
      <c r="AF627" s="315">
        <f t="shared" si="49"/>
        <v>3716.4850274428481</v>
      </c>
    </row>
    <row r="628" spans="1:32" ht="300" x14ac:dyDescent="0.25">
      <c r="A628" s="107" t="s">
        <v>588</v>
      </c>
      <c r="B628" s="107" t="s">
        <v>2269</v>
      </c>
      <c r="C628" s="52"/>
      <c r="D628" s="107" t="s">
        <v>2300</v>
      </c>
      <c r="E628" s="22" t="str">
        <f t="shared" si="47"/>
        <v>SEJUSPPROG</v>
      </c>
      <c r="F628" s="52" t="s">
        <v>729</v>
      </c>
      <c r="G628" s="22" t="str">
        <f t="shared" si="48"/>
        <v>P130SEJUSP</v>
      </c>
      <c r="H628" s="92" t="s">
        <v>1183</v>
      </c>
      <c r="I628" s="22" t="s">
        <v>16</v>
      </c>
      <c r="J628" s="92" t="s">
        <v>332</v>
      </c>
      <c r="K628" s="22" t="str">
        <f>VLOOKUP(CONCATENATE(A628,LEFT(J628,4)),AGRUPAMENTO!$D$2:$E$6783,2,FALSE)</f>
        <v>Material de consumo</v>
      </c>
      <c r="L628" s="92" t="s">
        <v>44</v>
      </c>
      <c r="M628" s="52"/>
      <c r="N628" s="52">
        <v>60</v>
      </c>
      <c r="O628" s="92" t="s">
        <v>2892</v>
      </c>
      <c r="P628" s="92" t="s">
        <v>46</v>
      </c>
      <c r="Q628" s="92" t="s">
        <v>3927</v>
      </c>
      <c r="R628" s="92">
        <v>800</v>
      </c>
      <c r="S628" s="92" t="s">
        <v>3928</v>
      </c>
      <c r="T628" s="200">
        <v>6.95</v>
      </c>
      <c r="U628" s="201">
        <v>1</v>
      </c>
      <c r="V628" s="58">
        <f t="shared" si="46"/>
        <v>5560</v>
      </c>
      <c r="W628" s="52" t="s">
        <v>49</v>
      </c>
      <c r="X628" s="92" t="s">
        <v>4667</v>
      </c>
      <c r="Y628" s="92" t="s">
        <v>4668</v>
      </c>
      <c r="Z628" s="92" t="s">
        <v>4669</v>
      </c>
      <c r="AA628" s="52">
        <v>0</v>
      </c>
      <c r="AB628" s="52">
        <v>0</v>
      </c>
      <c r="AC628" s="52">
        <v>0</v>
      </c>
      <c r="AD628" s="21">
        <v>0.66843255889259856</v>
      </c>
      <c r="AE628" s="54">
        <v>0.66843255889259856</v>
      </c>
      <c r="AF628" s="315">
        <f t="shared" si="49"/>
        <v>3716.4850274428481</v>
      </c>
    </row>
    <row r="629" spans="1:32" ht="300" x14ac:dyDescent="0.25">
      <c r="A629" s="107" t="s">
        <v>588</v>
      </c>
      <c r="B629" s="107" t="s">
        <v>2269</v>
      </c>
      <c r="C629" s="52"/>
      <c r="D629" s="107" t="s">
        <v>2300</v>
      </c>
      <c r="E629" s="22" t="str">
        <f t="shared" si="47"/>
        <v>SEJUSPPROG</v>
      </c>
      <c r="F629" s="52" t="s">
        <v>729</v>
      </c>
      <c r="G629" s="22" t="str">
        <f t="shared" si="48"/>
        <v>P130SEJUSP</v>
      </c>
      <c r="H629" s="92" t="s">
        <v>1183</v>
      </c>
      <c r="I629" s="22" t="s">
        <v>16</v>
      </c>
      <c r="J629" s="92" t="s">
        <v>332</v>
      </c>
      <c r="K629" s="22" t="str">
        <f>VLOOKUP(CONCATENATE(A629,LEFT(J629,4)),AGRUPAMENTO!$D$2:$E$6783,2,FALSE)</f>
        <v>Material de consumo</v>
      </c>
      <c r="L629" s="92" t="s">
        <v>44</v>
      </c>
      <c r="M629" s="52"/>
      <c r="N629" s="52">
        <v>60</v>
      </c>
      <c r="O629" s="92" t="s">
        <v>2893</v>
      </c>
      <c r="P629" s="92" t="s">
        <v>46</v>
      </c>
      <c r="Q629" s="92" t="s">
        <v>3927</v>
      </c>
      <c r="R629" s="92">
        <v>800</v>
      </c>
      <c r="S629" s="92" t="s">
        <v>3928</v>
      </c>
      <c r="T629" s="200">
        <v>6.95</v>
      </c>
      <c r="U629" s="201">
        <v>1</v>
      </c>
      <c r="V629" s="58">
        <f t="shared" si="46"/>
        <v>5560</v>
      </c>
      <c r="W629" s="52" t="s">
        <v>49</v>
      </c>
      <c r="X629" s="92" t="s">
        <v>4667</v>
      </c>
      <c r="Y629" s="92" t="s">
        <v>4668</v>
      </c>
      <c r="Z629" s="92" t="s">
        <v>4669</v>
      </c>
      <c r="AA629" s="52">
        <v>0</v>
      </c>
      <c r="AB629" s="52">
        <v>0</v>
      </c>
      <c r="AC629" s="52">
        <v>0</v>
      </c>
      <c r="AD629" s="21">
        <v>0.66843255889259856</v>
      </c>
      <c r="AE629" s="54">
        <v>0.66843255889259856</v>
      </c>
      <c r="AF629" s="315">
        <f t="shared" si="49"/>
        <v>3716.4850274428481</v>
      </c>
    </row>
    <row r="630" spans="1:32" ht="300" x14ac:dyDescent="0.25">
      <c r="A630" s="107" t="s">
        <v>588</v>
      </c>
      <c r="B630" s="107" t="s">
        <v>2269</v>
      </c>
      <c r="C630" s="52"/>
      <c r="D630" s="107" t="s">
        <v>2300</v>
      </c>
      <c r="E630" s="22" t="str">
        <f t="shared" si="47"/>
        <v>SEJUSPPROG</v>
      </c>
      <c r="F630" s="52" t="s">
        <v>729</v>
      </c>
      <c r="G630" s="22" t="str">
        <f t="shared" si="48"/>
        <v>P130SEJUSP</v>
      </c>
      <c r="H630" s="92" t="s">
        <v>1183</v>
      </c>
      <c r="I630" s="22" t="s">
        <v>16</v>
      </c>
      <c r="J630" s="92" t="s">
        <v>332</v>
      </c>
      <c r="K630" s="22" t="str">
        <f>VLOOKUP(CONCATENATE(A630,LEFT(J630,4)),AGRUPAMENTO!$D$2:$E$6783,2,FALSE)</f>
        <v>Material de consumo</v>
      </c>
      <c r="L630" s="92" t="s">
        <v>44</v>
      </c>
      <c r="M630" s="52"/>
      <c r="N630" s="52">
        <v>60</v>
      </c>
      <c r="O630" s="92" t="s">
        <v>2894</v>
      </c>
      <c r="P630" s="92" t="s">
        <v>46</v>
      </c>
      <c r="Q630" s="92" t="s">
        <v>3927</v>
      </c>
      <c r="R630" s="92">
        <v>800</v>
      </c>
      <c r="S630" s="92" t="s">
        <v>3928</v>
      </c>
      <c r="T630" s="200">
        <v>4</v>
      </c>
      <c r="U630" s="201">
        <v>1</v>
      </c>
      <c r="V630" s="58">
        <f t="shared" si="46"/>
        <v>3200</v>
      </c>
      <c r="W630" s="52" t="s">
        <v>49</v>
      </c>
      <c r="X630" s="92" t="s">
        <v>4667</v>
      </c>
      <c r="Y630" s="92" t="s">
        <v>4668</v>
      </c>
      <c r="Z630" s="92" t="s">
        <v>4669</v>
      </c>
      <c r="AA630" s="52">
        <v>0</v>
      </c>
      <c r="AB630" s="52">
        <v>0</v>
      </c>
      <c r="AC630" s="52">
        <v>0</v>
      </c>
      <c r="AD630" s="21">
        <v>0.66843255889259856</v>
      </c>
      <c r="AE630" s="54">
        <v>0.66843255889259856</v>
      </c>
      <c r="AF630" s="315">
        <f t="shared" si="49"/>
        <v>2138.9841884563152</v>
      </c>
    </row>
    <row r="631" spans="1:32" ht="300" x14ac:dyDescent="0.25">
      <c r="A631" s="107" t="s">
        <v>588</v>
      </c>
      <c r="B631" s="107" t="s">
        <v>2269</v>
      </c>
      <c r="C631" s="52"/>
      <c r="D631" s="107" t="s">
        <v>2300</v>
      </c>
      <c r="E631" s="22" t="str">
        <f t="shared" si="47"/>
        <v>SEJUSPPROG</v>
      </c>
      <c r="F631" s="52" t="s">
        <v>729</v>
      </c>
      <c r="G631" s="22" t="str">
        <f t="shared" si="48"/>
        <v>P130SEJUSP</v>
      </c>
      <c r="H631" s="92" t="s">
        <v>1183</v>
      </c>
      <c r="I631" s="22" t="s">
        <v>16</v>
      </c>
      <c r="J631" s="92" t="s">
        <v>332</v>
      </c>
      <c r="K631" s="22" t="str">
        <f>VLOOKUP(CONCATENATE(A631,LEFT(J631,4)),AGRUPAMENTO!$D$2:$E$6783,2,FALSE)</f>
        <v>Material de consumo</v>
      </c>
      <c r="L631" s="92" t="s">
        <v>44</v>
      </c>
      <c r="M631" s="52"/>
      <c r="N631" s="52">
        <v>60</v>
      </c>
      <c r="O631" s="92" t="s">
        <v>2895</v>
      </c>
      <c r="P631" s="92" t="s">
        <v>46</v>
      </c>
      <c r="Q631" s="92" t="s">
        <v>3927</v>
      </c>
      <c r="R631" s="92">
        <v>800</v>
      </c>
      <c r="S631" s="92" t="s">
        <v>3928</v>
      </c>
      <c r="T631" s="200">
        <v>3.9</v>
      </c>
      <c r="U631" s="201">
        <v>1</v>
      </c>
      <c r="V631" s="58">
        <f t="shared" si="46"/>
        <v>3120</v>
      </c>
      <c r="W631" s="52" t="s">
        <v>49</v>
      </c>
      <c r="X631" s="92" t="s">
        <v>4667</v>
      </c>
      <c r="Y631" s="92" t="s">
        <v>4668</v>
      </c>
      <c r="Z631" s="92" t="s">
        <v>4669</v>
      </c>
      <c r="AA631" s="52">
        <v>0</v>
      </c>
      <c r="AB631" s="52">
        <v>0</v>
      </c>
      <c r="AC631" s="52">
        <v>0</v>
      </c>
      <c r="AD631" s="21">
        <v>0.66843255889259856</v>
      </c>
      <c r="AE631" s="54">
        <v>0.66843255889259856</v>
      </c>
      <c r="AF631" s="315">
        <f t="shared" si="49"/>
        <v>2085.5095837449076</v>
      </c>
    </row>
    <row r="632" spans="1:32" ht="300" x14ac:dyDescent="0.25">
      <c r="A632" s="107" t="s">
        <v>588</v>
      </c>
      <c r="B632" s="107" t="s">
        <v>2269</v>
      </c>
      <c r="C632" s="52"/>
      <c r="D632" s="107" t="s">
        <v>2300</v>
      </c>
      <c r="E632" s="22" t="str">
        <f t="shared" si="47"/>
        <v>SEJUSPPROG</v>
      </c>
      <c r="F632" s="52" t="s">
        <v>729</v>
      </c>
      <c r="G632" s="22" t="str">
        <f t="shared" si="48"/>
        <v>P130SEJUSP</v>
      </c>
      <c r="H632" s="92" t="s">
        <v>1183</v>
      </c>
      <c r="I632" s="22" t="s">
        <v>16</v>
      </c>
      <c r="J632" s="92" t="s">
        <v>332</v>
      </c>
      <c r="K632" s="22" t="str">
        <f>VLOOKUP(CONCATENATE(A632,LEFT(J632,4)),AGRUPAMENTO!$D$2:$E$6783,2,FALSE)</f>
        <v>Material de consumo</v>
      </c>
      <c r="L632" s="92" t="s">
        <v>44</v>
      </c>
      <c r="M632" s="52"/>
      <c r="N632" s="52">
        <v>60</v>
      </c>
      <c r="O632" s="92" t="s">
        <v>2896</v>
      </c>
      <c r="P632" s="92" t="s">
        <v>46</v>
      </c>
      <c r="Q632" s="92" t="s">
        <v>3927</v>
      </c>
      <c r="R632" s="92">
        <v>800</v>
      </c>
      <c r="S632" s="92" t="s">
        <v>3928</v>
      </c>
      <c r="T632" s="200">
        <v>4</v>
      </c>
      <c r="U632" s="201">
        <v>1</v>
      </c>
      <c r="V632" s="58">
        <f t="shared" si="46"/>
        <v>3200</v>
      </c>
      <c r="W632" s="52" t="s">
        <v>49</v>
      </c>
      <c r="X632" s="92" t="s">
        <v>4667</v>
      </c>
      <c r="Y632" s="92" t="s">
        <v>4668</v>
      </c>
      <c r="Z632" s="92" t="s">
        <v>4669</v>
      </c>
      <c r="AA632" s="52">
        <v>0</v>
      </c>
      <c r="AB632" s="52">
        <v>0</v>
      </c>
      <c r="AC632" s="52">
        <v>0</v>
      </c>
      <c r="AD632" s="21">
        <v>0.66843255889259856</v>
      </c>
      <c r="AE632" s="54">
        <v>0.66843255889259856</v>
      </c>
      <c r="AF632" s="315">
        <f t="shared" si="49"/>
        <v>2138.9841884563152</v>
      </c>
    </row>
    <row r="633" spans="1:32" ht="300" x14ac:dyDescent="0.25">
      <c r="A633" s="107" t="s">
        <v>588</v>
      </c>
      <c r="B633" s="107" t="s">
        <v>2269</v>
      </c>
      <c r="C633" s="52"/>
      <c r="D633" s="107" t="s">
        <v>2300</v>
      </c>
      <c r="E633" s="22" t="str">
        <f t="shared" si="47"/>
        <v>SEJUSPPROG</v>
      </c>
      <c r="F633" s="52" t="s">
        <v>729</v>
      </c>
      <c r="G633" s="22" t="str">
        <f t="shared" si="48"/>
        <v>P130SEJUSP</v>
      </c>
      <c r="H633" s="92" t="s">
        <v>1183</v>
      </c>
      <c r="I633" s="22" t="s">
        <v>16</v>
      </c>
      <c r="J633" s="92" t="s">
        <v>332</v>
      </c>
      <c r="K633" s="22" t="str">
        <f>VLOOKUP(CONCATENATE(A633,LEFT(J633,4)),AGRUPAMENTO!$D$2:$E$6783,2,FALSE)</f>
        <v>Material de consumo</v>
      </c>
      <c r="L633" s="92" t="s">
        <v>44</v>
      </c>
      <c r="M633" s="52"/>
      <c r="N633" s="52">
        <v>60</v>
      </c>
      <c r="O633" s="92" t="s">
        <v>2897</v>
      </c>
      <c r="P633" s="92" t="s">
        <v>46</v>
      </c>
      <c r="Q633" s="92" t="s">
        <v>3927</v>
      </c>
      <c r="R633" s="92">
        <v>1000</v>
      </c>
      <c r="S633" s="92" t="s">
        <v>3928</v>
      </c>
      <c r="T633" s="200">
        <v>2</v>
      </c>
      <c r="U633" s="201">
        <v>1</v>
      </c>
      <c r="V633" s="58">
        <f t="shared" si="46"/>
        <v>2000</v>
      </c>
      <c r="W633" s="52" t="s">
        <v>49</v>
      </c>
      <c r="X633" s="92" t="s">
        <v>4667</v>
      </c>
      <c r="Y633" s="92" t="s">
        <v>4668</v>
      </c>
      <c r="Z633" s="92" t="s">
        <v>4669</v>
      </c>
      <c r="AA633" s="52">
        <v>0</v>
      </c>
      <c r="AB633" s="52">
        <v>0</v>
      </c>
      <c r="AC633" s="52">
        <v>0</v>
      </c>
      <c r="AD633" s="21">
        <v>0.66843255889259856</v>
      </c>
      <c r="AE633" s="54">
        <v>0.66843255889259856</v>
      </c>
      <c r="AF633" s="315">
        <f t="shared" si="49"/>
        <v>1336.8651177851971</v>
      </c>
    </row>
    <row r="634" spans="1:32" ht="300" x14ac:dyDescent="0.25">
      <c r="A634" s="107" t="s">
        <v>588</v>
      </c>
      <c r="B634" s="107" t="s">
        <v>2269</v>
      </c>
      <c r="C634" s="52"/>
      <c r="D634" s="107" t="s">
        <v>2300</v>
      </c>
      <c r="E634" s="22" t="str">
        <f t="shared" si="47"/>
        <v>SEJUSPPROG</v>
      </c>
      <c r="F634" s="52" t="s">
        <v>729</v>
      </c>
      <c r="G634" s="22" t="str">
        <f t="shared" si="48"/>
        <v>P130SEJUSP</v>
      </c>
      <c r="H634" s="92" t="s">
        <v>1183</v>
      </c>
      <c r="I634" s="22" t="s">
        <v>16</v>
      </c>
      <c r="J634" s="92" t="s">
        <v>332</v>
      </c>
      <c r="K634" s="22" t="str">
        <f>VLOOKUP(CONCATENATE(A634,LEFT(J634,4)),AGRUPAMENTO!$D$2:$E$6783,2,FALSE)</f>
        <v>Material de consumo</v>
      </c>
      <c r="L634" s="92" t="s">
        <v>44</v>
      </c>
      <c r="M634" s="52"/>
      <c r="N634" s="52">
        <v>60</v>
      </c>
      <c r="O634" s="92" t="s">
        <v>2898</v>
      </c>
      <c r="P634" s="92" t="s">
        <v>46</v>
      </c>
      <c r="Q634" s="92" t="s">
        <v>3927</v>
      </c>
      <c r="R634" s="92">
        <v>1000</v>
      </c>
      <c r="S634" s="92" t="s">
        <v>3928</v>
      </c>
      <c r="T634" s="200">
        <v>2</v>
      </c>
      <c r="U634" s="201">
        <v>1</v>
      </c>
      <c r="V634" s="58">
        <f t="shared" si="46"/>
        <v>2000</v>
      </c>
      <c r="W634" s="52" t="s">
        <v>49</v>
      </c>
      <c r="X634" s="92" t="s">
        <v>4667</v>
      </c>
      <c r="Y634" s="92" t="s">
        <v>4668</v>
      </c>
      <c r="Z634" s="92" t="s">
        <v>4669</v>
      </c>
      <c r="AA634" s="52">
        <v>0</v>
      </c>
      <c r="AB634" s="52">
        <v>0</v>
      </c>
      <c r="AC634" s="52">
        <v>0</v>
      </c>
      <c r="AD634" s="21">
        <v>0.66843255889259856</v>
      </c>
      <c r="AE634" s="54">
        <v>0.66843255889259856</v>
      </c>
      <c r="AF634" s="315">
        <f t="shared" si="49"/>
        <v>1336.8651177851971</v>
      </c>
    </row>
    <row r="635" spans="1:32" ht="300" x14ac:dyDescent="0.25">
      <c r="A635" s="107" t="s">
        <v>588</v>
      </c>
      <c r="B635" s="107" t="s">
        <v>2269</v>
      </c>
      <c r="C635" s="52"/>
      <c r="D635" s="107" t="s">
        <v>2300</v>
      </c>
      <c r="E635" s="22" t="str">
        <f t="shared" si="47"/>
        <v>SEJUSPPROG</v>
      </c>
      <c r="F635" s="52" t="s">
        <v>729</v>
      </c>
      <c r="G635" s="22" t="str">
        <f t="shared" si="48"/>
        <v>P130SEJUSP</v>
      </c>
      <c r="H635" s="92" t="s">
        <v>1183</v>
      </c>
      <c r="I635" s="22" t="s">
        <v>16</v>
      </c>
      <c r="J635" s="92" t="s">
        <v>332</v>
      </c>
      <c r="K635" s="22" t="str">
        <f>VLOOKUP(CONCATENATE(A635,LEFT(J635,4)),AGRUPAMENTO!$D$2:$E$6783,2,FALSE)</f>
        <v>Material de consumo</v>
      </c>
      <c r="L635" s="92" t="s">
        <v>44</v>
      </c>
      <c r="M635" s="52"/>
      <c r="N635" s="52">
        <v>60</v>
      </c>
      <c r="O635" s="92" t="s">
        <v>2899</v>
      </c>
      <c r="P635" s="92" t="s">
        <v>46</v>
      </c>
      <c r="Q635" s="92" t="s">
        <v>3927</v>
      </c>
      <c r="R635" s="92">
        <v>1000</v>
      </c>
      <c r="S635" s="92" t="s">
        <v>3928</v>
      </c>
      <c r="T635" s="200">
        <v>2</v>
      </c>
      <c r="U635" s="201">
        <v>1</v>
      </c>
      <c r="V635" s="58">
        <f t="shared" si="46"/>
        <v>2000</v>
      </c>
      <c r="W635" s="52" t="s">
        <v>49</v>
      </c>
      <c r="X635" s="92" t="s">
        <v>4667</v>
      </c>
      <c r="Y635" s="92" t="s">
        <v>4668</v>
      </c>
      <c r="Z635" s="92" t="s">
        <v>4669</v>
      </c>
      <c r="AA635" s="52">
        <v>0</v>
      </c>
      <c r="AB635" s="52">
        <v>0</v>
      </c>
      <c r="AC635" s="52">
        <v>0</v>
      </c>
      <c r="AD635" s="21">
        <v>0.66843255889259856</v>
      </c>
      <c r="AE635" s="54">
        <v>0.66843255889259856</v>
      </c>
      <c r="AF635" s="315">
        <f t="shared" si="49"/>
        <v>1336.8651177851971</v>
      </c>
    </row>
    <row r="636" spans="1:32" ht="300" x14ac:dyDescent="0.25">
      <c r="A636" s="107" t="s">
        <v>588</v>
      </c>
      <c r="B636" s="107" t="s">
        <v>2269</v>
      </c>
      <c r="C636" s="52"/>
      <c r="D636" s="107" t="s">
        <v>2300</v>
      </c>
      <c r="E636" s="22" t="str">
        <f t="shared" si="47"/>
        <v>SEJUSPPROG</v>
      </c>
      <c r="F636" s="52" t="s">
        <v>729</v>
      </c>
      <c r="G636" s="22" t="str">
        <f t="shared" si="48"/>
        <v>P130SEJUSP</v>
      </c>
      <c r="H636" s="92" t="s">
        <v>1183</v>
      </c>
      <c r="I636" s="22" t="s">
        <v>16</v>
      </c>
      <c r="J636" s="92" t="s">
        <v>332</v>
      </c>
      <c r="K636" s="22" t="str">
        <f>VLOOKUP(CONCATENATE(A636,LEFT(J636,4)),AGRUPAMENTO!$D$2:$E$6783,2,FALSE)</f>
        <v>Material de consumo</v>
      </c>
      <c r="L636" s="92" t="s">
        <v>44</v>
      </c>
      <c r="M636" s="52"/>
      <c r="N636" s="52">
        <v>60</v>
      </c>
      <c r="O636" s="92" t="s">
        <v>2900</v>
      </c>
      <c r="P636" s="92" t="s">
        <v>46</v>
      </c>
      <c r="Q636" s="92" t="s">
        <v>3927</v>
      </c>
      <c r="R636" s="92">
        <v>350</v>
      </c>
      <c r="S636" s="92" t="s">
        <v>3928</v>
      </c>
      <c r="T636" s="200">
        <v>18</v>
      </c>
      <c r="U636" s="201">
        <v>1</v>
      </c>
      <c r="V636" s="58">
        <f t="shared" si="46"/>
        <v>6300</v>
      </c>
      <c r="W636" s="52" t="s">
        <v>49</v>
      </c>
      <c r="X636" s="92" t="s">
        <v>4667</v>
      </c>
      <c r="Y636" s="92" t="s">
        <v>4668</v>
      </c>
      <c r="Z636" s="92" t="s">
        <v>4669</v>
      </c>
      <c r="AA636" s="52">
        <v>0</v>
      </c>
      <c r="AB636" s="52">
        <v>0</v>
      </c>
      <c r="AC636" s="52">
        <v>0</v>
      </c>
      <c r="AD636" s="21">
        <v>0.66843255889259856</v>
      </c>
      <c r="AE636" s="54">
        <v>0.66843255889259856</v>
      </c>
      <c r="AF636" s="315">
        <f t="shared" si="49"/>
        <v>4211.1251210233713</v>
      </c>
    </row>
    <row r="637" spans="1:32" ht="240" x14ac:dyDescent="0.25">
      <c r="A637" s="107" t="s">
        <v>588</v>
      </c>
      <c r="B637" s="107" t="s">
        <v>2269</v>
      </c>
      <c r="C637" s="52"/>
      <c r="D637" s="107" t="s">
        <v>2300</v>
      </c>
      <c r="E637" s="22" t="str">
        <f t="shared" si="47"/>
        <v>SEJUSPPROG</v>
      </c>
      <c r="F637" s="52" t="s">
        <v>729</v>
      </c>
      <c r="G637" s="22" t="str">
        <f t="shared" si="48"/>
        <v>P130SEJUSP</v>
      </c>
      <c r="H637" s="128" t="s">
        <v>1183</v>
      </c>
      <c r="I637" s="22" t="s">
        <v>16</v>
      </c>
      <c r="J637" s="92" t="s">
        <v>303</v>
      </c>
      <c r="K637" s="22" t="str">
        <f>VLOOKUP(CONCATENATE(A637,LEFT(J637,4)),AGRUPAMENTO!$D$2:$E$6783,2,FALSE)</f>
        <v>Demais despesas de capital</v>
      </c>
      <c r="L637" s="128" t="s">
        <v>94</v>
      </c>
      <c r="M637" s="52"/>
      <c r="N637" s="92">
        <v>10</v>
      </c>
      <c r="O637" s="159" t="s">
        <v>2901</v>
      </c>
      <c r="P637" s="159" t="s">
        <v>46</v>
      </c>
      <c r="Q637" s="159" t="s">
        <v>3872</v>
      </c>
      <c r="R637" s="159">
        <v>20</v>
      </c>
      <c r="S637" s="159" t="s">
        <v>3926</v>
      </c>
      <c r="T637" s="211">
        <v>98.9</v>
      </c>
      <c r="U637" s="212">
        <v>1</v>
      </c>
      <c r="V637" s="58">
        <f t="shared" si="46"/>
        <v>1978</v>
      </c>
      <c r="W637" s="284" t="s">
        <v>68</v>
      </c>
      <c r="X637" s="128" t="s">
        <v>4657</v>
      </c>
      <c r="Y637" s="128" t="s">
        <v>4660</v>
      </c>
      <c r="Z637" s="128" t="s">
        <v>4661</v>
      </c>
      <c r="AA637" s="284">
        <v>1</v>
      </c>
      <c r="AB637" s="92">
        <v>2</v>
      </c>
      <c r="AC637" s="92">
        <v>11</v>
      </c>
      <c r="AD637" s="21">
        <v>0</v>
      </c>
      <c r="AE637" s="54">
        <v>0</v>
      </c>
      <c r="AF637" s="315">
        <f t="shared" si="49"/>
        <v>0</v>
      </c>
    </row>
    <row r="638" spans="1:32" ht="180" x14ac:dyDescent="0.25">
      <c r="A638" s="107" t="s">
        <v>588</v>
      </c>
      <c r="B638" s="107" t="s">
        <v>2269</v>
      </c>
      <c r="C638" s="52"/>
      <c r="D638" s="107" t="s">
        <v>2300</v>
      </c>
      <c r="E638" s="22" t="str">
        <f t="shared" si="47"/>
        <v>SEJUSPPROG</v>
      </c>
      <c r="F638" s="52" t="s">
        <v>729</v>
      </c>
      <c r="G638" s="22" t="str">
        <f t="shared" si="48"/>
        <v>P130SEJUSP</v>
      </c>
      <c r="H638" s="128" t="s">
        <v>1183</v>
      </c>
      <c r="I638" s="22" t="s">
        <v>16</v>
      </c>
      <c r="J638" s="92" t="s">
        <v>1681</v>
      </c>
      <c r="K638" s="22" t="str">
        <f>VLOOKUP(CONCATENATE(A638,LEFT(J638,4)),AGRUPAMENTO!$D$2:$E$6783,2,FALSE)</f>
        <v>Aquisições de itens de TIC</v>
      </c>
      <c r="L638" s="128" t="s">
        <v>94</v>
      </c>
      <c r="M638" s="52"/>
      <c r="N638" s="92">
        <v>10</v>
      </c>
      <c r="O638" s="159" t="s">
        <v>2902</v>
      </c>
      <c r="P638" s="159" t="s">
        <v>46</v>
      </c>
      <c r="Q638" s="159" t="s">
        <v>3872</v>
      </c>
      <c r="R638" s="159">
        <v>150</v>
      </c>
      <c r="S638" s="159" t="s">
        <v>3923</v>
      </c>
      <c r="T638" s="211">
        <v>4000</v>
      </c>
      <c r="U638" s="212">
        <v>1</v>
      </c>
      <c r="V638" s="58">
        <f t="shared" si="46"/>
        <v>600000</v>
      </c>
      <c r="W638" s="284" t="s">
        <v>68</v>
      </c>
      <c r="X638" s="128" t="s">
        <v>4657</v>
      </c>
      <c r="Y638" s="128" t="s">
        <v>4665</v>
      </c>
      <c r="Z638" s="128" t="s">
        <v>4666</v>
      </c>
      <c r="AA638" s="284">
        <v>1</v>
      </c>
      <c r="AB638" s="92">
        <v>2</v>
      </c>
      <c r="AC638" s="92">
        <v>11</v>
      </c>
      <c r="AD638" s="21">
        <v>0</v>
      </c>
      <c r="AE638" s="54">
        <v>0</v>
      </c>
      <c r="AF638" s="315">
        <f t="shared" si="49"/>
        <v>0</v>
      </c>
    </row>
    <row r="639" spans="1:32" ht="180" x14ac:dyDescent="0.25">
      <c r="A639" s="107" t="s">
        <v>588</v>
      </c>
      <c r="B639" s="107" t="s">
        <v>2269</v>
      </c>
      <c r="C639" s="52"/>
      <c r="D639" s="107" t="s">
        <v>2300</v>
      </c>
      <c r="E639" s="22" t="str">
        <f t="shared" si="47"/>
        <v>SEJUSPPROG</v>
      </c>
      <c r="F639" s="52" t="s">
        <v>729</v>
      </c>
      <c r="G639" s="22" t="str">
        <f t="shared" si="48"/>
        <v>P130SEJUSP</v>
      </c>
      <c r="H639" s="128" t="s">
        <v>1183</v>
      </c>
      <c r="I639" s="22" t="s">
        <v>16</v>
      </c>
      <c r="J639" s="92" t="s">
        <v>1677</v>
      </c>
      <c r="K639" s="22" t="str">
        <f>VLOOKUP(CONCATENATE(A639,LEFT(J639,4)),AGRUPAMENTO!$D$2:$E$6783,2,FALSE)</f>
        <v>Aquisições de itens de TIC</v>
      </c>
      <c r="L639" s="128" t="s">
        <v>94</v>
      </c>
      <c r="M639" s="52"/>
      <c r="N639" s="92">
        <v>10</v>
      </c>
      <c r="O639" s="159" t="s">
        <v>2903</v>
      </c>
      <c r="P639" s="159" t="s">
        <v>46</v>
      </c>
      <c r="Q639" s="159" t="s">
        <v>3872</v>
      </c>
      <c r="R639" s="159">
        <v>168</v>
      </c>
      <c r="S639" s="159" t="s">
        <v>3926</v>
      </c>
      <c r="T639" s="211">
        <v>1699</v>
      </c>
      <c r="U639" s="212">
        <v>1</v>
      </c>
      <c r="V639" s="58">
        <f t="shared" si="46"/>
        <v>285432</v>
      </c>
      <c r="W639" s="284" t="s">
        <v>68</v>
      </c>
      <c r="X639" s="285" t="s">
        <v>4657</v>
      </c>
      <c r="Y639" s="128" t="s">
        <v>4665</v>
      </c>
      <c r="Z639" s="128" t="s">
        <v>4666</v>
      </c>
      <c r="AA639" s="284">
        <v>1</v>
      </c>
      <c r="AB639" s="92">
        <v>2</v>
      </c>
      <c r="AC639" s="92">
        <v>11</v>
      </c>
      <c r="AD639" s="21">
        <v>0</v>
      </c>
      <c r="AE639" s="54">
        <v>0</v>
      </c>
      <c r="AF639" s="315">
        <f t="shared" si="49"/>
        <v>0</v>
      </c>
    </row>
    <row r="640" spans="1:32" ht="255" x14ac:dyDescent="0.25">
      <c r="A640" s="107" t="s">
        <v>588</v>
      </c>
      <c r="B640" s="107" t="s">
        <v>2269</v>
      </c>
      <c r="C640" s="52"/>
      <c r="D640" s="107" t="s">
        <v>2300</v>
      </c>
      <c r="E640" s="22" t="str">
        <f t="shared" si="47"/>
        <v>SEJUSPPROG</v>
      </c>
      <c r="F640" s="52" t="s">
        <v>729</v>
      </c>
      <c r="G640" s="22" t="str">
        <f t="shared" si="48"/>
        <v>P130SEJUSP</v>
      </c>
      <c r="H640" s="92" t="s">
        <v>1183</v>
      </c>
      <c r="I640" s="22" t="s">
        <v>16</v>
      </c>
      <c r="J640" s="52" t="s">
        <v>2131</v>
      </c>
      <c r="K640" s="22" t="str">
        <f>VLOOKUP(CONCATENATE(A640,LEFT(J640,4)),AGRUPAMENTO!$D$2:$E$6783,2,FALSE)</f>
        <v>Diárias e viagens</v>
      </c>
      <c r="L640" s="92" t="s">
        <v>44</v>
      </c>
      <c r="M640" s="52"/>
      <c r="N640" s="52">
        <v>60</v>
      </c>
      <c r="O640" s="92" t="s">
        <v>2870</v>
      </c>
      <c r="P640" s="92" t="s">
        <v>46</v>
      </c>
      <c r="Q640" s="92" t="s">
        <v>3929</v>
      </c>
      <c r="R640" s="92">
        <v>2</v>
      </c>
      <c r="S640" s="92" t="s">
        <v>3930</v>
      </c>
      <c r="T640" s="200">
        <v>362</v>
      </c>
      <c r="U640" s="201">
        <v>10</v>
      </c>
      <c r="V640" s="58">
        <f t="shared" si="46"/>
        <v>7240</v>
      </c>
      <c r="W640" s="52" t="s">
        <v>49</v>
      </c>
      <c r="X640" s="92" t="s">
        <v>4662</v>
      </c>
      <c r="Y640" s="92" t="s">
        <v>4670</v>
      </c>
      <c r="Z640" s="92" t="s">
        <v>4671</v>
      </c>
      <c r="AA640" s="52">
        <v>0</v>
      </c>
      <c r="AB640" s="52">
        <v>0</v>
      </c>
      <c r="AC640" s="52">
        <v>0</v>
      </c>
      <c r="AD640" s="21">
        <v>0.86749884668513244</v>
      </c>
      <c r="AE640" s="54">
        <v>0.86749884668513244</v>
      </c>
      <c r="AF640" s="315">
        <f t="shared" si="49"/>
        <v>6280.691650000359</v>
      </c>
    </row>
    <row r="641" spans="1:32" ht="255" x14ac:dyDescent="0.25">
      <c r="A641" s="107" t="s">
        <v>588</v>
      </c>
      <c r="B641" s="107" t="s">
        <v>2269</v>
      </c>
      <c r="C641" s="52"/>
      <c r="D641" s="107" t="s">
        <v>2300</v>
      </c>
      <c r="E641" s="22" t="str">
        <f t="shared" si="47"/>
        <v>SEJUSPPROG</v>
      </c>
      <c r="F641" s="52" t="s">
        <v>729</v>
      </c>
      <c r="G641" s="22" t="str">
        <f t="shared" si="48"/>
        <v>P130SEJUSP</v>
      </c>
      <c r="H641" s="92" t="s">
        <v>1183</v>
      </c>
      <c r="I641" s="22" t="s">
        <v>16</v>
      </c>
      <c r="J641" s="52" t="s">
        <v>2131</v>
      </c>
      <c r="K641" s="22" t="str">
        <f>VLOOKUP(CONCATENATE(A641,LEFT(J641,4)),AGRUPAMENTO!$D$2:$E$6783,2,FALSE)</f>
        <v>Diárias e viagens</v>
      </c>
      <c r="L641" s="92" t="s">
        <v>44</v>
      </c>
      <c r="M641" s="52"/>
      <c r="N641" s="52">
        <v>60</v>
      </c>
      <c r="O641" s="92" t="s">
        <v>2870</v>
      </c>
      <c r="P641" s="92" t="s">
        <v>46</v>
      </c>
      <c r="Q641" s="92" t="s">
        <v>3931</v>
      </c>
      <c r="R641" s="92">
        <v>600</v>
      </c>
      <c r="S641" s="92" t="s">
        <v>3932</v>
      </c>
      <c r="T641" s="200">
        <v>470</v>
      </c>
      <c r="U641" s="201">
        <v>1</v>
      </c>
      <c r="V641" s="58">
        <f t="shared" si="46"/>
        <v>282000</v>
      </c>
      <c r="W641" s="52" t="s">
        <v>49</v>
      </c>
      <c r="X641" s="92" t="s">
        <v>4662</v>
      </c>
      <c r="Y641" s="92" t="s">
        <v>4670</v>
      </c>
      <c r="Z641" s="92" t="s">
        <v>4671</v>
      </c>
      <c r="AA641" s="52">
        <v>0</v>
      </c>
      <c r="AB641" s="52">
        <v>0</v>
      </c>
      <c r="AC641" s="52">
        <v>0</v>
      </c>
      <c r="AD641" s="21">
        <v>0.86749884668513244</v>
      </c>
      <c r="AE641" s="54">
        <v>0.86749884668513244</v>
      </c>
      <c r="AF641" s="315">
        <f t="shared" si="49"/>
        <v>244634.67476520734</v>
      </c>
    </row>
    <row r="642" spans="1:32" ht="240" x14ac:dyDescent="0.25">
      <c r="A642" s="107" t="s">
        <v>588</v>
      </c>
      <c r="B642" s="107" t="s">
        <v>2269</v>
      </c>
      <c r="C642" s="52"/>
      <c r="D642" s="107" t="s">
        <v>2300</v>
      </c>
      <c r="E642" s="22" t="str">
        <f t="shared" si="47"/>
        <v>SEJUSPPROG</v>
      </c>
      <c r="F642" s="52" t="s">
        <v>729</v>
      </c>
      <c r="G642" s="22" t="str">
        <f t="shared" si="48"/>
        <v>P130SEJUSP</v>
      </c>
      <c r="H642" s="128" t="s">
        <v>1183</v>
      </c>
      <c r="I642" s="22" t="s">
        <v>16</v>
      </c>
      <c r="J642" s="92" t="s">
        <v>303</v>
      </c>
      <c r="K642" s="22" t="str">
        <f>VLOOKUP(CONCATENATE(A642,LEFT(J642,4)),AGRUPAMENTO!$D$2:$E$6783,2,FALSE)</f>
        <v>Demais despesas de capital</v>
      </c>
      <c r="L642" s="128" t="s">
        <v>94</v>
      </c>
      <c r="M642" s="52"/>
      <c r="N642" s="92">
        <v>10</v>
      </c>
      <c r="O642" s="159" t="s">
        <v>2904</v>
      </c>
      <c r="P642" s="159" t="s">
        <v>46</v>
      </c>
      <c r="Q642" s="159" t="s">
        <v>3872</v>
      </c>
      <c r="R642" s="159">
        <v>36</v>
      </c>
      <c r="S642" s="159" t="s">
        <v>3926</v>
      </c>
      <c r="T642" s="211">
        <v>194.88</v>
      </c>
      <c r="U642" s="212">
        <v>1</v>
      </c>
      <c r="V642" s="58">
        <f t="shared" ref="V642:V705" si="50">R642*T642*U642</f>
        <v>7015.68</v>
      </c>
      <c r="W642" s="284" t="s">
        <v>68</v>
      </c>
      <c r="X642" s="285" t="s">
        <v>4657</v>
      </c>
      <c r="Y642" s="128" t="s">
        <v>4660</v>
      </c>
      <c r="Z642" s="128" t="s">
        <v>4661</v>
      </c>
      <c r="AA642" s="284">
        <v>1</v>
      </c>
      <c r="AB642" s="92">
        <v>2</v>
      </c>
      <c r="AC642" s="92">
        <v>11</v>
      </c>
      <c r="AD642" s="21">
        <v>0</v>
      </c>
      <c r="AE642" s="54">
        <v>0</v>
      </c>
      <c r="AF642" s="315">
        <f t="shared" si="49"/>
        <v>0</v>
      </c>
    </row>
    <row r="643" spans="1:32" ht="300" x14ac:dyDescent="0.25">
      <c r="A643" s="107" t="s">
        <v>588</v>
      </c>
      <c r="B643" s="107" t="s">
        <v>2269</v>
      </c>
      <c r="C643" s="52"/>
      <c r="D643" s="107" t="s">
        <v>2300</v>
      </c>
      <c r="E643" s="22" t="str">
        <f t="shared" ref="E643:E706" si="51">CONCATENATE(A643,"PROG")</f>
        <v>SEJUSPPROG</v>
      </c>
      <c r="F643" s="52" t="s">
        <v>729</v>
      </c>
      <c r="G643" s="22" t="str">
        <f t="shared" si="48"/>
        <v>P130SEJUSP</v>
      </c>
      <c r="H643" s="128" t="s">
        <v>1183</v>
      </c>
      <c r="I643" s="22" t="s">
        <v>16</v>
      </c>
      <c r="J643" s="92" t="s">
        <v>303</v>
      </c>
      <c r="K643" s="22" t="str">
        <f>VLOOKUP(CONCATENATE(A643,LEFT(J643,4)),AGRUPAMENTO!$D$2:$E$6783,2,FALSE)</f>
        <v>Demais despesas de capital</v>
      </c>
      <c r="L643" s="128" t="s">
        <v>94</v>
      </c>
      <c r="M643" s="52"/>
      <c r="N643" s="92">
        <v>10</v>
      </c>
      <c r="O643" s="159" t="s">
        <v>2905</v>
      </c>
      <c r="P643" s="159" t="s">
        <v>46</v>
      </c>
      <c r="Q643" s="159" t="s">
        <v>3872</v>
      </c>
      <c r="R643" s="159">
        <v>168</v>
      </c>
      <c r="S643" s="159" t="s">
        <v>3926</v>
      </c>
      <c r="T643" s="211">
        <v>1848.7</v>
      </c>
      <c r="U643" s="212">
        <v>1</v>
      </c>
      <c r="V643" s="58">
        <f t="shared" si="50"/>
        <v>310581.60000000003</v>
      </c>
      <c r="W643" s="284" t="s">
        <v>68</v>
      </c>
      <c r="X643" s="285" t="s">
        <v>4657</v>
      </c>
      <c r="Y643" s="128" t="s">
        <v>4660</v>
      </c>
      <c r="Z643" s="128" t="s">
        <v>4661</v>
      </c>
      <c r="AA643" s="284">
        <v>1</v>
      </c>
      <c r="AB643" s="92">
        <v>2</v>
      </c>
      <c r="AC643" s="92">
        <v>11</v>
      </c>
      <c r="AD643" s="21">
        <v>0</v>
      </c>
      <c r="AE643" s="54">
        <v>0</v>
      </c>
      <c r="AF643" s="315">
        <f t="shared" si="49"/>
        <v>0</v>
      </c>
    </row>
    <row r="644" spans="1:32" ht="240" x14ac:dyDescent="0.25">
      <c r="A644" s="107" t="s">
        <v>588</v>
      </c>
      <c r="B644" s="107" t="s">
        <v>2269</v>
      </c>
      <c r="C644" s="52"/>
      <c r="D644" s="107" t="s">
        <v>2300</v>
      </c>
      <c r="E644" s="22" t="str">
        <f t="shared" si="51"/>
        <v>SEJUSPPROG</v>
      </c>
      <c r="F644" s="52" t="s">
        <v>729</v>
      </c>
      <c r="G644" s="22" t="str">
        <f t="shared" ref="G644:G707" si="52">CONCATENATE("P",(LEFT(F644,3)),A644)</f>
        <v>P130SEJUSP</v>
      </c>
      <c r="H644" s="128" t="s">
        <v>1183</v>
      </c>
      <c r="I644" s="22" t="s">
        <v>16</v>
      </c>
      <c r="J644" s="92" t="s">
        <v>303</v>
      </c>
      <c r="K644" s="22" t="str">
        <f>VLOOKUP(CONCATENATE(A644,LEFT(J644,4)),AGRUPAMENTO!$D$2:$E$6783,2,FALSE)</f>
        <v>Demais despesas de capital</v>
      </c>
      <c r="L644" s="128" t="s">
        <v>94</v>
      </c>
      <c r="M644" s="52"/>
      <c r="N644" s="92">
        <v>10</v>
      </c>
      <c r="O644" s="159" t="s">
        <v>2906</v>
      </c>
      <c r="P644" s="159" t="s">
        <v>46</v>
      </c>
      <c r="Q644" s="159" t="s">
        <v>3872</v>
      </c>
      <c r="R644" s="159">
        <v>50</v>
      </c>
      <c r="S644" s="159" t="s">
        <v>3918</v>
      </c>
      <c r="T644" s="211">
        <v>1290</v>
      </c>
      <c r="U644" s="212">
        <v>1</v>
      </c>
      <c r="V644" s="58">
        <f t="shared" si="50"/>
        <v>64500</v>
      </c>
      <c r="W644" s="284" t="s">
        <v>68</v>
      </c>
      <c r="X644" s="285" t="s">
        <v>4657</v>
      </c>
      <c r="Y644" s="128" t="s">
        <v>4660</v>
      </c>
      <c r="Z644" s="128" t="s">
        <v>4661</v>
      </c>
      <c r="AA644" s="284">
        <v>1</v>
      </c>
      <c r="AB644" s="92">
        <v>2</v>
      </c>
      <c r="AC644" s="92">
        <v>11</v>
      </c>
      <c r="AD644" s="21">
        <v>0</v>
      </c>
      <c r="AE644" s="54">
        <v>0</v>
      </c>
      <c r="AF644" s="315">
        <f t="shared" ref="AF644:AF707" si="53">AE644*V644</f>
        <v>0</v>
      </c>
    </row>
    <row r="645" spans="1:32" ht="409.5" x14ac:dyDescent="0.25">
      <c r="A645" s="107" t="s">
        <v>588</v>
      </c>
      <c r="B645" s="107" t="s">
        <v>2269</v>
      </c>
      <c r="C645" s="52"/>
      <c r="D645" s="107" t="s">
        <v>2300</v>
      </c>
      <c r="E645" s="22" t="str">
        <f t="shared" si="51"/>
        <v>SEJUSPPROG</v>
      </c>
      <c r="F645" s="52" t="s">
        <v>729</v>
      </c>
      <c r="G645" s="22" t="str">
        <f t="shared" si="52"/>
        <v>P130SEJUSP</v>
      </c>
      <c r="H645" s="92" t="s">
        <v>1183</v>
      </c>
      <c r="I645" s="22" t="s">
        <v>16</v>
      </c>
      <c r="J645" s="92" t="s">
        <v>490</v>
      </c>
      <c r="K645" s="22" t="str">
        <f>VLOOKUP(CONCATENATE(A645,LEFT(J645,4)),AGRUPAMENTO!$D$2:$E$6783,2,FALSE)</f>
        <v>Material de consumo</v>
      </c>
      <c r="L645" s="92" t="s">
        <v>44</v>
      </c>
      <c r="M645" s="52"/>
      <c r="N645" s="52">
        <v>60</v>
      </c>
      <c r="O645" s="92" t="s">
        <v>2907</v>
      </c>
      <c r="P645" s="92" t="s">
        <v>58</v>
      </c>
      <c r="Q645" s="92" t="s">
        <v>3933</v>
      </c>
      <c r="R645" s="92">
        <v>1334</v>
      </c>
      <c r="S645" s="92" t="s">
        <v>3928</v>
      </c>
      <c r="T645" s="200">
        <v>45</v>
      </c>
      <c r="U645" s="201">
        <v>1</v>
      </c>
      <c r="V645" s="58">
        <f t="shared" si="50"/>
        <v>60030</v>
      </c>
      <c r="W645" s="52" t="s">
        <v>49</v>
      </c>
      <c r="X645" s="92" t="s">
        <v>4672</v>
      </c>
      <c r="Y645" s="92" t="s">
        <v>4673</v>
      </c>
      <c r="Z645" s="92" t="s">
        <v>4674</v>
      </c>
      <c r="AA645" s="52">
        <v>0</v>
      </c>
      <c r="AB645" s="52">
        <v>0</v>
      </c>
      <c r="AC645" s="52">
        <v>0</v>
      </c>
      <c r="AD645" s="21">
        <v>0</v>
      </c>
      <c r="AE645" s="54">
        <v>0</v>
      </c>
      <c r="AF645" s="315">
        <f t="shared" si="53"/>
        <v>0</v>
      </c>
    </row>
    <row r="646" spans="1:32" ht="195" x14ac:dyDescent="0.25">
      <c r="A646" s="107" t="s">
        <v>588</v>
      </c>
      <c r="B646" s="107" t="s">
        <v>2269</v>
      </c>
      <c r="C646" s="52"/>
      <c r="D646" s="107" t="s">
        <v>2300</v>
      </c>
      <c r="E646" s="22" t="str">
        <f t="shared" si="51"/>
        <v>SEJUSPPROG</v>
      </c>
      <c r="F646" s="52" t="s">
        <v>729</v>
      </c>
      <c r="G646" s="22" t="str">
        <f t="shared" si="52"/>
        <v>P130SEJUSP</v>
      </c>
      <c r="H646" s="128" t="s">
        <v>1183</v>
      </c>
      <c r="I646" s="22" t="s">
        <v>16</v>
      </c>
      <c r="J646" s="92" t="s">
        <v>1676</v>
      </c>
      <c r="K646" s="22" t="str">
        <f>VLOOKUP(CONCATENATE(A646,LEFT(J646,4)),AGRUPAMENTO!$D$2:$E$6783,2,FALSE)</f>
        <v>Aquisições de itens de TIC</v>
      </c>
      <c r="L646" s="128" t="s">
        <v>94</v>
      </c>
      <c r="M646" s="52"/>
      <c r="N646" s="92">
        <v>10</v>
      </c>
      <c r="O646" s="160" t="s">
        <v>2908</v>
      </c>
      <c r="P646" s="159" t="s">
        <v>46</v>
      </c>
      <c r="Q646" s="159" t="s">
        <v>3872</v>
      </c>
      <c r="R646" s="159">
        <v>168</v>
      </c>
      <c r="S646" s="159" t="s">
        <v>3923</v>
      </c>
      <c r="T646" s="211">
        <v>3907</v>
      </c>
      <c r="U646" s="212">
        <v>1</v>
      </c>
      <c r="V646" s="58">
        <f t="shared" si="50"/>
        <v>656376</v>
      </c>
      <c r="W646" s="284" t="s">
        <v>68</v>
      </c>
      <c r="X646" s="285" t="s">
        <v>4657</v>
      </c>
      <c r="Y646" s="128" t="s">
        <v>4665</v>
      </c>
      <c r="Z646" s="286" t="s">
        <v>4666</v>
      </c>
      <c r="AA646" s="284">
        <v>1</v>
      </c>
      <c r="AB646" s="92">
        <v>2</v>
      </c>
      <c r="AC646" s="92">
        <v>11</v>
      </c>
      <c r="AD646" s="21">
        <v>0</v>
      </c>
      <c r="AE646" s="54">
        <v>0</v>
      </c>
      <c r="AF646" s="315">
        <f t="shared" si="53"/>
        <v>0</v>
      </c>
    </row>
    <row r="647" spans="1:32" ht="390" x14ac:dyDescent="0.25">
      <c r="A647" s="107" t="s">
        <v>588</v>
      </c>
      <c r="B647" s="107" t="s">
        <v>2269</v>
      </c>
      <c r="C647" s="52"/>
      <c r="D647" s="107" t="s">
        <v>2300</v>
      </c>
      <c r="E647" s="22" t="str">
        <f t="shared" si="51"/>
        <v>SEJUSPPROG</v>
      </c>
      <c r="F647" s="52" t="s">
        <v>729</v>
      </c>
      <c r="G647" s="22" t="str">
        <f t="shared" si="52"/>
        <v>P130SEJUSP</v>
      </c>
      <c r="H647" s="128" t="s">
        <v>1183</v>
      </c>
      <c r="I647" s="22" t="s">
        <v>16</v>
      </c>
      <c r="J647" s="92" t="s">
        <v>303</v>
      </c>
      <c r="K647" s="22" t="str">
        <f>VLOOKUP(CONCATENATE(A647,LEFT(J647,4)),AGRUPAMENTO!$D$2:$E$6783,2,FALSE)</f>
        <v>Demais despesas de capital</v>
      </c>
      <c r="L647" s="128" t="s">
        <v>94</v>
      </c>
      <c r="M647" s="52"/>
      <c r="N647" s="92">
        <v>10</v>
      </c>
      <c r="O647" s="159" t="s">
        <v>2909</v>
      </c>
      <c r="P647" s="159" t="s">
        <v>46</v>
      </c>
      <c r="Q647" s="162" t="s">
        <v>3872</v>
      </c>
      <c r="R647" s="159">
        <v>100</v>
      </c>
      <c r="S647" s="159" t="s">
        <v>3926</v>
      </c>
      <c r="T647" s="211">
        <v>233.9</v>
      </c>
      <c r="U647" s="212">
        <v>1</v>
      </c>
      <c r="V647" s="58">
        <f t="shared" si="50"/>
        <v>23390</v>
      </c>
      <c r="W647" s="284" t="s">
        <v>68</v>
      </c>
      <c r="X647" s="285" t="s">
        <v>4657</v>
      </c>
      <c r="Y647" s="128" t="s">
        <v>4660</v>
      </c>
      <c r="Z647" s="287" t="s">
        <v>4661</v>
      </c>
      <c r="AA647" s="284">
        <v>1</v>
      </c>
      <c r="AB647" s="92">
        <v>2</v>
      </c>
      <c r="AC647" s="92">
        <v>11</v>
      </c>
      <c r="AD647" s="21">
        <v>0</v>
      </c>
      <c r="AE647" s="54">
        <v>0</v>
      </c>
      <c r="AF647" s="315">
        <f t="shared" si="53"/>
        <v>0</v>
      </c>
    </row>
    <row r="648" spans="1:32" ht="255" x14ac:dyDescent="0.25">
      <c r="A648" s="107" t="s">
        <v>588</v>
      </c>
      <c r="B648" s="107" t="s">
        <v>2269</v>
      </c>
      <c r="C648" s="52"/>
      <c r="D648" s="107" t="s">
        <v>2300</v>
      </c>
      <c r="E648" s="22" t="str">
        <f t="shared" si="51"/>
        <v>SEJUSPPROG</v>
      </c>
      <c r="F648" s="52" t="s">
        <v>729</v>
      </c>
      <c r="G648" s="22" t="str">
        <f t="shared" si="52"/>
        <v>P130SEJUSP</v>
      </c>
      <c r="H648" s="128" t="s">
        <v>1183</v>
      </c>
      <c r="I648" s="22" t="s">
        <v>16</v>
      </c>
      <c r="J648" s="92" t="s">
        <v>303</v>
      </c>
      <c r="K648" s="22" t="str">
        <f>VLOOKUP(CONCATENATE(A648,LEFT(J648,4)),AGRUPAMENTO!$D$2:$E$6783,2,FALSE)</f>
        <v>Demais despesas de capital</v>
      </c>
      <c r="L648" s="128" t="s">
        <v>94</v>
      </c>
      <c r="M648" s="52"/>
      <c r="N648" s="92">
        <v>10</v>
      </c>
      <c r="O648" s="161" t="s">
        <v>2910</v>
      </c>
      <c r="P648" s="159" t="s">
        <v>46</v>
      </c>
      <c r="Q648" s="159" t="s">
        <v>3872</v>
      </c>
      <c r="R648" s="159">
        <v>36</v>
      </c>
      <c r="S648" s="159" t="s">
        <v>3926</v>
      </c>
      <c r="T648" s="211">
        <v>2048.98</v>
      </c>
      <c r="U648" s="212">
        <v>1</v>
      </c>
      <c r="V648" s="58">
        <f t="shared" si="50"/>
        <v>73763.28</v>
      </c>
      <c r="W648" s="284" t="s">
        <v>68</v>
      </c>
      <c r="X648" s="285" t="s">
        <v>4657</v>
      </c>
      <c r="Y648" s="128" t="s">
        <v>4660</v>
      </c>
      <c r="Z648" s="287" t="s">
        <v>4661</v>
      </c>
      <c r="AA648" s="284">
        <v>1</v>
      </c>
      <c r="AB648" s="92">
        <v>2</v>
      </c>
      <c r="AC648" s="92">
        <v>11</v>
      </c>
      <c r="AD648" s="21">
        <v>0</v>
      </c>
      <c r="AE648" s="54">
        <v>0</v>
      </c>
      <c r="AF648" s="315">
        <f t="shared" si="53"/>
        <v>0</v>
      </c>
    </row>
    <row r="649" spans="1:32" ht="240" x14ac:dyDescent="0.25">
      <c r="A649" s="107" t="s">
        <v>588</v>
      </c>
      <c r="B649" s="107" t="s">
        <v>2269</v>
      </c>
      <c r="C649" s="52"/>
      <c r="D649" s="107" t="s">
        <v>2300</v>
      </c>
      <c r="E649" s="22" t="str">
        <f t="shared" si="51"/>
        <v>SEJUSPPROG</v>
      </c>
      <c r="F649" s="52" t="s">
        <v>729</v>
      </c>
      <c r="G649" s="22" t="str">
        <f t="shared" si="52"/>
        <v>P130SEJUSP</v>
      </c>
      <c r="H649" s="128" t="s">
        <v>1183</v>
      </c>
      <c r="I649" s="22" t="s">
        <v>16</v>
      </c>
      <c r="J649" s="92" t="s">
        <v>303</v>
      </c>
      <c r="K649" s="22" t="str">
        <f>VLOOKUP(CONCATENATE(A649,LEFT(J649,4)),AGRUPAMENTO!$D$2:$E$6783,2,FALSE)</f>
        <v>Demais despesas de capital</v>
      </c>
      <c r="L649" s="128" t="s">
        <v>94</v>
      </c>
      <c r="M649" s="52"/>
      <c r="N649" s="92">
        <v>10</v>
      </c>
      <c r="O649" s="160" t="s">
        <v>2911</v>
      </c>
      <c r="P649" s="159" t="s">
        <v>46</v>
      </c>
      <c r="Q649" s="159" t="s">
        <v>3872</v>
      </c>
      <c r="R649" s="159">
        <v>100</v>
      </c>
      <c r="S649" s="159" t="s">
        <v>3926</v>
      </c>
      <c r="T649" s="211">
        <v>589</v>
      </c>
      <c r="U649" s="212">
        <v>1</v>
      </c>
      <c r="V649" s="58">
        <f t="shared" si="50"/>
        <v>58900</v>
      </c>
      <c r="W649" s="284" t="s">
        <v>68</v>
      </c>
      <c r="X649" s="285" t="s">
        <v>4657</v>
      </c>
      <c r="Y649" s="128" t="s">
        <v>4660</v>
      </c>
      <c r="Z649" s="128" t="s">
        <v>4661</v>
      </c>
      <c r="AA649" s="284">
        <v>1</v>
      </c>
      <c r="AB649" s="92">
        <v>2</v>
      </c>
      <c r="AC649" s="92">
        <v>11</v>
      </c>
      <c r="AD649" s="21">
        <v>0</v>
      </c>
      <c r="AE649" s="54">
        <v>0</v>
      </c>
      <c r="AF649" s="315">
        <f t="shared" si="53"/>
        <v>0</v>
      </c>
    </row>
    <row r="650" spans="1:32" ht="105" x14ac:dyDescent="0.25">
      <c r="A650" s="107" t="s">
        <v>588</v>
      </c>
      <c r="B650" s="107" t="s">
        <v>2269</v>
      </c>
      <c r="C650" s="52"/>
      <c r="D650" s="107" t="s">
        <v>2300</v>
      </c>
      <c r="E650" s="22" t="str">
        <f t="shared" si="51"/>
        <v>SEJUSPPROG</v>
      </c>
      <c r="F650" s="52" t="s">
        <v>729</v>
      </c>
      <c r="G650" s="22" t="str">
        <f t="shared" si="52"/>
        <v>P130SEJUSP</v>
      </c>
      <c r="H650" s="92" t="s">
        <v>1183</v>
      </c>
      <c r="I650" s="22" t="s">
        <v>16</v>
      </c>
      <c r="J650" s="92" t="s">
        <v>1607</v>
      </c>
      <c r="K650" s="22" t="str">
        <f>VLOOKUP(CONCATENATE(A650,LEFT(J650,4)),AGRUPAMENTO!$D$2:$E$6783,2,FALSE)</f>
        <v>Material de consumo</v>
      </c>
      <c r="L650" s="92" t="s">
        <v>44</v>
      </c>
      <c r="M650" s="52"/>
      <c r="N650" s="52">
        <v>60</v>
      </c>
      <c r="O650" s="153" t="s">
        <v>2912</v>
      </c>
      <c r="P650" s="153" t="s">
        <v>58</v>
      </c>
      <c r="Q650" s="153" t="s">
        <v>3934</v>
      </c>
      <c r="R650" s="153">
        <v>100</v>
      </c>
      <c r="S650" s="153" t="s">
        <v>3918</v>
      </c>
      <c r="T650" s="213">
        <v>499</v>
      </c>
      <c r="U650" s="214">
        <v>1</v>
      </c>
      <c r="V650" s="58">
        <f t="shared" si="50"/>
        <v>49900</v>
      </c>
      <c r="W650" s="52" t="s">
        <v>49</v>
      </c>
      <c r="X650" s="92" t="s">
        <v>4675</v>
      </c>
      <c r="Y650" s="92" t="s">
        <v>4676</v>
      </c>
      <c r="Z650" s="92" t="s">
        <v>4677</v>
      </c>
      <c r="AA650" s="52">
        <v>0</v>
      </c>
      <c r="AB650" s="52">
        <v>0</v>
      </c>
      <c r="AC650" s="52">
        <v>0</v>
      </c>
      <c r="AD650" s="21">
        <v>0</v>
      </c>
      <c r="AE650" s="54">
        <v>0</v>
      </c>
      <c r="AF650" s="315">
        <f t="shared" si="53"/>
        <v>0</v>
      </c>
    </row>
    <row r="651" spans="1:32" ht="105" x14ac:dyDescent="0.25">
      <c r="A651" s="107" t="s">
        <v>588</v>
      </c>
      <c r="B651" s="107" t="s">
        <v>2269</v>
      </c>
      <c r="C651" s="52"/>
      <c r="D651" s="107" t="s">
        <v>2300</v>
      </c>
      <c r="E651" s="22" t="str">
        <f t="shared" si="51"/>
        <v>SEJUSPPROG</v>
      </c>
      <c r="F651" s="52" t="s">
        <v>729</v>
      </c>
      <c r="G651" s="22" t="str">
        <f t="shared" si="52"/>
        <v>P130SEJUSP</v>
      </c>
      <c r="H651" s="92" t="s">
        <v>1183</v>
      </c>
      <c r="I651" s="22" t="s">
        <v>16</v>
      </c>
      <c r="J651" s="92" t="s">
        <v>1607</v>
      </c>
      <c r="K651" s="22" t="str">
        <f>VLOOKUP(CONCATENATE(A651,LEFT(J651,4)),AGRUPAMENTO!$D$2:$E$6783,2,FALSE)</f>
        <v>Material de consumo</v>
      </c>
      <c r="L651" s="92" t="s">
        <v>44</v>
      </c>
      <c r="M651" s="52"/>
      <c r="N651" s="52">
        <v>60</v>
      </c>
      <c r="O651" s="92" t="s">
        <v>2913</v>
      </c>
      <c r="P651" s="92" t="s">
        <v>58</v>
      </c>
      <c r="Q651" s="92" t="s">
        <v>3934</v>
      </c>
      <c r="R651" s="92">
        <v>100</v>
      </c>
      <c r="S651" s="92" t="s">
        <v>3918</v>
      </c>
      <c r="T651" s="200">
        <v>300</v>
      </c>
      <c r="U651" s="201">
        <v>1</v>
      </c>
      <c r="V651" s="58">
        <f t="shared" si="50"/>
        <v>30000</v>
      </c>
      <c r="W651" s="52" t="s">
        <v>49</v>
      </c>
      <c r="X651" s="92" t="s">
        <v>4675</v>
      </c>
      <c r="Y651" s="92" t="s">
        <v>4676</v>
      </c>
      <c r="Z651" s="92" t="s">
        <v>4677</v>
      </c>
      <c r="AA651" s="52">
        <v>0</v>
      </c>
      <c r="AB651" s="52">
        <v>0</v>
      </c>
      <c r="AC651" s="52">
        <v>0</v>
      </c>
      <c r="AD651" s="21">
        <v>0</v>
      </c>
      <c r="AE651" s="54">
        <v>0</v>
      </c>
      <c r="AF651" s="315">
        <f t="shared" si="53"/>
        <v>0</v>
      </c>
    </row>
    <row r="652" spans="1:32" ht="105" x14ac:dyDescent="0.25">
      <c r="A652" s="107" t="s">
        <v>588</v>
      </c>
      <c r="B652" s="107" t="s">
        <v>2269</v>
      </c>
      <c r="C652" s="52"/>
      <c r="D652" s="107" t="s">
        <v>2300</v>
      </c>
      <c r="E652" s="22" t="str">
        <f t="shared" si="51"/>
        <v>SEJUSPPROG</v>
      </c>
      <c r="F652" s="52" t="s">
        <v>729</v>
      </c>
      <c r="G652" s="22" t="str">
        <f t="shared" si="52"/>
        <v>P130SEJUSP</v>
      </c>
      <c r="H652" s="92" t="s">
        <v>1183</v>
      </c>
      <c r="I652" s="22" t="s">
        <v>16</v>
      </c>
      <c r="J652" s="92" t="s">
        <v>1602</v>
      </c>
      <c r="K652" s="22" t="str">
        <f>VLOOKUP(CONCATENATE(A652,LEFT(J652,4)),AGRUPAMENTO!$D$2:$E$6783,2,FALSE)</f>
        <v>Material de consumo</v>
      </c>
      <c r="L652" s="92" t="s">
        <v>44</v>
      </c>
      <c r="M652" s="52"/>
      <c r="N652" s="52">
        <v>60</v>
      </c>
      <c r="O652" s="92" t="s">
        <v>2914</v>
      </c>
      <c r="P652" s="92" t="s">
        <v>58</v>
      </c>
      <c r="Q652" s="92" t="s">
        <v>3934</v>
      </c>
      <c r="R652" s="92">
        <v>100</v>
      </c>
      <c r="S652" s="92" t="s">
        <v>3918</v>
      </c>
      <c r="T652" s="200">
        <v>175</v>
      </c>
      <c r="U652" s="201">
        <v>1</v>
      </c>
      <c r="V652" s="58">
        <f t="shared" si="50"/>
        <v>17500</v>
      </c>
      <c r="W652" s="52" t="s">
        <v>49</v>
      </c>
      <c r="X652" s="92" t="s">
        <v>4675</v>
      </c>
      <c r="Y652" s="92" t="s">
        <v>4676</v>
      </c>
      <c r="Z652" s="92" t="s">
        <v>4677</v>
      </c>
      <c r="AA652" s="52">
        <v>0</v>
      </c>
      <c r="AB652" s="52">
        <v>0</v>
      </c>
      <c r="AC652" s="52">
        <v>0</v>
      </c>
      <c r="AD652" s="21">
        <v>0</v>
      </c>
      <c r="AE652" s="54">
        <v>0</v>
      </c>
      <c r="AF652" s="315">
        <f t="shared" si="53"/>
        <v>0</v>
      </c>
    </row>
    <row r="653" spans="1:32" ht="75" x14ac:dyDescent="0.25">
      <c r="A653" s="107" t="s">
        <v>588</v>
      </c>
      <c r="B653" s="107" t="s">
        <v>2269</v>
      </c>
      <c r="C653" s="52"/>
      <c r="D653" s="107" t="s">
        <v>2300</v>
      </c>
      <c r="E653" s="22" t="str">
        <f t="shared" si="51"/>
        <v>SEJUSPPROG</v>
      </c>
      <c r="F653" s="52" t="s">
        <v>729</v>
      </c>
      <c r="G653" s="22" t="str">
        <f t="shared" si="52"/>
        <v>P130SEJUSP</v>
      </c>
      <c r="H653" s="92" t="s">
        <v>1183</v>
      </c>
      <c r="I653" s="22" t="s">
        <v>16</v>
      </c>
      <c r="J653" s="92" t="s">
        <v>1676</v>
      </c>
      <c r="K653" s="22" t="str">
        <f>VLOOKUP(CONCATENATE(A653,LEFT(J653,4)),AGRUPAMENTO!$D$2:$E$6783,2,FALSE)</f>
        <v>Aquisições de itens de TIC</v>
      </c>
      <c r="L653" s="92" t="s">
        <v>94</v>
      </c>
      <c r="M653" s="52"/>
      <c r="N653" s="92">
        <v>10</v>
      </c>
      <c r="O653" s="92" t="s">
        <v>2915</v>
      </c>
      <c r="P653" s="92" t="s">
        <v>58</v>
      </c>
      <c r="Q653" s="92" t="s">
        <v>3934</v>
      </c>
      <c r="R653" s="92">
        <v>303</v>
      </c>
      <c r="S653" s="92" t="s">
        <v>3918</v>
      </c>
      <c r="T653" s="200">
        <v>250</v>
      </c>
      <c r="U653" s="201">
        <v>1</v>
      </c>
      <c r="V653" s="58">
        <f t="shared" si="50"/>
        <v>75750</v>
      </c>
      <c r="W653" s="52" t="s">
        <v>49</v>
      </c>
      <c r="X653" s="92" t="s">
        <v>4678</v>
      </c>
      <c r="Y653" s="92" t="s">
        <v>4679</v>
      </c>
      <c r="Z653" s="92" t="s">
        <v>4680</v>
      </c>
      <c r="AA653" s="52">
        <v>0</v>
      </c>
      <c r="AB653" s="52">
        <v>0</v>
      </c>
      <c r="AC653" s="52">
        <v>0</v>
      </c>
      <c r="AD653" s="21">
        <v>0</v>
      </c>
      <c r="AE653" s="54">
        <v>0</v>
      </c>
      <c r="AF653" s="315">
        <f t="shared" si="53"/>
        <v>0</v>
      </c>
    </row>
    <row r="654" spans="1:32" ht="240" x14ac:dyDescent="0.25">
      <c r="A654" s="107" t="s">
        <v>588</v>
      </c>
      <c r="B654" s="107" t="s">
        <v>2269</v>
      </c>
      <c r="C654" s="52"/>
      <c r="D654" s="107" t="s">
        <v>2300</v>
      </c>
      <c r="E654" s="22" t="str">
        <f t="shared" si="51"/>
        <v>SEJUSPPROG</v>
      </c>
      <c r="F654" s="52" t="s">
        <v>729</v>
      </c>
      <c r="G654" s="22" t="str">
        <f t="shared" si="52"/>
        <v>P130SEJUSP</v>
      </c>
      <c r="H654" s="128" t="s">
        <v>1183</v>
      </c>
      <c r="I654" s="22" t="s">
        <v>16</v>
      </c>
      <c r="J654" s="92" t="s">
        <v>458</v>
      </c>
      <c r="K654" s="22" t="str">
        <f>VLOOKUP(CONCATENATE(A654,LEFT(J654,4)),AGRUPAMENTO!$D$2:$E$6783,2,FALSE)</f>
        <v>Demais despesas de capital</v>
      </c>
      <c r="L654" s="128" t="s">
        <v>94</v>
      </c>
      <c r="M654" s="52"/>
      <c r="N654" s="92">
        <v>10</v>
      </c>
      <c r="O654" s="162" t="s">
        <v>2916</v>
      </c>
      <c r="P654" s="162" t="s">
        <v>46</v>
      </c>
      <c r="Q654" s="162" t="s">
        <v>3872</v>
      </c>
      <c r="R654" s="162">
        <v>50</v>
      </c>
      <c r="S654" s="162" t="s">
        <v>3935</v>
      </c>
      <c r="T654" s="215">
        <v>4500</v>
      </c>
      <c r="U654" s="216">
        <v>1</v>
      </c>
      <c r="V654" s="58">
        <f t="shared" si="50"/>
        <v>225000</v>
      </c>
      <c r="W654" s="284" t="s">
        <v>68</v>
      </c>
      <c r="X654" s="288" t="s">
        <v>4657</v>
      </c>
      <c r="Y654" s="288" t="s">
        <v>4660</v>
      </c>
      <c r="Z654" s="288" t="s">
        <v>4661</v>
      </c>
      <c r="AA654" s="289">
        <v>1</v>
      </c>
      <c r="AB654" s="92">
        <v>2</v>
      </c>
      <c r="AC654" s="92">
        <v>11</v>
      </c>
      <c r="AD654" s="21">
        <v>0</v>
      </c>
      <c r="AE654" s="54">
        <v>0</v>
      </c>
      <c r="AF654" s="315">
        <f t="shared" si="53"/>
        <v>0</v>
      </c>
    </row>
    <row r="655" spans="1:32" ht="240" x14ac:dyDescent="0.25">
      <c r="A655" s="107" t="s">
        <v>588</v>
      </c>
      <c r="B655" s="107" t="s">
        <v>2269</v>
      </c>
      <c r="C655" s="52"/>
      <c r="D655" s="107" t="s">
        <v>2300</v>
      </c>
      <c r="E655" s="22" t="str">
        <f t="shared" si="51"/>
        <v>SEJUSPPROG</v>
      </c>
      <c r="F655" s="52" t="s">
        <v>729</v>
      </c>
      <c r="G655" s="22" t="str">
        <f t="shared" si="52"/>
        <v>P130SEJUSP</v>
      </c>
      <c r="H655" s="129" t="s">
        <v>1183</v>
      </c>
      <c r="I655" s="22" t="s">
        <v>16</v>
      </c>
      <c r="J655" s="92" t="s">
        <v>303</v>
      </c>
      <c r="K655" s="22" t="str">
        <f>VLOOKUP(CONCATENATE(A655,LEFT(J655,4)),AGRUPAMENTO!$D$2:$E$6783,2,FALSE)</f>
        <v>Demais despesas de capital</v>
      </c>
      <c r="L655" s="129" t="s">
        <v>94</v>
      </c>
      <c r="M655" s="52"/>
      <c r="N655" s="92">
        <v>10</v>
      </c>
      <c r="O655" s="163" t="s">
        <v>2917</v>
      </c>
      <c r="P655" s="163" t="s">
        <v>46</v>
      </c>
      <c r="Q655" s="163" t="s">
        <v>3872</v>
      </c>
      <c r="R655" s="163">
        <v>168</v>
      </c>
      <c r="S655" s="163" t="s">
        <v>3926</v>
      </c>
      <c r="T655" s="217">
        <v>594</v>
      </c>
      <c r="U655" s="218">
        <v>1</v>
      </c>
      <c r="V655" s="58">
        <f t="shared" si="50"/>
        <v>99792</v>
      </c>
      <c r="W655" s="290" t="s">
        <v>68</v>
      </c>
      <c r="X655" s="288" t="s">
        <v>4657</v>
      </c>
      <c r="Y655" s="291" t="s">
        <v>4660</v>
      </c>
      <c r="Z655" s="291" t="s">
        <v>4661</v>
      </c>
      <c r="AA655" s="292">
        <v>1</v>
      </c>
      <c r="AB655" s="92">
        <v>2</v>
      </c>
      <c r="AC655" s="92">
        <v>11</v>
      </c>
      <c r="AD655" s="21">
        <v>0</v>
      </c>
      <c r="AE655" s="54">
        <v>0</v>
      </c>
      <c r="AF655" s="315">
        <f t="shared" si="53"/>
        <v>0</v>
      </c>
    </row>
    <row r="656" spans="1:32" ht="180" x14ac:dyDescent="0.25">
      <c r="A656" s="107" t="s">
        <v>588</v>
      </c>
      <c r="B656" s="107" t="s">
        <v>2269</v>
      </c>
      <c r="C656" s="52"/>
      <c r="D656" s="107" t="s">
        <v>2300</v>
      </c>
      <c r="E656" s="22" t="str">
        <f t="shared" si="51"/>
        <v>SEJUSPPROG</v>
      </c>
      <c r="F656" s="52" t="s">
        <v>729</v>
      </c>
      <c r="G656" s="22" t="str">
        <f t="shared" si="52"/>
        <v>P130SEJUSP</v>
      </c>
      <c r="H656" s="129" t="s">
        <v>1183</v>
      </c>
      <c r="I656" s="22" t="s">
        <v>16</v>
      </c>
      <c r="J656" s="92" t="s">
        <v>2232</v>
      </c>
      <c r="K656" s="22" t="str">
        <f>VLOOKUP(CONCATENATE(A656,LEFT(J656,4)),AGRUPAMENTO!$D$2:$E$6783,2,FALSE)</f>
        <v>Demais despesas de capital</v>
      </c>
      <c r="L656" s="129" t="s">
        <v>94</v>
      </c>
      <c r="M656" s="52"/>
      <c r="N656" s="92">
        <v>10</v>
      </c>
      <c r="O656" s="163" t="s">
        <v>2918</v>
      </c>
      <c r="P656" s="163" t="s">
        <v>46</v>
      </c>
      <c r="Q656" s="163" t="s">
        <v>3872</v>
      </c>
      <c r="R656" s="163">
        <v>168</v>
      </c>
      <c r="S656" s="163" t="s">
        <v>3923</v>
      </c>
      <c r="T656" s="217">
        <v>2731</v>
      </c>
      <c r="U656" s="218">
        <v>1</v>
      </c>
      <c r="V656" s="58">
        <f t="shared" si="50"/>
        <v>458808</v>
      </c>
      <c r="W656" s="290" t="s">
        <v>68</v>
      </c>
      <c r="X656" s="288" t="s">
        <v>4657</v>
      </c>
      <c r="Y656" s="291" t="s">
        <v>4658</v>
      </c>
      <c r="Z656" s="291" t="s">
        <v>4659</v>
      </c>
      <c r="AA656" s="292">
        <v>1</v>
      </c>
      <c r="AB656" s="92">
        <v>2</v>
      </c>
      <c r="AC656" s="92">
        <v>11</v>
      </c>
      <c r="AD656" s="21">
        <v>0</v>
      </c>
      <c r="AE656" s="54">
        <v>0</v>
      </c>
      <c r="AF656" s="315">
        <f t="shared" si="53"/>
        <v>0</v>
      </c>
    </row>
    <row r="657" spans="1:32" ht="180" x14ac:dyDescent="0.25">
      <c r="A657" s="107" t="s">
        <v>588</v>
      </c>
      <c r="B657" s="107" t="s">
        <v>2269</v>
      </c>
      <c r="C657" s="52"/>
      <c r="D657" s="107" t="s">
        <v>2300</v>
      </c>
      <c r="E657" s="22" t="str">
        <f t="shared" si="51"/>
        <v>SEJUSPPROG</v>
      </c>
      <c r="F657" s="52" t="s">
        <v>729</v>
      </c>
      <c r="G657" s="22" t="str">
        <f t="shared" si="52"/>
        <v>P130SEJUSP</v>
      </c>
      <c r="H657" s="129" t="s">
        <v>1183</v>
      </c>
      <c r="I657" s="22" t="s">
        <v>16</v>
      </c>
      <c r="J657" s="92" t="s">
        <v>2232</v>
      </c>
      <c r="K657" s="22" t="str">
        <f>VLOOKUP(CONCATENATE(A657,LEFT(J657,4)),AGRUPAMENTO!$D$2:$E$6783,2,FALSE)</f>
        <v>Demais despesas de capital</v>
      </c>
      <c r="L657" s="129" t="s">
        <v>94</v>
      </c>
      <c r="M657" s="52"/>
      <c r="N657" s="92">
        <v>10</v>
      </c>
      <c r="O657" s="163" t="s">
        <v>2919</v>
      </c>
      <c r="P657" s="163" t="s">
        <v>46</v>
      </c>
      <c r="Q657" s="163" t="s">
        <v>3872</v>
      </c>
      <c r="R657" s="163">
        <v>168</v>
      </c>
      <c r="S657" s="163" t="s">
        <v>3923</v>
      </c>
      <c r="T657" s="217">
        <v>604</v>
      </c>
      <c r="U657" s="218">
        <v>1</v>
      </c>
      <c r="V657" s="58">
        <f t="shared" si="50"/>
        <v>101472</v>
      </c>
      <c r="W657" s="290" t="s">
        <v>68</v>
      </c>
      <c r="X657" s="288" t="s">
        <v>4657</v>
      </c>
      <c r="Y657" s="291" t="s">
        <v>4658</v>
      </c>
      <c r="Z657" s="291" t="s">
        <v>4659</v>
      </c>
      <c r="AA657" s="292">
        <v>1</v>
      </c>
      <c r="AB657" s="92">
        <v>2</v>
      </c>
      <c r="AC657" s="92">
        <v>11</v>
      </c>
      <c r="AD657" s="21">
        <v>0</v>
      </c>
      <c r="AE657" s="54">
        <v>0</v>
      </c>
      <c r="AF657" s="315">
        <f t="shared" si="53"/>
        <v>0</v>
      </c>
    </row>
    <row r="658" spans="1:32" ht="180" x14ac:dyDescent="0.25">
      <c r="A658" s="107" t="s">
        <v>588</v>
      </c>
      <c r="B658" s="107" t="s">
        <v>2269</v>
      </c>
      <c r="C658" s="52"/>
      <c r="D658" s="107" t="s">
        <v>2300</v>
      </c>
      <c r="E658" s="22" t="str">
        <f t="shared" si="51"/>
        <v>SEJUSPPROG</v>
      </c>
      <c r="F658" s="52" t="s">
        <v>729</v>
      </c>
      <c r="G658" s="22" t="str">
        <f t="shared" si="52"/>
        <v>P130SEJUSP</v>
      </c>
      <c r="H658" s="129" t="s">
        <v>1183</v>
      </c>
      <c r="I658" s="22" t="s">
        <v>16</v>
      </c>
      <c r="J658" s="92" t="s">
        <v>2232</v>
      </c>
      <c r="K658" s="22" t="str">
        <f>VLOOKUP(CONCATENATE(A658,LEFT(J658,4)),AGRUPAMENTO!$D$2:$E$6783,2,FALSE)</f>
        <v>Demais despesas de capital</v>
      </c>
      <c r="L658" s="129" t="s">
        <v>94</v>
      </c>
      <c r="M658" s="52"/>
      <c r="N658" s="92">
        <v>10</v>
      </c>
      <c r="O658" s="163" t="s">
        <v>2920</v>
      </c>
      <c r="P658" s="163" t="s">
        <v>46</v>
      </c>
      <c r="Q658" s="163" t="s">
        <v>3872</v>
      </c>
      <c r="R658" s="163">
        <v>168</v>
      </c>
      <c r="S658" s="163" t="s">
        <v>3926</v>
      </c>
      <c r="T658" s="217">
        <v>1140</v>
      </c>
      <c r="U658" s="218">
        <v>1</v>
      </c>
      <c r="V658" s="58">
        <f t="shared" si="50"/>
        <v>191520</v>
      </c>
      <c r="W658" s="290" t="s">
        <v>68</v>
      </c>
      <c r="X658" s="288" t="s">
        <v>4657</v>
      </c>
      <c r="Y658" s="291" t="s">
        <v>4658</v>
      </c>
      <c r="Z658" s="291" t="s">
        <v>4659</v>
      </c>
      <c r="AA658" s="292">
        <v>1</v>
      </c>
      <c r="AB658" s="92">
        <v>2</v>
      </c>
      <c r="AC658" s="92">
        <v>11</v>
      </c>
      <c r="AD658" s="21">
        <v>0</v>
      </c>
      <c r="AE658" s="54">
        <v>0</v>
      </c>
      <c r="AF658" s="315">
        <f t="shared" si="53"/>
        <v>0</v>
      </c>
    </row>
    <row r="659" spans="1:32" ht="180" x14ac:dyDescent="0.25">
      <c r="A659" s="107" t="s">
        <v>588</v>
      </c>
      <c r="B659" s="107" t="s">
        <v>2269</v>
      </c>
      <c r="C659" s="52"/>
      <c r="D659" s="107" t="s">
        <v>2300</v>
      </c>
      <c r="E659" s="22" t="str">
        <f t="shared" si="51"/>
        <v>SEJUSPPROG</v>
      </c>
      <c r="F659" s="52" t="s">
        <v>729</v>
      </c>
      <c r="G659" s="22" t="str">
        <f t="shared" si="52"/>
        <v>P130SEJUSP</v>
      </c>
      <c r="H659" s="129" t="s">
        <v>1183</v>
      </c>
      <c r="I659" s="22" t="s">
        <v>16</v>
      </c>
      <c r="J659" s="92" t="s">
        <v>2232</v>
      </c>
      <c r="K659" s="22" t="str">
        <f>VLOOKUP(CONCATENATE(A659,LEFT(J659,4)),AGRUPAMENTO!$D$2:$E$6783,2,FALSE)</f>
        <v>Demais despesas de capital</v>
      </c>
      <c r="L659" s="129" t="s">
        <v>94</v>
      </c>
      <c r="M659" s="52"/>
      <c r="N659" s="92">
        <v>10</v>
      </c>
      <c r="O659" s="163" t="s">
        <v>2921</v>
      </c>
      <c r="P659" s="163" t="s">
        <v>46</v>
      </c>
      <c r="Q659" s="163" t="s">
        <v>3872</v>
      </c>
      <c r="R659" s="163">
        <v>168</v>
      </c>
      <c r="S659" s="163" t="s">
        <v>3926</v>
      </c>
      <c r="T659" s="217">
        <v>790</v>
      </c>
      <c r="U659" s="218">
        <v>1</v>
      </c>
      <c r="V659" s="58">
        <f t="shared" si="50"/>
        <v>132720</v>
      </c>
      <c r="W659" s="290" t="s">
        <v>68</v>
      </c>
      <c r="X659" s="288" t="s">
        <v>4657</v>
      </c>
      <c r="Y659" s="291" t="s">
        <v>4658</v>
      </c>
      <c r="Z659" s="291" t="s">
        <v>4659</v>
      </c>
      <c r="AA659" s="292">
        <v>1</v>
      </c>
      <c r="AB659" s="92">
        <v>2</v>
      </c>
      <c r="AC659" s="92">
        <v>11</v>
      </c>
      <c r="AD659" s="21">
        <v>0</v>
      </c>
      <c r="AE659" s="54">
        <v>0</v>
      </c>
      <c r="AF659" s="315">
        <f t="shared" si="53"/>
        <v>0</v>
      </c>
    </row>
    <row r="660" spans="1:32" ht="180" x14ac:dyDescent="0.25">
      <c r="A660" s="107" t="s">
        <v>588</v>
      </c>
      <c r="B660" s="107" t="s">
        <v>2269</v>
      </c>
      <c r="C660" s="52"/>
      <c r="D660" s="107" t="s">
        <v>2300</v>
      </c>
      <c r="E660" s="22" t="str">
        <f t="shared" si="51"/>
        <v>SEJUSPPROG</v>
      </c>
      <c r="F660" s="52" t="s">
        <v>729</v>
      </c>
      <c r="G660" s="22" t="str">
        <f t="shared" si="52"/>
        <v>P130SEJUSP</v>
      </c>
      <c r="H660" s="129" t="s">
        <v>1183</v>
      </c>
      <c r="I660" s="22" t="s">
        <v>16</v>
      </c>
      <c r="J660" s="92" t="s">
        <v>2232</v>
      </c>
      <c r="K660" s="22" t="str">
        <f>VLOOKUP(CONCATENATE(A660,LEFT(J660,4)),AGRUPAMENTO!$D$2:$E$6783,2,FALSE)</f>
        <v>Demais despesas de capital</v>
      </c>
      <c r="L660" s="129" t="s">
        <v>94</v>
      </c>
      <c r="M660" s="52"/>
      <c r="N660" s="92">
        <v>10</v>
      </c>
      <c r="O660" s="163" t="s">
        <v>2922</v>
      </c>
      <c r="P660" s="163" t="s">
        <v>46</v>
      </c>
      <c r="Q660" s="163" t="s">
        <v>3872</v>
      </c>
      <c r="R660" s="163">
        <v>168</v>
      </c>
      <c r="S660" s="163" t="s">
        <v>3923</v>
      </c>
      <c r="T660" s="217">
        <v>763.19</v>
      </c>
      <c r="U660" s="218">
        <v>1</v>
      </c>
      <c r="V660" s="58">
        <f t="shared" si="50"/>
        <v>128215.92000000001</v>
      </c>
      <c r="W660" s="290" t="s">
        <v>68</v>
      </c>
      <c r="X660" s="288" t="s">
        <v>4657</v>
      </c>
      <c r="Y660" s="291" t="s">
        <v>4658</v>
      </c>
      <c r="Z660" s="291" t="s">
        <v>4659</v>
      </c>
      <c r="AA660" s="292">
        <v>1</v>
      </c>
      <c r="AB660" s="92">
        <v>2</v>
      </c>
      <c r="AC660" s="92">
        <v>11</v>
      </c>
      <c r="AD660" s="21">
        <v>0</v>
      </c>
      <c r="AE660" s="54">
        <v>0</v>
      </c>
      <c r="AF660" s="315">
        <f t="shared" si="53"/>
        <v>0</v>
      </c>
    </row>
    <row r="661" spans="1:32" ht="180" x14ac:dyDescent="0.25">
      <c r="A661" s="107" t="s">
        <v>588</v>
      </c>
      <c r="B661" s="107" t="s">
        <v>2269</v>
      </c>
      <c r="C661" s="52"/>
      <c r="D661" s="107" t="s">
        <v>2300</v>
      </c>
      <c r="E661" s="22" t="str">
        <f t="shared" si="51"/>
        <v>SEJUSPPROG</v>
      </c>
      <c r="F661" s="52" t="s">
        <v>729</v>
      </c>
      <c r="G661" s="22" t="str">
        <f t="shared" si="52"/>
        <v>P130SEJUSP</v>
      </c>
      <c r="H661" s="129" t="s">
        <v>1183</v>
      </c>
      <c r="I661" s="22" t="s">
        <v>16</v>
      </c>
      <c r="J661" s="92" t="s">
        <v>2237</v>
      </c>
      <c r="K661" s="22" t="str">
        <f>VLOOKUP(CONCATENATE(A661,LEFT(J661,4)),AGRUPAMENTO!$D$2:$E$6783,2,FALSE)</f>
        <v>Demais despesas de capital</v>
      </c>
      <c r="L661" s="129" t="s">
        <v>94</v>
      </c>
      <c r="M661" s="52"/>
      <c r="N661" s="92">
        <v>10</v>
      </c>
      <c r="O661" s="163" t="s">
        <v>2923</v>
      </c>
      <c r="P661" s="163" t="s">
        <v>46</v>
      </c>
      <c r="Q661" s="163" t="s">
        <v>3872</v>
      </c>
      <c r="R661" s="163">
        <v>168</v>
      </c>
      <c r="S661" s="163" t="s">
        <v>3923</v>
      </c>
      <c r="T661" s="217">
        <v>899.45</v>
      </c>
      <c r="U661" s="218">
        <v>1</v>
      </c>
      <c r="V661" s="58">
        <f t="shared" si="50"/>
        <v>151107.6</v>
      </c>
      <c r="W661" s="290" t="s">
        <v>68</v>
      </c>
      <c r="X661" s="288" t="s">
        <v>4657</v>
      </c>
      <c r="Y661" s="291" t="s">
        <v>4658</v>
      </c>
      <c r="Z661" s="291" t="s">
        <v>4659</v>
      </c>
      <c r="AA661" s="292">
        <v>1</v>
      </c>
      <c r="AB661" s="92">
        <v>2</v>
      </c>
      <c r="AC661" s="92">
        <v>11</v>
      </c>
      <c r="AD661" s="21">
        <v>0</v>
      </c>
      <c r="AE661" s="54">
        <v>0</v>
      </c>
      <c r="AF661" s="315">
        <f t="shared" si="53"/>
        <v>0</v>
      </c>
    </row>
    <row r="662" spans="1:32" ht="240" x14ac:dyDescent="0.25">
      <c r="A662" s="107" t="s">
        <v>588</v>
      </c>
      <c r="B662" s="107" t="s">
        <v>2269</v>
      </c>
      <c r="C662" s="52"/>
      <c r="D662" s="107" t="s">
        <v>2300</v>
      </c>
      <c r="E662" s="22" t="str">
        <f t="shared" si="51"/>
        <v>SEJUSPPROG</v>
      </c>
      <c r="F662" s="52" t="s">
        <v>729</v>
      </c>
      <c r="G662" s="22" t="str">
        <f t="shared" si="52"/>
        <v>P130SEJUSP</v>
      </c>
      <c r="H662" s="129" t="s">
        <v>1183</v>
      </c>
      <c r="I662" s="22" t="s">
        <v>16</v>
      </c>
      <c r="J662" s="92" t="s">
        <v>303</v>
      </c>
      <c r="K662" s="22" t="str">
        <f>VLOOKUP(CONCATENATE(A662,LEFT(J662,4)),AGRUPAMENTO!$D$2:$E$6783,2,FALSE)</f>
        <v>Demais despesas de capital</v>
      </c>
      <c r="L662" s="129" t="s">
        <v>94</v>
      </c>
      <c r="M662" s="52"/>
      <c r="N662" s="92">
        <v>10</v>
      </c>
      <c r="O662" s="163" t="s">
        <v>2924</v>
      </c>
      <c r="P662" s="163" t="s">
        <v>46</v>
      </c>
      <c r="Q662" s="163" t="s">
        <v>3872</v>
      </c>
      <c r="R662" s="163">
        <v>20</v>
      </c>
      <c r="S662" s="163" t="s">
        <v>3926</v>
      </c>
      <c r="T662" s="217">
        <v>29999.99</v>
      </c>
      <c r="U662" s="218">
        <v>1</v>
      </c>
      <c r="V662" s="58">
        <f t="shared" si="50"/>
        <v>599999.80000000005</v>
      </c>
      <c r="W662" s="290" t="s">
        <v>68</v>
      </c>
      <c r="X662" s="288" t="s">
        <v>4657</v>
      </c>
      <c r="Y662" s="291" t="s">
        <v>4660</v>
      </c>
      <c r="Z662" s="291" t="s">
        <v>4661</v>
      </c>
      <c r="AA662" s="292">
        <v>1</v>
      </c>
      <c r="AB662" s="92">
        <v>2</v>
      </c>
      <c r="AC662" s="92">
        <v>11</v>
      </c>
      <c r="AD662" s="21">
        <v>0</v>
      </c>
      <c r="AE662" s="54">
        <v>0</v>
      </c>
      <c r="AF662" s="315">
        <f t="shared" si="53"/>
        <v>0</v>
      </c>
    </row>
    <row r="663" spans="1:32" ht="180" x14ac:dyDescent="0.25">
      <c r="A663" s="107" t="s">
        <v>588</v>
      </c>
      <c r="B663" s="107" t="s">
        <v>2269</v>
      </c>
      <c r="C663" s="52"/>
      <c r="D663" s="107" t="s">
        <v>2300</v>
      </c>
      <c r="E663" s="22" t="str">
        <f t="shared" si="51"/>
        <v>SEJUSPPROG</v>
      </c>
      <c r="F663" s="52" t="s">
        <v>729</v>
      </c>
      <c r="G663" s="22" t="str">
        <f t="shared" si="52"/>
        <v>P130SEJUSP</v>
      </c>
      <c r="H663" s="129" t="s">
        <v>1183</v>
      </c>
      <c r="I663" s="22" t="s">
        <v>16</v>
      </c>
      <c r="J663" s="92" t="s">
        <v>2231</v>
      </c>
      <c r="K663" s="22" t="str">
        <f>VLOOKUP(CONCATENATE(A663,LEFT(J663,4)),AGRUPAMENTO!$D$2:$E$6783,2,FALSE)</f>
        <v>Demais despesas de capital</v>
      </c>
      <c r="L663" s="129" t="s">
        <v>94</v>
      </c>
      <c r="M663" s="52"/>
      <c r="N663" s="92">
        <v>10</v>
      </c>
      <c r="O663" s="163" t="s">
        <v>2925</v>
      </c>
      <c r="P663" s="163" t="s">
        <v>46</v>
      </c>
      <c r="Q663" s="163" t="s">
        <v>3872</v>
      </c>
      <c r="R663" s="163">
        <v>168</v>
      </c>
      <c r="S663" s="163" t="s">
        <v>3923</v>
      </c>
      <c r="T663" s="217">
        <v>1709.92</v>
      </c>
      <c r="U663" s="218">
        <v>1</v>
      </c>
      <c r="V663" s="58">
        <f t="shared" si="50"/>
        <v>287266.56</v>
      </c>
      <c r="W663" s="290" t="s">
        <v>68</v>
      </c>
      <c r="X663" s="288" t="s">
        <v>4657</v>
      </c>
      <c r="Y663" s="291" t="s">
        <v>4665</v>
      </c>
      <c r="Z663" s="291" t="s">
        <v>4666</v>
      </c>
      <c r="AA663" s="292">
        <v>1</v>
      </c>
      <c r="AB663" s="92">
        <v>2</v>
      </c>
      <c r="AC663" s="92">
        <v>11</v>
      </c>
      <c r="AD663" s="21">
        <v>0</v>
      </c>
      <c r="AE663" s="54">
        <v>0</v>
      </c>
      <c r="AF663" s="315">
        <f t="shared" si="53"/>
        <v>0</v>
      </c>
    </row>
    <row r="664" spans="1:32" ht="240" x14ac:dyDescent="0.25">
      <c r="A664" s="107" t="s">
        <v>588</v>
      </c>
      <c r="B664" s="107" t="s">
        <v>2269</v>
      </c>
      <c r="C664" s="52"/>
      <c r="D664" s="107" t="s">
        <v>2300</v>
      </c>
      <c r="E664" s="22" t="str">
        <f t="shared" si="51"/>
        <v>SEJUSPPROG</v>
      </c>
      <c r="F664" s="52" t="s">
        <v>729</v>
      </c>
      <c r="G664" s="22" t="str">
        <f t="shared" si="52"/>
        <v>P130SEJUSP</v>
      </c>
      <c r="H664" s="129" t="s">
        <v>1183</v>
      </c>
      <c r="I664" s="22" t="s">
        <v>16</v>
      </c>
      <c r="J664" s="92" t="s">
        <v>303</v>
      </c>
      <c r="K664" s="22" t="str">
        <f>VLOOKUP(CONCATENATE(A664,LEFT(J664,4)),AGRUPAMENTO!$D$2:$E$6783,2,FALSE)</f>
        <v>Demais despesas de capital</v>
      </c>
      <c r="L664" s="129" t="s">
        <v>94</v>
      </c>
      <c r="M664" s="52"/>
      <c r="N664" s="92">
        <v>10</v>
      </c>
      <c r="O664" s="163" t="s">
        <v>2926</v>
      </c>
      <c r="P664" s="163" t="s">
        <v>46</v>
      </c>
      <c r="Q664" s="163" t="s">
        <v>3872</v>
      </c>
      <c r="R664" s="163">
        <v>168</v>
      </c>
      <c r="S664" s="163" t="s">
        <v>3918</v>
      </c>
      <c r="T664" s="217">
        <v>344</v>
      </c>
      <c r="U664" s="218">
        <v>1</v>
      </c>
      <c r="V664" s="58">
        <f t="shared" si="50"/>
        <v>57792</v>
      </c>
      <c r="W664" s="290" t="s">
        <v>68</v>
      </c>
      <c r="X664" s="288" t="s">
        <v>4657</v>
      </c>
      <c r="Y664" s="291" t="s">
        <v>4660</v>
      </c>
      <c r="Z664" s="291" t="s">
        <v>4661</v>
      </c>
      <c r="AA664" s="292">
        <v>1</v>
      </c>
      <c r="AB664" s="92">
        <v>2</v>
      </c>
      <c r="AC664" s="92">
        <v>11</v>
      </c>
      <c r="AD664" s="21">
        <v>0</v>
      </c>
      <c r="AE664" s="54">
        <v>0</v>
      </c>
      <c r="AF664" s="315">
        <f t="shared" si="53"/>
        <v>0</v>
      </c>
    </row>
    <row r="665" spans="1:32" ht="240" x14ac:dyDescent="0.25">
      <c r="A665" s="107" t="s">
        <v>588</v>
      </c>
      <c r="B665" s="107" t="s">
        <v>2269</v>
      </c>
      <c r="C665" s="52"/>
      <c r="D665" s="107" t="s">
        <v>2300</v>
      </c>
      <c r="E665" s="22" t="str">
        <f t="shared" si="51"/>
        <v>SEJUSPPROG</v>
      </c>
      <c r="F665" s="52" t="s">
        <v>729</v>
      </c>
      <c r="G665" s="22" t="str">
        <f t="shared" si="52"/>
        <v>P130SEJUSP</v>
      </c>
      <c r="H665" s="129" t="s">
        <v>1183</v>
      </c>
      <c r="I665" s="22" t="s">
        <v>16</v>
      </c>
      <c r="J665" s="92" t="s">
        <v>303</v>
      </c>
      <c r="K665" s="22" t="str">
        <f>VLOOKUP(CONCATENATE(A665,LEFT(J665,4)),AGRUPAMENTO!$D$2:$E$6783,2,FALSE)</f>
        <v>Demais despesas de capital</v>
      </c>
      <c r="L665" s="129" t="s">
        <v>94</v>
      </c>
      <c r="M665" s="52"/>
      <c r="N665" s="92">
        <v>10</v>
      </c>
      <c r="O665" s="163" t="s">
        <v>2927</v>
      </c>
      <c r="P665" s="163" t="s">
        <v>46</v>
      </c>
      <c r="Q665" s="163" t="s">
        <v>3872</v>
      </c>
      <c r="R665" s="163">
        <v>150</v>
      </c>
      <c r="S665" s="163" t="s">
        <v>3926</v>
      </c>
      <c r="T665" s="217">
        <v>979.9</v>
      </c>
      <c r="U665" s="218">
        <v>1</v>
      </c>
      <c r="V665" s="58">
        <f t="shared" si="50"/>
        <v>146985</v>
      </c>
      <c r="W665" s="290" t="s">
        <v>68</v>
      </c>
      <c r="X665" s="288" t="s">
        <v>4657</v>
      </c>
      <c r="Y665" s="291" t="s">
        <v>4660</v>
      </c>
      <c r="Z665" s="291" t="s">
        <v>4661</v>
      </c>
      <c r="AA665" s="292">
        <v>1</v>
      </c>
      <c r="AB665" s="92">
        <v>2</v>
      </c>
      <c r="AC665" s="92">
        <v>11</v>
      </c>
      <c r="AD665" s="21">
        <v>0</v>
      </c>
      <c r="AE665" s="54">
        <v>0</v>
      </c>
      <c r="AF665" s="315">
        <f t="shared" si="53"/>
        <v>0</v>
      </c>
    </row>
    <row r="666" spans="1:32" ht="240" x14ac:dyDescent="0.25">
      <c r="A666" s="107" t="s">
        <v>588</v>
      </c>
      <c r="B666" s="107" t="s">
        <v>2269</v>
      </c>
      <c r="C666" s="52"/>
      <c r="D666" s="107" t="s">
        <v>2300</v>
      </c>
      <c r="E666" s="22" t="str">
        <f t="shared" si="51"/>
        <v>SEJUSPPROG</v>
      </c>
      <c r="F666" s="52" t="s">
        <v>729</v>
      </c>
      <c r="G666" s="22" t="str">
        <f t="shared" si="52"/>
        <v>P130SEJUSP</v>
      </c>
      <c r="H666" s="129" t="s">
        <v>1183</v>
      </c>
      <c r="I666" s="22" t="s">
        <v>16</v>
      </c>
      <c r="J666" s="92" t="s">
        <v>303</v>
      </c>
      <c r="K666" s="22" t="str">
        <f>VLOOKUP(CONCATENATE(A666,LEFT(J666,4)),AGRUPAMENTO!$D$2:$E$6783,2,FALSE)</f>
        <v>Demais despesas de capital</v>
      </c>
      <c r="L666" s="129" t="s">
        <v>94</v>
      </c>
      <c r="M666" s="52"/>
      <c r="N666" s="92">
        <v>10</v>
      </c>
      <c r="O666" s="163" t="s">
        <v>2928</v>
      </c>
      <c r="P666" s="163" t="s">
        <v>46</v>
      </c>
      <c r="Q666" s="163" t="s">
        <v>3872</v>
      </c>
      <c r="R666" s="163">
        <v>168</v>
      </c>
      <c r="S666" s="163" t="s">
        <v>3918</v>
      </c>
      <c r="T666" s="217">
        <v>700</v>
      </c>
      <c r="U666" s="218">
        <v>1</v>
      </c>
      <c r="V666" s="58">
        <f t="shared" si="50"/>
        <v>117600</v>
      </c>
      <c r="W666" s="290" t="s">
        <v>68</v>
      </c>
      <c r="X666" s="288" t="s">
        <v>4657</v>
      </c>
      <c r="Y666" s="291" t="s">
        <v>4660</v>
      </c>
      <c r="Z666" s="291" t="s">
        <v>4661</v>
      </c>
      <c r="AA666" s="292">
        <v>1</v>
      </c>
      <c r="AB666" s="92">
        <v>2</v>
      </c>
      <c r="AC666" s="92">
        <v>11</v>
      </c>
      <c r="AD666" s="21">
        <v>0</v>
      </c>
      <c r="AE666" s="54">
        <v>0</v>
      </c>
      <c r="AF666" s="315">
        <f t="shared" si="53"/>
        <v>0</v>
      </c>
    </row>
    <row r="667" spans="1:32" ht="180" x14ac:dyDescent="0.25">
      <c r="A667" s="107" t="s">
        <v>588</v>
      </c>
      <c r="B667" s="107" t="s">
        <v>2269</v>
      </c>
      <c r="C667" s="52"/>
      <c r="D667" s="107" t="s">
        <v>2300</v>
      </c>
      <c r="E667" s="22" t="str">
        <f t="shared" si="51"/>
        <v>SEJUSPPROG</v>
      </c>
      <c r="F667" s="52" t="s">
        <v>729</v>
      </c>
      <c r="G667" s="22" t="str">
        <f t="shared" si="52"/>
        <v>P130SEJUSP</v>
      </c>
      <c r="H667" s="129" t="s">
        <v>1183</v>
      </c>
      <c r="I667" s="22" t="s">
        <v>16</v>
      </c>
      <c r="J667" s="92" t="s">
        <v>2232</v>
      </c>
      <c r="K667" s="22" t="str">
        <f>VLOOKUP(CONCATENATE(A667,LEFT(J667,4)),AGRUPAMENTO!$D$2:$E$6783,2,FALSE)</f>
        <v>Demais despesas de capital</v>
      </c>
      <c r="L667" s="129" t="s">
        <v>94</v>
      </c>
      <c r="M667" s="52"/>
      <c r="N667" s="92">
        <v>10</v>
      </c>
      <c r="O667" s="163" t="s">
        <v>2929</v>
      </c>
      <c r="P667" s="163" t="s">
        <v>46</v>
      </c>
      <c r="Q667" s="163" t="s">
        <v>3872</v>
      </c>
      <c r="R667" s="163">
        <v>168</v>
      </c>
      <c r="S667" s="163" t="s">
        <v>3923</v>
      </c>
      <c r="T667" s="217">
        <v>449</v>
      </c>
      <c r="U667" s="218">
        <v>1</v>
      </c>
      <c r="V667" s="58">
        <f t="shared" si="50"/>
        <v>75432</v>
      </c>
      <c r="W667" s="290" t="s">
        <v>68</v>
      </c>
      <c r="X667" s="288" t="s">
        <v>4657</v>
      </c>
      <c r="Y667" s="291" t="s">
        <v>4658</v>
      </c>
      <c r="Z667" s="291" t="s">
        <v>4659</v>
      </c>
      <c r="AA667" s="292">
        <v>1</v>
      </c>
      <c r="AB667" s="92">
        <v>2</v>
      </c>
      <c r="AC667" s="92">
        <v>11</v>
      </c>
      <c r="AD667" s="21">
        <v>0</v>
      </c>
      <c r="AE667" s="54">
        <v>0</v>
      </c>
      <c r="AF667" s="315">
        <f t="shared" si="53"/>
        <v>0</v>
      </c>
    </row>
    <row r="668" spans="1:32" ht="180" x14ac:dyDescent="0.25">
      <c r="A668" s="107" t="s">
        <v>588</v>
      </c>
      <c r="B668" s="107" t="s">
        <v>2269</v>
      </c>
      <c r="C668" s="52"/>
      <c r="D668" s="107" t="s">
        <v>2300</v>
      </c>
      <c r="E668" s="22" t="str">
        <f t="shared" si="51"/>
        <v>SEJUSPPROG</v>
      </c>
      <c r="F668" s="52" t="s">
        <v>729</v>
      </c>
      <c r="G668" s="22" t="str">
        <f t="shared" si="52"/>
        <v>P130SEJUSP</v>
      </c>
      <c r="H668" s="129" t="s">
        <v>1183</v>
      </c>
      <c r="I668" s="22" t="s">
        <v>16</v>
      </c>
      <c r="J668" s="92" t="s">
        <v>2232</v>
      </c>
      <c r="K668" s="22" t="str">
        <f>VLOOKUP(CONCATENATE(A668,LEFT(J668,4)),AGRUPAMENTO!$D$2:$E$6783,2,FALSE)</f>
        <v>Demais despesas de capital</v>
      </c>
      <c r="L668" s="129" t="s">
        <v>94</v>
      </c>
      <c r="M668" s="52"/>
      <c r="N668" s="92">
        <v>10</v>
      </c>
      <c r="O668" s="163" t="s">
        <v>2930</v>
      </c>
      <c r="P668" s="163" t="s">
        <v>46</v>
      </c>
      <c r="Q668" s="163" t="s">
        <v>3872</v>
      </c>
      <c r="R668" s="163">
        <v>168</v>
      </c>
      <c r="S668" s="163" t="s">
        <v>3923</v>
      </c>
      <c r="T668" s="217">
        <v>419</v>
      </c>
      <c r="U668" s="218">
        <v>1</v>
      </c>
      <c r="V668" s="58">
        <f t="shared" si="50"/>
        <v>70392</v>
      </c>
      <c r="W668" s="290" t="s">
        <v>68</v>
      </c>
      <c r="X668" s="288" t="s">
        <v>4657</v>
      </c>
      <c r="Y668" s="291" t="s">
        <v>4658</v>
      </c>
      <c r="Z668" s="291" t="s">
        <v>4659</v>
      </c>
      <c r="AA668" s="292">
        <v>1</v>
      </c>
      <c r="AB668" s="92">
        <v>2</v>
      </c>
      <c r="AC668" s="92">
        <v>11</v>
      </c>
      <c r="AD668" s="21">
        <v>0</v>
      </c>
      <c r="AE668" s="54">
        <v>0</v>
      </c>
      <c r="AF668" s="315">
        <f t="shared" si="53"/>
        <v>0</v>
      </c>
    </row>
    <row r="669" spans="1:32" ht="180" x14ac:dyDescent="0.25">
      <c r="A669" s="107" t="s">
        <v>588</v>
      </c>
      <c r="B669" s="107" t="s">
        <v>2269</v>
      </c>
      <c r="C669" s="52"/>
      <c r="D669" s="107" t="s">
        <v>2300</v>
      </c>
      <c r="E669" s="22" t="str">
        <f t="shared" si="51"/>
        <v>SEJUSPPROG</v>
      </c>
      <c r="F669" s="52" t="s">
        <v>729</v>
      </c>
      <c r="G669" s="22" t="str">
        <f t="shared" si="52"/>
        <v>P130SEJUSP</v>
      </c>
      <c r="H669" s="129" t="s">
        <v>1183</v>
      </c>
      <c r="I669" s="22" t="s">
        <v>16</v>
      </c>
      <c r="J669" s="92" t="s">
        <v>2237</v>
      </c>
      <c r="K669" s="22" t="str">
        <f>VLOOKUP(CONCATENATE(A669,LEFT(J669,4)),AGRUPAMENTO!$D$2:$E$6783,2,FALSE)</f>
        <v>Demais despesas de capital</v>
      </c>
      <c r="L669" s="129" t="s">
        <v>94</v>
      </c>
      <c r="M669" s="52"/>
      <c r="N669" s="92">
        <v>10</v>
      </c>
      <c r="O669" s="163" t="s">
        <v>2931</v>
      </c>
      <c r="P669" s="163" t="s">
        <v>46</v>
      </c>
      <c r="Q669" s="163" t="s">
        <v>3872</v>
      </c>
      <c r="R669" s="163">
        <v>168</v>
      </c>
      <c r="S669" s="163" t="s">
        <v>3923</v>
      </c>
      <c r="T669" s="217">
        <v>2849</v>
      </c>
      <c r="U669" s="218">
        <v>1</v>
      </c>
      <c r="V669" s="58">
        <f t="shared" si="50"/>
        <v>478632</v>
      </c>
      <c r="W669" s="290" t="s">
        <v>68</v>
      </c>
      <c r="X669" s="288" t="s">
        <v>4657</v>
      </c>
      <c r="Y669" s="291" t="s">
        <v>4658</v>
      </c>
      <c r="Z669" s="291" t="s">
        <v>4659</v>
      </c>
      <c r="AA669" s="292">
        <v>1</v>
      </c>
      <c r="AB669" s="92">
        <v>2</v>
      </c>
      <c r="AC669" s="92">
        <v>11</v>
      </c>
      <c r="AD669" s="21">
        <v>0</v>
      </c>
      <c r="AE669" s="54">
        <v>0</v>
      </c>
      <c r="AF669" s="315">
        <f t="shared" si="53"/>
        <v>0</v>
      </c>
    </row>
    <row r="670" spans="1:32" ht="240" x14ac:dyDescent="0.25">
      <c r="A670" s="107" t="s">
        <v>588</v>
      </c>
      <c r="B670" s="107" t="s">
        <v>2269</v>
      </c>
      <c r="C670" s="52"/>
      <c r="D670" s="107" t="s">
        <v>2300</v>
      </c>
      <c r="E670" s="22" t="str">
        <f t="shared" si="51"/>
        <v>SEJUSPPROG</v>
      </c>
      <c r="F670" s="52" t="s">
        <v>729</v>
      </c>
      <c r="G670" s="22" t="str">
        <f t="shared" si="52"/>
        <v>P130SEJUSP</v>
      </c>
      <c r="H670" s="129" t="s">
        <v>1183</v>
      </c>
      <c r="I670" s="22" t="s">
        <v>16</v>
      </c>
      <c r="J670" s="92" t="s">
        <v>303</v>
      </c>
      <c r="K670" s="22" t="str">
        <f>VLOOKUP(CONCATENATE(A670,LEFT(J670,4)),AGRUPAMENTO!$D$2:$E$6783,2,FALSE)</f>
        <v>Demais despesas de capital</v>
      </c>
      <c r="L670" s="129" t="s">
        <v>94</v>
      </c>
      <c r="M670" s="52"/>
      <c r="N670" s="92">
        <v>10</v>
      </c>
      <c r="O670" s="163" t="s">
        <v>2932</v>
      </c>
      <c r="P670" s="163" t="s">
        <v>46</v>
      </c>
      <c r="Q670" s="163" t="s">
        <v>3872</v>
      </c>
      <c r="R670" s="163">
        <v>300</v>
      </c>
      <c r="S670" s="163" t="s">
        <v>3926</v>
      </c>
      <c r="T670" s="217">
        <v>199.55</v>
      </c>
      <c r="U670" s="218">
        <v>1</v>
      </c>
      <c r="V670" s="58">
        <f t="shared" si="50"/>
        <v>59865</v>
      </c>
      <c r="W670" s="290" t="s">
        <v>68</v>
      </c>
      <c r="X670" s="291" t="s">
        <v>4657</v>
      </c>
      <c r="Y670" s="291" t="s">
        <v>4660</v>
      </c>
      <c r="Z670" s="291" t="s">
        <v>4661</v>
      </c>
      <c r="AA670" s="292">
        <v>1</v>
      </c>
      <c r="AB670" s="92">
        <v>2</v>
      </c>
      <c r="AC670" s="92">
        <v>11</v>
      </c>
      <c r="AD670" s="21">
        <v>0</v>
      </c>
      <c r="AE670" s="54">
        <v>0</v>
      </c>
      <c r="AF670" s="315">
        <f t="shared" si="53"/>
        <v>0</v>
      </c>
    </row>
    <row r="671" spans="1:32" ht="240" x14ac:dyDescent="0.25">
      <c r="A671" s="107" t="s">
        <v>588</v>
      </c>
      <c r="B671" s="107" t="s">
        <v>2269</v>
      </c>
      <c r="C671" s="52"/>
      <c r="D671" s="107" t="s">
        <v>2300</v>
      </c>
      <c r="E671" s="22" t="str">
        <f t="shared" si="51"/>
        <v>SEJUSPPROG</v>
      </c>
      <c r="F671" s="52" t="s">
        <v>729</v>
      </c>
      <c r="G671" s="22" t="str">
        <f t="shared" si="52"/>
        <v>P130SEJUSP</v>
      </c>
      <c r="H671" s="129" t="s">
        <v>1183</v>
      </c>
      <c r="I671" s="22" t="s">
        <v>16</v>
      </c>
      <c r="J671" s="92" t="s">
        <v>303</v>
      </c>
      <c r="K671" s="22" t="str">
        <f>VLOOKUP(CONCATENATE(A671,LEFT(J671,4)),AGRUPAMENTO!$D$2:$E$6783,2,FALSE)</f>
        <v>Demais despesas de capital</v>
      </c>
      <c r="L671" s="129" t="s">
        <v>94</v>
      </c>
      <c r="M671" s="52"/>
      <c r="N671" s="92">
        <v>10</v>
      </c>
      <c r="O671" s="163" t="s">
        <v>2933</v>
      </c>
      <c r="P671" s="163" t="s">
        <v>46</v>
      </c>
      <c r="Q671" s="163" t="s">
        <v>3872</v>
      </c>
      <c r="R671" s="163">
        <v>36</v>
      </c>
      <c r="S671" s="163" t="s">
        <v>3926</v>
      </c>
      <c r="T671" s="217">
        <v>745.27</v>
      </c>
      <c r="U671" s="218">
        <v>1</v>
      </c>
      <c r="V671" s="58">
        <f t="shared" si="50"/>
        <v>26829.72</v>
      </c>
      <c r="W671" s="290" t="s">
        <v>68</v>
      </c>
      <c r="X671" s="291" t="s">
        <v>4657</v>
      </c>
      <c r="Y671" s="291" t="s">
        <v>4660</v>
      </c>
      <c r="Z671" s="291" t="s">
        <v>4661</v>
      </c>
      <c r="AA671" s="292">
        <v>1</v>
      </c>
      <c r="AB671" s="92">
        <v>2</v>
      </c>
      <c r="AC671" s="92">
        <v>11</v>
      </c>
      <c r="AD671" s="21">
        <v>0</v>
      </c>
      <c r="AE671" s="54">
        <v>0</v>
      </c>
      <c r="AF671" s="315">
        <f t="shared" si="53"/>
        <v>0</v>
      </c>
    </row>
    <row r="672" spans="1:32" ht="240" x14ac:dyDescent="0.25">
      <c r="A672" s="107" t="s">
        <v>588</v>
      </c>
      <c r="B672" s="107" t="s">
        <v>2269</v>
      </c>
      <c r="C672" s="52"/>
      <c r="D672" s="107" t="s">
        <v>2300</v>
      </c>
      <c r="E672" s="22" t="str">
        <f t="shared" si="51"/>
        <v>SEJUSPPROG</v>
      </c>
      <c r="F672" s="52" t="s">
        <v>729</v>
      </c>
      <c r="G672" s="22" t="str">
        <f t="shared" si="52"/>
        <v>P130SEJUSP</v>
      </c>
      <c r="H672" s="129" t="s">
        <v>1183</v>
      </c>
      <c r="I672" s="22" t="s">
        <v>16</v>
      </c>
      <c r="J672" s="92" t="s">
        <v>303</v>
      </c>
      <c r="K672" s="22" t="str">
        <f>VLOOKUP(CONCATENATE(A672,LEFT(J672,4)),AGRUPAMENTO!$D$2:$E$6783,2,FALSE)</f>
        <v>Demais despesas de capital</v>
      </c>
      <c r="L672" s="129" t="s">
        <v>94</v>
      </c>
      <c r="M672" s="52"/>
      <c r="N672" s="92">
        <v>10</v>
      </c>
      <c r="O672" s="163" t="s">
        <v>2934</v>
      </c>
      <c r="P672" s="163" t="s">
        <v>46</v>
      </c>
      <c r="Q672" s="163" t="s">
        <v>3872</v>
      </c>
      <c r="R672" s="163">
        <v>200</v>
      </c>
      <c r="S672" s="163" t="s">
        <v>3918</v>
      </c>
      <c r="T672" s="217">
        <v>262.89999999999998</v>
      </c>
      <c r="U672" s="218">
        <v>1</v>
      </c>
      <c r="V672" s="58">
        <f t="shared" si="50"/>
        <v>52579.999999999993</v>
      </c>
      <c r="W672" s="52" t="s">
        <v>49</v>
      </c>
      <c r="X672" s="291" t="s">
        <v>4681</v>
      </c>
      <c r="Y672" s="291" t="s">
        <v>4660</v>
      </c>
      <c r="Z672" s="291" t="s">
        <v>4661</v>
      </c>
      <c r="AA672" s="52">
        <v>0</v>
      </c>
      <c r="AB672" s="52">
        <v>0</v>
      </c>
      <c r="AC672" s="52">
        <v>0</v>
      </c>
      <c r="AD672" s="21">
        <v>0</v>
      </c>
      <c r="AE672" s="54">
        <v>0</v>
      </c>
      <c r="AF672" s="315">
        <f t="shared" si="53"/>
        <v>0</v>
      </c>
    </row>
    <row r="673" spans="1:32" ht="240" x14ac:dyDescent="0.25">
      <c r="A673" s="107" t="s">
        <v>588</v>
      </c>
      <c r="B673" s="107" t="s">
        <v>2269</v>
      </c>
      <c r="C673" s="52"/>
      <c r="D673" s="107" t="s">
        <v>2300</v>
      </c>
      <c r="E673" s="22" t="str">
        <f t="shared" si="51"/>
        <v>SEJUSPPROG</v>
      </c>
      <c r="F673" s="52" t="s">
        <v>729</v>
      </c>
      <c r="G673" s="22" t="str">
        <f t="shared" si="52"/>
        <v>P130SEJUSP</v>
      </c>
      <c r="H673" s="129" t="s">
        <v>1183</v>
      </c>
      <c r="I673" s="22" t="s">
        <v>16</v>
      </c>
      <c r="J673" s="92" t="s">
        <v>303</v>
      </c>
      <c r="K673" s="22" t="str">
        <f>VLOOKUP(CONCATENATE(A673,LEFT(J673,4)),AGRUPAMENTO!$D$2:$E$6783,2,FALSE)</f>
        <v>Demais despesas de capital</v>
      </c>
      <c r="L673" s="129" t="s">
        <v>94</v>
      </c>
      <c r="M673" s="52"/>
      <c r="N673" s="92">
        <v>10</v>
      </c>
      <c r="O673" s="163" t="s">
        <v>2935</v>
      </c>
      <c r="P673" s="163" t="s">
        <v>46</v>
      </c>
      <c r="Q673" s="163" t="s">
        <v>3872</v>
      </c>
      <c r="R673" s="163">
        <v>200</v>
      </c>
      <c r="S673" s="163" t="s">
        <v>3926</v>
      </c>
      <c r="T673" s="217">
        <v>316.82</v>
      </c>
      <c r="U673" s="218">
        <v>1</v>
      </c>
      <c r="V673" s="58">
        <f t="shared" si="50"/>
        <v>63364</v>
      </c>
      <c r="W673" s="52" t="s">
        <v>49</v>
      </c>
      <c r="X673" s="291" t="s">
        <v>4681</v>
      </c>
      <c r="Y673" s="291" t="s">
        <v>4660</v>
      </c>
      <c r="Z673" s="291" t="s">
        <v>4661</v>
      </c>
      <c r="AA673" s="52">
        <v>0</v>
      </c>
      <c r="AB673" s="52">
        <v>0</v>
      </c>
      <c r="AC673" s="52">
        <v>0</v>
      </c>
      <c r="AD673" s="21">
        <v>0</v>
      </c>
      <c r="AE673" s="54">
        <v>0</v>
      </c>
      <c r="AF673" s="315">
        <f t="shared" si="53"/>
        <v>0</v>
      </c>
    </row>
    <row r="674" spans="1:32" ht="180" x14ac:dyDescent="0.25">
      <c r="A674" s="107" t="s">
        <v>588</v>
      </c>
      <c r="B674" s="107" t="s">
        <v>2269</v>
      </c>
      <c r="C674" s="52"/>
      <c r="D674" s="107" t="s">
        <v>2300</v>
      </c>
      <c r="E674" s="22" t="str">
        <f t="shared" si="51"/>
        <v>SEJUSPPROG</v>
      </c>
      <c r="F674" s="52" t="s">
        <v>729</v>
      </c>
      <c r="G674" s="22" t="str">
        <f t="shared" si="52"/>
        <v>P130SEJUSP</v>
      </c>
      <c r="H674" s="129" t="s">
        <v>1183</v>
      </c>
      <c r="I674" s="22" t="s">
        <v>16</v>
      </c>
      <c r="J674" s="92" t="s">
        <v>2232</v>
      </c>
      <c r="K674" s="22" t="str">
        <f>VLOOKUP(CONCATENATE(A674,LEFT(J674,4)),AGRUPAMENTO!$D$2:$E$6783,2,FALSE)</f>
        <v>Demais despesas de capital</v>
      </c>
      <c r="L674" s="129" t="s">
        <v>94</v>
      </c>
      <c r="M674" s="52"/>
      <c r="N674" s="92">
        <v>10</v>
      </c>
      <c r="O674" s="163" t="s">
        <v>2936</v>
      </c>
      <c r="P674" s="163" t="s">
        <v>46</v>
      </c>
      <c r="Q674" s="163" t="s">
        <v>3872</v>
      </c>
      <c r="R674" s="163">
        <v>168</v>
      </c>
      <c r="S674" s="163" t="s">
        <v>3923</v>
      </c>
      <c r="T674" s="217">
        <v>846</v>
      </c>
      <c r="U674" s="218">
        <v>1</v>
      </c>
      <c r="V674" s="58">
        <f t="shared" si="50"/>
        <v>142128</v>
      </c>
      <c r="W674" s="290" t="s">
        <v>68</v>
      </c>
      <c r="X674" s="288" t="s">
        <v>4657</v>
      </c>
      <c r="Y674" s="291" t="s">
        <v>4658</v>
      </c>
      <c r="Z674" s="291" t="s">
        <v>4659</v>
      </c>
      <c r="AA674" s="292">
        <v>1</v>
      </c>
      <c r="AB674" s="92">
        <v>2</v>
      </c>
      <c r="AC674" s="92">
        <v>11</v>
      </c>
      <c r="AD674" s="21">
        <v>0</v>
      </c>
      <c r="AE674" s="54">
        <v>0</v>
      </c>
      <c r="AF674" s="315">
        <f t="shared" si="53"/>
        <v>0</v>
      </c>
    </row>
    <row r="675" spans="1:32" ht="180" x14ac:dyDescent="0.25">
      <c r="A675" s="107" t="s">
        <v>588</v>
      </c>
      <c r="B675" s="107" t="s">
        <v>2269</v>
      </c>
      <c r="C675" s="52"/>
      <c r="D675" s="107" t="s">
        <v>2300</v>
      </c>
      <c r="E675" s="22" t="str">
        <f t="shared" si="51"/>
        <v>SEJUSPPROG</v>
      </c>
      <c r="F675" s="52" t="s">
        <v>729</v>
      </c>
      <c r="G675" s="22" t="str">
        <f t="shared" si="52"/>
        <v>P130SEJUSP</v>
      </c>
      <c r="H675" s="129" t="s">
        <v>1183</v>
      </c>
      <c r="I675" s="22" t="s">
        <v>16</v>
      </c>
      <c r="J675" s="92" t="s">
        <v>2232</v>
      </c>
      <c r="K675" s="22" t="str">
        <f>VLOOKUP(CONCATENATE(A675,LEFT(J675,4)),AGRUPAMENTO!$D$2:$E$6783,2,FALSE)</f>
        <v>Demais despesas de capital</v>
      </c>
      <c r="L675" s="129" t="s">
        <v>94</v>
      </c>
      <c r="M675" s="52"/>
      <c r="N675" s="92">
        <v>10</v>
      </c>
      <c r="O675" s="163" t="s">
        <v>2937</v>
      </c>
      <c r="P675" s="163" t="s">
        <v>46</v>
      </c>
      <c r="Q675" s="163" t="s">
        <v>3872</v>
      </c>
      <c r="R675" s="163">
        <v>168</v>
      </c>
      <c r="S675" s="163" t="s">
        <v>3923</v>
      </c>
      <c r="T675" s="217">
        <v>1139</v>
      </c>
      <c r="U675" s="218">
        <v>1</v>
      </c>
      <c r="V675" s="58">
        <f t="shared" si="50"/>
        <v>191352</v>
      </c>
      <c r="W675" s="290" t="s">
        <v>68</v>
      </c>
      <c r="X675" s="288" t="s">
        <v>4657</v>
      </c>
      <c r="Y675" s="291" t="s">
        <v>4658</v>
      </c>
      <c r="Z675" s="291" t="s">
        <v>4659</v>
      </c>
      <c r="AA675" s="292">
        <v>1</v>
      </c>
      <c r="AB675" s="92">
        <v>2</v>
      </c>
      <c r="AC675" s="92">
        <v>11</v>
      </c>
      <c r="AD675" s="21">
        <v>0</v>
      </c>
      <c r="AE675" s="54">
        <v>0</v>
      </c>
      <c r="AF675" s="315">
        <f t="shared" si="53"/>
        <v>0</v>
      </c>
    </row>
    <row r="676" spans="1:32" ht="240" x14ac:dyDescent="0.25">
      <c r="A676" s="107" t="s">
        <v>588</v>
      </c>
      <c r="B676" s="107" t="s">
        <v>2269</v>
      </c>
      <c r="C676" s="52"/>
      <c r="D676" s="107" t="s">
        <v>2300</v>
      </c>
      <c r="E676" s="22" t="str">
        <f t="shared" si="51"/>
        <v>SEJUSPPROG</v>
      </c>
      <c r="F676" s="52" t="s">
        <v>729</v>
      </c>
      <c r="G676" s="22" t="str">
        <f t="shared" si="52"/>
        <v>P130SEJUSP</v>
      </c>
      <c r="H676" s="129" t="s">
        <v>1183</v>
      </c>
      <c r="I676" s="22" t="s">
        <v>16</v>
      </c>
      <c r="J676" s="92" t="s">
        <v>303</v>
      </c>
      <c r="K676" s="22" t="str">
        <f>VLOOKUP(CONCATENATE(A676,LEFT(J676,4)),AGRUPAMENTO!$D$2:$E$6783,2,FALSE)</f>
        <v>Demais despesas de capital</v>
      </c>
      <c r="L676" s="129" t="s">
        <v>94</v>
      </c>
      <c r="M676" s="52"/>
      <c r="N676" s="92">
        <v>10</v>
      </c>
      <c r="O676" s="163" t="s">
        <v>2938</v>
      </c>
      <c r="P676" s="163" t="s">
        <v>46</v>
      </c>
      <c r="Q676" s="163" t="s">
        <v>3872</v>
      </c>
      <c r="R676" s="163">
        <v>36</v>
      </c>
      <c r="S676" s="163" t="s">
        <v>3926</v>
      </c>
      <c r="T676" s="217">
        <v>3359.9</v>
      </c>
      <c r="U676" s="218">
        <v>1</v>
      </c>
      <c r="V676" s="58">
        <f t="shared" si="50"/>
        <v>120956.40000000001</v>
      </c>
      <c r="W676" s="290" t="s">
        <v>68</v>
      </c>
      <c r="X676" s="288" t="s">
        <v>4657</v>
      </c>
      <c r="Y676" s="291" t="s">
        <v>4660</v>
      </c>
      <c r="Z676" s="291" t="s">
        <v>4661</v>
      </c>
      <c r="AA676" s="292">
        <v>1</v>
      </c>
      <c r="AB676" s="92">
        <v>2</v>
      </c>
      <c r="AC676" s="92">
        <v>11</v>
      </c>
      <c r="AD676" s="21">
        <v>0</v>
      </c>
      <c r="AE676" s="54">
        <v>0</v>
      </c>
      <c r="AF676" s="315">
        <f t="shared" si="53"/>
        <v>0</v>
      </c>
    </row>
    <row r="677" spans="1:32" ht="240" x14ac:dyDescent="0.25">
      <c r="A677" s="107" t="s">
        <v>588</v>
      </c>
      <c r="B677" s="107" t="s">
        <v>2269</v>
      </c>
      <c r="C677" s="52"/>
      <c r="D677" s="107" t="s">
        <v>2300</v>
      </c>
      <c r="E677" s="22" t="str">
        <f t="shared" si="51"/>
        <v>SEJUSPPROG</v>
      </c>
      <c r="F677" s="52" t="s">
        <v>729</v>
      </c>
      <c r="G677" s="22" t="str">
        <f t="shared" si="52"/>
        <v>P130SEJUSP</v>
      </c>
      <c r="H677" s="129" t="s">
        <v>1183</v>
      </c>
      <c r="I677" s="22" t="s">
        <v>16</v>
      </c>
      <c r="J677" s="92" t="s">
        <v>303</v>
      </c>
      <c r="K677" s="22" t="str">
        <f>VLOOKUP(CONCATENATE(A677,LEFT(J677,4)),AGRUPAMENTO!$D$2:$E$6783,2,FALSE)</f>
        <v>Demais despesas de capital</v>
      </c>
      <c r="L677" s="129" t="s">
        <v>94</v>
      </c>
      <c r="M677" s="52"/>
      <c r="N677" s="92">
        <v>10</v>
      </c>
      <c r="O677" s="163" t="s">
        <v>2939</v>
      </c>
      <c r="P677" s="163" t="s">
        <v>46</v>
      </c>
      <c r="Q677" s="163" t="s">
        <v>3872</v>
      </c>
      <c r="R677" s="163">
        <v>50</v>
      </c>
      <c r="S677" s="163" t="s">
        <v>3926</v>
      </c>
      <c r="T677" s="217">
        <v>169.99</v>
      </c>
      <c r="U677" s="218">
        <v>1</v>
      </c>
      <c r="V677" s="58">
        <f t="shared" si="50"/>
        <v>8499.5</v>
      </c>
      <c r="W677" s="290" t="s">
        <v>68</v>
      </c>
      <c r="X677" s="288" t="s">
        <v>4657</v>
      </c>
      <c r="Y677" s="291" t="s">
        <v>4660</v>
      </c>
      <c r="Z677" s="291" t="s">
        <v>4661</v>
      </c>
      <c r="AA677" s="292">
        <v>1</v>
      </c>
      <c r="AB677" s="92">
        <v>2</v>
      </c>
      <c r="AC677" s="92">
        <v>11</v>
      </c>
      <c r="AD677" s="21">
        <v>0</v>
      </c>
      <c r="AE677" s="54">
        <v>0</v>
      </c>
      <c r="AF677" s="315">
        <f t="shared" si="53"/>
        <v>0</v>
      </c>
    </row>
    <row r="678" spans="1:32" ht="240" x14ac:dyDescent="0.25">
      <c r="A678" s="107" t="s">
        <v>588</v>
      </c>
      <c r="B678" s="107" t="s">
        <v>2269</v>
      </c>
      <c r="C678" s="52"/>
      <c r="D678" s="107" t="s">
        <v>2300</v>
      </c>
      <c r="E678" s="22" t="str">
        <f t="shared" si="51"/>
        <v>SEJUSPPROG</v>
      </c>
      <c r="F678" s="52" t="s">
        <v>729</v>
      </c>
      <c r="G678" s="22" t="str">
        <f t="shared" si="52"/>
        <v>P130SEJUSP</v>
      </c>
      <c r="H678" s="129" t="s">
        <v>1183</v>
      </c>
      <c r="I678" s="22" t="s">
        <v>16</v>
      </c>
      <c r="J678" s="92" t="s">
        <v>303</v>
      </c>
      <c r="K678" s="22" t="str">
        <f>VLOOKUP(CONCATENATE(A678,LEFT(J678,4)),AGRUPAMENTO!$D$2:$E$6783,2,FALSE)</f>
        <v>Demais despesas de capital</v>
      </c>
      <c r="L678" s="129" t="s">
        <v>94</v>
      </c>
      <c r="M678" s="52"/>
      <c r="N678" s="92">
        <v>10</v>
      </c>
      <c r="O678" s="163" t="s">
        <v>2940</v>
      </c>
      <c r="P678" s="163" t="s">
        <v>46</v>
      </c>
      <c r="Q678" s="163" t="s">
        <v>3872</v>
      </c>
      <c r="R678" s="163">
        <v>36</v>
      </c>
      <c r="S678" s="163" t="s">
        <v>3926</v>
      </c>
      <c r="T678" s="217">
        <v>1159.99</v>
      </c>
      <c r="U678" s="218">
        <v>1</v>
      </c>
      <c r="V678" s="58">
        <f t="shared" si="50"/>
        <v>41759.64</v>
      </c>
      <c r="W678" s="290" t="s">
        <v>68</v>
      </c>
      <c r="X678" s="288" t="s">
        <v>4657</v>
      </c>
      <c r="Y678" s="291" t="s">
        <v>4660</v>
      </c>
      <c r="Z678" s="291" t="s">
        <v>4661</v>
      </c>
      <c r="AA678" s="292">
        <v>1</v>
      </c>
      <c r="AB678" s="92">
        <v>2</v>
      </c>
      <c r="AC678" s="92">
        <v>11</v>
      </c>
      <c r="AD678" s="21">
        <v>0</v>
      </c>
      <c r="AE678" s="54">
        <v>0</v>
      </c>
      <c r="AF678" s="315">
        <f t="shared" si="53"/>
        <v>0</v>
      </c>
    </row>
    <row r="679" spans="1:32" ht="240" x14ac:dyDescent="0.25">
      <c r="A679" s="107" t="s">
        <v>588</v>
      </c>
      <c r="B679" s="107" t="s">
        <v>2269</v>
      </c>
      <c r="C679" s="52"/>
      <c r="D679" s="107" t="s">
        <v>2300</v>
      </c>
      <c r="E679" s="22" t="str">
        <f t="shared" si="51"/>
        <v>SEJUSPPROG</v>
      </c>
      <c r="F679" s="52" t="s">
        <v>729</v>
      </c>
      <c r="G679" s="22" t="str">
        <f t="shared" si="52"/>
        <v>P130SEJUSP</v>
      </c>
      <c r="H679" s="129" t="s">
        <v>1183</v>
      </c>
      <c r="I679" s="22" t="s">
        <v>16</v>
      </c>
      <c r="J679" s="92" t="s">
        <v>303</v>
      </c>
      <c r="K679" s="22" t="str">
        <f>VLOOKUP(CONCATENATE(A679,LEFT(J679,4)),AGRUPAMENTO!$D$2:$E$6783,2,FALSE)</f>
        <v>Demais despesas de capital</v>
      </c>
      <c r="L679" s="129" t="s">
        <v>94</v>
      </c>
      <c r="M679" s="52"/>
      <c r="N679" s="92">
        <v>10</v>
      </c>
      <c r="O679" s="163" t="s">
        <v>2941</v>
      </c>
      <c r="P679" s="163" t="s">
        <v>46</v>
      </c>
      <c r="Q679" s="163" t="s">
        <v>3872</v>
      </c>
      <c r="R679" s="163">
        <v>70</v>
      </c>
      <c r="S679" s="163" t="s">
        <v>3926</v>
      </c>
      <c r="T679" s="217">
        <v>1950</v>
      </c>
      <c r="U679" s="218">
        <v>1</v>
      </c>
      <c r="V679" s="58">
        <f t="shared" si="50"/>
        <v>136500</v>
      </c>
      <c r="W679" s="290" t="s">
        <v>68</v>
      </c>
      <c r="X679" s="288" t="s">
        <v>4657</v>
      </c>
      <c r="Y679" s="291" t="s">
        <v>4660</v>
      </c>
      <c r="Z679" s="291" t="s">
        <v>4661</v>
      </c>
      <c r="AA679" s="292">
        <v>1</v>
      </c>
      <c r="AB679" s="92">
        <v>2</v>
      </c>
      <c r="AC679" s="92">
        <v>11</v>
      </c>
      <c r="AD679" s="21">
        <v>0</v>
      </c>
      <c r="AE679" s="54">
        <v>0</v>
      </c>
      <c r="AF679" s="315">
        <f t="shared" si="53"/>
        <v>0</v>
      </c>
    </row>
    <row r="680" spans="1:32" ht="240" x14ac:dyDescent="0.25">
      <c r="A680" s="107" t="s">
        <v>588</v>
      </c>
      <c r="B680" s="107" t="s">
        <v>2269</v>
      </c>
      <c r="C680" s="52"/>
      <c r="D680" s="107" t="s">
        <v>2300</v>
      </c>
      <c r="E680" s="22" t="str">
        <f t="shared" si="51"/>
        <v>SEJUSPPROG</v>
      </c>
      <c r="F680" s="52" t="s">
        <v>729</v>
      </c>
      <c r="G680" s="22" t="str">
        <f t="shared" si="52"/>
        <v>P130SEJUSP</v>
      </c>
      <c r="H680" s="129" t="s">
        <v>1183</v>
      </c>
      <c r="I680" s="22" t="s">
        <v>16</v>
      </c>
      <c r="J680" s="92" t="s">
        <v>303</v>
      </c>
      <c r="K680" s="22" t="str">
        <f>VLOOKUP(CONCATENATE(A680,LEFT(J680,4)),AGRUPAMENTO!$D$2:$E$6783,2,FALSE)</f>
        <v>Demais despesas de capital</v>
      </c>
      <c r="L680" s="129" t="s">
        <v>94</v>
      </c>
      <c r="M680" s="52"/>
      <c r="N680" s="92">
        <v>10</v>
      </c>
      <c r="O680" s="163" t="s">
        <v>2942</v>
      </c>
      <c r="P680" s="163" t="s">
        <v>46</v>
      </c>
      <c r="Q680" s="163" t="s">
        <v>3872</v>
      </c>
      <c r="R680" s="163">
        <v>30</v>
      </c>
      <c r="S680" s="163" t="s">
        <v>3926</v>
      </c>
      <c r="T680" s="217">
        <v>7999</v>
      </c>
      <c r="U680" s="218">
        <v>1</v>
      </c>
      <c r="V680" s="58">
        <f t="shared" si="50"/>
        <v>239970</v>
      </c>
      <c r="W680" s="290" t="s">
        <v>68</v>
      </c>
      <c r="X680" s="288" t="s">
        <v>4657</v>
      </c>
      <c r="Y680" s="291" t="s">
        <v>4660</v>
      </c>
      <c r="Z680" s="291" t="s">
        <v>4661</v>
      </c>
      <c r="AA680" s="292">
        <v>1</v>
      </c>
      <c r="AB680" s="92">
        <v>2</v>
      </c>
      <c r="AC680" s="92">
        <v>11</v>
      </c>
      <c r="AD680" s="21">
        <v>0</v>
      </c>
      <c r="AE680" s="54">
        <v>0</v>
      </c>
      <c r="AF680" s="315">
        <f t="shared" si="53"/>
        <v>0</v>
      </c>
    </row>
    <row r="681" spans="1:32" ht="300" x14ac:dyDescent="0.25">
      <c r="A681" s="107" t="s">
        <v>588</v>
      </c>
      <c r="B681" s="107" t="s">
        <v>2269</v>
      </c>
      <c r="C681" s="52"/>
      <c r="D681" s="107" t="s">
        <v>2300</v>
      </c>
      <c r="E681" s="22" t="str">
        <f t="shared" si="51"/>
        <v>SEJUSPPROG</v>
      </c>
      <c r="F681" s="52" t="s">
        <v>729</v>
      </c>
      <c r="G681" s="22" t="str">
        <f t="shared" si="52"/>
        <v>P130SEJUSP</v>
      </c>
      <c r="H681" s="129" t="s">
        <v>1183</v>
      </c>
      <c r="I681" s="22" t="s">
        <v>16</v>
      </c>
      <c r="J681" s="92" t="s">
        <v>303</v>
      </c>
      <c r="K681" s="22" t="str">
        <f>VLOOKUP(CONCATENATE(A681,LEFT(J681,4)),AGRUPAMENTO!$D$2:$E$6783,2,FALSE)</f>
        <v>Demais despesas de capital</v>
      </c>
      <c r="L681" s="129" t="s">
        <v>94</v>
      </c>
      <c r="M681" s="52"/>
      <c r="N681" s="92">
        <v>10</v>
      </c>
      <c r="O681" s="163" t="s">
        <v>2943</v>
      </c>
      <c r="P681" s="163" t="s">
        <v>46</v>
      </c>
      <c r="Q681" s="163" t="s">
        <v>3872</v>
      </c>
      <c r="R681" s="163">
        <v>30</v>
      </c>
      <c r="S681" s="163" t="s">
        <v>3926</v>
      </c>
      <c r="T681" s="217">
        <v>21900</v>
      </c>
      <c r="U681" s="218">
        <v>1</v>
      </c>
      <c r="V681" s="58">
        <f t="shared" si="50"/>
        <v>657000</v>
      </c>
      <c r="W681" s="290" t="s">
        <v>68</v>
      </c>
      <c r="X681" s="288" t="s">
        <v>4657</v>
      </c>
      <c r="Y681" s="291" t="s">
        <v>4660</v>
      </c>
      <c r="Z681" s="291" t="s">
        <v>4661</v>
      </c>
      <c r="AA681" s="292">
        <v>1</v>
      </c>
      <c r="AB681" s="92">
        <v>2</v>
      </c>
      <c r="AC681" s="92">
        <v>11</v>
      </c>
      <c r="AD681" s="21">
        <v>0</v>
      </c>
      <c r="AE681" s="54">
        <v>0</v>
      </c>
      <c r="AF681" s="315">
        <f t="shared" si="53"/>
        <v>0</v>
      </c>
    </row>
    <row r="682" spans="1:32" ht="240" x14ac:dyDescent="0.25">
      <c r="A682" s="107" t="s">
        <v>588</v>
      </c>
      <c r="B682" s="107" t="s">
        <v>2269</v>
      </c>
      <c r="C682" s="52"/>
      <c r="D682" s="107" t="s">
        <v>2300</v>
      </c>
      <c r="E682" s="22" t="str">
        <f t="shared" si="51"/>
        <v>SEJUSPPROG</v>
      </c>
      <c r="F682" s="52" t="s">
        <v>729</v>
      </c>
      <c r="G682" s="22" t="str">
        <f t="shared" si="52"/>
        <v>P130SEJUSP</v>
      </c>
      <c r="H682" s="129" t="s">
        <v>1183</v>
      </c>
      <c r="I682" s="22" t="s">
        <v>16</v>
      </c>
      <c r="J682" s="92" t="s">
        <v>303</v>
      </c>
      <c r="K682" s="22" t="str">
        <f>VLOOKUP(CONCATENATE(A682,LEFT(J682,4)),AGRUPAMENTO!$D$2:$E$6783,2,FALSE)</f>
        <v>Demais despesas de capital</v>
      </c>
      <c r="L682" s="129" t="s">
        <v>94</v>
      </c>
      <c r="M682" s="52"/>
      <c r="N682" s="92">
        <v>10</v>
      </c>
      <c r="O682" s="163" t="s">
        <v>2944</v>
      </c>
      <c r="P682" s="163" t="s">
        <v>46</v>
      </c>
      <c r="Q682" s="163" t="s">
        <v>3872</v>
      </c>
      <c r="R682" s="163">
        <v>50</v>
      </c>
      <c r="S682" s="163" t="s">
        <v>3926</v>
      </c>
      <c r="T682" s="217">
        <v>108.2</v>
      </c>
      <c r="U682" s="218">
        <v>1</v>
      </c>
      <c r="V682" s="58">
        <f t="shared" si="50"/>
        <v>5410</v>
      </c>
      <c r="W682" s="290" t="s">
        <v>68</v>
      </c>
      <c r="X682" s="288" t="s">
        <v>4657</v>
      </c>
      <c r="Y682" s="291" t="s">
        <v>4660</v>
      </c>
      <c r="Z682" s="291" t="s">
        <v>4661</v>
      </c>
      <c r="AA682" s="292">
        <v>1</v>
      </c>
      <c r="AB682" s="92">
        <v>2</v>
      </c>
      <c r="AC682" s="92">
        <v>11</v>
      </c>
      <c r="AD682" s="21">
        <v>0</v>
      </c>
      <c r="AE682" s="54">
        <v>0</v>
      </c>
      <c r="AF682" s="315">
        <f t="shared" si="53"/>
        <v>0</v>
      </c>
    </row>
    <row r="683" spans="1:32" ht="375" x14ac:dyDescent="0.25">
      <c r="A683" s="107" t="s">
        <v>588</v>
      </c>
      <c r="B683" s="107" t="s">
        <v>2269</v>
      </c>
      <c r="C683" s="52"/>
      <c r="D683" s="107" t="s">
        <v>2300</v>
      </c>
      <c r="E683" s="22" t="str">
        <f t="shared" si="51"/>
        <v>SEJUSPPROG</v>
      </c>
      <c r="F683" s="52" t="s">
        <v>729</v>
      </c>
      <c r="G683" s="22" t="str">
        <f t="shared" si="52"/>
        <v>P130SEJUSP</v>
      </c>
      <c r="H683" s="129" t="s">
        <v>1183</v>
      </c>
      <c r="I683" s="22" t="s">
        <v>16</v>
      </c>
      <c r="J683" s="92" t="s">
        <v>303</v>
      </c>
      <c r="K683" s="22" t="str">
        <f>VLOOKUP(CONCATENATE(A683,LEFT(J683,4)),AGRUPAMENTO!$D$2:$E$6783,2,FALSE)</f>
        <v>Demais despesas de capital</v>
      </c>
      <c r="L683" s="129" t="s">
        <v>94</v>
      </c>
      <c r="M683" s="52"/>
      <c r="N683" s="92">
        <v>10</v>
      </c>
      <c r="O683" s="163" t="s">
        <v>2945</v>
      </c>
      <c r="P683" s="163" t="s">
        <v>46</v>
      </c>
      <c r="Q683" s="163" t="s">
        <v>3872</v>
      </c>
      <c r="R683" s="163">
        <v>36</v>
      </c>
      <c r="S683" s="163" t="s">
        <v>3926</v>
      </c>
      <c r="T683" s="217">
        <v>453.59</v>
      </c>
      <c r="U683" s="218">
        <v>1</v>
      </c>
      <c r="V683" s="58">
        <f t="shared" si="50"/>
        <v>16329.24</v>
      </c>
      <c r="W683" s="290" t="s">
        <v>68</v>
      </c>
      <c r="X683" s="288" t="s">
        <v>4657</v>
      </c>
      <c r="Y683" s="291" t="s">
        <v>4660</v>
      </c>
      <c r="Z683" s="291" t="s">
        <v>4661</v>
      </c>
      <c r="AA683" s="292">
        <v>1</v>
      </c>
      <c r="AB683" s="92">
        <v>2</v>
      </c>
      <c r="AC683" s="92">
        <v>11</v>
      </c>
      <c r="AD683" s="21">
        <v>0</v>
      </c>
      <c r="AE683" s="54">
        <v>0</v>
      </c>
      <c r="AF683" s="315">
        <f t="shared" si="53"/>
        <v>0</v>
      </c>
    </row>
    <row r="684" spans="1:32" ht="240" x14ac:dyDescent="0.25">
      <c r="A684" s="107" t="s">
        <v>588</v>
      </c>
      <c r="B684" s="107" t="s">
        <v>2269</v>
      </c>
      <c r="C684" s="52"/>
      <c r="D684" s="107" t="s">
        <v>2300</v>
      </c>
      <c r="E684" s="22" t="str">
        <f t="shared" si="51"/>
        <v>SEJUSPPROG</v>
      </c>
      <c r="F684" s="52" t="s">
        <v>729</v>
      </c>
      <c r="G684" s="22" t="str">
        <f t="shared" si="52"/>
        <v>P130SEJUSP</v>
      </c>
      <c r="H684" s="129" t="s">
        <v>1183</v>
      </c>
      <c r="I684" s="22" t="s">
        <v>16</v>
      </c>
      <c r="J684" s="92" t="s">
        <v>303</v>
      </c>
      <c r="K684" s="22" t="str">
        <f>VLOOKUP(CONCATENATE(A684,LEFT(J684,4)),AGRUPAMENTO!$D$2:$E$6783,2,FALSE)</f>
        <v>Demais despesas de capital</v>
      </c>
      <c r="L684" s="129" t="s">
        <v>94</v>
      </c>
      <c r="M684" s="52"/>
      <c r="N684" s="92">
        <v>10</v>
      </c>
      <c r="O684" s="163" t="s">
        <v>2946</v>
      </c>
      <c r="P684" s="163" t="s">
        <v>46</v>
      </c>
      <c r="Q684" s="163" t="s">
        <v>3872</v>
      </c>
      <c r="R684" s="163">
        <v>200</v>
      </c>
      <c r="S684" s="163" t="s">
        <v>3918</v>
      </c>
      <c r="T684" s="217">
        <v>298</v>
      </c>
      <c r="U684" s="218">
        <v>1</v>
      </c>
      <c r="V684" s="58">
        <f t="shared" si="50"/>
        <v>59600</v>
      </c>
      <c r="W684" s="52" t="s">
        <v>49</v>
      </c>
      <c r="X684" s="291" t="s">
        <v>4681</v>
      </c>
      <c r="Y684" s="291" t="s">
        <v>4660</v>
      </c>
      <c r="Z684" s="291" t="s">
        <v>4661</v>
      </c>
      <c r="AA684" s="52">
        <v>0</v>
      </c>
      <c r="AB684" s="52">
        <v>0</v>
      </c>
      <c r="AC684" s="52">
        <v>0</v>
      </c>
      <c r="AD684" s="21">
        <v>0</v>
      </c>
      <c r="AE684" s="54">
        <v>0</v>
      </c>
      <c r="AF684" s="315">
        <f t="shared" si="53"/>
        <v>0</v>
      </c>
    </row>
    <row r="685" spans="1:32" ht="180" x14ac:dyDescent="0.25">
      <c r="A685" s="107" t="s">
        <v>588</v>
      </c>
      <c r="B685" s="107" t="s">
        <v>2269</v>
      </c>
      <c r="C685" s="52"/>
      <c r="D685" s="107" t="s">
        <v>2300</v>
      </c>
      <c r="E685" s="22" t="str">
        <f t="shared" si="51"/>
        <v>SEJUSPPROG</v>
      </c>
      <c r="F685" s="52" t="s">
        <v>729</v>
      </c>
      <c r="G685" s="22" t="str">
        <f t="shared" si="52"/>
        <v>P130SEJUSP</v>
      </c>
      <c r="H685" s="129" t="s">
        <v>1183</v>
      </c>
      <c r="I685" s="22" t="s">
        <v>16</v>
      </c>
      <c r="J685" s="92" t="s">
        <v>2232</v>
      </c>
      <c r="K685" s="22" t="str">
        <f>VLOOKUP(CONCATENATE(A685,LEFT(J685,4)),AGRUPAMENTO!$D$2:$E$6783,2,FALSE)</f>
        <v>Demais despesas de capital</v>
      </c>
      <c r="L685" s="129" t="s">
        <v>94</v>
      </c>
      <c r="M685" s="52"/>
      <c r="N685" s="92">
        <v>10</v>
      </c>
      <c r="O685" s="163" t="s">
        <v>2947</v>
      </c>
      <c r="P685" s="163" t="s">
        <v>46</v>
      </c>
      <c r="Q685" s="163" t="s">
        <v>3872</v>
      </c>
      <c r="R685" s="163">
        <v>168</v>
      </c>
      <c r="S685" s="163" t="s">
        <v>3923</v>
      </c>
      <c r="T685" s="217">
        <v>340</v>
      </c>
      <c r="U685" s="218">
        <v>1</v>
      </c>
      <c r="V685" s="58">
        <f t="shared" si="50"/>
        <v>57120</v>
      </c>
      <c r="W685" s="290" t="s">
        <v>68</v>
      </c>
      <c r="X685" s="288" t="s">
        <v>4657</v>
      </c>
      <c r="Y685" s="291" t="s">
        <v>4658</v>
      </c>
      <c r="Z685" s="291" t="s">
        <v>4659</v>
      </c>
      <c r="AA685" s="292">
        <v>1</v>
      </c>
      <c r="AB685" s="92">
        <v>2</v>
      </c>
      <c r="AC685" s="92">
        <v>11</v>
      </c>
      <c r="AD685" s="21">
        <v>0</v>
      </c>
      <c r="AE685" s="54">
        <v>0</v>
      </c>
      <c r="AF685" s="315">
        <f t="shared" si="53"/>
        <v>0</v>
      </c>
    </row>
    <row r="686" spans="1:32" ht="180" x14ac:dyDescent="0.25">
      <c r="A686" s="107" t="s">
        <v>588</v>
      </c>
      <c r="B686" s="107" t="s">
        <v>2269</v>
      </c>
      <c r="C686" s="52"/>
      <c r="D686" s="107" t="s">
        <v>2300</v>
      </c>
      <c r="E686" s="22" t="str">
        <f t="shared" si="51"/>
        <v>SEJUSPPROG</v>
      </c>
      <c r="F686" s="52" t="s">
        <v>729</v>
      </c>
      <c r="G686" s="22" t="str">
        <f t="shared" si="52"/>
        <v>P130SEJUSP</v>
      </c>
      <c r="H686" s="129" t="s">
        <v>1183</v>
      </c>
      <c r="I686" s="22" t="s">
        <v>16</v>
      </c>
      <c r="J686" s="92" t="s">
        <v>2232</v>
      </c>
      <c r="K686" s="22" t="str">
        <f>VLOOKUP(CONCATENATE(A686,LEFT(J686,4)),AGRUPAMENTO!$D$2:$E$6783,2,FALSE)</f>
        <v>Demais despesas de capital</v>
      </c>
      <c r="L686" s="129" t="s">
        <v>94</v>
      </c>
      <c r="M686" s="52"/>
      <c r="N686" s="92">
        <v>10</v>
      </c>
      <c r="O686" s="163" t="s">
        <v>2948</v>
      </c>
      <c r="P686" s="163" t="s">
        <v>46</v>
      </c>
      <c r="Q686" s="163" t="s">
        <v>3872</v>
      </c>
      <c r="R686" s="163">
        <v>168</v>
      </c>
      <c r="S686" s="163" t="s">
        <v>3923</v>
      </c>
      <c r="T686" s="217">
        <v>466</v>
      </c>
      <c r="U686" s="218">
        <v>1</v>
      </c>
      <c r="V686" s="58">
        <f t="shared" si="50"/>
        <v>78288</v>
      </c>
      <c r="W686" s="290" t="s">
        <v>68</v>
      </c>
      <c r="X686" s="288" t="s">
        <v>4657</v>
      </c>
      <c r="Y686" s="291" t="s">
        <v>4658</v>
      </c>
      <c r="Z686" s="291" t="s">
        <v>4659</v>
      </c>
      <c r="AA686" s="292">
        <v>1</v>
      </c>
      <c r="AB686" s="92">
        <v>2</v>
      </c>
      <c r="AC686" s="92">
        <v>11</v>
      </c>
      <c r="AD686" s="21">
        <v>0</v>
      </c>
      <c r="AE686" s="54">
        <v>0</v>
      </c>
      <c r="AF686" s="315">
        <f t="shared" si="53"/>
        <v>0</v>
      </c>
    </row>
    <row r="687" spans="1:32" ht="240" x14ac:dyDescent="0.25">
      <c r="A687" s="107" t="s">
        <v>588</v>
      </c>
      <c r="B687" s="107" t="s">
        <v>2269</v>
      </c>
      <c r="C687" s="52"/>
      <c r="D687" s="107" t="s">
        <v>2300</v>
      </c>
      <c r="E687" s="22" t="str">
        <f t="shared" si="51"/>
        <v>SEJUSPPROG</v>
      </c>
      <c r="F687" s="52" t="s">
        <v>729</v>
      </c>
      <c r="G687" s="22" t="str">
        <f t="shared" si="52"/>
        <v>P130SEJUSP</v>
      </c>
      <c r="H687" s="129" t="s">
        <v>1183</v>
      </c>
      <c r="I687" s="22" t="s">
        <v>16</v>
      </c>
      <c r="J687" s="92" t="s">
        <v>458</v>
      </c>
      <c r="K687" s="22" t="str">
        <f>VLOOKUP(CONCATENATE(A687,LEFT(J687,4)),AGRUPAMENTO!$D$2:$E$6783,2,FALSE)</f>
        <v>Demais despesas de capital</v>
      </c>
      <c r="L687" s="129" t="s">
        <v>94</v>
      </c>
      <c r="M687" s="52"/>
      <c r="N687" s="92">
        <v>10</v>
      </c>
      <c r="O687" s="163" t="s">
        <v>2949</v>
      </c>
      <c r="P687" s="163" t="s">
        <v>46</v>
      </c>
      <c r="Q687" s="163" t="s">
        <v>3872</v>
      </c>
      <c r="R687" s="163">
        <v>100</v>
      </c>
      <c r="S687" s="163" t="s">
        <v>3923</v>
      </c>
      <c r="T687" s="217">
        <v>17099.099999999999</v>
      </c>
      <c r="U687" s="218">
        <v>1</v>
      </c>
      <c r="V687" s="58">
        <f t="shared" si="50"/>
        <v>1709909.9999999998</v>
      </c>
      <c r="W687" s="290" t="s">
        <v>68</v>
      </c>
      <c r="X687" s="288" t="s">
        <v>4657</v>
      </c>
      <c r="Y687" s="291" t="s">
        <v>4660</v>
      </c>
      <c r="Z687" s="291" t="s">
        <v>4661</v>
      </c>
      <c r="AA687" s="292">
        <v>1</v>
      </c>
      <c r="AB687" s="92">
        <v>2</v>
      </c>
      <c r="AC687" s="92">
        <v>11</v>
      </c>
      <c r="AD687" s="21">
        <v>0</v>
      </c>
      <c r="AE687" s="54">
        <v>0</v>
      </c>
      <c r="AF687" s="315">
        <f t="shared" si="53"/>
        <v>0</v>
      </c>
    </row>
    <row r="688" spans="1:32" ht="180" x14ac:dyDescent="0.25">
      <c r="A688" s="107" t="s">
        <v>588</v>
      </c>
      <c r="B688" s="107" t="s">
        <v>2269</v>
      </c>
      <c r="C688" s="52"/>
      <c r="D688" s="107" t="s">
        <v>2300</v>
      </c>
      <c r="E688" s="22" t="str">
        <f t="shared" si="51"/>
        <v>SEJUSPPROG</v>
      </c>
      <c r="F688" s="52" t="s">
        <v>729</v>
      </c>
      <c r="G688" s="22" t="str">
        <f t="shared" si="52"/>
        <v>P130SEJUSP</v>
      </c>
      <c r="H688" s="129" t="s">
        <v>1183</v>
      </c>
      <c r="I688" s="22" t="s">
        <v>16</v>
      </c>
      <c r="J688" s="92" t="s">
        <v>1677</v>
      </c>
      <c r="K688" s="22" t="str">
        <f>VLOOKUP(CONCATENATE(A688,LEFT(J688,4)),AGRUPAMENTO!$D$2:$E$6783,2,FALSE)</f>
        <v>Aquisições de itens de TIC</v>
      </c>
      <c r="L688" s="129" t="s">
        <v>94</v>
      </c>
      <c r="M688" s="52"/>
      <c r="N688" s="92">
        <v>10</v>
      </c>
      <c r="O688" s="163" t="s">
        <v>2950</v>
      </c>
      <c r="P688" s="163" t="s">
        <v>46</v>
      </c>
      <c r="Q688" s="163" t="s">
        <v>3872</v>
      </c>
      <c r="R688" s="163">
        <v>168</v>
      </c>
      <c r="S688" s="163" t="s">
        <v>3923</v>
      </c>
      <c r="T688" s="217">
        <v>265.88</v>
      </c>
      <c r="U688" s="218">
        <v>1</v>
      </c>
      <c r="V688" s="58">
        <f t="shared" si="50"/>
        <v>44667.839999999997</v>
      </c>
      <c r="W688" s="290" t="s">
        <v>68</v>
      </c>
      <c r="X688" s="288" t="s">
        <v>4657</v>
      </c>
      <c r="Y688" s="291" t="s">
        <v>4665</v>
      </c>
      <c r="Z688" s="291" t="s">
        <v>4666</v>
      </c>
      <c r="AA688" s="292">
        <v>1</v>
      </c>
      <c r="AB688" s="92">
        <v>2</v>
      </c>
      <c r="AC688" s="92">
        <v>11</v>
      </c>
      <c r="AD688" s="21">
        <v>0</v>
      </c>
      <c r="AE688" s="54">
        <v>0</v>
      </c>
      <c r="AF688" s="315">
        <f t="shared" si="53"/>
        <v>0</v>
      </c>
    </row>
    <row r="689" spans="1:32" ht="180" x14ac:dyDescent="0.25">
      <c r="A689" s="107" t="s">
        <v>588</v>
      </c>
      <c r="B689" s="107" t="s">
        <v>2269</v>
      </c>
      <c r="C689" s="52"/>
      <c r="D689" s="107" t="s">
        <v>2300</v>
      </c>
      <c r="E689" s="22" t="str">
        <f t="shared" si="51"/>
        <v>SEJUSPPROG</v>
      </c>
      <c r="F689" s="52" t="s">
        <v>729</v>
      </c>
      <c r="G689" s="22" t="str">
        <f t="shared" si="52"/>
        <v>P130SEJUSP</v>
      </c>
      <c r="H689" s="129" t="s">
        <v>1183</v>
      </c>
      <c r="I689" s="22" t="s">
        <v>16</v>
      </c>
      <c r="J689" s="92" t="s">
        <v>2237</v>
      </c>
      <c r="K689" s="22" t="str">
        <f>VLOOKUP(CONCATENATE(A689,LEFT(J689,4)),AGRUPAMENTO!$D$2:$E$6783,2,FALSE)</f>
        <v>Demais despesas de capital</v>
      </c>
      <c r="L689" s="129" t="s">
        <v>94</v>
      </c>
      <c r="M689" s="52"/>
      <c r="N689" s="92">
        <v>10</v>
      </c>
      <c r="O689" s="163" t="s">
        <v>2951</v>
      </c>
      <c r="P689" s="163" t="s">
        <v>46</v>
      </c>
      <c r="Q689" s="163" t="s">
        <v>3872</v>
      </c>
      <c r="R689" s="163">
        <v>168</v>
      </c>
      <c r="S689" s="163" t="s">
        <v>3923</v>
      </c>
      <c r="T689" s="217">
        <v>609</v>
      </c>
      <c r="U689" s="218">
        <v>1</v>
      </c>
      <c r="V689" s="58">
        <f t="shared" si="50"/>
        <v>102312</v>
      </c>
      <c r="W689" s="290" t="s">
        <v>68</v>
      </c>
      <c r="X689" s="288" t="s">
        <v>4657</v>
      </c>
      <c r="Y689" s="291" t="s">
        <v>4658</v>
      </c>
      <c r="Z689" s="291" t="s">
        <v>4659</v>
      </c>
      <c r="AA689" s="292">
        <v>1</v>
      </c>
      <c r="AB689" s="92">
        <v>2</v>
      </c>
      <c r="AC689" s="92">
        <v>11</v>
      </c>
      <c r="AD689" s="21">
        <v>0</v>
      </c>
      <c r="AE689" s="54">
        <v>0</v>
      </c>
      <c r="AF689" s="315">
        <f t="shared" si="53"/>
        <v>0</v>
      </c>
    </row>
    <row r="690" spans="1:32" ht="315" x14ac:dyDescent="0.25">
      <c r="A690" s="107" t="s">
        <v>588</v>
      </c>
      <c r="B690" s="107" t="s">
        <v>2269</v>
      </c>
      <c r="C690" s="52"/>
      <c r="D690" s="107" t="s">
        <v>2300</v>
      </c>
      <c r="E690" s="22" t="str">
        <f t="shared" si="51"/>
        <v>SEJUSPPROG</v>
      </c>
      <c r="F690" s="52" t="s">
        <v>729</v>
      </c>
      <c r="G690" s="22" t="str">
        <f t="shared" si="52"/>
        <v>P130SEJUSP</v>
      </c>
      <c r="H690" s="129" t="s">
        <v>1183</v>
      </c>
      <c r="I690" s="22" t="s">
        <v>16</v>
      </c>
      <c r="J690" s="92" t="s">
        <v>303</v>
      </c>
      <c r="K690" s="22" t="str">
        <f>VLOOKUP(CONCATENATE(A690,LEFT(J690,4)),AGRUPAMENTO!$D$2:$E$6783,2,FALSE)</f>
        <v>Demais despesas de capital</v>
      </c>
      <c r="L690" s="129" t="s">
        <v>94</v>
      </c>
      <c r="M690" s="52"/>
      <c r="N690" s="92">
        <v>10</v>
      </c>
      <c r="O690" s="163" t="s">
        <v>2952</v>
      </c>
      <c r="P690" s="163" t="s">
        <v>46</v>
      </c>
      <c r="Q690" s="163" t="s">
        <v>3872</v>
      </c>
      <c r="R690" s="163">
        <v>100</v>
      </c>
      <c r="S690" s="163" t="s">
        <v>3926</v>
      </c>
      <c r="T690" s="217">
        <v>339.9</v>
      </c>
      <c r="U690" s="218">
        <v>1</v>
      </c>
      <c r="V690" s="58">
        <f t="shared" si="50"/>
        <v>33990</v>
      </c>
      <c r="W690" s="290" t="s">
        <v>68</v>
      </c>
      <c r="X690" s="288" t="s">
        <v>4657</v>
      </c>
      <c r="Y690" s="291" t="s">
        <v>4660</v>
      </c>
      <c r="Z690" s="291" t="s">
        <v>4661</v>
      </c>
      <c r="AA690" s="292">
        <v>1</v>
      </c>
      <c r="AB690" s="92">
        <v>2</v>
      </c>
      <c r="AC690" s="92">
        <v>11</v>
      </c>
      <c r="AD690" s="21">
        <v>0</v>
      </c>
      <c r="AE690" s="54">
        <v>0</v>
      </c>
      <c r="AF690" s="315">
        <f t="shared" si="53"/>
        <v>0</v>
      </c>
    </row>
    <row r="691" spans="1:32" ht="240" x14ac:dyDescent="0.25">
      <c r="A691" s="107" t="s">
        <v>588</v>
      </c>
      <c r="B691" s="107" t="s">
        <v>2269</v>
      </c>
      <c r="C691" s="52"/>
      <c r="D691" s="107" t="s">
        <v>2300</v>
      </c>
      <c r="E691" s="22" t="str">
        <f t="shared" si="51"/>
        <v>SEJUSPPROG</v>
      </c>
      <c r="F691" s="52" t="s">
        <v>729</v>
      </c>
      <c r="G691" s="22" t="str">
        <f t="shared" si="52"/>
        <v>P130SEJUSP</v>
      </c>
      <c r="H691" s="129" t="s">
        <v>1183</v>
      </c>
      <c r="I691" s="22" t="s">
        <v>16</v>
      </c>
      <c r="J691" s="92" t="s">
        <v>303</v>
      </c>
      <c r="K691" s="22" t="str">
        <f>VLOOKUP(CONCATENATE(A691,LEFT(J691,4)),AGRUPAMENTO!$D$2:$E$6783,2,FALSE)</f>
        <v>Demais despesas de capital</v>
      </c>
      <c r="L691" s="129" t="s">
        <v>94</v>
      </c>
      <c r="M691" s="52"/>
      <c r="N691" s="92">
        <v>10</v>
      </c>
      <c r="O691" s="163" t="s">
        <v>2953</v>
      </c>
      <c r="P691" s="163" t="s">
        <v>46</v>
      </c>
      <c r="Q691" s="163" t="s">
        <v>3872</v>
      </c>
      <c r="R691" s="163">
        <v>100</v>
      </c>
      <c r="S691" s="163" t="s">
        <v>3926</v>
      </c>
      <c r="T691" s="217">
        <v>441</v>
      </c>
      <c r="U691" s="218">
        <v>1</v>
      </c>
      <c r="V691" s="58">
        <f t="shared" si="50"/>
        <v>44100</v>
      </c>
      <c r="W691" s="290" t="s">
        <v>68</v>
      </c>
      <c r="X691" s="288" t="s">
        <v>4657</v>
      </c>
      <c r="Y691" s="291" t="s">
        <v>4660</v>
      </c>
      <c r="Z691" s="291" t="s">
        <v>4661</v>
      </c>
      <c r="AA691" s="292">
        <v>1</v>
      </c>
      <c r="AB691" s="92">
        <v>2</v>
      </c>
      <c r="AC691" s="92">
        <v>11</v>
      </c>
      <c r="AD691" s="21">
        <v>0</v>
      </c>
      <c r="AE691" s="54">
        <v>0</v>
      </c>
      <c r="AF691" s="315">
        <f t="shared" si="53"/>
        <v>0</v>
      </c>
    </row>
    <row r="692" spans="1:32" ht="240" x14ac:dyDescent="0.25">
      <c r="A692" s="107" t="s">
        <v>588</v>
      </c>
      <c r="B692" s="107" t="s">
        <v>2269</v>
      </c>
      <c r="C692" s="52"/>
      <c r="D692" s="107" t="s">
        <v>2300</v>
      </c>
      <c r="E692" s="22" t="str">
        <f t="shared" si="51"/>
        <v>SEJUSPPROG</v>
      </c>
      <c r="F692" s="52" t="s">
        <v>729</v>
      </c>
      <c r="G692" s="22" t="str">
        <f t="shared" si="52"/>
        <v>P130SEJUSP</v>
      </c>
      <c r="H692" s="129" t="s">
        <v>1183</v>
      </c>
      <c r="I692" s="22" t="s">
        <v>16</v>
      </c>
      <c r="J692" s="92" t="s">
        <v>303</v>
      </c>
      <c r="K692" s="22" t="str">
        <f>VLOOKUP(CONCATENATE(A692,LEFT(J692,4)),AGRUPAMENTO!$D$2:$E$6783,2,FALSE)</f>
        <v>Demais despesas de capital</v>
      </c>
      <c r="L692" s="129" t="s">
        <v>94</v>
      </c>
      <c r="M692" s="52"/>
      <c r="N692" s="92">
        <v>10</v>
      </c>
      <c r="O692" s="163" t="s">
        <v>2954</v>
      </c>
      <c r="P692" s="163" t="s">
        <v>46</v>
      </c>
      <c r="Q692" s="163" t="s">
        <v>3872</v>
      </c>
      <c r="R692" s="163">
        <v>168</v>
      </c>
      <c r="S692" s="163" t="s">
        <v>3918</v>
      </c>
      <c r="T692" s="217">
        <v>330</v>
      </c>
      <c r="U692" s="218">
        <v>1</v>
      </c>
      <c r="V692" s="58">
        <f t="shared" si="50"/>
        <v>55440</v>
      </c>
      <c r="W692" s="52" t="s">
        <v>49</v>
      </c>
      <c r="X692" s="291" t="s">
        <v>4681</v>
      </c>
      <c r="Y692" s="291" t="s">
        <v>4660</v>
      </c>
      <c r="Z692" s="291" t="s">
        <v>4661</v>
      </c>
      <c r="AA692" s="52">
        <v>0</v>
      </c>
      <c r="AB692" s="52">
        <v>0</v>
      </c>
      <c r="AC692" s="52">
        <v>0</v>
      </c>
      <c r="AD692" s="21">
        <v>0</v>
      </c>
      <c r="AE692" s="54">
        <v>0</v>
      </c>
      <c r="AF692" s="315">
        <f t="shared" si="53"/>
        <v>0</v>
      </c>
    </row>
    <row r="693" spans="1:32" ht="210" x14ac:dyDescent="0.25">
      <c r="A693" s="107" t="s">
        <v>588</v>
      </c>
      <c r="B693" s="107" t="s">
        <v>2269</v>
      </c>
      <c r="C693" s="52"/>
      <c r="D693" s="107" t="s">
        <v>2300</v>
      </c>
      <c r="E693" s="22" t="str">
        <f t="shared" si="51"/>
        <v>SEJUSPPROG</v>
      </c>
      <c r="F693" s="52" t="s">
        <v>729</v>
      </c>
      <c r="G693" s="22" t="str">
        <f t="shared" si="52"/>
        <v>P130SEJUSP</v>
      </c>
      <c r="H693" s="129" t="s">
        <v>1183</v>
      </c>
      <c r="I693" s="22" t="s">
        <v>16</v>
      </c>
      <c r="J693" s="92" t="s">
        <v>1676</v>
      </c>
      <c r="K693" s="22" t="str">
        <f>VLOOKUP(CONCATENATE(A693,LEFT(J693,4)),AGRUPAMENTO!$D$2:$E$6783,2,FALSE)</f>
        <v>Aquisições de itens de TIC</v>
      </c>
      <c r="L693" s="129" t="s">
        <v>94</v>
      </c>
      <c r="M693" s="52"/>
      <c r="N693" s="92">
        <v>10</v>
      </c>
      <c r="O693" s="163" t="s">
        <v>2955</v>
      </c>
      <c r="P693" s="163" t="s">
        <v>46</v>
      </c>
      <c r="Q693" s="163" t="s">
        <v>3872</v>
      </c>
      <c r="R693" s="163">
        <v>168</v>
      </c>
      <c r="S693" s="163" t="s">
        <v>3923</v>
      </c>
      <c r="T693" s="217">
        <v>319.38</v>
      </c>
      <c r="U693" s="218">
        <v>1</v>
      </c>
      <c r="V693" s="58">
        <f t="shared" si="50"/>
        <v>53655.839999999997</v>
      </c>
      <c r="W693" s="290" t="s">
        <v>68</v>
      </c>
      <c r="X693" s="288" t="s">
        <v>4657</v>
      </c>
      <c r="Y693" s="291" t="s">
        <v>4665</v>
      </c>
      <c r="Z693" s="291" t="s">
        <v>4666</v>
      </c>
      <c r="AA693" s="292">
        <v>1</v>
      </c>
      <c r="AB693" s="92">
        <v>2</v>
      </c>
      <c r="AC693" s="92">
        <v>11</v>
      </c>
      <c r="AD693" s="21">
        <v>0</v>
      </c>
      <c r="AE693" s="54">
        <v>0</v>
      </c>
      <c r="AF693" s="315">
        <f t="shared" si="53"/>
        <v>0</v>
      </c>
    </row>
    <row r="694" spans="1:32" ht="285" x14ac:dyDescent="0.25">
      <c r="A694" s="107" t="s">
        <v>588</v>
      </c>
      <c r="B694" s="107" t="s">
        <v>2269</v>
      </c>
      <c r="C694" s="52"/>
      <c r="D694" s="107" t="s">
        <v>2300</v>
      </c>
      <c r="E694" s="22" t="str">
        <f t="shared" si="51"/>
        <v>SEJUSPPROG</v>
      </c>
      <c r="F694" s="52" t="s">
        <v>729</v>
      </c>
      <c r="G694" s="22" t="str">
        <f t="shared" si="52"/>
        <v>P130SEJUSP</v>
      </c>
      <c r="H694" s="129" t="s">
        <v>1183</v>
      </c>
      <c r="I694" s="22" t="s">
        <v>16</v>
      </c>
      <c r="J694" s="92" t="s">
        <v>1676</v>
      </c>
      <c r="K694" s="22" t="str">
        <f>VLOOKUP(CONCATENATE(A694,LEFT(J694,4)),AGRUPAMENTO!$D$2:$E$6783,2,FALSE)</f>
        <v>Aquisições de itens de TIC</v>
      </c>
      <c r="L694" s="129" t="s">
        <v>94</v>
      </c>
      <c r="M694" s="52"/>
      <c r="N694" s="92">
        <v>10</v>
      </c>
      <c r="O694" s="163" t="s">
        <v>2956</v>
      </c>
      <c r="P694" s="163" t="s">
        <v>46</v>
      </c>
      <c r="Q694" s="163" t="s">
        <v>3872</v>
      </c>
      <c r="R694" s="163">
        <v>168</v>
      </c>
      <c r="S694" s="163" t="s">
        <v>3923</v>
      </c>
      <c r="T694" s="217">
        <v>3290</v>
      </c>
      <c r="U694" s="218">
        <v>1</v>
      </c>
      <c r="V694" s="58">
        <f t="shared" si="50"/>
        <v>552720</v>
      </c>
      <c r="W694" s="290" t="s">
        <v>68</v>
      </c>
      <c r="X694" s="288" t="s">
        <v>4657</v>
      </c>
      <c r="Y694" s="291" t="s">
        <v>4665</v>
      </c>
      <c r="Z694" s="291" t="s">
        <v>4666</v>
      </c>
      <c r="AA694" s="292">
        <v>1</v>
      </c>
      <c r="AB694" s="92">
        <v>2</v>
      </c>
      <c r="AC694" s="92">
        <v>11</v>
      </c>
      <c r="AD694" s="21">
        <v>0</v>
      </c>
      <c r="AE694" s="54">
        <v>0</v>
      </c>
      <c r="AF694" s="315">
        <f t="shared" si="53"/>
        <v>0</v>
      </c>
    </row>
    <row r="695" spans="1:32" ht="240" x14ac:dyDescent="0.25">
      <c r="A695" s="107" t="s">
        <v>588</v>
      </c>
      <c r="B695" s="107" t="s">
        <v>2269</v>
      </c>
      <c r="C695" s="52"/>
      <c r="D695" s="107" t="s">
        <v>2300</v>
      </c>
      <c r="E695" s="22" t="str">
        <f t="shared" si="51"/>
        <v>SEJUSPPROG</v>
      </c>
      <c r="F695" s="52" t="s">
        <v>729</v>
      </c>
      <c r="G695" s="22" t="str">
        <f t="shared" si="52"/>
        <v>P130SEJUSP</v>
      </c>
      <c r="H695" s="129" t="s">
        <v>1183</v>
      </c>
      <c r="I695" s="22" t="s">
        <v>16</v>
      </c>
      <c r="J695" s="92" t="s">
        <v>303</v>
      </c>
      <c r="K695" s="22" t="str">
        <f>VLOOKUP(CONCATENATE(A695,LEFT(J695,4)),AGRUPAMENTO!$D$2:$E$6783,2,FALSE)</f>
        <v>Demais despesas de capital</v>
      </c>
      <c r="L695" s="129" t="s">
        <v>94</v>
      </c>
      <c r="M695" s="52"/>
      <c r="N695" s="92">
        <v>10</v>
      </c>
      <c r="O695" s="163" t="s">
        <v>2957</v>
      </c>
      <c r="P695" s="163" t="s">
        <v>46</v>
      </c>
      <c r="Q695" s="163" t="s">
        <v>3872</v>
      </c>
      <c r="R695" s="163">
        <v>36</v>
      </c>
      <c r="S695" s="163" t="s">
        <v>3926</v>
      </c>
      <c r="T695" s="217">
        <v>296.39999999999998</v>
      </c>
      <c r="U695" s="218">
        <v>1</v>
      </c>
      <c r="V695" s="58">
        <f t="shared" si="50"/>
        <v>10670.4</v>
      </c>
      <c r="W695" s="290" t="s">
        <v>68</v>
      </c>
      <c r="X695" s="288" t="s">
        <v>4657</v>
      </c>
      <c r="Y695" s="291" t="s">
        <v>4660</v>
      </c>
      <c r="Z695" s="291" t="s">
        <v>4661</v>
      </c>
      <c r="AA695" s="292">
        <v>1</v>
      </c>
      <c r="AB695" s="92">
        <v>2</v>
      </c>
      <c r="AC695" s="92">
        <v>11</v>
      </c>
      <c r="AD695" s="21">
        <v>0</v>
      </c>
      <c r="AE695" s="54">
        <v>0</v>
      </c>
      <c r="AF695" s="315">
        <f t="shared" si="53"/>
        <v>0</v>
      </c>
    </row>
    <row r="696" spans="1:32" ht="240" x14ac:dyDescent="0.25">
      <c r="A696" s="107" t="s">
        <v>588</v>
      </c>
      <c r="B696" s="107" t="s">
        <v>2269</v>
      </c>
      <c r="C696" s="52"/>
      <c r="D696" s="107" t="s">
        <v>2300</v>
      </c>
      <c r="E696" s="22" t="str">
        <f t="shared" si="51"/>
        <v>SEJUSPPROG</v>
      </c>
      <c r="F696" s="52" t="s">
        <v>729</v>
      </c>
      <c r="G696" s="22" t="str">
        <f t="shared" si="52"/>
        <v>P130SEJUSP</v>
      </c>
      <c r="H696" s="128" t="s">
        <v>1183</v>
      </c>
      <c r="I696" s="22" t="s">
        <v>16</v>
      </c>
      <c r="J696" s="92" t="s">
        <v>303</v>
      </c>
      <c r="K696" s="22" t="str">
        <f>VLOOKUP(CONCATENATE(A696,LEFT(J696,4)),AGRUPAMENTO!$D$2:$E$6783,2,FALSE)</f>
        <v>Demais despesas de capital</v>
      </c>
      <c r="L696" s="128" t="s">
        <v>94</v>
      </c>
      <c r="M696" s="52"/>
      <c r="N696" s="92">
        <v>10</v>
      </c>
      <c r="O696" s="163" t="s">
        <v>2958</v>
      </c>
      <c r="P696" s="163" t="s">
        <v>46</v>
      </c>
      <c r="Q696" s="163" t="s">
        <v>3872</v>
      </c>
      <c r="R696" s="163">
        <v>36</v>
      </c>
      <c r="S696" s="163" t="s">
        <v>3926</v>
      </c>
      <c r="T696" s="217">
        <v>2158.19</v>
      </c>
      <c r="U696" s="218">
        <v>1</v>
      </c>
      <c r="V696" s="58">
        <f t="shared" si="50"/>
        <v>77694.84</v>
      </c>
      <c r="W696" s="290" t="s">
        <v>68</v>
      </c>
      <c r="X696" s="291" t="s">
        <v>4657</v>
      </c>
      <c r="Y696" s="291" t="s">
        <v>4660</v>
      </c>
      <c r="Z696" s="291" t="s">
        <v>4661</v>
      </c>
      <c r="AA696" s="292">
        <v>1</v>
      </c>
      <c r="AB696" s="92">
        <v>2</v>
      </c>
      <c r="AC696" s="92">
        <v>11</v>
      </c>
      <c r="AD696" s="21">
        <v>0</v>
      </c>
      <c r="AE696" s="54">
        <v>0</v>
      </c>
      <c r="AF696" s="315">
        <f t="shared" si="53"/>
        <v>0</v>
      </c>
    </row>
    <row r="697" spans="1:32" ht="240" x14ac:dyDescent="0.25">
      <c r="A697" s="107" t="s">
        <v>588</v>
      </c>
      <c r="B697" s="107" t="s">
        <v>2269</v>
      </c>
      <c r="C697" s="52"/>
      <c r="D697" s="107" t="s">
        <v>2300</v>
      </c>
      <c r="E697" s="22" t="str">
        <f t="shared" si="51"/>
        <v>SEJUSPPROG</v>
      </c>
      <c r="F697" s="52" t="s">
        <v>729</v>
      </c>
      <c r="G697" s="22" t="str">
        <f t="shared" si="52"/>
        <v>P130SEJUSP</v>
      </c>
      <c r="H697" s="129" t="s">
        <v>1183</v>
      </c>
      <c r="I697" s="22" t="s">
        <v>16</v>
      </c>
      <c r="J697" s="92" t="s">
        <v>303</v>
      </c>
      <c r="K697" s="22" t="str">
        <f>VLOOKUP(CONCATENATE(A697,LEFT(J697,4)),AGRUPAMENTO!$D$2:$E$6783,2,FALSE)</f>
        <v>Demais despesas de capital</v>
      </c>
      <c r="L697" s="129" t="s">
        <v>94</v>
      </c>
      <c r="M697" s="52"/>
      <c r="N697" s="92">
        <v>10</v>
      </c>
      <c r="O697" s="163" t="s">
        <v>2959</v>
      </c>
      <c r="P697" s="163" t="s">
        <v>46</v>
      </c>
      <c r="Q697" s="163" t="s">
        <v>3872</v>
      </c>
      <c r="R697" s="163">
        <v>100</v>
      </c>
      <c r="S697" s="163" t="s">
        <v>3918</v>
      </c>
      <c r="T697" s="217">
        <v>328.78</v>
      </c>
      <c r="U697" s="218">
        <v>1</v>
      </c>
      <c r="V697" s="58">
        <f t="shared" si="50"/>
        <v>32878</v>
      </c>
      <c r="W697" s="290" t="s">
        <v>68</v>
      </c>
      <c r="X697" s="288" t="s">
        <v>4657</v>
      </c>
      <c r="Y697" s="291" t="s">
        <v>4660</v>
      </c>
      <c r="Z697" s="291" t="s">
        <v>4661</v>
      </c>
      <c r="AA697" s="292">
        <v>1</v>
      </c>
      <c r="AB697" s="92">
        <v>2</v>
      </c>
      <c r="AC697" s="92">
        <v>11</v>
      </c>
      <c r="AD697" s="21">
        <v>0</v>
      </c>
      <c r="AE697" s="54">
        <v>0</v>
      </c>
      <c r="AF697" s="315">
        <f t="shared" si="53"/>
        <v>0</v>
      </c>
    </row>
    <row r="698" spans="1:32" ht="240" x14ac:dyDescent="0.25">
      <c r="A698" s="107" t="s">
        <v>588</v>
      </c>
      <c r="B698" s="107" t="s">
        <v>2269</v>
      </c>
      <c r="C698" s="52"/>
      <c r="D698" s="107" t="s">
        <v>2300</v>
      </c>
      <c r="E698" s="22" t="str">
        <f t="shared" si="51"/>
        <v>SEJUSPPROG</v>
      </c>
      <c r="F698" s="52" t="s">
        <v>729</v>
      </c>
      <c r="G698" s="22" t="str">
        <f t="shared" si="52"/>
        <v>P130SEJUSP</v>
      </c>
      <c r="H698" s="129" t="s">
        <v>1183</v>
      </c>
      <c r="I698" s="22" t="s">
        <v>16</v>
      </c>
      <c r="J698" s="92" t="s">
        <v>458</v>
      </c>
      <c r="K698" s="22" t="str">
        <f>VLOOKUP(CONCATENATE(A698,LEFT(J698,4)),AGRUPAMENTO!$D$2:$E$6783,2,FALSE)</f>
        <v>Demais despesas de capital</v>
      </c>
      <c r="L698" s="129" t="s">
        <v>94</v>
      </c>
      <c r="M698" s="52"/>
      <c r="N698" s="92">
        <v>10</v>
      </c>
      <c r="O698" s="163" t="s">
        <v>2960</v>
      </c>
      <c r="P698" s="163" t="s">
        <v>46</v>
      </c>
      <c r="Q698" s="163" t="s">
        <v>3872</v>
      </c>
      <c r="R698" s="163">
        <v>20</v>
      </c>
      <c r="S698" s="163" t="s">
        <v>3923</v>
      </c>
      <c r="T698" s="217">
        <v>24983.9</v>
      </c>
      <c r="U698" s="218">
        <v>1</v>
      </c>
      <c r="V698" s="58">
        <f t="shared" si="50"/>
        <v>499678</v>
      </c>
      <c r="W698" s="290" t="s">
        <v>68</v>
      </c>
      <c r="X698" s="288" t="s">
        <v>4657</v>
      </c>
      <c r="Y698" s="291" t="s">
        <v>4660</v>
      </c>
      <c r="Z698" s="291" t="s">
        <v>4661</v>
      </c>
      <c r="AA698" s="292">
        <v>1</v>
      </c>
      <c r="AB698" s="92">
        <v>2</v>
      </c>
      <c r="AC698" s="92">
        <v>11</v>
      </c>
      <c r="AD698" s="21">
        <v>0</v>
      </c>
      <c r="AE698" s="54">
        <v>0</v>
      </c>
      <c r="AF698" s="315">
        <f t="shared" si="53"/>
        <v>0</v>
      </c>
    </row>
    <row r="699" spans="1:32" ht="240" x14ac:dyDescent="0.25">
      <c r="A699" s="107" t="s">
        <v>588</v>
      </c>
      <c r="B699" s="107" t="s">
        <v>2269</v>
      </c>
      <c r="C699" s="52"/>
      <c r="D699" s="107" t="s">
        <v>2300</v>
      </c>
      <c r="E699" s="22" t="str">
        <f t="shared" si="51"/>
        <v>SEJUSPPROG</v>
      </c>
      <c r="F699" s="52" t="s">
        <v>729</v>
      </c>
      <c r="G699" s="22" t="str">
        <f t="shared" si="52"/>
        <v>P130SEJUSP</v>
      </c>
      <c r="H699" s="129" t="s">
        <v>1183</v>
      </c>
      <c r="I699" s="22" t="s">
        <v>16</v>
      </c>
      <c r="J699" s="92" t="s">
        <v>303</v>
      </c>
      <c r="K699" s="22" t="str">
        <f>VLOOKUP(CONCATENATE(A699,LEFT(J699,4)),AGRUPAMENTO!$D$2:$E$6783,2,FALSE)</f>
        <v>Demais despesas de capital</v>
      </c>
      <c r="L699" s="129" t="s">
        <v>94</v>
      </c>
      <c r="M699" s="52"/>
      <c r="N699" s="92">
        <v>10</v>
      </c>
      <c r="O699" s="163" t="s">
        <v>2961</v>
      </c>
      <c r="P699" s="163" t="s">
        <v>46</v>
      </c>
      <c r="Q699" s="163" t="s">
        <v>3872</v>
      </c>
      <c r="R699" s="163">
        <v>150</v>
      </c>
      <c r="S699" s="163" t="s">
        <v>3918</v>
      </c>
      <c r="T699" s="217">
        <v>963</v>
      </c>
      <c r="U699" s="218">
        <v>1</v>
      </c>
      <c r="V699" s="58">
        <f t="shared" si="50"/>
        <v>144450</v>
      </c>
      <c r="W699" s="290" t="s">
        <v>68</v>
      </c>
      <c r="X699" s="288" t="s">
        <v>4657</v>
      </c>
      <c r="Y699" s="291" t="s">
        <v>4660</v>
      </c>
      <c r="Z699" s="291" t="s">
        <v>4661</v>
      </c>
      <c r="AA699" s="292">
        <v>1</v>
      </c>
      <c r="AB699" s="92">
        <v>2</v>
      </c>
      <c r="AC699" s="92">
        <v>11</v>
      </c>
      <c r="AD699" s="21">
        <v>0</v>
      </c>
      <c r="AE699" s="54">
        <v>0</v>
      </c>
      <c r="AF699" s="315">
        <f t="shared" si="53"/>
        <v>0</v>
      </c>
    </row>
    <row r="700" spans="1:32" ht="240" x14ac:dyDescent="0.25">
      <c r="A700" s="107" t="s">
        <v>588</v>
      </c>
      <c r="B700" s="107" t="s">
        <v>2269</v>
      </c>
      <c r="C700" s="52"/>
      <c r="D700" s="107" t="s">
        <v>2300</v>
      </c>
      <c r="E700" s="22" t="str">
        <f t="shared" si="51"/>
        <v>SEJUSPPROG</v>
      </c>
      <c r="F700" s="52" t="s">
        <v>729</v>
      </c>
      <c r="G700" s="22" t="str">
        <f t="shared" si="52"/>
        <v>P130SEJUSP</v>
      </c>
      <c r="H700" s="129" t="s">
        <v>1183</v>
      </c>
      <c r="I700" s="22" t="s">
        <v>16</v>
      </c>
      <c r="J700" s="92" t="s">
        <v>303</v>
      </c>
      <c r="K700" s="22" t="str">
        <f>VLOOKUP(CONCATENATE(A700,LEFT(J700,4)),AGRUPAMENTO!$D$2:$E$6783,2,FALSE)</f>
        <v>Demais despesas de capital</v>
      </c>
      <c r="L700" s="129" t="s">
        <v>94</v>
      </c>
      <c r="M700" s="52"/>
      <c r="N700" s="92">
        <v>10</v>
      </c>
      <c r="O700" s="163" t="s">
        <v>2962</v>
      </c>
      <c r="P700" s="163" t="s">
        <v>46</v>
      </c>
      <c r="Q700" s="163" t="s">
        <v>3872</v>
      </c>
      <c r="R700" s="163">
        <v>100</v>
      </c>
      <c r="S700" s="163" t="s">
        <v>3926</v>
      </c>
      <c r="T700" s="217">
        <v>142.9</v>
      </c>
      <c r="U700" s="218">
        <v>1</v>
      </c>
      <c r="V700" s="58">
        <f t="shared" si="50"/>
        <v>14290</v>
      </c>
      <c r="W700" s="52" t="s">
        <v>49</v>
      </c>
      <c r="X700" s="291" t="s">
        <v>4681</v>
      </c>
      <c r="Y700" s="291" t="s">
        <v>4660</v>
      </c>
      <c r="Z700" s="291" t="s">
        <v>4661</v>
      </c>
      <c r="AA700" s="52">
        <v>0</v>
      </c>
      <c r="AB700" s="52">
        <v>0</v>
      </c>
      <c r="AC700" s="52">
        <v>0</v>
      </c>
      <c r="AD700" s="21">
        <v>0</v>
      </c>
      <c r="AE700" s="54">
        <v>0</v>
      </c>
      <c r="AF700" s="315">
        <f t="shared" si="53"/>
        <v>0</v>
      </c>
    </row>
    <row r="701" spans="1:32" ht="240" x14ac:dyDescent="0.25">
      <c r="A701" s="107" t="s">
        <v>588</v>
      </c>
      <c r="B701" s="107" t="s">
        <v>2269</v>
      </c>
      <c r="C701" s="52"/>
      <c r="D701" s="107" t="s">
        <v>2300</v>
      </c>
      <c r="E701" s="22" t="str">
        <f t="shared" si="51"/>
        <v>SEJUSPPROG</v>
      </c>
      <c r="F701" s="52" t="s">
        <v>729</v>
      </c>
      <c r="G701" s="22" t="str">
        <f t="shared" si="52"/>
        <v>P130SEJUSP</v>
      </c>
      <c r="H701" s="129" t="s">
        <v>1183</v>
      </c>
      <c r="I701" s="22" t="s">
        <v>16</v>
      </c>
      <c r="J701" s="92" t="s">
        <v>303</v>
      </c>
      <c r="K701" s="22" t="str">
        <f>VLOOKUP(CONCATENATE(A701,LEFT(J701,4)),AGRUPAMENTO!$D$2:$E$6783,2,FALSE)</f>
        <v>Demais despesas de capital</v>
      </c>
      <c r="L701" s="129" t="s">
        <v>94</v>
      </c>
      <c r="M701" s="52"/>
      <c r="N701" s="92">
        <v>10</v>
      </c>
      <c r="O701" s="163" t="s">
        <v>2963</v>
      </c>
      <c r="P701" s="163" t="s">
        <v>46</v>
      </c>
      <c r="Q701" s="163" t="s">
        <v>3872</v>
      </c>
      <c r="R701" s="163">
        <v>100</v>
      </c>
      <c r="S701" s="163" t="s">
        <v>3926</v>
      </c>
      <c r="T701" s="217">
        <v>289.89999999999998</v>
      </c>
      <c r="U701" s="218">
        <v>1</v>
      </c>
      <c r="V701" s="58">
        <f t="shared" si="50"/>
        <v>28989.999999999996</v>
      </c>
      <c r="W701" s="52" t="s">
        <v>49</v>
      </c>
      <c r="X701" s="291" t="s">
        <v>4681</v>
      </c>
      <c r="Y701" s="291" t="s">
        <v>4660</v>
      </c>
      <c r="Z701" s="291" t="s">
        <v>4661</v>
      </c>
      <c r="AA701" s="52">
        <v>0</v>
      </c>
      <c r="AB701" s="52">
        <v>0</v>
      </c>
      <c r="AC701" s="52">
        <v>0</v>
      </c>
      <c r="AD701" s="21">
        <v>0</v>
      </c>
      <c r="AE701" s="54">
        <v>0</v>
      </c>
      <c r="AF701" s="315">
        <f t="shared" si="53"/>
        <v>0</v>
      </c>
    </row>
    <row r="702" spans="1:32" ht="240" x14ac:dyDescent="0.25">
      <c r="A702" s="107" t="s">
        <v>588</v>
      </c>
      <c r="B702" s="107" t="s">
        <v>2269</v>
      </c>
      <c r="C702" s="52"/>
      <c r="D702" s="107" t="s">
        <v>2300</v>
      </c>
      <c r="E702" s="22" t="str">
        <f t="shared" si="51"/>
        <v>SEJUSPPROG</v>
      </c>
      <c r="F702" s="52" t="s">
        <v>729</v>
      </c>
      <c r="G702" s="22" t="str">
        <f t="shared" si="52"/>
        <v>P130SEJUSP</v>
      </c>
      <c r="H702" s="129" t="s">
        <v>1183</v>
      </c>
      <c r="I702" s="22" t="s">
        <v>16</v>
      </c>
      <c r="J702" s="92" t="s">
        <v>303</v>
      </c>
      <c r="K702" s="22" t="str">
        <f>VLOOKUP(CONCATENATE(A702,LEFT(J702,4)),AGRUPAMENTO!$D$2:$E$6783,2,FALSE)</f>
        <v>Demais despesas de capital</v>
      </c>
      <c r="L702" s="129" t="s">
        <v>94</v>
      </c>
      <c r="M702" s="52"/>
      <c r="N702" s="92">
        <v>10</v>
      </c>
      <c r="O702" s="163" t="s">
        <v>2964</v>
      </c>
      <c r="P702" s="163" t="s">
        <v>46</v>
      </c>
      <c r="Q702" s="163" t="s">
        <v>3872</v>
      </c>
      <c r="R702" s="163">
        <v>300</v>
      </c>
      <c r="S702" s="163" t="s">
        <v>3926</v>
      </c>
      <c r="T702" s="217">
        <v>195.89</v>
      </c>
      <c r="U702" s="218">
        <v>1</v>
      </c>
      <c r="V702" s="58">
        <f t="shared" si="50"/>
        <v>58766.999999999993</v>
      </c>
      <c r="W702" s="52" t="s">
        <v>49</v>
      </c>
      <c r="X702" s="291" t="s">
        <v>4681</v>
      </c>
      <c r="Y702" s="291" t="s">
        <v>4660</v>
      </c>
      <c r="Z702" s="291" t="s">
        <v>4661</v>
      </c>
      <c r="AA702" s="52">
        <v>0</v>
      </c>
      <c r="AB702" s="52">
        <v>0</v>
      </c>
      <c r="AC702" s="52">
        <v>0</v>
      </c>
      <c r="AD702" s="21">
        <v>0</v>
      </c>
      <c r="AE702" s="54">
        <v>0</v>
      </c>
      <c r="AF702" s="315">
        <f t="shared" si="53"/>
        <v>0</v>
      </c>
    </row>
    <row r="703" spans="1:32" ht="240" x14ac:dyDescent="0.25">
      <c r="A703" s="107" t="s">
        <v>588</v>
      </c>
      <c r="B703" s="107" t="s">
        <v>2269</v>
      </c>
      <c r="C703" s="52"/>
      <c r="D703" s="107" t="s">
        <v>2300</v>
      </c>
      <c r="E703" s="22" t="str">
        <f t="shared" si="51"/>
        <v>SEJUSPPROG</v>
      </c>
      <c r="F703" s="52" t="s">
        <v>729</v>
      </c>
      <c r="G703" s="22" t="str">
        <f t="shared" si="52"/>
        <v>P130SEJUSP</v>
      </c>
      <c r="H703" s="129" t="s">
        <v>1183</v>
      </c>
      <c r="I703" s="22" t="s">
        <v>16</v>
      </c>
      <c r="J703" s="92" t="s">
        <v>303</v>
      </c>
      <c r="K703" s="22" t="str">
        <f>VLOOKUP(CONCATENATE(A703,LEFT(J703,4)),AGRUPAMENTO!$D$2:$E$6783,2,FALSE)</f>
        <v>Demais despesas de capital</v>
      </c>
      <c r="L703" s="129" t="s">
        <v>94</v>
      </c>
      <c r="M703" s="52"/>
      <c r="N703" s="92">
        <v>10</v>
      </c>
      <c r="O703" s="163" t="s">
        <v>2965</v>
      </c>
      <c r="P703" s="163" t="s">
        <v>46</v>
      </c>
      <c r="Q703" s="163" t="s">
        <v>3872</v>
      </c>
      <c r="R703" s="163">
        <v>100</v>
      </c>
      <c r="S703" s="163" t="s">
        <v>3918</v>
      </c>
      <c r="T703" s="217">
        <v>60</v>
      </c>
      <c r="U703" s="218">
        <v>1</v>
      </c>
      <c r="V703" s="58">
        <f t="shared" si="50"/>
        <v>6000</v>
      </c>
      <c r="W703" s="52" t="s">
        <v>49</v>
      </c>
      <c r="X703" s="291" t="s">
        <v>4681</v>
      </c>
      <c r="Y703" s="291" t="s">
        <v>4660</v>
      </c>
      <c r="Z703" s="291" t="s">
        <v>4661</v>
      </c>
      <c r="AA703" s="52">
        <v>0</v>
      </c>
      <c r="AB703" s="52">
        <v>0</v>
      </c>
      <c r="AC703" s="52">
        <v>0</v>
      </c>
      <c r="AD703" s="21">
        <v>0</v>
      </c>
      <c r="AE703" s="54">
        <v>0</v>
      </c>
      <c r="AF703" s="315">
        <f t="shared" si="53"/>
        <v>0</v>
      </c>
    </row>
    <row r="704" spans="1:32" ht="240" x14ac:dyDescent="0.25">
      <c r="A704" s="107" t="s">
        <v>588</v>
      </c>
      <c r="B704" s="107" t="s">
        <v>2269</v>
      </c>
      <c r="C704" s="52"/>
      <c r="D704" s="107" t="s">
        <v>2300</v>
      </c>
      <c r="E704" s="22" t="str">
        <f t="shared" si="51"/>
        <v>SEJUSPPROG</v>
      </c>
      <c r="F704" s="52" t="s">
        <v>729</v>
      </c>
      <c r="G704" s="22" t="str">
        <f t="shared" si="52"/>
        <v>P130SEJUSP</v>
      </c>
      <c r="H704" s="129" t="s">
        <v>1183</v>
      </c>
      <c r="I704" s="22" t="s">
        <v>16</v>
      </c>
      <c r="J704" s="92" t="s">
        <v>303</v>
      </c>
      <c r="K704" s="22" t="str">
        <f>VLOOKUP(CONCATENATE(A704,LEFT(J704,4)),AGRUPAMENTO!$D$2:$E$6783,2,FALSE)</f>
        <v>Demais despesas de capital</v>
      </c>
      <c r="L704" s="129" t="s">
        <v>94</v>
      </c>
      <c r="M704" s="52"/>
      <c r="N704" s="92">
        <v>10</v>
      </c>
      <c r="O704" s="163" t="s">
        <v>2966</v>
      </c>
      <c r="P704" s="163" t="s">
        <v>46</v>
      </c>
      <c r="Q704" s="163" t="s">
        <v>3872</v>
      </c>
      <c r="R704" s="163">
        <v>120</v>
      </c>
      <c r="S704" s="163" t="s">
        <v>3926</v>
      </c>
      <c r="T704" s="217">
        <v>105.19</v>
      </c>
      <c r="U704" s="218">
        <v>1</v>
      </c>
      <c r="V704" s="58">
        <f t="shared" si="50"/>
        <v>12622.8</v>
      </c>
      <c r="W704" s="52" t="s">
        <v>49</v>
      </c>
      <c r="X704" s="291" t="s">
        <v>4681</v>
      </c>
      <c r="Y704" s="291" t="s">
        <v>4660</v>
      </c>
      <c r="Z704" s="291" t="s">
        <v>4661</v>
      </c>
      <c r="AA704" s="52">
        <v>0</v>
      </c>
      <c r="AB704" s="52">
        <v>0</v>
      </c>
      <c r="AC704" s="52">
        <v>0</v>
      </c>
      <c r="AD704" s="21">
        <v>0</v>
      </c>
      <c r="AE704" s="54">
        <v>0</v>
      </c>
      <c r="AF704" s="315">
        <f t="shared" si="53"/>
        <v>0</v>
      </c>
    </row>
    <row r="705" spans="1:32" ht="240" x14ac:dyDescent="0.25">
      <c r="A705" s="107" t="s">
        <v>588</v>
      </c>
      <c r="B705" s="107" t="s">
        <v>2269</v>
      </c>
      <c r="C705" s="52"/>
      <c r="D705" s="107" t="s">
        <v>2300</v>
      </c>
      <c r="E705" s="22" t="str">
        <f t="shared" si="51"/>
        <v>SEJUSPPROG</v>
      </c>
      <c r="F705" s="52" t="s">
        <v>729</v>
      </c>
      <c r="G705" s="22" t="str">
        <f t="shared" si="52"/>
        <v>P130SEJUSP</v>
      </c>
      <c r="H705" s="129" t="s">
        <v>1183</v>
      </c>
      <c r="I705" s="22" t="s">
        <v>16</v>
      </c>
      <c r="J705" s="92" t="s">
        <v>303</v>
      </c>
      <c r="K705" s="22" t="str">
        <f>VLOOKUP(CONCATENATE(A705,LEFT(J705,4)),AGRUPAMENTO!$D$2:$E$6783,2,FALSE)</f>
        <v>Demais despesas de capital</v>
      </c>
      <c r="L705" s="129" t="s">
        <v>94</v>
      </c>
      <c r="M705" s="52"/>
      <c r="N705" s="92">
        <v>10</v>
      </c>
      <c r="O705" s="163" t="s">
        <v>2967</v>
      </c>
      <c r="P705" s="163" t="s">
        <v>46</v>
      </c>
      <c r="Q705" s="163" t="s">
        <v>3872</v>
      </c>
      <c r="R705" s="163">
        <v>120</v>
      </c>
      <c r="S705" s="163" t="s">
        <v>3926</v>
      </c>
      <c r="T705" s="217">
        <v>64.900000000000006</v>
      </c>
      <c r="U705" s="218">
        <v>1</v>
      </c>
      <c r="V705" s="58">
        <f t="shared" si="50"/>
        <v>7788.0000000000009</v>
      </c>
      <c r="W705" s="52" t="s">
        <v>49</v>
      </c>
      <c r="X705" s="291" t="s">
        <v>4681</v>
      </c>
      <c r="Y705" s="291" t="s">
        <v>4660</v>
      </c>
      <c r="Z705" s="291" t="s">
        <v>4661</v>
      </c>
      <c r="AA705" s="52">
        <v>0</v>
      </c>
      <c r="AB705" s="52">
        <v>0</v>
      </c>
      <c r="AC705" s="52">
        <v>0</v>
      </c>
      <c r="AD705" s="21">
        <v>0</v>
      </c>
      <c r="AE705" s="54">
        <v>0</v>
      </c>
      <c r="AF705" s="315">
        <f t="shared" si="53"/>
        <v>0</v>
      </c>
    </row>
    <row r="706" spans="1:32" ht="240" x14ac:dyDescent="0.25">
      <c r="A706" s="107" t="s">
        <v>588</v>
      </c>
      <c r="B706" s="107" t="s">
        <v>2269</v>
      </c>
      <c r="C706" s="52"/>
      <c r="D706" s="107" t="s">
        <v>2300</v>
      </c>
      <c r="E706" s="22" t="str">
        <f t="shared" si="51"/>
        <v>SEJUSPPROG</v>
      </c>
      <c r="F706" s="52" t="s">
        <v>729</v>
      </c>
      <c r="G706" s="22" t="str">
        <f t="shared" si="52"/>
        <v>P130SEJUSP</v>
      </c>
      <c r="H706" s="129" t="s">
        <v>1183</v>
      </c>
      <c r="I706" s="22" t="s">
        <v>16</v>
      </c>
      <c r="J706" s="92" t="s">
        <v>303</v>
      </c>
      <c r="K706" s="22" t="str">
        <f>VLOOKUP(CONCATENATE(A706,LEFT(J706,4)),AGRUPAMENTO!$D$2:$E$6783,2,FALSE)</f>
        <v>Demais despesas de capital</v>
      </c>
      <c r="L706" s="129" t="s">
        <v>94</v>
      </c>
      <c r="M706" s="52"/>
      <c r="N706" s="92">
        <v>10</v>
      </c>
      <c r="O706" s="163" t="s">
        <v>2968</v>
      </c>
      <c r="P706" s="163" t="s">
        <v>46</v>
      </c>
      <c r="Q706" s="163" t="s">
        <v>3872</v>
      </c>
      <c r="R706" s="163">
        <v>120</v>
      </c>
      <c r="S706" s="163" t="s">
        <v>3926</v>
      </c>
      <c r="T706" s="217">
        <v>47.41</v>
      </c>
      <c r="U706" s="218">
        <v>1</v>
      </c>
      <c r="V706" s="58">
        <f t="shared" ref="V706:V769" si="54">R706*T706*U706</f>
        <v>5689.2</v>
      </c>
      <c r="W706" s="52" t="s">
        <v>49</v>
      </c>
      <c r="X706" s="291" t="s">
        <v>4681</v>
      </c>
      <c r="Y706" s="291" t="s">
        <v>4660</v>
      </c>
      <c r="Z706" s="291" t="s">
        <v>4661</v>
      </c>
      <c r="AA706" s="52">
        <v>0</v>
      </c>
      <c r="AB706" s="52">
        <v>0</v>
      </c>
      <c r="AC706" s="52">
        <v>0</v>
      </c>
      <c r="AD706" s="21">
        <v>0</v>
      </c>
      <c r="AE706" s="54">
        <v>0</v>
      </c>
      <c r="AF706" s="315">
        <f t="shared" si="53"/>
        <v>0</v>
      </c>
    </row>
    <row r="707" spans="1:32" ht="240" x14ac:dyDescent="0.25">
      <c r="A707" s="107" t="s">
        <v>588</v>
      </c>
      <c r="B707" s="107" t="s">
        <v>2269</v>
      </c>
      <c r="C707" s="52"/>
      <c r="D707" s="107" t="s">
        <v>2300</v>
      </c>
      <c r="E707" s="22" t="str">
        <f t="shared" ref="E707:E770" si="55">CONCATENATE(A707,"PROG")</f>
        <v>SEJUSPPROG</v>
      </c>
      <c r="F707" s="52" t="s">
        <v>729</v>
      </c>
      <c r="G707" s="22" t="str">
        <f t="shared" si="52"/>
        <v>P130SEJUSP</v>
      </c>
      <c r="H707" s="129" t="s">
        <v>1183</v>
      </c>
      <c r="I707" s="22" t="s">
        <v>16</v>
      </c>
      <c r="J707" s="92" t="s">
        <v>303</v>
      </c>
      <c r="K707" s="22" t="str">
        <f>VLOOKUP(CONCATENATE(A707,LEFT(J707,4)),AGRUPAMENTO!$D$2:$E$6783,2,FALSE)</f>
        <v>Demais despesas de capital</v>
      </c>
      <c r="L707" s="129" t="s">
        <v>94</v>
      </c>
      <c r="M707" s="52"/>
      <c r="N707" s="92">
        <v>10</v>
      </c>
      <c r="O707" s="163" t="s">
        <v>2969</v>
      </c>
      <c r="P707" s="163" t="s">
        <v>46</v>
      </c>
      <c r="Q707" s="163" t="s">
        <v>3872</v>
      </c>
      <c r="R707" s="163">
        <v>100</v>
      </c>
      <c r="S707" s="163" t="s">
        <v>3918</v>
      </c>
      <c r="T707" s="217">
        <v>90</v>
      </c>
      <c r="U707" s="218">
        <v>1</v>
      </c>
      <c r="V707" s="58">
        <f t="shared" si="54"/>
        <v>9000</v>
      </c>
      <c r="W707" s="52" t="s">
        <v>49</v>
      </c>
      <c r="X707" s="291" t="s">
        <v>4681</v>
      </c>
      <c r="Y707" s="291" t="s">
        <v>4660</v>
      </c>
      <c r="Z707" s="291" t="s">
        <v>4661</v>
      </c>
      <c r="AA707" s="52">
        <v>0</v>
      </c>
      <c r="AB707" s="52">
        <v>0</v>
      </c>
      <c r="AC707" s="52">
        <v>0</v>
      </c>
      <c r="AD707" s="21">
        <v>0</v>
      </c>
      <c r="AE707" s="54">
        <v>0</v>
      </c>
      <c r="AF707" s="315">
        <f t="shared" si="53"/>
        <v>0</v>
      </c>
    </row>
    <row r="708" spans="1:32" ht="240" x14ac:dyDescent="0.25">
      <c r="A708" s="107" t="s">
        <v>588</v>
      </c>
      <c r="B708" s="107" t="s">
        <v>2269</v>
      </c>
      <c r="C708" s="52"/>
      <c r="D708" s="107" t="s">
        <v>2300</v>
      </c>
      <c r="E708" s="22" t="str">
        <f t="shared" si="55"/>
        <v>SEJUSPPROG</v>
      </c>
      <c r="F708" s="52" t="s">
        <v>729</v>
      </c>
      <c r="G708" s="22" t="str">
        <f t="shared" ref="G708:G771" si="56">CONCATENATE("P",(LEFT(F708,3)),A708)</f>
        <v>P130SEJUSP</v>
      </c>
      <c r="H708" s="129" t="s">
        <v>1183</v>
      </c>
      <c r="I708" s="22" t="s">
        <v>16</v>
      </c>
      <c r="J708" s="92" t="s">
        <v>303</v>
      </c>
      <c r="K708" s="22" t="str">
        <f>VLOOKUP(CONCATENATE(A708,LEFT(J708,4)),AGRUPAMENTO!$D$2:$E$6783,2,FALSE)</f>
        <v>Demais despesas de capital</v>
      </c>
      <c r="L708" s="129" t="s">
        <v>94</v>
      </c>
      <c r="M708" s="52"/>
      <c r="N708" s="92">
        <v>10</v>
      </c>
      <c r="O708" s="163" t="s">
        <v>2970</v>
      </c>
      <c r="P708" s="163" t="s">
        <v>46</v>
      </c>
      <c r="Q708" s="163" t="s">
        <v>3872</v>
      </c>
      <c r="R708" s="163">
        <v>100</v>
      </c>
      <c r="S708" s="163" t="s">
        <v>3918</v>
      </c>
      <c r="T708" s="217">
        <v>460</v>
      </c>
      <c r="U708" s="218">
        <v>1</v>
      </c>
      <c r="V708" s="58">
        <f t="shared" si="54"/>
        <v>46000</v>
      </c>
      <c r="W708" s="52" t="s">
        <v>49</v>
      </c>
      <c r="X708" s="291" t="s">
        <v>4681</v>
      </c>
      <c r="Y708" s="291" t="s">
        <v>4660</v>
      </c>
      <c r="Z708" s="291" t="s">
        <v>4661</v>
      </c>
      <c r="AA708" s="52">
        <v>0</v>
      </c>
      <c r="AB708" s="52">
        <v>0</v>
      </c>
      <c r="AC708" s="52">
        <v>0</v>
      </c>
      <c r="AD708" s="21">
        <v>0</v>
      </c>
      <c r="AE708" s="54">
        <v>0</v>
      </c>
      <c r="AF708" s="315">
        <f t="shared" ref="AF708:AF771" si="57">AE708*V708</f>
        <v>0</v>
      </c>
    </row>
    <row r="709" spans="1:32" ht="240" x14ac:dyDescent="0.25">
      <c r="A709" s="107" t="s">
        <v>588</v>
      </c>
      <c r="B709" s="107" t="s">
        <v>2269</v>
      </c>
      <c r="C709" s="52"/>
      <c r="D709" s="107" t="s">
        <v>2300</v>
      </c>
      <c r="E709" s="22" t="str">
        <f t="shared" si="55"/>
        <v>SEJUSPPROG</v>
      </c>
      <c r="F709" s="52" t="s">
        <v>729</v>
      </c>
      <c r="G709" s="22" t="str">
        <f t="shared" si="56"/>
        <v>P130SEJUSP</v>
      </c>
      <c r="H709" s="129" t="s">
        <v>1183</v>
      </c>
      <c r="I709" s="22" t="s">
        <v>16</v>
      </c>
      <c r="J709" s="92" t="s">
        <v>303</v>
      </c>
      <c r="K709" s="22" t="str">
        <f>VLOOKUP(CONCATENATE(A709,LEFT(J709,4)),AGRUPAMENTO!$D$2:$E$6783,2,FALSE)</f>
        <v>Demais despesas de capital</v>
      </c>
      <c r="L709" s="129" t="s">
        <v>94</v>
      </c>
      <c r="M709" s="52"/>
      <c r="N709" s="92">
        <v>10</v>
      </c>
      <c r="O709" s="163" t="s">
        <v>2971</v>
      </c>
      <c r="P709" s="163" t="s">
        <v>46</v>
      </c>
      <c r="Q709" s="163" t="s">
        <v>3872</v>
      </c>
      <c r="R709" s="163">
        <v>100</v>
      </c>
      <c r="S709" s="163" t="s">
        <v>3926</v>
      </c>
      <c r="T709" s="217">
        <v>331.8</v>
      </c>
      <c r="U709" s="218">
        <v>1</v>
      </c>
      <c r="V709" s="58">
        <f t="shared" si="54"/>
        <v>33180</v>
      </c>
      <c r="W709" s="52" t="s">
        <v>49</v>
      </c>
      <c r="X709" s="291" t="s">
        <v>4681</v>
      </c>
      <c r="Y709" s="291" t="s">
        <v>4660</v>
      </c>
      <c r="Z709" s="291" t="s">
        <v>4661</v>
      </c>
      <c r="AA709" s="52">
        <v>0</v>
      </c>
      <c r="AB709" s="52">
        <v>0</v>
      </c>
      <c r="AC709" s="52">
        <v>0</v>
      </c>
      <c r="AD709" s="21">
        <v>0</v>
      </c>
      <c r="AE709" s="54">
        <v>0</v>
      </c>
      <c r="AF709" s="315">
        <f t="shared" si="57"/>
        <v>0</v>
      </c>
    </row>
    <row r="710" spans="1:32" ht="240" x14ac:dyDescent="0.25">
      <c r="A710" s="107" t="s">
        <v>588</v>
      </c>
      <c r="B710" s="107" t="s">
        <v>2269</v>
      </c>
      <c r="C710" s="52"/>
      <c r="D710" s="107" t="s">
        <v>2300</v>
      </c>
      <c r="E710" s="22" t="str">
        <f t="shared" si="55"/>
        <v>SEJUSPPROG</v>
      </c>
      <c r="F710" s="52" t="s">
        <v>729</v>
      </c>
      <c r="G710" s="22" t="str">
        <f t="shared" si="56"/>
        <v>P130SEJUSP</v>
      </c>
      <c r="H710" s="129" t="s">
        <v>1183</v>
      </c>
      <c r="I710" s="22" t="s">
        <v>16</v>
      </c>
      <c r="J710" s="92" t="s">
        <v>303</v>
      </c>
      <c r="K710" s="22" t="str">
        <f>VLOOKUP(CONCATENATE(A710,LEFT(J710,4)),AGRUPAMENTO!$D$2:$E$6783,2,FALSE)</f>
        <v>Demais despesas de capital</v>
      </c>
      <c r="L710" s="129" t="s">
        <v>94</v>
      </c>
      <c r="M710" s="52"/>
      <c r="N710" s="92">
        <v>10</v>
      </c>
      <c r="O710" s="163" t="s">
        <v>2972</v>
      </c>
      <c r="P710" s="163" t="s">
        <v>46</v>
      </c>
      <c r="Q710" s="163" t="s">
        <v>3872</v>
      </c>
      <c r="R710" s="163">
        <v>100</v>
      </c>
      <c r="S710" s="163" t="s">
        <v>3926</v>
      </c>
      <c r="T710" s="217">
        <v>185</v>
      </c>
      <c r="U710" s="218">
        <v>1</v>
      </c>
      <c r="V710" s="58">
        <f t="shared" si="54"/>
        <v>18500</v>
      </c>
      <c r="W710" s="52" t="s">
        <v>49</v>
      </c>
      <c r="X710" s="291" t="s">
        <v>4681</v>
      </c>
      <c r="Y710" s="291" t="s">
        <v>4660</v>
      </c>
      <c r="Z710" s="291" t="s">
        <v>4661</v>
      </c>
      <c r="AA710" s="52">
        <v>0</v>
      </c>
      <c r="AB710" s="52">
        <v>0</v>
      </c>
      <c r="AC710" s="52">
        <v>0</v>
      </c>
      <c r="AD710" s="21">
        <v>0</v>
      </c>
      <c r="AE710" s="54">
        <v>0</v>
      </c>
      <c r="AF710" s="315">
        <f t="shared" si="57"/>
        <v>0</v>
      </c>
    </row>
    <row r="711" spans="1:32" ht="240" x14ac:dyDescent="0.25">
      <c r="A711" s="107" t="s">
        <v>588</v>
      </c>
      <c r="B711" s="107" t="s">
        <v>2269</v>
      </c>
      <c r="C711" s="52"/>
      <c r="D711" s="107" t="s">
        <v>2300</v>
      </c>
      <c r="E711" s="22" t="str">
        <f t="shared" si="55"/>
        <v>SEJUSPPROG</v>
      </c>
      <c r="F711" s="52" t="s">
        <v>729</v>
      </c>
      <c r="G711" s="22" t="str">
        <f t="shared" si="56"/>
        <v>P130SEJUSP</v>
      </c>
      <c r="H711" s="129" t="s">
        <v>1183</v>
      </c>
      <c r="I711" s="22" t="s">
        <v>16</v>
      </c>
      <c r="J711" s="92" t="s">
        <v>303</v>
      </c>
      <c r="K711" s="22" t="str">
        <f>VLOOKUP(CONCATENATE(A711,LEFT(J711,4)),AGRUPAMENTO!$D$2:$E$6783,2,FALSE)</f>
        <v>Demais despesas de capital</v>
      </c>
      <c r="L711" s="129" t="s">
        <v>94</v>
      </c>
      <c r="M711" s="52"/>
      <c r="N711" s="92">
        <v>10</v>
      </c>
      <c r="O711" s="163" t="s">
        <v>2973</v>
      </c>
      <c r="P711" s="163" t="s">
        <v>46</v>
      </c>
      <c r="Q711" s="163" t="s">
        <v>3872</v>
      </c>
      <c r="R711" s="163">
        <v>96</v>
      </c>
      <c r="S711" s="163" t="s">
        <v>3926</v>
      </c>
      <c r="T711" s="217">
        <v>139.9</v>
      </c>
      <c r="U711" s="218">
        <v>1</v>
      </c>
      <c r="V711" s="58">
        <f t="shared" si="54"/>
        <v>13430.400000000001</v>
      </c>
      <c r="W711" s="52" t="s">
        <v>49</v>
      </c>
      <c r="X711" s="291" t="s">
        <v>4681</v>
      </c>
      <c r="Y711" s="291" t="s">
        <v>4660</v>
      </c>
      <c r="Z711" s="291" t="s">
        <v>4661</v>
      </c>
      <c r="AA711" s="52">
        <v>0</v>
      </c>
      <c r="AB711" s="52">
        <v>0</v>
      </c>
      <c r="AC711" s="52">
        <v>0</v>
      </c>
      <c r="AD711" s="21">
        <v>0</v>
      </c>
      <c r="AE711" s="54">
        <v>0</v>
      </c>
      <c r="AF711" s="315">
        <f t="shared" si="57"/>
        <v>0</v>
      </c>
    </row>
    <row r="712" spans="1:32" ht="390" x14ac:dyDescent="0.25">
      <c r="A712" s="107" t="s">
        <v>588</v>
      </c>
      <c r="B712" s="107" t="s">
        <v>2269</v>
      </c>
      <c r="C712" s="52"/>
      <c r="D712" s="107" t="s">
        <v>2300</v>
      </c>
      <c r="E712" s="22" t="str">
        <f t="shared" si="55"/>
        <v>SEJUSPPROG</v>
      </c>
      <c r="F712" s="52" t="s">
        <v>729</v>
      </c>
      <c r="G712" s="22" t="str">
        <f t="shared" si="56"/>
        <v>P130SEJUSP</v>
      </c>
      <c r="H712" s="129" t="s">
        <v>1183</v>
      </c>
      <c r="I712" s="22" t="s">
        <v>16</v>
      </c>
      <c r="J712" s="92" t="s">
        <v>303</v>
      </c>
      <c r="K712" s="22" t="str">
        <f>VLOOKUP(CONCATENATE(A712,LEFT(J712,4)),AGRUPAMENTO!$D$2:$E$6783,2,FALSE)</f>
        <v>Demais despesas de capital</v>
      </c>
      <c r="L712" s="129" t="s">
        <v>94</v>
      </c>
      <c r="M712" s="52"/>
      <c r="N712" s="92">
        <v>10</v>
      </c>
      <c r="O712" s="163" t="s">
        <v>2974</v>
      </c>
      <c r="P712" s="163" t="s">
        <v>46</v>
      </c>
      <c r="Q712" s="163" t="s">
        <v>3872</v>
      </c>
      <c r="R712" s="163">
        <v>100</v>
      </c>
      <c r="S712" s="163" t="s">
        <v>3926</v>
      </c>
      <c r="T712" s="217">
        <v>202.94</v>
      </c>
      <c r="U712" s="218">
        <v>1</v>
      </c>
      <c r="V712" s="58">
        <f t="shared" si="54"/>
        <v>20294</v>
      </c>
      <c r="W712" s="52" t="s">
        <v>49</v>
      </c>
      <c r="X712" s="291" t="s">
        <v>4681</v>
      </c>
      <c r="Y712" s="291" t="s">
        <v>4660</v>
      </c>
      <c r="Z712" s="291" t="s">
        <v>4661</v>
      </c>
      <c r="AA712" s="52">
        <v>0</v>
      </c>
      <c r="AB712" s="52">
        <v>0</v>
      </c>
      <c r="AC712" s="52">
        <v>0</v>
      </c>
      <c r="AD712" s="21">
        <v>0</v>
      </c>
      <c r="AE712" s="54">
        <v>0</v>
      </c>
      <c r="AF712" s="315">
        <f t="shared" si="57"/>
        <v>0</v>
      </c>
    </row>
    <row r="713" spans="1:32" ht="240" x14ac:dyDescent="0.25">
      <c r="A713" s="107" t="s">
        <v>588</v>
      </c>
      <c r="B713" s="107" t="s">
        <v>2269</v>
      </c>
      <c r="C713" s="52"/>
      <c r="D713" s="107" t="s">
        <v>2300</v>
      </c>
      <c r="E713" s="22" t="str">
        <f t="shared" si="55"/>
        <v>SEJUSPPROG</v>
      </c>
      <c r="F713" s="52" t="s">
        <v>729</v>
      </c>
      <c r="G713" s="22" t="str">
        <f t="shared" si="56"/>
        <v>P130SEJUSP</v>
      </c>
      <c r="H713" s="129" t="s">
        <v>1183</v>
      </c>
      <c r="I713" s="22" t="s">
        <v>16</v>
      </c>
      <c r="J713" s="92" t="s">
        <v>303</v>
      </c>
      <c r="K713" s="22" t="str">
        <f>VLOOKUP(CONCATENATE(A713,LEFT(J713,4)),AGRUPAMENTO!$D$2:$E$6783,2,FALSE)</f>
        <v>Demais despesas de capital</v>
      </c>
      <c r="L713" s="129" t="s">
        <v>94</v>
      </c>
      <c r="M713" s="52"/>
      <c r="N713" s="92">
        <v>10</v>
      </c>
      <c r="O713" s="163" t="s">
        <v>2975</v>
      </c>
      <c r="P713" s="163" t="s">
        <v>46</v>
      </c>
      <c r="Q713" s="163" t="s">
        <v>3872</v>
      </c>
      <c r="R713" s="163">
        <v>100</v>
      </c>
      <c r="S713" s="163" t="s">
        <v>3926</v>
      </c>
      <c r="T713" s="217">
        <v>592.99</v>
      </c>
      <c r="U713" s="218">
        <v>1</v>
      </c>
      <c r="V713" s="58">
        <f t="shared" si="54"/>
        <v>59299</v>
      </c>
      <c r="W713" s="52" t="s">
        <v>49</v>
      </c>
      <c r="X713" s="291" t="s">
        <v>4681</v>
      </c>
      <c r="Y713" s="291" t="s">
        <v>4660</v>
      </c>
      <c r="Z713" s="291" t="s">
        <v>4661</v>
      </c>
      <c r="AA713" s="52">
        <v>0</v>
      </c>
      <c r="AB713" s="52">
        <v>0</v>
      </c>
      <c r="AC713" s="52">
        <v>0</v>
      </c>
      <c r="AD713" s="21">
        <v>0</v>
      </c>
      <c r="AE713" s="54">
        <v>0</v>
      </c>
      <c r="AF713" s="315">
        <f t="shared" si="57"/>
        <v>0</v>
      </c>
    </row>
    <row r="714" spans="1:32" ht="240" x14ac:dyDescent="0.25">
      <c r="A714" s="107" t="s">
        <v>588</v>
      </c>
      <c r="B714" s="107" t="s">
        <v>2269</v>
      </c>
      <c r="C714" s="52"/>
      <c r="D714" s="107" t="s">
        <v>2300</v>
      </c>
      <c r="E714" s="22" t="str">
        <f t="shared" si="55"/>
        <v>SEJUSPPROG</v>
      </c>
      <c r="F714" s="52" t="s">
        <v>729</v>
      </c>
      <c r="G714" s="22" t="str">
        <f t="shared" si="56"/>
        <v>P130SEJUSP</v>
      </c>
      <c r="H714" s="129" t="s">
        <v>1183</v>
      </c>
      <c r="I714" s="22" t="s">
        <v>16</v>
      </c>
      <c r="J714" s="92" t="s">
        <v>303</v>
      </c>
      <c r="K714" s="22" t="str">
        <f>VLOOKUP(CONCATENATE(A714,LEFT(J714,4)),AGRUPAMENTO!$D$2:$E$6783,2,FALSE)</f>
        <v>Demais despesas de capital</v>
      </c>
      <c r="L714" s="129" t="s">
        <v>94</v>
      </c>
      <c r="M714" s="52"/>
      <c r="N714" s="92">
        <v>10</v>
      </c>
      <c r="O714" s="163" t="s">
        <v>2976</v>
      </c>
      <c r="P714" s="163" t="s">
        <v>46</v>
      </c>
      <c r="Q714" s="163" t="s">
        <v>3872</v>
      </c>
      <c r="R714" s="163">
        <v>100</v>
      </c>
      <c r="S714" s="163" t="s">
        <v>3926</v>
      </c>
      <c r="T714" s="217">
        <v>330</v>
      </c>
      <c r="U714" s="218">
        <v>1</v>
      </c>
      <c r="V714" s="58">
        <f t="shared" si="54"/>
        <v>33000</v>
      </c>
      <c r="W714" s="52" t="s">
        <v>49</v>
      </c>
      <c r="X714" s="291" t="s">
        <v>4681</v>
      </c>
      <c r="Y714" s="291" t="s">
        <v>4660</v>
      </c>
      <c r="Z714" s="291" t="s">
        <v>4661</v>
      </c>
      <c r="AA714" s="52">
        <v>0</v>
      </c>
      <c r="AB714" s="52">
        <v>0</v>
      </c>
      <c r="AC714" s="52">
        <v>0</v>
      </c>
      <c r="AD714" s="21">
        <v>0</v>
      </c>
      <c r="AE714" s="54">
        <v>0</v>
      </c>
      <c r="AF714" s="315">
        <f t="shared" si="57"/>
        <v>0</v>
      </c>
    </row>
    <row r="715" spans="1:32" ht="240" x14ac:dyDescent="0.25">
      <c r="A715" s="107" t="s">
        <v>588</v>
      </c>
      <c r="B715" s="107" t="s">
        <v>2269</v>
      </c>
      <c r="C715" s="52"/>
      <c r="D715" s="107" t="s">
        <v>2300</v>
      </c>
      <c r="E715" s="22" t="str">
        <f t="shared" si="55"/>
        <v>SEJUSPPROG</v>
      </c>
      <c r="F715" s="52" t="s">
        <v>729</v>
      </c>
      <c r="G715" s="22" t="str">
        <f t="shared" si="56"/>
        <v>P130SEJUSP</v>
      </c>
      <c r="H715" s="129" t="s">
        <v>1183</v>
      </c>
      <c r="I715" s="22" t="s">
        <v>16</v>
      </c>
      <c r="J715" s="92" t="s">
        <v>303</v>
      </c>
      <c r="K715" s="22" t="str">
        <f>VLOOKUP(CONCATENATE(A715,LEFT(J715,4)),AGRUPAMENTO!$D$2:$E$6783,2,FALSE)</f>
        <v>Demais despesas de capital</v>
      </c>
      <c r="L715" s="129" t="s">
        <v>94</v>
      </c>
      <c r="M715" s="52"/>
      <c r="N715" s="92">
        <v>10</v>
      </c>
      <c r="O715" s="163" t="s">
        <v>2977</v>
      </c>
      <c r="P715" s="163" t="s">
        <v>46</v>
      </c>
      <c r="Q715" s="163" t="s">
        <v>3872</v>
      </c>
      <c r="R715" s="163">
        <v>100</v>
      </c>
      <c r="S715" s="163" t="s">
        <v>3926</v>
      </c>
      <c r="T715" s="217">
        <v>144.30000000000001</v>
      </c>
      <c r="U715" s="218">
        <v>1</v>
      </c>
      <c r="V715" s="58">
        <f t="shared" si="54"/>
        <v>14430.000000000002</v>
      </c>
      <c r="W715" s="52" t="s">
        <v>49</v>
      </c>
      <c r="X715" s="291" t="s">
        <v>4681</v>
      </c>
      <c r="Y715" s="291" t="s">
        <v>4660</v>
      </c>
      <c r="Z715" s="291" t="s">
        <v>4661</v>
      </c>
      <c r="AA715" s="52">
        <v>0</v>
      </c>
      <c r="AB715" s="52">
        <v>0</v>
      </c>
      <c r="AC715" s="52">
        <v>0</v>
      </c>
      <c r="AD715" s="21">
        <v>0</v>
      </c>
      <c r="AE715" s="54">
        <v>0</v>
      </c>
      <c r="AF715" s="315">
        <f t="shared" si="57"/>
        <v>0</v>
      </c>
    </row>
    <row r="716" spans="1:32" ht="240" x14ac:dyDescent="0.25">
      <c r="A716" s="107" t="s">
        <v>588</v>
      </c>
      <c r="B716" s="107" t="s">
        <v>2269</v>
      </c>
      <c r="C716" s="52"/>
      <c r="D716" s="107" t="s">
        <v>2300</v>
      </c>
      <c r="E716" s="22" t="str">
        <f t="shared" si="55"/>
        <v>SEJUSPPROG</v>
      </c>
      <c r="F716" s="52" t="s">
        <v>729</v>
      </c>
      <c r="G716" s="22" t="str">
        <f t="shared" si="56"/>
        <v>P130SEJUSP</v>
      </c>
      <c r="H716" s="129" t="s">
        <v>1183</v>
      </c>
      <c r="I716" s="22" t="s">
        <v>16</v>
      </c>
      <c r="J716" s="92" t="s">
        <v>303</v>
      </c>
      <c r="K716" s="22" t="str">
        <f>VLOOKUP(CONCATENATE(A716,LEFT(J716,4)),AGRUPAMENTO!$D$2:$E$6783,2,FALSE)</f>
        <v>Demais despesas de capital</v>
      </c>
      <c r="L716" s="129" t="s">
        <v>94</v>
      </c>
      <c r="M716" s="52"/>
      <c r="N716" s="92">
        <v>10</v>
      </c>
      <c r="O716" s="163" t="s">
        <v>2978</v>
      </c>
      <c r="P716" s="163" t="s">
        <v>46</v>
      </c>
      <c r="Q716" s="163" t="s">
        <v>3872</v>
      </c>
      <c r="R716" s="163">
        <v>36</v>
      </c>
      <c r="S716" s="163" t="s">
        <v>3926</v>
      </c>
      <c r="T716" s="217">
        <v>1426.9</v>
      </c>
      <c r="U716" s="218">
        <v>1</v>
      </c>
      <c r="V716" s="58">
        <f t="shared" si="54"/>
        <v>51368.4</v>
      </c>
      <c r="W716" s="290" t="s">
        <v>68</v>
      </c>
      <c r="X716" s="288" t="s">
        <v>4657</v>
      </c>
      <c r="Y716" s="291" t="s">
        <v>4660</v>
      </c>
      <c r="Z716" s="291" t="s">
        <v>4661</v>
      </c>
      <c r="AA716" s="292">
        <v>1</v>
      </c>
      <c r="AB716" s="92">
        <v>2</v>
      </c>
      <c r="AC716" s="92">
        <v>11</v>
      </c>
      <c r="AD716" s="21">
        <v>0</v>
      </c>
      <c r="AE716" s="54">
        <v>0</v>
      </c>
      <c r="AF716" s="315">
        <f t="shared" si="57"/>
        <v>0</v>
      </c>
    </row>
    <row r="717" spans="1:32" ht="180" x14ac:dyDescent="0.25">
      <c r="A717" s="107" t="s">
        <v>588</v>
      </c>
      <c r="B717" s="107" t="s">
        <v>2269</v>
      </c>
      <c r="C717" s="52"/>
      <c r="D717" s="107" t="s">
        <v>2300</v>
      </c>
      <c r="E717" s="22" t="str">
        <f t="shared" si="55"/>
        <v>SEJUSPPROG</v>
      </c>
      <c r="F717" s="52" t="s">
        <v>729</v>
      </c>
      <c r="G717" s="22" t="str">
        <f t="shared" si="56"/>
        <v>P130SEJUSP</v>
      </c>
      <c r="H717" s="129" t="s">
        <v>1183</v>
      </c>
      <c r="I717" s="22" t="s">
        <v>16</v>
      </c>
      <c r="J717" s="92" t="s">
        <v>1677</v>
      </c>
      <c r="K717" s="22" t="str">
        <f>VLOOKUP(CONCATENATE(A717,LEFT(J717,4)),AGRUPAMENTO!$D$2:$E$6783,2,FALSE)</f>
        <v>Aquisições de itens de TIC</v>
      </c>
      <c r="L717" s="129" t="s">
        <v>94</v>
      </c>
      <c r="M717" s="52"/>
      <c r="N717" s="92">
        <v>10</v>
      </c>
      <c r="O717" s="163" t="s">
        <v>2979</v>
      </c>
      <c r="P717" s="163" t="s">
        <v>46</v>
      </c>
      <c r="Q717" s="163" t="s">
        <v>3872</v>
      </c>
      <c r="R717" s="163">
        <v>168</v>
      </c>
      <c r="S717" s="163" t="s">
        <v>3923</v>
      </c>
      <c r="T717" s="217">
        <v>2990</v>
      </c>
      <c r="U717" s="218">
        <v>1</v>
      </c>
      <c r="V717" s="58">
        <f t="shared" si="54"/>
        <v>502320</v>
      </c>
      <c r="W717" s="290" t="s">
        <v>68</v>
      </c>
      <c r="X717" s="288" t="s">
        <v>4657</v>
      </c>
      <c r="Y717" s="291" t="s">
        <v>4665</v>
      </c>
      <c r="Z717" s="291" t="s">
        <v>4666</v>
      </c>
      <c r="AA717" s="292">
        <v>1</v>
      </c>
      <c r="AB717" s="92">
        <v>2</v>
      </c>
      <c r="AC717" s="92">
        <v>11</v>
      </c>
      <c r="AD717" s="21">
        <v>0</v>
      </c>
      <c r="AE717" s="54">
        <v>0</v>
      </c>
      <c r="AF717" s="315">
        <f t="shared" si="57"/>
        <v>0</v>
      </c>
    </row>
    <row r="718" spans="1:32" ht="240" x14ac:dyDescent="0.25">
      <c r="A718" s="107" t="s">
        <v>588</v>
      </c>
      <c r="B718" s="107" t="s">
        <v>2269</v>
      </c>
      <c r="C718" s="52"/>
      <c r="D718" s="107" t="s">
        <v>2300</v>
      </c>
      <c r="E718" s="22" t="str">
        <f t="shared" si="55"/>
        <v>SEJUSPPROG</v>
      </c>
      <c r="F718" s="52" t="s">
        <v>729</v>
      </c>
      <c r="G718" s="22" t="str">
        <f t="shared" si="56"/>
        <v>P130SEJUSP</v>
      </c>
      <c r="H718" s="129" t="s">
        <v>1183</v>
      </c>
      <c r="I718" s="22" t="s">
        <v>16</v>
      </c>
      <c r="J718" s="92" t="s">
        <v>303</v>
      </c>
      <c r="K718" s="22" t="str">
        <f>VLOOKUP(CONCATENATE(A718,LEFT(J718,4)),AGRUPAMENTO!$D$2:$E$6783,2,FALSE)</f>
        <v>Demais despesas de capital</v>
      </c>
      <c r="L718" s="129" t="s">
        <v>94</v>
      </c>
      <c r="M718" s="52"/>
      <c r="N718" s="92">
        <v>10</v>
      </c>
      <c r="O718" s="163" t="s">
        <v>2980</v>
      </c>
      <c r="P718" s="163" t="s">
        <v>46</v>
      </c>
      <c r="Q718" s="163" t="s">
        <v>3872</v>
      </c>
      <c r="R718" s="163">
        <v>168</v>
      </c>
      <c r="S718" s="163" t="s">
        <v>3918</v>
      </c>
      <c r="T718" s="217">
        <v>460</v>
      </c>
      <c r="U718" s="218">
        <v>1</v>
      </c>
      <c r="V718" s="58">
        <f t="shared" si="54"/>
        <v>77280</v>
      </c>
      <c r="W718" s="52" t="s">
        <v>49</v>
      </c>
      <c r="X718" s="291" t="s">
        <v>4681</v>
      </c>
      <c r="Y718" s="291" t="s">
        <v>4660</v>
      </c>
      <c r="Z718" s="291" t="s">
        <v>4661</v>
      </c>
      <c r="AA718" s="52">
        <v>0</v>
      </c>
      <c r="AB718" s="52">
        <v>0</v>
      </c>
      <c r="AC718" s="52">
        <v>0</v>
      </c>
      <c r="AD718" s="21">
        <v>0</v>
      </c>
      <c r="AE718" s="54">
        <v>0</v>
      </c>
      <c r="AF718" s="315">
        <f t="shared" si="57"/>
        <v>0</v>
      </c>
    </row>
    <row r="719" spans="1:32" ht="240" x14ac:dyDescent="0.25">
      <c r="A719" s="107" t="s">
        <v>588</v>
      </c>
      <c r="B719" s="107" t="s">
        <v>2269</v>
      </c>
      <c r="C719" s="52"/>
      <c r="D719" s="107" t="s">
        <v>2300</v>
      </c>
      <c r="E719" s="22" t="str">
        <f t="shared" si="55"/>
        <v>SEJUSPPROG</v>
      </c>
      <c r="F719" s="52" t="s">
        <v>729</v>
      </c>
      <c r="G719" s="22" t="str">
        <f t="shared" si="56"/>
        <v>P130SEJUSP</v>
      </c>
      <c r="H719" s="129" t="s">
        <v>1183</v>
      </c>
      <c r="I719" s="22" t="s">
        <v>16</v>
      </c>
      <c r="J719" s="92" t="s">
        <v>303</v>
      </c>
      <c r="K719" s="22" t="str">
        <f>VLOOKUP(CONCATENATE(A719,LEFT(J719,4)),AGRUPAMENTO!$D$2:$E$6783,2,FALSE)</f>
        <v>Demais despesas de capital</v>
      </c>
      <c r="L719" s="129" t="s">
        <v>94</v>
      </c>
      <c r="M719" s="52"/>
      <c r="N719" s="92">
        <v>10</v>
      </c>
      <c r="O719" s="163" t="s">
        <v>2981</v>
      </c>
      <c r="P719" s="163" t="s">
        <v>46</v>
      </c>
      <c r="Q719" s="163" t="s">
        <v>3872</v>
      </c>
      <c r="R719" s="163">
        <v>36</v>
      </c>
      <c r="S719" s="163" t="s">
        <v>3926</v>
      </c>
      <c r="T719" s="217">
        <v>870</v>
      </c>
      <c r="U719" s="218">
        <v>1</v>
      </c>
      <c r="V719" s="58">
        <f t="shared" si="54"/>
        <v>31320</v>
      </c>
      <c r="W719" s="52" t="s">
        <v>49</v>
      </c>
      <c r="X719" s="291" t="s">
        <v>4681</v>
      </c>
      <c r="Y719" s="291" t="s">
        <v>4660</v>
      </c>
      <c r="Z719" s="291" t="s">
        <v>4661</v>
      </c>
      <c r="AA719" s="52">
        <v>0</v>
      </c>
      <c r="AB719" s="52">
        <v>0</v>
      </c>
      <c r="AC719" s="52">
        <v>0</v>
      </c>
      <c r="AD719" s="21">
        <v>0</v>
      </c>
      <c r="AE719" s="54">
        <v>0</v>
      </c>
      <c r="AF719" s="315">
        <f t="shared" si="57"/>
        <v>0</v>
      </c>
    </row>
    <row r="720" spans="1:32" ht="240" x14ac:dyDescent="0.25">
      <c r="A720" s="107" t="s">
        <v>588</v>
      </c>
      <c r="B720" s="107" t="s">
        <v>2269</v>
      </c>
      <c r="C720" s="52"/>
      <c r="D720" s="107" t="s">
        <v>2300</v>
      </c>
      <c r="E720" s="22" t="str">
        <f t="shared" si="55"/>
        <v>SEJUSPPROG</v>
      </c>
      <c r="F720" s="52" t="s">
        <v>729</v>
      </c>
      <c r="G720" s="22" t="str">
        <f t="shared" si="56"/>
        <v>P130SEJUSP</v>
      </c>
      <c r="H720" s="129" t="s">
        <v>1183</v>
      </c>
      <c r="I720" s="22" t="s">
        <v>16</v>
      </c>
      <c r="J720" s="92" t="s">
        <v>303</v>
      </c>
      <c r="K720" s="22" t="str">
        <f>VLOOKUP(CONCATENATE(A720,LEFT(J720,4)),AGRUPAMENTO!$D$2:$E$6783,2,FALSE)</f>
        <v>Demais despesas de capital</v>
      </c>
      <c r="L720" s="129" t="s">
        <v>94</v>
      </c>
      <c r="M720" s="52"/>
      <c r="N720" s="92">
        <v>10</v>
      </c>
      <c r="O720" s="163" t="s">
        <v>2982</v>
      </c>
      <c r="P720" s="163" t="s">
        <v>46</v>
      </c>
      <c r="Q720" s="163" t="s">
        <v>3872</v>
      </c>
      <c r="R720" s="163">
        <v>36</v>
      </c>
      <c r="S720" s="163" t="s">
        <v>3926</v>
      </c>
      <c r="T720" s="217">
        <v>896.41</v>
      </c>
      <c r="U720" s="218">
        <v>1</v>
      </c>
      <c r="V720" s="58">
        <f t="shared" si="54"/>
        <v>32270.76</v>
      </c>
      <c r="W720" s="52" t="s">
        <v>49</v>
      </c>
      <c r="X720" s="291" t="s">
        <v>4681</v>
      </c>
      <c r="Y720" s="291" t="s">
        <v>4660</v>
      </c>
      <c r="Z720" s="291" t="s">
        <v>4661</v>
      </c>
      <c r="AA720" s="52">
        <v>0</v>
      </c>
      <c r="AB720" s="52">
        <v>0</v>
      </c>
      <c r="AC720" s="52">
        <v>0</v>
      </c>
      <c r="AD720" s="21">
        <v>0</v>
      </c>
      <c r="AE720" s="54">
        <v>0</v>
      </c>
      <c r="AF720" s="315">
        <f t="shared" si="57"/>
        <v>0</v>
      </c>
    </row>
    <row r="721" spans="1:32" ht="180" x14ac:dyDescent="0.25">
      <c r="A721" s="107" t="s">
        <v>588</v>
      </c>
      <c r="B721" s="107" t="s">
        <v>2269</v>
      </c>
      <c r="C721" s="52"/>
      <c r="D721" s="107" t="s">
        <v>2300</v>
      </c>
      <c r="E721" s="22" t="str">
        <f t="shared" si="55"/>
        <v>SEJUSPPROG</v>
      </c>
      <c r="F721" s="52" t="s">
        <v>729</v>
      </c>
      <c r="G721" s="22" t="str">
        <f t="shared" si="56"/>
        <v>P130SEJUSP</v>
      </c>
      <c r="H721" s="129" t="s">
        <v>1183</v>
      </c>
      <c r="I721" s="22" t="s">
        <v>16</v>
      </c>
      <c r="J721" s="92" t="s">
        <v>2232</v>
      </c>
      <c r="K721" s="22" t="str">
        <f>VLOOKUP(CONCATENATE(A721,LEFT(J721,4)),AGRUPAMENTO!$D$2:$E$6783,2,FALSE)</f>
        <v>Demais despesas de capital</v>
      </c>
      <c r="L721" s="129" t="s">
        <v>94</v>
      </c>
      <c r="M721" s="52"/>
      <c r="N721" s="92">
        <v>10</v>
      </c>
      <c r="O721" s="163" t="s">
        <v>2983</v>
      </c>
      <c r="P721" s="163" t="s">
        <v>46</v>
      </c>
      <c r="Q721" s="163" t="s">
        <v>3872</v>
      </c>
      <c r="R721" s="163">
        <v>168</v>
      </c>
      <c r="S721" s="163" t="s">
        <v>3923</v>
      </c>
      <c r="T721" s="217">
        <v>380</v>
      </c>
      <c r="U721" s="218">
        <v>1</v>
      </c>
      <c r="V721" s="58">
        <f t="shared" si="54"/>
        <v>63840</v>
      </c>
      <c r="W721" s="290" t="s">
        <v>68</v>
      </c>
      <c r="X721" s="288" t="s">
        <v>4657</v>
      </c>
      <c r="Y721" s="291" t="s">
        <v>4658</v>
      </c>
      <c r="Z721" s="291" t="s">
        <v>4659</v>
      </c>
      <c r="AA721" s="292">
        <v>1</v>
      </c>
      <c r="AB721" s="92">
        <v>2</v>
      </c>
      <c r="AC721" s="92">
        <v>11</v>
      </c>
      <c r="AD721" s="21">
        <v>0</v>
      </c>
      <c r="AE721" s="54">
        <v>0</v>
      </c>
      <c r="AF721" s="315">
        <f t="shared" si="57"/>
        <v>0</v>
      </c>
    </row>
    <row r="722" spans="1:32" ht="240" x14ac:dyDescent="0.25">
      <c r="A722" s="107" t="s">
        <v>588</v>
      </c>
      <c r="B722" s="107" t="s">
        <v>2269</v>
      </c>
      <c r="C722" s="52"/>
      <c r="D722" s="107" t="s">
        <v>2300</v>
      </c>
      <c r="E722" s="22" t="str">
        <f t="shared" si="55"/>
        <v>SEJUSPPROG</v>
      </c>
      <c r="F722" s="52" t="s">
        <v>729</v>
      </c>
      <c r="G722" s="22" t="str">
        <f t="shared" si="56"/>
        <v>P130SEJUSP</v>
      </c>
      <c r="H722" s="129" t="s">
        <v>1183</v>
      </c>
      <c r="I722" s="22" t="s">
        <v>16</v>
      </c>
      <c r="J722" s="92" t="s">
        <v>303</v>
      </c>
      <c r="K722" s="22" t="str">
        <f>VLOOKUP(CONCATENATE(A722,LEFT(J722,4)),AGRUPAMENTO!$D$2:$E$6783,2,FALSE)</f>
        <v>Demais despesas de capital</v>
      </c>
      <c r="L722" s="129" t="s">
        <v>94</v>
      </c>
      <c r="M722" s="52"/>
      <c r="N722" s="92">
        <v>10</v>
      </c>
      <c r="O722" s="163" t="s">
        <v>2984</v>
      </c>
      <c r="P722" s="163" t="s">
        <v>46</v>
      </c>
      <c r="Q722" s="163" t="s">
        <v>3872</v>
      </c>
      <c r="R722" s="163">
        <v>6</v>
      </c>
      <c r="S722" s="163" t="s">
        <v>3923</v>
      </c>
      <c r="T722" s="217">
        <v>8928</v>
      </c>
      <c r="U722" s="218">
        <v>1</v>
      </c>
      <c r="V722" s="58">
        <f t="shared" si="54"/>
        <v>53568</v>
      </c>
      <c r="W722" s="290" t="s">
        <v>68</v>
      </c>
      <c r="X722" s="288" t="s">
        <v>4657</v>
      </c>
      <c r="Y722" s="291" t="s">
        <v>4660</v>
      </c>
      <c r="Z722" s="291" t="s">
        <v>4661</v>
      </c>
      <c r="AA722" s="292">
        <v>1</v>
      </c>
      <c r="AB722" s="92">
        <v>2</v>
      </c>
      <c r="AC722" s="92">
        <v>11</v>
      </c>
      <c r="AD722" s="21">
        <v>0</v>
      </c>
      <c r="AE722" s="54">
        <v>0</v>
      </c>
      <c r="AF722" s="315">
        <f t="shared" si="57"/>
        <v>0</v>
      </c>
    </row>
    <row r="723" spans="1:32" ht="180" x14ac:dyDescent="0.25">
      <c r="A723" s="107" t="s">
        <v>588</v>
      </c>
      <c r="B723" s="107" t="s">
        <v>2269</v>
      </c>
      <c r="C723" s="52"/>
      <c r="D723" s="107" t="s">
        <v>2300</v>
      </c>
      <c r="E723" s="22" t="str">
        <f t="shared" si="55"/>
        <v>SEJUSPPROG</v>
      </c>
      <c r="F723" s="52" t="s">
        <v>729</v>
      </c>
      <c r="G723" s="22" t="str">
        <f t="shared" si="56"/>
        <v>P130SEJUSP</v>
      </c>
      <c r="H723" s="129" t="s">
        <v>1183</v>
      </c>
      <c r="I723" s="22" t="s">
        <v>16</v>
      </c>
      <c r="J723" s="92" t="s">
        <v>2237</v>
      </c>
      <c r="K723" s="22" t="str">
        <f>VLOOKUP(CONCATENATE(A723,LEFT(J723,4)),AGRUPAMENTO!$D$2:$E$6783,2,FALSE)</f>
        <v>Demais despesas de capital</v>
      </c>
      <c r="L723" s="129" t="s">
        <v>94</v>
      </c>
      <c r="M723" s="52"/>
      <c r="N723" s="92">
        <v>10</v>
      </c>
      <c r="O723" s="163" t="s">
        <v>2985</v>
      </c>
      <c r="P723" s="163" t="s">
        <v>46</v>
      </c>
      <c r="Q723" s="163" t="s">
        <v>3872</v>
      </c>
      <c r="R723" s="163">
        <v>168</v>
      </c>
      <c r="S723" s="163" t="s">
        <v>3926</v>
      </c>
      <c r="T723" s="217">
        <v>110</v>
      </c>
      <c r="U723" s="218">
        <v>1</v>
      </c>
      <c r="V723" s="58">
        <f t="shared" si="54"/>
        <v>18480</v>
      </c>
      <c r="W723" s="290" t="s">
        <v>68</v>
      </c>
      <c r="X723" s="288" t="s">
        <v>4657</v>
      </c>
      <c r="Y723" s="291" t="s">
        <v>4658</v>
      </c>
      <c r="Z723" s="291" t="s">
        <v>4659</v>
      </c>
      <c r="AA723" s="292">
        <v>1</v>
      </c>
      <c r="AB723" s="92">
        <v>2</v>
      </c>
      <c r="AC723" s="92">
        <v>11</v>
      </c>
      <c r="AD723" s="21">
        <v>0</v>
      </c>
      <c r="AE723" s="54">
        <v>0</v>
      </c>
      <c r="AF723" s="315">
        <f t="shared" si="57"/>
        <v>0</v>
      </c>
    </row>
    <row r="724" spans="1:32" ht="240" x14ac:dyDescent="0.25">
      <c r="A724" s="107" t="s">
        <v>588</v>
      </c>
      <c r="B724" s="107" t="s">
        <v>2269</v>
      </c>
      <c r="C724" s="52"/>
      <c r="D724" s="107" t="s">
        <v>2300</v>
      </c>
      <c r="E724" s="22" t="str">
        <f t="shared" si="55"/>
        <v>SEJUSPPROG</v>
      </c>
      <c r="F724" s="52" t="s">
        <v>729</v>
      </c>
      <c r="G724" s="22" t="str">
        <f t="shared" si="56"/>
        <v>P130SEJUSP</v>
      </c>
      <c r="H724" s="129" t="s">
        <v>1183</v>
      </c>
      <c r="I724" s="22" t="s">
        <v>16</v>
      </c>
      <c r="J724" s="92" t="s">
        <v>303</v>
      </c>
      <c r="K724" s="22" t="str">
        <f>VLOOKUP(CONCATENATE(A724,LEFT(J724,4)),AGRUPAMENTO!$D$2:$E$6783,2,FALSE)</f>
        <v>Demais despesas de capital</v>
      </c>
      <c r="L724" s="129" t="s">
        <v>94</v>
      </c>
      <c r="M724" s="52"/>
      <c r="N724" s="92">
        <v>10</v>
      </c>
      <c r="O724" s="163" t="s">
        <v>2986</v>
      </c>
      <c r="P724" s="163" t="s">
        <v>46</v>
      </c>
      <c r="Q724" s="163" t="s">
        <v>3872</v>
      </c>
      <c r="R724" s="163">
        <v>100</v>
      </c>
      <c r="S724" s="163" t="s">
        <v>3926</v>
      </c>
      <c r="T724" s="217">
        <v>388.55</v>
      </c>
      <c r="U724" s="218">
        <v>1</v>
      </c>
      <c r="V724" s="58">
        <f t="shared" si="54"/>
        <v>38855</v>
      </c>
      <c r="W724" s="52" t="s">
        <v>49</v>
      </c>
      <c r="X724" s="291" t="s">
        <v>4681</v>
      </c>
      <c r="Y724" s="291" t="s">
        <v>4660</v>
      </c>
      <c r="Z724" s="291" t="s">
        <v>4661</v>
      </c>
      <c r="AA724" s="52">
        <v>0</v>
      </c>
      <c r="AB724" s="52">
        <v>0</v>
      </c>
      <c r="AC724" s="52">
        <v>0</v>
      </c>
      <c r="AD724" s="21">
        <v>0</v>
      </c>
      <c r="AE724" s="54">
        <v>0</v>
      </c>
      <c r="AF724" s="315">
        <f t="shared" si="57"/>
        <v>0</v>
      </c>
    </row>
    <row r="725" spans="1:32" ht="240" x14ac:dyDescent="0.25">
      <c r="A725" s="107" t="s">
        <v>588</v>
      </c>
      <c r="B725" s="107" t="s">
        <v>2269</v>
      </c>
      <c r="C725" s="52"/>
      <c r="D725" s="107" t="s">
        <v>2300</v>
      </c>
      <c r="E725" s="22" t="str">
        <f t="shared" si="55"/>
        <v>SEJUSPPROG</v>
      </c>
      <c r="F725" s="52" t="s">
        <v>729</v>
      </c>
      <c r="G725" s="22" t="str">
        <f t="shared" si="56"/>
        <v>P130SEJUSP</v>
      </c>
      <c r="H725" s="129" t="s">
        <v>1183</v>
      </c>
      <c r="I725" s="22" t="s">
        <v>16</v>
      </c>
      <c r="J725" s="92" t="s">
        <v>303</v>
      </c>
      <c r="K725" s="22" t="str">
        <f>VLOOKUP(CONCATENATE(A725,LEFT(J725,4)),AGRUPAMENTO!$D$2:$E$6783,2,FALSE)</f>
        <v>Demais despesas de capital</v>
      </c>
      <c r="L725" s="129" t="s">
        <v>94</v>
      </c>
      <c r="M725" s="52"/>
      <c r="N725" s="92">
        <v>10</v>
      </c>
      <c r="O725" s="163" t="s">
        <v>2987</v>
      </c>
      <c r="P725" s="163" t="s">
        <v>46</v>
      </c>
      <c r="Q725" s="163" t="s">
        <v>3872</v>
      </c>
      <c r="R725" s="163">
        <v>36</v>
      </c>
      <c r="S725" s="163" t="s">
        <v>3926</v>
      </c>
      <c r="T725" s="217">
        <v>642.28</v>
      </c>
      <c r="U725" s="218">
        <v>1</v>
      </c>
      <c r="V725" s="58">
        <f t="shared" si="54"/>
        <v>23122.079999999998</v>
      </c>
      <c r="W725" s="290" t="s">
        <v>68</v>
      </c>
      <c r="X725" s="288" t="s">
        <v>4657</v>
      </c>
      <c r="Y725" s="291" t="s">
        <v>4660</v>
      </c>
      <c r="Z725" s="291" t="s">
        <v>4661</v>
      </c>
      <c r="AA725" s="292">
        <v>1</v>
      </c>
      <c r="AB725" s="92">
        <v>2</v>
      </c>
      <c r="AC725" s="92">
        <v>11</v>
      </c>
      <c r="AD725" s="21">
        <v>0</v>
      </c>
      <c r="AE725" s="54">
        <v>0</v>
      </c>
      <c r="AF725" s="315">
        <f t="shared" si="57"/>
        <v>0</v>
      </c>
    </row>
    <row r="726" spans="1:32" ht="240" x14ac:dyDescent="0.25">
      <c r="A726" s="107" t="s">
        <v>588</v>
      </c>
      <c r="B726" s="107" t="s">
        <v>2269</v>
      </c>
      <c r="C726" s="52"/>
      <c r="D726" s="107" t="s">
        <v>2300</v>
      </c>
      <c r="E726" s="22" t="str">
        <f t="shared" si="55"/>
        <v>SEJUSPPROG</v>
      </c>
      <c r="F726" s="52" t="s">
        <v>729</v>
      </c>
      <c r="G726" s="22" t="str">
        <f t="shared" si="56"/>
        <v>P130SEJUSP</v>
      </c>
      <c r="H726" s="129" t="s">
        <v>1183</v>
      </c>
      <c r="I726" s="22" t="s">
        <v>16</v>
      </c>
      <c r="J726" s="92" t="s">
        <v>303</v>
      </c>
      <c r="K726" s="22" t="str">
        <f>VLOOKUP(CONCATENATE(A726,LEFT(J726,4)),AGRUPAMENTO!$D$2:$E$6783,2,FALSE)</f>
        <v>Demais despesas de capital</v>
      </c>
      <c r="L726" s="129" t="s">
        <v>94</v>
      </c>
      <c r="M726" s="52"/>
      <c r="N726" s="92">
        <v>10</v>
      </c>
      <c r="O726" s="163" t="s">
        <v>2988</v>
      </c>
      <c r="P726" s="163" t="s">
        <v>46</v>
      </c>
      <c r="Q726" s="163" t="s">
        <v>3872</v>
      </c>
      <c r="R726" s="163">
        <v>150</v>
      </c>
      <c r="S726" s="163" t="s">
        <v>3926</v>
      </c>
      <c r="T726" s="217">
        <v>789.9</v>
      </c>
      <c r="U726" s="218">
        <v>1</v>
      </c>
      <c r="V726" s="58">
        <f t="shared" si="54"/>
        <v>118485</v>
      </c>
      <c r="W726" s="290" t="s">
        <v>68</v>
      </c>
      <c r="X726" s="288" t="s">
        <v>4657</v>
      </c>
      <c r="Y726" s="291" t="s">
        <v>4660</v>
      </c>
      <c r="Z726" s="291" t="s">
        <v>4661</v>
      </c>
      <c r="AA726" s="292">
        <v>1</v>
      </c>
      <c r="AB726" s="92">
        <v>2</v>
      </c>
      <c r="AC726" s="92">
        <v>11</v>
      </c>
      <c r="AD726" s="21">
        <v>0</v>
      </c>
      <c r="AE726" s="54">
        <v>0</v>
      </c>
      <c r="AF726" s="315">
        <f t="shared" si="57"/>
        <v>0</v>
      </c>
    </row>
    <row r="727" spans="1:32" ht="240" x14ac:dyDescent="0.25">
      <c r="A727" s="107" t="s">
        <v>588</v>
      </c>
      <c r="B727" s="107" t="s">
        <v>2269</v>
      </c>
      <c r="C727" s="52"/>
      <c r="D727" s="107" t="s">
        <v>2300</v>
      </c>
      <c r="E727" s="22" t="str">
        <f t="shared" si="55"/>
        <v>SEJUSPPROG</v>
      </c>
      <c r="F727" s="52" t="s">
        <v>729</v>
      </c>
      <c r="G727" s="22" t="str">
        <f t="shared" si="56"/>
        <v>P130SEJUSP</v>
      </c>
      <c r="H727" s="129" t="s">
        <v>1183</v>
      </c>
      <c r="I727" s="22" t="s">
        <v>16</v>
      </c>
      <c r="J727" s="92" t="s">
        <v>303</v>
      </c>
      <c r="K727" s="22" t="str">
        <f>VLOOKUP(CONCATENATE(A727,LEFT(J727,4)),AGRUPAMENTO!$D$2:$E$6783,2,FALSE)</f>
        <v>Demais despesas de capital</v>
      </c>
      <c r="L727" s="129" t="s">
        <v>94</v>
      </c>
      <c r="M727" s="52"/>
      <c r="N727" s="92">
        <v>10</v>
      </c>
      <c r="O727" s="163" t="s">
        <v>2989</v>
      </c>
      <c r="P727" s="163" t="s">
        <v>46</v>
      </c>
      <c r="Q727" s="163" t="s">
        <v>3872</v>
      </c>
      <c r="R727" s="163">
        <v>150</v>
      </c>
      <c r="S727" s="163" t="s">
        <v>3926</v>
      </c>
      <c r="T727" s="217">
        <v>2500</v>
      </c>
      <c r="U727" s="218">
        <v>1</v>
      </c>
      <c r="V727" s="58">
        <f t="shared" si="54"/>
        <v>375000</v>
      </c>
      <c r="W727" s="290" t="s">
        <v>68</v>
      </c>
      <c r="X727" s="288" t="s">
        <v>4657</v>
      </c>
      <c r="Y727" s="291" t="s">
        <v>4660</v>
      </c>
      <c r="Z727" s="291" t="s">
        <v>4661</v>
      </c>
      <c r="AA727" s="292">
        <v>1</v>
      </c>
      <c r="AB727" s="92">
        <v>2</v>
      </c>
      <c r="AC727" s="92">
        <v>11</v>
      </c>
      <c r="AD727" s="21">
        <v>0</v>
      </c>
      <c r="AE727" s="54">
        <v>0</v>
      </c>
      <c r="AF727" s="315">
        <f t="shared" si="57"/>
        <v>0</v>
      </c>
    </row>
    <row r="728" spans="1:32" ht="240" x14ac:dyDescent="0.25">
      <c r="A728" s="107" t="s">
        <v>588</v>
      </c>
      <c r="B728" s="107" t="s">
        <v>2269</v>
      </c>
      <c r="C728" s="52"/>
      <c r="D728" s="107" t="s">
        <v>2300</v>
      </c>
      <c r="E728" s="22" t="str">
        <f t="shared" si="55"/>
        <v>SEJUSPPROG</v>
      </c>
      <c r="F728" s="52" t="s">
        <v>729</v>
      </c>
      <c r="G728" s="22" t="str">
        <f t="shared" si="56"/>
        <v>P130SEJUSP</v>
      </c>
      <c r="H728" s="129" t="s">
        <v>1183</v>
      </c>
      <c r="I728" s="22" t="s">
        <v>16</v>
      </c>
      <c r="J728" s="92" t="s">
        <v>303</v>
      </c>
      <c r="K728" s="22" t="str">
        <f>VLOOKUP(CONCATENATE(A728,LEFT(J728,4)),AGRUPAMENTO!$D$2:$E$6783,2,FALSE)</f>
        <v>Demais despesas de capital</v>
      </c>
      <c r="L728" s="129" t="s">
        <v>94</v>
      </c>
      <c r="M728" s="52"/>
      <c r="N728" s="92">
        <v>10</v>
      </c>
      <c r="O728" s="163" t="s">
        <v>2990</v>
      </c>
      <c r="P728" s="163" t="s">
        <v>46</v>
      </c>
      <c r="Q728" s="163" t="s">
        <v>3872</v>
      </c>
      <c r="R728" s="163">
        <v>36</v>
      </c>
      <c r="S728" s="163" t="s">
        <v>3926</v>
      </c>
      <c r="T728" s="217">
        <v>5990</v>
      </c>
      <c r="U728" s="218">
        <v>1</v>
      </c>
      <c r="V728" s="58">
        <f t="shared" si="54"/>
        <v>215640</v>
      </c>
      <c r="W728" s="290" t="s">
        <v>68</v>
      </c>
      <c r="X728" s="288" t="s">
        <v>4657</v>
      </c>
      <c r="Y728" s="291" t="s">
        <v>4660</v>
      </c>
      <c r="Z728" s="291" t="s">
        <v>4661</v>
      </c>
      <c r="AA728" s="292">
        <v>1</v>
      </c>
      <c r="AB728" s="92">
        <v>2</v>
      </c>
      <c r="AC728" s="92">
        <v>11</v>
      </c>
      <c r="AD728" s="21">
        <v>0</v>
      </c>
      <c r="AE728" s="54">
        <v>0</v>
      </c>
      <c r="AF728" s="315">
        <f t="shared" si="57"/>
        <v>0</v>
      </c>
    </row>
    <row r="729" spans="1:32" ht="180" x14ac:dyDescent="0.25">
      <c r="A729" s="107" t="s">
        <v>588</v>
      </c>
      <c r="B729" s="107" t="s">
        <v>2269</v>
      </c>
      <c r="C729" s="52"/>
      <c r="D729" s="107" t="s">
        <v>2300</v>
      </c>
      <c r="E729" s="22" t="str">
        <f t="shared" si="55"/>
        <v>SEJUSPPROG</v>
      </c>
      <c r="F729" s="52" t="s">
        <v>729</v>
      </c>
      <c r="G729" s="22" t="str">
        <f t="shared" si="56"/>
        <v>P130SEJUSP</v>
      </c>
      <c r="H729" s="129" t="s">
        <v>1183</v>
      </c>
      <c r="I729" s="22" t="s">
        <v>16</v>
      </c>
      <c r="J729" s="92" t="s">
        <v>2232</v>
      </c>
      <c r="K729" s="22" t="str">
        <f>VLOOKUP(CONCATENATE(A729,LEFT(J729,4)),AGRUPAMENTO!$D$2:$E$6783,2,FALSE)</f>
        <v>Demais despesas de capital</v>
      </c>
      <c r="L729" s="129" t="s">
        <v>94</v>
      </c>
      <c r="M729" s="52"/>
      <c r="N729" s="92">
        <v>10</v>
      </c>
      <c r="O729" s="163" t="s">
        <v>2991</v>
      </c>
      <c r="P729" s="163" t="s">
        <v>46</v>
      </c>
      <c r="Q729" s="163" t="s">
        <v>3872</v>
      </c>
      <c r="R729" s="163">
        <v>168</v>
      </c>
      <c r="S729" s="163" t="s">
        <v>3923</v>
      </c>
      <c r="T729" s="217">
        <v>140</v>
      </c>
      <c r="U729" s="218">
        <v>1</v>
      </c>
      <c r="V729" s="58">
        <f t="shared" si="54"/>
        <v>23520</v>
      </c>
      <c r="W729" s="290" t="s">
        <v>68</v>
      </c>
      <c r="X729" s="288" t="s">
        <v>4657</v>
      </c>
      <c r="Y729" s="291" t="s">
        <v>4658</v>
      </c>
      <c r="Z729" s="291" t="s">
        <v>4659</v>
      </c>
      <c r="AA729" s="292">
        <v>1</v>
      </c>
      <c r="AB729" s="92">
        <v>2</v>
      </c>
      <c r="AC729" s="92">
        <v>11</v>
      </c>
      <c r="AD729" s="21">
        <v>0</v>
      </c>
      <c r="AE729" s="54">
        <v>0</v>
      </c>
      <c r="AF729" s="315">
        <f t="shared" si="57"/>
        <v>0</v>
      </c>
    </row>
    <row r="730" spans="1:32" ht="240" x14ac:dyDescent="0.25">
      <c r="A730" s="107" t="s">
        <v>588</v>
      </c>
      <c r="B730" s="107" t="s">
        <v>2269</v>
      </c>
      <c r="C730" s="52"/>
      <c r="D730" s="107" t="s">
        <v>2300</v>
      </c>
      <c r="E730" s="22" t="str">
        <f t="shared" si="55"/>
        <v>SEJUSPPROG</v>
      </c>
      <c r="F730" s="52" t="s">
        <v>729</v>
      </c>
      <c r="G730" s="22" t="str">
        <f t="shared" si="56"/>
        <v>P130SEJUSP</v>
      </c>
      <c r="H730" s="129" t="s">
        <v>1183</v>
      </c>
      <c r="I730" s="22" t="s">
        <v>16</v>
      </c>
      <c r="J730" s="92" t="s">
        <v>303</v>
      </c>
      <c r="K730" s="22" t="str">
        <f>VLOOKUP(CONCATENATE(A730,LEFT(J730,4)),AGRUPAMENTO!$D$2:$E$6783,2,FALSE)</f>
        <v>Demais despesas de capital</v>
      </c>
      <c r="L730" s="129" t="s">
        <v>94</v>
      </c>
      <c r="M730" s="52"/>
      <c r="N730" s="92">
        <v>10</v>
      </c>
      <c r="O730" s="163" t="s">
        <v>2992</v>
      </c>
      <c r="P730" s="163" t="s">
        <v>46</v>
      </c>
      <c r="Q730" s="163" t="s">
        <v>3872</v>
      </c>
      <c r="R730" s="163">
        <v>168</v>
      </c>
      <c r="S730" s="163" t="s">
        <v>3918</v>
      </c>
      <c r="T730" s="217">
        <v>400</v>
      </c>
      <c r="U730" s="218">
        <v>1</v>
      </c>
      <c r="V730" s="58">
        <f t="shared" si="54"/>
        <v>67200</v>
      </c>
      <c r="W730" s="52" t="s">
        <v>49</v>
      </c>
      <c r="X730" s="291" t="s">
        <v>4681</v>
      </c>
      <c r="Y730" s="291" t="s">
        <v>4660</v>
      </c>
      <c r="Z730" s="291" t="s">
        <v>4661</v>
      </c>
      <c r="AA730" s="52">
        <v>0</v>
      </c>
      <c r="AB730" s="52">
        <v>0</v>
      </c>
      <c r="AC730" s="52">
        <v>0</v>
      </c>
      <c r="AD730" s="21">
        <v>0</v>
      </c>
      <c r="AE730" s="54">
        <v>0</v>
      </c>
      <c r="AF730" s="315">
        <f t="shared" si="57"/>
        <v>0</v>
      </c>
    </row>
    <row r="731" spans="1:32" ht="240" x14ac:dyDescent="0.25">
      <c r="A731" s="107" t="s">
        <v>588</v>
      </c>
      <c r="B731" s="107" t="s">
        <v>2269</v>
      </c>
      <c r="C731" s="52"/>
      <c r="D731" s="107" t="s">
        <v>2300</v>
      </c>
      <c r="E731" s="22" t="str">
        <f t="shared" si="55"/>
        <v>SEJUSPPROG</v>
      </c>
      <c r="F731" s="52" t="s">
        <v>729</v>
      </c>
      <c r="G731" s="22" t="str">
        <f t="shared" si="56"/>
        <v>P130SEJUSP</v>
      </c>
      <c r="H731" s="129" t="s">
        <v>1183</v>
      </c>
      <c r="I731" s="22" t="s">
        <v>16</v>
      </c>
      <c r="J731" s="92" t="s">
        <v>303</v>
      </c>
      <c r="K731" s="22" t="str">
        <f>VLOOKUP(CONCATENATE(A731,LEFT(J731,4)),AGRUPAMENTO!$D$2:$E$6783,2,FALSE)</f>
        <v>Demais despesas de capital</v>
      </c>
      <c r="L731" s="129" t="s">
        <v>94</v>
      </c>
      <c r="M731" s="52"/>
      <c r="N731" s="92">
        <v>10</v>
      </c>
      <c r="O731" s="163" t="s">
        <v>2993</v>
      </c>
      <c r="P731" s="163" t="s">
        <v>46</v>
      </c>
      <c r="Q731" s="163" t="s">
        <v>3872</v>
      </c>
      <c r="R731" s="163">
        <v>25</v>
      </c>
      <c r="S731" s="163" t="s">
        <v>3923</v>
      </c>
      <c r="T731" s="217">
        <v>2969.91</v>
      </c>
      <c r="U731" s="218">
        <v>1</v>
      </c>
      <c r="V731" s="58">
        <f t="shared" si="54"/>
        <v>74247.75</v>
      </c>
      <c r="W731" s="52" t="s">
        <v>49</v>
      </c>
      <c r="X731" s="291" t="s">
        <v>4681</v>
      </c>
      <c r="Y731" s="291" t="s">
        <v>4660</v>
      </c>
      <c r="Z731" s="291" t="s">
        <v>4661</v>
      </c>
      <c r="AA731" s="52">
        <v>0</v>
      </c>
      <c r="AB731" s="52">
        <v>0</v>
      </c>
      <c r="AC731" s="52">
        <v>0</v>
      </c>
      <c r="AD731" s="21">
        <v>0</v>
      </c>
      <c r="AE731" s="54">
        <v>0</v>
      </c>
      <c r="AF731" s="315">
        <f t="shared" si="57"/>
        <v>0</v>
      </c>
    </row>
    <row r="732" spans="1:32" ht="240" x14ac:dyDescent="0.25">
      <c r="A732" s="107" t="s">
        <v>588</v>
      </c>
      <c r="B732" s="107" t="s">
        <v>2269</v>
      </c>
      <c r="C732" s="52"/>
      <c r="D732" s="107" t="s">
        <v>2300</v>
      </c>
      <c r="E732" s="22" t="str">
        <f t="shared" si="55"/>
        <v>SEJUSPPROG</v>
      </c>
      <c r="F732" s="52" t="s">
        <v>729</v>
      </c>
      <c r="G732" s="22" t="str">
        <f t="shared" si="56"/>
        <v>P130SEJUSP</v>
      </c>
      <c r="H732" s="129" t="s">
        <v>1183</v>
      </c>
      <c r="I732" s="22" t="s">
        <v>16</v>
      </c>
      <c r="J732" s="92" t="s">
        <v>303</v>
      </c>
      <c r="K732" s="22" t="str">
        <f>VLOOKUP(CONCATENATE(A732,LEFT(J732,4)),AGRUPAMENTO!$D$2:$E$6783,2,FALSE)</f>
        <v>Demais despesas de capital</v>
      </c>
      <c r="L732" s="129" t="s">
        <v>94</v>
      </c>
      <c r="M732" s="52"/>
      <c r="N732" s="92">
        <v>10</v>
      </c>
      <c r="O732" s="163" t="s">
        <v>2994</v>
      </c>
      <c r="P732" s="163" t="s">
        <v>46</v>
      </c>
      <c r="Q732" s="163" t="s">
        <v>3872</v>
      </c>
      <c r="R732" s="163">
        <v>25</v>
      </c>
      <c r="S732" s="163" t="s">
        <v>3923</v>
      </c>
      <c r="T732" s="217">
        <v>4799</v>
      </c>
      <c r="U732" s="218">
        <v>1</v>
      </c>
      <c r="V732" s="58">
        <f t="shared" si="54"/>
        <v>119975</v>
      </c>
      <c r="W732" s="52" t="s">
        <v>49</v>
      </c>
      <c r="X732" s="291" t="s">
        <v>4681</v>
      </c>
      <c r="Y732" s="291" t="s">
        <v>4660</v>
      </c>
      <c r="Z732" s="291" t="s">
        <v>4661</v>
      </c>
      <c r="AA732" s="52">
        <v>0</v>
      </c>
      <c r="AB732" s="52">
        <v>0</v>
      </c>
      <c r="AC732" s="52">
        <v>0</v>
      </c>
      <c r="AD732" s="21">
        <v>0</v>
      </c>
      <c r="AE732" s="54">
        <v>0</v>
      </c>
      <c r="AF732" s="315">
        <f t="shared" si="57"/>
        <v>0</v>
      </c>
    </row>
    <row r="733" spans="1:32" ht="240" x14ac:dyDescent="0.25">
      <c r="A733" s="107" t="s">
        <v>588</v>
      </c>
      <c r="B733" s="107" t="s">
        <v>2269</v>
      </c>
      <c r="C733" s="52"/>
      <c r="D733" s="107" t="s">
        <v>2300</v>
      </c>
      <c r="E733" s="22" t="str">
        <f t="shared" si="55"/>
        <v>SEJUSPPROG</v>
      </c>
      <c r="F733" s="52" t="s">
        <v>729</v>
      </c>
      <c r="G733" s="22" t="str">
        <f t="shared" si="56"/>
        <v>P130SEJUSP</v>
      </c>
      <c r="H733" s="129" t="s">
        <v>1183</v>
      </c>
      <c r="I733" s="22" t="s">
        <v>16</v>
      </c>
      <c r="J733" s="92" t="s">
        <v>303</v>
      </c>
      <c r="K733" s="22" t="str">
        <f>VLOOKUP(CONCATENATE(A733,LEFT(J733,4)),AGRUPAMENTO!$D$2:$E$6783,2,FALSE)</f>
        <v>Demais despesas de capital</v>
      </c>
      <c r="L733" s="129" t="s">
        <v>94</v>
      </c>
      <c r="M733" s="52"/>
      <c r="N733" s="92">
        <v>10</v>
      </c>
      <c r="O733" s="163" t="s">
        <v>2995</v>
      </c>
      <c r="P733" s="163" t="s">
        <v>46</v>
      </c>
      <c r="Q733" s="163" t="s">
        <v>3872</v>
      </c>
      <c r="R733" s="163">
        <v>25</v>
      </c>
      <c r="S733" s="163" t="s">
        <v>3923</v>
      </c>
      <c r="T733" s="217">
        <v>3580.37</v>
      </c>
      <c r="U733" s="218">
        <v>1</v>
      </c>
      <c r="V733" s="58">
        <f t="shared" si="54"/>
        <v>89509.25</v>
      </c>
      <c r="W733" s="52" t="s">
        <v>49</v>
      </c>
      <c r="X733" s="291" t="s">
        <v>4681</v>
      </c>
      <c r="Y733" s="291" t="s">
        <v>4660</v>
      </c>
      <c r="Z733" s="291" t="s">
        <v>4661</v>
      </c>
      <c r="AA733" s="52">
        <v>0</v>
      </c>
      <c r="AB733" s="52">
        <v>0</v>
      </c>
      <c r="AC733" s="52">
        <v>0</v>
      </c>
      <c r="AD733" s="21">
        <v>0</v>
      </c>
      <c r="AE733" s="54">
        <v>0</v>
      </c>
      <c r="AF733" s="315">
        <f t="shared" si="57"/>
        <v>0</v>
      </c>
    </row>
    <row r="734" spans="1:32" ht="240" x14ac:dyDescent="0.25">
      <c r="A734" s="107" t="s">
        <v>588</v>
      </c>
      <c r="B734" s="107" t="s">
        <v>2269</v>
      </c>
      <c r="C734" s="52"/>
      <c r="D734" s="107" t="s">
        <v>2300</v>
      </c>
      <c r="E734" s="22" t="str">
        <f t="shared" si="55"/>
        <v>SEJUSPPROG</v>
      </c>
      <c r="F734" s="52" t="s">
        <v>729</v>
      </c>
      <c r="G734" s="22" t="str">
        <f t="shared" si="56"/>
        <v>P130SEJUSP</v>
      </c>
      <c r="H734" s="129" t="s">
        <v>1183</v>
      </c>
      <c r="I734" s="22" t="s">
        <v>16</v>
      </c>
      <c r="J734" s="92" t="s">
        <v>303</v>
      </c>
      <c r="K734" s="22" t="str">
        <f>VLOOKUP(CONCATENATE(A734,LEFT(J734,4)),AGRUPAMENTO!$D$2:$E$6783,2,FALSE)</f>
        <v>Demais despesas de capital</v>
      </c>
      <c r="L734" s="129" t="s">
        <v>94</v>
      </c>
      <c r="M734" s="52"/>
      <c r="N734" s="92">
        <v>10</v>
      </c>
      <c r="O734" s="163" t="s">
        <v>2996</v>
      </c>
      <c r="P734" s="163" t="s">
        <v>46</v>
      </c>
      <c r="Q734" s="163" t="s">
        <v>3872</v>
      </c>
      <c r="R734" s="163">
        <v>25</v>
      </c>
      <c r="S734" s="163" t="s">
        <v>3926</v>
      </c>
      <c r="T734" s="217">
        <v>9547.7000000000007</v>
      </c>
      <c r="U734" s="218">
        <v>1</v>
      </c>
      <c r="V734" s="58">
        <f t="shared" si="54"/>
        <v>238692.50000000003</v>
      </c>
      <c r="W734" s="52" t="s">
        <v>49</v>
      </c>
      <c r="X734" s="291" t="s">
        <v>4681</v>
      </c>
      <c r="Y734" s="291" t="s">
        <v>4660</v>
      </c>
      <c r="Z734" s="291" t="s">
        <v>4661</v>
      </c>
      <c r="AA734" s="52">
        <v>0</v>
      </c>
      <c r="AB734" s="52">
        <v>0</v>
      </c>
      <c r="AC734" s="52">
        <v>0</v>
      </c>
      <c r="AD734" s="21">
        <v>0</v>
      </c>
      <c r="AE734" s="54">
        <v>0</v>
      </c>
      <c r="AF734" s="315">
        <f t="shared" si="57"/>
        <v>0</v>
      </c>
    </row>
    <row r="735" spans="1:32" ht="240" x14ac:dyDescent="0.25">
      <c r="A735" s="107" t="s">
        <v>588</v>
      </c>
      <c r="B735" s="107" t="s">
        <v>2269</v>
      </c>
      <c r="C735" s="52"/>
      <c r="D735" s="107" t="s">
        <v>2300</v>
      </c>
      <c r="E735" s="22" t="str">
        <f t="shared" si="55"/>
        <v>SEJUSPPROG</v>
      </c>
      <c r="F735" s="52" t="s">
        <v>729</v>
      </c>
      <c r="G735" s="22" t="str">
        <f t="shared" si="56"/>
        <v>P130SEJUSP</v>
      </c>
      <c r="H735" s="129" t="s">
        <v>1183</v>
      </c>
      <c r="I735" s="22" t="s">
        <v>16</v>
      </c>
      <c r="J735" s="92" t="s">
        <v>303</v>
      </c>
      <c r="K735" s="22" t="str">
        <f>VLOOKUP(CONCATENATE(A735,LEFT(J735,4)),AGRUPAMENTO!$D$2:$E$6783,2,FALSE)</f>
        <v>Demais despesas de capital</v>
      </c>
      <c r="L735" s="129" t="s">
        <v>94</v>
      </c>
      <c r="M735" s="52"/>
      <c r="N735" s="92">
        <v>10</v>
      </c>
      <c r="O735" s="163" t="s">
        <v>2997</v>
      </c>
      <c r="P735" s="163" t="s">
        <v>46</v>
      </c>
      <c r="Q735" s="163" t="s">
        <v>3872</v>
      </c>
      <c r="R735" s="163">
        <v>25</v>
      </c>
      <c r="S735" s="163" t="s">
        <v>3923</v>
      </c>
      <c r="T735" s="217">
        <v>2834.1</v>
      </c>
      <c r="U735" s="218">
        <v>1</v>
      </c>
      <c r="V735" s="58">
        <f t="shared" si="54"/>
        <v>70852.5</v>
      </c>
      <c r="W735" s="52" t="s">
        <v>49</v>
      </c>
      <c r="X735" s="291" t="s">
        <v>4681</v>
      </c>
      <c r="Y735" s="291" t="s">
        <v>4660</v>
      </c>
      <c r="Z735" s="291" t="s">
        <v>4661</v>
      </c>
      <c r="AA735" s="52">
        <v>0</v>
      </c>
      <c r="AB735" s="52">
        <v>0</v>
      </c>
      <c r="AC735" s="52">
        <v>0</v>
      </c>
      <c r="AD735" s="21">
        <v>0</v>
      </c>
      <c r="AE735" s="54">
        <v>0</v>
      </c>
      <c r="AF735" s="315">
        <f t="shared" si="57"/>
        <v>0</v>
      </c>
    </row>
    <row r="736" spans="1:32" ht="240" x14ac:dyDescent="0.25">
      <c r="A736" s="107" t="s">
        <v>588</v>
      </c>
      <c r="B736" s="107" t="s">
        <v>2269</v>
      </c>
      <c r="C736" s="52"/>
      <c r="D736" s="107" t="s">
        <v>2300</v>
      </c>
      <c r="E736" s="22" t="str">
        <f t="shared" si="55"/>
        <v>SEJUSPPROG</v>
      </c>
      <c r="F736" s="52" t="s">
        <v>729</v>
      </c>
      <c r="G736" s="22" t="str">
        <f t="shared" si="56"/>
        <v>P130SEJUSP</v>
      </c>
      <c r="H736" s="129" t="s">
        <v>1183</v>
      </c>
      <c r="I736" s="22" t="s">
        <v>16</v>
      </c>
      <c r="J736" s="92" t="s">
        <v>303</v>
      </c>
      <c r="K736" s="22" t="str">
        <f>VLOOKUP(CONCATENATE(A736,LEFT(J736,4)),AGRUPAMENTO!$D$2:$E$6783,2,FALSE)</f>
        <v>Demais despesas de capital</v>
      </c>
      <c r="L736" s="129" t="s">
        <v>94</v>
      </c>
      <c r="M736" s="52"/>
      <c r="N736" s="92">
        <v>10</v>
      </c>
      <c r="O736" s="163" t="s">
        <v>2998</v>
      </c>
      <c r="P736" s="163" t="s">
        <v>46</v>
      </c>
      <c r="Q736" s="163" t="s">
        <v>3872</v>
      </c>
      <c r="R736" s="163">
        <v>25</v>
      </c>
      <c r="S736" s="163" t="s">
        <v>3926</v>
      </c>
      <c r="T736" s="217">
        <v>6850.2</v>
      </c>
      <c r="U736" s="218">
        <v>1</v>
      </c>
      <c r="V736" s="58">
        <f t="shared" si="54"/>
        <v>171255</v>
      </c>
      <c r="W736" s="52" t="s">
        <v>49</v>
      </c>
      <c r="X736" s="291" t="s">
        <v>4681</v>
      </c>
      <c r="Y736" s="291" t="s">
        <v>4660</v>
      </c>
      <c r="Z736" s="291" t="s">
        <v>4661</v>
      </c>
      <c r="AA736" s="52">
        <v>0</v>
      </c>
      <c r="AB736" s="52">
        <v>0</v>
      </c>
      <c r="AC736" s="52">
        <v>0</v>
      </c>
      <c r="AD736" s="21">
        <v>0</v>
      </c>
      <c r="AE736" s="54">
        <v>0</v>
      </c>
      <c r="AF736" s="315">
        <f t="shared" si="57"/>
        <v>0</v>
      </c>
    </row>
    <row r="737" spans="1:32" ht="240" x14ac:dyDescent="0.25">
      <c r="A737" s="107" t="s">
        <v>588</v>
      </c>
      <c r="B737" s="107" t="s">
        <v>2269</v>
      </c>
      <c r="C737" s="52"/>
      <c r="D737" s="107" t="s">
        <v>2300</v>
      </c>
      <c r="E737" s="22" t="str">
        <f t="shared" si="55"/>
        <v>SEJUSPPROG</v>
      </c>
      <c r="F737" s="52" t="s">
        <v>729</v>
      </c>
      <c r="G737" s="22" t="str">
        <f t="shared" si="56"/>
        <v>P130SEJUSP</v>
      </c>
      <c r="H737" s="129" t="s">
        <v>1183</v>
      </c>
      <c r="I737" s="22" t="s">
        <v>16</v>
      </c>
      <c r="J737" s="92" t="s">
        <v>303</v>
      </c>
      <c r="K737" s="22" t="str">
        <f>VLOOKUP(CONCATENATE(A737,LEFT(J737,4)),AGRUPAMENTO!$D$2:$E$6783,2,FALSE)</f>
        <v>Demais despesas de capital</v>
      </c>
      <c r="L737" s="129" t="s">
        <v>94</v>
      </c>
      <c r="M737" s="52"/>
      <c r="N737" s="92">
        <v>10</v>
      </c>
      <c r="O737" s="163" t="s">
        <v>2999</v>
      </c>
      <c r="P737" s="163" t="s">
        <v>46</v>
      </c>
      <c r="Q737" s="163" t="s">
        <v>3872</v>
      </c>
      <c r="R737" s="163">
        <v>25</v>
      </c>
      <c r="S737" s="163" t="s">
        <v>3926</v>
      </c>
      <c r="T737" s="217">
        <v>9250</v>
      </c>
      <c r="U737" s="218">
        <v>1</v>
      </c>
      <c r="V737" s="58">
        <f t="shared" si="54"/>
        <v>231250</v>
      </c>
      <c r="W737" s="52" t="s">
        <v>49</v>
      </c>
      <c r="X737" s="291" t="s">
        <v>4681</v>
      </c>
      <c r="Y737" s="291" t="s">
        <v>4660</v>
      </c>
      <c r="Z737" s="291" t="s">
        <v>4661</v>
      </c>
      <c r="AA737" s="52">
        <v>0</v>
      </c>
      <c r="AB737" s="52">
        <v>0</v>
      </c>
      <c r="AC737" s="52">
        <v>0</v>
      </c>
      <c r="AD737" s="21">
        <v>0</v>
      </c>
      <c r="AE737" s="54">
        <v>0</v>
      </c>
      <c r="AF737" s="315">
        <f t="shared" si="57"/>
        <v>0</v>
      </c>
    </row>
    <row r="738" spans="1:32" ht="240" x14ac:dyDescent="0.25">
      <c r="A738" s="107" t="s">
        <v>588</v>
      </c>
      <c r="B738" s="107" t="s">
        <v>2269</v>
      </c>
      <c r="C738" s="52"/>
      <c r="D738" s="107" t="s">
        <v>2300</v>
      </c>
      <c r="E738" s="22" t="str">
        <f t="shared" si="55"/>
        <v>SEJUSPPROG</v>
      </c>
      <c r="F738" s="52" t="s">
        <v>729</v>
      </c>
      <c r="G738" s="22" t="str">
        <f t="shared" si="56"/>
        <v>P130SEJUSP</v>
      </c>
      <c r="H738" s="129" t="s">
        <v>1183</v>
      </c>
      <c r="I738" s="22" t="s">
        <v>16</v>
      </c>
      <c r="J738" s="92" t="s">
        <v>303</v>
      </c>
      <c r="K738" s="22" t="str">
        <f>VLOOKUP(CONCATENATE(A738,LEFT(J738,4)),AGRUPAMENTO!$D$2:$E$6783,2,FALSE)</f>
        <v>Demais despesas de capital</v>
      </c>
      <c r="L738" s="129" t="s">
        <v>94</v>
      </c>
      <c r="M738" s="52"/>
      <c r="N738" s="92">
        <v>10</v>
      </c>
      <c r="O738" s="163" t="s">
        <v>3000</v>
      </c>
      <c r="P738" s="163" t="s">
        <v>46</v>
      </c>
      <c r="Q738" s="163" t="s">
        <v>3872</v>
      </c>
      <c r="R738" s="163">
        <v>25</v>
      </c>
      <c r="S738" s="163" t="s">
        <v>3926</v>
      </c>
      <c r="T738" s="217">
        <v>7199.99</v>
      </c>
      <c r="U738" s="218">
        <v>1</v>
      </c>
      <c r="V738" s="58">
        <f t="shared" si="54"/>
        <v>179999.75</v>
      </c>
      <c r="W738" s="52" t="s">
        <v>49</v>
      </c>
      <c r="X738" s="291" t="s">
        <v>4681</v>
      </c>
      <c r="Y738" s="291" t="s">
        <v>4660</v>
      </c>
      <c r="Z738" s="291" t="s">
        <v>4661</v>
      </c>
      <c r="AA738" s="52">
        <v>0</v>
      </c>
      <c r="AB738" s="52">
        <v>0</v>
      </c>
      <c r="AC738" s="52">
        <v>0</v>
      </c>
      <c r="AD738" s="21">
        <v>0</v>
      </c>
      <c r="AE738" s="54">
        <v>0</v>
      </c>
      <c r="AF738" s="315">
        <f t="shared" si="57"/>
        <v>0</v>
      </c>
    </row>
    <row r="739" spans="1:32" ht="240" x14ac:dyDescent="0.25">
      <c r="A739" s="107" t="s">
        <v>588</v>
      </c>
      <c r="B739" s="107" t="s">
        <v>2269</v>
      </c>
      <c r="C739" s="52"/>
      <c r="D739" s="107" t="s">
        <v>2300</v>
      </c>
      <c r="E739" s="22" t="str">
        <f t="shared" si="55"/>
        <v>SEJUSPPROG</v>
      </c>
      <c r="F739" s="52" t="s">
        <v>729</v>
      </c>
      <c r="G739" s="22" t="str">
        <f t="shared" si="56"/>
        <v>P130SEJUSP</v>
      </c>
      <c r="H739" s="129" t="s">
        <v>1183</v>
      </c>
      <c r="I739" s="22" t="s">
        <v>16</v>
      </c>
      <c r="J739" s="92" t="s">
        <v>303</v>
      </c>
      <c r="K739" s="22" t="str">
        <f>VLOOKUP(CONCATENATE(A739,LEFT(J739,4)),AGRUPAMENTO!$D$2:$E$6783,2,FALSE)</f>
        <v>Demais despesas de capital</v>
      </c>
      <c r="L739" s="129" t="s">
        <v>94</v>
      </c>
      <c r="M739" s="52"/>
      <c r="N739" s="92">
        <v>10</v>
      </c>
      <c r="O739" s="163" t="s">
        <v>3001</v>
      </c>
      <c r="P739" s="163" t="s">
        <v>46</v>
      </c>
      <c r="Q739" s="163" t="s">
        <v>3872</v>
      </c>
      <c r="R739" s="163">
        <v>100</v>
      </c>
      <c r="S739" s="163" t="s">
        <v>3918</v>
      </c>
      <c r="T739" s="217">
        <v>539</v>
      </c>
      <c r="U739" s="218">
        <v>1</v>
      </c>
      <c r="V739" s="58">
        <f t="shared" si="54"/>
        <v>53900</v>
      </c>
      <c r="W739" s="52" t="s">
        <v>49</v>
      </c>
      <c r="X739" s="291" t="s">
        <v>4681</v>
      </c>
      <c r="Y739" s="291" t="s">
        <v>4660</v>
      </c>
      <c r="Z739" s="291" t="s">
        <v>4661</v>
      </c>
      <c r="AA739" s="52">
        <v>0</v>
      </c>
      <c r="AB739" s="52">
        <v>0</v>
      </c>
      <c r="AC739" s="52">
        <v>0</v>
      </c>
      <c r="AD739" s="21">
        <v>0</v>
      </c>
      <c r="AE739" s="54">
        <v>0</v>
      </c>
      <c r="AF739" s="315">
        <f t="shared" si="57"/>
        <v>0</v>
      </c>
    </row>
    <row r="740" spans="1:32" ht="180" x14ac:dyDescent="0.25">
      <c r="A740" s="107" t="s">
        <v>588</v>
      </c>
      <c r="B740" s="107" t="s">
        <v>2269</v>
      </c>
      <c r="C740" s="52"/>
      <c r="D740" s="107" t="s">
        <v>2300</v>
      </c>
      <c r="E740" s="22" t="str">
        <f t="shared" si="55"/>
        <v>SEJUSPPROG</v>
      </c>
      <c r="F740" s="52" t="s">
        <v>729</v>
      </c>
      <c r="G740" s="22" t="str">
        <f t="shared" si="56"/>
        <v>P130SEJUSP</v>
      </c>
      <c r="H740" s="129" t="s">
        <v>1183</v>
      </c>
      <c r="I740" s="22" t="s">
        <v>16</v>
      </c>
      <c r="J740" s="92" t="s">
        <v>1677</v>
      </c>
      <c r="K740" s="22" t="str">
        <f>VLOOKUP(CONCATENATE(A740,LEFT(J740,4)),AGRUPAMENTO!$D$2:$E$6783,2,FALSE)</f>
        <v>Aquisições de itens de TIC</v>
      </c>
      <c r="L740" s="129" t="s">
        <v>94</v>
      </c>
      <c r="M740" s="52"/>
      <c r="N740" s="92">
        <v>10</v>
      </c>
      <c r="O740" s="163" t="s">
        <v>3002</v>
      </c>
      <c r="P740" s="163" t="s">
        <v>46</v>
      </c>
      <c r="Q740" s="163" t="s">
        <v>3872</v>
      </c>
      <c r="R740" s="163">
        <v>168</v>
      </c>
      <c r="S740" s="163" t="s">
        <v>3926</v>
      </c>
      <c r="T740" s="217">
        <v>2849</v>
      </c>
      <c r="U740" s="218">
        <v>1</v>
      </c>
      <c r="V740" s="58">
        <f t="shared" si="54"/>
        <v>478632</v>
      </c>
      <c r="W740" s="290" t="s">
        <v>68</v>
      </c>
      <c r="X740" s="288" t="s">
        <v>4657</v>
      </c>
      <c r="Y740" s="291" t="s">
        <v>4665</v>
      </c>
      <c r="Z740" s="291" t="s">
        <v>4666</v>
      </c>
      <c r="AA740" s="292">
        <v>1</v>
      </c>
      <c r="AB740" s="92">
        <v>2</v>
      </c>
      <c r="AC740" s="92">
        <v>11</v>
      </c>
      <c r="AD740" s="21">
        <v>0</v>
      </c>
      <c r="AE740" s="54">
        <v>0</v>
      </c>
      <c r="AF740" s="315">
        <f t="shared" si="57"/>
        <v>0</v>
      </c>
    </row>
    <row r="741" spans="1:32" ht="240" x14ac:dyDescent="0.25">
      <c r="A741" s="107" t="s">
        <v>588</v>
      </c>
      <c r="B741" s="107" t="s">
        <v>2269</v>
      </c>
      <c r="C741" s="52"/>
      <c r="D741" s="107" t="s">
        <v>2300</v>
      </c>
      <c r="E741" s="22" t="str">
        <f t="shared" si="55"/>
        <v>SEJUSPPROG</v>
      </c>
      <c r="F741" s="52" t="s">
        <v>729</v>
      </c>
      <c r="G741" s="22" t="str">
        <f t="shared" si="56"/>
        <v>P130SEJUSP</v>
      </c>
      <c r="H741" s="129" t="s">
        <v>1183</v>
      </c>
      <c r="I741" s="22" t="s">
        <v>16</v>
      </c>
      <c r="J741" s="92" t="s">
        <v>303</v>
      </c>
      <c r="K741" s="22" t="str">
        <f>VLOOKUP(CONCATENATE(A741,LEFT(J741,4)),AGRUPAMENTO!$D$2:$E$6783,2,FALSE)</f>
        <v>Demais despesas de capital</v>
      </c>
      <c r="L741" s="129" t="s">
        <v>94</v>
      </c>
      <c r="M741" s="52"/>
      <c r="N741" s="92">
        <v>10</v>
      </c>
      <c r="O741" s="163" t="s">
        <v>3003</v>
      </c>
      <c r="P741" s="163" t="s">
        <v>46</v>
      </c>
      <c r="Q741" s="163" t="s">
        <v>3872</v>
      </c>
      <c r="R741" s="163">
        <v>36</v>
      </c>
      <c r="S741" s="163" t="s">
        <v>3926</v>
      </c>
      <c r="T741" s="217">
        <v>1135.23</v>
      </c>
      <c r="U741" s="218">
        <v>1</v>
      </c>
      <c r="V741" s="58">
        <f t="shared" si="54"/>
        <v>40868.28</v>
      </c>
      <c r="W741" s="290" t="s">
        <v>68</v>
      </c>
      <c r="X741" s="288" t="s">
        <v>4657</v>
      </c>
      <c r="Y741" s="291" t="s">
        <v>4660</v>
      </c>
      <c r="Z741" s="291" t="s">
        <v>4661</v>
      </c>
      <c r="AA741" s="292">
        <v>1</v>
      </c>
      <c r="AB741" s="92">
        <v>2</v>
      </c>
      <c r="AC741" s="92">
        <v>11</v>
      </c>
      <c r="AD741" s="21">
        <v>0</v>
      </c>
      <c r="AE741" s="54">
        <v>0</v>
      </c>
      <c r="AF741" s="315">
        <f t="shared" si="57"/>
        <v>0</v>
      </c>
    </row>
    <row r="742" spans="1:32" ht="240" x14ac:dyDescent="0.25">
      <c r="A742" s="107" t="s">
        <v>588</v>
      </c>
      <c r="B742" s="107" t="s">
        <v>2269</v>
      </c>
      <c r="C742" s="52"/>
      <c r="D742" s="107" t="s">
        <v>2300</v>
      </c>
      <c r="E742" s="22" t="str">
        <f t="shared" si="55"/>
        <v>SEJUSPPROG</v>
      </c>
      <c r="F742" s="52" t="s">
        <v>729</v>
      </c>
      <c r="G742" s="22" t="str">
        <f t="shared" si="56"/>
        <v>P130SEJUSP</v>
      </c>
      <c r="H742" s="129" t="s">
        <v>1183</v>
      </c>
      <c r="I742" s="22" t="s">
        <v>16</v>
      </c>
      <c r="J742" s="92" t="s">
        <v>458</v>
      </c>
      <c r="K742" s="22" t="str">
        <f>VLOOKUP(CONCATENATE(A742,LEFT(J742,4)),AGRUPAMENTO!$D$2:$E$6783,2,FALSE)</f>
        <v>Demais despesas de capital</v>
      </c>
      <c r="L742" s="129" t="s">
        <v>94</v>
      </c>
      <c r="M742" s="52"/>
      <c r="N742" s="92">
        <v>10</v>
      </c>
      <c r="O742" s="163" t="s">
        <v>3004</v>
      </c>
      <c r="P742" s="163" t="s">
        <v>46</v>
      </c>
      <c r="Q742" s="163" t="s">
        <v>3872</v>
      </c>
      <c r="R742" s="163">
        <v>6</v>
      </c>
      <c r="S742" s="163" t="s">
        <v>3923</v>
      </c>
      <c r="T742" s="217">
        <v>104500</v>
      </c>
      <c r="U742" s="218">
        <v>1</v>
      </c>
      <c r="V742" s="58">
        <f t="shared" si="54"/>
        <v>627000</v>
      </c>
      <c r="W742" s="290" t="s">
        <v>68</v>
      </c>
      <c r="X742" s="288" t="s">
        <v>4657</v>
      </c>
      <c r="Y742" s="291" t="s">
        <v>4660</v>
      </c>
      <c r="Z742" s="291" t="s">
        <v>4661</v>
      </c>
      <c r="AA742" s="292">
        <v>1</v>
      </c>
      <c r="AB742" s="92">
        <v>2</v>
      </c>
      <c r="AC742" s="92">
        <v>11</v>
      </c>
      <c r="AD742" s="21">
        <v>0</v>
      </c>
      <c r="AE742" s="54">
        <v>0</v>
      </c>
      <c r="AF742" s="315">
        <f t="shared" si="57"/>
        <v>0</v>
      </c>
    </row>
    <row r="743" spans="1:32" ht="240" x14ac:dyDescent="0.25">
      <c r="A743" s="107" t="s">
        <v>588</v>
      </c>
      <c r="B743" s="107" t="s">
        <v>2269</v>
      </c>
      <c r="C743" s="52"/>
      <c r="D743" s="107" t="s">
        <v>2300</v>
      </c>
      <c r="E743" s="22" t="str">
        <f t="shared" si="55"/>
        <v>SEJUSPPROG</v>
      </c>
      <c r="F743" s="52" t="s">
        <v>729</v>
      </c>
      <c r="G743" s="22" t="str">
        <f t="shared" si="56"/>
        <v>P130SEJUSP</v>
      </c>
      <c r="H743" s="129" t="s">
        <v>1183</v>
      </c>
      <c r="I743" s="22" t="s">
        <v>16</v>
      </c>
      <c r="J743" s="92" t="s">
        <v>303</v>
      </c>
      <c r="K743" s="22" t="str">
        <f>VLOOKUP(CONCATENATE(A743,LEFT(J743,4)),AGRUPAMENTO!$D$2:$E$6783,2,FALSE)</f>
        <v>Demais despesas de capital</v>
      </c>
      <c r="L743" s="129" t="s">
        <v>94</v>
      </c>
      <c r="M743" s="52"/>
      <c r="N743" s="92">
        <v>10</v>
      </c>
      <c r="O743" s="163" t="s">
        <v>3005</v>
      </c>
      <c r="P743" s="163" t="s">
        <v>46</v>
      </c>
      <c r="Q743" s="163" t="s">
        <v>3872</v>
      </c>
      <c r="R743" s="163">
        <v>150</v>
      </c>
      <c r="S743" s="163" t="s">
        <v>3926</v>
      </c>
      <c r="T743" s="217">
        <v>328.78</v>
      </c>
      <c r="U743" s="218">
        <v>1</v>
      </c>
      <c r="V743" s="58">
        <f t="shared" si="54"/>
        <v>49316.999999999993</v>
      </c>
      <c r="W743" s="290" t="s">
        <v>68</v>
      </c>
      <c r="X743" s="288" t="s">
        <v>4657</v>
      </c>
      <c r="Y743" s="291" t="s">
        <v>4660</v>
      </c>
      <c r="Z743" s="291" t="s">
        <v>4661</v>
      </c>
      <c r="AA743" s="292">
        <v>1</v>
      </c>
      <c r="AB743" s="92">
        <v>2</v>
      </c>
      <c r="AC743" s="92">
        <v>11</v>
      </c>
      <c r="AD743" s="21">
        <v>0</v>
      </c>
      <c r="AE743" s="54">
        <v>0</v>
      </c>
      <c r="AF743" s="315">
        <f t="shared" si="57"/>
        <v>0</v>
      </c>
    </row>
    <row r="744" spans="1:32" ht="330" x14ac:dyDescent="0.25">
      <c r="A744" s="107" t="s">
        <v>588</v>
      </c>
      <c r="B744" s="107" t="s">
        <v>2270</v>
      </c>
      <c r="C744" s="52"/>
      <c r="D744" s="108" t="s">
        <v>2301</v>
      </c>
      <c r="E744" s="22" t="str">
        <f t="shared" si="55"/>
        <v>SEJUSPPROG</v>
      </c>
      <c r="F744" s="116" t="s">
        <v>687</v>
      </c>
      <c r="G744" s="22" t="str">
        <f t="shared" si="56"/>
        <v>P705SEJUSP</v>
      </c>
      <c r="H744" s="86" t="s">
        <v>914</v>
      </c>
      <c r="I744" s="22" t="s">
        <v>16</v>
      </c>
      <c r="J744" s="52" t="s">
        <v>1664</v>
      </c>
      <c r="K744" s="22" t="str">
        <f>VLOOKUP(CONCATENATE(A744,LEFT(J744,4)),AGRUPAMENTO!$D$2:$E$6783,2,FALSE)</f>
        <v>Serviços de TIC</v>
      </c>
      <c r="L744" s="86" t="s">
        <v>44</v>
      </c>
      <c r="M744" s="52"/>
      <c r="N744" s="52">
        <v>10</v>
      </c>
      <c r="O744" s="164" t="s">
        <v>3006</v>
      </c>
      <c r="P744" s="164" t="s">
        <v>58</v>
      </c>
      <c r="Q744" s="164" t="s">
        <v>3936</v>
      </c>
      <c r="R744" s="164">
        <v>2</v>
      </c>
      <c r="S744" s="164" t="s">
        <v>3937</v>
      </c>
      <c r="T744" s="219">
        <v>953305</v>
      </c>
      <c r="U744" s="220">
        <v>1</v>
      </c>
      <c r="V744" s="58">
        <f t="shared" si="54"/>
        <v>1906610</v>
      </c>
      <c r="W744" s="86" t="s">
        <v>68</v>
      </c>
      <c r="X744" s="101" t="s">
        <v>4682</v>
      </c>
      <c r="Y744" s="164" t="s">
        <v>4683</v>
      </c>
      <c r="Z744" s="164" t="s">
        <v>4684</v>
      </c>
      <c r="AA744" s="164">
        <v>1</v>
      </c>
      <c r="AB744" s="52">
        <v>3</v>
      </c>
      <c r="AC744" s="52">
        <v>12</v>
      </c>
      <c r="AD744" s="21">
        <v>0</v>
      </c>
      <c r="AE744" s="54">
        <v>0</v>
      </c>
      <c r="AF744" s="315">
        <f t="shared" si="57"/>
        <v>0</v>
      </c>
    </row>
    <row r="745" spans="1:32" ht="165" x14ac:dyDescent="0.25">
      <c r="A745" s="107" t="s">
        <v>588</v>
      </c>
      <c r="B745" s="107" t="s">
        <v>2270</v>
      </c>
      <c r="C745" s="52"/>
      <c r="D745" s="108" t="s">
        <v>2301</v>
      </c>
      <c r="E745" s="22" t="str">
        <f t="shared" si="55"/>
        <v>SEJUSPPROG</v>
      </c>
      <c r="F745" s="116" t="s">
        <v>687</v>
      </c>
      <c r="G745" s="22" t="str">
        <f t="shared" si="56"/>
        <v>P705SEJUSP</v>
      </c>
      <c r="H745" s="86" t="s">
        <v>914</v>
      </c>
      <c r="I745" s="22" t="s">
        <v>16</v>
      </c>
      <c r="J745" s="52" t="s">
        <v>1664</v>
      </c>
      <c r="K745" s="22" t="str">
        <f>VLOOKUP(CONCATENATE(A745,LEFT(J745,4)),AGRUPAMENTO!$D$2:$E$6783,2,FALSE)</f>
        <v>Serviços de TIC</v>
      </c>
      <c r="L745" s="86" t="s">
        <v>44</v>
      </c>
      <c r="M745" s="52"/>
      <c r="N745" s="52">
        <v>10</v>
      </c>
      <c r="O745" s="164" t="s">
        <v>3007</v>
      </c>
      <c r="P745" s="164" t="s">
        <v>58</v>
      </c>
      <c r="Q745" s="164" t="s">
        <v>3936</v>
      </c>
      <c r="R745" s="164">
        <v>2</v>
      </c>
      <c r="S745" s="164" t="s">
        <v>3937</v>
      </c>
      <c r="T745" s="219">
        <v>1500000</v>
      </c>
      <c r="U745" s="220">
        <v>1</v>
      </c>
      <c r="V745" s="58">
        <f t="shared" si="54"/>
        <v>3000000</v>
      </c>
      <c r="W745" s="86" t="s">
        <v>68</v>
      </c>
      <c r="X745" s="101" t="s">
        <v>4682</v>
      </c>
      <c r="Y745" s="164" t="s">
        <v>4683</v>
      </c>
      <c r="Z745" s="164" t="s">
        <v>4684</v>
      </c>
      <c r="AA745" s="164">
        <v>1</v>
      </c>
      <c r="AB745" s="52">
        <v>3</v>
      </c>
      <c r="AC745" s="52">
        <v>12</v>
      </c>
      <c r="AD745" s="21">
        <v>0</v>
      </c>
      <c r="AE745" s="54">
        <v>0</v>
      </c>
      <c r="AF745" s="315">
        <f t="shared" si="57"/>
        <v>0</v>
      </c>
    </row>
    <row r="746" spans="1:32" ht="165" x14ac:dyDescent="0.25">
      <c r="A746" s="107" t="s">
        <v>588</v>
      </c>
      <c r="B746" s="107" t="s">
        <v>2270</v>
      </c>
      <c r="C746" s="52"/>
      <c r="D746" s="108" t="s">
        <v>2301</v>
      </c>
      <c r="E746" s="22" t="str">
        <f t="shared" si="55"/>
        <v>SEJUSPPROG</v>
      </c>
      <c r="F746" s="116" t="s">
        <v>687</v>
      </c>
      <c r="G746" s="22" t="str">
        <f t="shared" si="56"/>
        <v>P705SEJUSP</v>
      </c>
      <c r="H746" s="86" t="s">
        <v>914</v>
      </c>
      <c r="I746" s="22" t="s">
        <v>16</v>
      </c>
      <c r="J746" s="52" t="s">
        <v>1664</v>
      </c>
      <c r="K746" s="22" t="str">
        <f>VLOOKUP(CONCATENATE(A746,LEFT(J746,4)),AGRUPAMENTO!$D$2:$E$6783,2,FALSE)</f>
        <v>Serviços de TIC</v>
      </c>
      <c r="L746" s="86" t="s">
        <v>44</v>
      </c>
      <c r="M746" s="52"/>
      <c r="N746" s="52">
        <v>10</v>
      </c>
      <c r="O746" s="164" t="s">
        <v>3008</v>
      </c>
      <c r="P746" s="164" t="s">
        <v>58</v>
      </c>
      <c r="Q746" s="164" t="s">
        <v>3936</v>
      </c>
      <c r="R746" s="164">
        <v>1</v>
      </c>
      <c r="S746" s="164" t="s">
        <v>3937</v>
      </c>
      <c r="T746" s="219">
        <v>9980</v>
      </c>
      <c r="U746" s="220">
        <v>12</v>
      </c>
      <c r="V746" s="58">
        <f t="shared" si="54"/>
        <v>119760</v>
      </c>
      <c r="W746" s="86" t="s">
        <v>68</v>
      </c>
      <c r="X746" s="101" t="s">
        <v>4682</v>
      </c>
      <c r="Y746" s="164" t="s">
        <v>4683</v>
      </c>
      <c r="Z746" s="164" t="s">
        <v>4684</v>
      </c>
      <c r="AA746" s="164">
        <v>1</v>
      </c>
      <c r="AB746" s="52">
        <v>3</v>
      </c>
      <c r="AC746" s="52">
        <v>12</v>
      </c>
      <c r="AD746" s="21">
        <v>0</v>
      </c>
      <c r="AE746" s="54">
        <v>0</v>
      </c>
      <c r="AF746" s="315">
        <f t="shared" si="57"/>
        <v>0</v>
      </c>
    </row>
    <row r="747" spans="1:32" ht="165" x14ac:dyDescent="0.25">
      <c r="A747" s="107" t="s">
        <v>588</v>
      </c>
      <c r="B747" s="107" t="s">
        <v>2270</v>
      </c>
      <c r="C747" s="52"/>
      <c r="D747" s="108" t="s">
        <v>2301</v>
      </c>
      <c r="E747" s="22" t="str">
        <f t="shared" si="55"/>
        <v>SEJUSPPROG</v>
      </c>
      <c r="F747" s="116" t="s">
        <v>687</v>
      </c>
      <c r="G747" s="22" t="str">
        <f t="shared" si="56"/>
        <v>P705SEJUSP</v>
      </c>
      <c r="H747" s="86" t="s">
        <v>914</v>
      </c>
      <c r="I747" s="22" t="s">
        <v>16</v>
      </c>
      <c r="J747" s="52" t="s">
        <v>1664</v>
      </c>
      <c r="K747" s="22" t="str">
        <f>VLOOKUP(CONCATENATE(A747,LEFT(J747,4)),AGRUPAMENTO!$D$2:$E$6783,2,FALSE)</f>
        <v>Serviços de TIC</v>
      </c>
      <c r="L747" s="86" t="s">
        <v>44</v>
      </c>
      <c r="M747" s="52"/>
      <c r="N747" s="52">
        <v>10</v>
      </c>
      <c r="O747" s="164" t="s">
        <v>3009</v>
      </c>
      <c r="P747" s="164" t="s">
        <v>58</v>
      </c>
      <c r="Q747" s="164" t="s">
        <v>3936</v>
      </c>
      <c r="R747" s="164">
        <v>8</v>
      </c>
      <c r="S747" s="164" t="s">
        <v>3937</v>
      </c>
      <c r="T747" s="219">
        <v>58000</v>
      </c>
      <c r="U747" s="220">
        <v>12</v>
      </c>
      <c r="V747" s="58">
        <f t="shared" si="54"/>
        <v>5568000</v>
      </c>
      <c r="W747" s="86" t="s">
        <v>68</v>
      </c>
      <c r="X747" s="164" t="s">
        <v>4682</v>
      </c>
      <c r="Y747" s="164" t="s">
        <v>4683</v>
      </c>
      <c r="Z747" s="164" t="s">
        <v>4684</v>
      </c>
      <c r="AA747" s="164">
        <v>1</v>
      </c>
      <c r="AB747" s="52">
        <v>3</v>
      </c>
      <c r="AC747" s="52">
        <v>12</v>
      </c>
      <c r="AD747" s="21">
        <v>0</v>
      </c>
      <c r="AE747" s="54">
        <v>0</v>
      </c>
      <c r="AF747" s="315">
        <f t="shared" si="57"/>
        <v>0</v>
      </c>
    </row>
    <row r="748" spans="1:32" ht="240" x14ac:dyDescent="0.25">
      <c r="A748" s="107" t="s">
        <v>588</v>
      </c>
      <c r="B748" s="107" t="s">
        <v>2269</v>
      </c>
      <c r="C748" s="52"/>
      <c r="D748" s="107" t="s">
        <v>2300</v>
      </c>
      <c r="E748" s="22" t="str">
        <f t="shared" si="55"/>
        <v>SEJUSPPROG</v>
      </c>
      <c r="F748" s="52" t="s">
        <v>729</v>
      </c>
      <c r="G748" s="22" t="str">
        <f t="shared" si="56"/>
        <v>P130SEJUSP</v>
      </c>
      <c r="H748" s="129" t="s">
        <v>1183</v>
      </c>
      <c r="I748" s="22" t="s">
        <v>16</v>
      </c>
      <c r="J748" s="92" t="s">
        <v>303</v>
      </c>
      <c r="K748" s="22" t="str">
        <f>VLOOKUP(CONCATENATE(A748,LEFT(J748,4)),AGRUPAMENTO!$D$2:$E$6783,2,FALSE)</f>
        <v>Demais despesas de capital</v>
      </c>
      <c r="L748" s="129" t="s">
        <v>94</v>
      </c>
      <c r="M748" s="52"/>
      <c r="N748" s="92">
        <v>10</v>
      </c>
      <c r="O748" s="163" t="s">
        <v>3010</v>
      </c>
      <c r="P748" s="163" t="s">
        <v>46</v>
      </c>
      <c r="Q748" s="163" t="s">
        <v>3872</v>
      </c>
      <c r="R748" s="163">
        <v>200</v>
      </c>
      <c r="S748" s="163" t="s">
        <v>3926</v>
      </c>
      <c r="T748" s="217">
        <v>299.89999999999998</v>
      </c>
      <c r="U748" s="218">
        <v>1</v>
      </c>
      <c r="V748" s="58">
        <f t="shared" si="54"/>
        <v>59979.999999999993</v>
      </c>
      <c r="W748" s="52" t="s">
        <v>49</v>
      </c>
      <c r="X748" s="291" t="s">
        <v>4681</v>
      </c>
      <c r="Y748" s="291" t="s">
        <v>4660</v>
      </c>
      <c r="Z748" s="291" t="s">
        <v>4661</v>
      </c>
      <c r="AA748" s="52">
        <v>0</v>
      </c>
      <c r="AB748" s="52">
        <v>0</v>
      </c>
      <c r="AC748" s="52">
        <v>0</v>
      </c>
      <c r="AD748" s="21">
        <v>0</v>
      </c>
      <c r="AE748" s="54">
        <v>0</v>
      </c>
      <c r="AF748" s="315">
        <f t="shared" si="57"/>
        <v>0</v>
      </c>
    </row>
    <row r="749" spans="1:32" ht="240" x14ac:dyDescent="0.25">
      <c r="A749" s="107" t="s">
        <v>588</v>
      </c>
      <c r="B749" s="107" t="s">
        <v>2269</v>
      </c>
      <c r="C749" s="52"/>
      <c r="D749" s="107" t="s">
        <v>2300</v>
      </c>
      <c r="E749" s="22" t="str">
        <f t="shared" si="55"/>
        <v>SEJUSPPROG</v>
      </c>
      <c r="F749" s="52" t="s">
        <v>729</v>
      </c>
      <c r="G749" s="22" t="str">
        <f t="shared" si="56"/>
        <v>P130SEJUSP</v>
      </c>
      <c r="H749" s="129" t="s">
        <v>1183</v>
      </c>
      <c r="I749" s="22" t="s">
        <v>16</v>
      </c>
      <c r="J749" s="92" t="s">
        <v>303</v>
      </c>
      <c r="K749" s="22" t="str">
        <f>VLOOKUP(CONCATENATE(A749,LEFT(J749,4)),AGRUPAMENTO!$D$2:$E$6783,2,FALSE)</f>
        <v>Demais despesas de capital</v>
      </c>
      <c r="L749" s="129" t="s">
        <v>94</v>
      </c>
      <c r="M749" s="52"/>
      <c r="N749" s="92">
        <v>10</v>
      </c>
      <c r="O749" s="163" t="s">
        <v>3011</v>
      </c>
      <c r="P749" s="163" t="s">
        <v>46</v>
      </c>
      <c r="Q749" s="163" t="s">
        <v>3872</v>
      </c>
      <c r="R749" s="163">
        <v>100</v>
      </c>
      <c r="S749" s="163" t="s">
        <v>3935</v>
      </c>
      <c r="T749" s="217">
        <v>3900</v>
      </c>
      <c r="U749" s="218">
        <v>1</v>
      </c>
      <c r="V749" s="58">
        <f t="shared" si="54"/>
        <v>390000</v>
      </c>
      <c r="W749" s="52" t="s">
        <v>49</v>
      </c>
      <c r="X749" s="291" t="s">
        <v>4681</v>
      </c>
      <c r="Y749" s="291" t="s">
        <v>4660</v>
      </c>
      <c r="Z749" s="291" t="s">
        <v>4661</v>
      </c>
      <c r="AA749" s="52">
        <v>0</v>
      </c>
      <c r="AB749" s="52">
        <v>0</v>
      </c>
      <c r="AC749" s="52">
        <v>0</v>
      </c>
      <c r="AD749" s="21">
        <v>0</v>
      </c>
      <c r="AE749" s="54">
        <v>0</v>
      </c>
      <c r="AF749" s="315">
        <f t="shared" si="57"/>
        <v>0</v>
      </c>
    </row>
    <row r="750" spans="1:32" ht="165" x14ac:dyDescent="0.25">
      <c r="A750" s="107" t="s">
        <v>588</v>
      </c>
      <c r="B750" s="107" t="s">
        <v>2270</v>
      </c>
      <c r="C750" s="52"/>
      <c r="D750" s="108" t="s">
        <v>2301</v>
      </c>
      <c r="E750" s="22" t="str">
        <f t="shared" si="55"/>
        <v>SEJUSPPROG</v>
      </c>
      <c r="F750" s="116" t="s">
        <v>687</v>
      </c>
      <c r="G750" s="22" t="str">
        <f t="shared" si="56"/>
        <v>P705SEJUSP</v>
      </c>
      <c r="H750" s="86" t="s">
        <v>914</v>
      </c>
      <c r="I750" s="22" t="s">
        <v>16</v>
      </c>
      <c r="J750" s="52" t="s">
        <v>1664</v>
      </c>
      <c r="K750" s="22" t="str">
        <f>VLOOKUP(CONCATENATE(A750,LEFT(J750,4)),AGRUPAMENTO!$D$2:$E$6783,2,FALSE)</f>
        <v>Serviços de TIC</v>
      </c>
      <c r="L750" s="86" t="s">
        <v>44</v>
      </c>
      <c r="M750" s="52"/>
      <c r="N750" s="52">
        <v>10</v>
      </c>
      <c r="O750" s="164" t="s">
        <v>3012</v>
      </c>
      <c r="P750" s="164" t="s">
        <v>58</v>
      </c>
      <c r="Q750" s="164" t="s">
        <v>3936</v>
      </c>
      <c r="R750" s="164">
        <v>6875</v>
      </c>
      <c r="S750" s="164" t="s">
        <v>3937</v>
      </c>
      <c r="T750" s="219">
        <v>148.91999999999999</v>
      </c>
      <c r="U750" s="220">
        <v>12</v>
      </c>
      <c r="V750" s="58">
        <f t="shared" si="54"/>
        <v>12285899.999999998</v>
      </c>
      <c r="W750" s="86" t="s">
        <v>68</v>
      </c>
      <c r="X750" s="101" t="s">
        <v>4682</v>
      </c>
      <c r="Y750" s="164" t="s">
        <v>4683</v>
      </c>
      <c r="Z750" s="164" t="s">
        <v>4684</v>
      </c>
      <c r="AA750" s="164">
        <v>5</v>
      </c>
      <c r="AB750" s="52">
        <v>3</v>
      </c>
      <c r="AC750" s="52">
        <v>12</v>
      </c>
      <c r="AD750" s="21">
        <v>0</v>
      </c>
      <c r="AE750" s="54">
        <v>0</v>
      </c>
      <c r="AF750" s="315">
        <f t="shared" si="57"/>
        <v>0</v>
      </c>
    </row>
    <row r="751" spans="1:32" ht="409.5" x14ac:dyDescent="0.25">
      <c r="A751" s="107" t="s">
        <v>588</v>
      </c>
      <c r="B751" s="107" t="s">
        <v>2271</v>
      </c>
      <c r="C751" s="52"/>
      <c r="D751" s="107" t="s">
        <v>2302</v>
      </c>
      <c r="E751" s="22" t="str">
        <f t="shared" si="55"/>
        <v>SEJUSPPROG</v>
      </c>
      <c r="F751" s="123" t="s">
        <v>886</v>
      </c>
      <c r="G751" s="22" t="str">
        <f t="shared" si="56"/>
        <v>P146SEJUSP</v>
      </c>
      <c r="H751" s="105" t="s">
        <v>1424</v>
      </c>
      <c r="I751" s="22" t="s">
        <v>16</v>
      </c>
      <c r="J751" s="92" t="s">
        <v>2233</v>
      </c>
      <c r="K751" s="22" t="str">
        <f>VLOOKUP(CONCATENATE(A751,LEFT(J751,4)),AGRUPAMENTO!$D$2:$E$6783,2,FALSE)</f>
        <v>Demais despesas de capital</v>
      </c>
      <c r="L751" s="105" t="s">
        <v>94</v>
      </c>
      <c r="M751" s="52"/>
      <c r="N751" s="52">
        <v>10</v>
      </c>
      <c r="O751" s="165" t="s">
        <v>3013</v>
      </c>
      <c r="P751" s="165" t="s">
        <v>58</v>
      </c>
      <c r="Q751" s="165" t="s">
        <v>3938</v>
      </c>
      <c r="R751" s="165">
        <v>14</v>
      </c>
      <c r="S751" s="165" t="s">
        <v>3939</v>
      </c>
      <c r="T751" s="221">
        <v>216040</v>
      </c>
      <c r="U751" s="222">
        <v>1</v>
      </c>
      <c r="V751" s="58">
        <f t="shared" si="54"/>
        <v>3024560</v>
      </c>
      <c r="W751" s="105" t="s">
        <v>68</v>
      </c>
      <c r="X751" s="293" t="s">
        <v>4685</v>
      </c>
      <c r="Y751" s="294" t="s">
        <v>4686</v>
      </c>
      <c r="Z751" s="294" t="s">
        <v>4687</v>
      </c>
      <c r="AA751" s="165">
        <v>1</v>
      </c>
      <c r="AB751" s="106">
        <v>3</v>
      </c>
      <c r="AC751" s="106">
        <v>13</v>
      </c>
      <c r="AD751" s="21">
        <v>0</v>
      </c>
      <c r="AE751" s="54">
        <v>0</v>
      </c>
      <c r="AF751" s="315">
        <f t="shared" si="57"/>
        <v>0</v>
      </c>
    </row>
    <row r="752" spans="1:32" ht="409.5" x14ac:dyDescent="0.25">
      <c r="A752" s="107" t="s">
        <v>588</v>
      </c>
      <c r="B752" s="107" t="s">
        <v>2273</v>
      </c>
      <c r="C752" s="52"/>
      <c r="D752" s="107" t="s">
        <v>2294</v>
      </c>
      <c r="E752" s="22" t="str">
        <f t="shared" si="55"/>
        <v>SEJUSPPROG</v>
      </c>
      <c r="F752" s="52" t="s">
        <v>699</v>
      </c>
      <c r="G752" s="22" t="str">
        <f t="shared" si="56"/>
        <v>P141SEJUSP</v>
      </c>
      <c r="H752" s="86" t="s">
        <v>1403</v>
      </c>
      <c r="I752" s="22" t="s">
        <v>16</v>
      </c>
      <c r="J752" s="52" t="s">
        <v>490</v>
      </c>
      <c r="K752" s="22" t="str">
        <f>VLOOKUP(CONCATENATE(A752,LEFT(J752,4)),AGRUPAMENTO!$D$2:$E$6783,2,FALSE)</f>
        <v>Material de consumo</v>
      </c>
      <c r="L752" s="86" t="s">
        <v>44</v>
      </c>
      <c r="M752" s="52"/>
      <c r="N752" s="52">
        <v>10</v>
      </c>
      <c r="O752" s="164" t="s">
        <v>3014</v>
      </c>
      <c r="P752" s="164" t="s">
        <v>58</v>
      </c>
      <c r="Q752" s="164" t="s">
        <v>3915</v>
      </c>
      <c r="R752" s="164">
        <v>3</v>
      </c>
      <c r="S752" s="164" t="s">
        <v>3916</v>
      </c>
      <c r="T752" s="219">
        <v>85</v>
      </c>
      <c r="U752" s="220">
        <v>1</v>
      </c>
      <c r="V752" s="58">
        <f t="shared" si="54"/>
        <v>255</v>
      </c>
      <c r="W752" s="295" t="s">
        <v>68</v>
      </c>
      <c r="X752" s="296" t="s">
        <v>4576</v>
      </c>
      <c r="Y752" s="297" t="s">
        <v>4577</v>
      </c>
      <c r="Z752" s="298" t="s">
        <v>4578</v>
      </c>
      <c r="AA752" s="298">
        <v>1</v>
      </c>
      <c r="AB752" s="278">
        <v>3</v>
      </c>
      <c r="AC752" s="278">
        <v>14</v>
      </c>
      <c r="AD752" s="21">
        <v>0</v>
      </c>
      <c r="AE752" s="54">
        <v>0</v>
      </c>
      <c r="AF752" s="315">
        <f t="shared" si="57"/>
        <v>0</v>
      </c>
    </row>
    <row r="753" spans="1:32" ht="409.5" x14ac:dyDescent="0.25">
      <c r="A753" s="107" t="s">
        <v>588</v>
      </c>
      <c r="B753" s="107" t="s">
        <v>2273</v>
      </c>
      <c r="C753" s="52"/>
      <c r="D753" s="107" t="s">
        <v>2294</v>
      </c>
      <c r="E753" s="22" t="str">
        <f t="shared" si="55"/>
        <v>SEJUSPPROG</v>
      </c>
      <c r="F753" s="52" t="s">
        <v>699</v>
      </c>
      <c r="G753" s="22" t="str">
        <f t="shared" si="56"/>
        <v>P141SEJUSP</v>
      </c>
      <c r="H753" s="86" t="s">
        <v>1403</v>
      </c>
      <c r="I753" s="22" t="s">
        <v>16</v>
      </c>
      <c r="J753" s="52" t="s">
        <v>490</v>
      </c>
      <c r="K753" s="22" t="str">
        <f>VLOOKUP(CONCATENATE(A753,LEFT(J753,4)),AGRUPAMENTO!$D$2:$E$6783,2,FALSE)</f>
        <v>Material de consumo</v>
      </c>
      <c r="L753" s="86" t="s">
        <v>44</v>
      </c>
      <c r="M753" s="52"/>
      <c r="N753" s="52">
        <v>10</v>
      </c>
      <c r="O753" s="164" t="s">
        <v>3015</v>
      </c>
      <c r="P753" s="164" t="s">
        <v>58</v>
      </c>
      <c r="Q753" s="164" t="s">
        <v>3919</v>
      </c>
      <c r="R753" s="164">
        <v>60</v>
      </c>
      <c r="S753" s="164" t="s">
        <v>3920</v>
      </c>
      <c r="T753" s="219">
        <v>85</v>
      </c>
      <c r="U753" s="220">
        <v>1</v>
      </c>
      <c r="V753" s="58">
        <f t="shared" si="54"/>
        <v>5100</v>
      </c>
      <c r="W753" s="295" t="s">
        <v>68</v>
      </c>
      <c r="X753" s="296" t="s">
        <v>4576</v>
      </c>
      <c r="Y753" s="297" t="s">
        <v>4577</v>
      </c>
      <c r="Z753" s="298" t="s">
        <v>4578</v>
      </c>
      <c r="AA753" s="298">
        <v>1</v>
      </c>
      <c r="AB753" s="278">
        <v>3</v>
      </c>
      <c r="AC753" s="278">
        <v>14</v>
      </c>
      <c r="AD753" s="21">
        <v>0</v>
      </c>
      <c r="AE753" s="54">
        <v>0</v>
      </c>
      <c r="AF753" s="315">
        <f t="shared" si="57"/>
        <v>0</v>
      </c>
    </row>
    <row r="754" spans="1:32" ht="409.5" x14ac:dyDescent="0.25">
      <c r="A754" s="107" t="s">
        <v>588</v>
      </c>
      <c r="B754" s="107" t="s">
        <v>2273</v>
      </c>
      <c r="C754" s="52"/>
      <c r="D754" s="107" t="s">
        <v>2294</v>
      </c>
      <c r="E754" s="22" t="str">
        <f t="shared" si="55"/>
        <v>SEJUSPPROG</v>
      </c>
      <c r="F754" s="52" t="s">
        <v>699</v>
      </c>
      <c r="G754" s="22" t="str">
        <f t="shared" si="56"/>
        <v>P141SEJUSP</v>
      </c>
      <c r="H754" s="86" t="s">
        <v>1403</v>
      </c>
      <c r="I754" s="22" t="s">
        <v>16</v>
      </c>
      <c r="J754" s="52" t="s">
        <v>490</v>
      </c>
      <c r="K754" s="22" t="str">
        <f>VLOOKUP(CONCATENATE(A754,LEFT(J754,4)),AGRUPAMENTO!$D$2:$E$6783,2,FALSE)</f>
        <v>Material de consumo</v>
      </c>
      <c r="L754" s="86" t="s">
        <v>44</v>
      </c>
      <c r="M754" s="52"/>
      <c r="N754" s="52">
        <v>10</v>
      </c>
      <c r="O754" s="164" t="s">
        <v>2865</v>
      </c>
      <c r="P754" s="164" t="s">
        <v>58</v>
      </c>
      <c r="Q754" s="164" t="s">
        <v>3921</v>
      </c>
      <c r="R754" s="164">
        <v>3600</v>
      </c>
      <c r="S754" s="164" t="s">
        <v>3922</v>
      </c>
      <c r="T754" s="219">
        <v>11</v>
      </c>
      <c r="U754" s="220">
        <v>1</v>
      </c>
      <c r="V754" s="58">
        <f t="shared" si="54"/>
        <v>39600</v>
      </c>
      <c r="W754" s="295" t="s">
        <v>68</v>
      </c>
      <c r="X754" s="296" t="s">
        <v>4576</v>
      </c>
      <c r="Y754" s="297" t="s">
        <v>4577</v>
      </c>
      <c r="Z754" s="298" t="s">
        <v>4578</v>
      </c>
      <c r="AA754" s="298">
        <v>1</v>
      </c>
      <c r="AB754" s="278">
        <v>3</v>
      </c>
      <c r="AC754" s="278">
        <v>14</v>
      </c>
      <c r="AD754" s="21">
        <v>0</v>
      </c>
      <c r="AE754" s="54">
        <v>0</v>
      </c>
      <c r="AF754" s="315">
        <f t="shared" si="57"/>
        <v>0</v>
      </c>
    </row>
    <row r="755" spans="1:32" ht="210" x14ac:dyDescent="0.25">
      <c r="A755" s="107" t="s">
        <v>588</v>
      </c>
      <c r="B755" s="107" t="s">
        <v>2269</v>
      </c>
      <c r="C755" s="52"/>
      <c r="D755" s="107" t="s">
        <v>2300</v>
      </c>
      <c r="E755" s="22" t="str">
        <f t="shared" si="55"/>
        <v>SEJUSPPROG</v>
      </c>
      <c r="F755" s="52" t="s">
        <v>729</v>
      </c>
      <c r="G755" s="22" t="str">
        <f t="shared" si="56"/>
        <v>P130SEJUSP</v>
      </c>
      <c r="H755" s="129" t="s">
        <v>1183</v>
      </c>
      <c r="I755" s="22" t="s">
        <v>16</v>
      </c>
      <c r="J755" s="92" t="s">
        <v>2233</v>
      </c>
      <c r="K755" s="22" t="str">
        <f>VLOOKUP(CONCATENATE(A755,LEFT(J755,4)),AGRUPAMENTO!$D$2:$E$6783,2,FALSE)</f>
        <v>Demais despesas de capital</v>
      </c>
      <c r="L755" s="129" t="s">
        <v>94</v>
      </c>
      <c r="M755" s="52"/>
      <c r="N755" s="92">
        <v>10</v>
      </c>
      <c r="O755" s="163" t="s">
        <v>3016</v>
      </c>
      <c r="P755" s="163" t="s">
        <v>46</v>
      </c>
      <c r="Q755" s="163" t="s">
        <v>3872</v>
      </c>
      <c r="R755" s="163">
        <v>19</v>
      </c>
      <c r="S755" s="163" t="s">
        <v>3923</v>
      </c>
      <c r="T755" s="217">
        <v>275000</v>
      </c>
      <c r="U755" s="218">
        <v>1</v>
      </c>
      <c r="V755" s="58">
        <f t="shared" si="54"/>
        <v>5225000</v>
      </c>
      <c r="W755" s="290" t="s">
        <v>68</v>
      </c>
      <c r="X755" s="288" t="s">
        <v>4688</v>
      </c>
      <c r="Y755" s="291" t="s">
        <v>4689</v>
      </c>
      <c r="Z755" s="291" t="s">
        <v>4690</v>
      </c>
      <c r="AA755" s="292">
        <v>2</v>
      </c>
      <c r="AB755" s="92">
        <v>3</v>
      </c>
      <c r="AC755" s="92">
        <v>15</v>
      </c>
      <c r="AD755" s="21">
        <v>0</v>
      </c>
      <c r="AE755" s="54">
        <v>0</v>
      </c>
      <c r="AF755" s="315">
        <f t="shared" si="57"/>
        <v>0</v>
      </c>
    </row>
    <row r="756" spans="1:32" ht="300" x14ac:dyDescent="0.25">
      <c r="A756" s="107" t="s">
        <v>588</v>
      </c>
      <c r="B756" s="107" t="s">
        <v>2269</v>
      </c>
      <c r="C756" s="52"/>
      <c r="D756" s="107" t="s">
        <v>2300</v>
      </c>
      <c r="E756" s="22" t="str">
        <f t="shared" si="55"/>
        <v>SEJUSPPROG</v>
      </c>
      <c r="F756" s="52" t="s">
        <v>729</v>
      </c>
      <c r="G756" s="22" t="str">
        <f t="shared" si="56"/>
        <v>P130SEJUSP</v>
      </c>
      <c r="H756" s="129" t="s">
        <v>1183</v>
      </c>
      <c r="I756" s="22" t="s">
        <v>16</v>
      </c>
      <c r="J756" s="92" t="s">
        <v>2233</v>
      </c>
      <c r="K756" s="22" t="str">
        <f>VLOOKUP(CONCATENATE(A756,LEFT(J756,4)),AGRUPAMENTO!$D$2:$E$6783,2,FALSE)</f>
        <v>Demais despesas de capital</v>
      </c>
      <c r="L756" s="129" t="s">
        <v>94</v>
      </c>
      <c r="M756" s="52"/>
      <c r="N756" s="92">
        <v>10</v>
      </c>
      <c r="O756" s="163" t="s">
        <v>3017</v>
      </c>
      <c r="P756" s="163" t="s">
        <v>46</v>
      </c>
      <c r="Q756" s="163" t="s">
        <v>3872</v>
      </c>
      <c r="R756" s="163">
        <v>100</v>
      </c>
      <c r="S756" s="163" t="s">
        <v>3923</v>
      </c>
      <c r="T756" s="217">
        <v>280000</v>
      </c>
      <c r="U756" s="218">
        <v>1</v>
      </c>
      <c r="V756" s="58">
        <f t="shared" si="54"/>
        <v>28000000</v>
      </c>
      <c r="W756" s="290" t="s">
        <v>68</v>
      </c>
      <c r="X756" s="288" t="s">
        <v>4688</v>
      </c>
      <c r="Y756" s="291" t="s">
        <v>4689</v>
      </c>
      <c r="Z756" s="291" t="s">
        <v>4690</v>
      </c>
      <c r="AA756" s="292">
        <v>2</v>
      </c>
      <c r="AB756" s="92">
        <v>3</v>
      </c>
      <c r="AC756" s="92">
        <v>15</v>
      </c>
      <c r="AD756" s="21">
        <v>0</v>
      </c>
      <c r="AE756" s="54">
        <v>0</v>
      </c>
      <c r="AF756" s="315">
        <f t="shared" si="57"/>
        <v>0</v>
      </c>
    </row>
    <row r="757" spans="1:32" ht="165" x14ac:dyDescent="0.25">
      <c r="A757" s="107" t="s">
        <v>588</v>
      </c>
      <c r="B757" s="107" t="s">
        <v>2269</v>
      </c>
      <c r="C757" s="52"/>
      <c r="D757" s="107" t="s">
        <v>2300</v>
      </c>
      <c r="E757" s="22" t="str">
        <f t="shared" si="55"/>
        <v>SEJUSPPROG</v>
      </c>
      <c r="F757" s="52" t="s">
        <v>729</v>
      </c>
      <c r="G757" s="22" t="str">
        <f t="shared" si="56"/>
        <v>P130SEJUSP</v>
      </c>
      <c r="H757" s="129" t="s">
        <v>1183</v>
      </c>
      <c r="I757" s="22" t="s">
        <v>16</v>
      </c>
      <c r="J757" s="92" t="s">
        <v>2233</v>
      </c>
      <c r="K757" s="22" t="str">
        <f>VLOOKUP(CONCATENATE(A757,LEFT(J757,4)),AGRUPAMENTO!$D$2:$E$6783,2,FALSE)</f>
        <v>Demais despesas de capital</v>
      </c>
      <c r="L757" s="129" t="s">
        <v>94</v>
      </c>
      <c r="M757" s="52"/>
      <c r="N757" s="92">
        <v>10</v>
      </c>
      <c r="O757" s="163" t="s">
        <v>3018</v>
      </c>
      <c r="P757" s="163" t="s">
        <v>46</v>
      </c>
      <c r="Q757" s="163" t="s">
        <v>3872</v>
      </c>
      <c r="R757" s="163">
        <v>19</v>
      </c>
      <c r="S757" s="163" t="s">
        <v>3923</v>
      </c>
      <c r="T757" s="217">
        <v>500000</v>
      </c>
      <c r="U757" s="218">
        <v>1</v>
      </c>
      <c r="V757" s="58">
        <f t="shared" si="54"/>
        <v>9500000</v>
      </c>
      <c r="W757" s="290" t="s">
        <v>68</v>
      </c>
      <c r="X757" s="288" t="s">
        <v>4688</v>
      </c>
      <c r="Y757" s="291" t="s">
        <v>4689</v>
      </c>
      <c r="Z757" s="291" t="s">
        <v>4690</v>
      </c>
      <c r="AA757" s="292">
        <v>3</v>
      </c>
      <c r="AB757" s="92">
        <v>3</v>
      </c>
      <c r="AC757" s="92">
        <v>15</v>
      </c>
      <c r="AD757" s="21">
        <v>0</v>
      </c>
      <c r="AE757" s="54">
        <v>0</v>
      </c>
      <c r="AF757" s="315">
        <f t="shared" si="57"/>
        <v>0</v>
      </c>
    </row>
    <row r="758" spans="1:32" ht="165" x14ac:dyDescent="0.25">
      <c r="A758" s="107" t="s">
        <v>588</v>
      </c>
      <c r="B758" s="107" t="s">
        <v>2269</v>
      </c>
      <c r="C758" s="52"/>
      <c r="D758" s="107" t="s">
        <v>2300</v>
      </c>
      <c r="E758" s="22" t="str">
        <f t="shared" si="55"/>
        <v>SEJUSPPROG</v>
      </c>
      <c r="F758" s="52" t="s">
        <v>729</v>
      </c>
      <c r="G758" s="22" t="str">
        <f t="shared" si="56"/>
        <v>P130SEJUSP</v>
      </c>
      <c r="H758" s="129" t="s">
        <v>1183</v>
      </c>
      <c r="I758" s="22" t="s">
        <v>16</v>
      </c>
      <c r="J758" s="92" t="s">
        <v>2233</v>
      </c>
      <c r="K758" s="22" t="str">
        <f>VLOOKUP(CONCATENATE(A758,LEFT(J758,4)),AGRUPAMENTO!$D$2:$E$6783,2,FALSE)</f>
        <v>Demais despesas de capital</v>
      </c>
      <c r="L758" s="129" t="s">
        <v>94</v>
      </c>
      <c r="M758" s="52"/>
      <c r="N758" s="92">
        <v>10</v>
      </c>
      <c r="O758" s="163" t="s">
        <v>3019</v>
      </c>
      <c r="P758" s="163" t="s">
        <v>46</v>
      </c>
      <c r="Q758" s="163" t="s">
        <v>3872</v>
      </c>
      <c r="R758" s="163">
        <v>168</v>
      </c>
      <c r="S758" s="163" t="s">
        <v>3923</v>
      </c>
      <c r="T758" s="217">
        <v>90000</v>
      </c>
      <c r="U758" s="218">
        <v>1</v>
      </c>
      <c r="V758" s="58">
        <f t="shared" si="54"/>
        <v>15120000</v>
      </c>
      <c r="W758" s="290" t="s">
        <v>68</v>
      </c>
      <c r="X758" s="288" t="s">
        <v>4688</v>
      </c>
      <c r="Y758" s="291" t="s">
        <v>4689</v>
      </c>
      <c r="Z758" s="291" t="s">
        <v>4690</v>
      </c>
      <c r="AA758" s="292">
        <v>3</v>
      </c>
      <c r="AB758" s="92">
        <v>3</v>
      </c>
      <c r="AC758" s="92">
        <v>15</v>
      </c>
      <c r="AD758" s="21">
        <v>0</v>
      </c>
      <c r="AE758" s="54">
        <v>0</v>
      </c>
      <c r="AF758" s="315">
        <f t="shared" si="57"/>
        <v>0</v>
      </c>
    </row>
    <row r="759" spans="1:32" ht="90" x14ac:dyDescent="0.25">
      <c r="A759" s="109" t="s">
        <v>588</v>
      </c>
      <c r="B759" s="110" t="s">
        <v>2270</v>
      </c>
      <c r="C759" s="52"/>
      <c r="D759" s="110" t="s">
        <v>2276</v>
      </c>
      <c r="E759" s="22" t="str">
        <f t="shared" si="55"/>
        <v>SEJUSPPROG</v>
      </c>
      <c r="F759" s="52" t="s">
        <v>729</v>
      </c>
      <c r="G759" s="22" t="str">
        <f t="shared" si="56"/>
        <v>P130SEJUSP</v>
      </c>
      <c r="H759" s="130" t="s">
        <v>1183</v>
      </c>
      <c r="I759" s="22" t="s">
        <v>16</v>
      </c>
      <c r="J759" s="52" t="s">
        <v>445</v>
      </c>
      <c r="K759" s="22" t="str">
        <f>VLOOKUP(CONCATENATE(A759,LEFT(J759,4)),AGRUPAMENTO!$D$2:$E$6783,2,FALSE)</f>
        <v>Material de consumo</v>
      </c>
      <c r="L759" s="130" t="s">
        <v>44</v>
      </c>
      <c r="M759" s="52"/>
      <c r="N759" s="52">
        <v>60</v>
      </c>
      <c r="O759" s="166" t="s">
        <v>3020</v>
      </c>
      <c r="P759" s="166" t="s">
        <v>46</v>
      </c>
      <c r="Q759" s="166" t="s">
        <v>3940</v>
      </c>
      <c r="R759" s="223">
        <v>1500</v>
      </c>
      <c r="S759" s="166" t="s">
        <v>3886</v>
      </c>
      <c r="T759" s="224">
        <v>2080</v>
      </c>
      <c r="U759" s="225">
        <v>1</v>
      </c>
      <c r="V759" s="58">
        <f t="shared" si="54"/>
        <v>3120000</v>
      </c>
      <c r="W759" s="130" t="s">
        <v>68</v>
      </c>
      <c r="X759" s="299" t="s">
        <v>4691</v>
      </c>
      <c r="Y759" s="166" t="s">
        <v>4692</v>
      </c>
      <c r="Z759" s="166" t="s">
        <v>4590</v>
      </c>
      <c r="AA759" s="166">
        <v>3</v>
      </c>
      <c r="AB759" s="123">
        <v>4</v>
      </c>
      <c r="AC759" s="123">
        <v>16</v>
      </c>
      <c r="AD759" s="21">
        <v>0</v>
      </c>
      <c r="AE759" s="54">
        <v>0</v>
      </c>
      <c r="AF759" s="315">
        <f t="shared" si="57"/>
        <v>0</v>
      </c>
    </row>
    <row r="760" spans="1:32" ht="285" x14ac:dyDescent="0.25">
      <c r="A760" s="107" t="s">
        <v>588</v>
      </c>
      <c r="B760" s="107" t="s">
        <v>2271</v>
      </c>
      <c r="C760" s="52"/>
      <c r="D760" s="107" t="s">
        <v>2289</v>
      </c>
      <c r="E760" s="22" t="str">
        <f t="shared" si="55"/>
        <v>SEJUSPPROG</v>
      </c>
      <c r="F760" s="123" t="s">
        <v>886</v>
      </c>
      <c r="G760" s="22" t="str">
        <f t="shared" si="56"/>
        <v>P146SEJUSP</v>
      </c>
      <c r="H760" s="105" t="s">
        <v>1424</v>
      </c>
      <c r="I760" s="22" t="s">
        <v>16</v>
      </c>
      <c r="J760" s="92" t="s">
        <v>2233</v>
      </c>
      <c r="K760" s="22" t="str">
        <f>VLOOKUP(CONCATENATE(A760,LEFT(J760,4)),AGRUPAMENTO!$D$2:$E$6783,2,FALSE)</f>
        <v>Demais despesas de capital</v>
      </c>
      <c r="L760" s="105" t="s">
        <v>94</v>
      </c>
      <c r="M760" s="52"/>
      <c r="N760" s="52">
        <v>10</v>
      </c>
      <c r="O760" s="165" t="s">
        <v>3021</v>
      </c>
      <c r="P760" s="165" t="s">
        <v>58</v>
      </c>
      <c r="Q760" s="165" t="s">
        <v>3812</v>
      </c>
      <c r="R760" s="165">
        <v>30</v>
      </c>
      <c r="S760" s="165" t="s">
        <v>3941</v>
      </c>
      <c r="T760" s="221">
        <v>198640</v>
      </c>
      <c r="U760" s="222">
        <v>1</v>
      </c>
      <c r="V760" s="58">
        <f t="shared" si="54"/>
        <v>5959200</v>
      </c>
      <c r="W760" s="105" t="s">
        <v>68</v>
      </c>
      <c r="X760" s="293" t="s">
        <v>4693</v>
      </c>
      <c r="Y760" s="294" t="s">
        <v>4694</v>
      </c>
      <c r="Z760" s="294" t="s">
        <v>4695</v>
      </c>
      <c r="AA760" s="165">
        <v>3</v>
      </c>
      <c r="AB760" s="106">
        <v>4</v>
      </c>
      <c r="AC760" s="106">
        <v>17</v>
      </c>
      <c r="AD760" s="21">
        <v>0</v>
      </c>
      <c r="AE760" s="54">
        <v>0</v>
      </c>
      <c r="AF760" s="315">
        <f t="shared" si="57"/>
        <v>0</v>
      </c>
    </row>
    <row r="761" spans="1:32" ht="75" x14ac:dyDescent="0.25">
      <c r="A761" s="107" t="s">
        <v>588</v>
      </c>
      <c r="B761" s="107" t="s">
        <v>2273</v>
      </c>
      <c r="C761" s="52"/>
      <c r="D761" s="107" t="s">
        <v>2303</v>
      </c>
      <c r="E761" s="22" t="str">
        <f t="shared" si="55"/>
        <v>SEJUSPPROG</v>
      </c>
      <c r="F761" s="52" t="s">
        <v>699</v>
      </c>
      <c r="G761" s="22" t="str">
        <f t="shared" si="56"/>
        <v>P141SEJUSP</v>
      </c>
      <c r="H761" s="86" t="s">
        <v>1393</v>
      </c>
      <c r="I761" s="22" t="s">
        <v>16</v>
      </c>
      <c r="J761" s="52" t="s">
        <v>1690</v>
      </c>
      <c r="K761" s="22" t="str">
        <f>VLOOKUP(CONCATENATE(A761,LEFT(J761,4)),AGRUPAMENTO!$D$2:$E$6783,2,FALSE)</f>
        <v>Estagiários</v>
      </c>
      <c r="L761" s="86" t="s">
        <v>44</v>
      </c>
      <c r="M761" s="52"/>
      <c r="N761" s="52">
        <v>10</v>
      </c>
      <c r="O761" s="164" t="s">
        <v>3022</v>
      </c>
      <c r="P761" s="164" t="s">
        <v>58</v>
      </c>
      <c r="Q761" s="164" t="s">
        <v>3942</v>
      </c>
      <c r="R761" s="164">
        <v>2</v>
      </c>
      <c r="S761" s="164" t="s">
        <v>3943</v>
      </c>
      <c r="T761" s="219">
        <v>1551.21</v>
      </c>
      <c r="U761" s="220">
        <v>12</v>
      </c>
      <c r="V761" s="58">
        <f t="shared" si="54"/>
        <v>37229.040000000001</v>
      </c>
      <c r="W761" s="86" t="s">
        <v>68</v>
      </c>
      <c r="X761" s="101" t="s">
        <v>4346</v>
      </c>
      <c r="Y761" s="164" t="s">
        <v>4344</v>
      </c>
      <c r="Z761" s="164" t="s">
        <v>4696</v>
      </c>
      <c r="AA761" s="164">
        <v>2</v>
      </c>
      <c r="AB761" s="52">
        <v>4</v>
      </c>
      <c r="AC761" s="52">
        <v>18</v>
      </c>
      <c r="AD761" s="21">
        <v>0</v>
      </c>
      <c r="AE761" s="54">
        <v>0</v>
      </c>
      <c r="AF761" s="315">
        <f t="shared" si="57"/>
        <v>0</v>
      </c>
    </row>
    <row r="762" spans="1:32" ht="240" x14ac:dyDescent="0.25">
      <c r="A762" s="107" t="s">
        <v>588</v>
      </c>
      <c r="B762" s="107" t="s">
        <v>2269</v>
      </c>
      <c r="C762" s="52"/>
      <c r="D762" s="107" t="s">
        <v>2300</v>
      </c>
      <c r="E762" s="22" t="str">
        <f t="shared" si="55"/>
        <v>SEJUSPPROG</v>
      </c>
      <c r="F762" s="52" t="s">
        <v>729</v>
      </c>
      <c r="G762" s="22" t="str">
        <f t="shared" si="56"/>
        <v>P130SEJUSP</v>
      </c>
      <c r="H762" s="129" t="s">
        <v>1183</v>
      </c>
      <c r="I762" s="22" t="s">
        <v>16</v>
      </c>
      <c r="J762" s="92" t="s">
        <v>303</v>
      </c>
      <c r="K762" s="22" t="str">
        <f>VLOOKUP(CONCATENATE(A762,LEFT(J762,4)),AGRUPAMENTO!$D$2:$E$6783,2,FALSE)</f>
        <v>Demais despesas de capital</v>
      </c>
      <c r="L762" s="129" t="s">
        <v>94</v>
      </c>
      <c r="M762" s="52"/>
      <c r="N762" s="92">
        <v>10</v>
      </c>
      <c r="O762" s="163" t="s">
        <v>3023</v>
      </c>
      <c r="P762" s="163" t="s">
        <v>46</v>
      </c>
      <c r="Q762" s="163" t="s">
        <v>3872</v>
      </c>
      <c r="R762" s="163">
        <v>500</v>
      </c>
      <c r="S762" s="163" t="s">
        <v>3918</v>
      </c>
      <c r="T762" s="217">
        <v>1800</v>
      </c>
      <c r="U762" s="218">
        <v>1</v>
      </c>
      <c r="V762" s="58">
        <f t="shared" si="54"/>
        <v>900000</v>
      </c>
      <c r="W762" s="52" t="s">
        <v>49</v>
      </c>
      <c r="X762" s="291" t="s">
        <v>4681</v>
      </c>
      <c r="Y762" s="291" t="s">
        <v>4660</v>
      </c>
      <c r="Z762" s="291" t="s">
        <v>4661</v>
      </c>
      <c r="AA762" s="52">
        <v>0</v>
      </c>
      <c r="AB762" s="52">
        <v>0</v>
      </c>
      <c r="AC762" s="52">
        <v>0</v>
      </c>
      <c r="AD762" s="21">
        <v>0</v>
      </c>
      <c r="AE762" s="54">
        <v>0</v>
      </c>
      <c r="AF762" s="315">
        <f t="shared" si="57"/>
        <v>0</v>
      </c>
    </row>
    <row r="763" spans="1:32" ht="409.5" x14ac:dyDescent="0.25">
      <c r="A763" s="108" t="s">
        <v>588</v>
      </c>
      <c r="B763" s="107" t="s">
        <v>2269</v>
      </c>
      <c r="C763" s="52"/>
      <c r="D763" s="107" t="s">
        <v>2296</v>
      </c>
      <c r="E763" s="22" t="str">
        <f t="shared" si="55"/>
        <v>SEJUSPPROG</v>
      </c>
      <c r="F763" s="52" t="s">
        <v>729</v>
      </c>
      <c r="G763" s="22" t="str">
        <f t="shared" si="56"/>
        <v>P130SEJUSP</v>
      </c>
      <c r="H763" s="131" t="s">
        <v>1234</v>
      </c>
      <c r="I763" s="22" t="s">
        <v>16</v>
      </c>
      <c r="J763" s="92" t="s">
        <v>1750</v>
      </c>
      <c r="K763" s="22" t="str">
        <f>VLOOKUP(CONCATENATE(A763,LEFT(J763,4)),AGRUPAMENTO!$D$2:$E$6783,2,FALSE)</f>
        <v>SUBVENÇÕES SOCIAIS</v>
      </c>
      <c r="L763" s="131" t="s">
        <v>44</v>
      </c>
      <c r="M763" s="52"/>
      <c r="N763" s="52">
        <v>60</v>
      </c>
      <c r="O763" s="167" t="s">
        <v>3024</v>
      </c>
      <c r="P763" s="167" t="s">
        <v>46</v>
      </c>
      <c r="Q763" s="167" t="s">
        <v>3944</v>
      </c>
      <c r="R763" s="167">
        <v>470</v>
      </c>
      <c r="S763" s="167" t="s">
        <v>3945</v>
      </c>
      <c r="T763" s="226">
        <v>1694.6003873854704</v>
      </c>
      <c r="U763" s="227">
        <v>12</v>
      </c>
      <c r="V763" s="58">
        <f t="shared" si="54"/>
        <v>9557546.184854053</v>
      </c>
      <c r="W763" s="131" t="s">
        <v>68</v>
      </c>
      <c r="X763" s="209" t="s">
        <v>4697</v>
      </c>
      <c r="Y763" s="167" t="s">
        <v>4595</v>
      </c>
      <c r="Z763" s="167" t="s">
        <v>4596</v>
      </c>
      <c r="AA763" s="167">
        <v>2</v>
      </c>
      <c r="AB763" s="92">
        <v>4</v>
      </c>
      <c r="AC763" s="92">
        <v>19</v>
      </c>
      <c r="AD763" s="21">
        <v>0</v>
      </c>
      <c r="AE763" s="54">
        <v>0</v>
      </c>
      <c r="AF763" s="315">
        <f t="shared" si="57"/>
        <v>0</v>
      </c>
    </row>
    <row r="764" spans="1:32" ht="270" x14ac:dyDescent="0.25">
      <c r="A764" s="109" t="s">
        <v>588</v>
      </c>
      <c r="B764" s="110" t="s">
        <v>2270</v>
      </c>
      <c r="C764" s="52"/>
      <c r="D764" s="110" t="s">
        <v>2276</v>
      </c>
      <c r="E764" s="22" t="str">
        <f t="shared" si="55"/>
        <v>SEJUSPPROG</v>
      </c>
      <c r="F764" s="52" t="s">
        <v>729</v>
      </c>
      <c r="G764" s="22" t="str">
        <f t="shared" si="56"/>
        <v>P130SEJUSP</v>
      </c>
      <c r="H764" s="104" t="s">
        <v>1183</v>
      </c>
      <c r="I764" s="22" t="s">
        <v>16</v>
      </c>
      <c r="J764" s="124" t="s">
        <v>395</v>
      </c>
      <c r="K764" s="22" t="str">
        <f>VLOOKUP(CONCATENATE(A764,LEFT(J764,4)),AGRUPAMENTO!$D$2:$E$6783,2,FALSE)</f>
        <v>Frota</v>
      </c>
      <c r="L764" s="143" t="s">
        <v>44</v>
      </c>
      <c r="M764" s="52"/>
      <c r="N764" s="52">
        <v>60</v>
      </c>
      <c r="O764" s="168" t="s">
        <v>3025</v>
      </c>
      <c r="P764" s="168" t="s">
        <v>58</v>
      </c>
      <c r="Q764" s="168" t="s">
        <v>3946</v>
      </c>
      <c r="R764" s="168">
        <v>20</v>
      </c>
      <c r="S764" s="168" t="s">
        <v>3947</v>
      </c>
      <c r="T764" s="224">
        <v>11298.7732</v>
      </c>
      <c r="U764" s="228">
        <v>12</v>
      </c>
      <c r="V764" s="58">
        <f t="shared" si="54"/>
        <v>2711705.568</v>
      </c>
      <c r="W764" s="104" t="s">
        <v>68</v>
      </c>
      <c r="X764" s="300" t="s">
        <v>4698</v>
      </c>
      <c r="Y764" s="168" t="s">
        <v>4699</v>
      </c>
      <c r="Z764" s="168" t="s">
        <v>4700</v>
      </c>
      <c r="AA764" s="166">
        <v>4</v>
      </c>
      <c r="AB764" s="123">
        <v>5</v>
      </c>
      <c r="AC764" s="123">
        <v>20</v>
      </c>
      <c r="AD764" s="21">
        <v>0</v>
      </c>
      <c r="AE764" s="54">
        <v>0</v>
      </c>
      <c r="AF764" s="315">
        <f t="shared" si="57"/>
        <v>0</v>
      </c>
    </row>
    <row r="765" spans="1:32" ht="285" x14ac:dyDescent="0.25">
      <c r="A765" s="109" t="s">
        <v>588</v>
      </c>
      <c r="B765" s="110" t="s">
        <v>2270</v>
      </c>
      <c r="C765" s="52"/>
      <c r="D765" s="110" t="s">
        <v>2276</v>
      </c>
      <c r="E765" s="22" t="str">
        <f t="shared" si="55"/>
        <v>SEJUSPPROG</v>
      </c>
      <c r="F765" s="52" t="s">
        <v>729</v>
      </c>
      <c r="G765" s="22" t="str">
        <f t="shared" si="56"/>
        <v>P130SEJUSP</v>
      </c>
      <c r="H765" s="104" t="s">
        <v>1183</v>
      </c>
      <c r="I765" s="22" t="s">
        <v>16</v>
      </c>
      <c r="J765" s="124" t="s">
        <v>395</v>
      </c>
      <c r="K765" s="22" t="str">
        <f>VLOOKUP(CONCATENATE(A765,LEFT(J765,4)),AGRUPAMENTO!$D$2:$E$6783,2,FALSE)</f>
        <v>Frota</v>
      </c>
      <c r="L765" s="143" t="s">
        <v>44</v>
      </c>
      <c r="M765" s="52"/>
      <c r="N765" s="52">
        <v>60</v>
      </c>
      <c r="O765" s="168" t="s">
        <v>3026</v>
      </c>
      <c r="P765" s="168" t="s">
        <v>58</v>
      </c>
      <c r="Q765" s="168" t="s">
        <v>3948</v>
      </c>
      <c r="R765" s="168">
        <v>150</v>
      </c>
      <c r="S765" s="168" t="s">
        <v>3949</v>
      </c>
      <c r="T765" s="224">
        <v>13324.025</v>
      </c>
      <c r="U765" s="228">
        <v>12</v>
      </c>
      <c r="V765" s="58">
        <f t="shared" si="54"/>
        <v>23983245</v>
      </c>
      <c r="W765" s="104" t="s">
        <v>68</v>
      </c>
      <c r="X765" s="300" t="s">
        <v>4698</v>
      </c>
      <c r="Y765" s="168" t="s">
        <v>4701</v>
      </c>
      <c r="Z765" s="168" t="s">
        <v>4702</v>
      </c>
      <c r="AA765" s="166">
        <v>4</v>
      </c>
      <c r="AB765" s="123">
        <v>5</v>
      </c>
      <c r="AC765" s="123">
        <v>20</v>
      </c>
      <c r="AD765" s="21">
        <v>0</v>
      </c>
      <c r="AE765" s="54">
        <v>0</v>
      </c>
      <c r="AF765" s="315">
        <f t="shared" si="57"/>
        <v>0</v>
      </c>
    </row>
    <row r="766" spans="1:32" ht="240" x14ac:dyDescent="0.25">
      <c r="A766" s="107" t="s">
        <v>588</v>
      </c>
      <c r="B766" s="107" t="s">
        <v>2269</v>
      </c>
      <c r="C766" s="52"/>
      <c r="D766" s="107" t="s">
        <v>2300</v>
      </c>
      <c r="E766" s="22" t="str">
        <f t="shared" si="55"/>
        <v>SEJUSPPROG</v>
      </c>
      <c r="F766" s="52" t="s">
        <v>729</v>
      </c>
      <c r="G766" s="22" t="str">
        <f t="shared" si="56"/>
        <v>P130SEJUSP</v>
      </c>
      <c r="H766" s="129" t="s">
        <v>1183</v>
      </c>
      <c r="I766" s="22" t="s">
        <v>16</v>
      </c>
      <c r="J766" s="92" t="s">
        <v>303</v>
      </c>
      <c r="K766" s="22" t="str">
        <f>VLOOKUP(CONCATENATE(A766,LEFT(J766,4)),AGRUPAMENTO!$D$2:$E$6783,2,FALSE)</f>
        <v>Demais despesas de capital</v>
      </c>
      <c r="L766" s="129" t="s">
        <v>94</v>
      </c>
      <c r="M766" s="52"/>
      <c r="N766" s="92">
        <v>10</v>
      </c>
      <c r="O766" s="163" t="s">
        <v>3027</v>
      </c>
      <c r="P766" s="163" t="s">
        <v>46</v>
      </c>
      <c r="Q766" s="163" t="s">
        <v>3872</v>
      </c>
      <c r="R766" s="163">
        <v>100</v>
      </c>
      <c r="S766" s="163" t="s">
        <v>3918</v>
      </c>
      <c r="T766" s="217">
        <v>699</v>
      </c>
      <c r="U766" s="218">
        <v>1</v>
      </c>
      <c r="V766" s="58">
        <f t="shared" si="54"/>
        <v>69900</v>
      </c>
      <c r="W766" s="52" t="s">
        <v>49</v>
      </c>
      <c r="X766" s="291" t="s">
        <v>4681</v>
      </c>
      <c r="Y766" s="291" t="s">
        <v>4660</v>
      </c>
      <c r="Z766" s="291" t="s">
        <v>4661</v>
      </c>
      <c r="AA766" s="52">
        <v>0</v>
      </c>
      <c r="AB766" s="52">
        <v>0</v>
      </c>
      <c r="AC766" s="52">
        <v>0</v>
      </c>
      <c r="AD766" s="21">
        <v>0</v>
      </c>
      <c r="AE766" s="54">
        <v>0</v>
      </c>
      <c r="AF766" s="315">
        <f t="shared" si="57"/>
        <v>0</v>
      </c>
    </row>
    <row r="767" spans="1:32" ht="409.5" x14ac:dyDescent="0.25">
      <c r="A767" s="107" t="s">
        <v>588</v>
      </c>
      <c r="B767" s="107" t="s">
        <v>2271</v>
      </c>
      <c r="C767" s="52"/>
      <c r="D767" s="107" t="s">
        <v>2302</v>
      </c>
      <c r="E767" s="22" t="str">
        <f t="shared" si="55"/>
        <v>SEJUSPPROG</v>
      </c>
      <c r="F767" s="123" t="s">
        <v>886</v>
      </c>
      <c r="G767" s="22" t="str">
        <f t="shared" si="56"/>
        <v>P146SEJUSP</v>
      </c>
      <c r="H767" s="86" t="s">
        <v>1424</v>
      </c>
      <c r="I767" s="22" t="s">
        <v>16</v>
      </c>
      <c r="J767" s="106" t="s">
        <v>2153</v>
      </c>
      <c r="K767" s="22" t="str">
        <f>VLOOKUP(CONCATENATE(A767,LEFT(J767,4)),AGRUPAMENTO!$D$2:$E$6783,2,FALSE)</f>
        <v>Consultoria</v>
      </c>
      <c r="L767" s="105" t="s">
        <v>44</v>
      </c>
      <c r="M767" s="52"/>
      <c r="N767" s="52">
        <v>10</v>
      </c>
      <c r="O767" s="165" t="s">
        <v>3028</v>
      </c>
      <c r="P767" s="165" t="s">
        <v>58</v>
      </c>
      <c r="Q767" s="165" t="s">
        <v>3950</v>
      </c>
      <c r="R767" s="165">
        <v>1</v>
      </c>
      <c r="S767" s="165" t="s">
        <v>3951</v>
      </c>
      <c r="T767" s="221">
        <v>2000000</v>
      </c>
      <c r="U767" s="222">
        <v>1</v>
      </c>
      <c r="V767" s="58">
        <f t="shared" si="54"/>
        <v>2000000</v>
      </c>
      <c r="W767" s="105" t="s">
        <v>68</v>
      </c>
      <c r="X767" s="293" t="s">
        <v>4703</v>
      </c>
      <c r="Y767" s="294" t="s">
        <v>4704</v>
      </c>
      <c r="Z767" s="294" t="s">
        <v>4705</v>
      </c>
      <c r="AA767" s="165">
        <v>2</v>
      </c>
      <c r="AB767" s="106">
        <v>5</v>
      </c>
      <c r="AC767" s="106">
        <v>21</v>
      </c>
      <c r="AD767" s="21">
        <v>0</v>
      </c>
      <c r="AE767" s="54">
        <v>0</v>
      </c>
      <c r="AF767" s="315">
        <f t="shared" si="57"/>
        <v>0</v>
      </c>
    </row>
    <row r="768" spans="1:32" ht="409.5" x14ac:dyDescent="0.25">
      <c r="A768" s="107" t="s">
        <v>588</v>
      </c>
      <c r="B768" s="107" t="s">
        <v>2273</v>
      </c>
      <c r="C768" s="52"/>
      <c r="D768" s="107" t="s">
        <v>2303</v>
      </c>
      <c r="E768" s="22" t="str">
        <f t="shared" si="55"/>
        <v>SEJUSPPROG</v>
      </c>
      <c r="F768" s="52" t="s">
        <v>699</v>
      </c>
      <c r="G768" s="22" t="str">
        <f t="shared" si="56"/>
        <v>P141SEJUSP</v>
      </c>
      <c r="H768" s="86" t="s">
        <v>1403</v>
      </c>
      <c r="I768" s="22" t="s">
        <v>16</v>
      </c>
      <c r="J768" s="52" t="s">
        <v>2131</v>
      </c>
      <c r="K768" s="22" t="str">
        <f>VLOOKUP(CONCATENATE(A768,LEFT(J768,4)),AGRUPAMENTO!$D$2:$E$6783,2,FALSE)</f>
        <v>Diárias e viagens</v>
      </c>
      <c r="L768" s="86" t="s">
        <v>44</v>
      </c>
      <c r="M768" s="52"/>
      <c r="N768" s="52">
        <v>10</v>
      </c>
      <c r="O768" s="164" t="s">
        <v>3029</v>
      </c>
      <c r="P768" s="164" t="s">
        <v>58</v>
      </c>
      <c r="Q768" s="164" t="s">
        <v>3952</v>
      </c>
      <c r="R768" s="164">
        <v>18</v>
      </c>
      <c r="S768" s="164" t="s">
        <v>3953</v>
      </c>
      <c r="T768" s="219">
        <v>352</v>
      </c>
      <c r="U768" s="220">
        <v>1</v>
      </c>
      <c r="V768" s="58">
        <f t="shared" si="54"/>
        <v>6336</v>
      </c>
      <c r="W768" s="295" t="s">
        <v>68</v>
      </c>
      <c r="X768" s="296" t="s">
        <v>4706</v>
      </c>
      <c r="Y768" s="297" t="s">
        <v>4577</v>
      </c>
      <c r="Z768" s="298" t="s">
        <v>4578</v>
      </c>
      <c r="AA768" s="298">
        <v>3</v>
      </c>
      <c r="AB768" s="278">
        <v>5</v>
      </c>
      <c r="AC768" s="278">
        <v>22</v>
      </c>
      <c r="AD768" s="21">
        <v>0</v>
      </c>
      <c r="AE768" s="54">
        <v>0</v>
      </c>
      <c r="AF768" s="315">
        <f t="shared" si="57"/>
        <v>0</v>
      </c>
    </row>
    <row r="769" spans="1:32" ht="240" x14ac:dyDescent="0.25">
      <c r="A769" s="107" t="s">
        <v>588</v>
      </c>
      <c r="B769" s="107" t="s">
        <v>2269</v>
      </c>
      <c r="C769" s="52"/>
      <c r="D769" s="107" t="s">
        <v>2300</v>
      </c>
      <c r="E769" s="22" t="str">
        <f t="shared" si="55"/>
        <v>SEJUSPPROG</v>
      </c>
      <c r="F769" s="52" t="s">
        <v>729</v>
      </c>
      <c r="G769" s="22" t="str">
        <f t="shared" si="56"/>
        <v>P130SEJUSP</v>
      </c>
      <c r="H769" s="129" t="s">
        <v>1183</v>
      </c>
      <c r="I769" s="22" t="s">
        <v>16</v>
      </c>
      <c r="J769" s="92" t="s">
        <v>303</v>
      </c>
      <c r="K769" s="22" t="str">
        <f>VLOOKUP(CONCATENATE(A769,LEFT(J769,4)),AGRUPAMENTO!$D$2:$E$6783,2,FALSE)</f>
        <v>Demais despesas de capital</v>
      </c>
      <c r="L769" s="129" t="s">
        <v>94</v>
      </c>
      <c r="M769" s="52"/>
      <c r="N769" s="92">
        <v>10</v>
      </c>
      <c r="O769" s="163" t="s">
        <v>3030</v>
      </c>
      <c r="P769" s="163" t="s">
        <v>46</v>
      </c>
      <c r="Q769" s="163" t="s">
        <v>3872</v>
      </c>
      <c r="R769" s="163">
        <v>168</v>
      </c>
      <c r="S769" s="163" t="s">
        <v>3918</v>
      </c>
      <c r="T769" s="217">
        <v>370</v>
      </c>
      <c r="U769" s="218">
        <v>1</v>
      </c>
      <c r="V769" s="58">
        <f t="shared" si="54"/>
        <v>62160</v>
      </c>
      <c r="W769" s="52" t="s">
        <v>49</v>
      </c>
      <c r="X769" s="291" t="s">
        <v>4681</v>
      </c>
      <c r="Y769" s="291" t="s">
        <v>4660</v>
      </c>
      <c r="Z769" s="291" t="s">
        <v>4661</v>
      </c>
      <c r="AA769" s="52">
        <v>0</v>
      </c>
      <c r="AB769" s="52">
        <v>0</v>
      </c>
      <c r="AC769" s="52">
        <v>0</v>
      </c>
      <c r="AD769" s="21">
        <v>0</v>
      </c>
      <c r="AE769" s="54">
        <v>0</v>
      </c>
      <c r="AF769" s="315">
        <f t="shared" si="57"/>
        <v>0</v>
      </c>
    </row>
    <row r="770" spans="1:32" ht="240" x14ac:dyDescent="0.25">
      <c r="A770" s="107" t="s">
        <v>588</v>
      </c>
      <c r="B770" s="107" t="s">
        <v>2269</v>
      </c>
      <c r="C770" s="52"/>
      <c r="D770" s="107" t="s">
        <v>2300</v>
      </c>
      <c r="E770" s="22" t="str">
        <f t="shared" si="55"/>
        <v>SEJUSPPROG</v>
      </c>
      <c r="F770" s="52" t="s">
        <v>729</v>
      </c>
      <c r="G770" s="22" t="str">
        <f t="shared" si="56"/>
        <v>P130SEJUSP</v>
      </c>
      <c r="H770" s="129" t="s">
        <v>1183</v>
      </c>
      <c r="I770" s="22" t="s">
        <v>16</v>
      </c>
      <c r="J770" s="92" t="s">
        <v>303</v>
      </c>
      <c r="K770" s="22" t="str">
        <f>VLOOKUP(CONCATENATE(A770,LEFT(J770,4)),AGRUPAMENTO!$D$2:$E$6783,2,FALSE)</f>
        <v>Demais despesas de capital</v>
      </c>
      <c r="L770" s="129" t="s">
        <v>94</v>
      </c>
      <c r="M770" s="52"/>
      <c r="N770" s="92">
        <v>10</v>
      </c>
      <c r="O770" s="163" t="s">
        <v>3031</v>
      </c>
      <c r="P770" s="163" t="s">
        <v>46</v>
      </c>
      <c r="Q770" s="163" t="s">
        <v>3872</v>
      </c>
      <c r="R770" s="163">
        <v>100</v>
      </c>
      <c r="S770" s="163" t="s">
        <v>3918</v>
      </c>
      <c r="T770" s="217">
        <v>315</v>
      </c>
      <c r="U770" s="218">
        <v>1</v>
      </c>
      <c r="V770" s="58">
        <f t="shared" ref="V770:V833" si="58">R770*T770*U770</f>
        <v>31500</v>
      </c>
      <c r="W770" s="52" t="s">
        <v>49</v>
      </c>
      <c r="X770" s="291" t="s">
        <v>4681</v>
      </c>
      <c r="Y770" s="291" t="s">
        <v>4660</v>
      </c>
      <c r="Z770" s="291" t="s">
        <v>4661</v>
      </c>
      <c r="AA770" s="52">
        <v>0</v>
      </c>
      <c r="AB770" s="52">
        <v>0</v>
      </c>
      <c r="AC770" s="52">
        <v>0</v>
      </c>
      <c r="AD770" s="21">
        <v>0</v>
      </c>
      <c r="AE770" s="54">
        <v>0</v>
      </c>
      <c r="AF770" s="315">
        <f t="shared" si="57"/>
        <v>0</v>
      </c>
    </row>
    <row r="771" spans="1:32" ht="345" x14ac:dyDescent="0.25">
      <c r="A771" s="108" t="s">
        <v>588</v>
      </c>
      <c r="B771" s="107" t="s">
        <v>2269</v>
      </c>
      <c r="C771" s="52"/>
      <c r="D771" s="107" t="s">
        <v>2297</v>
      </c>
      <c r="E771" s="22" t="str">
        <f t="shared" ref="E771:E834" si="59">CONCATENATE(A771,"PROG")</f>
        <v>SEJUSPPROG</v>
      </c>
      <c r="F771" s="52" t="s">
        <v>729</v>
      </c>
      <c r="G771" s="22" t="str">
        <f t="shared" si="56"/>
        <v>P130SEJUSP</v>
      </c>
      <c r="H771" s="131" t="s">
        <v>1148</v>
      </c>
      <c r="I771" s="22" t="s">
        <v>16</v>
      </c>
      <c r="J771" s="52" t="s">
        <v>313</v>
      </c>
      <c r="K771" s="22" t="str">
        <f>VLOOKUP(CONCATENATE(A771,LEFT(J771,4)),AGRUPAMENTO!$D$2:$E$6783,2,FALSE)</f>
        <v>Aquisições de itens de TIC</v>
      </c>
      <c r="L771" s="52" t="s">
        <v>94</v>
      </c>
      <c r="M771" s="52"/>
      <c r="N771" s="52">
        <v>60</v>
      </c>
      <c r="O771" s="167" t="s">
        <v>3032</v>
      </c>
      <c r="P771" s="167" t="s">
        <v>58</v>
      </c>
      <c r="Q771" s="167" t="s">
        <v>3898</v>
      </c>
      <c r="R771" s="167">
        <v>1</v>
      </c>
      <c r="S771" s="167" t="s">
        <v>3954</v>
      </c>
      <c r="T771" s="226">
        <v>212940</v>
      </c>
      <c r="U771" s="227">
        <v>1</v>
      </c>
      <c r="V771" s="58">
        <f t="shared" si="58"/>
        <v>212940</v>
      </c>
      <c r="W771" s="131" t="s">
        <v>68</v>
      </c>
      <c r="X771" s="209" t="s">
        <v>4707</v>
      </c>
      <c r="Y771" s="167" t="s">
        <v>4708</v>
      </c>
      <c r="Z771" s="167" t="s">
        <v>4607</v>
      </c>
      <c r="AA771" s="167">
        <v>1</v>
      </c>
      <c r="AB771" s="92">
        <v>5</v>
      </c>
      <c r="AC771" s="92">
        <v>23</v>
      </c>
      <c r="AD771" s="21">
        <v>0</v>
      </c>
      <c r="AE771" s="54">
        <v>0</v>
      </c>
      <c r="AF771" s="315">
        <f t="shared" si="57"/>
        <v>0</v>
      </c>
    </row>
    <row r="772" spans="1:32" ht="240" x14ac:dyDescent="0.25">
      <c r="A772" s="107" t="s">
        <v>588</v>
      </c>
      <c r="B772" s="107" t="s">
        <v>2269</v>
      </c>
      <c r="C772" s="52"/>
      <c r="D772" s="107" t="s">
        <v>2300</v>
      </c>
      <c r="E772" s="22" t="str">
        <f t="shared" si="59"/>
        <v>SEJUSPPROG</v>
      </c>
      <c r="F772" s="52" t="s">
        <v>729</v>
      </c>
      <c r="G772" s="22" t="str">
        <f t="shared" ref="G772:G835" si="60">CONCATENATE("P",(LEFT(F772,3)),A772)</f>
        <v>P130SEJUSP</v>
      </c>
      <c r="H772" s="129" t="s">
        <v>1183</v>
      </c>
      <c r="I772" s="22" t="s">
        <v>16</v>
      </c>
      <c r="J772" s="92" t="s">
        <v>303</v>
      </c>
      <c r="K772" s="22" t="str">
        <f>VLOOKUP(CONCATENATE(A772,LEFT(J772,4)),AGRUPAMENTO!$D$2:$E$6783,2,FALSE)</f>
        <v>Demais despesas de capital</v>
      </c>
      <c r="L772" s="129" t="s">
        <v>94</v>
      </c>
      <c r="M772" s="52"/>
      <c r="N772" s="92">
        <v>10</v>
      </c>
      <c r="O772" s="163" t="s">
        <v>3033</v>
      </c>
      <c r="P772" s="163" t="s">
        <v>46</v>
      </c>
      <c r="Q772" s="163" t="s">
        <v>3872</v>
      </c>
      <c r="R772" s="163">
        <v>100</v>
      </c>
      <c r="S772" s="163" t="s">
        <v>3918</v>
      </c>
      <c r="T772" s="217">
        <v>450</v>
      </c>
      <c r="U772" s="218">
        <v>1</v>
      </c>
      <c r="V772" s="58">
        <f t="shared" si="58"/>
        <v>45000</v>
      </c>
      <c r="W772" s="52" t="s">
        <v>49</v>
      </c>
      <c r="X772" s="291" t="s">
        <v>4681</v>
      </c>
      <c r="Y772" s="291" t="s">
        <v>4660</v>
      </c>
      <c r="Z772" s="291" t="s">
        <v>4661</v>
      </c>
      <c r="AA772" s="52">
        <v>0</v>
      </c>
      <c r="AB772" s="52">
        <v>0</v>
      </c>
      <c r="AC772" s="52">
        <v>0</v>
      </c>
      <c r="AD772" s="21">
        <v>0</v>
      </c>
      <c r="AE772" s="54">
        <v>0</v>
      </c>
      <c r="AF772" s="315">
        <f t="shared" ref="AF772:AF835" si="61">AE772*V772</f>
        <v>0</v>
      </c>
    </row>
    <row r="773" spans="1:32" ht="300" x14ac:dyDescent="0.25">
      <c r="A773" s="107" t="s">
        <v>588</v>
      </c>
      <c r="B773" s="107" t="s">
        <v>2270</v>
      </c>
      <c r="C773" s="52"/>
      <c r="D773" s="108" t="s">
        <v>2301</v>
      </c>
      <c r="E773" s="22" t="str">
        <f t="shared" si="59"/>
        <v>SEJUSPPROG</v>
      </c>
      <c r="F773" s="116" t="s">
        <v>687</v>
      </c>
      <c r="G773" s="22" t="str">
        <f t="shared" si="60"/>
        <v>P705SEJUSP</v>
      </c>
      <c r="H773" s="86" t="s">
        <v>914</v>
      </c>
      <c r="I773" s="22" t="s">
        <v>16</v>
      </c>
      <c r="J773" s="52" t="s">
        <v>1664</v>
      </c>
      <c r="K773" s="22" t="str">
        <f>VLOOKUP(CONCATENATE(A773,LEFT(J773,4)),AGRUPAMENTO!$D$2:$E$6783,2,FALSE)</f>
        <v>Serviços de TIC</v>
      </c>
      <c r="L773" s="86" t="s">
        <v>44</v>
      </c>
      <c r="M773" s="52"/>
      <c r="N773" s="52">
        <v>10</v>
      </c>
      <c r="O773" s="164" t="s">
        <v>3034</v>
      </c>
      <c r="P773" s="164" t="s">
        <v>58</v>
      </c>
      <c r="Q773" s="164" t="s">
        <v>3955</v>
      </c>
      <c r="R773" s="164">
        <v>455</v>
      </c>
      <c r="S773" s="164" t="s">
        <v>3937</v>
      </c>
      <c r="T773" s="219">
        <v>4541</v>
      </c>
      <c r="U773" s="220">
        <v>1</v>
      </c>
      <c r="V773" s="58">
        <f t="shared" si="58"/>
        <v>2066155</v>
      </c>
      <c r="W773" s="86" t="s">
        <v>68</v>
      </c>
      <c r="X773" s="101" t="s">
        <v>4709</v>
      </c>
      <c r="Y773" s="164" t="s">
        <v>4710</v>
      </c>
      <c r="Z773" s="164" t="s">
        <v>4711</v>
      </c>
      <c r="AA773" s="164">
        <v>1</v>
      </c>
      <c r="AB773" s="52">
        <v>6</v>
      </c>
      <c r="AC773" s="52">
        <v>24</v>
      </c>
      <c r="AD773" s="21">
        <v>0</v>
      </c>
      <c r="AE773" s="54">
        <v>0</v>
      </c>
      <c r="AF773" s="315">
        <f t="shared" si="61"/>
        <v>0</v>
      </c>
    </row>
    <row r="774" spans="1:32" ht="90" x14ac:dyDescent="0.25">
      <c r="A774" s="107" t="s">
        <v>588</v>
      </c>
      <c r="B774" s="107" t="s">
        <v>2270</v>
      </c>
      <c r="C774" s="52"/>
      <c r="D774" s="108" t="s">
        <v>2301</v>
      </c>
      <c r="E774" s="22" t="str">
        <f t="shared" si="59"/>
        <v>SEJUSPPROG</v>
      </c>
      <c r="F774" s="116" t="s">
        <v>687</v>
      </c>
      <c r="G774" s="22" t="str">
        <f t="shared" si="60"/>
        <v>P705SEJUSP</v>
      </c>
      <c r="H774" s="86" t="s">
        <v>914</v>
      </c>
      <c r="I774" s="22" t="s">
        <v>16</v>
      </c>
      <c r="J774" s="52" t="s">
        <v>1664</v>
      </c>
      <c r="K774" s="22" t="str">
        <f>VLOOKUP(CONCATENATE(A774,LEFT(J774,4)),AGRUPAMENTO!$D$2:$E$6783,2,FALSE)</f>
        <v>Serviços de TIC</v>
      </c>
      <c r="L774" s="86" t="s">
        <v>44</v>
      </c>
      <c r="M774" s="52"/>
      <c r="N774" s="52">
        <v>10</v>
      </c>
      <c r="O774" s="164" t="s">
        <v>3035</v>
      </c>
      <c r="P774" s="164" t="s">
        <v>58</v>
      </c>
      <c r="Q774" s="164" t="s">
        <v>3936</v>
      </c>
      <c r="R774" s="164">
        <v>100</v>
      </c>
      <c r="S774" s="164" t="s">
        <v>3956</v>
      </c>
      <c r="T774" s="219">
        <v>400</v>
      </c>
      <c r="U774" s="220">
        <v>1</v>
      </c>
      <c r="V774" s="58">
        <f t="shared" si="58"/>
        <v>40000</v>
      </c>
      <c r="W774" s="86" t="s">
        <v>68</v>
      </c>
      <c r="X774" s="101" t="s">
        <v>4709</v>
      </c>
      <c r="Y774" s="164" t="s">
        <v>4710</v>
      </c>
      <c r="Z774" s="164" t="s">
        <v>4711</v>
      </c>
      <c r="AA774" s="164">
        <v>4</v>
      </c>
      <c r="AB774" s="52">
        <v>6</v>
      </c>
      <c r="AC774" s="52">
        <v>24</v>
      </c>
      <c r="AD774" s="21">
        <v>0</v>
      </c>
      <c r="AE774" s="54">
        <v>0</v>
      </c>
      <c r="AF774" s="315">
        <f t="shared" si="61"/>
        <v>0</v>
      </c>
    </row>
    <row r="775" spans="1:32" ht="240" x14ac:dyDescent="0.25">
      <c r="A775" s="107" t="s">
        <v>588</v>
      </c>
      <c r="B775" s="107" t="s">
        <v>2269</v>
      </c>
      <c r="C775" s="52"/>
      <c r="D775" s="107" t="s">
        <v>2300</v>
      </c>
      <c r="E775" s="22" t="str">
        <f t="shared" si="59"/>
        <v>SEJUSPPROG</v>
      </c>
      <c r="F775" s="52" t="s">
        <v>729</v>
      </c>
      <c r="G775" s="22" t="str">
        <f t="shared" si="60"/>
        <v>P130SEJUSP</v>
      </c>
      <c r="H775" s="129" t="s">
        <v>1183</v>
      </c>
      <c r="I775" s="22" t="s">
        <v>16</v>
      </c>
      <c r="J775" s="92" t="s">
        <v>303</v>
      </c>
      <c r="K775" s="22" t="str">
        <f>VLOOKUP(CONCATENATE(A775,LEFT(J775,4)),AGRUPAMENTO!$D$2:$E$6783,2,FALSE)</f>
        <v>Demais despesas de capital</v>
      </c>
      <c r="L775" s="129" t="s">
        <v>94</v>
      </c>
      <c r="M775" s="52"/>
      <c r="N775" s="92">
        <v>10</v>
      </c>
      <c r="O775" s="163" t="s">
        <v>3036</v>
      </c>
      <c r="P775" s="163" t="s">
        <v>46</v>
      </c>
      <c r="Q775" s="163" t="s">
        <v>3872</v>
      </c>
      <c r="R775" s="163">
        <v>36</v>
      </c>
      <c r="S775" s="163" t="s">
        <v>3926</v>
      </c>
      <c r="T775" s="217">
        <v>4849.59</v>
      </c>
      <c r="U775" s="218">
        <v>1</v>
      </c>
      <c r="V775" s="58">
        <f t="shared" si="58"/>
        <v>174585.24</v>
      </c>
      <c r="W775" s="52" t="s">
        <v>49</v>
      </c>
      <c r="X775" s="291" t="s">
        <v>4681</v>
      </c>
      <c r="Y775" s="291" t="s">
        <v>4660</v>
      </c>
      <c r="Z775" s="291" t="s">
        <v>4661</v>
      </c>
      <c r="AA775" s="52">
        <v>0</v>
      </c>
      <c r="AB775" s="52">
        <v>0</v>
      </c>
      <c r="AC775" s="52">
        <v>0</v>
      </c>
      <c r="AD775" s="21">
        <v>0</v>
      </c>
      <c r="AE775" s="54">
        <v>0</v>
      </c>
      <c r="AF775" s="315">
        <f t="shared" si="61"/>
        <v>0</v>
      </c>
    </row>
    <row r="776" spans="1:32" ht="240" x14ac:dyDescent="0.25">
      <c r="A776" s="107" t="s">
        <v>588</v>
      </c>
      <c r="B776" s="107" t="s">
        <v>2269</v>
      </c>
      <c r="C776" s="52"/>
      <c r="D776" s="107" t="s">
        <v>2300</v>
      </c>
      <c r="E776" s="22" t="str">
        <f t="shared" si="59"/>
        <v>SEJUSPPROG</v>
      </c>
      <c r="F776" s="52" t="s">
        <v>729</v>
      </c>
      <c r="G776" s="22" t="str">
        <f t="shared" si="60"/>
        <v>P130SEJUSP</v>
      </c>
      <c r="H776" s="129" t="s">
        <v>1183</v>
      </c>
      <c r="I776" s="22" t="s">
        <v>16</v>
      </c>
      <c r="J776" s="92" t="s">
        <v>303</v>
      </c>
      <c r="K776" s="22" t="str">
        <f>VLOOKUP(CONCATENATE(A776,LEFT(J776,4)),AGRUPAMENTO!$D$2:$E$6783,2,FALSE)</f>
        <v>Demais despesas de capital</v>
      </c>
      <c r="L776" s="129" t="s">
        <v>94</v>
      </c>
      <c r="M776" s="52"/>
      <c r="N776" s="92">
        <v>10</v>
      </c>
      <c r="O776" s="163" t="s">
        <v>3037</v>
      </c>
      <c r="P776" s="163" t="s">
        <v>46</v>
      </c>
      <c r="Q776" s="163" t="s">
        <v>3872</v>
      </c>
      <c r="R776" s="163">
        <v>12</v>
      </c>
      <c r="S776" s="163" t="s">
        <v>3926</v>
      </c>
      <c r="T776" s="217">
        <v>405.9</v>
      </c>
      <c r="U776" s="218">
        <v>1</v>
      </c>
      <c r="V776" s="58">
        <f t="shared" si="58"/>
        <v>4870.7999999999993</v>
      </c>
      <c r="W776" s="52" t="s">
        <v>49</v>
      </c>
      <c r="X776" s="291" t="s">
        <v>4681</v>
      </c>
      <c r="Y776" s="291" t="s">
        <v>4660</v>
      </c>
      <c r="Z776" s="291" t="s">
        <v>4661</v>
      </c>
      <c r="AA776" s="52">
        <v>0</v>
      </c>
      <c r="AB776" s="52">
        <v>0</v>
      </c>
      <c r="AC776" s="52">
        <v>0</v>
      </c>
      <c r="AD776" s="21">
        <v>0</v>
      </c>
      <c r="AE776" s="54">
        <v>0</v>
      </c>
      <c r="AF776" s="315">
        <f t="shared" si="61"/>
        <v>0</v>
      </c>
    </row>
    <row r="777" spans="1:32" ht="405" x14ac:dyDescent="0.25">
      <c r="A777" s="107" t="s">
        <v>588</v>
      </c>
      <c r="B777" s="107" t="s">
        <v>2271</v>
      </c>
      <c r="C777" s="52"/>
      <c r="D777" s="107" t="s">
        <v>2302</v>
      </c>
      <c r="E777" s="22" t="str">
        <f t="shared" si="59"/>
        <v>SEJUSPPROG</v>
      </c>
      <c r="F777" s="123" t="s">
        <v>886</v>
      </c>
      <c r="G777" s="22" t="str">
        <f t="shared" si="60"/>
        <v>P146SEJUSP</v>
      </c>
      <c r="H777" s="86" t="s">
        <v>1424</v>
      </c>
      <c r="I777" s="22" t="s">
        <v>16</v>
      </c>
      <c r="J777" s="106" t="s">
        <v>1663</v>
      </c>
      <c r="K777" s="22" t="str">
        <f>VLOOKUP(CONCATENATE(A777,LEFT(J777,4)),AGRUPAMENTO!$D$2:$E$6783,2,FALSE)</f>
        <v>Demais despesas de custeio</v>
      </c>
      <c r="L777" s="105" t="s">
        <v>44</v>
      </c>
      <c r="M777" s="52"/>
      <c r="N777" s="52">
        <v>10</v>
      </c>
      <c r="O777" s="165" t="s">
        <v>3038</v>
      </c>
      <c r="P777" s="165" t="s">
        <v>58</v>
      </c>
      <c r="Q777" s="165" t="s">
        <v>3872</v>
      </c>
      <c r="R777" s="165">
        <v>1</v>
      </c>
      <c r="S777" s="165" t="s">
        <v>3909</v>
      </c>
      <c r="T777" s="221">
        <v>30000</v>
      </c>
      <c r="U777" s="222">
        <v>1</v>
      </c>
      <c r="V777" s="58">
        <f t="shared" si="58"/>
        <v>30000</v>
      </c>
      <c r="W777" s="105" t="s">
        <v>68</v>
      </c>
      <c r="X777" s="293" t="s">
        <v>4712</v>
      </c>
      <c r="Y777" s="294" t="s">
        <v>4713</v>
      </c>
      <c r="Z777" s="294" t="s">
        <v>4714</v>
      </c>
      <c r="AA777" s="165">
        <v>3</v>
      </c>
      <c r="AB777" s="106">
        <v>6</v>
      </c>
      <c r="AC777" s="106">
        <v>25</v>
      </c>
      <c r="AD777" s="21">
        <v>0</v>
      </c>
      <c r="AE777" s="54">
        <v>0</v>
      </c>
      <c r="AF777" s="315">
        <f t="shared" si="61"/>
        <v>0</v>
      </c>
    </row>
    <row r="778" spans="1:32" ht="60" x14ac:dyDescent="0.25">
      <c r="A778" s="108" t="s">
        <v>588</v>
      </c>
      <c r="B778" s="107" t="s">
        <v>2269</v>
      </c>
      <c r="C778" s="52"/>
      <c r="D778" s="107" t="s">
        <v>2275</v>
      </c>
      <c r="E778" s="22" t="str">
        <f t="shared" si="59"/>
        <v>SEJUSPPROG</v>
      </c>
      <c r="F778" s="52" t="s">
        <v>729</v>
      </c>
      <c r="G778" s="22" t="str">
        <f t="shared" si="60"/>
        <v>P130SEJUSP</v>
      </c>
      <c r="H778" s="131" t="s">
        <v>1148</v>
      </c>
      <c r="I778" s="22" t="s">
        <v>16</v>
      </c>
      <c r="J778" s="92" t="s">
        <v>287</v>
      </c>
      <c r="K778" s="22" t="str">
        <f>VLOOKUP(CONCATENATE(A778,LEFT(J778,4)),AGRUPAMENTO!$D$2:$E$6783,2,FALSE)</f>
        <v>Demais despesas de capital</v>
      </c>
      <c r="L778" s="131" t="s">
        <v>94</v>
      </c>
      <c r="M778" s="52"/>
      <c r="N778" s="92">
        <v>10</v>
      </c>
      <c r="O778" s="167" t="s">
        <v>3039</v>
      </c>
      <c r="P778" s="167" t="s">
        <v>46</v>
      </c>
      <c r="Q778" s="167" t="s">
        <v>3720</v>
      </c>
      <c r="R778" s="167">
        <v>1700</v>
      </c>
      <c r="S778" s="167" t="s">
        <v>3720</v>
      </c>
      <c r="T778" s="226">
        <v>3136.71</v>
      </c>
      <c r="U778" s="227">
        <v>1</v>
      </c>
      <c r="V778" s="58">
        <f t="shared" si="58"/>
        <v>5332407</v>
      </c>
      <c r="W778" s="131" t="s">
        <v>68</v>
      </c>
      <c r="X778" s="209" t="s">
        <v>4715</v>
      </c>
      <c r="Y778" s="167" t="s">
        <v>4716</v>
      </c>
      <c r="Z778" s="167" t="s">
        <v>4717</v>
      </c>
      <c r="AA778" s="167">
        <v>2</v>
      </c>
      <c r="AB778" s="92">
        <v>6</v>
      </c>
      <c r="AC778" s="92">
        <v>26</v>
      </c>
      <c r="AD778" s="21">
        <v>0</v>
      </c>
      <c r="AE778" s="54">
        <v>0</v>
      </c>
      <c r="AF778" s="315">
        <f t="shared" si="61"/>
        <v>0</v>
      </c>
    </row>
    <row r="779" spans="1:32" ht="60" x14ac:dyDescent="0.25">
      <c r="A779" s="108" t="s">
        <v>588</v>
      </c>
      <c r="B779" s="107" t="s">
        <v>2269</v>
      </c>
      <c r="C779" s="52"/>
      <c r="D779" s="107" t="s">
        <v>2275</v>
      </c>
      <c r="E779" s="22" t="str">
        <f t="shared" si="59"/>
        <v>SEJUSPPROG</v>
      </c>
      <c r="F779" s="52" t="s">
        <v>729</v>
      </c>
      <c r="G779" s="22" t="str">
        <f t="shared" si="60"/>
        <v>P130SEJUSP</v>
      </c>
      <c r="H779" s="131" t="s">
        <v>1148</v>
      </c>
      <c r="I779" s="22" t="s">
        <v>16</v>
      </c>
      <c r="J779" s="92" t="s">
        <v>287</v>
      </c>
      <c r="K779" s="22" t="str">
        <f>VLOOKUP(CONCATENATE(A779,LEFT(J779,4)),AGRUPAMENTO!$D$2:$E$6783,2,FALSE)</f>
        <v>Demais despesas de capital</v>
      </c>
      <c r="L779" s="131" t="s">
        <v>94</v>
      </c>
      <c r="M779" s="52"/>
      <c r="N779" s="92">
        <v>10</v>
      </c>
      <c r="O779" s="167" t="s">
        <v>3040</v>
      </c>
      <c r="P779" s="167" t="s">
        <v>46</v>
      </c>
      <c r="Q779" s="167" t="s">
        <v>3720</v>
      </c>
      <c r="R779" s="167">
        <v>260</v>
      </c>
      <c r="S779" s="167" t="s">
        <v>3720</v>
      </c>
      <c r="T779" s="226">
        <v>14520</v>
      </c>
      <c r="U779" s="227">
        <v>1</v>
      </c>
      <c r="V779" s="58">
        <f t="shared" si="58"/>
        <v>3775200</v>
      </c>
      <c r="W779" s="131" t="s">
        <v>68</v>
      </c>
      <c r="X779" s="209" t="s">
        <v>4715</v>
      </c>
      <c r="Y779" s="167" t="s">
        <v>4716</v>
      </c>
      <c r="Z779" s="167" t="s">
        <v>4717</v>
      </c>
      <c r="AA779" s="167">
        <v>2</v>
      </c>
      <c r="AB779" s="92">
        <v>6</v>
      </c>
      <c r="AC779" s="92">
        <v>26</v>
      </c>
      <c r="AD779" s="21">
        <v>0</v>
      </c>
      <c r="AE779" s="54">
        <v>0</v>
      </c>
      <c r="AF779" s="315">
        <f t="shared" si="61"/>
        <v>0</v>
      </c>
    </row>
    <row r="780" spans="1:32" ht="60" x14ac:dyDescent="0.25">
      <c r="A780" s="108" t="s">
        <v>588</v>
      </c>
      <c r="B780" s="107" t="s">
        <v>2269</v>
      </c>
      <c r="C780" s="52"/>
      <c r="D780" s="107" t="s">
        <v>2275</v>
      </c>
      <c r="E780" s="22" t="str">
        <f t="shared" si="59"/>
        <v>SEJUSPPROG</v>
      </c>
      <c r="F780" s="52" t="s">
        <v>729</v>
      </c>
      <c r="G780" s="22" t="str">
        <f t="shared" si="60"/>
        <v>P130SEJUSP</v>
      </c>
      <c r="H780" s="131" t="s">
        <v>1148</v>
      </c>
      <c r="I780" s="22" t="s">
        <v>16</v>
      </c>
      <c r="J780" s="92" t="s">
        <v>287</v>
      </c>
      <c r="K780" s="22" t="str">
        <f>VLOOKUP(CONCATENATE(A780,LEFT(J780,4)),AGRUPAMENTO!$D$2:$E$6783,2,FALSE)</f>
        <v>Demais despesas de capital</v>
      </c>
      <c r="L780" s="131" t="s">
        <v>94</v>
      </c>
      <c r="M780" s="52"/>
      <c r="N780" s="92">
        <v>10</v>
      </c>
      <c r="O780" s="167" t="s">
        <v>3041</v>
      </c>
      <c r="P780" s="167" t="s">
        <v>46</v>
      </c>
      <c r="Q780" s="167" t="s">
        <v>3720</v>
      </c>
      <c r="R780" s="167">
        <v>35</v>
      </c>
      <c r="S780" s="167" t="s">
        <v>3720</v>
      </c>
      <c r="T780" s="226">
        <v>10824</v>
      </c>
      <c r="U780" s="227">
        <v>1</v>
      </c>
      <c r="V780" s="58">
        <f t="shared" si="58"/>
        <v>378840</v>
      </c>
      <c r="W780" s="131" t="s">
        <v>68</v>
      </c>
      <c r="X780" s="167" t="s">
        <v>4715</v>
      </c>
      <c r="Y780" s="167" t="s">
        <v>4716</v>
      </c>
      <c r="Z780" s="167" t="s">
        <v>4717</v>
      </c>
      <c r="AA780" s="167">
        <v>2</v>
      </c>
      <c r="AB780" s="92">
        <v>6</v>
      </c>
      <c r="AC780" s="92">
        <v>26</v>
      </c>
      <c r="AD780" s="21">
        <v>0</v>
      </c>
      <c r="AE780" s="54">
        <v>0</v>
      </c>
      <c r="AF780" s="315">
        <f t="shared" si="61"/>
        <v>0</v>
      </c>
    </row>
    <row r="781" spans="1:32" ht="210" x14ac:dyDescent="0.25">
      <c r="A781" s="107" t="s">
        <v>588</v>
      </c>
      <c r="B781" s="107" t="s">
        <v>2269</v>
      </c>
      <c r="C781" s="52"/>
      <c r="D781" s="107" t="s">
        <v>2300</v>
      </c>
      <c r="E781" s="22" t="str">
        <f t="shared" si="59"/>
        <v>SEJUSPPROG</v>
      </c>
      <c r="F781" s="52" t="s">
        <v>729</v>
      </c>
      <c r="G781" s="22" t="str">
        <f t="shared" si="60"/>
        <v>P130SEJUSP</v>
      </c>
      <c r="H781" s="129" t="s">
        <v>1183</v>
      </c>
      <c r="I781" s="22" t="s">
        <v>16</v>
      </c>
      <c r="J781" s="52" t="s">
        <v>2131</v>
      </c>
      <c r="K781" s="22" t="str">
        <f>VLOOKUP(CONCATENATE(A781,LEFT(J781,4)),AGRUPAMENTO!$D$2:$E$6783,2,FALSE)</f>
        <v>Diárias e viagens</v>
      </c>
      <c r="L781" s="92" t="s">
        <v>44</v>
      </c>
      <c r="M781" s="52"/>
      <c r="N781" s="52">
        <v>60</v>
      </c>
      <c r="O781" s="163" t="s">
        <v>2870</v>
      </c>
      <c r="P781" s="163" t="s">
        <v>46</v>
      </c>
      <c r="Q781" s="163" t="s">
        <v>3872</v>
      </c>
      <c r="R781" s="163">
        <v>7</v>
      </c>
      <c r="S781" s="163" t="s">
        <v>3957</v>
      </c>
      <c r="T781" s="217">
        <v>258</v>
      </c>
      <c r="U781" s="218">
        <v>12</v>
      </c>
      <c r="V781" s="58">
        <f t="shared" si="58"/>
        <v>21672</v>
      </c>
      <c r="W781" s="52" t="s">
        <v>49</v>
      </c>
      <c r="X781" s="291" t="s">
        <v>4718</v>
      </c>
      <c r="Y781" s="291" t="s">
        <v>4719</v>
      </c>
      <c r="Z781" s="291" t="s">
        <v>4720</v>
      </c>
      <c r="AA781" s="52">
        <v>0</v>
      </c>
      <c r="AB781" s="52">
        <v>0</v>
      </c>
      <c r="AC781" s="52">
        <v>0</v>
      </c>
      <c r="AD781" s="21">
        <v>0.86749884668513244</v>
      </c>
      <c r="AE781" s="54">
        <v>0.86749884668513244</v>
      </c>
      <c r="AF781" s="315">
        <f t="shared" si="61"/>
        <v>18800.435005360192</v>
      </c>
    </row>
    <row r="782" spans="1:32" ht="210" x14ac:dyDescent="0.25">
      <c r="A782" s="107" t="s">
        <v>588</v>
      </c>
      <c r="B782" s="107" t="s">
        <v>2269</v>
      </c>
      <c r="C782" s="52"/>
      <c r="D782" s="107" t="s">
        <v>2300</v>
      </c>
      <c r="E782" s="22" t="str">
        <f t="shared" si="59"/>
        <v>SEJUSPPROG</v>
      </c>
      <c r="F782" s="52" t="s">
        <v>729</v>
      </c>
      <c r="G782" s="22" t="str">
        <f t="shared" si="60"/>
        <v>P130SEJUSP</v>
      </c>
      <c r="H782" s="129" t="s">
        <v>1183</v>
      </c>
      <c r="I782" s="22" t="s">
        <v>16</v>
      </c>
      <c r="J782" s="52" t="s">
        <v>2131</v>
      </c>
      <c r="K782" s="22" t="str">
        <f>VLOOKUP(CONCATENATE(A782,LEFT(J782,4)),AGRUPAMENTO!$D$2:$E$6783,2,FALSE)</f>
        <v>Diárias e viagens</v>
      </c>
      <c r="L782" s="92" t="s">
        <v>44</v>
      </c>
      <c r="M782" s="52"/>
      <c r="N782" s="52">
        <v>60</v>
      </c>
      <c r="O782" s="163" t="s">
        <v>2870</v>
      </c>
      <c r="P782" s="163" t="s">
        <v>46</v>
      </c>
      <c r="Q782" s="163" t="s">
        <v>3872</v>
      </c>
      <c r="R782" s="163">
        <v>3</v>
      </c>
      <c r="S782" s="163" t="s">
        <v>3958</v>
      </c>
      <c r="T782" s="217">
        <v>354</v>
      </c>
      <c r="U782" s="218">
        <v>12</v>
      </c>
      <c r="V782" s="58">
        <f t="shared" si="58"/>
        <v>12744</v>
      </c>
      <c r="W782" s="52" t="s">
        <v>49</v>
      </c>
      <c r="X782" s="291" t="s">
        <v>4718</v>
      </c>
      <c r="Y782" s="291" t="s">
        <v>4719</v>
      </c>
      <c r="Z782" s="291" t="s">
        <v>4720</v>
      </c>
      <c r="AA782" s="52">
        <v>0</v>
      </c>
      <c r="AB782" s="52">
        <v>0</v>
      </c>
      <c r="AC782" s="52">
        <v>0</v>
      </c>
      <c r="AD782" s="21">
        <v>0.86749884668513244</v>
      </c>
      <c r="AE782" s="54">
        <v>0.86749884668513244</v>
      </c>
      <c r="AF782" s="315">
        <f t="shared" si="61"/>
        <v>11055.405302155328</v>
      </c>
    </row>
    <row r="783" spans="1:32" ht="135" x14ac:dyDescent="0.25">
      <c r="A783" s="107" t="s">
        <v>588</v>
      </c>
      <c r="B783" s="107" t="s">
        <v>2269</v>
      </c>
      <c r="C783" s="52"/>
      <c r="D783" s="107" t="s">
        <v>2300</v>
      </c>
      <c r="E783" s="22" t="str">
        <f t="shared" si="59"/>
        <v>SEJUSPPROG</v>
      </c>
      <c r="F783" s="52" t="s">
        <v>729</v>
      </c>
      <c r="G783" s="22" t="str">
        <f t="shared" si="60"/>
        <v>P130SEJUSP</v>
      </c>
      <c r="H783" s="129" t="s">
        <v>1183</v>
      </c>
      <c r="I783" s="22" t="s">
        <v>16</v>
      </c>
      <c r="J783" s="107" t="s">
        <v>1663</v>
      </c>
      <c r="K783" s="22" t="str">
        <f>VLOOKUP(CONCATENATE(A783,LEFT(J783,4)),AGRUPAMENTO!$D$2:$E$6783,2,FALSE)</f>
        <v>Demais despesas de custeio</v>
      </c>
      <c r="L783" s="92" t="s">
        <v>44</v>
      </c>
      <c r="M783" s="52"/>
      <c r="N783" s="52">
        <v>60</v>
      </c>
      <c r="O783" s="163" t="s">
        <v>3042</v>
      </c>
      <c r="P783" s="163" t="s">
        <v>46</v>
      </c>
      <c r="Q783" s="163" t="s">
        <v>3872</v>
      </c>
      <c r="R783" s="163">
        <v>1</v>
      </c>
      <c r="S783" s="163" t="s">
        <v>3959</v>
      </c>
      <c r="T783" s="217">
        <v>14000</v>
      </c>
      <c r="U783" s="218">
        <v>12</v>
      </c>
      <c r="V783" s="58">
        <f t="shared" si="58"/>
        <v>168000</v>
      </c>
      <c r="W783" s="52" t="s">
        <v>49</v>
      </c>
      <c r="X783" s="291" t="s">
        <v>4721</v>
      </c>
      <c r="Y783" s="291" t="s">
        <v>4722</v>
      </c>
      <c r="Z783" s="291" t="s">
        <v>4723</v>
      </c>
      <c r="AA783" s="52">
        <v>0</v>
      </c>
      <c r="AB783" s="52">
        <v>0</v>
      </c>
      <c r="AC783" s="52">
        <v>0</v>
      </c>
      <c r="AD783" s="21">
        <v>0.29138261490145073</v>
      </c>
      <c r="AE783" s="54">
        <v>0.29138261490145073</v>
      </c>
      <c r="AF783" s="315">
        <f t="shared" si="61"/>
        <v>48952.27930344372</v>
      </c>
    </row>
    <row r="784" spans="1:32" ht="180" x14ac:dyDescent="0.25">
      <c r="A784" s="107" t="s">
        <v>588</v>
      </c>
      <c r="B784" s="107" t="s">
        <v>2269</v>
      </c>
      <c r="C784" s="52"/>
      <c r="D784" s="107" t="s">
        <v>2300</v>
      </c>
      <c r="E784" s="22" t="str">
        <f t="shared" si="59"/>
        <v>SEJUSPPROG</v>
      </c>
      <c r="F784" s="52" t="s">
        <v>729</v>
      </c>
      <c r="G784" s="22" t="str">
        <f t="shared" si="60"/>
        <v>P130SEJUSP</v>
      </c>
      <c r="H784" s="129" t="s">
        <v>1183</v>
      </c>
      <c r="I784" s="22" t="s">
        <v>16</v>
      </c>
      <c r="J784" s="92" t="s">
        <v>2172</v>
      </c>
      <c r="K784" s="22" t="str">
        <f>VLOOKUP(CONCATENATE(A784,LEFT(J784,4)),AGRUPAMENTO!$D$2:$E$6783,2,FALSE)</f>
        <v>Demais despesas de custeio</v>
      </c>
      <c r="L784" s="92" t="s">
        <v>44</v>
      </c>
      <c r="M784" s="52"/>
      <c r="N784" s="52">
        <v>60</v>
      </c>
      <c r="O784" s="163" t="s">
        <v>3043</v>
      </c>
      <c r="P784" s="163" t="s">
        <v>46</v>
      </c>
      <c r="Q784" s="163" t="s">
        <v>3872</v>
      </c>
      <c r="R784" s="163">
        <v>10000</v>
      </c>
      <c r="S784" s="163" t="s">
        <v>3959</v>
      </c>
      <c r="T784" s="217">
        <v>0.3</v>
      </c>
      <c r="U784" s="218">
        <v>12</v>
      </c>
      <c r="V784" s="58">
        <f t="shared" si="58"/>
        <v>36000</v>
      </c>
      <c r="W784" s="52" t="s">
        <v>49</v>
      </c>
      <c r="X784" s="291" t="s">
        <v>4724</v>
      </c>
      <c r="Y784" s="291" t="s">
        <v>4725</v>
      </c>
      <c r="Z784" s="291" t="s">
        <v>4726</v>
      </c>
      <c r="AA784" s="52">
        <v>0</v>
      </c>
      <c r="AB784" s="52">
        <v>0</v>
      </c>
      <c r="AC784" s="52">
        <v>0</v>
      </c>
      <c r="AD784" s="21">
        <v>0.29138261490145073</v>
      </c>
      <c r="AE784" s="54">
        <v>0.29138261490145073</v>
      </c>
      <c r="AF784" s="315">
        <f t="shared" si="61"/>
        <v>10489.774136452226</v>
      </c>
    </row>
    <row r="785" spans="1:32" ht="105" x14ac:dyDescent="0.25">
      <c r="A785" s="107" t="s">
        <v>588</v>
      </c>
      <c r="B785" s="107" t="s">
        <v>2269</v>
      </c>
      <c r="C785" s="52"/>
      <c r="D785" s="107" t="s">
        <v>2300</v>
      </c>
      <c r="E785" s="22" t="str">
        <f t="shared" si="59"/>
        <v>SEJUSPPROG</v>
      </c>
      <c r="F785" s="52" t="s">
        <v>729</v>
      </c>
      <c r="G785" s="22" t="str">
        <f t="shared" si="60"/>
        <v>P130SEJUSP</v>
      </c>
      <c r="H785" s="129" t="s">
        <v>1183</v>
      </c>
      <c r="I785" s="22" t="s">
        <v>16</v>
      </c>
      <c r="J785" s="52" t="s">
        <v>2131</v>
      </c>
      <c r="K785" s="22" t="str">
        <f>VLOOKUP(CONCATENATE(A785,LEFT(J785,4)),AGRUPAMENTO!$D$2:$E$6783,2,FALSE)</f>
        <v>Diárias e viagens</v>
      </c>
      <c r="L785" s="92" t="s">
        <v>44</v>
      </c>
      <c r="M785" s="52"/>
      <c r="N785" s="52">
        <v>60</v>
      </c>
      <c r="O785" s="92" t="s">
        <v>3044</v>
      </c>
      <c r="P785" s="163" t="s">
        <v>46</v>
      </c>
      <c r="Q785" s="92" t="s">
        <v>3960</v>
      </c>
      <c r="R785" s="92">
        <v>3</v>
      </c>
      <c r="S785" s="92" t="s">
        <v>3961</v>
      </c>
      <c r="T785" s="200">
        <v>258</v>
      </c>
      <c r="U785" s="201">
        <v>12</v>
      </c>
      <c r="V785" s="58">
        <f t="shared" si="58"/>
        <v>9288</v>
      </c>
      <c r="W785" s="52" t="s">
        <v>49</v>
      </c>
      <c r="X785" s="92" t="s">
        <v>4727</v>
      </c>
      <c r="Y785" s="92" t="s">
        <v>4728</v>
      </c>
      <c r="Z785" s="92" t="s">
        <v>4729</v>
      </c>
      <c r="AA785" s="52">
        <v>0</v>
      </c>
      <c r="AB785" s="52">
        <v>0</v>
      </c>
      <c r="AC785" s="52">
        <v>0</v>
      </c>
      <c r="AD785" s="21">
        <v>0.86749884668513244</v>
      </c>
      <c r="AE785" s="54">
        <v>0.86749884668513244</v>
      </c>
      <c r="AF785" s="315">
        <f t="shared" si="61"/>
        <v>8057.3292880115105</v>
      </c>
    </row>
    <row r="786" spans="1:32" ht="105" x14ac:dyDescent="0.25">
      <c r="A786" s="107" t="s">
        <v>588</v>
      </c>
      <c r="B786" s="107" t="s">
        <v>2269</v>
      </c>
      <c r="C786" s="52"/>
      <c r="D786" s="107" t="s">
        <v>2300</v>
      </c>
      <c r="E786" s="22" t="str">
        <f t="shared" si="59"/>
        <v>SEJUSPPROG</v>
      </c>
      <c r="F786" s="52" t="s">
        <v>729</v>
      </c>
      <c r="G786" s="22" t="str">
        <f t="shared" si="60"/>
        <v>P130SEJUSP</v>
      </c>
      <c r="H786" s="129" t="s">
        <v>1183</v>
      </c>
      <c r="I786" s="22" t="s">
        <v>16</v>
      </c>
      <c r="J786" s="52" t="s">
        <v>2131</v>
      </c>
      <c r="K786" s="22" t="str">
        <f>VLOOKUP(CONCATENATE(A786,LEFT(J786,4)),AGRUPAMENTO!$D$2:$E$6783,2,FALSE)</f>
        <v>Diárias e viagens</v>
      </c>
      <c r="L786" s="92" t="s">
        <v>44</v>
      </c>
      <c r="M786" s="52"/>
      <c r="N786" s="52">
        <v>60</v>
      </c>
      <c r="O786" s="92" t="s">
        <v>3045</v>
      </c>
      <c r="P786" s="163" t="s">
        <v>46</v>
      </c>
      <c r="Q786" s="92" t="s">
        <v>3960</v>
      </c>
      <c r="R786" s="92">
        <v>3</v>
      </c>
      <c r="S786" s="92" t="s">
        <v>3961</v>
      </c>
      <c r="T786" s="200">
        <v>362</v>
      </c>
      <c r="U786" s="201">
        <v>6</v>
      </c>
      <c r="V786" s="58">
        <f t="shared" si="58"/>
        <v>6516</v>
      </c>
      <c r="W786" s="52" t="s">
        <v>49</v>
      </c>
      <c r="X786" s="92" t="s">
        <v>4730</v>
      </c>
      <c r="Y786" s="92" t="s">
        <v>4728</v>
      </c>
      <c r="Z786" s="92" t="s">
        <v>4729</v>
      </c>
      <c r="AA786" s="52">
        <v>0</v>
      </c>
      <c r="AB786" s="52">
        <v>0</v>
      </c>
      <c r="AC786" s="52">
        <v>0</v>
      </c>
      <c r="AD786" s="21">
        <v>0.86749884668513244</v>
      </c>
      <c r="AE786" s="54">
        <v>0.86749884668513244</v>
      </c>
      <c r="AF786" s="315">
        <f t="shared" si="61"/>
        <v>5652.6224850003227</v>
      </c>
    </row>
    <row r="787" spans="1:32" ht="60" x14ac:dyDescent="0.25">
      <c r="A787" s="108" t="s">
        <v>588</v>
      </c>
      <c r="B787" s="107" t="s">
        <v>2269</v>
      </c>
      <c r="C787" s="52"/>
      <c r="D787" s="107" t="s">
        <v>2275</v>
      </c>
      <c r="E787" s="22" t="str">
        <f t="shared" si="59"/>
        <v>SEJUSPPROG</v>
      </c>
      <c r="F787" s="52" t="s">
        <v>729</v>
      </c>
      <c r="G787" s="22" t="str">
        <f t="shared" si="60"/>
        <v>P130SEJUSP</v>
      </c>
      <c r="H787" s="131" t="s">
        <v>1148</v>
      </c>
      <c r="I787" s="22" t="s">
        <v>16</v>
      </c>
      <c r="J787" s="92" t="s">
        <v>287</v>
      </c>
      <c r="K787" s="22" t="str">
        <f>VLOOKUP(CONCATENATE(A787,LEFT(J787,4)),AGRUPAMENTO!$D$2:$E$6783,2,FALSE)</f>
        <v>Demais despesas de capital</v>
      </c>
      <c r="L787" s="92" t="s">
        <v>94</v>
      </c>
      <c r="M787" s="52"/>
      <c r="N787" s="92">
        <v>10</v>
      </c>
      <c r="O787" s="92" t="s">
        <v>3046</v>
      </c>
      <c r="P787" s="167" t="s">
        <v>46</v>
      </c>
      <c r="Q787" s="92" t="s">
        <v>3720</v>
      </c>
      <c r="R787" s="92">
        <v>175</v>
      </c>
      <c r="S787" s="92" t="s">
        <v>3720</v>
      </c>
      <c r="T787" s="200">
        <v>7494.6</v>
      </c>
      <c r="U787" s="201">
        <v>1</v>
      </c>
      <c r="V787" s="58">
        <f t="shared" si="58"/>
        <v>1311555</v>
      </c>
      <c r="W787" s="92" t="s">
        <v>68</v>
      </c>
      <c r="X787" s="140" t="s">
        <v>4715</v>
      </c>
      <c r="Y787" s="140" t="s">
        <v>4716</v>
      </c>
      <c r="Z787" s="140" t="s">
        <v>4717</v>
      </c>
      <c r="AA787" s="131">
        <v>2</v>
      </c>
      <c r="AB787" s="92">
        <v>6</v>
      </c>
      <c r="AC787" s="92">
        <v>26</v>
      </c>
      <c r="AD787" s="21">
        <v>0</v>
      </c>
      <c r="AE787" s="54">
        <v>0</v>
      </c>
      <c r="AF787" s="315">
        <f t="shared" si="61"/>
        <v>0</v>
      </c>
    </row>
    <row r="788" spans="1:32" ht="409.5" x14ac:dyDescent="0.25">
      <c r="A788" s="107" t="s">
        <v>588</v>
      </c>
      <c r="B788" s="107" t="s">
        <v>2269</v>
      </c>
      <c r="C788" s="52"/>
      <c r="D788" s="107" t="s">
        <v>2300</v>
      </c>
      <c r="E788" s="22" t="str">
        <f t="shared" si="59"/>
        <v>SEJUSPPROG</v>
      </c>
      <c r="F788" s="52" t="s">
        <v>729</v>
      </c>
      <c r="G788" s="22" t="str">
        <f t="shared" si="60"/>
        <v>P130SEJUSP</v>
      </c>
      <c r="H788" s="129" t="s">
        <v>1183</v>
      </c>
      <c r="I788" s="22" t="s">
        <v>16</v>
      </c>
      <c r="J788" s="92" t="s">
        <v>2245</v>
      </c>
      <c r="K788" s="22" t="str">
        <f>VLOOKUP(CONCATENATE(A788,LEFT(J788,4)),AGRUPAMENTO!$D$2:$E$6783,2,FALSE)</f>
        <v>Termos de parceria e contratos de gestão</v>
      </c>
      <c r="L788" s="92" t="s">
        <v>44</v>
      </c>
      <c r="M788" s="52"/>
      <c r="N788" s="52">
        <v>60</v>
      </c>
      <c r="O788" s="132" t="s">
        <v>3047</v>
      </c>
      <c r="P788" s="163" t="s">
        <v>58</v>
      </c>
      <c r="Q788" s="92" t="s">
        <v>3962</v>
      </c>
      <c r="R788" s="92">
        <v>1</v>
      </c>
      <c r="S788" s="92" t="s">
        <v>3963</v>
      </c>
      <c r="T788" s="200">
        <v>12471420.34</v>
      </c>
      <c r="U788" s="201">
        <v>1</v>
      </c>
      <c r="V788" s="58">
        <f t="shared" si="58"/>
        <v>12471420.34</v>
      </c>
      <c r="W788" s="52" t="s">
        <v>49</v>
      </c>
      <c r="X788" s="92" t="s">
        <v>4731</v>
      </c>
      <c r="Y788" s="92" t="s">
        <v>4732</v>
      </c>
      <c r="Z788" s="92" t="s">
        <v>4733</v>
      </c>
      <c r="AA788" s="52">
        <v>0</v>
      </c>
      <c r="AB788" s="52">
        <v>0</v>
      </c>
      <c r="AC788" s="52">
        <v>0</v>
      </c>
      <c r="AD788" s="21">
        <v>0</v>
      </c>
      <c r="AE788" s="54">
        <v>0</v>
      </c>
      <c r="AF788" s="315">
        <f t="shared" si="61"/>
        <v>0</v>
      </c>
    </row>
    <row r="789" spans="1:32" ht="409.5" x14ac:dyDescent="0.25">
      <c r="A789" s="107" t="s">
        <v>588</v>
      </c>
      <c r="B789" s="107" t="s">
        <v>2269</v>
      </c>
      <c r="C789" s="52"/>
      <c r="D789" s="107" t="s">
        <v>2300</v>
      </c>
      <c r="E789" s="22" t="str">
        <f t="shared" si="59"/>
        <v>SEJUSPPROG</v>
      </c>
      <c r="F789" s="52" t="s">
        <v>729</v>
      </c>
      <c r="G789" s="22" t="str">
        <f t="shared" si="60"/>
        <v>P130SEJUSP</v>
      </c>
      <c r="H789" s="129" t="s">
        <v>1183</v>
      </c>
      <c r="I789" s="22" t="s">
        <v>16</v>
      </c>
      <c r="J789" s="92" t="s">
        <v>2245</v>
      </c>
      <c r="K789" s="22" t="str">
        <f>VLOOKUP(CONCATENATE(A789,LEFT(J789,4)),AGRUPAMENTO!$D$2:$E$6783,2,FALSE)</f>
        <v>Termos de parceria e contratos de gestão</v>
      </c>
      <c r="L789" s="92" t="s">
        <v>44</v>
      </c>
      <c r="M789" s="52"/>
      <c r="N789" s="52">
        <v>60</v>
      </c>
      <c r="O789" s="132" t="s">
        <v>3048</v>
      </c>
      <c r="P789" s="163" t="s">
        <v>58</v>
      </c>
      <c r="Q789" s="92" t="s">
        <v>3962</v>
      </c>
      <c r="R789" s="92">
        <v>1</v>
      </c>
      <c r="S789" s="92" t="s">
        <v>3963</v>
      </c>
      <c r="T789" s="200">
        <v>2942816.55</v>
      </c>
      <c r="U789" s="201">
        <v>2</v>
      </c>
      <c r="V789" s="58">
        <f t="shared" si="58"/>
        <v>5885633.0999999996</v>
      </c>
      <c r="W789" s="52" t="s">
        <v>49</v>
      </c>
      <c r="X789" s="92" t="s">
        <v>4734</v>
      </c>
      <c r="Y789" s="92" t="s">
        <v>4735</v>
      </c>
      <c r="Z789" s="92" t="s">
        <v>4733</v>
      </c>
      <c r="AA789" s="52">
        <v>0</v>
      </c>
      <c r="AB789" s="52">
        <v>0</v>
      </c>
      <c r="AC789" s="52">
        <v>0</v>
      </c>
      <c r="AD789" s="21">
        <v>0</v>
      </c>
      <c r="AE789" s="54">
        <v>0</v>
      </c>
      <c r="AF789" s="315">
        <f t="shared" si="61"/>
        <v>0</v>
      </c>
    </row>
    <row r="790" spans="1:32" ht="390" x14ac:dyDescent="0.25">
      <c r="A790" s="107" t="s">
        <v>588</v>
      </c>
      <c r="B790" s="107" t="s">
        <v>2269</v>
      </c>
      <c r="C790" s="52"/>
      <c r="D790" s="107" t="s">
        <v>2300</v>
      </c>
      <c r="E790" s="22" t="str">
        <f t="shared" si="59"/>
        <v>SEJUSPPROG</v>
      </c>
      <c r="F790" s="52" t="s">
        <v>729</v>
      </c>
      <c r="G790" s="22" t="str">
        <f t="shared" si="60"/>
        <v>P130SEJUSP</v>
      </c>
      <c r="H790" s="129" t="s">
        <v>1183</v>
      </c>
      <c r="I790" s="22" t="s">
        <v>16</v>
      </c>
      <c r="J790" s="92" t="s">
        <v>2245</v>
      </c>
      <c r="K790" s="22" t="str">
        <f>VLOOKUP(CONCATENATE(A790,LEFT(J790,4)),AGRUPAMENTO!$D$2:$E$6783,2,FALSE)</f>
        <v>Termos de parceria e contratos de gestão</v>
      </c>
      <c r="L790" s="92" t="s">
        <v>44</v>
      </c>
      <c r="M790" s="52"/>
      <c r="N790" s="52">
        <v>60</v>
      </c>
      <c r="O790" s="132" t="s">
        <v>3049</v>
      </c>
      <c r="P790" s="163" t="s">
        <v>58</v>
      </c>
      <c r="Q790" s="92" t="s">
        <v>3962</v>
      </c>
      <c r="R790" s="92">
        <v>1</v>
      </c>
      <c r="S790" s="92" t="s">
        <v>3963</v>
      </c>
      <c r="T790" s="200">
        <v>2957091.8</v>
      </c>
      <c r="U790" s="201">
        <v>1</v>
      </c>
      <c r="V790" s="58">
        <f t="shared" si="58"/>
        <v>2957091.8</v>
      </c>
      <c r="W790" s="52" t="s">
        <v>49</v>
      </c>
      <c r="X790" s="92" t="s">
        <v>4734</v>
      </c>
      <c r="Y790" s="92" t="s">
        <v>4735</v>
      </c>
      <c r="Z790" s="92" t="s">
        <v>4736</v>
      </c>
      <c r="AA790" s="52">
        <v>0</v>
      </c>
      <c r="AB790" s="52">
        <v>0</v>
      </c>
      <c r="AC790" s="52">
        <v>0</v>
      </c>
      <c r="AD790" s="21">
        <v>0</v>
      </c>
      <c r="AE790" s="54">
        <v>0</v>
      </c>
      <c r="AF790" s="315">
        <f t="shared" si="61"/>
        <v>0</v>
      </c>
    </row>
    <row r="791" spans="1:32" ht="60" x14ac:dyDescent="0.25">
      <c r="A791" s="108" t="s">
        <v>588</v>
      </c>
      <c r="B791" s="107" t="s">
        <v>2269</v>
      </c>
      <c r="C791" s="52"/>
      <c r="D791" s="107" t="s">
        <v>2275</v>
      </c>
      <c r="E791" s="22" t="str">
        <f t="shared" si="59"/>
        <v>SEJUSPPROG</v>
      </c>
      <c r="F791" s="52" t="s">
        <v>729</v>
      </c>
      <c r="G791" s="22" t="str">
        <f t="shared" si="60"/>
        <v>P130SEJUSP</v>
      </c>
      <c r="H791" s="131" t="s">
        <v>1148</v>
      </c>
      <c r="I791" s="22" t="s">
        <v>16</v>
      </c>
      <c r="J791" s="92" t="s">
        <v>287</v>
      </c>
      <c r="K791" s="22" t="str">
        <f>VLOOKUP(CONCATENATE(A791,LEFT(J791,4)),AGRUPAMENTO!$D$2:$E$6783,2,FALSE)</f>
        <v>Demais despesas de capital</v>
      </c>
      <c r="L791" s="92" t="s">
        <v>94</v>
      </c>
      <c r="M791" s="52"/>
      <c r="N791" s="92">
        <v>10</v>
      </c>
      <c r="O791" s="92" t="s">
        <v>3050</v>
      </c>
      <c r="P791" s="167" t="s">
        <v>46</v>
      </c>
      <c r="Q791" s="92" t="s">
        <v>3720</v>
      </c>
      <c r="R791" s="92">
        <v>800</v>
      </c>
      <c r="S791" s="92" t="s">
        <v>3720</v>
      </c>
      <c r="T791" s="200">
        <v>5605.41</v>
      </c>
      <c r="U791" s="201">
        <v>1</v>
      </c>
      <c r="V791" s="58">
        <f t="shared" si="58"/>
        <v>4484328</v>
      </c>
      <c r="W791" s="92" t="s">
        <v>68</v>
      </c>
      <c r="X791" s="92" t="s">
        <v>4715</v>
      </c>
      <c r="Y791" s="92" t="s">
        <v>4716</v>
      </c>
      <c r="Z791" s="92" t="s">
        <v>4717</v>
      </c>
      <c r="AA791" s="92">
        <v>2</v>
      </c>
      <c r="AB791" s="92">
        <v>6</v>
      </c>
      <c r="AC791" s="92">
        <v>26</v>
      </c>
      <c r="AD791" s="21">
        <v>0</v>
      </c>
      <c r="AE791" s="54">
        <v>0</v>
      </c>
      <c r="AF791" s="315">
        <f t="shared" si="61"/>
        <v>0</v>
      </c>
    </row>
    <row r="792" spans="1:32" ht="60" x14ac:dyDescent="0.25">
      <c r="A792" s="108" t="s">
        <v>588</v>
      </c>
      <c r="B792" s="107" t="s">
        <v>2269</v>
      </c>
      <c r="C792" s="52"/>
      <c r="D792" s="107" t="s">
        <v>2275</v>
      </c>
      <c r="E792" s="22" t="str">
        <f t="shared" si="59"/>
        <v>SEJUSPPROG</v>
      </c>
      <c r="F792" s="52" t="s">
        <v>729</v>
      </c>
      <c r="G792" s="22" t="str">
        <f t="shared" si="60"/>
        <v>P130SEJUSP</v>
      </c>
      <c r="H792" s="131" t="s">
        <v>1148</v>
      </c>
      <c r="I792" s="22" t="s">
        <v>16</v>
      </c>
      <c r="J792" s="131" t="s">
        <v>287</v>
      </c>
      <c r="K792" s="22" t="str">
        <f>VLOOKUP(CONCATENATE(A792,LEFT(J792,4)),AGRUPAMENTO!$D$2:$E$6783,2,FALSE)</f>
        <v>Demais despesas de capital</v>
      </c>
      <c r="L792" s="92" t="s">
        <v>94</v>
      </c>
      <c r="M792" s="52"/>
      <c r="N792" s="92">
        <v>10</v>
      </c>
      <c r="O792" s="92" t="s">
        <v>3051</v>
      </c>
      <c r="P792" s="167" t="s">
        <v>46</v>
      </c>
      <c r="Q792" s="92" t="s">
        <v>3720</v>
      </c>
      <c r="R792" s="92">
        <v>248</v>
      </c>
      <c r="S792" s="92" t="s">
        <v>3720</v>
      </c>
      <c r="T792" s="200">
        <v>7066.3</v>
      </c>
      <c r="U792" s="201">
        <v>1</v>
      </c>
      <c r="V792" s="58">
        <f t="shared" si="58"/>
        <v>1752442.4000000001</v>
      </c>
      <c r="W792" s="92" t="s">
        <v>68</v>
      </c>
      <c r="X792" s="92" t="s">
        <v>4715</v>
      </c>
      <c r="Y792" s="92" t="s">
        <v>4716</v>
      </c>
      <c r="Z792" s="92" t="s">
        <v>4717</v>
      </c>
      <c r="AA792" s="92">
        <v>2</v>
      </c>
      <c r="AB792" s="92">
        <v>6</v>
      </c>
      <c r="AC792" s="92">
        <v>26</v>
      </c>
      <c r="AD792" s="21">
        <v>0</v>
      </c>
      <c r="AE792" s="54">
        <v>0</v>
      </c>
      <c r="AF792" s="315">
        <f t="shared" si="61"/>
        <v>0</v>
      </c>
    </row>
    <row r="793" spans="1:32" ht="165" x14ac:dyDescent="0.25">
      <c r="A793" s="109" t="s">
        <v>588</v>
      </c>
      <c r="B793" s="110" t="s">
        <v>2270</v>
      </c>
      <c r="C793" s="52"/>
      <c r="D793" s="110" t="s">
        <v>2276</v>
      </c>
      <c r="E793" s="22" t="str">
        <f t="shared" si="59"/>
        <v>SEJUSPPROG</v>
      </c>
      <c r="F793" s="52" t="s">
        <v>729</v>
      </c>
      <c r="G793" s="22" t="str">
        <f t="shared" si="60"/>
        <v>P130SEJUSP</v>
      </c>
      <c r="H793" s="130" t="s">
        <v>1183</v>
      </c>
      <c r="I793" s="22" t="s">
        <v>16</v>
      </c>
      <c r="J793" s="130" t="s">
        <v>287</v>
      </c>
      <c r="K793" s="22" t="str">
        <f>VLOOKUP(CONCATENATE(A793,LEFT(J793,4)),AGRUPAMENTO!$D$2:$E$6783,2,FALSE)</f>
        <v>Demais despesas de capital</v>
      </c>
      <c r="L793" s="123" t="s">
        <v>94</v>
      </c>
      <c r="M793" s="52"/>
      <c r="N793" s="123">
        <v>10</v>
      </c>
      <c r="O793" s="123" t="s">
        <v>3052</v>
      </c>
      <c r="P793" s="166" t="s">
        <v>46</v>
      </c>
      <c r="Q793" s="123" t="s">
        <v>3964</v>
      </c>
      <c r="R793" s="142">
        <v>1254</v>
      </c>
      <c r="S793" s="123" t="s">
        <v>3886</v>
      </c>
      <c r="T793" s="180">
        <v>10521.5</v>
      </c>
      <c r="U793" s="181">
        <v>1</v>
      </c>
      <c r="V793" s="58">
        <f t="shared" si="58"/>
        <v>13193961</v>
      </c>
      <c r="W793" s="123" t="s">
        <v>68</v>
      </c>
      <c r="X793" s="123" t="s">
        <v>4737</v>
      </c>
      <c r="Y793" s="123" t="s">
        <v>4738</v>
      </c>
      <c r="Z793" s="123" t="s">
        <v>4739</v>
      </c>
      <c r="AA793" s="123">
        <v>5</v>
      </c>
      <c r="AB793" s="123">
        <v>7</v>
      </c>
      <c r="AC793" s="123">
        <v>27</v>
      </c>
      <c r="AD793" s="21">
        <v>0</v>
      </c>
      <c r="AE793" s="54">
        <v>0</v>
      </c>
      <c r="AF793" s="315">
        <f t="shared" si="61"/>
        <v>0</v>
      </c>
    </row>
    <row r="794" spans="1:32" ht="195" x14ac:dyDescent="0.25">
      <c r="A794" s="107" t="s">
        <v>588</v>
      </c>
      <c r="B794" s="107" t="s">
        <v>2269</v>
      </c>
      <c r="C794" s="52"/>
      <c r="D794" s="107" t="s">
        <v>2300</v>
      </c>
      <c r="E794" s="22" t="str">
        <f t="shared" si="59"/>
        <v>SEJUSPPROG</v>
      </c>
      <c r="F794" s="52" t="s">
        <v>729</v>
      </c>
      <c r="G794" s="22" t="str">
        <f t="shared" si="60"/>
        <v>P130SEJUSP</v>
      </c>
      <c r="H794" s="129" t="s">
        <v>1183</v>
      </c>
      <c r="I794" s="22" t="s">
        <v>16</v>
      </c>
      <c r="J794" s="52" t="s">
        <v>2131</v>
      </c>
      <c r="K794" s="22" t="str">
        <f>VLOOKUP(CONCATENATE(A794,LEFT(J794,4)),AGRUPAMENTO!$D$2:$E$6783,2,FALSE)</f>
        <v>Diárias e viagens</v>
      </c>
      <c r="L794" s="92" t="s">
        <v>44</v>
      </c>
      <c r="M794" s="52"/>
      <c r="N794" s="52">
        <v>60</v>
      </c>
      <c r="O794" s="163" t="s">
        <v>2870</v>
      </c>
      <c r="P794" s="163" t="s">
        <v>46</v>
      </c>
      <c r="Q794" s="92" t="s">
        <v>3960</v>
      </c>
      <c r="R794" s="92">
        <v>3</v>
      </c>
      <c r="S794" s="92" t="s">
        <v>3961</v>
      </c>
      <c r="T794" s="200">
        <v>258</v>
      </c>
      <c r="U794" s="201">
        <v>8</v>
      </c>
      <c r="V794" s="58">
        <f t="shared" si="58"/>
        <v>6192</v>
      </c>
      <c r="W794" s="52" t="s">
        <v>49</v>
      </c>
      <c r="X794" s="92" t="s">
        <v>4740</v>
      </c>
      <c r="Y794" s="92" t="s">
        <v>4741</v>
      </c>
      <c r="Z794" s="92" t="s">
        <v>4742</v>
      </c>
      <c r="AA794" s="52">
        <v>0</v>
      </c>
      <c r="AB794" s="52">
        <v>0</v>
      </c>
      <c r="AC794" s="52">
        <v>0</v>
      </c>
      <c r="AD794" s="21">
        <v>0.86749884668513244</v>
      </c>
      <c r="AE794" s="54">
        <v>0.86749884668513244</v>
      </c>
      <c r="AF794" s="315">
        <f t="shared" si="61"/>
        <v>5371.5528586743403</v>
      </c>
    </row>
    <row r="795" spans="1:32" ht="195" x14ac:dyDescent="0.25">
      <c r="A795" s="107" t="s">
        <v>588</v>
      </c>
      <c r="B795" s="107" t="s">
        <v>2269</v>
      </c>
      <c r="C795" s="52"/>
      <c r="D795" s="107" t="s">
        <v>2300</v>
      </c>
      <c r="E795" s="22" t="str">
        <f t="shared" si="59"/>
        <v>SEJUSPPROG</v>
      </c>
      <c r="F795" s="52" t="s">
        <v>729</v>
      </c>
      <c r="G795" s="22" t="str">
        <f t="shared" si="60"/>
        <v>P130SEJUSP</v>
      </c>
      <c r="H795" s="129" t="s">
        <v>1183</v>
      </c>
      <c r="I795" s="22" t="s">
        <v>16</v>
      </c>
      <c r="J795" s="52" t="s">
        <v>2131</v>
      </c>
      <c r="K795" s="22" t="str">
        <f>VLOOKUP(CONCATENATE(A795,LEFT(J795,4)),AGRUPAMENTO!$D$2:$E$6783,2,FALSE)</f>
        <v>Diárias e viagens</v>
      </c>
      <c r="L795" s="92" t="s">
        <v>44</v>
      </c>
      <c r="M795" s="52"/>
      <c r="N795" s="52">
        <v>60</v>
      </c>
      <c r="O795" s="163" t="s">
        <v>2870</v>
      </c>
      <c r="P795" s="163" t="s">
        <v>46</v>
      </c>
      <c r="Q795" s="92" t="s">
        <v>3960</v>
      </c>
      <c r="R795" s="92">
        <v>3</v>
      </c>
      <c r="S795" s="92" t="s">
        <v>3961</v>
      </c>
      <c r="T795" s="200">
        <v>362</v>
      </c>
      <c r="U795" s="201">
        <v>2</v>
      </c>
      <c r="V795" s="58">
        <f t="shared" si="58"/>
        <v>2172</v>
      </c>
      <c r="W795" s="52" t="s">
        <v>49</v>
      </c>
      <c r="X795" s="92" t="s">
        <v>4740</v>
      </c>
      <c r="Y795" s="92" t="s">
        <v>4741</v>
      </c>
      <c r="Z795" s="92" t="s">
        <v>4742</v>
      </c>
      <c r="AA795" s="52">
        <v>0</v>
      </c>
      <c r="AB795" s="52">
        <v>0</v>
      </c>
      <c r="AC795" s="52">
        <v>0</v>
      </c>
      <c r="AD795" s="21">
        <v>0.86749884668513244</v>
      </c>
      <c r="AE795" s="54">
        <v>0.86749884668513244</v>
      </c>
      <c r="AF795" s="315">
        <f t="shared" si="61"/>
        <v>1884.2074950001077</v>
      </c>
    </row>
    <row r="796" spans="1:32" ht="210" x14ac:dyDescent="0.25">
      <c r="A796" s="107" t="s">
        <v>588</v>
      </c>
      <c r="B796" s="107" t="s">
        <v>2269</v>
      </c>
      <c r="C796" s="52"/>
      <c r="D796" s="107" t="s">
        <v>2300</v>
      </c>
      <c r="E796" s="22" t="str">
        <f t="shared" si="59"/>
        <v>SEJUSPPROG</v>
      </c>
      <c r="F796" s="52" t="s">
        <v>729</v>
      </c>
      <c r="G796" s="22" t="str">
        <f t="shared" si="60"/>
        <v>P130SEJUSP</v>
      </c>
      <c r="H796" s="129" t="s">
        <v>1183</v>
      </c>
      <c r="I796" s="22" t="s">
        <v>16</v>
      </c>
      <c r="J796" s="52" t="s">
        <v>2131</v>
      </c>
      <c r="K796" s="22" t="str">
        <f>VLOOKUP(CONCATENATE(A796,LEFT(J796,4)),AGRUPAMENTO!$D$2:$E$6783,2,FALSE)</f>
        <v>Diárias e viagens</v>
      </c>
      <c r="L796" s="92" t="s">
        <v>44</v>
      </c>
      <c r="M796" s="52"/>
      <c r="N796" s="52">
        <v>60</v>
      </c>
      <c r="O796" s="163" t="s">
        <v>2870</v>
      </c>
      <c r="P796" s="163" t="s">
        <v>46</v>
      </c>
      <c r="Q796" s="92" t="s">
        <v>3960</v>
      </c>
      <c r="R796" s="92">
        <v>3</v>
      </c>
      <c r="S796" s="92" t="s">
        <v>3961</v>
      </c>
      <c r="T796" s="200">
        <v>258</v>
      </c>
      <c r="U796" s="201">
        <v>8</v>
      </c>
      <c r="V796" s="58">
        <f t="shared" si="58"/>
        <v>6192</v>
      </c>
      <c r="W796" s="52" t="s">
        <v>49</v>
      </c>
      <c r="X796" s="92" t="s">
        <v>4743</v>
      </c>
      <c r="Y796" s="92" t="s">
        <v>4741</v>
      </c>
      <c r="Z796" s="92" t="s">
        <v>4742</v>
      </c>
      <c r="AA796" s="52">
        <v>0</v>
      </c>
      <c r="AB796" s="52">
        <v>0</v>
      </c>
      <c r="AC796" s="52">
        <v>0</v>
      </c>
      <c r="AD796" s="21">
        <v>0.86749884668513244</v>
      </c>
      <c r="AE796" s="54">
        <v>0.86749884668513244</v>
      </c>
      <c r="AF796" s="315">
        <f t="shared" si="61"/>
        <v>5371.5528586743403</v>
      </c>
    </row>
    <row r="797" spans="1:32" ht="210" x14ac:dyDescent="0.25">
      <c r="A797" s="107" t="s">
        <v>588</v>
      </c>
      <c r="B797" s="107" t="s">
        <v>2269</v>
      </c>
      <c r="C797" s="52"/>
      <c r="D797" s="107" t="s">
        <v>2300</v>
      </c>
      <c r="E797" s="22" t="str">
        <f t="shared" si="59"/>
        <v>SEJUSPPROG</v>
      </c>
      <c r="F797" s="52" t="s">
        <v>729</v>
      </c>
      <c r="G797" s="22" t="str">
        <f t="shared" si="60"/>
        <v>P130SEJUSP</v>
      </c>
      <c r="H797" s="129" t="s">
        <v>1183</v>
      </c>
      <c r="I797" s="22" t="s">
        <v>16</v>
      </c>
      <c r="J797" s="52" t="s">
        <v>2131</v>
      </c>
      <c r="K797" s="22" t="str">
        <f>VLOOKUP(CONCATENATE(A797,LEFT(J797,4)),AGRUPAMENTO!$D$2:$E$6783,2,FALSE)</f>
        <v>Diárias e viagens</v>
      </c>
      <c r="L797" s="92" t="s">
        <v>44</v>
      </c>
      <c r="M797" s="52"/>
      <c r="N797" s="52">
        <v>60</v>
      </c>
      <c r="O797" s="163" t="s">
        <v>2870</v>
      </c>
      <c r="P797" s="163" t="s">
        <v>46</v>
      </c>
      <c r="Q797" s="92" t="s">
        <v>3960</v>
      </c>
      <c r="R797" s="92">
        <v>3</v>
      </c>
      <c r="S797" s="92" t="s">
        <v>3961</v>
      </c>
      <c r="T797" s="200">
        <v>362</v>
      </c>
      <c r="U797" s="201">
        <v>2</v>
      </c>
      <c r="V797" s="58">
        <f t="shared" si="58"/>
        <v>2172</v>
      </c>
      <c r="W797" s="52" t="s">
        <v>49</v>
      </c>
      <c r="X797" s="92" t="s">
        <v>4743</v>
      </c>
      <c r="Y797" s="92" t="s">
        <v>4741</v>
      </c>
      <c r="Z797" s="92" t="s">
        <v>4742</v>
      </c>
      <c r="AA797" s="52">
        <v>0</v>
      </c>
      <c r="AB797" s="52">
        <v>0</v>
      </c>
      <c r="AC797" s="52">
        <v>0</v>
      </c>
      <c r="AD797" s="21">
        <v>0.86749884668513244</v>
      </c>
      <c r="AE797" s="54">
        <v>0.86749884668513244</v>
      </c>
      <c r="AF797" s="315">
        <f t="shared" si="61"/>
        <v>1884.2074950001077</v>
      </c>
    </row>
    <row r="798" spans="1:32" ht="180" x14ac:dyDescent="0.25">
      <c r="A798" s="107" t="s">
        <v>588</v>
      </c>
      <c r="B798" s="107" t="s">
        <v>2269</v>
      </c>
      <c r="C798" s="52"/>
      <c r="D798" s="107" t="s">
        <v>2300</v>
      </c>
      <c r="E798" s="22" t="str">
        <f t="shared" si="59"/>
        <v>SEJUSPPROG</v>
      </c>
      <c r="F798" s="52" t="s">
        <v>729</v>
      </c>
      <c r="G798" s="22" t="str">
        <f t="shared" si="60"/>
        <v>P130SEJUSP</v>
      </c>
      <c r="H798" s="129" t="s">
        <v>1183</v>
      </c>
      <c r="I798" s="22" t="s">
        <v>16</v>
      </c>
      <c r="J798" s="52" t="s">
        <v>2131</v>
      </c>
      <c r="K798" s="22" t="str">
        <f>VLOOKUP(CONCATENATE(A798,LEFT(J798,4)),AGRUPAMENTO!$D$2:$E$6783,2,FALSE)</f>
        <v>Diárias e viagens</v>
      </c>
      <c r="L798" s="92" t="s">
        <v>44</v>
      </c>
      <c r="M798" s="52"/>
      <c r="N798" s="52">
        <v>60</v>
      </c>
      <c r="O798" s="163" t="s">
        <v>2870</v>
      </c>
      <c r="P798" s="163" t="s">
        <v>46</v>
      </c>
      <c r="Q798" s="92" t="s">
        <v>3960</v>
      </c>
      <c r="R798" s="92">
        <v>3</v>
      </c>
      <c r="S798" s="92" t="s">
        <v>3961</v>
      </c>
      <c r="T798" s="200">
        <v>258</v>
      </c>
      <c r="U798" s="201">
        <v>8</v>
      </c>
      <c r="V798" s="58">
        <f t="shared" si="58"/>
        <v>6192</v>
      </c>
      <c r="W798" s="52" t="s">
        <v>49</v>
      </c>
      <c r="X798" s="92" t="s">
        <v>4744</v>
      </c>
      <c r="Y798" s="92" t="s">
        <v>4741</v>
      </c>
      <c r="Z798" s="92" t="s">
        <v>4742</v>
      </c>
      <c r="AA798" s="52">
        <v>0</v>
      </c>
      <c r="AB798" s="52">
        <v>0</v>
      </c>
      <c r="AC798" s="52">
        <v>0</v>
      </c>
      <c r="AD798" s="21">
        <v>0.86749884668513244</v>
      </c>
      <c r="AE798" s="54">
        <v>0.86749884668513244</v>
      </c>
      <c r="AF798" s="315">
        <f t="shared" si="61"/>
        <v>5371.5528586743403</v>
      </c>
    </row>
    <row r="799" spans="1:32" ht="180" x14ac:dyDescent="0.25">
      <c r="A799" s="107" t="s">
        <v>588</v>
      </c>
      <c r="B799" s="107" t="s">
        <v>2269</v>
      </c>
      <c r="C799" s="52"/>
      <c r="D799" s="107" t="s">
        <v>2300</v>
      </c>
      <c r="E799" s="22" t="str">
        <f t="shared" si="59"/>
        <v>SEJUSPPROG</v>
      </c>
      <c r="F799" s="52" t="s">
        <v>729</v>
      </c>
      <c r="G799" s="22" t="str">
        <f t="shared" si="60"/>
        <v>P130SEJUSP</v>
      </c>
      <c r="H799" s="129" t="s">
        <v>1183</v>
      </c>
      <c r="I799" s="22" t="s">
        <v>16</v>
      </c>
      <c r="J799" s="52" t="s">
        <v>2131</v>
      </c>
      <c r="K799" s="22" t="str">
        <f>VLOOKUP(CONCATENATE(A799,LEFT(J799,4)),AGRUPAMENTO!$D$2:$E$6783,2,FALSE)</f>
        <v>Diárias e viagens</v>
      </c>
      <c r="L799" s="92" t="s">
        <v>44</v>
      </c>
      <c r="M799" s="52"/>
      <c r="N799" s="52">
        <v>60</v>
      </c>
      <c r="O799" s="163" t="s">
        <v>2870</v>
      </c>
      <c r="P799" s="163" t="s">
        <v>46</v>
      </c>
      <c r="Q799" s="92" t="s">
        <v>3960</v>
      </c>
      <c r="R799" s="92">
        <v>3</v>
      </c>
      <c r="S799" s="92" t="s">
        <v>3961</v>
      </c>
      <c r="T799" s="200">
        <v>362</v>
      </c>
      <c r="U799" s="201">
        <v>2</v>
      </c>
      <c r="V799" s="58">
        <f t="shared" si="58"/>
        <v>2172</v>
      </c>
      <c r="W799" s="52" t="s">
        <v>49</v>
      </c>
      <c r="X799" s="92" t="s">
        <v>4744</v>
      </c>
      <c r="Y799" s="92" t="s">
        <v>4741</v>
      </c>
      <c r="Z799" s="92" t="s">
        <v>4742</v>
      </c>
      <c r="AA799" s="52">
        <v>0</v>
      </c>
      <c r="AB799" s="52">
        <v>0</v>
      </c>
      <c r="AC799" s="52">
        <v>0</v>
      </c>
      <c r="AD799" s="21">
        <v>0.86749884668513244</v>
      </c>
      <c r="AE799" s="54">
        <v>0.86749884668513244</v>
      </c>
      <c r="AF799" s="315">
        <f t="shared" si="61"/>
        <v>1884.2074950001077</v>
      </c>
    </row>
    <row r="800" spans="1:32" ht="180" x14ac:dyDescent="0.25">
      <c r="A800" s="107" t="s">
        <v>588</v>
      </c>
      <c r="B800" s="107" t="s">
        <v>2269</v>
      </c>
      <c r="C800" s="52"/>
      <c r="D800" s="107" t="s">
        <v>2300</v>
      </c>
      <c r="E800" s="22" t="str">
        <f t="shared" si="59"/>
        <v>SEJUSPPROG</v>
      </c>
      <c r="F800" s="52" t="s">
        <v>729</v>
      </c>
      <c r="G800" s="22" t="str">
        <f t="shared" si="60"/>
        <v>P130SEJUSP</v>
      </c>
      <c r="H800" s="129" t="s">
        <v>1183</v>
      </c>
      <c r="I800" s="22" t="s">
        <v>16</v>
      </c>
      <c r="J800" s="52" t="s">
        <v>2131</v>
      </c>
      <c r="K800" s="22" t="str">
        <f>VLOOKUP(CONCATENATE(A800,LEFT(J800,4)),AGRUPAMENTO!$D$2:$E$6783,2,FALSE)</f>
        <v>Diárias e viagens</v>
      </c>
      <c r="L800" s="92" t="s">
        <v>44</v>
      </c>
      <c r="M800" s="52"/>
      <c r="N800" s="52">
        <v>60</v>
      </c>
      <c r="O800" s="163" t="s">
        <v>2870</v>
      </c>
      <c r="P800" s="163" t="s">
        <v>46</v>
      </c>
      <c r="Q800" s="92" t="s">
        <v>3960</v>
      </c>
      <c r="R800" s="92">
        <v>3</v>
      </c>
      <c r="S800" s="92" t="s">
        <v>3961</v>
      </c>
      <c r="T800" s="200">
        <v>258</v>
      </c>
      <c r="U800" s="201">
        <v>8</v>
      </c>
      <c r="V800" s="58">
        <f t="shared" si="58"/>
        <v>6192</v>
      </c>
      <c r="W800" s="52" t="s">
        <v>49</v>
      </c>
      <c r="X800" s="92" t="s">
        <v>4745</v>
      </c>
      <c r="Y800" s="92" t="s">
        <v>4741</v>
      </c>
      <c r="Z800" s="92" t="s">
        <v>4742</v>
      </c>
      <c r="AA800" s="52">
        <v>0</v>
      </c>
      <c r="AB800" s="52">
        <v>0</v>
      </c>
      <c r="AC800" s="52">
        <v>0</v>
      </c>
      <c r="AD800" s="21">
        <v>0.86749884668513244</v>
      </c>
      <c r="AE800" s="54">
        <v>0.86749884668513244</v>
      </c>
      <c r="AF800" s="315">
        <f t="shared" si="61"/>
        <v>5371.5528586743403</v>
      </c>
    </row>
    <row r="801" spans="1:32" ht="180" x14ac:dyDescent="0.25">
      <c r="A801" s="107" t="s">
        <v>588</v>
      </c>
      <c r="B801" s="107" t="s">
        <v>2269</v>
      </c>
      <c r="C801" s="52"/>
      <c r="D801" s="107" t="s">
        <v>2300</v>
      </c>
      <c r="E801" s="22" t="str">
        <f t="shared" si="59"/>
        <v>SEJUSPPROG</v>
      </c>
      <c r="F801" s="52" t="s">
        <v>729</v>
      </c>
      <c r="G801" s="22" t="str">
        <f t="shared" si="60"/>
        <v>P130SEJUSP</v>
      </c>
      <c r="H801" s="129" t="s">
        <v>1183</v>
      </c>
      <c r="I801" s="22" t="s">
        <v>16</v>
      </c>
      <c r="J801" s="52" t="s">
        <v>2131</v>
      </c>
      <c r="K801" s="22" t="str">
        <f>VLOOKUP(CONCATENATE(A801,LEFT(J801,4)),AGRUPAMENTO!$D$2:$E$6783,2,FALSE)</f>
        <v>Diárias e viagens</v>
      </c>
      <c r="L801" s="92" t="s">
        <v>44</v>
      </c>
      <c r="M801" s="52"/>
      <c r="N801" s="52">
        <v>60</v>
      </c>
      <c r="O801" s="163" t="s">
        <v>2870</v>
      </c>
      <c r="P801" s="163" t="s">
        <v>46</v>
      </c>
      <c r="Q801" s="92" t="s">
        <v>3960</v>
      </c>
      <c r="R801" s="92">
        <v>3</v>
      </c>
      <c r="S801" s="92" t="s">
        <v>3961</v>
      </c>
      <c r="T801" s="200">
        <v>362</v>
      </c>
      <c r="U801" s="201">
        <v>2</v>
      </c>
      <c r="V801" s="58">
        <f t="shared" si="58"/>
        <v>2172</v>
      </c>
      <c r="W801" s="52" t="s">
        <v>49</v>
      </c>
      <c r="X801" s="92" t="s">
        <v>4745</v>
      </c>
      <c r="Y801" s="92" t="s">
        <v>4741</v>
      </c>
      <c r="Z801" s="92" t="s">
        <v>4742</v>
      </c>
      <c r="AA801" s="52">
        <v>0</v>
      </c>
      <c r="AB801" s="52">
        <v>0</v>
      </c>
      <c r="AC801" s="52">
        <v>0</v>
      </c>
      <c r="AD801" s="21">
        <v>0.86749884668513244</v>
      </c>
      <c r="AE801" s="54">
        <v>0.86749884668513244</v>
      </c>
      <c r="AF801" s="315">
        <f t="shared" si="61"/>
        <v>1884.2074950001077</v>
      </c>
    </row>
    <row r="802" spans="1:32" ht="409.5" x14ac:dyDescent="0.25">
      <c r="A802" s="107" t="s">
        <v>588</v>
      </c>
      <c r="B802" s="107" t="s">
        <v>2269</v>
      </c>
      <c r="C802" s="52"/>
      <c r="D802" s="107" t="s">
        <v>2275</v>
      </c>
      <c r="E802" s="22" t="str">
        <f t="shared" si="59"/>
        <v>SEJUSPPROG</v>
      </c>
      <c r="F802" s="52" t="s">
        <v>729</v>
      </c>
      <c r="G802" s="22" t="str">
        <f t="shared" si="60"/>
        <v>P130SEJUSP</v>
      </c>
      <c r="H802" s="92" t="s">
        <v>1148</v>
      </c>
      <c r="I802" s="22" t="s">
        <v>16</v>
      </c>
      <c r="J802" s="92" t="s">
        <v>1676</v>
      </c>
      <c r="K802" s="22" t="str">
        <f>VLOOKUP(CONCATENATE(A802,LEFT(J802,4)),AGRUPAMENTO!$D$2:$E$6783,2,FALSE)</f>
        <v>Aquisições de itens de TIC</v>
      </c>
      <c r="L802" s="92" t="s">
        <v>94</v>
      </c>
      <c r="M802" s="52"/>
      <c r="N802" s="92">
        <v>10</v>
      </c>
      <c r="O802" s="169" t="s">
        <v>3053</v>
      </c>
      <c r="P802" s="92" t="s">
        <v>46</v>
      </c>
      <c r="Q802" s="92" t="s">
        <v>3720</v>
      </c>
      <c r="R802" s="92">
        <v>169</v>
      </c>
      <c r="S802" s="92" t="s">
        <v>3720</v>
      </c>
      <c r="T802" s="200">
        <v>9100</v>
      </c>
      <c r="U802" s="201">
        <v>1</v>
      </c>
      <c r="V802" s="58">
        <f t="shared" si="58"/>
        <v>1537900</v>
      </c>
      <c r="W802" s="52" t="s">
        <v>49</v>
      </c>
      <c r="X802" s="92" t="s">
        <v>4746</v>
      </c>
      <c r="Y802" s="92" t="s">
        <v>4747</v>
      </c>
      <c r="Z802" s="92" t="s">
        <v>4748</v>
      </c>
      <c r="AA802" s="52">
        <v>0</v>
      </c>
      <c r="AB802" s="52">
        <v>0</v>
      </c>
      <c r="AC802" s="52">
        <v>0</v>
      </c>
      <c r="AD802" s="21">
        <v>0</v>
      </c>
      <c r="AE802" s="54">
        <v>0</v>
      </c>
      <c r="AF802" s="315">
        <f t="shared" si="61"/>
        <v>0</v>
      </c>
    </row>
    <row r="803" spans="1:32" ht="225" x14ac:dyDescent="0.25">
      <c r="A803" s="107" t="s">
        <v>588</v>
      </c>
      <c r="B803" s="107" t="s">
        <v>2269</v>
      </c>
      <c r="C803" s="52"/>
      <c r="D803" s="107" t="s">
        <v>2304</v>
      </c>
      <c r="E803" s="22" t="str">
        <f t="shared" si="59"/>
        <v>SEJUSPPROG</v>
      </c>
      <c r="F803" s="52" t="s">
        <v>729</v>
      </c>
      <c r="G803" s="22" t="str">
        <f t="shared" si="60"/>
        <v>P130SEJUSP</v>
      </c>
      <c r="H803" s="92" t="s">
        <v>1183</v>
      </c>
      <c r="I803" s="22" t="s">
        <v>16</v>
      </c>
      <c r="J803" s="92" t="s">
        <v>458</v>
      </c>
      <c r="K803" s="22" t="str">
        <f>VLOOKUP(CONCATENATE(A803,LEFT(J803,4)),AGRUPAMENTO!$D$2:$E$6783,2,FALSE)</f>
        <v>Demais despesas de capital</v>
      </c>
      <c r="L803" s="92" t="s">
        <v>94</v>
      </c>
      <c r="M803" s="52"/>
      <c r="N803" s="92">
        <v>10</v>
      </c>
      <c r="O803" s="92" t="s">
        <v>3054</v>
      </c>
      <c r="P803" s="92" t="s">
        <v>58</v>
      </c>
      <c r="Q803" s="92" t="s">
        <v>3965</v>
      </c>
      <c r="R803" s="92">
        <v>15</v>
      </c>
      <c r="S803" s="92" t="s">
        <v>3966</v>
      </c>
      <c r="T803" s="200">
        <v>100000</v>
      </c>
      <c r="U803" s="201">
        <v>1</v>
      </c>
      <c r="V803" s="58">
        <f t="shared" si="58"/>
        <v>1500000</v>
      </c>
      <c r="W803" s="52" t="s">
        <v>49</v>
      </c>
      <c r="X803" s="92" t="s">
        <v>4749</v>
      </c>
      <c r="Y803" s="92" t="s">
        <v>4750</v>
      </c>
      <c r="Z803" s="92" t="s">
        <v>4751</v>
      </c>
      <c r="AA803" s="52">
        <v>0</v>
      </c>
      <c r="AB803" s="52">
        <v>0</v>
      </c>
      <c r="AC803" s="52">
        <v>0</v>
      </c>
      <c r="AD803" s="21">
        <v>0</v>
      </c>
      <c r="AE803" s="54">
        <v>0</v>
      </c>
      <c r="AF803" s="315">
        <f t="shared" si="61"/>
        <v>0</v>
      </c>
    </row>
    <row r="804" spans="1:32" ht="60" x14ac:dyDescent="0.25">
      <c r="A804" s="107" t="s">
        <v>588</v>
      </c>
      <c r="B804" s="107" t="s">
        <v>2269</v>
      </c>
      <c r="C804" s="52"/>
      <c r="D804" s="107" t="s">
        <v>2304</v>
      </c>
      <c r="E804" s="22" t="str">
        <f t="shared" si="59"/>
        <v>SEJUSPPROG</v>
      </c>
      <c r="F804" s="52" t="s">
        <v>729</v>
      </c>
      <c r="G804" s="22" t="str">
        <f t="shared" si="60"/>
        <v>P130SEJUSP</v>
      </c>
      <c r="H804" s="92" t="s">
        <v>1183</v>
      </c>
      <c r="I804" s="22" t="s">
        <v>16</v>
      </c>
      <c r="J804" s="92" t="s">
        <v>249</v>
      </c>
      <c r="K804" s="22" t="str">
        <f>VLOOKUP(CONCATENATE(A804,LEFT(J804,4)),AGRUPAMENTO!$D$2:$E$6783,2,FALSE)</f>
        <v>Demais despesas de custeio</v>
      </c>
      <c r="L804" s="92" t="s">
        <v>44</v>
      </c>
      <c r="M804" s="52"/>
      <c r="N804" s="52">
        <v>60</v>
      </c>
      <c r="O804" s="92" t="s">
        <v>3055</v>
      </c>
      <c r="P804" s="92" t="s">
        <v>46</v>
      </c>
      <c r="Q804" s="92" t="s">
        <v>3967</v>
      </c>
      <c r="R804" s="92">
        <v>50</v>
      </c>
      <c r="S804" s="92" t="s">
        <v>3968</v>
      </c>
      <c r="T804" s="200">
        <v>5000</v>
      </c>
      <c r="U804" s="201">
        <v>1</v>
      </c>
      <c r="V804" s="58">
        <f t="shared" si="58"/>
        <v>250000</v>
      </c>
      <c r="W804" s="52" t="s">
        <v>49</v>
      </c>
      <c r="X804" s="92" t="s">
        <v>4752</v>
      </c>
      <c r="Y804" s="92" t="s">
        <v>4753</v>
      </c>
      <c r="Z804" s="92" t="s">
        <v>4754</v>
      </c>
      <c r="AA804" s="52">
        <v>0</v>
      </c>
      <c r="AB804" s="52">
        <v>0</v>
      </c>
      <c r="AC804" s="52">
        <v>0</v>
      </c>
      <c r="AD804" s="21">
        <v>0.29138261490145073</v>
      </c>
      <c r="AE804" s="54">
        <v>0.29138261490145073</v>
      </c>
      <c r="AF804" s="315">
        <f t="shared" si="61"/>
        <v>72845.653725362688</v>
      </c>
    </row>
    <row r="805" spans="1:32" ht="45" x14ac:dyDescent="0.25">
      <c r="A805" s="107" t="s">
        <v>588</v>
      </c>
      <c r="B805" s="107" t="s">
        <v>2269</v>
      </c>
      <c r="C805" s="52"/>
      <c r="D805" s="107" t="s">
        <v>2304</v>
      </c>
      <c r="E805" s="22" t="str">
        <f t="shared" si="59"/>
        <v>SEJUSPPROG</v>
      </c>
      <c r="F805" s="52" t="s">
        <v>729</v>
      </c>
      <c r="G805" s="22" t="str">
        <f t="shared" si="60"/>
        <v>P130SEJUSP</v>
      </c>
      <c r="H805" s="92" t="s">
        <v>1183</v>
      </c>
      <c r="I805" s="22" t="s">
        <v>16</v>
      </c>
      <c r="J805" s="52" t="s">
        <v>2150</v>
      </c>
      <c r="K805" s="22" t="str">
        <f>VLOOKUP(CONCATENATE(A805,LEFT(J805,4)),AGRUPAMENTO!$D$2:$E$6783,2,FALSE)</f>
        <v>Diárias e viagens</v>
      </c>
      <c r="L805" s="92" t="s">
        <v>44</v>
      </c>
      <c r="M805" s="52"/>
      <c r="N805" s="52">
        <v>60</v>
      </c>
      <c r="O805" s="92" t="s">
        <v>3056</v>
      </c>
      <c r="P805" s="92" t="s">
        <v>46</v>
      </c>
      <c r="Q805" s="92" t="s">
        <v>3969</v>
      </c>
      <c r="R805" s="92">
        <v>30</v>
      </c>
      <c r="S805" s="92" t="s">
        <v>3970</v>
      </c>
      <c r="T805" s="200">
        <v>150</v>
      </c>
      <c r="U805" s="201">
        <v>2</v>
      </c>
      <c r="V805" s="58">
        <f t="shared" si="58"/>
        <v>9000</v>
      </c>
      <c r="W805" s="52" t="s">
        <v>49</v>
      </c>
      <c r="X805" s="92" t="s">
        <v>3056</v>
      </c>
      <c r="Y805" s="92" t="s">
        <v>4755</v>
      </c>
      <c r="Z805" s="92" t="s">
        <v>4755</v>
      </c>
      <c r="AA805" s="52">
        <v>0</v>
      </c>
      <c r="AB805" s="52">
        <v>0</v>
      </c>
      <c r="AC805" s="52">
        <v>0</v>
      </c>
      <c r="AD805" s="21">
        <v>0.86749884668513244</v>
      </c>
      <c r="AE805" s="54">
        <v>0.86749884668513244</v>
      </c>
      <c r="AF805" s="315">
        <f t="shared" si="61"/>
        <v>7807.4896201661923</v>
      </c>
    </row>
    <row r="806" spans="1:32" ht="75" x14ac:dyDescent="0.25">
      <c r="A806" s="107" t="s">
        <v>588</v>
      </c>
      <c r="B806" s="107" t="s">
        <v>2269</v>
      </c>
      <c r="C806" s="52"/>
      <c r="D806" s="107" t="s">
        <v>2304</v>
      </c>
      <c r="E806" s="22" t="str">
        <f t="shared" si="59"/>
        <v>SEJUSPPROG</v>
      </c>
      <c r="F806" s="52" t="s">
        <v>729</v>
      </c>
      <c r="G806" s="22" t="str">
        <f t="shared" si="60"/>
        <v>P130SEJUSP</v>
      </c>
      <c r="H806" s="92" t="s">
        <v>1183</v>
      </c>
      <c r="I806" s="22" t="s">
        <v>16</v>
      </c>
      <c r="J806" s="107" t="s">
        <v>1663</v>
      </c>
      <c r="K806" s="22" t="str">
        <f>VLOOKUP(CONCATENATE(A806,LEFT(J806,4)),AGRUPAMENTO!$D$2:$E$6783,2,FALSE)</f>
        <v>Demais despesas de custeio</v>
      </c>
      <c r="L806" s="92" t="s">
        <v>44</v>
      </c>
      <c r="M806" s="52"/>
      <c r="N806" s="52">
        <v>60</v>
      </c>
      <c r="O806" s="92" t="s">
        <v>3057</v>
      </c>
      <c r="P806" s="92" t="s">
        <v>58</v>
      </c>
      <c r="Q806" s="92" t="s">
        <v>3971</v>
      </c>
      <c r="R806" s="92">
        <v>12</v>
      </c>
      <c r="S806" s="92" t="s">
        <v>3972</v>
      </c>
      <c r="T806" s="200">
        <v>150000</v>
      </c>
      <c r="U806" s="201">
        <v>1</v>
      </c>
      <c r="V806" s="58">
        <f t="shared" si="58"/>
        <v>1800000</v>
      </c>
      <c r="W806" s="52" t="s">
        <v>49</v>
      </c>
      <c r="X806" s="92" t="s">
        <v>4756</v>
      </c>
      <c r="Y806" s="92" t="s">
        <v>4757</v>
      </c>
      <c r="Z806" s="92" t="s">
        <v>4758</v>
      </c>
      <c r="AA806" s="52">
        <v>0</v>
      </c>
      <c r="AB806" s="52">
        <v>0</v>
      </c>
      <c r="AC806" s="52">
        <v>0</v>
      </c>
      <c r="AD806" s="21">
        <v>0</v>
      </c>
      <c r="AE806" s="54">
        <v>0</v>
      </c>
      <c r="AF806" s="315">
        <f t="shared" si="61"/>
        <v>0</v>
      </c>
    </row>
    <row r="807" spans="1:32" ht="120" x14ac:dyDescent="0.25">
      <c r="A807" s="107" t="s">
        <v>588</v>
      </c>
      <c r="B807" s="107" t="s">
        <v>2269</v>
      </c>
      <c r="C807" s="52"/>
      <c r="D807" s="107" t="s">
        <v>2296</v>
      </c>
      <c r="E807" s="22" t="str">
        <f t="shared" si="59"/>
        <v>SEJUSPPROG</v>
      </c>
      <c r="F807" s="52" t="s">
        <v>729</v>
      </c>
      <c r="G807" s="22" t="str">
        <f t="shared" si="60"/>
        <v>P130SEJUSP</v>
      </c>
      <c r="H807" s="132" t="s">
        <v>1234</v>
      </c>
      <c r="I807" s="22" t="s">
        <v>16</v>
      </c>
      <c r="J807" s="132" t="s">
        <v>1750</v>
      </c>
      <c r="K807" s="22" t="str">
        <f>VLOOKUP(CONCATENATE(A807,LEFT(J807,4)),AGRUPAMENTO!$D$2:$E$6783,2,FALSE)</f>
        <v>SUBVENÇÕES SOCIAIS</v>
      </c>
      <c r="L807" s="132" t="s">
        <v>44</v>
      </c>
      <c r="M807" s="52"/>
      <c r="N807" s="52">
        <v>60</v>
      </c>
      <c r="O807" s="132" t="s">
        <v>3058</v>
      </c>
      <c r="P807" s="132" t="s">
        <v>46</v>
      </c>
      <c r="Q807" s="132" t="s">
        <v>3971</v>
      </c>
      <c r="R807" s="132">
        <v>12</v>
      </c>
      <c r="S807" s="132" t="s">
        <v>3972</v>
      </c>
      <c r="T807" s="229">
        <v>250000</v>
      </c>
      <c r="U807" s="230">
        <v>1</v>
      </c>
      <c r="V807" s="58">
        <f t="shared" si="58"/>
        <v>3000000</v>
      </c>
      <c r="W807" s="52" t="s">
        <v>49</v>
      </c>
      <c r="X807" s="132" t="s">
        <v>4759</v>
      </c>
      <c r="Y807" s="132" t="s">
        <v>4759</v>
      </c>
      <c r="Z807" s="132" t="s">
        <v>4759</v>
      </c>
      <c r="AA807" s="52">
        <v>0</v>
      </c>
      <c r="AB807" s="52">
        <v>0</v>
      </c>
      <c r="AC807" s="52">
        <v>0</v>
      </c>
      <c r="AD807" s="21">
        <v>0.97618154946514557</v>
      </c>
      <c r="AE807" s="54">
        <v>0.97618154946514557</v>
      </c>
      <c r="AF807" s="315">
        <f t="shared" si="61"/>
        <v>2928544.6483954368</v>
      </c>
    </row>
    <row r="808" spans="1:32" ht="135" x14ac:dyDescent="0.25">
      <c r="A808" s="107" t="s">
        <v>588</v>
      </c>
      <c r="B808" s="107" t="s">
        <v>2270</v>
      </c>
      <c r="C808" s="52"/>
      <c r="D808" s="52" t="s">
        <v>2301</v>
      </c>
      <c r="E808" s="22" t="str">
        <f t="shared" si="59"/>
        <v>SEJUSPPROG</v>
      </c>
      <c r="F808" s="116" t="s">
        <v>687</v>
      </c>
      <c r="G808" s="22" t="str">
        <f t="shared" si="60"/>
        <v>P705SEJUSP</v>
      </c>
      <c r="H808" s="52" t="s">
        <v>914</v>
      </c>
      <c r="I808" s="22" t="s">
        <v>16</v>
      </c>
      <c r="J808" s="107" t="s">
        <v>2207</v>
      </c>
      <c r="K808" s="22" t="str">
        <f>VLOOKUP(CONCATENATE(A808,LEFT(J808,4)),AGRUPAMENTO!$D$2:$E$6783,2,FALSE)</f>
        <v>PRODEMGE</v>
      </c>
      <c r="L808" s="52" t="s">
        <v>44</v>
      </c>
      <c r="M808" s="52"/>
      <c r="N808" s="52">
        <v>10</v>
      </c>
      <c r="O808" s="52" t="s">
        <v>3059</v>
      </c>
      <c r="P808" s="52" t="s">
        <v>3717</v>
      </c>
      <c r="Q808" s="52" t="s">
        <v>3973</v>
      </c>
      <c r="R808" s="52">
        <v>2500</v>
      </c>
      <c r="S808" s="52" t="s">
        <v>3973</v>
      </c>
      <c r="T808" s="88">
        <v>0.56000000000000005</v>
      </c>
      <c r="U808" s="53">
        <v>12</v>
      </c>
      <c r="V808" s="58">
        <f t="shared" si="58"/>
        <v>16800.000000000004</v>
      </c>
      <c r="W808" s="52" t="s">
        <v>49</v>
      </c>
      <c r="X808" s="52" t="s">
        <v>4760</v>
      </c>
      <c r="Y808" s="52" t="s">
        <v>4761</v>
      </c>
      <c r="Z808" s="52" t="s">
        <v>4762</v>
      </c>
      <c r="AA808" s="52">
        <v>0</v>
      </c>
      <c r="AB808" s="52">
        <v>0</v>
      </c>
      <c r="AC808" s="52">
        <v>0</v>
      </c>
      <c r="AD808" s="21">
        <v>0.74255988295180719</v>
      </c>
      <c r="AE808" s="54">
        <v>0.74255988295180719</v>
      </c>
      <c r="AF808" s="315">
        <f t="shared" si="61"/>
        <v>12475.006033590364</v>
      </c>
    </row>
    <row r="809" spans="1:32" ht="165" x14ac:dyDescent="0.25">
      <c r="A809" s="107" t="s">
        <v>588</v>
      </c>
      <c r="B809" s="107" t="s">
        <v>2270</v>
      </c>
      <c r="C809" s="52"/>
      <c r="D809" s="52" t="s">
        <v>2301</v>
      </c>
      <c r="E809" s="22" t="str">
        <f t="shared" si="59"/>
        <v>SEJUSPPROG</v>
      </c>
      <c r="F809" s="116" t="s">
        <v>687</v>
      </c>
      <c r="G809" s="22" t="str">
        <f t="shared" si="60"/>
        <v>P705SEJUSP</v>
      </c>
      <c r="H809" s="52" t="s">
        <v>914</v>
      </c>
      <c r="I809" s="22" t="s">
        <v>16</v>
      </c>
      <c r="J809" s="107" t="s">
        <v>2207</v>
      </c>
      <c r="K809" s="22" t="str">
        <f>VLOOKUP(CONCATENATE(A809,LEFT(J809,4)),AGRUPAMENTO!$D$2:$E$6783,2,FALSE)</f>
        <v>PRODEMGE</v>
      </c>
      <c r="L809" s="52" t="s">
        <v>44</v>
      </c>
      <c r="M809" s="52"/>
      <c r="N809" s="52">
        <v>10</v>
      </c>
      <c r="O809" s="52" t="s">
        <v>3060</v>
      </c>
      <c r="P809" s="52" t="s">
        <v>3717</v>
      </c>
      <c r="Q809" s="52" t="s">
        <v>3974</v>
      </c>
      <c r="R809" s="52">
        <v>1</v>
      </c>
      <c r="S809" s="52" t="s">
        <v>3975</v>
      </c>
      <c r="T809" s="88">
        <v>1015.3</v>
      </c>
      <c r="U809" s="53">
        <v>12</v>
      </c>
      <c r="V809" s="58">
        <f t="shared" si="58"/>
        <v>12183.599999999999</v>
      </c>
      <c r="W809" s="52" t="s">
        <v>49</v>
      </c>
      <c r="X809" s="52" t="s">
        <v>4763</v>
      </c>
      <c r="Y809" s="52" t="s">
        <v>4764</v>
      </c>
      <c r="Z809" s="52" t="s">
        <v>4765</v>
      </c>
      <c r="AA809" s="52">
        <v>0</v>
      </c>
      <c r="AB809" s="52">
        <v>0</v>
      </c>
      <c r="AC809" s="52">
        <v>0</v>
      </c>
      <c r="AD809" s="21">
        <v>0.74255988295180719</v>
      </c>
      <c r="AE809" s="54">
        <v>0.74255988295180719</v>
      </c>
      <c r="AF809" s="315">
        <f t="shared" si="61"/>
        <v>9047.0525899316362</v>
      </c>
    </row>
    <row r="810" spans="1:32" ht="285" x14ac:dyDescent="0.25">
      <c r="A810" s="107" t="s">
        <v>588</v>
      </c>
      <c r="B810" s="107" t="s">
        <v>2270</v>
      </c>
      <c r="C810" s="52"/>
      <c r="D810" s="52" t="s">
        <v>2301</v>
      </c>
      <c r="E810" s="22" t="str">
        <f t="shared" si="59"/>
        <v>SEJUSPPROG</v>
      </c>
      <c r="F810" s="52" t="s">
        <v>729</v>
      </c>
      <c r="G810" s="22" t="str">
        <f t="shared" si="60"/>
        <v>P130SEJUSP</v>
      </c>
      <c r="H810" s="52" t="s">
        <v>1183</v>
      </c>
      <c r="I810" s="22" t="s">
        <v>16</v>
      </c>
      <c r="J810" s="107" t="s">
        <v>2207</v>
      </c>
      <c r="K810" s="22" t="str">
        <f>VLOOKUP(CONCATENATE(A810,LEFT(J810,4)),AGRUPAMENTO!$D$2:$E$6783,2,FALSE)</f>
        <v>PRODEMGE</v>
      </c>
      <c r="L810" s="52" t="s">
        <v>44</v>
      </c>
      <c r="M810" s="52"/>
      <c r="N810" s="52">
        <v>60</v>
      </c>
      <c r="O810" s="170" t="s">
        <v>3060</v>
      </c>
      <c r="P810" s="52" t="s">
        <v>3717</v>
      </c>
      <c r="Q810" s="52" t="s">
        <v>3976</v>
      </c>
      <c r="R810" s="52">
        <v>1</v>
      </c>
      <c r="S810" s="52" t="s">
        <v>3977</v>
      </c>
      <c r="T810" s="88">
        <v>306670.23</v>
      </c>
      <c r="U810" s="53">
        <v>12</v>
      </c>
      <c r="V810" s="58">
        <f t="shared" si="58"/>
        <v>3680042.76</v>
      </c>
      <c r="W810" s="52" t="s">
        <v>49</v>
      </c>
      <c r="X810" s="52" t="s">
        <v>4766</v>
      </c>
      <c r="Y810" s="52" t="s">
        <v>4767</v>
      </c>
      <c r="Z810" s="52" t="s">
        <v>4768</v>
      </c>
      <c r="AA810" s="52">
        <v>0</v>
      </c>
      <c r="AB810" s="52">
        <v>0</v>
      </c>
      <c r="AC810" s="52">
        <v>0</v>
      </c>
      <c r="AD810" s="21">
        <v>0.74255988295180719</v>
      </c>
      <c r="AE810" s="54">
        <v>0.74255988295180719</v>
      </c>
      <c r="AF810" s="315">
        <f t="shared" si="61"/>
        <v>2732652.1211232455</v>
      </c>
    </row>
    <row r="811" spans="1:32" ht="210" x14ac:dyDescent="0.25">
      <c r="A811" s="107" t="s">
        <v>588</v>
      </c>
      <c r="B811" s="107" t="s">
        <v>2270</v>
      </c>
      <c r="C811" s="52"/>
      <c r="D811" s="52" t="s">
        <v>2301</v>
      </c>
      <c r="E811" s="22" t="str">
        <f t="shared" si="59"/>
        <v>SEJUSPPROG</v>
      </c>
      <c r="F811" s="52" t="s">
        <v>729</v>
      </c>
      <c r="G811" s="22" t="str">
        <f t="shared" si="60"/>
        <v>P130SEJUSP</v>
      </c>
      <c r="H811" s="52" t="s">
        <v>1183</v>
      </c>
      <c r="I811" s="22" t="s">
        <v>16</v>
      </c>
      <c r="J811" s="107" t="s">
        <v>2207</v>
      </c>
      <c r="K811" s="22" t="str">
        <f>VLOOKUP(CONCATENATE(A811,LEFT(J811,4)),AGRUPAMENTO!$D$2:$E$6783,2,FALSE)</f>
        <v>PRODEMGE</v>
      </c>
      <c r="L811" s="52" t="s">
        <v>44</v>
      </c>
      <c r="M811" s="52"/>
      <c r="N811" s="52">
        <v>60</v>
      </c>
      <c r="O811" s="52" t="s">
        <v>3061</v>
      </c>
      <c r="P811" s="52" t="s">
        <v>58</v>
      </c>
      <c r="Q811" s="52" t="s">
        <v>3978</v>
      </c>
      <c r="R811" s="52">
        <v>1</v>
      </c>
      <c r="S811" s="52" t="s">
        <v>3979</v>
      </c>
      <c r="T811" s="88">
        <v>15768.56</v>
      </c>
      <c r="U811" s="53">
        <v>12</v>
      </c>
      <c r="V811" s="58">
        <f t="shared" si="58"/>
        <v>189222.72</v>
      </c>
      <c r="W811" s="52" t="s">
        <v>49</v>
      </c>
      <c r="X811" s="52" t="s">
        <v>4769</v>
      </c>
      <c r="Y811" s="52" t="s">
        <v>4770</v>
      </c>
      <c r="Z811" s="52" t="s">
        <v>4771</v>
      </c>
      <c r="AA811" s="52">
        <v>0</v>
      </c>
      <c r="AB811" s="52">
        <v>0</v>
      </c>
      <c r="AC811" s="52">
        <v>0</v>
      </c>
      <c r="AD811" s="21">
        <v>0</v>
      </c>
      <c r="AE811" s="54">
        <v>0</v>
      </c>
      <c r="AF811" s="315">
        <f t="shared" si="61"/>
        <v>0</v>
      </c>
    </row>
    <row r="812" spans="1:32" ht="285" x14ac:dyDescent="0.25">
      <c r="A812" s="107" t="s">
        <v>588</v>
      </c>
      <c r="B812" s="107" t="s">
        <v>2270</v>
      </c>
      <c r="C812" s="52"/>
      <c r="D812" s="52" t="s">
        <v>2301</v>
      </c>
      <c r="E812" s="22" t="str">
        <f t="shared" si="59"/>
        <v>SEJUSPPROG</v>
      </c>
      <c r="F812" s="52" t="s">
        <v>705</v>
      </c>
      <c r="G812" s="22" t="str">
        <f t="shared" si="60"/>
        <v>P134SEJUSP</v>
      </c>
      <c r="H812" s="52" t="s">
        <v>1356</v>
      </c>
      <c r="I812" s="22" t="s">
        <v>16</v>
      </c>
      <c r="J812" s="107" t="s">
        <v>2207</v>
      </c>
      <c r="K812" s="22" t="str">
        <f>VLOOKUP(CONCATENATE(A812,LEFT(J812,4)),AGRUPAMENTO!$D$2:$E$6783,2,FALSE)</f>
        <v>PRODEMGE</v>
      </c>
      <c r="L812" s="52" t="s">
        <v>44</v>
      </c>
      <c r="M812" s="52"/>
      <c r="N812" s="52">
        <v>10</v>
      </c>
      <c r="O812" s="170" t="s">
        <v>3062</v>
      </c>
      <c r="P812" s="52" t="s">
        <v>46</v>
      </c>
      <c r="Q812" s="52" t="s">
        <v>3980</v>
      </c>
      <c r="R812" s="52">
        <v>1</v>
      </c>
      <c r="S812" s="52" t="s">
        <v>3981</v>
      </c>
      <c r="T812" s="88">
        <v>37152.160000000003</v>
      </c>
      <c r="U812" s="53">
        <v>12</v>
      </c>
      <c r="V812" s="58">
        <f t="shared" si="58"/>
        <v>445825.92000000004</v>
      </c>
      <c r="W812" s="52" t="s">
        <v>49</v>
      </c>
      <c r="X812" s="52" t="s">
        <v>4772</v>
      </c>
      <c r="Y812" s="52" t="s">
        <v>4773</v>
      </c>
      <c r="Z812" s="52" t="s">
        <v>4774</v>
      </c>
      <c r="AA812" s="52">
        <v>0</v>
      </c>
      <c r="AB812" s="52">
        <v>0</v>
      </c>
      <c r="AC812" s="52">
        <v>0</v>
      </c>
      <c r="AD812" s="21">
        <v>0.74255988295180719</v>
      </c>
      <c r="AE812" s="54">
        <v>0.74255988295180719</v>
      </c>
      <c r="AF812" s="315">
        <f t="shared" si="61"/>
        <v>331052.44297208177</v>
      </c>
    </row>
    <row r="813" spans="1:32" ht="165" x14ac:dyDescent="0.25">
      <c r="A813" s="107" t="s">
        <v>588</v>
      </c>
      <c r="B813" s="107" t="s">
        <v>2270</v>
      </c>
      <c r="C813" s="52"/>
      <c r="D813" s="52" t="s">
        <v>2301</v>
      </c>
      <c r="E813" s="22" t="str">
        <f t="shared" si="59"/>
        <v>SEJUSPPROG</v>
      </c>
      <c r="F813" s="52" t="s">
        <v>705</v>
      </c>
      <c r="G813" s="22" t="str">
        <f t="shared" si="60"/>
        <v>P134SEJUSP</v>
      </c>
      <c r="H813" s="52" t="s">
        <v>1356</v>
      </c>
      <c r="I813" s="22" t="s">
        <v>16</v>
      </c>
      <c r="J813" s="52" t="s">
        <v>1699</v>
      </c>
      <c r="K813" s="22" t="str">
        <f>VLOOKUP(CONCATENATE(A813,LEFT(J813,4)),AGRUPAMENTO!$D$2:$E$6783,2,FALSE)</f>
        <v>PRODEMGE</v>
      </c>
      <c r="L813" s="52" t="s">
        <v>94</v>
      </c>
      <c r="M813" s="52"/>
      <c r="N813" s="52">
        <v>10</v>
      </c>
      <c r="O813" s="170" t="s">
        <v>3062</v>
      </c>
      <c r="P813" s="170" t="s">
        <v>46</v>
      </c>
      <c r="Q813" s="170" t="s">
        <v>3982</v>
      </c>
      <c r="R813" s="170">
        <v>1</v>
      </c>
      <c r="S813" s="170" t="s">
        <v>3981</v>
      </c>
      <c r="T813" s="231">
        <v>10000</v>
      </c>
      <c r="U813" s="232">
        <v>12</v>
      </c>
      <c r="V813" s="58">
        <f t="shared" si="58"/>
        <v>120000</v>
      </c>
      <c r="W813" s="52" t="s">
        <v>49</v>
      </c>
      <c r="X813" s="52" t="s">
        <v>4775</v>
      </c>
      <c r="Y813" s="52" t="s">
        <v>4776</v>
      </c>
      <c r="Z813" s="52" t="s">
        <v>4774</v>
      </c>
      <c r="AA813" s="52">
        <v>0</v>
      </c>
      <c r="AB813" s="52">
        <v>0</v>
      </c>
      <c r="AC813" s="52">
        <v>0</v>
      </c>
      <c r="AD813" s="21">
        <v>0.74255988295180719</v>
      </c>
      <c r="AE813" s="54">
        <v>0.74255988295180719</v>
      </c>
      <c r="AF813" s="315">
        <f t="shared" si="61"/>
        <v>89107.185954216868</v>
      </c>
    </row>
    <row r="814" spans="1:32" ht="150" x14ac:dyDescent="0.25">
      <c r="A814" s="107" t="s">
        <v>588</v>
      </c>
      <c r="B814" s="107" t="s">
        <v>2270</v>
      </c>
      <c r="C814" s="52"/>
      <c r="D814" s="52" t="s">
        <v>2301</v>
      </c>
      <c r="E814" s="22" t="str">
        <f t="shared" si="59"/>
        <v>SEJUSPPROG</v>
      </c>
      <c r="F814" s="116" t="s">
        <v>687</v>
      </c>
      <c r="G814" s="22" t="str">
        <f t="shared" si="60"/>
        <v>P705SEJUSP</v>
      </c>
      <c r="H814" s="52" t="s">
        <v>914</v>
      </c>
      <c r="I814" s="22" t="s">
        <v>16</v>
      </c>
      <c r="J814" s="107" t="s">
        <v>2207</v>
      </c>
      <c r="K814" s="22" t="str">
        <f>VLOOKUP(CONCATENATE(A814,LEFT(J814,4)),AGRUPAMENTO!$D$2:$E$6783,2,FALSE)</f>
        <v>PRODEMGE</v>
      </c>
      <c r="L814" s="52" t="s">
        <v>44</v>
      </c>
      <c r="M814" s="52"/>
      <c r="N814" s="52">
        <v>10</v>
      </c>
      <c r="O814" s="52" t="s">
        <v>3063</v>
      </c>
      <c r="P814" s="52" t="s">
        <v>46</v>
      </c>
      <c r="Q814" s="52" t="s">
        <v>3983</v>
      </c>
      <c r="R814" s="52">
        <v>40</v>
      </c>
      <c r="S814" s="52" t="s">
        <v>3981</v>
      </c>
      <c r="T814" s="88">
        <v>394.9</v>
      </c>
      <c r="U814" s="53">
        <v>1</v>
      </c>
      <c r="V814" s="58">
        <f t="shared" si="58"/>
        <v>15796</v>
      </c>
      <c r="W814" s="52" t="s">
        <v>49</v>
      </c>
      <c r="X814" s="52" t="s">
        <v>4777</v>
      </c>
      <c r="Y814" s="52" t="s">
        <v>4778</v>
      </c>
      <c r="Z814" s="52" t="s">
        <v>4779</v>
      </c>
      <c r="AA814" s="52">
        <v>0</v>
      </c>
      <c r="AB814" s="52">
        <v>0</v>
      </c>
      <c r="AC814" s="52">
        <v>0</v>
      </c>
      <c r="AD814" s="21">
        <v>0.74255988295180719</v>
      </c>
      <c r="AE814" s="54">
        <v>0.74255988295180719</v>
      </c>
      <c r="AF814" s="315">
        <f t="shared" si="61"/>
        <v>11729.475911106747</v>
      </c>
    </row>
    <row r="815" spans="1:32" ht="165" x14ac:dyDescent="0.25">
      <c r="A815" s="107" t="s">
        <v>588</v>
      </c>
      <c r="B815" s="107" t="s">
        <v>2270</v>
      </c>
      <c r="C815" s="52"/>
      <c r="D815" s="52" t="s">
        <v>2301</v>
      </c>
      <c r="E815" s="22" t="str">
        <f t="shared" si="59"/>
        <v>SEJUSPPROG</v>
      </c>
      <c r="F815" s="52" t="s">
        <v>729</v>
      </c>
      <c r="G815" s="22" t="str">
        <f t="shared" si="60"/>
        <v>P130SEJUSP</v>
      </c>
      <c r="H815" s="52" t="s">
        <v>1183</v>
      </c>
      <c r="I815" s="22" t="s">
        <v>16</v>
      </c>
      <c r="J815" s="107" t="s">
        <v>2207</v>
      </c>
      <c r="K815" s="22" t="str">
        <f>VLOOKUP(CONCATENATE(A815,LEFT(J815,4)),AGRUPAMENTO!$D$2:$E$6783,2,FALSE)</f>
        <v>PRODEMGE</v>
      </c>
      <c r="L815" s="52" t="s">
        <v>44</v>
      </c>
      <c r="M815" s="52"/>
      <c r="N815" s="52">
        <v>60</v>
      </c>
      <c r="O815" s="52" t="s">
        <v>3064</v>
      </c>
      <c r="P815" s="52" t="s">
        <v>46</v>
      </c>
      <c r="Q815" s="52" t="s">
        <v>3984</v>
      </c>
      <c r="R815" s="52">
        <v>1</v>
      </c>
      <c r="S815" s="52" t="s">
        <v>3981</v>
      </c>
      <c r="T815" s="88">
        <v>745084.98</v>
      </c>
      <c r="U815" s="53">
        <v>12</v>
      </c>
      <c r="V815" s="58">
        <f t="shared" si="58"/>
        <v>8941019.7599999998</v>
      </c>
      <c r="W815" s="52" t="s">
        <v>49</v>
      </c>
      <c r="X815" s="52" t="s">
        <v>4780</v>
      </c>
      <c r="Y815" s="52" t="s">
        <v>4781</v>
      </c>
      <c r="Z815" s="52" t="s">
        <v>4782</v>
      </c>
      <c r="AA815" s="52">
        <v>0</v>
      </c>
      <c r="AB815" s="52">
        <v>0</v>
      </c>
      <c r="AC815" s="52">
        <v>0</v>
      </c>
      <c r="AD815" s="21">
        <v>0.74255988295180719</v>
      </c>
      <c r="AE815" s="54">
        <v>0.74255988295180719</v>
      </c>
      <c r="AF815" s="315">
        <f t="shared" si="61"/>
        <v>6639242.5864553954</v>
      </c>
    </row>
    <row r="816" spans="1:32" ht="330" x14ac:dyDescent="0.25">
      <c r="A816" s="107" t="s">
        <v>588</v>
      </c>
      <c r="B816" s="107" t="s">
        <v>2270</v>
      </c>
      <c r="C816" s="52"/>
      <c r="D816" s="52" t="s">
        <v>2301</v>
      </c>
      <c r="E816" s="22" t="str">
        <f t="shared" si="59"/>
        <v>SEJUSPPROG</v>
      </c>
      <c r="F816" s="52" t="s">
        <v>705</v>
      </c>
      <c r="G816" s="22" t="str">
        <f t="shared" si="60"/>
        <v>P134SEJUSP</v>
      </c>
      <c r="H816" s="52" t="s">
        <v>1356</v>
      </c>
      <c r="I816" s="22" t="s">
        <v>16</v>
      </c>
      <c r="J816" s="107" t="s">
        <v>2207</v>
      </c>
      <c r="K816" s="22" t="str">
        <f>VLOOKUP(CONCATENATE(A816,LEFT(J816,4)),AGRUPAMENTO!$D$2:$E$6783,2,FALSE)</f>
        <v>PRODEMGE</v>
      </c>
      <c r="L816" s="52" t="s">
        <v>44</v>
      </c>
      <c r="M816" s="52"/>
      <c r="N816" s="52">
        <v>10</v>
      </c>
      <c r="O816" s="170" t="s">
        <v>3065</v>
      </c>
      <c r="P816" s="52" t="s">
        <v>46</v>
      </c>
      <c r="Q816" s="52" t="s">
        <v>3985</v>
      </c>
      <c r="R816" s="52">
        <v>1</v>
      </c>
      <c r="S816" s="52" t="s">
        <v>3981</v>
      </c>
      <c r="T816" s="88">
        <v>68123.142999999996</v>
      </c>
      <c r="U816" s="53">
        <v>12</v>
      </c>
      <c r="V816" s="58">
        <f t="shared" si="58"/>
        <v>817477.71600000001</v>
      </c>
      <c r="W816" s="52" t="s">
        <v>49</v>
      </c>
      <c r="X816" s="52" t="s">
        <v>4783</v>
      </c>
      <c r="Y816" s="52" t="s">
        <v>4764</v>
      </c>
      <c r="Z816" s="52" t="s">
        <v>4784</v>
      </c>
      <c r="AA816" s="52">
        <v>0</v>
      </c>
      <c r="AB816" s="52">
        <v>0</v>
      </c>
      <c r="AC816" s="52">
        <v>0</v>
      </c>
      <c r="AD816" s="21">
        <v>0.74255988295180719</v>
      </c>
      <c r="AE816" s="54">
        <v>0.74255988295180719</v>
      </c>
      <c r="AF816" s="315">
        <f t="shared" si="61"/>
        <v>607026.15710867068</v>
      </c>
    </row>
    <row r="817" spans="1:32" ht="120" x14ac:dyDescent="0.25">
      <c r="A817" s="107" t="s">
        <v>588</v>
      </c>
      <c r="B817" s="107" t="s">
        <v>2270</v>
      </c>
      <c r="C817" s="52"/>
      <c r="D817" s="52" t="s">
        <v>2301</v>
      </c>
      <c r="E817" s="22" t="str">
        <f t="shared" si="59"/>
        <v>SEJUSPPROG</v>
      </c>
      <c r="F817" s="116" t="s">
        <v>687</v>
      </c>
      <c r="G817" s="22" t="str">
        <f t="shared" si="60"/>
        <v>P705SEJUSP</v>
      </c>
      <c r="H817" s="52" t="s">
        <v>914</v>
      </c>
      <c r="I817" s="22" t="s">
        <v>16</v>
      </c>
      <c r="J817" s="107" t="s">
        <v>2207</v>
      </c>
      <c r="K817" s="22" t="str">
        <f>VLOOKUP(CONCATENATE(A817,LEFT(J817,4)),AGRUPAMENTO!$D$2:$E$6783,2,FALSE)</f>
        <v>PRODEMGE</v>
      </c>
      <c r="L817" s="52" t="s">
        <v>44</v>
      </c>
      <c r="M817" s="52"/>
      <c r="N817" s="52">
        <v>10</v>
      </c>
      <c r="O817" s="52" t="s">
        <v>3066</v>
      </c>
      <c r="P817" s="52" t="s">
        <v>46</v>
      </c>
      <c r="Q817" s="52" t="s">
        <v>3986</v>
      </c>
      <c r="R817" s="52">
        <v>1</v>
      </c>
      <c r="S817" s="52" t="s">
        <v>3981</v>
      </c>
      <c r="T817" s="88">
        <v>3739.6370000000002</v>
      </c>
      <c r="U817" s="53">
        <v>12</v>
      </c>
      <c r="V817" s="58">
        <f t="shared" si="58"/>
        <v>44875.644</v>
      </c>
      <c r="W817" s="52" t="s">
        <v>49</v>
      </c>
      <c r="X817" s="52" t="s">
        <v>4785</v>
      </c>
      <c r="Y817" s="52" t="s">
        <v>4764</v>
      </c>
      <c r="Z817" s="52" t="s">
        <v>4786</v>
      </c>
      <c r="AA817" s="52">
        <v>0</v>
      </c>
      <c r="AB817" s="52">
        <v>0</v>
      </c>
      <c r="AC817" s="52">
        <v>0</v>
      </c>
      <c r="AD817" s="21">
        <v>0.74255988295180719</v>
      </c>
      <c r="AE817" s="54">
        <v>0.74255988295180719</v>
      </c>
      <c r="AF817" s="315">
        <f t="shared" si="61"/>
        <v>33322.852956026967</v>
      </c>
    </row>
    <row r="818" spans="1:32" ht="120" x14ac:dyDescent="0.25">
      <c r="A818" s="107" t="s">
        <v>588</v>
      </c>
      <c r="B818" s="107" t="s">
        <v>2270</v>
      </c>
      <c r="C818" s="52"/>
      <c r="D818" s="52" t="s">
        <v>2301</v>
      </c>
      <c r="E818" s="22" t="str">
        <f t="shared" si="59"/>
        <v>SEJUSPPROG</v>
      </c>
      <c r="F818" s="122" t="s">
        <v>886</v>
      </c>
      <c r="G818" s="22" t="str">
        <f t="shared" si="60"/>
        <v>P146SEJUSP</v>
      </c>
      <c r="H818" s="52" t="s">
        <v>1424</v>
      </c>
      <c r="I818" s="22" t="s">
        <v>16</v>
      </c>
      <c r="J818" s="107" t="s">
        <v>2207</v>
      </c>
      <c r="K818" s="22" t="str">
        <f>VLOOKUP(CONCATENATE(A818,LEFT(J818,4)),AGRUPAMENTO!$D$2:$E$6783,2,FALSE)</f>
        <v>PRODEMGE</v>
      </c>
      <c r="L818" s="52" t="s">
        <v>44</v>
      </c>
      <c r="M818" s="52"/>
      <c r="N818" s="52">
        <v>10</v>
      </c>
      <c r="O818" s="52" t="s">
        <v>3067</v>
      </c>
      <c r="P818" s="52" t="s">
        <v>46</v>
      </c>
      <c r="Q818" s="52" t="s">
        <v>3987</v>
      </c>
      <c r="R818" s="52">
        <v>1</v>
      </c>
      <c r="S818" s="52" t="s">
        <v>3981</v>
      </c>
      <c r="T818" s="88">
        <v>7888.2979999999998</v>
      </c>
      <c r="U818" s="53">
        <v>12</v>
      </c>
      <c r="V818" s="58">
        <f t="shared" si="58"/>
        <v>94659.576000000001</v>
      </c>
      <c r="W818" s="52" t="s">
        <v>49</v>
      </c>
      <c r="X818" s="52" t="s">
        <v>4787</v>
      </c>
      <c r="Y818" s="52" t="s">
        <v>4764</v>
      </c>
      <c r="Z818" s="52" t="s">
        <v>4786</v>
      </c>
      <c r="AA818" s="52">
        <v>0</v>
      </c>
      <c r="AB818" s="52">
        <v>0</v>
      </c>
      <c r="AC818" s="52">
        <v>0</v>
      </c>
      <c r="AD818" s="21">
        <v>0.74255988295180719</v>
      </c>
      <c r="AE818" s="54">
        <v>0.74255988295180719</v>
      </c>
      <c r="AF818" s="315">
        <f t="shared" si="61"/>
        <v>70290.403674827699</v>
      </c>
    </row>
    <row r="819" spans="1:32" ht="225" x14ac:dyDescent="0.25">
      <c r="A819" s="107" t="s">
        <v>588</v>
      </c>
      <c r="B819" s="107" t="s">
        <v>2270</v>
      </c>
      <c r="C819" s="52"/>
      <c r="D819" s="52" t="s">
        <v>2301</v>
      </c>
      <c r="E819" s="22" t="str">
        <f t="shared" si="59"/>
        <v>SEJUSPPROG</v>
      </c>
      <c r="F819" s="52" t="s">
        <v>729</v>
      </c>
      <c r="G819" s="22" t="str">
        <f t="shared" si="60"/>
        <v>P130SEJUSP</v>
      </c>
      <c r="H819" s="52" t="s">
        <v>1183</v>
      </c>
      <c r="I819" s="22" t="s">
        <v>16</v>
      </c>
      <c r="J819" s="107" t="s">
        <v>2207</v>
      </c>
      <c r="K819" s="22" t="str">
        <f>VLOOKUP(CONCATENATE(A819,LEFT(J819,4)),AGRUPAMENTO!$D$2:$E$6783,2,FALSE)</f>
        <v>PRODEMGE</v>
      </c>
      <c r="L819" s="52" t="s">
        <v>44</v>
      </c>
      <c r="M819" s="52"/>
      <c r="N819" s="52">
        <v>60</v>
      </c>
      <c r="O819" s="52" t="s">
        <v>3068</v>
      </c>
      <c r="P819" s="52" t="s">
        <v>46</v>
      </c>
      <c r="Q819" s="52" t="s">
        <v>3988</v>
      </c>
      <c r="R819" s="52">
        <v>1</v>
      </c>
      <c r="S819" s="52" t="s">
        <v>3981</v>
      </c>
      <c r="T819" s="88">
        <v>113174.55</v>
      </c>
      <c r="U819" s="53">
        <v>12</v>
      </c>
      <c r="V819" s="58">
        <f t="shared" si="58"/>
        <v>1358094.6</v>
      </c>
      <c r="W819" s="52" t="s">
        <v>49</v>
      </c>
      <c r="X819" s="52" t="s">
        <v>4788</v>
      </c>
      <c r="Y819" s="52" t="s">
        <v>4789</v>
      </c>
      <c r="Z819" s="52" t="s">
        <v>4790</v>
      </c>
      <c r="AA819" s="52">
        <v>0</v>
      </c>
      <c r="AB819" s="52">
        <v>0</v>
      </c>
      <c r="AC819" s="52">
        <v>0</v>
      </c>
      <c r="AD819" s="21">
        <v>0.74255988295180719</v>
      </c>
      <c r="AE819" s="54">
        <v>0.74255988295180719</v>
      </c>
      <c r="AF819" s="315">
        <f t="shared" si="61"/>
        <v>1008466.5672134815</v>
      </c>
    </row>
    <row r="820" spans="1:32" ht="409.5" x14ac:dyDescent="0.25">
      <c r="A820" s="107" t="s">
        <v>588</v>
      </c>
      <c r="B820" s="107" t="s">
        <v>2270</v>
      </c>
      <c r="C820" s="52"/>
      <c r="D820" s="52" t="s">
        <v>2301</v>
      </c>
      <c r="E820" s="22" t="str">
        <f t="shared" si="59"/>
        <v>SEJUSPPROG</v>
      </c>
      <c r="F820" s="116" t="s">
        <v>687</v>
      </c>
      <c r="G820" s="22" t="str">
        <f t="shared" si="60"/>
        <v>P705SEJUSP</v>
      </c>
      <c r="H820" s="52" t="s">
        <v>914</v>
      </c>
      <c r="I820" s="22" t="s">
        <v>16</v>
      </c>
      <c r="J820" s="107" t="s">
        <v>2207</v>
      </c>
      <c r="K820" s="22" t="str">
        <f>VLOOKUP(CONCATENATE(A820,LEFT(J820,4)),AGRUPAMENTO!$D$2:$E$6783,2,FALSE)</f>
        <v>PRODEMGE</v>
      </c>
      <c r="L820" s="52" t="s">
        <v>44</v>
      </c>
      <c r="M820" s="52"/>
      <c r="N820" s="52">
        <v>10</v>
      </c>
      <c r="O820" s="52" t="s">
        <v>3069</v>
      </c>
      <c r="P820" s="52" t="s">
        <v>46</v>
      </c>
      <c r="Q820" s="52" t="s">
        <v>3989</v>
      </c>
      <c r="R820" s="52">
        <v>1</v>
      </c>
      <c r="S820" s="52" t="s">
        <v>3981</v>
      </c>
      <c r="T820" s="88">
        <v>24287.75</v>
      </c>
      <c r="U820" s="53">
        <v>12</v>
      </c>
      <c r="V820" s="58">
        <f t="shared" si="58"/>
        <v>291453</v>
      </c>
      <c r="W820" s="52" t="s">
        <v>49</v>
      </c>
      <c r="X820" s="52" t="s">
        <v>4791</v>
      </c>
      <c r="Y820" s="52" t="s">
        <v>4792</v>
      </c>
      <c r="Z820" s="52" t="s">
        <v>4793</v>
      </c>
      <c r="AA820" s="52">
        <v>0</v>
      </c>
      <c r="AB820" s="52">
        <v>0</v>
      </c>
      <c r="AC820" s="52">
        <v>0</v>
      </c>
      <c r="AD820" s="21">
        <v>0.74255988295180719</v>
      </c>
      <c r="AE820" s="54">
        <v>0.74255988295180719</v>
      </c>
      <c r="AF820" s="315">
        <f t="shared" si="61"/>
        <v>216421.30556595305</v>
      </c>
    </row>
    <row r="821" spans="1:32" ht="270" x14ac:dyDescent="0.25">
      <c r="A821" s="107" t="s">
        <v>588</v>
      </c>
      <c r="B821" s="107" t="s">
        <v>2270</v>
      </c>
      <c r="C821" s="52"/>
      <c r="D821" s="52" t="s">
        <v>2301</v>
      </c>
      <c r="E821" s="22" t="str">
        <f t="shared" si="59"/>
        <v>SEJUSPPROG</v>
      </c>
      <c r="F821" s="52" t="s">
        <v>705</v>
      </c>
      <c r="G821" s="22" t="str">
        <f t="shared" si="60"/>
        <v>P134SEJUSP</v>
      </c>
      <c r="H821" s="52" t="s">
        <v>1356</v>
      </c>
      <c r="I821" s="22" t="s">
        <v>16</v>
      </c>
      <c r="J821" s="107" t="s">
        <v>2207</v>
      </c>
      <c r="K821" s="22" t="str">
        <f>VLOOKUP(CONCATENATE(A821,LEFT(J821,4)),AGRUPAMENTO!$D$2:$E$6783,2,FALSE)</f>
        <v>PRODEMGE</v>
      </c>
      <c r="L821" s="52" t="s">
        <v>44</v>
      </c>
      <c r="M821" s="52"/>
      <c r="N821" s="52">
        <v>10</v>
      </c>
      <c r="O821" s="52" t="s">
        <v>3070</v>
      </c>
      <c r="P821" s="52" t="s">
        <v>46</v>
      </c>
      <c r="Q821" s="52" t="s">
        <v>3990</v>
      </c>
      <c r="R821" s="52">
        <v>1</v>
      </c>
      <c r="S821" s="52" t="s">
        <v>3981</v>
      </c>
      <c r="T821" s="88">
        <v>154246.39999999999</v>
      </c>
      <c r="U821" s="53">
        <v>12</v>
      </c>
      <c r="V821" s="58">
        <f t="shared" si="58"/>
        <v>1850956.7999999998</v>
      </c>
      <c r="W821" s="52" t="s">
        <v>49</v>
      </c>
      <c r="X821" s="52" t="s">
        <v>4794</v>
      </c>
      <c r="Y821" s="52" t="s">
        <v>4795</v>
      </c>
      <c r="Z821" s="52" t="s">
        <v>4796</v>
      </c>
      <c r="AA821" s="52">
        <v>0</v>
      </c>
      <c r="AB821" s="52">
        <v>0</v>
      </c>
      <c r="AC821" s="52">
        <v>0</v>
      </c>
      <c r="AD821" s="21">
        <v>0.74255988295180719</v>
      </c>
      <c r="AE821" s="54">
        <v>0.74255988295180719</v>
      </c>
      <c r="AF821" s="315">
        <f t="shared" si="61"/>
        <v>1374446.2647568514</v>
      </c>
    </row>
    <row r="822" spans="1:32" ht="409.5" x14ac:dyDescent="0.25">
      <c r="A822" s="107" t="s">
        <v>588</v>
      </c>
      <c r="B822" s="107" t="s">
        <v>2270</v>
      </c>
      <c r="C822" s="52"/>
      <c r="D822" s="52" t="s">
        <v>2301</v>
      </c>
      <c r="E822" s="22" t="str">
        <f t="shared" si="59"/>
        <v>SEJUSPPROG</v>
      </c>
      <c r="F822" s="52" t="s">
        <v>705</v>
      </c>
      <c r="G822" s="22" t="str">
        <f t="shared" si="60"/>
        <v>P134SEJUSP</v>
      </c>
      <c r="H822" s="52" t="s">
        <v>1356</v>
      </c>
      <c r="I822" s="22" t="s">
        <v>16</v>
      </c>
      <c r="J822" s="107" t="s">
        <v>2207</v>
      </c>
      <c r="K822" s="22" t="str">
        <f>VLOOKUP(CONCATENATE(A822,LEFT(J822,4)),AGRUPAMENTO!$D$2:$E$6783,2,FALSE)</f>
        <v>PRODEMGE</v>
      </c>
      <c r="L822" s="52" t="s">
        <v>44</v>
      </c>
      <c r="M822" s="52"/>
      <c r="N822" s="52">
        <v>10</v>
      </c>
      <c r="O822" s="52" t="s">
        <v>3071</v>
      </c>
      <c r="P822" s="52" t="s">
        <v>46</v>
      </c>
      <c r="Q822" s="52" t="s">
        <v>3991</v>
      </c>
      <c r="R822" s="52">
        <v>1</v>
      </c>
      <c r="S822" s="52" t="s">
        <v>3981</v>
      </c>
      <c r="T822" s="88">
        <v>383592</v>
      </c>
      <c r="U822" s="53">
        <v>12</v>
      </c>
      <c r="V822" s="58">
        <f t="shared" si="58"/>
        <v>4603104</v>
      </c>
      <c r="W822" s="52" t="s">
        <v>49</v>
      </c>
      <c r="X822" s="52" t="s">
        <v>4797</v>
      </c>
      <c r="Y822" s="52" t="s">
        <v>4798</v>
      </c>
      <c r="Z822" s="52" t="s">
        <v>4799</v>
      </c>
      <c r="AA822" s="52">
        <v>0</v>
      </c>
      <c r="AB822" s="52">
        <v>0</v>
      </c>
      <c r="AC822" s="52">
        <v>0</v>
      </c>
      <c r="AD822" s="21">
        <v>0.74255988295180719</v>
      </c>
      <c r="AE822" s="54">
        <v>0.74255988295180719</v>
      </c>
      <c r="AF822" s="315">
        <f t="shared" si="61"/>
        <v>3418080.3674549954</v>
      </c>
    </row>
    <row r="823" spans="1:32" ht="409.5" x14ac:dyDescent="0.25">
      <c r="A823" s="107" t="s">
        <v>588</v>
      </c>
      <c r="B823" s="107" t="s">
        <v>2270</v>
      </c>
      <c r="C823" s="52"/>
      <c r="D823" s="52" t="s">
        <v>2301</v>
      </c>
      <c r="E823" s="22" t="str">
        <f t="shared" si="59"/>
        <v>SEJUSPPROG</v>
      </c>
      <c r="F823" s="52" t="s">
        <v>705</v>
      </c>
      <c r="G823" s="22" t="str">
        <f t="shared" si="60"/>
        <v>P134SEJUSP</v>
      </c>
      <c r="H823" s="52" t="s">
        <v>1356</v>
      </c>
      <c r="I823" s="22" t="s">
        <v>16</v>
      </c>
      <c r="J823" s="107" t="s">
        <v>2207</v>
      </c>
      <c r="K823" s="22" t="str">
        <f>VLOOKUP(CONCATENATE(A823,LEFT(J823,4)),AGRUPAMENTO!$D$2:$E$6783,2,FALSE)</f>
        <v>PRODEMGE</v>
      </c>
      <c r="L823" s="52" t="s">
        <v>44</v>
      </c>
      <c r="M823" s="52"/>
      <c r="N823" s="52">
        <v>10</v>
      </c>
      <c r="O823" s="52" t="s">
        <v>3072</v>
      </c>
      <c r="P823" s="52" t="s">
        <v>46</v>
      </c>
      <c r="Q823" s="52" t="s">
        <v>3992</v>
      </c>
      <c r="R823" s="52">
        <v>1</v>
      </c>
      <c r="S823" s="52" t="s">
        <v>3981</v>
      </c>
      <c r="T823" s="88">
        <v>318196.31</v>
      </c>
      <c r="U823" s="53">
        <v>12</v>
      </c>
      <c r="V823" s="58">
        <f t="shared" si="58"/>
        <v>3818355.7199999997</v>
      </c>
      <c r="W823" s="52" t="s">
        <v>49</v>
      </c>
      <c r="X823" s="52" t="s">
        <v>4800</v>
      </c>
      <c r="Y823" s="52" t="s">
        <v>4764</v>
      </c>
      <c r="Z823" s="52" t="s">
        <v>4765</v>
      </c>
      <c r="AA823" s="52">
        <v>0</v>
      </c>
      <c r="AB823" s="52">
        <v>0</v>
      </c>
      <c r="AC823" s="52">
        <v>0</v>
      </c>
      <c r="AD823" s="21">
        <v>0.74255988295180719</v>
      </c>
      <c r="AE823" s="54">
        <v>0.74255988295180719</v>
      </c>
      <c r="AF823" s="315">
        <f t="shared" si="61"/>
        <v>2835357.7765115635</v>
      </c>
    </row>
    <row r="824" spans="1:32" ht="409.5" x14ac:dyDescent="0.25">
      <c r="A824" s="107" t="s">
        <v>588</v>
      </c>
      <c r="B824" s="107" t="s">
        <v>2270</v>
      </c>
      <c r="C824" s="52"/>
      <c r="D824" s="52" t="s">
        <v>2301</v>
      </c>
      <c r="E824" s="22" t="str">
        <f t="shared" si="59"/>
        <v>SEJUSPPROG</v>
      </c>
      <c r="F824" s="52" t="s">
        <v>729</v>
      </c>
      <c r="G824" s="22" t="str">
        <f t="shared" si="60"/>
        <v>P130SEJUSP</v>
      </c>
      <c r="H824" s="52" t="s">
        <v>1183</v>
      </c>
      <c r="I824" s="22" t="s">
        <v>16</v>
      </c>
      <c r="J824" s="52" t="s">
        <v>313</v>
      </c>
      <c r="K824" s="22" t="str">
        <f>VLOOKUP(CONCATENATE(A824,LEFT(J824,4)),AGRUPAMENTO!$D$2:$E$6783,2,FALSE)</f>
        <v>Aquisições de itens de TIC</v>
      </c>
      <c r="L824" s="52" t="s">
        <v>94</v>
      </c>
      <c r="M824" s="52"/>
      <c r="N824" s="92">
        <v>10</v>
      </c>
      <c r="O824" s="52" t="s">
        <v>3073</v>
      </c>
      <c r="P824" s="52" t="s">
        <v>46</v>
      </c>
      <c r="Q824" s="52" t="s">
        <v>3993</v>
      </c>
      <c r="R824" s="52">
        <v>1</v>
      </c>
      <c r="S824" s="52" t="s">
        <v>3981</v>
      </c>
      <c r="T824" s="88">
        <v>177083.33</v>
      </c>
      <c r="U824" s="53">
        <v>12</v>
      </c>
      <c r="V824" s="58">
        <f t="shared" si="58"/>
        <v>2124999.96</v>
      </c>
      <c r="W824" s="52" t="s">
        <v>49</v>
      </c>
      <c r="X824" s="52" t="s">
        <v>4801</v>
      </c>
      <c r="Y824" s="52" t="s">
        <v>4802</v>
      </c>
      <c r="Z824" s="52" t="s">
        <v>4803</v>
      </c>
      <c r="AA824" s="52">
        <v>0</v>
      </c>
      <c r="AB824" s="52">
        <v>0</v>
      </c>
      <c r="AC824" s="52">
        <v>0</v>
      </c>
      <c r="AD824" s="21">
        <v>0.23752316495302667</v>
      </c>
      <c r="AE824" s="54">
        <v>0.23752316495302667</v>
      </c>
      <c r="AF824" s="315">
        <f t="shared" si="61"/>
        <v>504736.71602425503</v>
      </c>
    </row>
    <row r="825" spans="1:32" ht="409.5" x14ac:dyDescent="0.25">
      <c r="A825" s="107" t="s">
        <v>588</v>
      </c>
      <c r="B825" s="107" t="s">
        <v>2270</v>
      </c>
      <c r="C825" s="52"/>
      <c r="D825" s="52" t="s">
        <v>2301</v>
      </c>
      <c r="E825" s="22" t="str">
        <f t="shared" si="59"/>
        <v>SEJUSPPROG</v>
      </c>
      <c r="F825" s="116" t="s">
        <v>687</v>
      </c>
      <c r="G825" s="22" t="str">
        <f t="shared" si="60"/>
        <v>P705SEJUSP</v>
      </c>
      <c r="H825" s="52" t="s">
        <v>914</v>
      </c>
      <c r="I825" s="22" t="s">
        <v>16</v>
      </c>
      <c r="J825" s="52" t="s">
        <v>1664</v>
      </c>
      <c r="K825" s="22" t="str">
        <f>VLOOKUP(CONCATENATE(A825,LEFT(J825,4)),AGRUPAMENTO!$D$2:$E$6783,2,FALSE)</f>
        <v>Serviços de TIC</v>
      </c>
      <c r="L825" s="52" t="s">
        <v>44</v>
      </c>
      <c r="M825" s="52"/>
      <c r="N825" s="52">
        <v>10</v>
      </c>
      <c r="O825" s="52" t="s">
        <v>3074</v>
      </c>
      <c r="P825" s="52" t="s">
        <v>46</v>
      </c>
      <c r="Q825" s="52" t="s">
        <v>3994</v>
      </c>
      <c r="R825" s="52">
        <v>1</v>
      </c>
      <c r="S825" s="52" t="s">
        <v>3981</v>
      </c>
      <c r="T825" s="88">
        <v>2756.66</v>
      </c>
      <c r="U825" s="53">
        <v>12</v>
      </c>
      <c r="V825" s="58">
        <f t="shared" si="58"/>
        <v>33079.919999999998</v>
      </c>
      <c r="W825" s="52" t="s">
        <v>49</v>
      </c>
      <c r="X825" s="52" t="s">
        <v>4804</v>
      </c>
      <c r="Y825" s="52" t="s">
        <v>4805</v>
      </c>
      <c r="Z825" s="52" t="s">
        <v>4806</v>
      </c>
      <c r="AA825" s="52">
        <v>0</v>
      </c>
      <c r="AB825" s="52">
        <v>0</v>
      </c>
      <c r="AC825" s="52">
        <v>0</v>
      </c>
      <c r="AD825" s="21">
        <v>0.78045682583967335</v>
      </c>
      <c r="AE825" s="54">
        <v>0.78045682583967335</v>
      </c>
      <c r="AF825" s="315">
        <f t="shared" si="61"/>
        <v>25817.449362230327</v>
      </c>
    </row>
    <row r="826" spans="1:32" ht="195" x14ac:dyDescent="0.25">
      <c r="A826" s="107" t="s">
        <v>588</v>
      </c>
      <c r="B826" s="107" t="s">
        <v>2270</v>
      </c>
      <c r="C826" s="52"/>
      <c r="D826" s="52" t="s">
        <v>2301</v>
      </c>
      <c r="E826" s="22" t="str">
        <f t="shared" si="59"/>
        <v>SEJUSPPROG</v>
      </c>
      <c r="F826" s="52" t="s">
        <v>705</v>
      </c>
      <c r="G826" s="22" t="str">
        <f t="shared" si="60"/>
        <v>P134SEJUSP</v>
      </c>
      <c r="H826" s="52" t="s">
        <v>1356</v>
      </c>
      <c r="I826" s="22" t="s">
        <v>16</v>
      </c>
      <c r="J826" s="107" t="s">
        <v>2207</v>
      </c>
      <c r="K826" s="22" t="str">
        <f>VLOOKUP(CONCATENATE(A826,LEFT(J826,4)),AGRUPAMENTO!$D$2:$E$6783,2,FALSE)</f>
        <v>PRODEMGE</v>
      </c>
      <c r="L826" s="52" t="s">
        <v>44</v>
      </c>
      <c r="M826" s="52"/>
      <c r="N826" s="52">
        <v>10</v>
      </c>
      <c r="O826" s="170" t="s">
        <v>3075</v>
      </c>
      <c r="P826" s="52" t="s">
        <v>46</v>
      </c>
      <c r="Q826" s="170" t="s">
        <v>3995</v>
      </c>
      <c r="R826" s="170">
        <v>1</v>
      </c>
      <c r="S826" s="170" t="s">
        <v>3981</v>
      </c>
      <c r="T826" s="231">
        <v>30888</v>
      </c>
      <c r="U826" s="232">
        <v>12</v>
      </c>
      <c r="V826" s="58">
        <f t="shared" si="58"/>
        <v>370656</v>
      </c>
      <c r="W826" s="52" t="s">
        <v>49</v>
      </c>
      <c r="X826" s="52" t="s">
        <v>4807</v>
      </c>
      <c r="Y826" s="52" t="s">
        <v>4808</v>
      </c>
      <c r="Z826" s="52" t="s">
        <v>4809</v>
      </c>
      <c r="AA826" s="52">
        <v>0</v>
      </c>
      <c r="AB826" s="52">
        <v>0</v>
      </c>
      <c r="AC826" s="52">
        <v>0</v>
      </c>
      <c r="AD826" s="21">
        <v>0.74255988295180719</v>
      </c>
      <c r="AE826" s="54">
        <v>0.74255988295180719</v>
      </c>
      <c r="AF826" s="315">
        <f t="shared" si="61"/>
        <v>275234.27597538504</v>
      </c>
    </row>
    <row r="827" spans="1:32" ht="240" x14ac:dyDescent="0.25">
      <c r="A827" s="107" t="s">
        <v>588</v>
      </c>
      <c r="B827" s="107" t="s">
        <v>2270</v>
      </c>
      <c r="C827" s="52"/>
      <c r="D827" s="52" t="s">
        <v>2301</v>
      </c>
      <c r="E827" s="22" t="str">
        <f t="shared" si="59"/>
        <v>SEJUSPPROG</v>
      </c>
      <c r="F827" s="52" t="s">
        <v>705</v>
      </c>
      <c r="G827" s="22" t="str">
        <f t="shared" si="60"/>
        <v>P134SEJUSP</v>
      </c>
      <c r="H827" s="52" t="s">
        <v>1356</v>
      </c>
      <c r="I827" s="22" t="s">
        <v>16</v>
      </c>
      <c r="J827" s="52" t="s">
        <v>1699</v>
      </c>
      <c r="K827" s="22" t="str">
        <f>VLOOKUP(CONCATENATE(A827,LEFT(J827,4)),AGRUPAMENTO!$D$2:$E$6783,2,FALSE)</f>
        <v>PRODEMGE</v>
      </c>
      <c r="L827" s="52" t="s">
        <v>94</v>
      </c>
      <c r="M827" s="52"/>
      <c r="N827" s="52">
        <v>10</v>
      </c>
      <c r="O827" s="170" t="s">
        <v>3075</v>
      </c>
      <c r="P827" s="52" t="s">
        <v>46</v>
      </c>
      <c r="Q827" s="170" t="s">
        <v>3995</v>
      </c>
      <c r="R827" s="170">
        <v>1</v>
      </c>
      <c r="S827" s="170" t="s">
        <v>3981</v>
      </c>
      <c r="T827" s="231">
        <v>374880</v>
      </c>
      <c r="U827" s="232">
        <v>12</v>
      </c>
      <c r="V827" s="58">
        <f t="shared" si="58"/>
        <v>4498560</v>
      </c>
      <c r="W827" s="52" t="s">
        <v>49</v>
      </c>
      <c r="X827" s="52" t="s">
        <v>4810</v>
      </c>
      <c r="Y827" s="52" t="s">
        <v>4808</v>
      </c>
      <c r="Z827" s="52" t="s">
        <v>4809</v>
      </c>
      <c r="AA827" s="52">
        <v>0</v>
      </c>
      <c r="AB827" s="52">
        <v>0</v>
      </c>
      <c r="AC827" s="52">
        <v>0</v>
      </c>
      <c r="AD827" s="21">
        <v>0.74255988295180719</v>
      </c>
      <c r="AE827" s="54">
        <v>0.74255988295180719</v>
      </c>
      <c r="AF827" s="315">
        <f t="shared" si="61"/>
        <v>3340450.1870516818</v>
      </c>
    </row>
    <row r="828" spans="1:32" ht="270" x14ac:dyDescent="0.25">
      <c r="A828" s="107" t="s">
        <v>588</v>
      </c>
      <c r="B828" s="107" t="s">
        <v>2270</v>
      </c>
      <c r="C828" s="52"/>
      <c r="D828" s="52" t="s">
        <v>2301</v>
      </c>
      <c r="E828" s="22" t="str">
        <f t="shared" si="59"/>
        <v>SEJUSPPROG</v>
      </c>
      <c r="F828" s="52" t="s">
        <v>705</v>
      </c>
      <c r="G828" s="22" t="str">
        <f t="shared" si="60"/>
        <v>P134SEJUSP</v>
      </c>
      <c r="H828" s="52" t="s">
        <v>1356</v>
      </c>
      <c r="I828" s="22" t="s">
        <v>16</v>
      </c>
      <c r="J828" s="107" t="s">
        <v>2207</v>
      </c>
      <c r="K828" s="22" t="str">
        <f>VLOOKUP(CONCATENATE(A828,LEFT(J828,4)),AGRUPAMENTO!$D$2:$E$6783,2,FALSE)</f>
        <v>PRODEMGE</v>
      </c>
      <c r="L828" s="52" t="s">
        <v>44</v>
      </c>
      <c r="M828" s="52"/>
      <c r="N828" s="52">
        <v>10</v>
      </c>
      <c r="O828" s="52" t="s">
        <v>3076</v>
      </c>
      <c r="P828" s="52" t="s">
        <v>46</v>
      </c>
      <c r="Q828" s="52" t="s">
        <v>3996</v>
      </c>
      <c r="R828" s="52">
        <v>3</v>
      </c>
      <c r="S828" s="52" t="s">
        <v>3981</v>
      </c>
      <c r="T828" s="88">
        <v>1597.2</v>
      </c>
      <c r="U828" s="53">
        <v>1</v>
      </c>
      <c r="V828" s="58">
        <f t="shared" si="58"/>
        <v>4791.6000000000004</v>
      </c>
      <c r="W828" s="52" t="s">
        <v>49</v>
      </c>
      <c r="X828" s="52" t="s">
        <v>4810</v>
      </c>
      <c r="Y828" s="52" t="s">
        <v>4811</v>
      </c>
      <c r="Z828" s="52" t="s">
        <v>4812</v>
      </c>
      <c r="AA828" s="52">
        <v>0</v>
      </c>
      <c r="AB828" s="52">
        <v>0</v>
      </c>
      <c r="AC828" s="52">
        <v>0</v>
      </c>
      <c r="AD828" s="21">
        <v>0.74255988295180719</v>
      </c>
      <c r="AE828" s="54">
        <v>0.74255988295180719</v>
      </c>
      <c r="AF828" s="315">
        <f t="shared" si="61"/>
        <v>3558.0499351518797</v>
      </c>
    </row>
    <row r="829" spans="1:32" ht="270" x14ac:dyDescent="0.25">
      <c r="A829" s="107" t="s">
        <v>588</v>
      </c>
      <c r="B829" s="107" t="s">
        <v>2270</v>
      </c>
      <c r="C829" s="52"/>
      <c r="D829" s="52" t="s">
        <v>2301</v>
      </c>
      <c r="E829" s="22" t="str">
        <f t="shared" si="59"/>
        <v>SEJUSPPROG</v>
      </c>
      <c r="F829" s="52" t="s">
        <v>729</v>
      </c>
      <c r="G829" s="22" t="str">
        <f t="shared" si="60"/>
        <v>P130SEJUSP</v>
      </c>
      <c r="H829" s="52" t="s">
        <v>1183</v>
      </c>
      <c r="I829" s="22" t="s">
        <v>16</v>
      </c>
      <c r="J829" s="107" t="s">
        <v>2207</v>
      </c>
      <c r="K829" s="22" t="str">
        <f>VLOOKUP(CONCATENATE(A829,LEFT(J829,4)),AGRUPAMENTO!$D$2:$E$6783,2,FALSE)</f>
        <v>PRODEMGE</v>
      </c>
      <c r="L829" s="52" t="s">
        <v>44</v>
      </c>
      <c r="M829" s="52"/>
      <c r="N829" s="52">
        <v>60</v>
      </c>
      <c r="O829" s="52" t="s">
        <v>3076</v>
      </c>
      <c r="P829" s="52" t="s">
        <v>46</v>
      </c>
      <c r="Q829" s="52" t="s">
        <v>3996</v>
      </c>
      <c r="R829" s="52">
        <v>2</v>
      </c>
      <c r="S829" s="52" t="s">
        <v>3981</v>
      </c>
      <c r="T829" s="88">
        <v>1597.2</v>
      </c>
      <c r="U829" s="53">
        <v>1</v>
      </c>
      <c r="V829" s="58">
        <f t="shared" si="58"/>
        <v>3194.4</v>
      </c>
      <c r="W829" s="52" t="s">
        <v>49</v>
      </c>
      <c r="X829" s="52" t="s">
        <v>4810</v>
      </c>
      <c r="Y829" s="52" t="s">
        <v>4811</v>
      </c>
      <c r="Z829" s="52" t="s">
        <v>4812</v>
      </c>
      <c r="AA829" s="52">
        <v>0</v>
      </c>
      <c r="AB829" s="52">
        <v>0</v>
      </c>
      <c r="AC829" s="52">
        <v>0</v>
      </c>
      <c r="AD829" s="21">
        <v>0.74255988295180719</v>
      </c>
      <c r="AE829" s="54">
        <v>0.74255988295180719</v>
      </c>
      <c r="AF829" s="315">
        <f t="shared" si="61"/>
        <v>2372.033290101253</v>
      </c>
    </row>
    <row r="830" spans="1:32" ht="409.5" x14ac:dyDescent="0.25">
      <c r="A830" s="107" t="s">
        <v>588</v>
      </c>
      <c r="B830" s="107" t="s">
        <v>2270</v>
      </c>
      <c r="C830" s="52"/>
      <c r="D830" s="52" t="s">
        <v>2301</v>
      </c>
      <c r="E830" s="22" t="str">
        <f t="shared" si="59"/>
        <v>SEJUSPPROG</v>
      </c>
      <c r="F830" s="52" t="s">
        <v>729</v>
      </c>
      <c r="G830" s="22" t="str">
        <f t="shared" si="60"/>
        <v>P130SEJUSP</v>
      </c>
      <c r="H830" s="52" t="s">
        <v>1148</v>
      </c>
      <c r="I830" s="22" t="s">
        <v>16</v>
      </c>
      <c r="J830" s="52" t="s">
        <v>313</v>
      </c>
      <c r="K830" s="22" t="str">
        <f>VLOOKUP(CONCATENATE(A830,LEFT(J830,4)),AGRUPAMENTO!$D$2:$E$6783,2,FALSE)</f>
        <v>Aquisições de itens de TIC</v>
      </c>
      <c r="L830" s="52" t="s">
        <v>94</v>
      </c>
      <c r="M830" s="52"/>
      <c r="N830" s="92">
        <v>10</v>
      </c>
      <c r="O830" s="170" t="s">
        <v>3077</v>
      </c>
      <c r="P830" s="52" t="s">
        <v>46</v>
      </c>
      <c r="Q830" s="52" t="s">
        <v>3997</v>
      </c>
      <c r="R830" s="52">
        <v>1</v>
      </c>
      <c r="S830" s="52" t="s">
        <v>3981</v>
      </c>
      <c r="T830" s="88">
        <v>166666.67000000001</v>
      </c>
      <c r="U830" s="53">
        <v>12</v>
      </c>
      <c r="V830" s="58">
        <f t="shared" si="58"/>
        <v>2000000.04</v>
      </c>
      <c r="W830" s="52" t="s">
        <v>49</v>
      </c>
      <c r="X830" s="52" t="s">
        <v>4813</v>
      </c>
      <c r="Y830" s="52" t="s">
        <v>4814</v>
      </c>
      <c r="Z830" s="52" t="s">
        <v>4815</v>
      </c>
      <c r="AA830" s="52">
        <v>0</v>
      </c>
      <c r="AB830" s="52">
        <v>0</v>
      </c>
      <c r="AC830" s="52">
        <v>0</v>
      </c>
      <c r="AD830" s="21">
        <v>0.23752316495302667</v>
      </c>
      <c r="AE830" s="54">
        <v>0.23752316495302667</v>
      </c>
      <c r="AF830" s="315">
        <f t="shared" si="61"/>
        <v>475046.33940697997</v>
      </c>
    </row>
    <row r="831" spans="1:32" ht="120" x14ac:dyDescent="0.25">
      <c r="A831" s="107" t="s">
        <v>588</v>
      </c>
      <c r="B831" s="107" t="s">
        <v>2270</v>
      </c>
      <c r="C831" s="52"/>
      <c r="D831" s="52" t="s">
        <v>2301</v>
      </c>
      <c r="E831" s="22" t="str">
        <f t="shared" si="59"/>
        <v>SEJUSPPROG</v>
      </c>
      <c r="F831" s="52" t="s">
        <v>705</v>
      </c>
      <c r="G831" s="22" t="str">
        <f t="shared" si="60"/>
        <v>P134SEJUSP</v>
      </c>
      <c r="H831" s="52" t="s">
        <v>1356</v>
      </c>
      <c r="I831" s="22" t="s">
        <v>16</v>
      </c>
      <c r="J831" s="52" t="s">
        <v>313</v>
      </c>
      <c r="K831" s="22" t="str">
        <f>VLOOKUP(CONCATENATE(A831,LEFT(J831,4)),AGRUPAMENTO!$D$2:$E$6783,2,FALSE)</f>
        <v>Aquisições de itens de TIC</v>
      </c>
      <c r="L831" s="52" t="s">
        <v>94</v>
      </c>
      <c r="M831" s="52"/>
      <c r="N831" s="52">
        <v>10</v>
      </c>
      <c r="O831" s="52" t="s">
        <v>3078</v>
      </c>
      <c r="P831" s="52" t="s">
        <v>46</v>
      </c>
      <c r="Q831" s="52" t="s">
        <v>3998</v>
      </c>
      <c r="R831" s="52">
        <v>1</v>
      </c>
      <c r="S831" s="52" t="s">
        <v>3981</v>
      </c>
      <c r="T831" s="88">
        <v>332444.34000000003</v>
      </c>
      <c r="U831" s="53">
        <v>12</v>
      </c>
      <c r="V831" s="58">
        <f t="shared" si="58"/>
        <v>3989332.08</v>
      </c>
      <c r="W831" s="52" t="s">
        <v>49</v>
      </c>
      <c r="X831" s="52" t="s">
        <v>4816</v>
      </c>
      <c r="Y831" s="52" t="s">
        <v>4817</v>
      </c>
      <c r="Z831" s="52" t="s">
        <v>4818</v>
      </c>
      <c r="AA831" s="52">
        <v>0</v>
      </c>
      <c r="AB831" s="52">
        <v>0</v>
      </c>
      <c r="AC831" s="52">
        <v>0</v>
      </c>
      <c r="AD831" s="21">
        <v>0.23752316495302667</v>
      </c>
      <c r="AE831" s="54">
        <v>0.23752316495302667</v>
      </c>
      <c r="AF831" s="315">
        <f t="shared" si="61"/>
        <v>947558.78169024095</v>
      </c>
    </row>
    <row r="832" spans="1:32" ht="150" x14ac:dyDescent="0.25">
      <c r="A832" s="108" t="s">
        <v>588</v>
      </c>
      <c r="B832" s="107" t="s">
        <v>2269</v>
      </c>
      <c r="C832" s="52"/>
      <c r="D832" s="106" t="s">
        <v>2275</v>
      </c>
      <c r="E832" s="22" t="str">
        <f t="shared" si="59"/>
        <v>SEJUSPPROG</v>
      </c>
      <c r="F832" s="52" t="s">
        <v>729</v>
      </c>
      <c r="G832" s="22" t="str">
        <f t="shared" si="60"/>
        <v>P130SEJUSP</v>
      </c>
      <c r="H832" s="92" t="s">
        <v>1148</v>
      </c>
      <c r="I832" s="22" t="s">
        <v>16</v>
      </c>
      <c r="J832" s="92" t="s">
        <v>1681</v>
      </c>
      <c r="K832" s="22" t="str">
        <f>VLOOKUP(CONCATENATE(A832,LEFT(J832,4)),AGRUPAMENTO!$D$2:$E$6783,2,FALSE)</f>
        <v>Aquisições de itens de TIC</v>
      </c>
      <c r="L832" s="92" t="s">
        <v>94</v>
      </c>
      <c r="M832" s="52"/>
      <c r="N832" s="92">
        <v>10</v>
      </c>
      <c r="O832" s="92" t="s">
        <v>3079</v>
      </c>
      <c r="P832" s="52" t="s">
        <v>58</v>
      </c>
      <c r="Q832" s="92" t="s">
        <v>3720</v>
      </c>
      <c r="R832" s="92">
        <v>13</v>
      </c>
      <c r="S832" s="92" t="s">
        <v>3720</v>
      </c>
      <c r="T832" s="200">
        <v>50000</v>
      </c>
      <c r="U832" s="201">
        <v>1</v>
      </c>
      <c r="V832" s="58">
        <f t="shared" si="58"/>
        <v>650000</v>
      </c>
      <c r="W832" s="92" t="s">
        <v>68</v>
      </c>
      <c r="X832" s="92" t="s">
        <v>4819</v>
      </c>
      <c r="Y832" s="92" t="s">
        <v>4820</v>
      </c>
      <c r="Z832" s="92" t="s">
        <v>4821</v>
      </c>
      <c r="AA832" s="92">
        <v>3</v>
      </c>
      <c r="AB832" s="92">
        <v>7</v>
      </c>
      <c r="AC832" s="301">
        <v>28</v>
      </c>
      <c r="AD832" s="21">
        <v>0</v>
      </c>
      <c r="AE832" s="54">
        <v>0</v>
      </c>
      <c r="AF832" s="315">
        <f t="shared" si="61"/>
        <v>0</v>
      </c>
    </row>
    <row r="833" spans="1:32" ht="225" x14ac:dyDescent="0.25">
      <c r="A833" s="107" t="s">
        <v>588</v>
      </c>
      <c r="B833" s="107" t="s">
        <v>2270</v>
      </c>
      <c r="C833" s="52"/>
      <c r="D833" s="52" t="s">
        <v>2301</v>
      </c>
      <c r="E833" s="22" t="str">
        <f t="shared" si="59"/>
        <v>SEJUSPPROG</v>
      </c>
      <c r="F833" s="52" t="s">
        <v>729</v>
      </c>
      <c r="G833" s="22" t="str">
        <f t="shared" si="60"/>
        <v>P130SEJUSP</v>
      </c>
      <c r="H833" s="52" t="s">
        <v>1259</v>
      </c>
      <c r="I833" s="22" t="s">
        <v>16</v>
      </c>
      <c r="J833" s="52" t="s">
        <v>313</v>
      </c>
      <c r="K833" s="22" t="str">
        <f>VLOOKUP(CONCATENATE(A833,LEFT(J833,4)),AGRUPAMENTO!$D$2:$E$6783,2,FALSE)</f>
        <v>Aquisições de itens de TIC</v>
      </c>
      <c r="L833" s="52" t="s">
        <v>94</v>
      </c>
      <c r="M833" s="52"/>
      <c r="N833" s="52">
        <v>10</v>
      </c>
      <c r="O833" s="52" t="s">
        <v>3080</v>
      </c>
      <c r="P833" s="52" t="s">
        <v>46</v>
      </c>
      <c r="Q833" s="52" t="s">
        <v>3999</v>
      </c>
      <c r="R833" s="52">
        <v>1</v>
      </c>
      <c r="S833" s="52" t="s">
        <v>3981</v>
      </c>
      <c r="T833" s="88">
        <v>11458.34</v>
      </c>
      <c r="U833" s="53">
        <v>12</v>
      </c>
      <c r="V833" s="58">
        <f t="shared" si="58"/>
        <v>137500.08000000002</v>
      </c>
      <c r="W833" s="52" t="s">
        <v>49</v>
      </c>
      <c r="X833" s="52" t="s">
        <v>4822</v>
      </c>
      <c r="Y833" s="52" t="s">
        <v>4823</v>
      </c>
      <c r="Z833" s="52" t="s">
        <v>4824</v>
      </c>
      <c r="AA833" s="52">
        <v>0</v>
      </c>
      <c r="AB833" s="52">
        <v>0</v>
      </c>
      <c r="AC833" s="52">
        <v>0</v>
      </c>
      <c r="AD833" s="21">
        <v>0.23752316495302667</v>
      </c>
      <c r="AE833" s="54">
        <v>0.23752316495302667</v>
      </c>
      <c r="AF833" s="315">
        <f t="shared" si="61"/>
        <v>32659.454182894366</v>
      </c>
    </row>
    <row r="834" spans="1:32" ht="90" x14ac:dyDescent="0.25">
      <c r="A834" s="107" t="s">
        <v>588</v>
      </c>
      <c r="B834" s="107" t="s">
        <v>2270</v>
      </c>
      <c r="C834" s="52"/>
      <c r="D834" s="52" t="s">
        <v>2301</v>
      </c>
      <c r="E834" s="22" t="str">
        <f t="shared" si="59"/>
        <v>SEJUSPPROG</v>
      </c>
      <c r="F834" s="116" t="s">
        <v>687</v>
      </c>
      <c r="G834" s="22" t="str">
        <f t="shared" si="60"/>
        <v>P705SEJUSP</v>
      </c>
      <c r="H834" s="52" t="s">
        <v>914</v>
      </c>
      <c r="I834" s="22" t="s">
        <v>16</v>
      </c>
      <c r="J834" s="52" t="s">
        <v>1642</v>
      </c>
      <c r="K834" s="22" t="str">
        <f>VLOOKUP(CONCATENATE(A834,LEFT(J834,4)),AGRUPAMENTO!$D$2:$E$6783,2,FALSE)</f>
        <v>Gestão de equipamentos</v>
      </c>
      <c r="L834" s="52" t="s">
        <v>44</v>
      </c>
      <c r="M834" s="52"/>
      <c r="N834" s="52">
        <v>10</v>
      </c>
      <c r="O834" s="52" t="s">
        <v>3081</v>
      </c>
      <c r="P834" s="52" t="s">
        <v>46</v>
      </c>
      <c r="Q834" s="52" t="s">
        <v>4000</v>
      </c>
      <c r="R834" s="52">
        <v>1</v>
      </c>
      <c r="S834" s="52" t="s">
        <v>3937</v>
      </c>
      <c r="T834" s="88">
        <v>84800.572999999989</v>
      </c>
      <c r="U834" s="53">
        <v>12</v>
      </c>
      <c r="V834" s="58">
        <f t="shared" ref="V834:V897" si="62">R834*T834*U834</f>
        <v>1017606.8759999999</v>
      </c>
      <c r="W834" s="52" t="s">
        <v>49</v>
      </c>
      <c r="X834" s="52" t="s">
        <v>4709</v>
      </c>
      <c r="Y834" s="52" t="s">
        <v>4710</v>
      </c>
      <c r="Z834" s="52" t="s">
        <v>4711</v>
      </c>
      <c r="AA834" s="52">
        <v>0</v>
      </c>
      <c r="AB834" s="52">
        <v>0</v>
      </c>
      <c r="AC834" s="52">
        <v>0</v>
      </c>
      <c r="AD834" s="21">
        <v>0.88454016594970364</v>
      </c>
      <c r="AE834" s="54">
        <v>0.88454016594970364</v>
      </c>
      <c r="AF834" s="315">
        <f t="shared" si="61"/>
        <v>900114.15496859944</v>
      </c>
    </row>
    <row r="835" spans="1:32" ht="105" x14ac:dyDescent="0.25">
      <c r="A835" s="107" t="s">
        <v>588</v>
      </c>
      <c r="B835" s="107" t="s">
        <v>2270</v>
      </c>
      <c r="C835" s="52"/>
      <c r="D835" s="52" t="s">
        <v>2301</v>
      </c>
      <c r="E835" s="22" t="str">
        <f t="shared" ref="E835:E898" si="63">CONCATENATE(A835,"PROG")</f>
        <v>SEJUSPPROG</v>
      </c>
      <c r="F835" s="116" t="s">
        <v>687</v>
      </c>
      <c r="G835" s="22" t="str">
        <f t="shared" si="60"/>
        <v>P705SEJUSP</v>
      </c>
      <c r="H835" s="52" t="s">
        <v>914</v>
      </c>
      <c r="I835" s="22" t="s">
        <v>16</v>
      </c>
      <c r="J835" s="52" t="s">
        <v>1667</v>
      </c>
      <c r="K835" s="22" t="str">
        <f>VLOOKUP(CONCATENATE(A835,LEFT(J835,4)),AGRUPAMENTO!$D$2:$E$6783,2,FALSE)</f>
        <v>Serviços de TIC</v>
      </c>
      <c r="L835" s="52" t="s">
        <v>44</v>
      </c>
      <c r="M835" s="52"/>
      <c r="N835" s="52">
        <v>10</v>
      </c>
      <c r="O835" s="52" t="s">
        <v>3082</v>
      </c>
      <c r="P835" s="52" t="s">
        <v>46</v>
      </c>
      <c r="Q835" s="52" t="s">
        <v>4000</v>
      </c>
      <c r="R835" s="52">
        <v>2</v>
      </c>
      <c r="S835" s="52" t="s">
        <v>3937</v>
      </c>
      <c r="T835" s="88">
        <v>776.56799999999998</v>
      </c>
      <c r="U835" s="53">
        <v>12</v>
      </c>
      <c r="V835" s="58">
        <f t="shared" si="62"/>
        <v>18637.631999999998</v>
      </c>
      <c r="W835" s="52" t="s">
        <v>49</v>
      </c>
      <c r="X835" s="52" t="s">
        <v>4825</v>
      </c>
      <c r="Y835" s="52" t="s">
        <v>4826</v>
      </c>
      <c r="Z835" s="52" t="s">
        <v>4827</v>
      </c>
      <c r="AA835" s="52">
        <v>0</v>
      </c>
      <c r="AB835" s="52">
        <v>0</v>
      </c>
      <c r="AC835" s="52">
        <v>0</v>
      </c>
      <c r="AD835" s="21">
        <v>0.78045682583967335</v>
      </c>
      <c r="AE835" s="54">
        <v>0.78045682583967335</v>
      </c>
      <c r="AF835" s="315">
        <f t="shared" si="61"/>
        <v>14545.867111887921</v>
      </c>
    </row>
    <row r="836" spans="1:32" ht="105" x14ac:dyDescent="0.25">
      <c r="A836" s="107" t="s">
        <v>588</v>
      </c>
      <c r="B836" s="107" t="s">
        <v>2270</v>
      </c>
      <c r="C836" s="52"/>
      <c r="D836" s="52" t="s">
        <v>2301</v>
      </c>
      <c r="E836" s="22" t="str">
        <f t="shared" si="63"/>
        <v>SEJUSPPROG</v>
      </c>
      <c r="F836" s="116" t="s">
        <v>687</v>
      </c>
      <c r="G836" s="22" t="str">
        <f t="shared" ref="G836:G899" si="64">CONCATENATE("P",(LEFT(F836,3)),A836)</f>
        <v>P705SEJUSP</v>
      </c>
      <c r="H836" s="52" t="s">
        <v>914</v>
      </c>
      <c r="I836" s="22" t="s">
        <v>16</v>
      </c>
      <c r="J836" s="52" t="s">
        <v>1667</v>
      </c>
      <c r="K836" s="22" t="str">
        <f>VLOOKUP(CONCATENATE(A836,LEFT(J836,4)),AGRUPAMENTO!$D$2:$E$6783,2,FALSE)</f>
        <v>Serviços de TIC</v>
      </c>
      <c r="L836" s="52" t="s">
        <v>44</v>
      </c>
      <c r="M836" s="52"/>
      <c r="N836" s="52">
        <v>10</v>
      </c>
      <c r="O836" s="52" t="s">
        <v>3082</v>
      </c>
      <c r="P836" s="52" t="s">
        <v>46</v>
      </c>
      <c r="Q836" s="52" t="s">
        <v>4000</v>
      </c>
      <c r="R836" s="52">
        <v>2</v>
      </c>
      <c r="S836" s="52" t="s">
        <v>3937</v>
      </c>
      <c r="T836" s="88">
        <v>1066.8719999999998</v>
      </c>
      <c r="U836" s="53">
        <v>12</v>
      </c>
      <c r="V836" s="58">
        <f t="shared" si="62"/>
        <v>25604.927999999996</v>
      </c>
      <c r="W836" s="52" t="s">
        <v>49</v>
      </c>
      <c r="X836" s="52" t="s">
        <v>4825</v>
      </c>
      <c r="Y836" s="52" t="s">
        <v>4826</v>
      </c>
      <c r="Z836" s="52" t="s">
        <v>4827</v>
      </c>
      <c r="AA836" s="52">
        <v>0</v>
      </c>
      <c r="AB836" s="52">
        <v>0</v>
      </c>
      <c r="AC836" s="52">
        <v>0</v>
      </c>
      <c r="AD836" s="21">
        <v>0.78045682583967335</v>
      </c>
      <c r="AE836" s="54">
        <v>0.78045682583967335</v>
      </c>
      <c r="AF836" s="315">
        <f t="shared" ref="AF836:AF899" si="65">AE836*V836</f>
        <v>19983.540832733372</v>
      </c>
    </row>
    <row r="837" spans="1:32" ht="105" x14ac:dyDescent="0.25">
      <c r="A837" s="107" t="s">
        <v>588</v>
      </c>
      <c r="B837" s="107" t="s">
        <v>2270</v>
      </c>
      <c r="C837" s="52"/>
      <c r="D837" s="52" t="s">
        <v>2301</v>
      </c>
      <c r="E837" s="22" t="str">
        <f t="shared" si="63"/>
        <v>SEJUSPPROG</v>
      </c>
      <c r="F837" s="116" t="s">
        <v>687</v>
      </c>
      <c r="G837" s="22" t="str">
        <f t="shared" si="64"/>
        <v>P705SEJUSP</v>
      </c>
      <c r="H837" s="52" t="s">
        <v>914</v>
      </c>
      <c r="I837" s="22" t="s">
        <v>16</v>
      </c>
      <c r="J837" s="52" t="s">
        <v>1667</v>
      </c>
      <c r="K837" s="22" t="str">
        <f>VLOOKUP(CONCATENATE(A837,LEFT(J837,4)),AGRUPAMENTO!$D$2:$E$6783,2,FALSE)</f>
        <v>Serviços de TIC</v>
      </c>
      <c r="L837" s="52" t="s">
        <v>44</v>
      </c>
      <c r="M837" s="52"/>
      <c r="N837" s="52">
        <v>10</v>
      </c>
      <c r="O837" s="52" t="s">
        <v>3082</v>
      </c>
      <c r="P837" s="52" t="s">
        <v>46</v>
      </c>
      <c r="Q837" s="52" t="s">
        <v>4000</v>
      </c>
      <c r="R837" s="52">
        <v>2</v>
      </c>
      <c r="S837" s="52" t="s">
        <v>3937</v>
      </c>
      <c r="T837" s="88">
        <v>1175.376</v>
      </c>
      <c r="U837" s="53">
        <v>12</v>
      </c>
      <c r="V837" s="58">
        <f t="shared" si="62"/>
        <v>28209.023999999998</v>
      </c>
      <c r="W837" s="52" t="s">
        <v>49</v>
      </c>
      <c r="X837" s="52" t="s">
        <v>4825</v>
      </c>
      <c r="Y837" s="52" t="s">
        <v>4826</v>
      </c>
      <c r="Z837" s="52" t="s">
        <v>4827</v>
      </c>
      <c r="AA837" s="52">
        <v>0</v>
      </c>
      <c r="AB837" s="52">
        <v>0</v>
      </c>
      <c r="AC837" s="52">
        <v>0</v>
      </c>
      <c r="AD837" s="21">
        <v>0.78045682583967335</v>
      </c>
      <c r="AE837" s="54">
        <v>0.78045682583967335</v>
      </c>
      <c r="AF837" s="315">
        <f t="shared" si="65"/>
        <v>22015.925331075163</v>
      </c>
    </row>
    <row r="838" spans="1:32" ht="105" x14ac:dyDescent="0.25">
      <c r="A838" s="107" t="s">
        <v>588</v>
      </c>
      <c r="B838" s="107" t="s">
        <v>2270</v>
      </c>
      <c r="C838" s="52"/>
      <c r="D838" s="52" t="s">
        <v>2301</v>
      </c>
      <c r="E838" s="22" t="str">
        <f t="shared" si="63"/>
        <v>SEJUSPPROG</v>
      </c>
      <c r="F838" s="116" t="s">
        <v>687</v>
      </c>
      <c r="G838" s="22" t="str">
        <f t="shared" si="64"/>
        <v>P705SEJUSP</v>
      </c>
      <c r="H838" s="52" t="s">
        <v>914</v>
      </c>
      <c r="I838" s="22" t="s">
        <v>16</v>
      </c>
      <c r="J838" s="52" t="s">
        <v>1667</v>
      </c>
      <c r="K838" s="22" t="str">
        <f>VLOOKUP(CONCATENATE(A838,LEFT(J838,4)),AGRUPAMENTO!$D$2:$E$6783,2,FALSE)</f>
        <v>Serviços de TIC</v>
      </c>
      <c r="L838" s="52" t="s">
        <v>44</v>
      </c>
      <c r="M838" s="52"/>
      <c r="N838" s="52">
        <v>10</v>
      </c>
      <c r="O838" s="52" t="s">
        <v>3082</v>
      </c>
      <c r="P838" s="52" t="s">
        <v>46</v>
      </c>
      <c r="Q838" s="52" t="s">
        <v>4000</v>
      </c>
      <c r="R838" s="52">
        <v>1</v>
      </c>
      <c r="S838" s="52" t="s">
        <v>3937</v>
      </c>
      <c r="T838" s="88">
        <v>1365.4199999999998</v>
      </c>
      <c r="U838" s="53">
        <v>12</v>
      </c>
      <c r="V838" s="58">
        <f t="shared" si="62"/>
        <v>16385.039999999997</v>
      </c>
      <c r="W838" s="52" t="s">
        <v>49</v>
      </c>
      <c r="X838" s="52" t="s">
        <v>4825</v>
      </c>
      <c r="Y838" s="52" t="s">
        <v>4826</v>
      </c>
      <c r="Z838" s="52" t="s">
        <v>4827</v>
      </c>
      <c r="AA838" s="52">
        <v>0</v>
      </c>
      <c r="AB838" s="52">
        <v>0</v>
      </c>
      <c r="AC838" s="52">
        <v>0</v>
      </c>
      <c r="AD838" s="21">
        <v>0.78045682583967335</v>
      </c>
      <c r="AE838" s="54">
        <v>0.78045682583967335</v>
      </c>
      <c r="AF838" s="315">
        <f t="shared" si="65"/>
        <v>12787.81630965608</v>
      </c>
    </row>
    <row r="839" spans="1:32" ht="105" x14ac:dyDescent="0.25">
      <c r="A839" s="107" t="s">
        <v>588</v>
      </c>
      <c r="B839" s="107" t="s">
        <v>2270</v>
      </c>
      <c r="C839" s="52"/>
      <c r="D839" s="52" t="s">
        <v>2301</v>
      </c>
      <c r="E839" s="22" t="str">
        <f t="shared" si="63"/>
        <v>SEJUSPPROG</v>
      </c>
      <c r="F839" s="120" t="s">
        <v>681</v>
      </c>
      <c r="G839" s="22" t="str">
        <f t="shared" si="64"/>
        <v>P129SEJUSP</v>
      </c>
      <c r="H839" s="52" t="s">
        <v>1015</v>
      </c>
      <c r="I839" s="22" t="s">
        <v>16</v>
      </c>
      <c r="J839" s="52" t="s">
        <v>1667</v>
      </c>
      <c r="K839" s="22" t="str">
        <f>VLOOKUP(CONCATENATE(A839,LEFT(J839,4)),AGRUPAMENTO!$D$2:$E$6783,2,FALSE)</f>
        <v>Serviços de TIC</v>
      </c>
      <c r="L839" s="52" t="s">
        <v>44</v>
      </c>
      <c r="M839" s="52"/>
      <c r="N839" s="52">
        <v>60</v>
      </c>
      <c r="O839" s="52" t="s">
        <v>3082</v>
      </c>
      <c r="P839" s="52" t="s">
        <v>46</v>
      </c>
      <c r="Q839" s="52" t="s">
        <v>4000</v>
      </c>
      <c r="R839" s="52">
        <v>2</v>
      </c>
      <c r="S839" s="52" t="s">
        <v>3937</v>
      </c>
      <c r="T839" s="88">
        <v>538.56000000000006</v>
      </c>
      <c r="U839" s="53">
        <v>12</v>
      </c>
      <c r="V839" s="58">
        <f t="shared" si="62"/>
        <v>12925.440000000002</v>
      </c>
      <c r="W839" s="52" t="s">
        <v>49</v>
      </c>
      <c r="X839" s="52" t="s">
        <v>4825</v>
      </c>
      <c r="Y839" s="52" t="s">
        <v>4826</v>
      </c>
      <c r="Z839" s="52" t="s">
        <v>4827</v>
      </c>
      <c r="AA839" s="52">
        <v>0</v>
      </c>
      <c r="AB839" s="52">
        <v>0</v>
      </c>
      <c r="AC839" s="52">
        <v>0</v>
      </c>
      <c r="AD839" s="21">
        <v>0.78045682583967335</v>
      </c>
      <c r="AE839" s="54">
        <v>0.78045682583967335</v>
      </c>
      <c r="AF839" s="315">
        <f t="shared" si="65"/>
        <v>10087.747874981149</v>
      </c>
    </row>
    <row r="840" spans="1:32" ht="105" x14ac:dyDescent="0.25">
      <c r="A840" s="107" t="s">
        <v>588</v>
      </c>
      <c r="B840" s="107" t="s">
        <v>2270</v>
      </c>
      <c r="C840" s="52"/>
      <c r="D840" s="52" t="s">
        <v>2301</v>
      </c>
      <c r="E840" s="22" t="str">
        <f t="shared" si="63"/>
        <v>SEJUSPPROG</v>
      </c>
      <c r="F840" s="120" t="s">
        <v>681</v>
      </c>
      <c r="G840" s="22" t="str">
        <f t="shared" si="64"/>
        <v>P129SEJUSP</v>
      </c>
      <c r="H840" s="52" t="s">
        <v>1015</v>
      </c>
      <c r="I840" s="22" t="s">
        <v>16</v>
      </c>
      <c r="J840" s="52" t="s">
        <v>1667</v>
      </c>
      <c r="K840" s="22" t="str">
        <f>VLOOKUP(CONCATENATE(A840,LEFT(J840,4)),AGRUPAMENTO!$D$2:$E$6783,2,FALSE)</f>
        <v>Serviços de TIC</v>
      </c>
      <c r="L840" s="52" t="s">
        <v>44</v>
      </c>
      <c r="M840" s="52"/>
      <c r="N840" s="52">
        <v>60</v>
      </c>
      <c r="O840" s="52" t="s">
        <v>3082</v>
      </c>
      <c r="P840" s="52" t="s">
        <v>46</v>
      </c>
      <c r="Q840" s="52" t="s">
        <v>4000</v>
      </c>
      <c r="R840" s="52">
        <v>2</v>
      </c>
      <c r="S840" s="52" t="s">
        <v>3937</v>
      </c>
      <c r="T840" s="88">
        <v>768.88</v>
      </c>
      <c r="U840" s="53">
        <v>12</v>
      </c>
      <c r="V840" s="58">
        <f t="shared" si="62"/>
        <v>18453.12</v>
      </c>
      <c r="W840" s="52" t="s">
        <v>49</v>
      </c>
      <c r="X840" s="52" t="s">
        <v>4825</v>
      </c>
      <c r="Y840" s="52" t="s">
        <v>4826</v>
      </c>
      <c r="Z840" s="52" t="s">
        <v>4827</v>
      </c>
      <c r="AA840" s="52">
        <v>0</v>
      </c>
      <c r="AB840" s="52">
        <v>0</v>
      </c>
      <c r="AC840" s="52">
        <v>0</v>
      </c>
      <c r="AD840" s="21">
        <v>0.78045682583967335</v>
      </c>
      <c r="AE840" s="54">
        <v>0.78045682583967335</v>
      </c>
      <c r="AF840" s="315">
        <f t="shared" si="65"/>
        <v>14401.863462038593</v>
      </c>
    </row>
    <row r="841" spans="1:32" ht="105" x14ac:dyDescent="0.25">
      <c r="A841" s="107" t="s">
        <v>588</v>
      </c>
      <c r="B841" s="107" t="s">
        <v>2270</v>
      </c>
      <c r="C841" s="52"/>
      <c r="D841" s="52" t="s">
        <v>2301</v>
      </c>
      <c r="E841" s="22" t="str">
        <f t="shared" si="63"/>
        <v>SEJUSPPROG</v>
      </c>
      <c r="F841" s="120" t="s">
        <v>681</v>
      </c>
      <c r="G841" s="22" t="str">
        <f t="shared" si="64"/>
        <v>P129SEJUSP</v>
      </c>
      <c r="H841" s="52" t="s">
        <v>1015</v>
      </c>
      <c r="I841" s="22" t="s">
        <v>16</v>
      </c>
      <c r="J841" s="52" t="s">
        <v>1667</v>
      </c>
      <c r="K841" s="22" t="str">
        <f>VLOOKUP(CONCATENATE(A841,LEFT(J841,4)),AGRUPAMENTO!$D$2:$E$6783,2,FALSE)</f>
        <v>Serviços de TIC</v>
      </c>
      <c r="L841" s="52" t="s">
        <v>44</v>
      </c>
      <c r="M841" s="52"/>
      <c r="N841" s="52">
        <v>60</v>
      </c>
      <c r="O841" s="52" t="s">
        <v>3082</v>
      </c>
      <c r="P841" s="52" t="s">
        <v>46</v>
      </c>
      <c r="Q841" s="52" t="s">
        <v>4000</v>
      </c>
      <c r="R841" s="52">
        <v>5</v>
      </c>
      <c r="S841" s="52" t="s">
        <v>3937</v>
      </c>
      <c r="T841" s="88">
        <v>735.37199999999996</v>
      </c>
      <c r="U841" s="53">
        <v>12</v>
      </c>
      <c r="V841" s="58">
        <f t="shared" si="62"/>
        <v>44122.319999999992</v>
      </c>
      <c r="W841" s="52" t="s">
        <v>49</v>
      </c>
      <c r="X841" s="52" t="s">
        <v>4825</v>
      </c>
      <c r="Y841" s="52" t="s">
        <v>4826</v>
      </c>
      <c r="Z841" s="52" t="s">
        <v>4827</v>
      </c>
      <c r="AA841" s="52">
        <v>0</v>
      </c>
      <c r="AB841" s="52">
        <v>0</v>
      </c>
      <c r="AC841" s="52">
        <v>0</v>
      </c>
      <c r="AD841" s="21">
        <v>0.78045682583967335</v>
      </c>
      <c r="AE841" s="54">
        <v>0.78045682583967335</v>
      </c>
      <c r="AF841" s="315">
        <f t="shared" si="65"/>
        <v>34435.565815882328</v>
      </c>
    </row>
    <row r="842" spans="1:32" ht="105" x14ac:dyDescent="0.25">
      <c r="A842" s="107" t="s">
        <v>588</v>
      </c>
      <c r="B842" s="107" t="s">
        <v>2270</v>
      </c>
      <c r="C842" s="52"/>
      <c r="D842" s="52" t="s">
        <v>2301</v>
      </c>
      <c r="E842" s="22" t="str">
        <f t="shared" si="63"/>
        <v>SEJUSPPROG</v>
      </c>
      <c r="F842" s="120" t="s">
        <v>681</v>
      </c>
      <c r="G842" s="22" t="str">
        <f t="shared" si="64"/>
        <v>P129SEJUSP</v>
      </c>
      <c r="H842" s="52" t="s">
        <v>1015</v>
      </c>
      <c r="I842" s="22" t="s">
        <v>16</v>
      </c>
      <c r="J842" s="52" t="s">
        <v>1667</v>
      </c>
      <c r="K842" s="22" t="str">
        <f>VLOOKUP(CONCATENATE(A842,LEFT(J842,4)),AGRUPAMENTO!$D$2:$E$6783,2,FALSE)</f>
        <v>Serviços de TIC</v>
      </c>
      <c r="L842" s="52" t="s">
        <v>44</v>
      </c>
      <c r="M842" s="52"/>
      <c r="N842" s="52">
        <v>60</v>
      </c>
      <c r="O842" s="52" t="s">
        <v>3082</v>
      </c>
      <c r="P842" s="52" t="s">
        <v>46</v>
      </c>
      <c r="Q842" s="52" t="s">
        <v>4000</v>
      </c>
      <c r="R842" s="52">
        <v>4</v>
      </c>
      <c r="S842" s="52" t="s">
        <v>3937</v>
      </c>
      <c r="T842" s="88">
        <v>865.04399999999998</v>
      </c>
      <c r="U842" s="53">
        <v>12</v>
      </c>
      <c r="V842" s="58">
        <f t="shared" si="62"/>
        <v>41522.112000000001</v>
      </c>
      <c r="W842" s="52" t="s">
        <v>49</v>
      </c>
      <c r="X842" s="52" t="s">
        <v>4825</v>
      </c>
      <c r="Y842" s="52" t="s">
        <v>4826</v>
      </c>
      <c r="Z842" s="52" t="s">
        <v>4827</v>
      </c>
      <c r="AA842" s="52">
        <v>0</v>
      </c>
      <c r="AB842" s="52">
        <v>0</v>
      </c>
      <c r="AC842" s="52">
        <v>0</v>
      </c>
      <c r="AD842" s="21">
        <v>0.78045682583967335</v>
      </c>
      <c r="AE842" s="54">
        <v>0.78045682583967335</v>
      </c>
      <c r="AF842" s="315">
        <f t="shared" si="65"/>
        <v>32406.215733679412</v>
      </c>
    </row>
    <row r="843" spans="1:32" ht="105" x14ac:dyDescent="0.25">
      <c r="A843" s="107" t="s">
        <v>588</v>
      </c>
      <c r="B843" s="107" t="s">
        <v>2270</v>
      </c>
      <c r="C843" s="52"/>
      <c r="D843" s="52" t="s">
        <v>2301</v>
      </c>
      <c r="E843" s="22" t="str">
        <f t="shared" si="63"/>
        <v>SEJUSPPROG</v>
      </c>
      <c r="F843" s="120" t="s">
        <v>681</v>
      </c>
      <c r="G843" s="22" t="str">
        <f t="shared" si="64"/>
        <v>P129SEJUSP</v>
      </c>
      <c r="H843" s="52" t="s">
        <v>1015</v>
      </c>
      <c r="I843" s="22" t="s">
        <v>16</v>
      </c>
      <c r="J843" s="52" t="s">
        <v>1667</v>
      </c>
      <c r="K843" s="22" t="str">
        <f>VLOOKUP(CONCATENATE(A843,LEFT(J843,4)),AGRUPAMENTO!$D$2:$E$6783,2,FALSE)</f>
        <v>Serviços de TIC</v>
      </c>
      <c r="L843" s="52" t="s">
        <v>44</v>
      </c>
      <c r="M843" s="52"/>
      <c r="N843" s="52">
        <v>60</v>
      </c>
      <c r="O843" s="52" t="s">
        <v>3082</v>
      </c>
      <c r="P843" s="52" t="s">
        <v>46</v>
      </c>
      <c r="Q843" s="52" t="s">
        <v>4000</v>
      </c>
      <c r="R843" s="52">
        <v>1</v>
      </c>
      <c r="S843" s="52" t="s">
        <v>3937</v>
      </c>
      <c r="T843" s="88">
        <v>1018.56</v>
      </c>
      <c r="U843" s="53">
        <v>12</v>
      </c>
      <c r="V843" s="58">
        <f t="shared" si="62"/>
        <v>12222.72</v>
      </c>
      <c r="W843" s="52" t="s">
        <v>49</v>
      </c>
      <c r="X843" s="52" t="s">
        <v>4825</v>
      </c>
      <c r="Y843" s="52" t="s">
        <v>4826</v>
      </c>
      <c r="Z843" s="52" t="s">
        <v>4827</v>
      </c>
      <c r="AA843" s="52">
        <v>0</v>
      </c>
      <c r="AB843" s="52">
        <v>0</v>
      </c>
      <c r="AC843" s="52">
        <v>0</v>
      </c>
      <c r="AD843" s="21">
        <v>0.78045682583967335</v>
      </c>
      <c r="AE843" s="54">
        <v>0.78045682583967335</v>
      </c>
      <c r="AF843" s="315">
        <f t="shared" si="65"/>
        <v>9539.3052543270915</v>
      </c>
    </row>
    <row r="844" spans="1:32" ht="105" x14ac:dyDescent="0.25">
      <c r="A844" s="107" t="s">
        <v>588</v>
      </c>
      <c r="B844" s="107" t="s">
        <v>2270</v>
      </c>
      <c r="C844" s="52"/>
      <c r="D844" s="52" t="s">
        <v>2301</v>
      </c>
      <c r="E844" s="22" t="str">
        <f t="shared" si="63"/>
        <v>SEJUSPPROG</v>
      </c>
      <c r="F844" s="120" t="s">
        <v>681</v>
      </c>
      <c r="G844" s="22" t="str">
        <f t="shared" si="64"/>
        <v>P129SEJUSP</v>
      </c>
      <c r="H844" s="52" t="s">
        <v>1015</v>
      </c>
      <c r="I844" s="22" t="s">
        <v>16</v>
      </c>
      <c r="J844" s="52" t="s">
        <v>1667</v>
      </c>
      <c r="K844" s="22" t="str">
        <f>VLOOKUP(CONCATENATE(A844,LEFT(J844,4)),AGRUPAMENTO!$D$2:$E$6783,2,FALSE)</f>
        <v>Serviços de TIC</v>
      </c>
      <c r="L844" s="52" t="s">
        <v>44</v>
      </c>
      <c r="M844" s="52"/>
      <c r="N844" s="52">
        <v>60</v>
      </c>
      <c r="O844" s="52" t="s">
        <v>3082</v>
      </c>
      <c r="P844" s="52" t="s">
        <v>46</v>
      </c>
      <c r="Q844" s="52" t="s">
        <v>4000</v>
      </c>
      <c r="R844" s="52">
        <v>24</v>
      </c>
      <c r="S844" s="52" t="s">
        <v>3937</v>
      </c>
      <c r="T844" s="88">
        <v>1066.8719999999998</v>
      </c>
      <c r="U844" s="53">
        <v>12</v>
      </c>
      <c r="V844" s="58">
        <f t="shared" si="62"/>
        <v>307259.13599999994</v>
      </c>
      <c r="W844" s="52" t="s">
        <v>49</v>
      </c>
      <c r="X844" s="52" t="s">
        <v>4825</v>
      </c>
      <c r="Y844" s="52" t="s">
        <v>4826</v>
      </c>
      <c r="Z844" s="52" t="s">
        <v>4827</v>
      </c>
      <c r="AA844" s="52">
        <v>0</v>
      </c>
      <c r="AB844" s="52">
        <v>0</v>
      </c>
      <c r="AC844" s="52">
        <v>0</v>
      </c>
      <c r="AD844" s="21">
        <v>0.78045682583967335</v>
      </c>
      <c r="AE844" s="54">
        <v>0.78045682583967335</v>
      </c>
      <c r="AF844" s="315">
        <f t="shared" si="65"/>
        <v>239802.48999280046</v>
      </c>
    </row>
    <row r="845" spans="1:32" ht="105" x14ac:dyDescent="0.25">
      <c r="A845" s="107" t="s">
        <v>588</v>
      </c>
      <c r="B845" s="107" t="s">
        <v>2270</v>
      </c>
      <c r="C845" s="52"/>
      <c r="D845" s="52" t="s">
        <v>2301</v>
      </c>
      <c r="E845" s="22" t="str">
        <f t="shared" si="63"/>
        <v>SEJUSPPROG</v>
      </c>
      <c r="F845" s="120" t="s">
        <v>681</v>
      </c>
      <c r="G845" s="22" t="str">
        <f t="shared" si="64"/>
        <v>P129SEJUSP</v>
      </c>
      <c r="H845" s="52" t="s">
        <v>1015</v>
      </c>
      <c r="I845" s="22" t="s">
        <v>16</v>
      </c>
      <c r="J845" s="52" t="s">
        <v>1667</v>
      </c>
      <c r="K845" s="22" t="str">
        <f>VLOOKUP(CONCATENATE(A845,LEFT(J845,4)),AGRUPAMENTO!$D$2:$E$6783,2,FALSE)</f>
        <v>Serviços de TIC</v>
      </c>
      <c r="L845" s="52" t="s">
        <v>44</v>
      </c>
      <c r="M845" s="52"/>
      <c r="N845" s="52">
        <v>60</v>
      </c>
      <c r="O845" s="52" t="s">
        <v>3082</v>
      </c>
      <c r="P845" s="52" t="s">
        <v>46</v>
      </c>
      <c r="Q845" s="52" t="s">
        <v>4000</v>
      </c>
      <c r="R845" s="52">
        <v>15</v>
      </c>
      <c r="S845" s="52" t="s">
        <v>3937</v>
      </c>
      <c r="T845" s="88">
        <v>1175.376</v>
      </c>
      <c r="U845" s="53">
        <v>12</v>
      </c>
      <c r="V845" s="58">
        <f t="shared" si="62"/>
        <v>211567.68</v>
      </c>
      <c r="W845" s="52" t="s">
        <v>49</v>
      </c>
      <c r="X845" s="52" t="s">
        <v>4825</v>
      </c>
      <c r="Y845" s="52" t="s">
        <v>4826</v>
      </c>
      <c r="Z845" s="52" t="s">
        <v>4827</v>
      </c>
      <c r="AA845" s="52">
        <v>0</v>
      </c>
      <c r="AB845" s="52">
        <v>0</v>
      </c>
      <c r="AC845" s="52">
        <v>0</v>
      </c>
      <c r="AD845" s="21">
        <v>0.78045682583967335</v>
      </c>
      <c r="AE845" s="54">
        <v>0.78045682583967335</v>
      </c>
      <c r="AF845" s="315">
        <f t="shared" si="65"/>
        <v>165119.43998306373</v>
      </c>
    </row>
    <row r="846" spans="1:32" ht="105" x14ac:dyDescent="0.25">
      <c r="A846" s="107" t="s">
        <v>588</v>
      </c>
      <c r="B846" s="107" t="s">
        <v>2270</v>
      </c>
      <c r="C846" s="52"/>
      <c r="D846" s="52" t="s">
        <v>2301</v>
      </c>
      <c r="E846" s="22" t="str">
        <f t="shared" si="63"/>
        <v>SEJUSPPROG</v>
      </c>
      <c r="F846" s="52" t="s">
        <v>729</v>
      </c>
      <c r="G846" s="22" t="str">
        <f t="shared" si="64"/>
        <v>P130SEJUSP</v>
      </c>
      <c r="H846" s="52" t="s">
        <v>1183</v>
      </c>
      <c r="I846" s="22" t="s">
        <v>16</v>
      </c>
      <c r="J846" s="52" t="s">
        <v>1667</v>
      </c>
      <c r="K846" s="22" t="str">
        <f>VLOOKUP(CONCATENATE(A846,LEFT(J846,4)),AGRUPAMENTO!$D$2:$E$6783,2,FALSE)</f>
        <v>Serviços de TIC</v>
      </c>
      <c r="L846" s="52" t="s">
        <v>44</v>
      </c>
      <c r="M846" s="52"/>
      <c r="N846" s="52">
        <v>60</v>
      </c>
      <c r="O846" s="52" t="s">
        <v>3082</v>
      </c>
      <c r="P846" s="52" t="s">
        <v>46</v>
      </c>
      <c r="Q846" s="52" t="s">
        <v>4000</v>
      </c>
      <c r="R846" s="52">
        <v>1</v>
      </c>
      <c r="S846" s="52" t="s">
        <v>3937</v>
      </c>
      <c r="T846" s="88">
        <v>1418.1599999999999</v>
      </c>
      <c r="U846" s="53">
        <v>12</v>
      </c>
      <c r="V846" s="58">
        <f t="shared" si="62"/>
        <v>17017.919999999998</v>
      </c>
      <c r="W846" s="52" t="s">
        <v>49</v>
      </c>
      <c r="X846" s="52" t="s">
        <v>4825</v>
      </c>
      <c r="Y846" s="52" t="s">
        <v>4826</v>
      </c>
      <c r="Z846" s="52" t="s">
        <v>4827</v>
      </c>
      <c r="AA846" s="52">
        <v>0</v>
      </c>
      <c r="AB846" s="52">
        <v>0</v>
      </c>
      <c r="AC846" s="52">
        <v>0</v>
      </c>
      <c r="AD846" s="21">
        <v>0.78045682583967335</v>
      </c>
      <c r="AE846" s="54">
        <v>0.78045682583967335</v>
      </c>
      <c r="AF846" s="315">
        <f t="shared" si="65"/>
        <v>13281.751825593492</v>
      </c>
    </row>
    <row r="847" spans="1:32" ht="105" x14ac:dyDescent="0.25">
      <c r="A847" s="107" t="s">
        <v>588</v>
      </c>
      <c r="B847" s="107" t="s">
        <v>2270</v>
      </c>
      <c r="C847" s="52"/>
      <c r="D847" s="52" t="s">
        <v>2301</v>
      </c>
      <c r="E847" s="22" t="str">
        <f t="shared" si="63"/>
        <v>SEJUSPPROG</v>
      </c>
      <c r="F847" s="52" t="s">
        <v>729</v>
      </c>
      <c r="G847" s="22" t="str">
        <f t="shared" si="64"/>
        <v>P130SEJUSP</v>
      </c>
      <c r="H847" s="52" t="s">
        <v>1183</v>
      </c>
      <c r="I847" s="22" t="s">
        <v>16</v>
      </c>
      <c r="J847" s="52" t="s">
        <v>1667</v>
      </c>
      <c r="K847" s="22" t="str">
        <f>VLOOKUP(CONCATENATE(A847,LEFT(J847,4)),AGRUPAMENTO!$D$2:$E$6783,2,FALSE)</f>
        <v>Serviços de TIC</v>
      </c>
      <c r="L847" s="52" t="s">
        <v>44</v>
      </c>
      <c r="M847" s="52"/>
      <c r="N847" s="52">
        <v>60</v>
      </c>
      <c r="O847" s="52" t="s">
        <v>3082</v>
      </c>
      <c r="P847" s="52" t="s">
        <v>46</v>
      </c>
      <c r="Q847" s="52" t="s">
        <v>4000</v>
      </c>
      <c r="R847" s="52">
        <v>7</v>
      </c>
      <c r="S847" s="52" t="s">
        <v>3937</v>
      </c>
      <c r="T847" s="88">
        <v>1579.7280000000001</v>
      </c>
      <c r="U847" s="53">
        <v>12</v>
      </c>
      <c r="V847" s="58">
        <f t="shared" si="62"/>
        <v>132697.152</v>
      </c>
      <c r="W847" s="52" t="s">
        <v>49</v>
      </c>
      <c r="X847" s="52" t="s">
        <v>4825</v>
      </c>
      <c r="Y847" s="52" t="s">
        <v>4826</v>
      </c>
      <c r="Z847" s="52" t="s">
        <v>4827</v>
      </c>
      <c r="AA847" s="52">
        <v>0</v>
      </c>
      <c r="AB847" s="52">
        <v>0</v>
      </c>
      <c r="AC847" s="52">
        <v>0</v>
      </c>
      <c r="AD847" s="21">
        <v>0.78045682583967335</v>
      </c>
      <c r="AE847" s="54">
        <v>0.78045682583967335</v>
      </c>
      <c r="AF847" s="315">
        <f t="shared" si="65"/>
        <v>103564.39804788466</v>
      </c>
    </row>
    <row r="848" spans="1:32" ht="105" x14ac:dyDescent="0.25">
      <c r="A848" s="107" t="s">
        <v>588</v>
      </c>
      <c r="B848" s="107" t="s">
        <v>2270</v>
      </c>
      <c r="C848" s="52"/>
      <c r="D848" s="52" t="s">
        <v>2301</v>
      </c>
      <c r="E848" s="22" t="str">
        <f t="shared" si="63"/>
        <v>SEJUSPPROG</v>
      </c>
      <c r="F848" s="52" t="s">
        <v>729</v>
      </c>
      <c r="G848" s="22" t="str">
        <f t="shared" si="64"/>
        <v>P130SEJUSP</v>
      </c>
      <c r="H848" s="52" t="s">
        <v>1183</v>
      </c>
      <c r="I848" s="22" t="s">
        <v>16</v>
      </c>
      <c r="J848" s="52" t="s">
        <v>1667</v>
      </c>
      <c r="K848" s="22" t="str">
        <f>VLOOKUP(CONCATENATE(A848,LEFT(J848,4)),AGRUPAMENTO!$D$2:$E$6783,2,FALSE)</f>
        <v>Serviços de TIC</v>
      </c>
      <c r="L848" s="52" t="s">
        <v>44</v>
      </c>
      <c r="M848" s="52"/>
      <c r="N848" s="52">
        <v>60</v>
      </c>
      <c r="O848" s="52" t="s">
        <v>3082</v>
      </c>
      <c r="P848" s="52" t="s">
        <v>46</v>
      </c>
      <c r="Q848" s="52" t="s">
        <v>4000</v>
      </c>
      <c r="R848" s="52">
        <v>15</v>
      </c>
      <c r="S848" s="52" t="s">
        <v>3937</v>
      </c>
      <c r="T848" s="88">
        <v>1664.2560000000001</v>
      </c>
      <c r="U848" s="53">
        <v>12</v>
      </c>
      <c r="V848" s="58">
        <f t="shared" si="62"/>
        <v>299566.08000000002</v>
      </c>
      <c r="W848" s="52" t="s">
        <v>49</v>
      </c>
      <c r="X848" s="52" t="s">
        <v>4825</v>
      </c>
      <c r="Y848" s="52" t="s">
        <v>4826</v>
      </c>
      <c r="Z848" s="52" t="s">
        <v>4827</v>
      </c>
      <c r="AA848" s="52">
        <v>0</v>
      </c>
      <c r="AB848" s="52">
        <v>0</v>
      </c>
      <c r="AC848" s="52">
        <v>0</v>
      </c>
      <c r="AD848" s="21">
        <v>0.78045682583967335</v>
      </c>
      <c r="AE848" s="54">
        <v>0.78045682583967335</v>
      </c>
      <c r="AF848" s="315">
        <f t="shared" si="65"/>
        <v>233798.39192603366</v>
      </c>
    </row>
    <row r="849" spans="1:32" ht="105" x14ac:dyDescent="0.25">
      <c r="A849" s="107" t="s">
        <v>588</v>
      </c>
      <c r="B849" s="107" t="s">
        <v>2270</v>
      </c>
      <c r="C849" s="52"/>
      <c r="D849" s="52" t="s">
        <v>2301</v>
      </c>
      <c r="E849" s="22" t="str">
        <f t="shared" si="63"/>
        <v>SEJUSPPROG</v>
      </c>
      <c r="F849" s="52" t="s">
        <v>729</v>
      </c>
      <c r="G849" s="22" t="str">
        <f t="shared" si="64"/>
        <v>P130SEJUSP</v>
      </c>
      <c r="H849" s="52" t="s">
        <v>1183</v>
      </c>
      <c r="I849" s="22" t="s">
        <v>16</v>
      </c>
      <c r="J849" s="52" t="s">
        <v>1667</v>
      </c>
      <c r="K849" s="22" t="str">
        <f>VLOOKUP(CONCATENATE(A849,LEFT(J849,4)),AGRUPAMENTO!$D$2:$E$6783,2,FALSE)</f>
        <v>Serviços de TIC</v>
      </c>
      <c r="L849" s="52" t="s">
        <v>44</v>
      </c>
      <c r="M849" s="52"/>
      <c r="N849" s="52">
        <v>60</v>
      </c>
      <c r="O849" s="52" t="s">
        <v>3082</v>
      </c>
      <c r="P849" s="52" t="s">
        <v>46</v>
      </c>
      <c r="Q849" s="52" t="s">
        <v>4000</v>
      </c>
      <c r="R849" s="52">
        <v>10</v>
      </c>
      <c r="S849" s="52" t="s">
        <v>3937</v>
      </c>
      <c r="T849" s="88">
        <v>1948.308</v>
      </c>
      <c r="U849" s="53">
        <v>12</v>
      </c>
      <c r="V849" s="58">
        <f t="shared" si="62"/>
        <v>233796.96000000002</v>
      </c>
      <c r="W849" s="52" t="s">
        <v>49</v>
      </c>
      <c r="X849" s="52" t="s">
        <v>4825</v>
      </c>
      <c r="Y849" s="52" t="s">
        <v>4826</v>
      </c>
      <c r="Z849" s="52" t="s">
        <v>4827</v>
      </c>
      <c r="AA849" s="52">
        <v>0</v>
      </c>
      <c r="AB849" s="52">
        <v>0</v>
      </c>
      <c r="AC849" s="52">
        <v>0</v>
      </c>
      <c r="AD849" s="21">
        <v>0.78045682583967335</v>
      </c>
      <c r="AE849" s="54">
        <v>0.78045682583967335</v>
      </c>
      <c r="AF849" s="315">
        <f t="shared" si="65"/>
        <v>182468.43329256508</v>
      </c>
    </row>
    <row r="850" spans="1:32" ht="105" x14ac:dyDescent="0.25">
      <c r="A850" s="107" t="s">
        <v>588</v>
      </c>
      <c r="B850" s="107" t="s">
        <v>2270</v>
      </c>
      <c r="C850" s="52"/>
      <c r="D850" s="52" t="s">
        <v>2301</v>
      </c>
      <c r="E850" s="22" t="str">
        <f t="shared" si="63"/>
        <v>SEJUSPPROG</v>
      </c>
      <c r="F850" s="52" t="s">
        <v>729</v>
      </c>
      <c r="G850" s="22" t="str">
        <f t="shared" si="64"/>
        <v>P130SEJUSP</v>
      </c>
      <c r="H850" s="52" t="s">
        <v>1183</v>
      </c>
      <c r="I850" s="22" t="s">
        <v>16</v>
      </c>
      <c r="J850" s="52" t="s">
        <v>1667</v>
      </c>
      <c r="K850" s="22" t="str">
        <f>VLOOKUP(CONCATENATE(A850,LEFT(J850,4)),AGRUPAMENTO!$D$2:$E$6783,2,FALSE)</f>
        <v>Serviços de TIC</v>
      </c>
      <c r="L850" s="52" t="s">
        <v>44</v>
      </c>
      <c r="M850" s="52"/>
      <c r="N850" s="52">
        <v>60</v>
      </c>
      <c r="O850" s="52" t="s">
        <v>3082</v>
      </c>
      <c r="P850" s="52" t="s">
        <v>46</v>
      </c>
      <c r="Q850" s="52" t="s">
        <v>4000</v>
      </c>
      <c r="R850" s="52">
        <v>6</v>
      </c>
      <c r="S850" s="52" t="s">
        <v>3937</v>
      </c>
      <c r="T850" s="88">
        <v>2872.38</v>
      </c>
      <c r="U850" s="53">
        <v>12</v>
      </c>
      <c r="V850" s="58">
        <f t="shared" si="62"/>
        <v>206811.36</v>
      </c>
      <c r="W850" s="52" t="s">
        <v>49</v>
      </c>
      <c r="X850" s="52" t="s">
        <v>4825</v>
      </c>
      <c r="Y850" s="52" t="s">
        <v>4826</v>
      </c>
      <c r="Z850" s="52" t="s">
        <v>4827</v>
      </c>
      <c r="AA850" s="52">
        <v>0</v>
      </c>
      <c r="AB850" s="52">
        <v>0</v>
      </c>
      <c r="AC850" s="52">
        <v>0</v>
      </c>
      <c r="AD850" s="21">
        <v>0.78045682583967335</v>
      </c>
      <c r="AE850" s="54">
        <v>0.78045682583967335</v>
      </c>
      <c r="AF850" s="315">
        <f t="shared" si="65"/>
        <v>161407.33757318597</v>
      </c>
    </row>
    <row r="851" spans="1:32" ht="105" x14ac:dyDescent="0.25">
      <c r="A851" s="107" t="s">
        <v>588</v>
      </c>
      <c r="B851" s="107" t="s">
        <v>2270</v>
      </c>
      <c r="C851" s="52"/>
      <c r="D851" s="52" t="s">
        <v>2301</v>
      </c>
      <c r="E851" s="22" t="str">
        <f t="shared" si="63"/>
        <v>SEJUSPPROG</v>
      </c>
      <c r="F851" s="52" t="s">
        <v>729</v>
      </c>
      <c r="G851" s="22" t="str">
        <f t="shared" si="64"/>
        <v>P130SEJUSP</v>
      </c>
      <c r="H851" s="52" t="s">
        <v>1183</v>
      </c>
      <c r="I851" s="22" t="s">
        <v>16</v>
      </c>
      <c r="J851" s="52" t="s">
        <v>1667</v>
      </c>
      <c r="K851" s="22" t="str">
        <f>VLOOKUP(CONCATENATE(A851,LEFT(J851,4)),AGRUPAMENTO!$D$2:$E$6783,2,FALSE)</f>
        <v>Serviços de TIC</v>
      </c>
      <c r="L851" s="52" t="s">
        <v>44</v>
      </c>
      <c r="M851" s="52"/>
      <c r="N851" s="52">
        <v>60</v>
      </c>
      <c r="O851" s="52" t="s">
        <v>3082</v>
      </c>
      <c r="P851" s="52" t="s">
        <v>46</v>
      </c>
      <c r="Q851" s="52" t="s">
        <v>4000</v>
      </c>
      <c r="R851" s="52">
        <v>2</v>
      </c>
      <c r="S851" s="52" t="s">
        <v>3937</v>
      </c>
      <c r="T851" s="88">
        <v>2113.2959999999998</v>
      </c>
      <c r="U851" s="53">
        <v>12</v>
      </c>
      <c r="V851" s="58">
        <f t="shared" si="62"/>
        <v>50719.103999999992</v>
      </c>
      <c r="W851" s="52" t="s">
        <v>49</v>
      </c>
      <c r="X851" s="52" t="s">
        <v>4825</v>
      </c>
      <c r="Y851" s="52" t="s">
        <v>4826</v>
      </c>
      <c r="Z851" s="52" t="s">
        <v>4827</v>
      </c>
      <c r="AA851" s="52">
        <v>0</v>
      </c>
      <c r="AB851" s="52">
        <v>0</v>
      </c>
      <c r="AC851" s="52">
        <v>0</v>
      </c>
      <c r="AD851" s="21">
        <v>0.78045682583967335</v>
      </c>
      <c r="AE851" s="54">
        <v>0.78045682583967335</v>
      </c>
      <c r="AF851" s="315">
        <f t="shared" si="65"/>
        <v>39584.070917272271</v>
      </c>
    </row>
    <row r="852" spans="1:32" ht="105" x14ac:dyDescent="0.25">
      <c r="A852" s="107" t="s">
        <v>588</v>
      </c>
      <c r="B852" s="107" t="s">
        <v>2270</v>
      </c>
      <c r="C852" s="52"/>
      <c r="D852" s="52" t="s">
        <v>2301</v>
      </c>
      <c r="E852" s="22" t="str">
        <f t="shared" si="63"/>
        <v>SEJUSPPROG</v>
      </c>
      <c r="F852" s="52" t="s">
        <v>729</v>
      </c>
      <c r="G852" s="22" t="str">
        <f t="shared" si="64"/>
        <v>P130SEJUSP</v>
      </c>
      <c r="H852" s="52" t="s">
        <v>1183</v>
      </c>
      <c r="I852" s="22" t="s">
        <v>16</v>
      </c>
      <c r="J852" s="52" t="s">
        <v>1667</v>
      </c>
      <c r="K852" s="22" t="str">
        <f>VLOOKUP(CONCATENATE(A852,LEFT(J852,4)),AGRUPAMENTO!$D$2:$E$6783,2,FALSE)</f>
        <v>Serviços de TIC</v>
      </c>
      <c r="L852" s="52" t="s">
        <v>44</v>
      </c>
      <c r="M852" s="52"/>
      <c r="N852" s="52">
        <v>60</v>
      </c>
      <c r="O852" s="52" t="s">
        <v>3082</v>
      </c>
      <c r="P852" s="52" t="s">
        <v>46</v>
      </c>
      <c r="Q852" s="52" t="s">
        <v>4000</v>
      </c>
      <c r="R852" s="52">
        <v>7</v>
      </c>
      <c r="S852" s="52" t="s">
        <v>3937</v>
      </c>
      <c r="T852" s="88">
        <v>825.9</v>
      </c>
      <c r="U852" s="53">
        <v>12</v>
      </c>
      <c r="V852" s="58">
        <f t="shared" si="62"/>
        <v>69375.600000000006</v>
      </c>
      <c r="W852" s="52" t="s">
        <v>49</v>
      </c>
      <c r="X852" s="52" t="s">
        <v>4825</v>
      </c>
      <c r="Y852" s="52" t="s">
        <v>4826</v>
      </c>
      <c r="Z852" s="52" t="s">
        <v>4827</v>
      </c>
      <c r="AA852" s="52">
        <v>0</v>
      </c>
      <c r="AB852" s="52">
        <v>0</v>
      </c>
      <c r="AC852" s="52">
        <v>0</v>
      </c>
      <c r="AD852" s="21">
        <v>0.78045682583967335</v>
      </c>
      <c r="AE852" s="54">
        <v>0.78045682583967335</v>
      </c>
      <c r="AF852" s="315">
        <f t="shared" si="65"/>
        <v>54144.66056672285</v>
      </c>
    </row>
    <row r="853" spans="1:32" ht="105" x14ac:dyDescent="0.25">
      <c r="A853" s="107" t="s">
        <v>588</v>
      </c>
      <c r="B853" s="107" t="s">
        <v>2270</v>
      </c>
      <c r="C853" s="52"/>
      <c r="D853" s="52" t="s">
        <v>2301</v>
      </c>
      <c r="E853" s="22" t="str">
        <f t="shared" si="63"/>
        <v>SEJUSPPROG</v>
      </c>
      <c r="F853" s="52" t="s">
        <v>729</v>
      </c>
      <c r="G853" s="22" t="str">
        <f t="shared" si="64"/>
        <v>P130SEJUSP</v>
      </c>
      <c r="H853" s="52" t="s">
        <v>1183</v>
      </c>
      <c r="I853" s="22" t="s">
        <v>16</v>
      </c>
      <c r="J853" s="52" t="s">
        <v>1667</v>
      </c>
      <c r="K853" s="22" t="str">
        <f>VLOOKUP(CONCATENATE(A853,LEFT(J853,4)),AGRUPAMENTO!$D$2:$E$6783,2,FALSE)</f>
        <v>Serviços de TIC</v>
      </c>
      <c r="L853" s="52" t="s">
        <v>44</v>
      </c>
      <c r="M853" s="52"/>
      <c r="N853" s="52">
        <v>60</v>
      </c>
      <c r="O853" s="52" t="s">
        <v>3082</v>
      </c>
      <c r="P853" s="52" t="s">
        <v>46</v>
      </c>
      <c r="Q853" s="52" t="s">
        <v>4000</v>
      </c>
      <c r="R853" s="52">
        <v>11</v>
      </c>
      <c r="S853" s="52" t="s">
        <v>3937</v>
      </c>
      <c r="T853" s="88">
        <v>865.04399999999998</v>
      </c>
      <c r="U853" s="53">
        <v>12</v>
      </c>
      <c r="V853" s="58">
        <f t="shared" si="62"/>
        <v>114185.808</v>
      </c>
      <c r="W853" s="52" t="s">
        <v>49</v>
      </c>
      <c r="X853" s="52" t="s">
        <v>4825</v>
      </c>
      <c r="Y853" s="52" t="s">
        <v>4826</v>
      </c>
      <c r="Z853" s="52" t="s">
        <v>4827</v>
      </c>
      <c r="AA853" s="52">
        <v>0</v>
      </c>
      <c r="AB853" s="52">
        <v>0</v>
      </c>
      <c r="AC853" s="52">
        <v>0</v>
      </c>
      <c r="AD853" s="21">
        <v>0.78045682583967335</v>
      </c>
      <c r="AE853" s="54">
        <v>0.78045682583967335</v>
      </c>
      <c r="AF853" s="315">
        <f t="shared" si="65"/>
        <v>89117.093267618387</v>
      </c>
    </row>
    <row r="854" spans="1:32" ht="105" x14ac:dyDescent="0.25">
      <c r="A854" s="107" t="s">
        <v>588</v>
      </c>
      <c r="B854" s="107" t="s">
        <v>2270</v>
      </c>
      <c r="C854" s="52"/>
      <c r="D854" s="52" t="s">
        <v>2301</v>
      </c>
      <c r="E854" s="22" t="str">
        <f t="shared" si="63"/>
        <v>SEJUSPPROG</v>
      </c>
      <c r="F854" s="52" t="s">
        <v>729</v>
      </c>
      <c r="G854" s="22" t="str">
        <f t="shared" si="64"/>
        <v>P130SEJUSP</v>
      </c>
      <c r="H854" s="52" t="s">
        <v>1183</v>
      </c>
      <c r="I854" s="22" t="s">
        <v>16</v>
      </c>
      <c r="J854" s="52" t="s">
        <v>1667</v>
      </c>
      <c r="K854" s="22" t="str">
        <f>VLOOKUP(CONCATENATE(A854,LEFT(J854,4)),AGRUPAMENTO!$D$2:$E$6783,2,FALSE)</f>
        <v>Serviços de TIC</v>
      </c>
      <c r="L854" s="52" t="s">
        <v>44</v>
      </c>
      <c r="M854" s="52"/>
      <c r="N854" s="52">
        <v>60</v>
      </c>
      <c r="O854" s="52" t="s">
        <v>3082</v>
      </c>
      <c r="P854" s="52" t="s">
        <v>46</v>
      </c>
      <c r="Q854" s="52" t="s">
        <v>4000</v>
      </c>
      <c r="R854" s="52">
        <v>161</v>
      </c>
      <c r="S854" s="52" t="s">
        <v>3937</v>
      </c>
      <c r="T854" s="88">
        <v>1066.8719999999998</v>
      </c>
      <c r="U854" s="53">
        <v>12</v>
      </c>
      <c r="V854" s="58">
        <f t="shared" si="62"/>
        <v>2061196.7039999994</v>
      </c>
      <c r="W854" s="52" t="s">
        <v>49</v>
      </c>
      <c r="X854" s="52" t="s">
        <v>4825</v>
      </c>
      <c r="Y854" s="52" t="s">
        <v>4826</v>
      </c>
      <c r="Z854" s="52" t="s">
        <v>4827</v>
      </c>
      <c r="AA854" s="52">
        <v>0</v>
      </c>
      <c r="AB854" s="52">
        <v>0</v>
      </c>
      <c r="AC854" s="52">
        <v>0</v>
      </c>
      <c r="AD854" s="21">
        <v>0.78045682583967335</v>
      </c>
      <c r="AE854" s="54">
        <v>0.78045682583967335</v>
      </c>
      <c r="AF854" s="315">
        <f t="shared" si="65"/>
        <v>1608675.0370350364</v>
      </c>
    </row>
    <row r="855" spans="1:32" ht="105" x14ac:dyDescent="0.25">
      <c r="A855" s="107" t="s">
        <v>588</v>
      </c>
      <c r="B855" s="107" t="s">
        <v>2270</v>
      </c>
      <c r="C855" s="52"/>
      <c r="D855" s="52" t="s">
        <v>2301</v>
      </c>
      <c r="E855" s="22" t="str">
        <f t="shared" si="63"/>
        <v>SEJUSPPROG</v>
      </c>
      <c r="F855" s="52" t="s">
        <v>729</v>
      </c>
      <c r="G855" s="22" t="str">
        <f t="shared" si="64"/>
        <v>P130SEJUSP</v>
      </c>
      <c r="H855" s="52" t="s">
        <v>1183</v>
      </c>
      <c r="I855" s="22" t="s">
        <v>16</v>
      </c>
      <c r="J855" s="52" t="s">
        <v>1667</v>
      </c>
      <c r="K855" s="22" t="str">
        <f>VLOOKUP(CONCATENATE(A855,LEFT(J855,4)),AGRUPAMENTO!$D$2:$E$6783,2,FALSE)</f>
        <v>Serviços de TIC</v>
      </c>
      <c r="L855" s="52" t="s">
        <v>44</v>
      </c>
      <c r="M855" s="52"/>
      <c r="N855" s="52">
        <v>60</v>
      </c>
      <c r="O855" s="52" t="s">
        <v>3082</v>
      </c>
      <c r="P855" s="52" t="s">
        <v>46</v>
      </c>
      <c r="Q855" s="52" t="s">
        <v>4000</v>
      </c>
      <c r="R855" s="52">
        <v>5</v>
      </c>
      <c r="S855" s="52" t="s">
        <v>3937</v>
      </c>
      <c r="T855" s="88">
        <v>1300.896</v>
      </c>
      <c r="U855" s="53">
        <v>12</v>
      </c>
      <c r="V855" s="58">
        <f t="shared" si="62"/>
        <v>78053.759999999995</v>
      </c>
      <c r="W855" s="52" t="s">
        <v>49</v>
      </c>
      <c r="X855" s="52" t="s">
        <v>4825</v>
      </c>
      <c r="Y855" s="52" t="s">
        <v>4826</v>
      </c>
      <c r="Z855" s="52" t="s">
        <v>4827</v>
      </c>
      <c r="AA855" s="52">
        <v>0</v>
      </c>
      <c r="AB855" s="52">
        <v>0</v>
      </c>
      <c r="AC855" s="52">
        <v>0</v>
      </c>
      <c r="AD855" s="21">
        <v>0.78045682583967335</v>
      </c>
      <c r="AE855" s="54">
        <v>0.78045682583967335</v>
      </c>
      <c r="AF855" s="315">
        <f t="shared" si="65"/>
        <v>60917.589774451655</v>
      </c>
    </row>
    <row r="856" spans="1:32" ht="105" x14ac:dyDescent="0.25">
      <c r="A856" s="107" t="s">
        <v>588</v>
      </c>
      <c r="B856" s="107" t="s">
        <v>2270</v>
      </c>
      <c r="C856" s="52"/>
      <c r="D856" s="52" t="s">
        <v>2301</v>
      </c>
      <c r="E856" s="22" t="str">
        <f t="shared" si="63"/>
        <v>SEJUSPPROG</v>
      </c>
      <c r="F856" s="52" t="s">
        <v>729</v>
      </c>
      <c r="G856" s="22" t="str">
        <f t="shared" si="64"/>
        <v>P130SEJUSP</v>
      </c>
      <c r="H856" s="52" t="s">
        <v>1259</v>
      </c>
      <c r="I856" s="22" t="s">
        <v>16</v>
      </c>
      <c r="J856" s="52" t="s">
        <v>1667</v>
      </c>
      <c r="K856" s="22" t="str">
        <f>VLOOKUP(CONCATENATE(A856,LEFT(J856,4)),AGRUPAMENTO!$D$2:$E$6783,2,FALSE)</f>
        <v>Serviços de TIC</v>
      </c>
      <c r="L856" s="52" t="s">
        <v>44</v>
      </c>
      <c r="M856" s="52"/>
      <c r="N856" s="52">
        <v>10</v>
      </c>
      <c r="O856" s="52" t="s">
        <v>3082</v>
      </c>
      <c r="P856" s="52" t="s">
        <v>46</v>
      </c>
      <c r="Q856" s="52" t="s">
        <v>4000</v>
      </c>
      <c r="R856" s="52">
        <v>4</v>
      </c>
      <c r="S856" s="52" t="s">
        <v>3937</v>
      </c>
      <c r="T856" s="88">
        <v>1066.8719999999998</v>
      </c>
      <c r="U856" s="53">
        <v>12</v>
      </c>
      <c r="V856" s="58">
        <f t="shared" si="62"/>
        <v>51209.855999999992</v>
      </c>
      <c r="W856" s="52" t="s">
        <v>49</v>
      </c>
      <c r="X856" s="52" t="s">
        <v>4825</v>
      </c>
      <c r="Y856" s="52" t="s">
        <v>4826</v>
      </c>
      <c r="Z856" s="52" t="s">
        <v>4827</v>
      </c>
      <c r="AA856" s="52">
        <v>0</v>
      </c>
      <c r="AB856" s="52">
        <v>0</v>
      </c>
      <c r="AC856" s="52">
        <v>0</v>
      </c>
      <c r="AD856" s="21">
        <v>0.78045682583967335</v>
      </c>
      <c r="AE856" s="54">
        <v>0.78045682583967335</v>
      </c>
      <c r="AF856" s="315">
        <f t="shared" si="65"/>
        <v>39967.081665466743</v>
      </c>
    </row>
    <row r="857" spans="1:32" ht="105" x14ac:dyDescent="0.25">
      <c r="A857" s="107" t="s">
        <v>588</v>
      </c>
      <c r="B857" s="107" t="s">
        <v>2270</v>
      </c>
      <c r="C857" s="52"/>
      <c r="D857" s="52" t="s">
        <v>2301</v>
      </c>
      <c r="E857" s="22" t="str">
        <f t="shared" si="63"/>
        <v>SEJUSPPROG</v>
      </c>
      <c r="F857" s="52" t="s">
        <v>705</v>
      </c>
      <c r="G857" s="22" t="str">
        <f t="shared" si="64"/>
        <v>P134SEJUSP</v>
      </c>
      <c r="H857" s="52" t="s">
        <v>1356</v>
      </c>
      <c r="I857" s="22" t="s">
        <v>16</v>
      </c>
      <c r="J857" s="52" t="s">
        <v>1667</v>
      </c>
      <c r="K857" s="22" t="str">
        <f>VLOOKUP(CONCATENATE(A857,LEFT(J857,4)),AGRUPAMENTO!$D$2:$E$6783,2,FALSE)</f>
        <v>Serviços de TIC</v>
      </c>
      <c r="L857" s="52" t="s">
        <v>44</v>
      </c>
      <c r="M857" s="52"/>
      <c r="N857" s="52">
        <v>10</v>
      </c>
      <c r="O857" s="52" t="s">
        <v>3082</v>
      </c>
      <c r="P857" s="52" t="s">
        <v>46</v>
      </c>
      <c r="Q857" s="52" t="s">
        <v>4000</v>
      </c>
      <c r="R857" s="52">
        <v>1</v>
      </c>
      <c r="S857" s="52" t="s">
        <v>3937</v>
      </c>
      <c r="T857" s="88">
        <v>776.56799999999998</v>
      </c>
      <c r="U857" s="53">
        <v>12</v>
      </c>
      <c r="V857" s="58">
        <f t="shared" si="62"/>
        <v>9318.8159999999989</v>
      </c>
      <c r="W857" s="52" t="s">
        <v>49</v>
      </c>
      <c r="X857" s="52" t="s">
        <v>4825</v>
      </c>
      <c r="Y857" s="52" t="s">
        <v>4826</v>
      </c>
      <c r="Z857" s="52" t="s">
        <v>4827</v>
      </c>
      <c r="AA857" s="52">
        <v>0</v>
      </c>
      <c r="AB857" s="52">
        <v>0</v>
      </c>
      <c r="AC857" s="52">
        <v>0</v>
      </c>
      <c r="AD857" s="21">
        <v>0.78045682583967335</v>
      </c>
      <c r="AE857" s="54">
        <v>0.78045682583967335</v>
      </c>
      <c r="AF857" s="315">
        <f t="shared" si="65"/>
        <v>7272.9335559439605</v>
      </c>
    </row>
    <row r="858" spans="1:32" ht="105" x14ac:dyDescent="0.25">
      <c r="A858" s="107" t="s">
        <v>588</v>
      </c>
      <c r="B858" s="107" t="s">
        <v>2270</v>
      </c>
      <c r="C858" s="52"/>
      <c r="D858" s="52" t="s">
        <v>2301</v>
      </c>
      <c r="E858" s="22" t="str">
        <f t="shared" si="63"/>
        <v>SEJUSPPROG</v>
      </c>
      <c r="F858" s="122" t="s">
        <v>886</v>
      </c>
      <c r="G858" s="22" t="str">
        <f t="shared" si="64"/>
        <v>P146SEJUSP</v>
      </c>
      <c r="H858" s="52" t="s">
        <v>1424</v>
      </c>
      <c r="I858" s="22" t="s">
        <v>16</v>
      </c>
      <c r="J858" s="52" t="s">
        <v>1667</v>
      </c>
      <c r="K858" s="22" t="str">
        <f>VLOOKUP(CONCATENATE(A858,LEFT(J858,4)),AGRUPAMENTO!$D$2:$E$6783,2,FALSE)</f>
        <v>Serviços de TIC</v>
      </c>
      <c r="L858" s="52" t="s">
        <v>44</v>
      </c>
      <c r="M858" s="52"/>
      <c r="N858" s="52">
        <v>10</v>
      </c>
      <c r="O858" s="52" t="s">
        <v>3082</v>
      </c>
      <c r="P858" s="52" t="s">
        <v>46</v>
      </c>
      <c r="Q858" s="52" t="s">
        <v>4000</v>
      </c>
      <c r="R858" s="52">
        <v>1</v>
      </c>
      <c r="S858" s="52" t="s">
        <v>3937</v>
      </c>
      <c r="T858" s="88">
        <v>1664.232</v>
      </c>
      <c r="U858" s="53">
        <v>12</v>
      </c>
      <c r="V858" s="58">
        <f t="shared" si="62"/>
        <v>19970.784</v>
      </c>
      <c r="W858" s="52" t="s">
        <v>49</v>
      </c>
      <c r="X858" s="52" t="s">
        <v>4825</v>
      </c>
      <c r="Y858" s="52" t="s">
        <v>4826</v>
      </c>
      <c r="Z858" s="52" t="s">
        <v>4827</v>
      </c>
      <c r="AA858" s="52">
        <v>0</v>
      </c>
      <c r="AB858" s="52">
        <v>0</v>
      </c>
      <c r="AC858" s="52">
        <v>0</v>
      </c>
      <c r="AD858" s="21">
        <v>0.78045682583967335</v>
      </c>
      <c r="AE858" s="54">
        <v>0.78045682583967335</v>
      </c>
      <c r="AF858" s="315">
        <f t="shared" si="65"/>
        <v>15586.334690169735</v>
      </c>
    </row>
    <row r="859" spans="1:32" ht="105" x14ac:dyDescent="0.25">
      <c r="A859" s="107" t="s">
        <v>588</v>
      </c>
      <c r="B859" s="107" t="s">
        <v>2270</v>
      </c>
      <c r="C859" s="52"/>
      <c r="D859" s="52" t="s">
        <v>2301</v>
      </c>
      <c r="E859" s="22" t="str">
        <f t="shared" si="63"/>
        <v>SEJUSPPROG</v>
      </c>
      <c r="F859" s="122" t="s">
        <v>886</v>
      </c>
      <c r="G859" s="22" t="str">
        <f t="shared" si="64"/>
        <v>P146SEJUSP</v>
      </c>
      <c r="H859" s="52" t="s">
        <v>1424</v>
      </c>
      <c r="I859" s="22" t="s">
        <v>16</v>
      </c>
      <c r="J859" s="52" t="s">
        <v>1667</v>
      </c>
      <c r="K859" s="22" t="str">
        <f>VLOOKUP(CONCATENATE(A859,LEFT(J859,4)),AGRUPAMENTO!$D$2:$E$6783,2,FALSE)</f>
        <v>Serviços de TIC</v>
      </c>
      <c r="L859" s="52" t="s">
        <v>44</v>
      </c>
      <c r="M859" s="52"/>
      <c r="N859" s="52">
        <v>10</v>
      </c>
      <c r="O859" s="52" t="s">
        <v>3082</v>
      </c>
      <c r="P859" s="52" t="s">
        <v>46</v>
      </c>
      <c r="Q859" s="52" t="s">
        <v>4000</v>
      </c>
      <c r="R859" s="52">
        <v>13</v>
      </c>
      <c r="S859" s="52" t="s">
        <v>3937</v>
      </c>
      <c r="T859" s="88">
        <v>1175.376</v>
      </c>
      <c r="U859" s="53">
        <v>12</v>
      </c>
      <c r="V859" s="58">
        <f t="shared" si="62"/>
        <v>183358.65599999999</v>
      </c>
      <c r="W859" s="52" t="s">
        <v>49</v>
      </c>
      <c r="X859" s="52" t="s">
        <v>4825</v>
      </c>
      <c r="Y859" s="52" t="s">
        <v>4826</v>
      </c>
      <c r="Z859" s="52" t="s">
        <v>4827</v>
      </c>
      <c r="AA859" s="52">
        <v>0</v>
      </c>
      <c r="AB859" s="52">
        <v>0</v>
      </c>
      <c r="AC859" s="52">
        <v>0</v>
      </c>
      <c r="AD859" s="21">
        <v>0.78045682583967335</v>
      </c>
      <c r="AE859" s="54">
        <v>0.78045682583967335</v>
      </c>
      <c r="AF859" s="315">
        <f t="shared" si="65"/>
        <v>143103.51465198857</v>
      </c>
    </row>
    <row r="860" spans="1:32" ht="105" x14ac:dyDescent="0.25">
      <c r="A860" s="107" t="s">
        <v>588</v>
      </c>
      <c r="B860" s="107" t="s">
        <v>2270</v>
      </c>
      <c r="C860" s="52"/>
      <c r="D860" s="52" t="s">
        <v>2301</v>
      </c>
      <c r="E860" s="22" t="str">
        <f t="shared" si="63"/>
        <v>SEJUSPPROG</v>
      </c>
      <c r="F860" s="116" t="s">
        <v>687</v>
      </c>
      <c r="G860" s="22" t="str">
        <f t="shared" si="64"/>
        <v>P705SEJUSP</v>
      </c>
      <c r="H860" s="52" t="s">
        <v>914</v>
      </c>
      <c r="I860" s="22" t="s">
        <v>16</v>
      </c>
      <c r="J860" s="107" t="s">
        <v>2207</v>
      </c>
      <c r="K860" s="22" t="str">
        <f>VLOOKUP(CONCATENATE(A860,LEFT(J860,4)),AGRUPAMENTO!$D$2:$E$6783,2,FALSE)</f>
        <v>PRODEMGE</v>
      </c>
      <c r="L860" s="52" t="s">
        <v>44</v>
      </c>
      <c r="M860" s="52"/>
      <c r="N860" s="52">
        <v>10</v>
      </c>
      <c r="O860" s="52" t="s">
        <v>3083</v>
      </c>
      <c r="P860" s="52" t="s">
        <v>46</v>
      </c>
      <c r="Q860" s="52" t="s">
        <v>4000</v>
      </c>
      <c r="R860" s="52">
        <v>5</v>
      </c>
      <c r="S860" s="52" t="s">
        <v>3937</v>
      </c>
      <c r="T860" s="88">
        <v>80.5</v>
      </c>
      <c r="U860" s="53">
        <v>12</v>
      </c>
      <c r="V860" s="58">
        <f t="shared" si="62"/>
        <v>4830</v>
      </c>
      <c r="W860" s="52" t="s">
        <v>49</v>
      </c>
      <c r="X860" s="52" t="s">
        <v>4825</v>
      </c>
      <c r="Y860" s="52" t="s">
        <v>4826</v>
      </c>
      <c r="Z860" s="52" t="s">
        <v>4827</v>
      </c>
      <c r="AA860" s="52">
        <v>0</v>
      </c>
      <c r="AB860" s="52">
        <v>0</v>
      </c>
      <c r="AC860" s="52">
        <v>0</v>
      </c>
      <c r="AD860" s="21">
        <v>0.74255988295180719</v>
      </c>
      <c r="AE860" s="54">
        <v>0.74255988295180719</v>
      </c>
      <c r="AF860" s="315">
        <f t="shared" si="65"/>
        <v>3586.5642346572286</v>
      </c>
    </row>
    <row r="861" spans="1:32" ht="105" x14ac:dyDescent="0.25">
      <c r="A861" s="107" t="s">
        <v>588</v>
      </c>
      <c r="B861" s="107" t="s">
        <v>2270</v>
      </c>
      <c r="C861" s="52"/>
      <c r="D861" s="52" t="s">
        <v>2301</v>
      </c>
      <c r="E861" s="22" t="str">
        <f t="shared" si="63"/>
        <v>SEJUSPPROG</v>
      </c>
      <c r="F861" s="116" t="s">
        <v>687</v>
      </c>
      <c r="G861" s="22" t="str">
        <f t="shared" si="64"/>
        <v>P705SEJUSP</v>
      </c>
      <c r="H861" s="52" t="s">
        <v>914</v>
      </c>
      <c r="I861" s="22" t="s">
        <v>16</v>
      </c>
      <c r="J861" s="107" t="s">
        <v>2207</v>
      </c>
      <c r="K861" s="22" t="str">
        <f>VLOOKUP(CONCATENATE(A861,LEFT(J861,4)),AGRUPAMENTO!$D$2:$E$6783,2,FALSE)</f>
        <v>PRODEMGE</v>
      </c>
      <c r="L861" s="52" t="s">
        <v>44</v>
      </c>
      <c r="M861" s="52"/>
      <c r="N861" s="52">
        <v>10</v>
      </c>
      <c r="O861" s="52" t="s">
        <v>3084</v>
      </c>
      <c r="P861" s="52" t="s">
        <v>46</v>
      </c>
      <c r="Q861" s="52" t="s">
        <v>4000</v>
      </c>
      <c r="R861" s="52">
        <v>5</v>
      </c>
      <c r="S861" s="52" t="s">
        <v>3937</v>
      </c>
      <c r="T861" s="88">
        <v>188.6</v>
      </c>
      <c r="U861" s="53">
        <v>12</v>
      </c>
      <c r="V861" s="58">
        <f t="shared" si="62"/>
        <v>11316</v>
      </c>
      <c r="W861" s="52" t="s">
        <v>49</v>
      </c>
      <c r="X861" s="52" t="s">
        <v>4825</v>
      </c>
      <c r="Y861" s="52" t="s">
        <v>4826</v>
      </c>
      <c r="Z861" s="52" t="s">
        <v>4827</v>
      </c>
      <c r="AA861" s="52">
        <v>0</v>
      </c>
      <c r="AB861" s="52">
        <v>0</v>
      </c>
      <c r="AC861" s="52">
        <v>0</v>
      </c>
      <c r="AD861" s="21">
        <v>0.74255988295180719</v>
      </c>
      <c r="AE861" s="54">
        <v>0.74255988295180719</v>
      </c>
      <c r="AF861" s="315">
        <f t="shared" si="65"/>
        <v>8402.8076354826499</v>
      </c>
    </row>
    <row r="862" spans="1:32" ht="105" x14ac:dyDescent="0.25">
      <c r="A862" s="107" t="s">
        <v>588</v>
      </c>
      <c r="B862" s="107" t="s">
        <v>2270</v>
      </c>
      <c r="C862" s="52"/>
      <c r="D862" s="52" t="s">
        <v>2301</v>
      </c>
      <c r="E862" s="22" t="str">
        <f t="shared" si="63"/>
        <v>SEJUSPPROG</v>
      </c>
      <c r="F862" s="116" t="s">
        <v>687</v>
      </c>
      <c r="G862" s="22" t="str">
        <f t="shared" si="64"/>
        <v>P705SEJUSP</v>
      </c>
      <c r="H862" s="52" t="s">
        <v>914</v>
      </c>
      <c r="I862" s="22" t="s">
        <v>16</v>
      </c>
      <c r="J862" s="107" t="s">
        <v>2207</v>
      </c>
      <c r="K862" s="22" t="str">
        <f>VLOOKUP(CONCATENATE(A862,LEFT(J862,4)),AGRUPAMENTO!$D$2:$E$6783,2,FALSE)</f>
        <v>PRODEMGE</v>
      </c>
      <c r="L862" s="52" t="s">
        <v>44</v>
      </c>
      <c r="M862" s="52"/>
      <c r="N862" s="52">
        <v>10</v>
      </c>
      <c r="O862" s="52" t="s">
        <v>3085</v>
      </c>
      <c r="P862" s="52" t="s">
        <v>46</v>
      </c>
      <c r="Q862" s="52" t="s">
        <v>4000</v>
      </c>
      <c r="R862" s="52">
        <v>5</v>
      </c>
      <c r="S862" s="52" t="s">
        <v>3937</v>
      </c>
      <c r="T862" s="88">
        <v>1185.6500000000001</v>
      </c>
      <c r="U862" s="53">
        <v>12</v>
      </c>
      <c r="V862" s="58">
        <f t="shared" si="62"/>
        <v>71139</v>
      </c>
      <c r="W862" s="52" t="s">
        <v>49</v>
      </c>
      <c r="X862" s="52" t="s">
        <v>4825</v>
      </c>
      <c r="Y862" s="52" t="s">
        <v>4826</v>
      </c>
      <c r="Z862" s="52" t="s">
        <v>4827</v>
      </c>
      <c r="AA862" s="52">
        <v>0</v>
      </c>
      <c r="AB862" s="52">
        <v>0</v>
      </c>
      <c r="AC862" s="52">
        <v>0</v>
      </c>
      <c r="AD862" s="21">
        <v>0.74255988295180719</v>
      </c>
      <c r="AE862" s="54">
        <v>0.74255988295180719</v>
      </c>
      <c r="AF862" s="315">
        <f t="shared" si="65"/>
        <v>52824.967513308613</v>
      </c>
    </row>
    <row r="863" spans="1:32" ht="105" x14ac:dyDescent="0.25">
      <c r="A863" s="107" t="s">
        <v>588</v>
      </c>
      <c r="B863" s="107" t="s">
        <v>2270</v>
      </c>
      <c r="C863" s="52"/>
      <c r="D863" s="52" t="s">
        <v>2301</v>
      </c>
      <c r="E863" s="22" t="str">
        <f t="shared" si="63"/>
        <v>SEJUSPPROG</v>
      </c>
      <c r="F863" s="116" t="s">
        <v>687</v>
      </c>
      <c r="G863" s="22" t="str">
        <f t="shared" si="64"/>
        <v>P705SEJUSP</v>
      </c>
      <c r="H863" s="52" t="s">
        <v>914</v>
      </c>
      <c r="I863" s="22" t="s">
        <v>16</v>
      </c>
      <c r="J863" s="107" t="s">
        <v>2207</v>
      </c>
      <c r="K863" s="22" t="str">
        <f>VLOOKUP(CONCATENATE(A863,LEFT(J863,4)),AGRUPAMENTO!$D$2:$E$6783,2,FALSE)</f>
        <v>PRODEMGE</v>
      </c>
      <c r="L863" s="52" t="s">
        <v>44</v>
      </c>
      <c r="M863" s="52"/>
      <c r="N863" s="52">
        <v>10</v>
      </c>
      <c r="O863" s="52" t="s">
        <v>3085</v>
      </c>
      <c r="P863" s="52" t="s">
        <v>46</v>
      </c>
      <c r="Q863" s="52" t="s">
        <v>4000</v>
      </c>
      <c r="R863" s="52">
        <v>1</v>
      </c>
      <c r="S863" s="52" t="s">
        <v>3937</v>
      </c>
      <c r="T863" s="88">
        <v>2659.95</v>
      </c>
      <c r="U863" s="53">
        <v>12</v>
      </c>
      <c r="V863" s="58">
        <f t="shared" si="62"/>
        <v>31919.399999999998</v>
      </c>
      <c r="W863" s="52" t="s">
        <v>49</v>
      </c>
      <c r="X863" s="52" t="s">
        <v>4825</v>
      </c>
      <c r="Y863" s="52" t="s">
        <v>4826</v>
      </c>
      <c r="Z863" s="52" t="s">
        <v>4827</v>
      </c>
      <c r="AA863" s="52">
        <v>0</v>
      </c>
      <c r="AB863" s="52">
        <v>0</v>
      </c>
      <c r="AC863" s="52">
        <v>0</v>
      </c>
      <c r="AD863" s="21">
        <v>0.74255988295180719</v>
      </c>
      <c r="AE863" s="54">
        <v>0.74255988295180719</v>
      </c>
      <c r="AF863" s="315">
        <f t="shared" si="65"/>
        <v>23702.065927891912</v>
      </c>
    </row>
    <row r="864" spans="1:32" ht="105" x14ac:dyDescent="0.25">
      <c r="A864" s="107" t="s">
        <v>588</v>
      </c>
      <c r="B864" s="107" t="s">
        <v>2270</v>
      </c>
      <c r="C864" s="52"/>
      <c r="D864" s="52" t="s">
        <v>2301</v>
      </c>
      <c r="E864" s="22" t="str">
        <f t="shared" si="63"/>
        <v>SEJUSPPROG</v>
      </c>
      <c r="F864" s="116" t="s">
        <v>687</v>
      </c>
      <c r="G864" s="22" t="str">
        <f t="shared" si="64"/>
        <v>P705SEJUSP</v>
      </c>
      <c r="H864" s="52" t="s">
        <v>914</v>
      </c>
      <c r="I864" s="22" t="s">
        <v>16</v>
      </c>
      <c r="J864" s="107" t="s">
        <v>2207</v>
      </c>
      <c r="K864" s="22" t="str">
        <f>VLOOKUP(CONCATENATE(A864,LEFT(J864,4)),AGRUPAMENTO!$D$2:$E$6783,2,FALSE)</f>
        <v>PRODEMGE</v>
      </c>
      <c r="L864" s="52" t="s">
        <v>44</v>
      </c>
      <c r="M864" s="52"/>
      <c r="N864" s="52">
        <v>10</v>
      </c>
      <c r="O864" s="52" t="s">
        <v>3086</v>
      </c>
      <c r="P864" s="52" t="s">
        <v>46</v>
      </c>
      <c r="Q864" s="52" t="s">
        <v>4000</v>
      </c>
      <c r="R864" s="52">
        <v>881</v>
      </c>
      <c r="S864" s="52" t="s">
        <v>3937</v>
      </c>
      <c r="T864" s="88">
        <v>56.35</v>
      </c>
      <c r="U864" s="53">
        <v>12</v>
      </c>
      <c r="V864" s="58">
        <f t="shared" si="62"/>
        <v>595732.19999999995</v>
      </c>
      <c r="W864" s="52" t="s">
        <v>49</v>
      </c>
      <c r="X864" s="52" t="s">
        <v>4825</v>
      </c>
      <c r="Y864" s="52" t="s">
        <v>4826</v>
      </c>
      <c r="Z864" s="52" t="s">
        <v>4827</v>
      </c>
      <c r="AA864" s="52">
        <v>0</v>
      </c>
      <c r="AB864" s="52">
        <v>0</v>
      </c>
      <c r="AC864" s="52">
        <v>0</v>
      </c>
      <c r="AD864" s="21">
        <v>0.74255988295180719</v>
      </c>
      <c r="AE864" s="54">
        <v>0.74255988295180719</v>
      </c>
      <c r="AF864" s="315">
        <f t="shared" si="65"/>
        <v>442366.83270262257</v>
      </c>
    </row>
    <row r="865" spans="1:32" ht="105" x14ac:dyDescent="0.25">
      <c r="A865" s="107" t="s">
        <v>588</v>
      </c>
      <c r="B865" s="107" t="s">
        <v>2270</v>
      </c>
      <c r="C865" s="52"/>
      <c r="D865" s="52" t="s">
        <v>2301</v>
      </c>
      <c r="E865" s="22" t="str">
        <f t="shared" si="63"/>
        <v>SEJUSPPROG</v>
      </c>
      <c r="F865" s="116" t="s">
        <v>687</v>
      </c>
      <c r="G865" s="22" t="str">
        <f t="shared" si="64"/>
        <v>P705SEJUSP</v>
      </c>
      <c r="H865" s="52" t="s">
        <v>914</v>
      </c>
      <c r="I865" s="22" t="s">
        <v>16</v>
      </c>
      <c r="J865" s="107" t="s">
        <v>2207</v>
      </c>
      <c r="K865" s="22" t="str">
        <f>VLOOKUP(CONCATENATE(A865,LEFT(J865,4)),AGRUPAMENTO!$D$2:$E$6783,2,FALSE)</f>
        <v>PRODEMGE</v>
      </c>
      <c r="L865" s="52" t="s">
        <v>44</v>
      </c>
      <c r="M865" s="52"/>
      <c r="N865" s="52">
        <v>10</v>
      </c>
      <c r="O865" s="52" t="s">
        <v>3085</v>
      </c>
      <c r="P865" s="52" t="s">
        <v>46</v>
      </c>
      <c r="Q865" s="52" t="s">
        <v>4000</v>
      </c>
      <c r="R865" s="52">
        <v>1</v>
      </c>
      <c r="S865" s="52" t="s">
        <v>3937</v>
      </c>
      <c r="T865" s="88">
        <v>1039.5999999999999</v>
      </c>
      <c r="U865" s="53">
        <v>12</v>
      </c>
      <c r="V865" s="58">
        <f t="shared" si="62"/>
        <v>12475.199999999999</v>
      </c>
      <c r="W865" s="52" t="s">
        <v>49</v>
      </c>
      <c r="X865" s="52" t="s">
        <v>4825</v>
      </c>
      <c r="Y865" s="52" t="s">
        <v>4826</v>
      </c>
      <c r="Z865" s="52" t="s">
        <v>4827</v>
      </c>
      <c r="AA865" s="52">
        <v>0</v>
      </c>
      <c r="AB865" s="52">
        <v>0</v>
      </c>
      <c r="AC865" s="52">
        <v>0</v>
      </c>
      <c r="AD865" s="21">
        <v>0.74255988295180719</v>
      </c>
      <c r="AE865" s="54">
        <v>0.74255988295180719</v>
      </c>
      <c r="AF865" s="315">
        <f t="shared" si="65"/>
        <v>9263.5830518003841</v>
      </c>
    </row>
    <row r="866" spans="1:32" ht="105" x14ac:dyDescent="0.25">
      <c r="A866" s="107" t="s">
        <v>588</v>
      </c>
      <c r="B866" s="107" t="s">
        <v>2270</v>
      </c>
      <c r="C866" s="52"/>
      <c r="D866" s="52" t="s">
        <v>2301</v>
      </c>
      <c r="E866" s="22" t="str">
        <f t="shared" si="63"/>
        <v>SEJUSPPROG</v>
      </c>
      <c r="F866" s="120" t="s">
        <v>681</v>
      </c>
      <c r="G866" s="22" t="str">
        <f t="shared" si="64"/>
        <v>P129SEJUSP</v>
      </c>
      <c r="H866" s="52" t="s">
        <v>1015</v>
      </c>
      <c r="I866" s="22" t="s">
        <v>16</v>
      </c>
      <c r="J866" s="107" t="s">
        <v>2207</v>
      </c>
      <c r="K866" s="22" t="str">
        <f>VLOOKUP(CONCATENATE(A866,LEFT(J866,4)),AGRUPAMENTO!$D$2:$E$6783,2,FALSE)</f>
        <v>PRODEMGE</v>
      </c>
      <c r="L866" s="52" t="s">
        <v>44</v>
      </c>
      <c r="M866" s="52"/>
      <c r="N866" s="52">
        <v>60</v>
      </c>
      <c r="O866" s="52" t="s">
        <v>3083</v>
      </c>
      <c r="P866" s="52" t="s">
        <v>46</v>
      </c>
      <c r="Q866" s="52" t="s">
        <v>4000</v>
      </c>
      <c r="R866" s="52">
        <v>38</v>
      </c>
      <c r="S866" s="52" t="s">
        <v>3937</v>
      </c>
      <c r="T866" s="88">
        <v>80.5</v>
      </c>
      <c r="U866" s="53">
        <v>12</v>
      </c>
      <c r="V866" s="58">
        <f t="shared" si="62"/>
        <v>36708</v>
      </c>
      <c r="W866" s="52" t="s">
        <v>49</v>
      </c>
      <c r="X866" s="52" t="s">
        <v>4825</v>
      </c>
      <c r="Y866" s="52" t="s">
        <v>4826</v>
      </c>
      <c r="Z866" s="52" t="s">
        <v>4827</v>
      </c>
      <c r="AA866" s="52">
        <v>0</v>
      </c>
      <c r="AB866" s="52">
        <v>0</v>
      </c>
      <c r="AC866" s="52">
        <v>0</v>
      </c>
      <c r="AD866" s="21">
        <v>0.74255988295180719</v>
      </c>
      <c r="AE866" s="54">
        <v>0.74255988295180719</v>
      </c>
      <c r="AF866" s="315">
        <f t="shared" si="65"/>
        <v>27257.888183394938</v>
      </c>
    </row>
    <row r="867" spans="1:32" ht="105" x14ac:dyDescent="0.25">
      <c r="A867" s="107" t="s">
        <v>588</v>
      </c>
      <c r="B867" s="107" t="s">
        <v>2270</v>
      </c>
      <c r="C867" s="52"/>
      <c r="D867" s="52" t="s">
        <v>2301</v>
      </c>
      <c r="E867" s="22" t="str">
        <f t="shared" si="63"/>
        <v>SEJUSPPROG</v>
      </c>
      <c r="F867" s="120" t="s">
        <v>681</v>
      </c>
      <c r="G867" s="22" t="str">
        <f t="shared" si="64"/>
        <v>P129SEJUSP</v>
      </c>
      <c r="H867" s="52" t="s">
        <v>1015</v>
      </c>
      <c r="I867" s="22" t="s">
        <v>16</v>
      </c>
      <c r="J867" s="107" t="s">
        <v>2207</v>
      </c>
      <c r="K867" s="22" t="str">
        <f>VLOOKUP(CONCATENATE(A867,LEFT(J867,4)),AGRUPAMENTO!$D$2:$E$6783,2,FALSE)</f>
        <v>PRODEMGE</v>
      </c>
      <c r="L867" s="52" t="s">
        <v>44</v>
      </c>
      <c r="M867" s="52"/>
      <c r="N867" s="52">
        <v>60</v>
      </c>
      <c r="O867" s="52" t="s">
        <v>3084</v>
      </c>
      <c r="P867" s="52" t="s">
        <v>46</v>
      </c>
      <c r="Q867" s="52" t="s">
        <v>4000</v>
      </c>
      <c r="R867" s="52">
        <v>40</v>
      </c>
      <c r="S867" s="52" t="s">
        <v>3937</v>
      </c>
      <c r="T867" s="88">
        <v>188.6</v>
      </c>
      <c r="U867" s="53">
        <v>12</v>
      </c>
      <c r="V867" s="58">
        <f t="shared" si="62"/>
        <v>90528</v>
      </c>
      <c r="W867" s="52" t="s">
        <v>49</v>
      </c>
      <c r="X867" s="52" t="s">
        <v>4825</v>
      </c>
      <c r="Y867" s="52" t="s">
        <v>4826</v>
      </c>
      <c r="Z867" s="52" t="s">
        <v>4827</v>
      </c>
      <c r="AA867" s="52">
        <v>0</v>
      </c>
      <c r="AB867" s="52">
        <v>0</v>
      </c>
      <c r="AC867" s="52">
        <v>0</v>
      </c>
      <c r="AD867" s="21">
        <v>0.74255988295180719</v>
      </c>
      <c r="AE867" s="54">
        <v>0.74255988295180719</v>
      </c>
      <c r="AF867" s="315">
        <f t="shared" si="65"/>
        <v>67222.461083861199</v>
      </c>
    </row>
    <row r="868" spans="1:32" ht="105" x14ac:dyDescent="0.25">
      <c r="A868" s="107" t="s">
        <v>588</v>
      </c>
      <c r="B868" s="107" t="s">
        <v>2270</v>
      </c>
      <c r="C868" s="52"/>
      <c r="D868" s="52" t="s">
        <v>2301</v>
      </c>
      <c r="E868" s="22" t="str">
        <f t="shared" si="63"/>
        <v>SEJUSPPROG</v>
      </c>
      <c r="F868" s="120" t="s">
        <v>681</v>
      </c>
      <c r="G868" s="22" t="str">
        <f t="shared" si="64"/>
        <v>P129SEJUSP</v>
      </c>
      <c r="H868" s="52" t="s">
        <v>1015</v>
      </c>
      <c r="I868" s="22" t="s">
        <v>16</v>
      </c>
      <c r="J868" s="107" t="s">
        <v>2207</v>
      </c>
      <c r="K868" s="22" t="str">
        <f>VLOOKUP(CONCATENATE(A868,LEFT(J868,4)),AGRUPAMENTO!$D$2:$E$6783,2,FALSE)</f>
        <v>PRODEMGE</v>
      </c>
      <c r="L868" s="52" t="s">
        <v>44</v>
      </c>
      <c r="M868" s="52"/>
      <c r="N868" s="52">
        <v>60</v>
      </c>
      <c r="O868" s="52" t="s">
        <v>3085</v>
      </c>
      <c r="P868" s="52" t="s">
        <v>46</v>
      </c>
      <c r="Q868" s="52" t="s">
        <v>4000</v>
      </c>
      <c r="R868" s="52">
        <v>10</v>
      </c>
      <c r="S868" s="52" t="s">
        <v>3937</v>
      </c>
      <c r="T868" s="88">
        <v>443.9</v>
      </c>
      <c r="U868" s="53">
        <v>12</v>
      </c>
      <c r="V868" s="58">
        <f t="shared" si="62"/>
        <v>53268</v>
      </c>
      <c r="W868" s="52" t="s">
        <v>49</v>
      </c>
      <c r="X868" s="52" t="s">
        <v>4825</v>
      </c>
      <c r="Y868" s="52" t="s">
        <v>4826</v>
      </c>
      <c r="Z868" s="52" t="s">
        <v>4827</v>
      </c>
      <c r="AA868" s="52">
        <v>0</v>
      </c>
      <c r="AB868" s="52">
        <v>0</v>
      </c>
      <c r="AC868" s="52">
        <v>0</v>
      </c>
      <c r="AD868" s="21">
        <v>0.74255988295180719</v>
      </c>
      <c r="AE868" s="54">
        <v>0.74255988295180719</v>
      </c>
      <c r="AF868" s="315">
        <f t="shared" si="65"/>
        <v>39554.679845076862</v>
      </c>
    </row>
    <row r="869" spans="1:32" ht="105" x14ac:dyDescent="0.25">
      <c r="A869" s="107" t="s">
        <v>588</v>
      </c>
      <c r="B869" s="107" t="s">
        <v>2270</v>
      </c>
      <c r="C869" s="52"/>
      <c r="D869" s="52" t="s">
        <v>2301</v>
      </c>
      <c r="E869" s="22" t="str">
        <f t="shared" si="63"/>
        <v>SEJUSPPROG</v>
      </c>
      <c r="F869" s="120" t="s">
        <v>681</v>
      </c>
      <c r="G869" s="22" t="str">
        <f t="shared" si="64"/>
        <v>P129SEJUSP</v>
      </c>
      <c r="H869" s="52" t="s">
        <v>1015</v>
      </c>
      <c r="I869" s="22" t="s">
        <v>16</v>
      </c>
      <c r="J869" s="107" t="s">
        <v>2207</v>
      </c>
      <c r="K869" s="22" t="str">
        <f>VLOOKUP(CONCATENATE(A869,LEFT(J869,4)),AGRUPAMENTO!$D$2:$E$6783,2,FALSE)</f>
        <v>PRODEMGE</v>
      </c>
      <c r="L869" s="52" t="s">
        <v>44</v>
      </c>
      <c r="M869" s="52"/>
      <c r="N869" s="52">
        <v>60</v>
      </c>
      <c r="O869" s="52" t="s">
        <v>3085</v>
      </c>
      <c r="P869" s="52" t="s">
        <v>46</v>
      </c>
      <c r="Q869" s="52" t="s">
        <v>4000</v>
      </c>
      <c r="R869" s="52">
        <v>2</v>
      </c>
      <c r="S869" s="52" t="s">
        <v>3937</v>
      </c>
      <c r="T869" s="88">
        <v>668.15</v>
      </c>
      <c r="U869" s="53">
        <v>12</v>
      </c>
      <c r="V869" s="58">
        <f t="shared" si="62"/>
        <v>16035.599999999999</v>
      </c>
      <c r="W869" s="52" t="s">
        <v>49</v>
      </c>
      <c r="X869" s="52" t="s">
        <v>4825</v>
      </c>
      <c r="Y869" s="52" t="s">
        <v>4826</v>
      </c>
      <c r="Z869" s="52" t="s">
        <v>4827</v>
      </c>
      <c r="AA869" s="52">
        <v>0</v>
      </c>
      <c r="AB869" s="52">
        <v>0</v>
      </c>
      <c r="AC869" s="52">
        <v>0</v>
      </c>
      <c r="AD869" s="21">
        <v>0.74255988295180719</v>
      </c>
      <c r="AE869" s="54">
        <v>0.74255988295180719</v>
      </c>
      <c r="AF869" s="315">
        <f t="shared" si="65"/>
        <v>11907.393259061999</v>
      </c>
    </row>
    <row r="870" spans="1:32" ht="105" x14ac:dyDescent="0.25">
      <c r="A870" s="107" t="s">
        <v>588</v>
      </c>
      <c r="B870" s="107" t="s">
        <v>2270</v>
      </c>
      <c r="C870" s="52"/>
      <c r="D870" s="52" t="s">
        <v>2301</v>
      </c>
      <c r="E870" s="22" t="str">
        <f t="shared" si="63"/>
        <v>SEJUSPPROG</v>
      </c>
      <c r="F870" s="120" t="s">
        <v>681</v>
      </c>
      <c r="G870" s="22" t="str">
        <f t="shared" si="64"/>
        <v>P129SEJUSP</v>
      </c>
      <c r="H870" s="52" t="s">
        <v>1015</v>
      </c>
      <c r="I870" s="22" t="s">
        <v>16</v>
      </c>
      <c r="J870" s="107" t="s">
        <v>2207</v>
      </c>
      <c r="K870" s="22" t="str">
        <f>VLOOKUP(CONCATENATE(A870,LEFT(J870,4)),AGRUPAMENTO!$D$2:$E$6783,2,FALSE)</f>
        <v>PRODEMGE</v>
      </c>
      <c r="L870" s="52" t="s">
        <v>44</v>
      </c>
      <c r="M870" s="52"/>
      <c r="N870" s="52">
        <v>60</v>
      </c>
      <c r="O870" s="52" t="s">
        <v>3085</v>
      </c>
      <c r="P870" s="52" t="s">
        <v>46</v>
      </c>
      <c r="Q870" s="52" t="s">
        <v>4000</v>
      </c>
      <c r="R870" s="52">
        <v>4</v>
      </c>
      <c r="S870" s="52" t="s">
        <v>3937</v>
      </c>
      <c r="T870" s="88">
        <v>1039.5999999999999</v>
      </c>
      <c r="U870" s="53">
        <v>12</v>
      </c>
      <c r="V870" s="58">
        <f t="shared" si="62"/>
        <v>49900.799999999996</v>
      </c>
      <c r="W870" s="52" t="s">
        <v>49</v>
      </c>
      <c r="X870" s="52" t="s">
        <v>4825</v>
      </c>
      <c r="Y870" s="52" t="s">
        <v>4826</v>
      </c>
      <c r="Z870" s="52" t="s">
        <v>4827</v>
      </c>
      <c r="AA870" s="52">
        <v>0</v>
      </c>
      <c r="AB870" s="52">
        <v>0</v>
      </c>
      <c r="AC870" s="52">
        <v>0</v>
      </c>
      <c r="AD870" s="21">
        <v>0.74255988295180719</v>
      </c>
      <c r="AE870" s="54">
        <v>0.74255988295180719</v>
      </c>
      <c r="AF870" s="315">
        <f t="shared" si="65"/>
        <v>37054.332207201536</v>
      </c>
    </row>
    <row r="871" spans="1:32" ht="105" x14ac:dyDescent="0.25">
      <c r="A871" s="107" t="s">
        <v>588</v>
      </c>
      <c r="B871" s="107" t="s">
        <v>2270</v>
      </c>
      <c r="C871" s="52"/>
      <c r="D871" s="52" t="s">
        <v>2301</v>
      </c>
      <c r="E871" s="22" t="str">
        <f t="shared" si="63"/>
        <v>SEJUSPPROG</v>
      </c>
      <c r="F871" s="120" t="s">
        <v>681</v>
      </c>
      <c r="G871" s="22" t="str">
        <f t="shared" si="64"/>
        <v>P129SEJUSP</v>
      </c>
      <c r="H871" s="52" t="s">
        <v>1015</v>
      </c>
      <c r="I871" s="22" t="s">
        <v>16</v>
      </c>
      <c r="J871" s="107" t="s">
        <v>2207</v>
      </c>
      <c r="K871" s="22" t="str">
        <f>VLOOKUP(CONCATENATE(A871,LEFT(J871,4)),AGRUPAMENTO!$D$2:$E$6783,2,FALSE)</f>
        <v>PRODEMGE</v>
      </c>
      <c r="L871" s="52" t="s">
        <v>44</v>
      </c>
      <c r="M871" s="52"/>
      <c r="N871" s="52">
        <v>60</v>
      </c>
      <c r="O871" s="52" t="s">
        <v>3085</v>
      </c>
      <c r="P871" s="52" t="s">
        <v>46</v>
      </c>
      <c r="Q871" s="52" t="s">
        <v>4000</v>
      </c>
      <c r="R871" s="52">
        <v>37</v>
      </c>
      <c r="S871" s="52" t="s">
        <v>3937</v>
      </c>
      <c r="T871" s="88">
        <v>1185.6500000000001</v>
      </c>
      <c r="U871" s="53">
        <v>12</v>
      </c>
      <c r="V871" s="58">
        <f t="shared" si="62"/>
        <v>526428.60000000009</v>
      </c>
      <c r="W871" s="52" t="s">
        <v>49</v>
      </c>
      <c r="X871" s="52" t="s">
        <v>4825</v>
      </c>
      <c r="Y871" s="52" t="s">
        <v>4826</v>
      </c>
      <c r="Z871" s="52" t="s">
        <v>4827</v>
      </c>
      <c r="AA871" s="52">
        <v>0</v>
      </c>
      <c r="AB871" s="52">
        <v>0</v>
      </c>
      <c r="AC871" s="52">
        <v>0</v>
      </c>
      <c r="AD871" s="21">
        <v>0.74255988295180719</v>
      </c>
      <c r="AE871" s="54">
        <v>0.74255988295180719</v>
      </c>
      <c r="AF871" s="315">
        <f t="shared" si="65"/>
        <v>390904.7595984838</v>
      </c>
    </row>
    <row r="872" spans="1:32" ht="105" x14ac:dyDescent="0.25">
      <c r="A872" s="107" t="s">
        <v>588</v>
      </c>
      <c r="B872" s="107" t="s">
        <v>2270</v>
      </c>
      <c r="C872" s="52"/>
      <c r="D872" s="52" t="s">
        <v>2301</v>
      </c>
      <c r="E872" s="22" t="str">
        <f t="shared" si="63"/>
        <v>SEJUSPPROG</v>
      </c>
      <c r="F872" s="120" t="s">
        <v>681</v>
      </c>
      <c r="G872" s="22" t="str">
        <f t="shared" si="64"/>
        <v>P129SEJUSP</v>
      </c>
      <c r="H872" s="52" t="s">
        <v>1015</v>
      </c>
      <c r="I872" s="22" t="s">
        <v>16</v>
      </c>
      <c r="J872" s="107" t="s">
        <v>2207</v>
      </c>
      <c r="K872" s="22" t="str">
        <f>VLOOKUP(CONCATENATE(A872,LEFT(J872,4)),AGRUPAMENTO!$D$2:$E$6783,2,FALSE)</f>
        <v>PRODEMGE</v>
      </c>
      <c r="L872" s="52" t="s">
        <v>44</v>
      </c>
      <c r="M872" s="52"/>
      <c r="N872" s="52">
        <v>60</v>
      </c>
      <c r="O872" s="52" t="s">
        <v>3086</v>
      </c>
      <c r="P872" s="52" t="s">
        <v>46</v>
      </c>
      <c r="Q872" s="52" t="s">
        <v>4000</v>
      </c>
      <c r="R872" s="52">
        <v>20</v>
      </c>
      <c r="S872" s="52" t="s">
        <v>3937</v>
      </c>
      <c r="T872" s="88">
        <v>56.35</v>
      </c>
      <c r="U872" s="53">
        <v>12</v>
      </c>
      <c r="V872" s="58">
        <f t="shared" si="62"/>
        <v>13524</v>
      </c>
      <c r="W872" s="52" t="s">
        <v>49</v>
      </c>
      <c r="X872" s="52" t="s">
        <v>4825</v>
      </c>
      <c r="Y872" s="52" t="s">
        <v>4826</v>
      </c>
      <c r="Z872" s="52" t="s">
        <v>4827</v>
      </c>
      <c r="AA872" s="52">
        <v>0</v>
      </c>
      <c r="AB872" s="52">
        <v>0</v>
      </c>
      <c r="AC872" s="52">
        <v>0</v>
      </c>
      <c r="AD872" s="21">
        <v>0.74255988295180719</v>
      </c>
      <c r="AE872" s="54">
        <v>0.74255988295180719</v>
      </c>
      <c r="AF872" s="315">
        <f t="shared" si="65"/>
        <v>10042.37985704024</v>
      </c>
    </row>
    <row r="873" spans="1:32" ht="105" x14ac:dyDescent="0.25">
      <c r="A873" s="107" t="s">
        <v>588</v>
      </c>
      <c r="B873" s="107" t="s">
        <v>2270</v>
      </c>
      <c r="C873" s="52"/>
      <c r="D873" s="52" t="s">
        <v>2301</v>
      </c>
      <c r="E873" s="22" t="str">
        <f t="shared" si="63"/>
        <v>SEJUSPPROG</v>
      </c>
      <c r="F873" s="122" t="s">
        <v>886</v>
      </c>
      <c r="G873" s="22" t="str">
        <f t="shared" si="64"/>
        <v>P146SEJUSP</v>
      </c>
      <c r="H873" s="52" t="s">
        <v>1424</v>
      </c>
      <c r="I873" s="22" t="s">
        <v>16</v>
      </c>
      <c r="J873" s="107" t="s">
        <v>2207</v>
      </c>
      <c r="K873" s="22" t="str">
        <f>VLOOKUP(CONCATENATE(A873,LEFT(J873,4)),AGRUPAMENTO!$D$2:$E$6783,2,FALSE)</f>
        <v>PRODEMGE</v>
      </c>
      <c r="L873" s="52" t="s">
        <v>44</v>
      </c>
      <c r="M873" s="52"/>
      <c r="N873" s="52">
        <v>10</v>
      </c>
      <c r="O873" s="52" t="s">
        <v>3083</v>
      </c>
      <c r="P873" s="52" t="s">
        <v>46</v>
      </c>
      <c r="Q873" s="52" t="s">
        <v>4000</v>
      </c>
      <c r="R873" s="52">
        <v>26</v>
      </c>
      <c r="S873" s="52" t="s">
        <v>3937</v>
      </c>
      <c r="T873" s="88">
        <v>80.5</v>
      </c>
      <c r="U873" s="53">
        <v>12</v>
      </c>
      <c r="V873" s="58">
        <f t="shared" si="62"/>
        <v>25116</v>
      </c>
      <c r="W873" s="52" t="s">
        <v>49</v>
      </c>
      <c r="X873" s="52" t="s">
        <v>4825</v>
      </c>
      <c r="Y873" s="52" t="s">
        <v>4826</v>
      </c>
      <c r="Z873" s="52" t="s">
        <v>4827</v>
      </c>
      <c r="AA873" s="52">
        <v>0</v>
      </c>
      <c r="AB873" s="52">
        <v>0</v>
      </c>
      <c r="AC873" s="52">
        <v>0</v>
      </c>
      <c r="AD873" s="21">
        <v>0.74255988295180719</v>
      </c>
      <c r="AE873" s="54">
        <v>0.74255988295180719</v>
      </c>
      <c r="AF873" s="315">
        <f t="shared" si="65"/>
        <v>18650.134020217589</v>
      </c>
    </row>
    <row r="874" spans="1:32" ht="105" x14ac:dyDescent="0.25">
      <c r="A874" s="107" t="s">
        <v>588</v>
      </c>
      <c r="B874" s="107" t="s">
        <v>2270</v>
      </c>
      <c r="C874" s="52"/>
      <c r="D874" s="52" t="s">
        <v>2301</v>
      </c>
      <c r="E874" s="22" t="str">
        <f t="shared" si="63"/>
        <v>SEJUSPPROG</v>
      </c>
      <c r="F874" s="122" t="s">
        <v>886</v>
      </c>
      <c r="G874" s="22" t="str">
        <f t="shared" si="64"/>
        <v>P146SEJUSP</v>
      </c>
      <c r="H874" s="52" t="s">
        <v>1424</v>
      </c>
      <c r="I874" s="22" t="s">
        <v>16</v>
      </c>
      <c r="J874" s="107" t="s">
        <v>2207</v>
      </c>
      <c r="K874" s="22" t="str">
        <f>VLOOKUP(CONCATENATE(A874,LEFT(J874,4)),AGRUPAMENTO!$D$2:$E$6783,2,FALSE)</f>
        <v>PRODEMGE</v>
      </c>
      <c r="L874" s="52" t="s">
        <v>44</v>
      </c>
      <c r="M874" s="52"/>
      <c r="N874" s="52">
        <v>10</v>
      </c>
      <c r="O874" s="52" t="s">
        <v>3084</v>
      </c>
      <c r="P874" s="52" t="s">
        <v>46</v>
      </c>
      <c r="Q874" s="52" t="s">
        <v>4000</v>
      </c>
      <c r="R874" s="52">
        <v>26</v>
      </c>
      <c r="S874" s="52" t="s">
        <v>3937</v>
      </c>
      <c r="T874" s="88">
        <v>188.6</v>
      </c>
      <c r="U874" s="53">
        <v>12</v>
      </c>
      <c r="V874" s="58">
        <f t="shared" si="62"/>
        <v>58843.199999999997</v>
      </c>
      <c r="W874" s="52" t="s">
        <v>49</v>
      </c>
      <c r="X874" s="52" t="s">
        <v>4825</v>
      </c>
      <c r="Y874" s="52" t="s">
        <v>4826</v>
      </c>
      <c r="Z874" s="52" t="s">
        <v>4827</v>
      </c>
      <c r="AA874" s="52">
        <v>0</v>
      </c>
      <c r="AB874" s="52">
        <v>0</v>
      </c>
      <c r="AC874" s="52">
        <v>0</v>
      </c>
      <c r="AD874" s="21">
        <v>0.74255988295180719</v>
      </c>
      <c r="AE874" s="54">
        <v>0.74255988295180719</v>
      </c>
      <c r="AF874" s="315">
        <f t="shared" si="65"/>
        <v>43694.599704509776</v>
      </c>
    </row>
    <row r="875" spans="1:32" ht="105" x14ac:dyDescent="0.25">
      <c r="A875" s="107" t="s">
        <v>588</v>
      </c>
      <c r="B875" s="107" t="s">
        <v>2270</v>
      </c>
      <c r="C875" s="52"/>
      <c r="D875" s="52" t="s">
        <v>2301</v>
      </c>
      <c r="E875" s="22" t="str">
        <f t="shared" si="63"/>
        <v>SEJUSPPROG</v>
      </c>
      <c r="F875" s="122" t="s">
        <v>886</v>
      </c>
      <c r="G875" s="22" t="str">
        <f t="shared" si="64"/>
        <v>P146SEJUSP</v>
      </c>
      <c r="H875" s="52" t="s">
        <v>1424</v>
      </c>
      <c r="I875" s="22" t="s">
        <v>16</v>
      </c>
      <c r="J875" s="107" t="s">
        <v>2207</v>
      </c>
      <c r="K875" s="22" t="str">
        <f>VLOOKUP(CONCATENATE(A875,LEFT(J875,4)),AGRUPAMENTO!$D$2:$E$6783,2,FALSE)</f>
        <v>PRODEMGE</v>
      </c>
      <c r="L875" s="52" t="s">
        <v>44</v>
      </c>
      <c r="M875" s="52"/>
      <c r="N875" s="52">
        <v>10</v>
      </c>
      <c r="O875" s="52" t="s">
        <v>3085</v>
      </c>
      <c r="P875" s="52" t="s">
        <v>46</v>
      </c>
      <c r="Q875" s="52" t="s">
        <v>4000</v>
      </c>
      <c r="R875" s="52">
        <v>14</v>
      </c>
      <c r="S875" s="52" t="s">
        <v>3937</v>
      </c>
      <c r="T875" s="88">
        <v>1185.6500000000001</v>
      </c>
      <c r="U875" s="53">
        <v>12</v>
      </c>
      <c r="V875" s="58">
        <f t="shared" si="62"/>
        <v>199189.2</v>
      </c>
      <c r="W875" s="52" t="s">
        <v>49</v>
      </c>
      <c r="X875" s="52" t="s">
        <v>4825</v>
      </c>
      <c r="Y875" s="52" t="s">
        <v>4826</v>
      </c>
      <c r="Z875" s="52" t="s">
        <v>4827</v>
      </c>
      <c r="AA875" s="52">
        <v>0</v>
      </c>
      <c r="AB875" s="52">
        <v>0</v>
      </c>
      <c r="AC875" s="52">
        <v>0</v>
      </c>
      <c r="AD875" s="21">
        <v>0.74255988295180719</v>
      </c>
      <c r="AE875" s="54">
        <v>0.74255988295180719</v>
      </c>
      <c r="AF875" s="315">
        <f t="shared" si="65"/>
        <v>147909.90903726412</v>
      </c>
    </row>
    <row r="876" spans="1:32" ht="105" x14ac:dyDescent="0.25">
      <c r="A876" s="107" t="s">
        <v>588</v>
      </c>
      <c r="B876" s="107" t="s">
        <v>2270</v>
      </c>
      <c r="C876" s="52"/>
      <c r="D876" s="52" t="s">
        <v>2301</v>
      </c>
      <c r="E876" s="22" t="str">
        <f t="shared" si="63"/>
        <v>SEJUSPPROG</v>
      </c>
      <c r="F876" s="122" t="s">
        <v>886</v>
      </c>
      <c r="G876" s="22" t="str">
        <f t="shared" si="64"/>
        <v>P146SEJUSP</v>
      </c>
      <c r="H876" s="52" t="s">
        <v>1424</v>
      </c>
      <c r="I876" s="22" t="s">
        <v>16</v>
      </c>
      <c r="J876" s="107" t="s">
        <v>2207</v>
      </c>
      <c r="K876" s="22" t="str">
        <f>VLOOKUP(CONCATENATE(A876,LEFT(J876,4)),AGRUPAMENTO!$D$2:$E$6783,2,FALSE)</f>
        <v>PRODEMGE</v>
      </c>
      <c r="L876" s="52" t="s">
        <v>44</v>
      </c>
      <c r="M876" s="52"/>
      <c r="N876" s="52">
        <v>10</v>
      </c>
      <c r="O876" s="52" t="s">
        <v>3086</v>
      </c>
      <c r="P876" s="52" t="s">
        <v>46</v>
      </c>
      <c r="Q876" s="52" t="s">
        <v>4000</v>
      </c>
      <c r="R876" s="52">
        <v>88</v>
      </c>
      <c r="S876" s="52" t="s">
        <v>3937</v>
      </c>
      <c r="T876" s="88">
        <v>56.35</v>
      </c>
      <c r="U876" s="53">
        <v>12</v>
      </c>
      <c r="V876" s="58">
        <f t="shared" si="62"/>
        <v>59505.600000000006</v>
      </c>
      <c r="W876" s="52" t="s">
        <v>49</v>
      </c>
      <c r="X876" s="52" t="s">
        <v>4825</v>
      </c>
      <c r="Y876" s="52" t="s">
        <v>4826</v>
      </c>
      <c r="Z876" s="52" t="s">
        <v>4827</v>
      </c>
      <c r="AA876" s="52">
        <v>0</v>
      </c>
      <c r="AB876" s="52">
        <v>0</v>
      </c>
      <c r="AC876" s="52">
        <v>0</v>
      </c>
      <c r="AD876" s="21">
        <v>0.74255988295180719</v>
      </c>
      <c r="AE876" s="54">
        <v>0.74255988295180719</v>
      </c>
      <c r="AF876" s="315">
        <f t="shared" si="65"/>
        <v>44186.471370977066</v>
      </c>
    </row>
    <row r="877" spans="1:32" ht="105" x14ac:dyDescent="0.25">
      <c r="A877" s="107" t="s">
        <v>588</v>
      </c>
      <c r="B877" s="107" t="s">
        <v>2270</v>
      </c>
      <c r="C877" s="52"/>
      <c r="D877" s="52" t="s">
        <v>2301</v>
      </c>
      <c r="E877" s="22" t="str">
        <f t="shared" si="63"/>
        <v>SEJUSPPROG</v>
      </c>
      <c r="F877" s="52" t="s">
        <v>705</v>
      </c>
      <c r="G877" s="22" t="str">
        <f t="shared" si="64"/>
        <v>P134SEJUSP</v>
      </c>
      <c r="H877" s="52" t="s">
        <v>1356</v>
      </c>
      <c r="I877" s="22" t="s">
        <v>16</v>
      </c>
      <c r="J877" s="107" t="s">
        <v>2207</v>
      </c>
      <c r="K877" s="22" t="str">
        <f>VLOOKUP(CONCATENATE(A877,LEFT(J877,4)),AGRUPAMENTO!$D$2:$E$6783,2,FALSE)</f>
        <v>PRODEMGE</v>
      </c>
      <c r="L877" s="52" t="s">
        <v>44</v>
      </c>
      <c r="M877" s="52"/>
      <c r="N877" s="52">
        <v>10</v>
      </c>
      <c r="O877" s="52" t="s">
        <v>3083</v>
      </c>
      <c r="P877" s="52" t="s">
        <v>46</v>
      </c>
      <c r="Q877" s="52" t="s">
        <v>4000</v>
      </c>
      <c r="R877" s="52">
        <v>4</v>
      </c>
      <c r="S877" s="52" t="s">
        <v>3937</v>
      </c>
      <c r="T877" s="88">
        <v>80.5</v>
      </c>
      <c r="U877" s="53">
        <v>12</v>
      </c>
      <c r="V877" s="58">
        <f t="shared" si="62"/>
        <v>3864</v>
      </c>
      <c r="W877" s="52" t="s">
        <v>49</v>
      </c>
      <c r="X877" s="52" t="s">
        <v>4825</v>
      </c>
      <c r="Y877" s="52" t="s">
        <v>4826</v>
      </c>
      <c r="Z877" s="52" t="s">
        <v>4827</v>
      </c>
      <c r="AA877" s="52">
        <v>0</v>
      </c>
      <c r="AB877" s="52">
        <v>0</v>
      </c>
      <c r="AC877" s="52">
        <v>0</v>
      </c>
      <c r="AD877" s="21">
        <v>0.74255988295180719</v>
      </c>
      <c r="AE877" s="54">
        <v>0.74255988295180719</v>
      </c>
      <c r="AF877" s="315">
        <f t="shared" si="65"/>
        <v>2869.2513877257829</v>
      </c>
    </row>
    <row r="878" spans="1:32" ht="105" x14ac:dyDescent="0.25">
      <c r="A878" s="107" t="s">
        <v>588</v>
      </c>
      <c r="B878" s="107" t="s">
        <v>2270</v>
      </c>
      <c r="C878" s="52"/>
      <c r="D878" s="52" t="s">
        <v>2301</v>
      </c>
      <c r="E878" s="22" t="str">
        <f t="shared" si="63"/>
        <v>SEJUSPPROG</v>
      </c>
      <c r="F878" s="52" t="s">
        <v>705</v>
      </c>
      <c r="G878" s="22" t="str">
        <f t="shared" si="64"/>
        <v>P134SEJUSP</v>
      </c>
      <c r="H878" s="52" t="s">
        <v>1356</v>
      </c>
      <c r="I878" s="22" t="s">
        <v>16</v>
      </c>
      <c r="J878" s="107" t="s">
        <v>2207</v>
      </c>
      <c r="K878" s="22" t="str">
        <f>VLOOKUP(CONCATENATE(A878,LEFT(J878,4)),AGRUPAMENTO!$D$2:$E$6783,2,FALSE)</f>
        <v>PRODEMGE</v>
      </c>
      <c r="L878" s="52" t="s">
        <v>44</v>
      </c>
      <c r="M878" s="52"/>
      <c r="N878" s="52">
        <v>10</v>
      </c>
      <c r="O878" s="52" t="s">
        <v>3084</v>
      </c>
      <c r="P878" s="52" t="s">
        <v>46</v>
      </c>
      <c r="Q878" s="52" t="s">
        <v>4000</v>
      </c>
      <c r="R878" s="52">
        <v>4</v>
      </c>
      <c r="S878" s="52" t="s">
        <v>3937</v>
      </c>
      <c r="T878" s="88">
        <v>188.6</v>
      </c>
      <c r="U878" s="53">
        <v>12</v>
      </c>
      <c r="V878" s="58">
        <f t="shared" si="62"/>
        <v>9052.7999999999993</v>
      </c>
      <c r="W878" s="52" t="s">
        <v>49</v>
      </c>
      <c r="X878" s="52" t="s">
        <v>4825</v>
      </c>
      <c r="Y878" s="52" t="s">
        <v>4826</v>
      </c>
      <c r="Z878" s="52" t="s">
        <v>4827</v>
      </c>
      <c r="AA878" s="52">
        <v>0</v>
      </c>
      <c r="AB878" s="52">
        <v>0</v>
      </c>
      <c r="AC878" s="52">
        <v>0</v>
      </c>
      <c r="AD878" s="21">
        <v>0.74255988295180719</v>
      </c>
      <c r="AE878" s="54">
        <v>0.74255988295180719</v>
      </c>
      <c r="AF878" s="315">
        <f t="shared" si="65"/>
        <v>6722.2461083861199</v>
      </c>
    </row>
    <row r="879" spans="1:32" ht="105" x14ac:dyDescent="0.25">
      <c r="A879" s="107" t="s">
        <v>588</v>
      </c>
      <c r="B879" s="107" t="s">
        <v>2270</v>
      </c>
      <c r="C879" s="52"/>
      <c r="D879" s="52" t="s">
        <v>2301</v>
      </c>
      <c r="E879" s="22" t="str">
        <f t="shared" si="63"/>
        <v>SEJUSPPROG</v>
      </c>
      <c r="F879" s="52" t="s">
        <v>705</v>
      </c>
      <c r="G879" s="22" t="str">
        <f t="shared" si="64"/>
        <v>P134SEJUSP</v>
      </c>
      <c r="H879" s="52" t="s">
        <v>1356</v>
      </c>
      <c r="I879" s="22" t="s">
        <v>16</v>
      </c>
      <c r="J879" s="107" t="s">
        <v>2207</v>
      </c>
      <c r="K879" s="22" t="str">
        <f>VLOOKUP(CONCATENATE(A879,LEFT(J879,4)),AGRUPAMENTO!$D$2:$E$6783,2,FALSE)</f>
        <v>PRODEMGE</v>
      </c>
      <c r="L879" s="52" t="s">
        <v>44</v>
      </c>
      <c r="M879" s="52"/>
      <c r="N879" s="52">
        <v>10</v>
      </c>
      <c r="O879" s="52" t="s">
        <v>3085</v>
      </c>
      <c r="P879" s="52" t="s">
        <v>46</v>
      </c>
      <c r="Q879" s="52" t="s">
        <v>4000</v>
      </c>
      <c r="R879" s="52">
        <v>4</v>
      </c>
      <c r="S879" s="52" t="s">
        <v>3937</v>
      </c>
      <c r="T879" s="88">
        <v>1185.6500000000001</v>
      </c>
      <c r="U879" s="53">
        <v>12</v>
      </c>
      <c r="V879" s="58">
        <f t="shared" si="62"/>
        <v>56911.200000000004</v>
      </c>
      <c r="W879" s="52" t="s">
        <v>49</v>
      </c>
      <c r="X879" s="52" t="s">
        <v>4825</v>
      </c>
      <c r="Y879" s="52" t="s">
        <v>4826</v>
      </c>
      <c r="Z879" s="52" t="s">
        <v>4827</v>
      </c>
      <c r="AA879" s="52">
        <v>0</v>
      </c>
      <c r="AB879" s="52">
        <v>0</v>
      </c>
      <c r="AC879" s="52">
        <v>0</v>
      </c>
      <c r="AD879" s="21">
        <v>0.74255988295180719</v>
      </c>
      <c r="AE879" s="54">
        <v>0.74255988295180719</v>
      </c>
      <c r="AF879" s="315">
        <f t="shared" si="65"/>
        <v>42259.974010646896</v>
      </c>
    </row>
    <row r="880" spans="1:32" ht="105" x14ac:dyDescent="0.25">
      <c r="A880" s="107" t="s">
        <v>588</v>
      </c>
      <c r="B880" s="107" t="s">
        <v>2270</v>
      </c>
      <c r="C880" s="52"/>
      <c r="D880" s="52" t="s">
        <v>2301</v>
      </c>
      <c r="E880" s="22" t="str">
        <f t="shared" si="63"/>
        <v>SEJUSPPROG</v>
      </c>
      <c r="F880" s="52" t="s">
        <v>705</v>
      </c>
      <c r="G880" s="22" t="str">
        <f t="shared" si="64"/>
        <v>P134SEJUSP</v>
      </c>
      <c r="H880" s="52" t="s">
        <v>1356</v>
      </c>
      <c r="I880" s="22" t="s">
        <v>16</v>
      </c>
      <c r="J880" s="107" t="s">
        <v>2207</v>
      </c>
      <c r="K880" s="22" t="str">
        <f>VLOOKUP(CONCATENATE(A880,LEFT(J880,4)),AGRUPAMENTO!$D$2:$E$6783,2,FALSE)</f>
        <v>PRODEMGE</v>
      </c>
      <c r="L880" s="52" t="s">
        <v>44</v>
      </c>
      <c r="M880" s="52"/>
      <c r="N880" s="52">
        <v>10</v>
      </c>
      <c r="O880" s="52" t="s">
        <v>3086</v>
      </c>
      <c r="P880" s="52" t="s">
        <v>46</v>
      </c>
      <c r="Q880" s="52" t="s">
        <v>4000</v>
      </c>
      <c r="R880" s="52">
        <v>41</v>
      </c>
      <c r="S880" s="52" t="s">
        <v>3937</v>
      </c>
      <c r="T880" s="88">
        <v>56.35</v>
      </c>
      <c r="U880" s="53">
        <v>12</v>
      </c>
      <c r="V880" s="58">
        <f t="shared" si="62"/>
        <v>27724.199999999997</v>
      </c>
      <c r="W880" s="52" t="s">
        <v>49</v>
      </c>
      <c r="X880" s="52" t="s">
        <v>4825</v>
      </c>
      <c r="Y880" s="52" t="s">
        <v>4826</v>
      </c>
      <c r="Z880" s="52" t="s">
        <v>4827</v>
      </c>
      <c r="AA880" s="52">
        <v>0</v>
      </c>
      <c r="AB880" s="52">
        <v>0</v>
      </c>
      <c r="AC880" s="52">
        <v>0</v>
      </c>
      <c r="AD880" s="21">
        <v>0.74255988295180719</v>
      </c>
      <c r="AE880" s="54">
        <v>0.74255988295180719</v>
      </c>
      <c r="AF880" s="315">
        <f t="shared" si="65"/>
        <v>20586.87870693249</v>
      </c>
    </row>
    <row r="881" spans="1:32" ht="105" x14ac:dyDescent="0.25">
      <c r="A881" s="107" t="s">
        <v>588</v>
      </c>
      <c r="B881" s="107" t="s">
        <v>2270</v>
      </c>
      <c r="C881" s="52"/>
      <c r="D881" s="52" t="s">
        <v>2301</v>
      </c>
      <c r="E881" s="22" t="str">
        <f t="shared" si="63"/>
        <v>SEJUSPPROG</v>
      </c>
      <c r="F881" s="52" t="s">
        <v>729</v>
      </c>
      <c r="G881" s="22" t="str">
        <f t="shared" si="64"/>
        <v>P130SEJUSP</v>
      </c>
      <c r="H881" s="52" t="s">
        <v>1183</v>
      </c>
      <c r="I881" s="22" t="s">
        <v>16</v>
      </c>
      <c r="J881" s="107" t="s">
        <v>2207</v>
      </c>
      <c r="K881" s="22" t="str">
        <f>VLOOKUP(CONCATENATE(A881,LEFT(J881,4)),AGRUPAMENTO!$D$2:$E$6783,2,FALSE)</f>
        <v>PRODEMGE</v>
      </c>
      <c r="L881" s="52" t="s">
        <v>44</v>
      </c>
      <c r="M881" s="52"/>
      <c r="N881" s="52">
        <v>60</v>
      </c>
      <c r="O881" s="52" t="s">
        <v>3083</v>
      </c>
      <c r="P881" s="52" t="s">
        <v>46</v>
      </c>
      <c r="Q881" s="52" t="s">
        <v>4000</v>
      </c>
      <c r="R881" s="52">
        <v>228</v>
      </c>
      <c r="S881" s="52" t="s">
        <v>3937</v>
      </c>
      <c r="T881" s="88">
        <v>80.5</v>
      </c>
      <c r="U881" s="53">
        <v>12</v>
      </c>
      <c r="V881" s="58">
        <f t="shared" si="62"/>
        <v>220248</v>
      </c>
      <c r="W881" s="52" t="s">
        <v>49</v>
      </c>
      <c r="X881" s="52" t="s">
        <v>4825</v>
      </c>
      <c r="Y881" s="52" t="s">
        <v>4826</v>
      </c>
      <c r="Z881" s="52" t="s">
        <v>4827</v>
      </c>
      <c r="AA881" s="52">
        <v>0</v>
      </c>
      <c r="AB881" s="52">
        <v>0</v>
      </c>
      <c r="AC881" s="52">
        <v>0</v>
      </c>
      <c r="AD881" s="21">
        <v>0.74255988295180719</v>
      </c>
      <c r="AE881" s="54">
        <v>0.74255988295180719</v>
      </c>
      <c r="AF881" s="315">
        <f t="shared" si="65"/>
        <v>163547.32910036962</v>
      </c>
    </row>
    <row r="882" spans="1:32" ht="105" x14ac:dyDescent="0.25">
      <c r="A882" s="107" t="s">
        <v>588</v>
      </c>
      <c r="B882" s="107" t="s">
        <v>2270</v>
      </c>
      <c r="C882" s="52"/>
      <c r="D882" s="52" t="s">
        <v>2301</v>
      </c>
      <c r="E882" s="22" t="str">
        <f t="shared" si="63"/>
        <v>SEJUSPPROG</v>
      </c>
      <c r="F882" s="52" t="s">
        <v>729</v>
      </c>
      <c r="G882" s="22" t="str">
        <f t="shared" si="64"/>
        <v>P130SEJUSP</v>
      </c>
      <c r="H882" s="52" t="s">
        <v>1183</v>
      </c>
      <c r="I882" s="22" t="s">
        <v>16</v>
      </c>
      <c r="J882" s="107" t="s">
        <v>2207</v>
      </c>
      <c r="K882" s="22" t="str">
        <f>VLOOKUP(CONCATENATE(A882,LEFT(J882,4)),AGRUPAMENTO!$D$2:$E$6783,2,FALSE)</f>
        <v>PRODEMGE</v>
      </c>
      <c r="L882" s="52" t="s">
        <v>44</v>
      </c>
      <c r="M882" s="52"/>
      <c r="N882" s="52">
        <v>60</v>
      </c>
      <c r="O882" s="52" t="s">
        <v>3084</v>
      </c>
      <c r="P882" s="52" t="s">
        <v>46</v>
      </c>
      <c r="Q882" s="52" t="s">
        <v>4000</v>
      </c>
      <c r="R882" s="52">
        <v>228</v>
      </c>
      <c r="S882" s="52" t="s">
        <v>3937</v>
      </c>
      <c r="T882" s="88">
        <v>188.6</v>
      </c>
      <c r="U882" s="53">
        <v>12</v>
      </c>
      <c r="V882" s="58">
        <f t="shared" si="62"/>
        <v>516009.6</v>
      </c>
      <c r="W882" s="52" t="s">
        <v>49</v>
      </c>
      <c r="X882" s="52" t="s">
        <v>4825</v>
      </c>
      <c r="Y882" s="52" t="s">
        <v>4826</v>
      </c>
      <c r="Z882" s="52" t="s">
        <v>4827</v>
      </c>
      <c r="AA882" s="52">
        <v>0</v>
      </c>
      <c r="AB882" s="52">
        <v>0</v>
      </c>
      <c r="AC882" s="52">
        <v>0</v>
      </c>
      <c r="AD882" s="21">
        <v>0.74255988295180719</v>
      </c>
      <c r="AE882" s="54">
        <v>0.74255988295180719</v>
      </c>
      <c r="AF882" s="315">
        <f t="shared" si="65"/>
        <v>383168.02817800886</v>
      </c>
    </row>
    <row r="883" spans="1:32" ht="105" x14ac:dyDescent="0.25">
      <c r="A883" s="107" t="s">
        <v>588</v>
      </c>
      <c r="B883" s="107" t="s">
        <v>2270</v>
      </c>
      <c r="C883" s="52"/>
      <c r="D883" s="52" t="s">
        <v>2301</v>
      </c>
      <c r="E883" s="22" t="str">
        <f t="shared" si="63"/>
        <v>SEJUSPPROG</v>
      </c>
      <c r="F883" s="52" t="s">
        <v>729</v>
      </c>
      <c r="G883" s="22" t="str">
        <f t="shared" si="64"/>
        <v>P130SEJUSP</v>
      </c>
      <c r="H883" s="52" t="s">
        <v>1183</v>
      </c>
      <c r="I883" s="22" t="s">
        <v>16</v>
      </c>
      <c r="J883" s="107" t="s">
        <v>2207</v>
      </c>
      <c r="K883" s="22" t="str">
        <f>VLOOKUP(CONCATENATE(A883,LEFT(J883,4)),AGRUPAMENTO!$D$2:$E$6783,2,FALSE)</f>
        <v>PRODEMGE</v>
      </c>
      <c r="L883" s="52" t="s">
        <v>44</v>
      </c>
      <c r="M883" s="52"/>
      <c r="N883" s="52">
        <v>60</v>
      </c>
      <c r="O883" s="52" t="s">
        <v>3085</v>
      </c>
      <c r="P883" s="52" t="s">
        <v>46</v>
      </c>
      <c r="Q883" s="52" t="s">
        <v>4000</v>
      </c>
      <c r="R883" s="52">
        <v>8</v>
      </c>
      <c r="S883" s="52" t="s">
        <v>3937</v>
      </c>
      <c r="T883" s="88">
        <v>668.15</v>
      </c>
      <c r="U883" s="53">
        <v>12</v>
      </c>
      <c r="V883" s="58">
        <f t="shared" si="62"/>
        <v>64142.399999999994</v>
      </c>
      <c r="W883" s="52" t="s">
        <v>49</v>
      </c>
      <c r="X883" s="52" t="s">
        <v>4825</v>
      </c>
      <c r="Y883" s="52" t="s">
        <v>4826</v>
      </c>
      <c r="Z883" s="52" t="s">
        <v>4827</v>
      </c>
      <c r="AA883" s="52">
        <v>0</v>
      </c>
      <c r="AB883" s="52">
        <v>0</v>
      </c>
      <c r="AC883" s="52">
        <v>0</v>
      </c>
      <c r="AD883" s="21">
        <v>0.74255988295180719</v>
      </c>
      <c r="AE883" s="54">
        <v>0.74255988295180719</v>
      </c>
      <c r="AF883" s="315">
        <f t="shared" si="65"/>
        <v>47629.573036247995</v>
      </c>
    </row>
    <row r="884" spans="1:32" ht="105" x14ac:dyDescent="0.25">
      <c r="A884" s="107" t="s">
        <v>588</v>
      </c>
      <c r="B884" s="107" t="s">
        <v>2270</v>
      </c>
      <c r="C884" s="52"/>
      <c r="D884" s="52" t="s">
        <v>2301</v>
      </c>
      <c r="E884" s="22" t="str">
        <f t="shared" si="63"/>
        <v>SEJUSPPROG</v>
      </c>
      <c r="F884" s="52" t="s">
        <v>729</v>
      </c>
      <c r="G884" s="22" t="str">
        <f t="shared" si="64"/>
        <v>P130SEJUSP</v>
      </c>
      <c r="H884" s="52" t="s">
        <v>1183</v>
      </c>
      <c r="I884" s="22" t="s">
        <v>16</v>
      </c>
      <c r="J884" s="107" t="s">
        <v>2207</v>
      </c>
      <c r="K884" s="22" t="str">
        <f>VLOOKUP(CONCATENATE(A884,LEFT(J884,4)),AGRUPAMENTO!$D$2:$E$6783,2,FALSE)</f>
        <v>PRODEMGE</v>
      </c>
      <c r="L884" s="52" t="s">
        <v>44</v>
      </c>
      <c r="M884" s="52"/>
      <c r="N884" s="52">
        <v>60</v>
      </c>
      <c r="O884" s="52" t="s">
        <v>3085</v>
      </c>
      <c r="P884" s="52" t="s">
        <v>46</v>
      </c>
      <c r="Q884" s="52" t="s">
        <v>4000</v>
      </c>
      <c r="R884" s="52">
        <v>18</v>
      </c>
      <c r="S884" s="52" t="s">
        <v>3937</v>
      </c>
      <c r="T884" s="88">
        <v>1039.5999999999999</v>
      </c>
      <c r="U884" s="53">
        <v>12</v>
      </c>
      <c r="V884" s="58">
        <f t="shared" si="62"/>
        <v>224553.59999999998</v>
      </c>
      <c r="W884" s="52" t="s">
        <v>49</v>
      </c>
      <c r="X884" s="52" t="s">
        <v>4825</v>
      </c>
      <c r="Y884" s="52" t="s">
        <v>4826</v>
      </c>
      <c r="Z884" s="52" t="s">
        <v>4827</v>
      </c>
      <c r="AA884" s="52">
        <v>0</v>
      </c>
      <c r="AB884" s="52">
        <v>0</v>
      </c>
      <c r="AC884" s="52">
        <v>0</v>
      </c>
      <c r="AD884" s="21">
        <v>0.74255988295180719</v>
      </c>
      <c r="AE884" s="54">
        <v>0.74255988295180719</v>
      </c>
      <c r="AF884" s="315">
        <f t="shared" si="65"/>
        <v>166744.4949324069</v>
      </c>
    </row>
    <row r="885" spans="1:32" ht="105" x14ac:dyDescent="0.25">
      <c r="A885" s="107" t="s">
        <v>588</v>
      </c>
      <c r="B885" s="107" t="s">
        <v>2270</v>
      </c>
      <c r="C885" s="52"/>
      <c r="D885" s="52" t="s">
        <v>2301</v>
      </c>
      <c r="E885" s="22" t="str">
        <f t="shared" si="63"/>
        <v>SEJUSPPROG</v>
      </c>
      <c r="F885" s="52" t="s">
        <v>729</v>
      </c>
      <c r="G885" s="22" t="str">
        <f t="shared" si="64"/>
        <v>P130SEJUSP</v>
      </c>
      <c r="H885" s="52" t="s">
        <v>1183</v>
      </c>
      <c r="I885" s="22" t="s">
        <v>16</v>
      </c>
      <c r="J885" s="107" t="s">
        <v>2207</v>
      </c>
      <c r="K885" s="22" t="str">
        <f>VLOOKUP(CONCATENATE(A885,LEFT(J885,4)),AGRUPAMENTO!$D$2:$E$6783,2,FALSE)</f>
        <v>PRODEMGE</v>
      </c>
      <c r="L885" s="52" t="s">
        <v>44</v>
      </c>
      <c r="M885" s="52"/>
      <c r="N885" s="52">
        <v>60</v>
      </c>
      <c r="O885" s="52" t="s">
        <v>3085</v>
      </c>
      <c r="P885" s="52" t="s">
        <v>46</v>
      </c>
      <c r="Q885" s="52" t="s">
        <v>4000</v>
      </c>
      <c r="R885" s="52">
        <v>192</v>
      </c>
      <c r="S885" s="52" t="s">
        <v>3937</v>
      </c>
      <c r="T885" s="88">
        <v>1185.6500000000001</v>
      </c>
      <c r="U885" s="53">
        <v>12</v>
      </c>
      <c r="V885" s="58">
        <f t="shared" si="62"/>
        <v>2731737.6</v>
      </c>
      <c r="W885" s="52" t="s">
        <v>49</v>
      </c>
      <c r="X885" s="52" t="s">
        <v>4825</v>
      </c>
      <c r="Y885" s="52" t="s">
        <v>4826</v>
      </c>
      <c r="Z885" s="52" t="s">
        <v>4827</v>
      </c>
      <c r="AA885" s="52">
        <v>0</v>
      </c>
      <c r="AB885" s="52">
        <v>0</v>
      </c>
      <c r="AC885" s="52">
        <v>0</v>
      </c>
      <c r="AD885" s="21">
        <v>0.74255988295180719</v>
      </c>
      <c r="AE885" s="54">
        <v>0.74255988295180719</v>
      </c>
      <c r="AF885" s="315">
        <f t="shared" si="65"/>
        <v>2028478.7525110508</v>
      </c>
    </row>
    <row r="886" spans="1:32" ht="105" x14ac:dyDescent="0.25">
      <c r="A886" s="107" t="s">
        <v>588</v>
      </c>
      <c r="B886" s="107" t="s">
        <v>2270</v>
      </c>
      <c r="C886" s="52"/>
      <c r="D886" s="52" t="s">
        <v>2301</v>
      </c>
      <c r="E886" s="22" t="str">
        <f t="shared" si="63"/>
        <v>SEJUSPPROG</v>
      </c>
      <c r="F886" s="52" t="s">
        <v>729</v>
      </c>
      <c r="G886" s="22" t="str">
        <f t="shared" si="64"/>
        <v>P130SEJUSP</v>
      </c>
      <c r="H886" s="52" t="s">
        <v>1183</v>
      </c>
      <c r="I886" s="22" t="s">
        <v>16</v>
      </c>
      <c r="J886" s="107" t="s">
        <v>2207</v>
      </c>
      <c r="K886" s="22" t="str">
        <f>VLOOKUP(CONCATENATE(A886,LEFT(J886,4)),AGRUPAMENTO!$D$2:$E$6783,2,FALSE)</f>
        <v>PRODEMGE</v>
      </c>
      <c r="L886" s="52" t="s">
        <v>44</v>
      </c>
      <c r="M886" s="52"/>
      <c r="N886" s="52">
        <v>60</v>
      </c>
      <c r="O886" s="52" t="s">
        <v>3085</v>
      </c>
      <c r="P886" s="52" t="s">
        <v>46</v>
      </c>
      <c r="Q886" s="52" t="s">
        <v>4000</v>
      </c>
      <c r="R886" s="52">
        <v>7</v>
      </c>
      <c r="S886" s="52" t="s">
        <v>3937</v>
      </c>
      <c r="T886" s="88">
        <v>2659.95</v>
      </c>
      <c r="U886" s="53">
        <v>12</v>
      </c>
      <c r="V886" s="58">
        <f t="shared" si="62"/>
        <v>223435.8</v>
      </c>
      <c r="W886" s="52" t="s">
        <v>49</v>
      </c>
      <c r="X886" s="52" t="s">
        <v>4825</v>
      </c>
      <c r="Y886" s="52" t="s">
        <v>4826</v>
      </c>
      <c r="Z886" s="52" t="s">
        <v>4827</v>
      </c>
      <c r="AA886" s="52">
        <v>0</v>
      </c>
      <c r="AB886" s="52">
        <v>0</v>
      </c>
      <c r="AC886" s="52">
        <v>0</v>
      </c>
      <c r="AD886" s="21">
        <v>0.74255988295180719</v>
      </c>
      <c r="AE886" s="54">
        <v>0.74255988295180719</v>
      </c>
      <c r="AF886" s="315">
        <f t="shared" si="65"/>
        <v>165914.46149524339</v>
      </c>
    </row>
    <row r="887" spans="1:32" ht="105" x14ac:dyDescent="0.25">
      <c r="A887" s="107" t="s">
        <v>588</v>
      </c>
      <c r="B887" s="107" t="s">
        <v>2270</v>
      </c>
      <c r="C887" s="52"/>
      <c r="D887" s="52" t="s">
        <v>2301</v>
      </c>
      <c r="E887" s="22" t="str">
        <f t="shared" si="63"/>
        <v>SEJUSPPROG</v>
      </c>
      <c r="F887" s="52" t="s">
        <v>729</v>
      </c>
      <c r="G887" s="22" t="str">
        <f t="shared" si="64"/>
        <v>P130SEJUSP</v>
      </c>
      <c r="H887" s="52" t="s">
        <v>1183</v>
      </c>
      <c r="I887" s="22" t="s">
        <v>16</v>
      </c>
      <c r="J887" s="107" t="s">
        <v>2207</v>
      </c>
      <c r="K887" s="22" t="str">
        <f>VLOOKUP(CONCATENATE(A887,LEFT(J887,4)),AGRUPAMENTO!$D$2:$E$6783,2,FALSE)</f>
        <v>PRODEMGE</v>
      </c>
      <c r="L887" s="52" t="s">
        <v>44</v>
      </c>
      <c r="M887" s="52"/>
      <c r="N887" s="52">
        <v>60</v>
      </c>
      <c r="O887" s="52" t="s">
        <v>3086</v>
      </c>
      <c r="P887" s="52" t="s">
        <v>46</v>
      </c>
      <c r="Q887" s="52" t="s">
        <v>4000</v>
      </c>
      <c r="R887" s="52">
        <v>2359</v>
      </c>
      <c r="S887" s="52" t="s">
        <v>3937</v>
      </c>
      <c r="T887" s="88">
        <v>56.35</v>
      </c>
      <c r="U887" s="53">
        <v>12</v>
      </c>
      <c r="V887" s="58">
        <f t="shared" si="62"/>
        <v>1595155.7999999998</v>
      </c>
      <c r="W887" s="52" t="s">
        <v>49</v>
      </c>
      <c r="X887" s="52" t="s">
        <v>4825</v>
      </c>
      <c r="Y887" s="52" t="s">
        <v>4826</v>
      </c>
      <c r="Z887" s="52" t="s">
        <v>4827</v>
      </c>
      <c r="AA887" s="52">
        <v>0</v>
      </c>
      <c r="AB887" s="52">
        <v>0</v>
      </c>
      <c r="AC887" s="52">
        <v>0</v>
      </c>
      <c r="AD887" s="21">
        <v>0.74255988295180719</v>
      </c>
      <c r="AE887" s="54">
        <v>0.74255988295180719</v>
      </c>
      <c r="AF887" s="315">
        <f t="shared" si="65"/>
        <v>1184498.7041378962</v>
      </c>
    </row>
    <row r="888" spans="1:32" ht="105" x14ac:dyDescent="0.25">
      <c r="A888" s="107" t="s">
        <v>588</v>
      </c>
      <c r="B888" s="107" t="s">
        <v>2270</v>
      </c>
      <c r="C888" s="52"/>
      <c r="D888" s="52" t="s">
        <v>2301</v>
      </c>
      <c r="E888" s="22" t="str">
        <f t="shared" si="63"/>
        <v>SEJUSPPROG</v>
      </c>
      <c r="F888" s="52" t="s">
        <v>729</v>
      </c>
      <c r="G888" s="22" t="str">
        <f t="shared" si="64"/>
        <v>P130SEJUSP</v>
      </c>
      <c r="H888" s="52" t="s">
        <v>1259</v>
      </c>
      <c r="I888" s="22" t="s">
        <v>16</v>
      </c>
      <c r="J888" s="107" t="s">
        <v>2207</v>
      </c>
      <c r="K888" s="22" t="str">
        <f>VLOOKUP(CONCATENATE(A888,LEFT(J888,4)),AGRUPAMENTO!$D$2:$E$6783,2,FALSE)</f>
        <v>PRODEMGE</v>
      </c>
      <c r="L888" s="52" t="s">
        <v>44</v>
      </c>
      <c r="M888" s="52"/>
      <c r="N888" s="52">
        <v>10</v>
      </c>
      <c r="O888" s="52" t="s">
        <v>3083</v>
      </c>
      <c r="P888" s="52" t="s">
        <v>46</v>
      </c>
      <c r="Q888" s="52" t="s">
        <v>4000</v>
      </c>
      <c r="R888" s="52">
        <v>4</v>
      </c>
      <c r="S888" s="52" t="s">
        <v>3937</v>
      </c>
      <c r="T888" s="88">
        <v>80.5</v>
      </c>
      <c r="U888" s="53">
        <v>12</v>
      </c>
      <c r="V888" s="58">
        <f t="shared" si="62"/>
        <v>3864</v>
      </c>
      <c r="W888" s="52" t="s">
        <v>49</v>
      </c>
      <c r="X888" s="52" t="s">
        <v>4825</v>
      </c>
      <c r="Y888" s="52" t="s">
        <v>4826</v>
      </c>
      <c r="Z888" s="52" t="s">
        <v>4827</v>
      </c>
      <c r="AA888" s="52">
        <v>0</v>
      </c>
      <c r="AB888" s="52">
        <v>0</v>
      </c>
      <c r="AC888" s="52">
        <v>0</v>
      </c>
      <c r="AD888" s="21">
        <v>0.74255988295180719</v>
      </c>
      <c r="AE888" s="54">
        <v>0.74255988295180719</v>
      </c>
      <c r="AF888" s="315">
        <f t="shared" si="65"/>
        <v>2869.2513877257829</v>
      </c>
    </row>
    <row r="889" spans="1:32" ht="105" x14ac:dyDescent="0.25">
      <c r="A889" s="107" t="s">
        <v>588</v>
      </c>
      <c r="B889" s="107" t="s">
        <v>2270</v>
      </c>
      <c r="C889" s="52"/>
      <c r="D889" s="52" t="s">
        <v>2301</v>
      </c>
      <c r="E889" s="22" t="str">
        <f t="shared" si="63"/>
        <v>SEJUSPPROG</v>
      </c>
      <c r="F889" s="52" t="s">
        <v>729</v>
      </c>
      <c r="G889" s="22" t="str">
        <f t="shared" si="64"/>
        <v>P130SEJUSP</v>
      </c>
      <c r="H889" s="52" t="s">
        <v>1259</v>
      </c>
      <c r="I889" s="22" t="s">
        <v>16</v>
      </c>
      <c r="J889" s="107" t="s">
        <v>2207</v>
      </c>
      <c r="K889" s="22" t="str">
        <f>VLOOKUP(CONCATENATE(A889,LEFT(J889,4)),AGRUPAMENTO!$D$2:$E$6783,2,FALSE)</f>
        <v>PRODEMGE</v>
      </c>
      <c r="L889" s="52" t="s">
        <v>44</v>
      </c>
      <c r="M889" s="52"/>
      <c r="N889" s="52">
        <v>10</v>
      </c>
      <c r="O889" s="52" t="s">
        <v>3084</v>
      </c>
      <c r="P889" s="52" t="s">
        <v>46</v>
      </c>
      <c r="Q889" s="52" t="s">
        <v>4000</v>
      </c>
      <c r="R889" s="52">
        <v>6</v>
      </c>
      <c r="S889" s="52" t="s">
        <v>3937</v>
      </c>
      <c r="T889" s="88">
        <v>188.6</v>
      </c>
      <c r="U889" s="53">
        <v>12</v>
      </c>
      <c r="V889" s="58">
        <f t="shared" si="62"/>
        <v>13579.199999999999</v>
      </c>
      <c r="W889" s="52" t="s">
        <v>49</v>
      </c>
      <c r="X889" s="52" t="s">
        <v>4825</v>
      </c>
      <c r="Y889" s="52" t="s">
        <v>4826</v>
      </c>
      <c r="Z889" s="52" t="s">
        <v>4827</v>
      </c>
      <c r="AA889" s="52">
        <v>0</v>
      </c>
      <c r="AB889" s="52">
        <v>0</v>
      </c>
      <c r="AC889" s="52">
        <v>0</v>
      </c>
      <c r="AD889" s="21">
        <v>0.74255988295180719</v>
      </c>
      <c r="AE889" s="54">
        <v>0.74255988295180719</v>
      </c>
      <c r="AF889" s="315">
        <f t="shared" si="65"/>
        <v>10083.36916257918</v>
      </c>
    </row>
    <row r="890" spans="1:32" ht="105" x14ac:dyDescent="0.25">
      <c r="A890" s="107" t="s">
        <v>588</v>
      </c>
      <c r="B890" s="107" t="s">
        <v>2270</v>
      </c>
      <c r="C890" s="52"/>
      <c r="D890" s="52" t="s">
        <v>2301</v>
      </c>
      <c r="E890" s="22" t="str">
        <f t="shared" si="63"/>
        <v>SEJUSPPROG</v>
      </c>
      <c r="F890" s="52" t="s">
        <v>729</v>
      </c>
      <c r="G890" s="22" t="str">
        <f t="shared" si="64"/>
        <v>P130SEJUSP</v>
      </c>
      <c r="H890" s="52" t="s">
        <v>1259</v>
      </c>
      <c r="I890" s="22" t="s">
        <v>16</v>
      </c>
      <c r="J890" s="107" t="s">
        <v>2207</v>
      </c>
      <c r="K890" s="22" t="str">
        <f>VLOOKUP(CONCATENATE(A890,LEFT(J890,4)),AGRUPAMENTO!$D$2:$E$6783,2,FALSE)</f>
        <v>PRODEMGE</v>
      </c>
      <c r="L890" s="52" t="s">
        <v>44</v>
      </c>
      <c r="M890" s="52"/>
      <c r="N890" s="52">
        <v>10</v>
      </c>
      <c r="O890" s="52" t="s">
        <v>3085</v>
      </c>
      <c r="P890" s="52" t="s">
        <v>46</v>
      </c>
      <c r="Q890" s="52" t="s">
        <v>4000</v>
      </c>
      <c r="R890" s="52">
        <v>4</v>
      </c>
      <c r="S890" s="52" t="s">
        <v>3937</v>
      </c>
      <c r="T890" s="88">
        <v>1185.6500000000001</v>
      </c>
      <c r="U890" s="53">
        <v>12</v>
      </c>
      <c r="V890" s="58">
        <f t="shared" si="62"/>
        <v>56911.200000000004</v>
      </c>
      <c r="W890" s="52" t="s">
        <v>49</v>
      </c>
      <c r="X890" s="52" t="s">
        <v>4825</v>
      </c>
      <c r="Y890" s="52" t="s">
        <v>4826</v>
      </c>
      <c r="Z890" s="52" t="s">
        <v>4827</v>
      </c>
      <c r="AA890" s="52">
        <v>0</v>
      </c>
      <c r="AB890" s="52">
        <v>0</v>
      </c>
      <c r="AC890" s="52">
        <v>0</v>
      </c>
      <c r="AD890" s="21">
        <v>0.74255988295180719</v>
      </c>
      <c r="AE890" s="54">
        <v>0.74255988295180719</v>
      </c>
      <c r="AF890" s="315">
        <f t="shared" si="65"/>
        <v>42259.974010646896</v>
      </c>
    </row>
    <row r="891" spans="1:32" ht="105" x14ac:dyDescent="0.25">
      <c r="A891" s="107" t="s">
        <v>588</v>
      </c>
      <c r="B891" s="107" t="s">
        <v>2270</v>
      </c>
      <c r="C891" s="52"/>
      <c r="D891" s="52" t="s">
        <v>2301</v>
      </c>
      <c r="E891" s="22" t="str">
        <f t="shared" si="63"/>
        <v>SEJUSPPROG</v>
      </c>
      <c r="F891" s="52" t="s">
        <v>729</v>
      </c>
      <c r="G891" s="22" t="str">
        <f t="shared" si="64"/>
        <v>P130SEJUSP</v>
      </c>
      <c r="H891" s="52" t="s">
        <v>1259</v>
      </c>
      <c r="I891" s="22" t="s">
        <v>16</v>
      </c>
      <c r="J891" s="107" t="s">
        <v>2207</v>
      </c>
      <c r="K891" s="22" t="str">
        <f>VLOOKUP(CONCATENATE(A891,LEFT(J891,4)),AGRUPAMENTO!$D$2:$E$6783,2,FALSE)</f>
        <v>PRODEMGE</v>
      </c>
      <c r="L891" s="52" t="s">
        <v>44</v>
      </c>
      <c r="M891" s="52"/>
      <c r="N891" s="52">
        <v>10</v>
      </c>
      <c r="O891" s="52" t="s">
        <v>3086</v>
      </c>
      <c r="P891" s="52" t="s">
        <v>46</v>
      </c>
      <c r="Q891" s="52" t="s">
        <v>4000</v>
      </c>
      <c r="R891" s="52">
        <v>38</v>
      </c>
      <c r="S891" s="52" t="s">
        <v>3937</v>
      </c>
      <c r="T891" s="88">
        <v>56.35</v>
      </c>
      <c r="U891" s="53">
        <v>12</v>
      </c>
      <c r="V891" s="58">
        <f t="shared" si="62"/>
        <v>25695.600000000002</v>
      </c>
      <c r="W891" s="52" t="s">
        <v>49</v>
      </c>
      <c r="X891" s="52" t="s">
        <v>4825</v>
      </c>
      <c r="Y891" s="52" t="s">
        <v>4826</v>
      </c>
      <c r="Z891" s="52" t="s">
        <v>4827</v>
      </c>
      <c r="AA891" s="52">
        <v>0</v>
      </c>
      <c r="AB891" s="52">
        <v>0</v>
      </c>
      <c r="AC891" s="52">
        <v>0</v>
      </c>
      <c r="AD891" s="21">
        <v>0.74255988295180719</v>
      </c>
      <c r="AE891" s="54">
        <v>0.74255988295180719</v>
      </c>
      <c r="AF891" s="315">
        <f t="shared" si="65"/>
        <v>19080.521728376458</v>
      </c>
    </row>
    <row r="892" spans="1:32" ht="105" x14ac:dyDescent="0.25">
      <c r="A892" s="107" t="s">
        <v>588</v>
      </c>
      <c r="B892" s="107" t="s">
        <v>2270</v>
      </c>
      <c r="C892" s="52"/>
      <c r="D892" s="52" t="s">
        <v>2301</v>
      </c>
      <c r="E892" s="22" t="str">
        <f t="shared" si="63"/>
        <v>SEJUSPPROG</v>
      </c>
      <c r="F892" s="116" t="s">
        <v>687</v>
      </c>
      <c r="G892" s="22" t="str">
        <f t="shared" si="64"/>
        <v>P705SEJUSP</v>
      </c>
      <c r="H892" s="52" t="s">
        <v>914</v>
      </c>
      <c r="I892" s="22" t="s">
        <v>16</v>
      </c>
      <c r="J892" s="52" t="s">
        <v>1641</v>
      </c>
      <c r="K892" s="22" t="str">
        <f>VLOOKUP(CONCATENATE(A892,LEFT(J892,4)),AGRUPAMENTO!$D$2:$E$6783,2,FALSE)</f>
        <v xml:space="preserve">Locação de Máquinas e Equipamentos </v>
      </c>
      <c r="L892" s="52" t="s">
        <v>44</v>
      </c>
      <c r="M892" s="52"/>
      <c r="N892" s="52">
        <v>10</v>
      </c>
      <c r="O892" s="52" t="s">
        <v>3087</v>
      </c>
      <c r="P892" s="52" t="s">
        <v>46</v>
      </c>
      <c r="Q892" s="52" t="s">
        <v>4000</v>
      </c>
      <c r="R892" s="52">
        <v>5</v>
      </c>
      <c r="S892" s="52" t="s">
        <v>3937</v>
      </c>
      <c r="T892" s="88">
        <v>395.4</v>
      </c>
      <c r="U892" s="53">
        <v>12</v>
      </c>
      <c r="V892" s="58">
        <f t="shared" si="62"/>
        <v>23724</v>
      </c>
      <c r="W892" s="52" t="s">
        <v>49</v>
      </c>
      <c r="X892" s="52" t="s">
        <v>4825</v>
      </c>
      <c r="Y892" s="52" t="s">
        <v>4826</v>
      </c>
      <c r="Z892" s="52" t="s">
        <v>4827</v>
      </c>
      <c r="AA892" s="52">
        <v>0</v>
      </c>
      <c r="AB892" s="52">
        <v>0</v>
      </c>
      <c r="AC892" s="52">
        <v>0</v>
      </c>
      <c r="AD892" s="21">
        <v>0.57732302447688655</v>
      </c>
      <c r="AE892" s="54">
        <v>0.57732302447688655</v>
      </c>
      <c r="AF892" s="315">
        <f t="shared" si="65"/>
        <v>13696.411432689656</v>
      </c>
    </row>
    <row r="893" spans="1:32" ht="105" x14ac:dyDescent="0.25">
      <c r="A893" s="107" t="s">
        <v>588</v>
      </c>
      <c r="B893" s="107" t="s">
        <v>2270</v>
      </c>
      <c r="C893" s="52"/>
      <c r="D893" s="52" t="s">
        <v>2301</v>
      </c>
      <c r="E893" s="22" t="str">
        <f t="shared" si="63"/>
        <v>SEJUSPPROG</v>
      </c>
      <c r="F893" s="116" t="s">
        <v>687</v>
      </c>
      <c r="G893" s="22" t="str">
        <f t="shared" si="64"/>
        <v>P705SEJUSP</v>
      </c>
      <c r="H893" s="52" t="s">
        <v>914</v>
      </c>
      <c r="I893" s="22" t="s">
        <v>16</v>
      </c>
      <c r="J893" s="52" t="s">
        <v>1641</v>
      </c>
      <c r="K893" s="22" t="str">
        <f>VLOOKUP(CONCATENATE(A893,LEFT(J893,4)),AGRUPAMENTO!$D$2:$E$6783,2,FALSE)</f>
        <v xml:space="preserve">Locação de Máquinas e Equipamentos </v>
      </c>
      <c r="L893" s="52" t="s">
        <v>44</v>
      </c>
      <c r="M893" s="52"/>
      <c r="N893" s="52">
        <v>10</v>
      </c>
      <c r="O893" s="52" t="s">
        <v>3088</v>
      </c>
      <c r="P893" s="52" t="s">
        <v>46</v>
      </c>
      <c r="Q893" s="52" t="s">
        <v>4000</v>
      </c>
      <c r="R893" s="52">
        <v>3</v>
      </c>
      <c r="S893" s="52" t="s">
        <v>3937</v>
      </c>
      <c r="T893" s="88">
        <v>204.57599999999999</v>
      </c>
      <c r="U893" s="53">
        <v>12</v>
      </c>
      <c r="V893" s="58">
        <f t="shared" si="62"/>
        <v>7364.735999999999</v>
      </c>
      <c r="W893" s="52" t="s">
        <v>49</v>
      </c>
      <c r="X893" s="52" t="s">
        <v>4825</v>
      </c>
      <c r="Y893" s="52" t="s">
        <v>4826</v>
      </c>
      <c r="Z893" s="52" t="s">
        <v>4827</v>
      </c>
      <c r="AA893" s="52">
        <v>0</v>
      </c>
      <c r="AB893" s="52">
        <v>0</v>
      </c>
      <c r="AC893" s="52">
        <v>0</v>
      </c>
      <c r="AD893" s="21">
        <v>0.57732302447688655</v>
      </c>
      <c r="AE893" s="54">
        <v>0.57732302447688655</v>
      </c>
      <c r="AF893" s="315">
        <f t="shared" si="65"/>
        <v>4251.8316619938068</v>
      </c>
    </row>
    <row r="894" spans="1:32" ht="105" x14ac:dyDescent="0.25">
      <c r="A894" s="107" t="s">
        <v>588</v>
      </c>
      <c r="B894" s="107" t="s">
        <v>2270</v>
      </c>
      <c r="C894" s="52"/>
      <c r="D894" s="52" t="s">
        <v>2301</v>
      </c>
      <c r="E894" s="22" t="str">
        <f t="shared" si="63"/>
        <v>SEJUSPPROG</v>
      </c>
      <c r="F894" s="116" t="s">
        <v>687</v>
      </c>
      <c r="G894" s="22" t="str">
        <f t="shared" si="64"/>
        <v>P705SEJUSP</v>
      </c>
      <c r="H894" s="52" t="s">
        <v>914</v>
      </c>
      <c r="I894" s="22" t="s">
        <v>16</v>
      </c>
      <c r="J894" s="52" t="s">
        <v>1641</v>
      </c>
      <c r="K894" s="22" t="str">
        <f>VLOOKUP(CONCATENATE(A894,LEFT(J894,4)),AGRUPAMENTO!$D$2:$E$6783,2,FALSE)</f>
        <v xml:space="preserve">Locação de Máquinas e Equipamentos </v>
      </c>
      <c r="L894" s="52" t="s">
        <v>44</v>
      </c>
      <c r="M894" s="52"/>
      <c r="N894" s="52">
        <v>10</v>
      </c>
      <c r="O894" s="52" t="s">
        <v>3089</v>
      </c>
      <c r="P894" s="52" t="s">
        <v>46</v>
      </c>
      <c r="Q894" s="52" t="s">
        <v>4000</v>
      </c>
      <c r="R894" s="52">
        <v>2</v>
      </c>
      <c r="S894" s="52" t="s">
        <v>3937</v>
      </c>
      <c r="T894" s="88">
        <v>465.6</v>
      </c>
      <c r="U894" s="53">
        <v>12</v>
      </c>
      <c r="V894" s="58">
        <f t="shared" si="62"/>
        <v>11174.400000000001</v>
      </c>
      <c r="W894" s="52" t="s">
        <v>49</v>
      </c>
      <c r="X894" s="52" t="s">
        <v>4825</v>
      </c>
      <c r="Y894" s="52" t="s">
        <v>4826</v>
      </c>
      <c r="Z894" s="52" t="s">
        <v>4827</v>
      </c>
      <c r="AA894" s="52">
        <v>0</v>
      </c>
      <c r="AB894" s="52">
        <v>0</v>
      </c>
      <c r="AC894" s="52">
        <v>0</v>
      </c>
      <c r="AD894" s="21">
        <v>0.57732302447688655</v>
      </c>
      <c r="AE894" s="54">
        <v>0.57732302447688655</v>
      </c>
      <c r="AF894" s="315">
        <f t="shared" si="65"/>
        <v>6451.2384047145215</v>
      </c>
    </row>
    <row r="895" spans="1:32" ht="105" x14ac:dyDescent="0.25">
      <c r="A895" s="107" t="s">
        <v>588</v>
      </c>
      <c r="B895" s="107" t="s">
        <v>2270</v>
      </c>
      <c r="C895" s="52"/>
      <c r="D895" s="52" t="s">
        <v>2301</v>
      </c>
      <c r="E895" s="22" t="str">
        <f t="shared" si="63"/>
        <v>SEJUSPPROG</v>
      </c>
      <c r="F895" s="116" t="s">
        <v>687</v>
      </c>
      <c r="G895" s="22" t="str">
        <f t="shared" si="64"/>
        <v>P705SEJUSP</v>
      </c>
      <c r="H895" s="52" t="s">
        <v>914</v>
      </c>
      <c r="I895" s="22" t="s">
        <v>16</v>
      </c>
      <c r="J895" s="52" t="s">
        <v>1641</v>
      </c>
      <c r="K895" s="22" t="str">
        <f>VLOOKUP(CONCATENATE(A895,LEFT(J895,4)),AGRUPAMENTO!$D$2:$E$6783,2,FALSE)</f>
        <v xml:space="preserve">Locação de Máquinas e Equipamentos </v>
      </c>
      <c r="L895" s="52" t="s">
        <v>44</v>
      </c>
      <c r="M895" s="52"/>
      <c r="N895" s="52">
        <v>10</v>
      </c>
      <c r="O895" s="52" t="s">
        <v>3090</v>
      </c>
      <c r="P895" s="52" t="s">
        <v>46</v>
      </c>
      <c r="Q895" s="52" t="s">
        <v>4000</v>
      </c>
      <c r="R895" s="52">
        <v>12000</v>
      </c>
      <c r="S895" s="52" t="s">
        <v>3937</v>
      </c>
      <c r="T895" s="88">
        <v>4.9200000000000001E-2</v>
      </c>
      <c r="U895" s="53">
        <v>12</v>
      </c>
      <c r="V895" s="58">
        <f t="shared" si="62"/>
        <v>7084.7999999999993</v>
      </c>
      <c r="W895" s="52" t="s">
        <v>49</v>
      </c>
      <c r="X895" s="52" t="s">
        <v>4825</v>
      </c>
      <c r="Y895" s="52" t="s">
        <v>4826</v>
      </c>
      <c r="Z895" s="52" t="s">
        <v>4827</v>
      </c>
      <c r="AA895" s="52">
        <v>0</v>
      </c>
      <c r="AB895" s="52">
        <v>0</v>
      </c>
      <c r="AC895" s="52">
        <v>0</v>
      </c>
      <c r="AD895" s="21">
        <v>0.57732302447688655</v>
      </c>
      <c r="AE895" s="54">
        <v>0.57732302447688655</v>
      </c>
      <c r="AF895" s="315">
        <f t="shared" si="65"/>
        <v>4090.2181638138454</v>
      </c>
    </row>
    <row r="896" spans="1:32" ht="105" x14ac:dyDescent="0.25">
      <c r="A896" s="107" t="s">
        <v>588</v>
      </c>
      <c r="B896" s="107" t="s">
        <v>2270</v>
      </c>
      <c r="C896" s="52"/>
      <c r="D896" s="52" t="s">
        <v>2301</v>
      </c>
      <c r="E896" s="22" t="str">
        <f t="shared" si="63"/>
        <v>SEJUSPPROG</v>
      </c>
      <c r="F896" s="116" t="s">
        <v>687</v>
      </c>
      <c r="G896" s="22" t="str">
        <f t="shared" si="64"/>
        <v>P705SEJUSP</v>
      </c>
      <c r="H896" s="52" t="s">
        <v>914</v>
      </c>
      <c r="I896" s="22" t="s">
        <v>16</v>
      </c>
      <c r="J896" s="52" t="s">
        <v>1641</v>
      </c>
      <c r="K896" s="22" t="str">
        <f>VLOOKUP(CONCATENATE(A896,LEFT(J896,4)),AGRUPAMENTO!$D$2:$E$6783,2,FALSE)</f>
        <v xml:space="preserve">Locação de Máquinas e Equipamentos </v>
      </c>
      <c r="L896" s="52" t="s">
        <v>44</v>
      </c>
      <c r="M896" s="52"/>
      <c r="N896" s="52">
        <v>10</v>
      </c>
      <c r="O896" s="52" t="s">
        <v>3091</v>
      </c>
      <c r="P896" s="52" t="s">
        <v>46</v>
      </c>
      <c r="Q896" s="52" t="s">
        <v>4000</v>
      </c>
      <c r="R896" s="52">
        <v>1000</v>
      </c>
      <c r="S896" s="52" t="s">
        <v>3937</v>
      </c>
      <c r="T896" s="88">
        <v>0.70799999999999996</v>
      </c>
      <c r="U896" s="53">
        <v>12</v>
      </c>
      <c r="V896" s="58">
        <f t="shared" si="62"/>
        <v>8496</v>
      </c>
      <c r="W896" s="52" t="s">
        <v>49</v>
      </c>
      <c r="X896" s="52" t="s">
        <v>4825</v>
      </c>
      <c r="Y896" s="52" t="s">
        <v>4826</v>
      </c>
      <c r="Z896" s="52" t="s">
        <v>4827</v>
      </c>
      <c r="AA896" s="52">
        <v>0</v>
      </c>
      <c r="AB896" s="52">
        <v>0</v>
      </c>
      <c r="AC896" s="52">
        <v>0</v>
      </c>
      <c r="AD896" s="21">
        <v>0.57732302447688655</v>
      </c>
      <c r="AE896" s="54">
        <v>0.57732302447688655</v>
      </c>
      <c r="AF896" s="315">
        <f t="shared" si="65"/>
        <v>4904.936415955628</v>
      </c>
    </row>
    <row r="897" spans="1:32" ht="105" x14ac:dyDescent="0.25">
      <c r="A897" s="107" t="s">
        <v>588</v>
      </c>
      <c r="B897" s="107" t="s">
        <v>2270</v>
      </c>
      <c r="C897" s="52"/>
      <c r="D897" s="52" t="s">
        <v>2301</v>
      </c>
      <c r="E897" s="22" t="str">
        <f t="shared" si="63"/>
        <v>SEJUSPPROG</v>
      </c>
      <c r="F897" s="120" t="s">
        <v>681</v>
      </c>
      <c r="G897" s="22" t="str">
        <f t="shared" si="64"/>
        <v>P129SEJUSP</v>
      </c>
      <c r="H897" s="52" t="s">
        <v>1015</v>
      </c>
      <c r="I897" s="22" t="s">
        <v>16</v>
      </c>
      <c r="J897" s="52" t="s">
        <v>1641</v>
      </c>
      <c r="K897" s="22" t="str">
        <f>VLOOKUP(CONCATENATE(A897,LEFT(J897,4)),AGRUPAMENTO!$D$2:$E$6783,2,FALSE)</f>
        <v xml:space="preserve">Locação de Máquinas e Equipamentos </v>
      </c>
      <c r="L897" s="52" t="s">
        <v>44</v>
      </c>
      <c r="M897" s="52"/>
      <c r="N897" s="52">
        <v>60</v>
      </c>
      <c r="O897" s="52" t="s">
        <v>3087</v>
      </c>
      <c r="P897" s="52" t="s">
        <v>46</v>
      </c>
      <c r="Q897" s="52" t="s">
        <v>4000</v>
      </c>
      <c r="R897" s="52">
        <v>1</v>
      </c>
      <c r="S897" s="52" t="s">
        <v>3937</v>
      </c>
      <c r="T897" s="88">
        <v>395.4</v>
      </c>
      <c r="U897" s="53">
        <v>12</v>
      </c>
      <c r="V897" s="58">
        <f t="shared" si="62"/>
        <v>4744.7999999999993</v>
      </c>
      <c r="W897" s="52" t="s">
        <v>49</v>
      </c>
      <c r="X897" s="52" t="s">
        <v>4825</v>
      </c>
      <c r="Y897" s="52" t="s">
        <v>4826</v>
      </c>
      <c r="Z897" s="52" t="s">
        <v>4827</v>
      </c>
      <c r="AA897" s="52">
        <v>0</v>
      </c>
      <c r="AB897" s="52">
        <v>0</v>
      </c>
      <c r="AC897" s="52">
        <v>0</v>
      </c>
      <c r="AD897" s="21">
        <v>0.57732302447688655</v>
      </c>
      <c r="AE897" s="54">
        <v>0.57732302447688655</v>
      </c>
      <c r="AF897" s="315">
        <f t="shared" si="65"/>
        <v>2739.2822865379308</v>
      </c>
    </row>
    <row r="898" spans="1:32" ht="105" x14ac:dyDescent="0.25">
      <c r="A898" s="107" t="s">
        <v>588</v>
      </c>
      <c r="B898" s="107" t="s">
        <v>2270</v>
      </c>
      <c r="C898" s="52"/>
      <c r="D898" s="52" t="s">
        <v>2301</v>
      </c>
      <c r="E898" s="22" t="str">
        <f t="shared" si="63"/>
        <v>SEJUSPPROG</v>
      </c>
      <c r="F898" s="120" t="s">
        <v>681</v>
      </c>
      <c r="G898" s="22" t="str">
        <f t="shared" si="64"/>
        <v>P129SEJUSP</v>
      </c>
      <c r="H898" s="52" t="s">
        <v>1015</v>
      </c>
      <c r="I898" s="22" t="s">
        <v>16</v>
      </c>
      <c r="J898" s="52" t="s">
        <v>1641</v>
      </c>
      <c r="K898" s="22" t="str">
        <f>VLOOKUP(CONCATENATE(A898,LEFT(J898,4)),AGRUPAMENTO!$D$2:$E$6783,2,FALSE)</f>
        <v xml:space="preserve">Locação de Máquinas e Equipamentos </v>
      </c>
      <c r="L898" s="52" t="s">
        <v>44</v>
      </c>
      <c r="M898" s="52"/>
      <c r="N898" s="52">
        <v>60</v>
      </c>
      <c r="O898" s="52" t="s">
        <v>3092</v>
      </c>
      <c r="P898" s="52" t="s">
        <v>46</v>
      </c>
      <c r="Q898" s="52" t="s">
        <v>4000</v>
      </c>
      <c r="R898" s="52">
        <v>53</v>
      </c>
      <c r="S898" s="52" t="s">
        <v>3937</v>
      </c>
      <c r="T898" s="88">
        <v>275.42400000000004</v>
      </c>
      <c r="U898" s="53">
        <v>12</v>
      </c>
      <c r="V898" s="58">
        <f t="shared" ref="V898:V961" si="66">R898*T898*U898</f>
        <v>175169.66400000002</v>
      </c>
      <c r="W898" s="52" t="s">
        <v>49</v>
      </c>
      <c r="X898" s="52" t="s">
        <v>4825</v>
      </c>
      <c r="Y898" s="52" t="s">
        <v>4826</v>
      </c>
      <c r="Z898" s="52" t="s">
        <v>4827</v>
      </c>
      <c r="AA898" s="52">
        <v>0</v>
      </c>
      <c r="AB898" s="52">
        <v>0</v>
      </c>
      <c r="AC898" s="52">
        <v>0</v>
      </c>
      <c r="AD898" s="21">
        <v>0.57732302447688655</v>
      </c>
      <c r="AE898" s="54">
        <v>0.57732302447688655</v>
      </c>
      <c r="AF898" s="315">
        <f t="shared" si="65"/>
        <v>101129.48021708001</v>
      </c>
    </row>
    <row r="899" spans="1:32" ht="105" x14ac:dyDescent="0.25">
      <c r="A899" s="107" t="s">
        <v>588</v>
      </c>
      <c r="B899" s="107" t="s">
        <v>2270</v>
      </c>
      <c r="C899" s="52"/>
      <c r="D899" s="52" t="s">
        <v>2301</v>
      </c>
      <c r="E899" s="22" t="str">
        <f t="shared" ref="E899:E962" si="67">CONCATENATE(A899,"PROG")</f>
        <v>SEJUSPPROG</v>
      </c>
      <c r="F899" s="120" t="s">
        <v>681</v>
      </c>
      <c r="G899" s="22" t="str">
        <f t="shared" si="64"/>
        <v>P129SEJUSP</v>
      </c>
      <c r="H899" s="52" t="s">
        <v>1015</v>
      </c>
      <c r="I899" s="22" t="s">
        <v>16</v>
      </c>
      <c r="J899" s="52" t="s">
        <v>1641</v>
      </c>
      <c r="K899" s="22" t="str">
        <f>VLOOKUP(CONCATENATE(A899,LEFT(J899,4)),AGRUPAMENTO!$D$2:$E$6783,2,FALSE)</f>
        <v xml:space="preserve">Locação de Máquinas e Equipamentos </v>
      </c>
      <c r="L899" s="52" t="s">
        <v>44</v>
      </c>
      <c r="M899" s="52"/>
      <c r="N899" s="52">
        <v>60</v>
      </c>
      <c r="O899" s="52" t="s">
        <v>3088</v>
      </c>
      <c r="P899" s="52" t="s">
        <v>46</v>
      </c>
      <c r="Q899" s="52" t="s">
        <v>4000</v>
      </c>
      <c r="R899" s="52">
        <v>1</v>
      </c>
      <c r="S899" s="52" t="s">
        <v>3937</v>
      </c>
      <c r="T899" s="88">
        <v>204.57599999999999</v>
      </c>
      <c r="U899" s="53">
        <v>12</v>
      </c>
      <c r="V899" s="58">
        <f t="shared" si="66"/>
        <v>2454.9119999999998</v>
      </c>
      <c r="W899" s="52" t="s">
        <v>49</v>
      </c>
      <c r="X899" s="52" t="s">
        <v>4825</v>
      </c>
      <c r="Y899" s="52" t="s">
        <v>4826</v>
      </c>
      <c r="Z899" s="52" t="s">
        <v>4827</v>
      </c>
      <c r="AA899" s="52">
        <v>0</v>
      </c>
      <c r="AB899" s="52">
        <v>0</v>
      </c>
      <c r="AC899" s="52">
        <v>0</v>
      </c>
      <c r="AD899" s="21">
        <v>0.57732302447688655</v>
      </c>
      <c r="AE899" s="54">
        <v>0.57732302447688655</v>
      </c>
      <c r="AF899" s="315">
        <f t="shared" si="65"/>
        <v>1417.2772206646025</v>
      </c>
    </row>
    <row r="900" spans="1:32" ht="105" x14ac:dyDescent="0.25">
      <c r="A900" s="107" t="s">
        <v>588</v>
      </c>
      <c r="B900" s="107" t="s">
        <v>2270</v>
      </c>
      <c r="C900" s="52"/>
      <c r="D900" s="52" t="s">
        <v>2301</v>
      </c>
      <c r="E900" s="22" t="str">
        <f t="shared" si="67"/>
        <v>SEJUSPPROG</v>
      </c>
      <c r="F900" s="120" t="s">
        <v>681</v>
      </c>
      <c r="G900" s="22" t="str">
        <f t="shared" ref="G900:G963" si="68">CONCATENATE("P",(LEFT(F900,3)),A900)</f>
        <v>P129SEJUSP</v>
      </c>
      <c r="H900" s="52" t="s">
        <v>1015</v>
      </c>
      <c r="I900" s="22" t="s">
        <v>16</v>
      </c>
      <c r="J900" s="52" t="s">
        <v>1641</v>
      </c>
      <c r="K900" s="22" t="str">
        <f>VLOOKUP(CONCATENATE(A900,LEFT(J900,4)),AGRUPAMENTO!$D$2:$E$6783,2,FALSE)</f>
        <v xml:space="preserve">Locação de Máquinas e Equipamentos </v>
      </c>
      <c r="L900" s="52" t="s">
        <v>44</v>
      </c>
      <c r="M900" s="52"/>
      <c r="N900" s="52">
        <v>60</v>
      </c>
      <c r="O900" s="52" t="s">
        <v>3090</v>
      </c>
      <c r="P900" s="52" t="s">
        <v>46</v>
      </c>
      <c r="Q900" s="52" t="s">
        <v>4000</v>
      </c>
      <c r="R900" s="52">
        <v>60000</v>
      </c>
      <c r="S900" s="52" t="s">
        <v>3937</v>
      </c>
      <c r="T900" s="88">
        <v>4.9200000000000001E-2</v>
      </c>
      <c r="U900" s="53">
        <v>12</v>
      </c>
      <c r="V900" s="58">
        <f t="shared" si="66"/>
        <v>35424</v>
      </c>
      <c r="W900" s="52" t="s">
        <v>49</v>
      </c>
      <c r="X900" s="52" t="s">
        <v>4825</v>
      </c>
      <c r="Y900" s="52" t="s">
        <v>4826</v>
      </c>
      <c r="Z900" s="52" t="s">
        <v>4827</v>
      </c>
      <c r="AA900" s="52">
        <v>0</v>
      </c>
      <c r="AB900" s="52">
        <v>0</v>
      </c>
      <c r="AC900" s="52">
        <v>0</v>
      </c>
      <c r="AD900" s="21">
        <v>0.57732302447688655</v>
      </c>
      <c r="AE900" s="54">
        <v>0.57732302447688655</v>
      </c>
      <c r="AF900" s="315">
        <f t="shared" ref="AF900:AF963" si="69">AE900*V900</f>
        <v>20451.090819069228</v>
      </c>
    </row>
    <row r="901" spans="1:32" ht="105" x14ac:dyDescent="0.25">
      <c r="A901" s="107" t="s">
        <v>588</v>
      </c>
      <c r="B901" s="107" t="s">
        <v>2270</v>
      </c>
      <c r="C901" s="52"/>
      <c r="D901" s="52" t="s">
        <v>2301</v>
      </c>
      <c r="E901" s="22" t="str">
        <f t="shared" si="67"/>
        <v>SEJUSPPROG</v>
      </c>
      <c r="F901" s="52" t="s">
        <v>729</v>
      </c>
      <c r="G901" s="22" t="str">
        <f t="shared" si="68"/>
        <v>P130SEJUSP</v>
      </c>
      <c r="H901" s="52" t="s">
        <v>1183</v>
      </c>
      <c r="I901" s="22" t="s">
        <v>16</v>
      </c>
      <c r="J901" s="52" t="s">
        <v>1641</v>
      </c>
      <c r="K901" s="22" t="str">
        <f>VLOOKUP(CONCATENATE(A901,LEFT(J901,4)),AGRUPAMENTO!$D$2:$E$6783,2,FALSE)</f>
        <v xml:space="preserve">Locação de Máquinas e Equipamentos </v>
      </c>
      <c r="L901" s="52" t="s">
        <v>44</v>
      </c>
      <c r="M901" s="52"/>
      <c r="N901" s="52">
        <v>60</v>
      </c>
      <c r="O901" s="52" t="s">
        <v>3087</v>
      </c>
      <c r="P901" s="52" t="s">
        <v>46</v>
      </c>
      <c r="Q901" s="52" t="s">
        <v>4000</v>
      </c>
      <c r="R901" s="52">
        <v>243</v>
      </c>
      <c r="S901" s="52" t="s">
        <v>3937</v>
      </c>
      <c r="T901" s="88">
        <v>395.4</v>
      </c>
      <c r="U901" s="53">
        <v>12</v>
      </c>
      <c r="V901" s="58">
        <f t="shared" si="66"/>
        <v>1152986.3999999999</v>
      </c>
      <c r="W901" s="52" t="s">
        <v>49</v>
      </c>
      <c r="X901" s="52" t="s">
        <v>4825</v>
      </c>
      <c r="Y901" s="52" t="s">
        <v>4826</v>
      </c>
      <c r="Z901" s="52" t="s">
        <v>4827</v>
      </c>
      <c r="AA901" s="52">
        <v>0</v>
      </c>
      <c r="AB901" s="52">
        <v>0</v>
      </c>
      <c r="AC901" s="52">
        <v>0</v>
      </c>
      <c r="AD901" s="21">
        <v>0.57732302447688655</v>
      </c>
      <c r="AE901" s="54">
        <v>0.57732302447688655</v>
      </c>
      <c r="AF901" s="315">
        <f t="shared" si="69"/>
        <v>665645.59562871722</v>
      </c>
    </row>
    <row r="902" spans="1:32" ht="105" x14ac:dyDescent="0.25">
      <c r="A902" s="107" t="s">
        <v>588</v>
      </c>
      <c r="B902" s="107" t="s">
        <v>2270</v>
      </c>
      <c r="C902" s="52"/>
      <c r="D902" s="52" t="s">
        <v>2301</v>
      </c>
      <c r="E902" s="22" t="str">
        <f t="shared" si="67"/>
        <v>SEJUSPPROG</v>
      </c>
      <c r="F902" s="52" t="s">
        <v>729</v>
      </c>
      <c r="G902" s="22" t="str">
        <f t="shared" si="68"/>
        <v>P130SEJUSP</v>
      </c>
      <c r="H902" s="52" t="s">
        <v>1183</v>
      </c>
      <c r="I902" s="22" t="s">
        <v>16</v>
      </c>
      <c r="J902" s="52" t="s">
        <v>1641</v>
      </c>
      <c r="K902" s="22" t="str">
        <f>VLOOKUP(CONCATENATE(A902,LEFT(J902,4)),AGRUPAMENTO!$D$2:$E$6783,2,FALSE)</f>
        <v xml:space="preserve">Locação de Máquinas e Equipamentos </v>
      </c>
      <c r="L902" s="52" t="s">
        <v>44</v>
      </c>
      <c r="M902" s="52"/>
      <c r="N902" s="52">
        <v>60</v>
      </c>
      <c r="O902" s="52" t="s">
        <v>3088</v>
      </c>
      <c r="P902" s="52" t="s">
        <v>46</v>
      </c>
      <c r="Q902" s="52" t="s">
        <v>4000</v>
      </c>
      <c r="R902" s="52">
        <v>156</v>
      </c>
      <c r="S902" s="52" t="s">
        <v>3937</v>
      </c>
      <c r="T902" s="88">
        <v>204.57599999999999</v>
      </c>
      <c r="U902" s="53">
        <v>12</v>
      </c>
      <c r="V902" s="58">
        <f t="shared" si="66"/>
        <v>382966.272</v>
      </c>
      <c r="W902" s="52" t="s">
        <v>49</v>
      </c>
      <c r="X902" s="52" t="s">
        <v>4825</v>
      </c>
      <c r="Y902" s="52" t="s">
        <v>4826</v>
      </c>
      <c r="Z902" s="52" t="s">
        <v>4827</v>
      </c>
      <c r="AA902" s="52">
        <v>0</v>
      </c>
      <c r="AB902" s="52">
        <v>0</v>
      </c>
      <c r="AC902" s="52">
        <v>0</v>
      </c>
      <c r="AD902" s="21">
        <v>0.57732302447688655</v>
      </c>
      <c r="AE902" s="54">
        <v>0.57732302447688655</v>
      </c>
      <c r="AF902" s="315">
        <f t="shared" si="69"/>
        <v>221095.24642367798</v>
      </c>
    </row>
    <row r="903" spans="1:32" ht="105" x14ac:dyDescent="0.25">
      <c r="A903" s="107" t="s">
        <v>588</v>
      </c>
      <c r="B903" s="107" t="s">
        <v>2270</v>
      </c>
      <c r="C903" s="52"/>
      <c r="D903" s="52" t="s">
        <v>2301</v>
      </c>
      <c r="E903" s="22" t="str">
        <f t="shared" si="67"/>
        <v>SEJUSPPROG</v>
      </c>
      <c r="F903" s="52" t="s">
        <v>729</v>
      </c>
      <c r="G903" s="22" t="str">
        <f t="shared" si="68"/>
        <v>P130SEJUSP</v>
      </c>
      <c r="H903" s="52" t="s">
        <v>1183</v>
      </c>
      <c r="I903" s="22" t="s">
        <v>16</v>
      </c>
      <c r="J903" s="52" t="s">
        <v>1641</v>
      </c>
      <c r="K903" s="22" t="str">
        <f>VLOOKUP(CONCATENATE(A903,LEFT(J903,4)),AGRUPAMENTO!$D$2:$E$6783,2,FALSE)</f>
        <v xml:space="preserve">Locação de Máquinas e Equipamentos </v>
      </c>
      <c r="L903" s="52" t="s">
        <v>44</v>
      </c>
      <c r="M903" s="52"/>
      <c r="N903" s="52">
        <v>60</v>
      </c>
      <c r="O903" s="52" t="s">
        <v>3090</v>
      </c>
      <c r="P903" s="52" t="s">
        <v>46</v>
      </c>
      <c r="Q903" s="52" t="s">
        <v>4000</v>
      </c>
      <c r="R903" s="52">
        <v>1400000</v>
      </c>
      <c r="S903" s="52" t="s">
        <v>3937</v>
      </c>
      <c r="T903" s="88">
        <v>4.9200000000000001E-2</v>
      </c>
      <c r="U903" s="53">
        <v>12</v>
      </c>
      <c r="V903" s="58">
        <f t="shared" si="66"/>
        <v>826560</v>
      </c>
      <c r="W903" s="52" t="s">
        <v>49</v>
      </c>
      <c r="X903" s="52" t="s">
        <v>4825</v>
      </c>
      <c r="Y903" s="52" t="s">
        <v>4826</v>
      </c>
      <c r="Z903" s="52" t="s">
        <v>4827</v>
      </c>
      <c r="AA903" s="52">
        <v>0</v>
      </c>
      <c r="AB903" s="52">
        <v>0</v>
      </c>
      <c r="AC903" s="52">
        <v>0</v>
      </c>
      <c r="AD903" s="21">
        <v>0.57732302447688655</v>
      </c>
      <c r="AE903" s="54">
        <v>0.57732302447688655</v>
      </c>
      <c r="AF903" s="315">
        <f t="shared" si="69"/>
        <v>477192.11911161535</v>
      </c>
    </row>
    <row r="904" spans="1:32" ht="105" x14ac:dyDescent="0.25">
      <c r="A904" s="107" t="s">
        <v>588</v>
      </c>
      <c r="B904" s="107" t="s">
        <v>2270</v>
      </c>
      <c r="C904" s="52"/>
      <c r="D904" s="52" t="s">
        <v>2301</v>
      </c>
      <c r="E904" s="22" t="str">
        <f t="shared" si="67"/>
        <v>SEJUSPPROG</v>
      </c>
      <c r="F904" s="52" t="s">
        <v>729</v>
      </c>
      <c r="G904" s="22" t="str">
        <f t="shared" si="68"/>
        <v>P130SEJUSP</v>
      </c>
      <c r="H904" s="52" t="s">
        <v>1259</v>
      </c>
      <c r="I904" s="22" t="s">
        <v>16</v>
      </c>
      <c r="J904" s="52" t="s">
        <v>1641</v>
      </c>
      <c r="K904" s="22" t="str">
        <f>VLOOKUP(CONCATENATE(A904,LEFT(J904,4)),AGRUPAMENTO!$D$2:$E$6783,2,FALSE)</f>
        <v xml:space="preserve">Locação de Máquinas e Equipamentos </v>
      </c>
      <c r="L904" s="52" t="s">
        <v>44</v>
      </c>
      <c r="M904" s="52"/>
      <c r="N904" s="52">
        <v>10</v>
      </c>
      <c r="O904" s="52" t="s">
        <v>3087</v>
      </c>
      <c r="P904" s="52" t="s">
        <v>46</v>
      </c>
      <c r="Q904" s="52" t="s">
        <v>4000</v>
      </c>
      <c r="R904" s="52">
        <v>3</v>
      </c>
      <c r="S904" s="52" t="s">
        <v>3937</v>
      </c>
      <c r="T904" s="88">
        <v>395.4</v>
      </c>
      <c r="U904" s="53">
        <v>12</v>
      </c>
      <c r="V904" s="58">
        <f t="shared" si="66"/>
        <v>14234.399999999998</v>
      </c>
      <c r="W904" s="52" t="s">
        <v>49</v>
      </c>
      <c r="X904" s="52" t="s">
        <v>4825</v>
      </c>
      <c r="Y904" s="52" t="s">
        <v>4826</v>
      </c>
      <c r="Z904" s="52" t="s">
        <v>4827</v>
      </c>
      <c r="AA904" s="52">
        <v>0</v>
      </c>
      <c r="AB904" s="52">
        <v>0</v>
      </c>
      <c r="AC904" s="52">
        <v>0</v>
      </c>
      <c r="AD904" s="21">
        <v>0.57732302447688655</v>
      </c>
      <c r="AE904" s="54">
        <v>0.57732302447688655</v>
      </c>
      <c r="AF904" s="315">
        <f t="shared" si="69"/>
        <v>8217.8468596137918</v>
      </c>
    </row>
    <row r="905" spans="1:32" ht="105" x14ac:dyDescent="0.25">
      <c r="A905" s="107" t="s">
        <v>588</v>
      </c>
      <c r="B905" s="107" t="s">
        <v>2270</v>
      </c>
      <c r="C905" s="52"/>
      <c r="D905" s="52" t="s">
        <v>2301</v>
      </c>
      <c r="E905" s="22" t="str">
        <f t="shared" si="67"/>
        <v>SEJUSPPROG</v>
      </c>
      <c r="F905" s="52" t="s">
        <v>729</v>
      </c>
      <c r="G905" s="22" t="str">
        <f t="shared" si="68"/>
        <v>P130SEJUSP</v>
      </c>
      <c r="H905" s="52" t="s">
        <v>1259</v>
      </c>
      <c r="I905" s="22" t="s">
        <v>16</v>
      </c>
      <c r="J905" s="52" t="s">
        <v>1641</v>
      </c>
      <c r="K905" s="22" t="str">
        <f>VLOOKUP(CONCATENATE(A905,LEFT(J905,4)),AGRUPAMENTO!$D$2:$E$6783,2,FALSE)</f>
        <v xml:space="preserve">Locação de Máquinas e Equipamentos </v>
      </c>
      <c r="L905" s="52" t="s">
        <v>44</v>
      </c>
      <c r="M905" s="52"/>
      <c r="N905" s="52">
        <v>10</v>
      </c>
      <c r="O905" s="52" t="s">
        <v>3088</v>
      </c>
      <c r="P905" s="52" t="s">
        <v>46</v>
      </c>
      <c r="Q905" s="52" t="s">
        <v>4000</v>
      </c>
      <c r="R905" s="52">
        <v>2</v>
      </c>
      <c r="S905" s="52" t="s">
        <v>3937</v>
      </c>
      <c r="T905" s="88">
        <v>204.57599999999999</v>
      </c>
      <c r="U905" s="53">
        <v>12</v>
      </c>
      <c r="V905" s="58">
        <f t="shared" si="66"/>
        <v>4909.8239999999996</v>
      </c>
      <c r="W905" s="52" t="s">
        <v>49</v>
      </c>
      <c r="X905" s="52" t="s">
        <v>4825</v>
      </c>
      <c r="Y905" s="52" t="s">
        <v>4826</v>
      </c>
      <c r="Z905" s="52" t="s">
        <v>4827</v>
      </c>
      <c r="AA905" s="52">
        <v>0</v>
      </c>
      <c r="AB905" s="52">
        <v>0</v>
      </c>
      <c r="AC905" s="52">
        <v>0</v>
      </c>
      <c r="AD905" s="21">
        <v>0.57732302447688655</v>
      </c>
      <c r="AE905" s="54">
        <v>0.57732302447688655</v>
      </c>
      <c r="AF905" s="315">
        <f t="shared" si="69"/>
        <v>2834.554441329205</v>
      </c>
    </row>
    <row r="906" spans="1:32" ht="105" x14ac:dyDescent="0.25">
      <c r="A906" s="107" t="s">
        <v>588</v>
      </c>
      <c r="B906" s="107" t="s">
        <v>2270</v>
      </c>
      <c r="C906" s="52"/>
      <c r="D906" s="52" t="s">
        <v>2301</v>
      </c>
      <c r="E906" s="22" t="str">
        <f t="shared" si="67"/>
        <v>SEJUSPPROG</v>
      </c>
      <c r="F906" s="52" t="s">
        <v>729</v>
      </c>
      <c r="G906" s="22" t="str">
        <f t="shared" si="68"/>
        <v>P130SEJUSP</v>
      </c>
      <c r="H906" s="52" t="s">
        <v>1259</v>
      </c>
      <c r="I906" s="22" t="s">
        <v>16</v>
      </c>
      <c r="J906" s="52" t="s">
        <v>1641</v>
      </c>
      <c r="K906" s="22" t="str">
        <f>VLOOKUP(CONCATENATE(A906,LEFT(J906,4)),AGRUPAMENTO!$D$2:$E$6783,2,FALSE)</f>
        <v xml:space="preserve">Locação de Máquinas e Equipamentos </v>
      </c>
      <c r="L906" s="52" t="s">
        <v>44</v>
      </c>
      <c r="M906" s="52"/>
      <c r="N906" s="52">
        <v>10</v>
      </c>
      <c r="O906" s="52" t="s">
        <v>3090</v>
      </c>
      <c r="P906" s="52" t="s">
        <v>46</v>
      </c>
      <c r="Q906" s="52" t="s">
        <v>4000</v>
      </c>
      <c r="R906" s="52">
        <v>23000</v>
      </c>
      <c r="S906" s="52" t="s">
        <v>3937</v>
      </c>
      <c r="T906" s="88">
        <v>4.9200000000000001E-2</v>
      </c>
      <c r="U906" s="53">
        <v>12</v>
      </c>
      <c r="V906" s="58">
        <f t="shared" si="66"/>
        <v>13579.199999999999</v>
      </c>
      <c r="W906" s="52" t="s">
        <v>49</v>
      </c>
      <c r="X906" s="52" t="s">
        <v>4825</v>
      </c>
      <c r="Y906" s="52" t="s">
        <v>4826</v>
      </c>
      <c r="Z906" s="52" t="s">
        <v>4827</v>
      </c>
      <c r="AA906" s="52">
        <v>0</v>
      </c>
      <c r="AB906" s="52">
        <v>0</v>
      </c>
      <c r="AC906" s="52">
        <v>0</v>
      </c>
      <c r="AD906" s="21">
        <v>0.57732302447688655</v>
      </c>
      <c r="AE906" s="54">
        <v>0.57732302447688655</v>
      </c>
      <c r="AF906" s="315">
        <f t="shared" si="69"/>
        <v>7839.5848139765376</v>
      </c>
    </row>
    <row r="907" spans="1:32" ht="105" x14ac:dyDescent="0.25">
      <c r="A907" s="107" t="s">
        <v>588</v>
      </c>
      <c r="B907" s="107" t="s">
        <v>2270</v>
      </c>
      <c r="C907" s="52"/>
      <c r="D907" s="52" t="s">
        <v>2301</v>
      </c>
      <c r="E907" s="22" t="str">
        <f t="shared" si="67"/>
        <v>SEJUSPPROG</v>
      </c>
      <c r="F907" s="122" t="s">
        <v>886</v>
      </c>
      <c r="G907" s="22" t="str">
        <f t="shared" si="68"/>
        <v>P146SEJUSP</v>
      </c>
      <c r="H907" s="52" t="s">
        <v>1424</v>
      </c>
      <c r="I907" s="22" t="s">
        <v>16</v>
      </c>
      <c r="J907" s="52" t="s">
        <v>1641</v>
      </c>
      <c r="K907" s="22" t="str">
        <f>VLOOKUP(CONCATENATE(A907,LEFT(J907,4)),AGRUPAMENTO!$D$2:$E$6783,2,FALSE)</f>
        <v xml:space="preserve">Locação de Máquinas e Equipamentos </v>
      </c>
      <c r="L907" s="52" t="s">
        <v>44</v>
      </c>
      <c r="M907" s="52"/>
      <c r="N907" s="52">
        <v>10</v>
      </c>
      <c r="O907" s="52" t="s">
        <v>3087</v>
      </c>
      <c r="P907" s="52" t="s">
        <v>46</v>
      </c>
      <c r="Q907" s="52" t="s">
        <v>4000</v>
      </c>
      <c r="R907" s="52">
        <v>10</v>
      </c>
      <c r="S907" s="52" t="s">
        <v>3937</v>
      </c>
      <c r="T907" s="88">
        <v>395.4</v>
      </c>
      <c r="U907" s="53">
        <v>12</v>
      </c>
      <c r="V907" s="58">
        <f t="shared" si="66"/>
        <v>47448</v>
      </c>
      <c r="W907" s="52" t="s">
        <v>49</v>
      </c>
      <c r="X907" s="52" t="s">
        <v>4825</v>
      </c>
      <c r="Y907" s="52" t="s">
        <v>4826</v>
      </c>
      <c r="Z907" s="52" t="s">
        <v>4827</v>
      </c>
      <c r="AA907" s="52">
        <v>0</v>
      </c>
      <c r="AB907" s="52">
        <v>0</v>
      </c>
      <c r="AC907" s="52">
        <v>0</v>
      </c>
      <c r="AD907" s="21">
        <v>0.57732302447688655</v>
      </c>
      <c r="AE907" s="54">
        <v>0.57732302447688655</v>
      </c>
      <c r="AF907" s="315">
        <f t="shared" si="69"/>
        <v>27392.822865379312</v>
      </c>
    </row>
    <row r="908" spans="1:32" ht="105" x14ac:dyDescent="0.25">
      <c r="A908" s="107" t="s">
        <v>588</v>
      </c>
      <c r="B908" s="107" t="s">
        <v>2270</v>
      </c>
      <c r="C908" s="52"/>
      <c r="D908" s="52" t="s">
        <v>2301</v>
      </c>
      <c r="E908" s="22" t="str">
        <f t="shared" si="67"/>
        <v>SEJUSPPROG</v>
      </c>
      <c r="F908" s="122" t="s">
        <v>886</v>
      </c>
      <c r="G908" s="22" t="str">
        <f t="shared" si="68"/>
        <v>P146SEJUSP</v>
      </c>
      <c r="H908" s="52" t="s">
        <v>1424</v>
      </c>
      <c r="I908" s="22" t="s">
        <v>16</v>
      </c>
      <c r="J908" s="52" t="s">
        <v>1641</v>
      </c>
      <c r="K908" s="22" t="str">
        <f>VLOOKUP(CONCATENATE(A908,LEFT(J908,4)),AGRUPAMENTO!$D$2:$E$6783,2,FALSE)</f>
        <v xml:space="preserve">Locação de Máquinas e Equipamentos </v>
      </c>
      <c r="L908" s="52" t="s">
        <v>44</v>
      </c>
      <c r="M908" s="52"/>
      <c r="N908" s="52">
        <v>10</v>
      </c>
      <c r="O908" s="52" t="s">
        <v>3088</v>
      </c>
      <c r="P908" s="52" t="s">
        <v>46</v>
      </c>
      <c r="Q908" s="52" t="s">
        <v>4000</v>
      </c>
      <c r="R908" s="52">
        <v>4</v>
      </c>
      <c r="S908" s="52" t="s">
        <v>3937</v>
      </c>
      <c r="T908" s="88">
        <v>204.57599999999999</v>
      </c>
      <c r="U908" s="53">
        <v>12</v>
      </c>
      <c r="V908" s="58">
        <f t="shared" si="66"/>
        <v>9819.6479999999992</v>
      </c>
      <c r="W908" s="52" t="s">
        <v>49</v>
      </c>
      <c r="X908" s="52" t="s">
        <v>4825</v>
      </c>
      <c r="Y908" s="52" t="s">
        <v>4826</v>
      </c>
      <c r="Z908" s="52" t="s">
        <v>4827</v>
      </c>
      <c r="AA908" s="52">
        <v>0</v>
      </c>
      <c r="AB908" s="52">
        <v>0</v>
      </c>
      <c r="AC908" s="52">
        <v>0</v>
      </c>
      <c r="AD908" s="21">
        <v>0.57732302447688655</v>
      </c>
      <c r="AE908" s="54">
        <v>0.57732302447688655</v>
      </c>
      <c r="AF908" s="315">
        <f t="shared" si="69"/>
        <v>5669.10888265841</v>
      </c>
    </row>
    <row r="909" spans="1:32" ht="105" x14ac:dyDescent="0.25">
      <c r="A909" s="107" t="s">
        <v>588</v>
      </c>
      <c r="B909" s="107" t="s">
        <v>2270</v>
      </c>
      <c r="C909" s="52"/>
      <c r="D909" s="52" t="s">
        <v>2301</v>
      </c>
      <c r="E909" s="22" t="str">
        <f t="shared" si="67"/>
        <v>SEJUSPPROG</v>
      </c>
      <c r="F909" s="122" t="s">
        <v>886</v>
      </c>
      <c r="G909" s="22" t="str">
        <f t="shared" si="68"/>
        <v>P146SEJUSP</v>
      </c>
      <c r="H909" s="52" t="s">
        <v>1424</v>
      </c>
      <c r="I909" s="22" t="s">
        <v>16</v>
      </c>
      <c r="J909" s="52" t="s">
        <v>1641</v>
      </c>
      <c r="K909" s="22" t="str">
        <f>VLOOKUP(CONCATENATE(A909,LEFT(J909,4)),AGRUPAMENTO!$D$2:$E$6783,2,FALSE)</f>
        <v xml:space="preserve">Locação de Máquinas e Equipamentos </v>
      </c>
      <c r="L909" s="52" t="s">
        <v>44</v>
      </c>
      <c r="M909" s="52"/>
      <c r="N909" s="52">
        <v>10</v>
      </c>
      <c r="O909" s="52" t="s">
        <v>3090</v>
      </c>
      <c r="P909" s="52" t="s">
        <v>46</v>
      </c>
      <c r="Q909" s="52" t="s">
        <v>4000</v>
      </c>
      <c r="R909" s="52">
        <v>47000</v>
      </c>
      <c r="S909" s="52" t="s">
        <v>3937</v>
      </c>
      <c r="T909" s="88">
        <v>4.9200000000000001E-2</v>
      </c>
      <c r="U909" s="53">
        <v>12</v>
      </c>
      <c r="V909" s="58">
        <f t="shared" si="66"/>
        <v>27748.800000000003</v>
      </c>
      <c r="W909" s="52" t="s">
        <v>49</v>
      </c>
      <c r="X909" s="52" t="s">
        <v>4825</v>
      </c>
      <c r="Y909" s="52" t="s">
        <v>4826</v>
      </c>
      <c r="Z909" s="52" t="s">
        <v>4827</v>
      </c>
      <c r="AA909" s="52">
        <v>0</v>
      </c>
      <c r="AB909" s="52">
        <v>0</v>
      </c>
      <c r="AC909" s="52">
        <v>0</v>
      </c>
      <c r="AD909" s="21">
        <v>0.57732302447688655</v>
      </c>
      <c r="AE909" s="54">
        <v>0.57732302447688655</v>
      </c>
      <c r="AF909" s="315">
        <f t="shared" si="69"/>
        <v>16020.021141604231</v>
      </c>
    </row>
    <row r="910" spans="1:32" ht="75" x14ac:dyDescent="0.25">
      <c r="A910" s="109" t="s">
        <v>588</v>
      </c>
      <c r="B910" s="110" t="s">
        <v>2270</v>
      </c>
      <c r="C910" s="52"/>
      <c r="D910" s="115" t="s">
        <v>2276</v>
      </c>
      <c r="E910" s="22" t="str">
        <f t="shared" si="67"/>
        <v>SEJUSPPROG</v>
      </c>
      <c r="F910" s="52" t="s">
        <v>729</v>
      </c>
      <c r="G910" s="22" t="str">
        <f t="shared" si="68"/>
        <v>P130SEJUSP</v>
      </c>
      <c r="H910" s="123" t="s">
        <v>1183</v>
      </c>
      <c r="I910" s="22" t="s">
        <v>16</v>
      </c>
      <c r="J910" s="92" t="s">
        <v>303</v>
      </c>
      <c r="K910" s="22" t="str">
        <f>VLOOKUP(CONCATENATE(A910,LEFT(J910,4)),AGRUPAMENTO!$D$2:$E$6783,2,FALSE)</f>
        <v>Demais despesas de capital</v>
      </c>
      <c r="L910" s="123" t="s">
        <v>94</v>
      </c>
      <c r="M910" s="52"/>
      <c r="N910" s="123">
        <v>10</v>
      </c>
      <c r="O910" s="142" t="s">
        <v>3093</v>
      </c>
      <c r="P910" s="52" t="s">
        <v>58</v>
      </c>
      <c r="Q910" s="123" t="s">
        <v>4001</v>
      </c>
      <c r="R910" s="123">
        <v>10</v>
      </c>
      <c r="S910" s="123" t="s">
        <v>3886</v>
      </c>
      <c r="T910" s="180">
        <v>150000</v>
      </c>
      <c r="U910" s="181">
        <v>1</v>
      </c>
      <c r="V910" s="58">
        <f t="shared" si="66"/>
        <v>1500000</v>
      </c>
      <c r="W910" s="123" t="s">
        <v>68</v>
      </c>
      <c r="X910" s="123" t="s">
        <v>4828</v>
      </c>
      <c r="Y910" s="123" t="s">
        <v>4829</v>
      </c>
      <c r="Z910" s="123" t="s">
        <v>4830</v>
      </c>
      <c r="AA910" s="123">
        <v>7</v>
      </c>
      <c r="AB910" s="123">
        <v>8</v>
      </c>
      <c r="AC910" s="123">
        <v>29</v>
      </c>
      <c r="AD910" s="21">
        <v>0</v>
      </c>
      <c r="AE910" s="54">
        <v>0</v>
      </c>
      <c r="AF910" s="315">
        <f t="shared" si="69"/>
        <v>0</v>
      </c>
    </row>
    <row r="911" spans="1:32" ht="240" x14ac:dyDescent="0.25">
      <c r="A911" s="108" t="s">
        <v>588</v>
      </c>
      <c r="B911" s="107" t="s">
        <v>2269</v>
      </c>
      <c r="C911" s="52"/>
      <c r="D911" s="106" t="s">
        <v>2275</v>
      </c>
      <c r="E911" s="22" t="str">
        <f t="shared" si="67"/>
        <v>SEJUSPPROG</v>
      </c>
      <c r="F911" s="52" t="s">
        <v>729</v>
      </c>
      <c r="G911" s="22" t="str">
        <f t="shared" si="68"/>
        <v>P130SEJUSP</v>
      </c>
      <c r="H911" s="92" t="s">
        <v>1148</v>
      </c>
      <c r="I911" s="22" t="s">
        <v>16</v>
      </c>
      <c r="J911" s="92" t="s">
        <v>2233</v>
      </c>
      <c r="K911" s="22" t="str">
        <f>VLOOKUP(CONCATENATE(A911,LEFT(J911,4)),AGRUPAMENTO!$D$2:$E$6783,2,FALSE)</f>
        <v>Demais despesas de capital</v>
      </c>
      <c r="L911" s="92" t="s">
        <v>94</v>
      </c>
      <c r="M911" s="52"/>
      <c r="N911" s="92">
        <v>10</v>
      </c>
      <c r="O911" s="171" t="s">
        <v>3094</v>
      </c>
      <c r="P911" s="52" t="s">
        <v>58</v>
      </c>
      <c r="Q911" s="92" t="s">
        <v>3720</v>
      </c>
      <c r="R911" s="92">
        <v>33</v>
      </c>
      <c r="S911" s="92" t="s">
        <v>3720</v>
      </c>
      <c r="T911" s="200">
        <v>385800</v>
      </c>
      <c r="U911" s="201">
        <v>1</v>
      </c>
      <c r="V911" s="58">
        <f t="shared" si="66"/>
        <v>12731400</v>
      </c>
      <c r="W911" s="92" t="s">
        <v>68</v>
      </c>
      <c r="X911" s="92" t="s">
        <v>4831</v>
      </c>
      <c r="Y911" s="92" t="s">
        <v>4832</v>
      </c>
      <c r="Z911" s="92" t="s">
        <v>4833</v>
      </c>
      <c r="AA911" s="92">
        <v>4</v>
      </c>
      <c r="AB911" s="92">
        <v>8</v>
      </c>
      <c r="AC911" s="92">
        <v>30</v>
      </c>
      <c r="AD911" s="21">
        <v>0</v>
      </c>
      <c r="AE911" s="54">
        <v>0</v>
      </c>
      <c r="AF911" s="315">
        <f t="shared" si="69"/>
        <v>0</v>
      </c>
    </row>
    <row r="912" spans="1:32" ht="409.5" x14ac:dyDescent="0.25">
      <c r="A912" s="107" t="s">
        <v>588</v>
      </c>
      <c r="B912" s="107" t="s">
        <v>2270</v>
      </c>
      <c r="C912" s="52"/>
      <c r="D912" s="52" t="s">
        <v>2301</v>
      </c>
      <c r="E912" s="22" t="str">
        <f t="shared" si="67"/>
        <v>SEJUSPPROG</v>
      </c>
      <c r="F912" s="52" t="s">
        <v>729</v>
      </c>
      <c r="G912" s="22" t="str">
        <f t="shared" si="68"/>
        <v>P130SEJUSP</v>
      </c>
      <c r="H912" s="52" t="s">
        <v>1148</v>
      </c>
      <c r="I912" s="22" t="s">
        <v>16</v>
      </c>
      <c r="J912" s="52" t="s">
        <v>1681</v>
      </c>
      <c r="K912" s="22" t="str">
        <f>VLOOKUP(CONCATENATE(A912,LEFT(J912,4)),AGRUPAMENTO!$D$2:$E$6783,2,FALSE)</f>
        <v>Aquisições de itens de TIC</v>
      </c>
      <c r="L912" s="52" t="s">
        <v>94</v>
      </c>
      <c r="M912" s="52"/>
      <c r="N912" s="52">
        <v>60</v>
      </c>
      <c r="O912" s="52" t="s">
        <v>3095</v>
      </c>
      <c r="P912" s="52" t="s">
        <v>58</v>
      </c>
      <c r="Q912" s="52" t="s">
        <v>4002</v>
      </c>
      <c r="R912" s="52">
        <v>7</v>
      </c>
      <c r="S912" s="52"/>
      <c r="T912" s="88">
        <v>310000</v>
      </c>
      <c r="U912" s="53">
        <v>12</v>
      </c>
      <c r="V912" s="58">
        <f t="shared" si="66"/>
        <v>26040000</v>
      </c>
      <c r="W912" s="52" t="s">
        <v>68</v>
      </c>
      <c r="X912" s="52" t="s">
        <v>4834</v>
      </c>
      <c r="Y912" s="52" t="s">
        <v>4835</v>
      </c>
      <c r="Z912" s="52" t="s">
        <v>4836</v>
      </c>
      <c r="AA912" s="52">
        <v>1</v>
      </c>
      <c r="AB912" s="52">
        <v>9</v>
      </c>
      <c r="AC912" s="52">
        <v>31</v>
      </c>
      <c r="AD912" s="21">
        <v>0</v>
      </c>
      <c r="AE912" s="54">
        <v>0</v>
      </c>
      <c r="AF912" s="315">
        <f t="shared" si="69"/>
        <v>0</v>
      </c>
    </row>
    <row r="913" spans="1:32" ht="345" x14ac:dyDescent="0.25">
      <c r="A913" s="108" t="s">
        <v>588</v>
      </c>
      <c r="B913" s="107" t="s">
        <v>2269</v>
      </c>
      <c r="C913" s="52"/>
      <c r="D913" s="106" t="s">
        <v>2297</v>
      </c>
      <c r="E913" s="22" t="str">
        <f t="shared" si="67"/>
        <v>SEJUSPPROG</v>
      </c>
      <c r="F913" s="52" t="s">
        <v>729</v>
      </c>
      <c r="G913" s="22" t="str">
        <f t="shared" si="68"/>
        <v>P130SEJUSP</v>
      </c>
      <c r="H913" s="92" t="s">
        <v>1148</v>
      </c>
      <c r="I913" s="22" t="s">
        <v>16</v>
      </c>
      <c r="J913" s="52" t="s">
        <v>313</v>
      </c>
      <c r="K913" s="22" t="str">
        <f>VLOOKUP(CONCATENATE(A913,LEFT(J913,4)),AGRUPAMENTO!$D$2:$E$6783,2,FALSE)</f>
        <v>Aquisições de itens de TIC</v>
      </c>
      <c r="L913" s="52" t="s">
        <v>94</v>
      </c>
      <c r="M913" s="52"/>
      <c r="N913" s="52">
        <v>60</v>
      </c>
      <c r="O913" s="92" t="s">
        <v>3096</v>
      </c>
      <c r="P913" s="52" t="s">
        <v>58</v>
      </c>
      <c r="Q913" s="92" t="s">
        <v>3898</v>
      </c>
      <c r="R913" s="92">
        <v>1</v>
      </c>
      <c r="S913" s="92" t="s">
        <v>3954</v>
      </c>
      <c r="T913" s="200">
        <v>90000</v>
      </c>
      <c r="U913" s="201">
        <v>1</v>
      </c>
      <c r="V913" s="58">
        <f t="shared" si="66"/>
        <v>90000</v>
      </c>
      <c r="W913" s="92" t="s">
        <v>68</v>
      </c>
      <c r="X913" s="92" t="s">
        <v>4837</v>
      </c>
      <c r="Y913" s="92" t="s">
        <v>4838</v>
      </c>
      <c r="Z913" s="92" t="s">
        <v>4607</v>
      </c>
      <c r="AA913" s="92">
        <v>2</v>
      </c>
      <c r="AB913" s="92">
        <v>9</v>
      </c>
      <c r="AC913" s="92">
        <v>32</v>
      </c>
      <c r="AD913" s="21">
        <v>0</v>
      </c>
      <c r="AE913" s="54">
        <v>0</v>
      </c>
      <c r="AF913" s="315">
        <f t="shared" si="69"/>
        <v>0</v>
      </c>
    </row>
    <row r="914" spans="1:32" ht="135" x14ac:dyDescent="0.25">
      <c r="A914" s="109" t="s">
        <v>588</v>
      </c>
      <c r="B914" s="110" t="s">
        <v>2270</v>
      </c>
      <c r="C914" s="52"/>
      <c r="D914" s="115" t="s">
        <v>2276</v>
      </c>
      <c r="E914" s="22" t="str">
        <f t="shared" si="67"/>
        <v>SEJUSPPROG</v>
      </c>
      <c r="F914" s="52" t="s">
        <v>729</v>
      </c>
      <c r="G914" s="22" t="str">
        <f t="shared" si="68"/>
        <v>P130SEJUSP</v>
      </c>
      <c r="H914" s="123" t="s">
        <v>1183</v>
      </c>
      <c r="I914" s="22" t="s">
        <v>16</v>
      </c>
      <c r="J914" s="123" t="s">
        <v>287</v>
      </c>
      <c r="K914" s="22" t="str">
        <f>VLOOKUP(CONCATENATE(A914,LEFT(J914,4)),AGRUPAMENTO!$D$2:$E$6783,2,FALSE)</f>
        <v>Demais despesas de capital</v>
      </c>
      <c r="L914" s="123" t="s">
        <v>94</v>
      </c>
      <c r="M914" s="52"/>
      <c r="N914" s="123">
        <v>10</v>
      </c>
      <c r="O914" s="123" t="s">
        <v>3097</v>
      </c>
      <c r="P914" s="52" t="s">
        <v>58</v>
      </c>
      <c r="Q914" s="123" t="s">
        <v>3964</v>
      </c>
      <c r="R914" s="142">
        <v>3764</v>
      </c>
      <c r="S914" s="123" t="s">
        <v>3886</v>
      </c>
      <c r="T914" s="180">
        <v>2500</v>
      </c>
      <c r="U914" s="181">
        <v>1</v>
      </c>
      <c r="V914" s="58">
        <f t="shared" si="66"/>
        <v>9410000</v>
      </c>
      <c r="W914" s="123" t="s">
        <v>68</v>
      </c>
      <c r="X914" s="123" t="s">
        <v>4839</v>
      </c>
      <c r="Y914" s="123" t="s">
        <v>4738</v>
      </c>
      <c r="Z914" s="123" t="s">
        <v>4739</v>
      </c>
      <c r="AA914" s="123">
        <v>8</v>
      </c>
      <c r="AB914" s="123">
        <v>10</v>
      </c>
      <c r="AC914" s="92">
        <v>33</v>
      </c>
      <c r="AD914" s="21">
        <v>0</v>
      </c>
      <c r="AE914" s="54">
        <v>0</v>
      </c>
      <c r="AF914" s="315">
        <f t="shared" si="69"/>
        <v>0</v>
      </c>
    </row>
    <row r="915" spans="1:32" ht="409.5" x14ac:dyDescent="0.25">
      <c r="A915" s="107" t="s">
        <v>588</v>
      </c>
      <c r="B915" s="107" t="s">
        <v>2269</v>
      </c>
      <c r="C915" s="52"/>
      <c r="D915" s="106" t="s">
        <v>2300</v>
      </c>
      <c r="E915" s="22" t="str">
        <f t="shared" si="67"/>
        <v>SEJUSPPROG</v>
      </c>
      <c r="F915" s="52" t="s">
        <v>729</v>
      </c>
      <c r="G915" s="22" t="str">
        <f t="shared" si="68"/>
        <v>P130SEJUSP</v>
      </c>
      <c r="H915" s="92" t="s">
        <v>1148</v>
      </c>
      <c r="I915" s="22" t="s">
        <v>16</v>
      </c>
      <c r="J915" s="92" t="s">
        <v>1676</v>
      </c>
      <c r="K915" s="22" t="str">
        <f>VLOOKUP(CONCATENATE(A915,LEFT(J915,4)),AGRUPAMENTO!$D$2:$E$6783,2,FALSE)</f>
        <v>Aquisições de itens de TIC</v>
      </c>
      <c r="L915" s="92" t="s">
        <v>94</v>
      </c>
      <c r="M915" s="52"/>
      <c r="N915" s="92">
        <v>10</v>
      </c>
      <c r="O915" s="153" t="s">
        <v>2860</v>
      </c>
      <c r="P915" s="52" t="s">
        <v>58</v>
      </c>
      <c r="Q915" s="92" t="s">
        <v>4003</v>
      </c>
      <c r="R915" s="92">
        <v>335</v>
      </c>
      <c r="S915" s="92" t="s">
        <v>3912</v>
      </c>
      <c r="T915" s="200">
        <v>4217.57</v>
      </c>
      <c r="U915" s="201">
        <v>1</v>
      </c>
      <c r="V915" s="58">
        <f t="shared" si="66"/>
        <v>1412885.95</v>
      </c>
      <c r="W915" s="92" t="s">
        <v>68</v>
      </c>
      <c r="X915" s="302" t="s">
        <v>4633</v>
      </c>
      <c r="Y915" s="92" t="s">
        <v>4840</v>
      </c>
      <c r="Z915" s="92" t="s">
        <v>4841</v>
      </c>
      <c r="AA915" s="92">
        <v>3</v>
      </c>
      <c r="AB915" s="92">
        <v>10</v>
      </c>
      <c r="AC915" s="92">
        <v>34</v>
      </c>
      <c r="AD915" s="21">
        <v>0</v>
      </c>
      <c r="AE915" s="54">
        <v>0</v>
      </c>
      <c r="AF915" s="315">
        <f t="shared" si="69"/>
        <v>0</v>
      </c>
    </row>
    <row r="916" spans="1:32" ht="409.5" x14ac:dyDescent="0.25">
      <c r="A916" s="107" t="s">
        <v>588</v>
      </c>
      <c r="B916" s="107" t="s">
        <v>2269</v>
      </c>
      <c r="C916" s="52"/>
      <c r="D916" s="106" t="s">
        <v>2300</v>
      </c>
      <c r="E916" s="22" t="str">
        <f t="shared" si="67"/>
        <v>SEJUSPPROG</v>
      </c>
      <c r="F916" s="52" t="s">
        <v>729</v>
      </c>
      <c r="G916" s="22" t="str">
        <f t="shared" si="68"/>
        <v>P130SEJUSP</v>
      </c>
      <c r="H916" s="92" t="s">
        <v>1148</v>
      </c>
      <c r="I916" s="22" t="s">
        <v>16</v>
      </c>
      <c r="J916" s="92" t="s">
        <v>1676</v>
      </c>
      <c r="K916" s="22" t="str">
        <f>VLOOKUP(CONCATENATE(A916,LEFT(J916,4)),AGRUPAMENTO!$D$2:$E$6783,2,FALSE)</f>
        <v>Aquisições de itens de TIC</v>
      </c>
      <c r="L916" s="92" t="s">
        <v>94</v>
      </c>
      <c r="M916" s="52"/>
      <c r="N916" s="92">
        <v>10</v>
      </c>
      <c r="O916" s="153" t="s">
        <v>3098</v>
      </c>
      <c r="P916" s="52" t="s">
        <v>58</v>
      </c>
      <c r="Q916" s="92" t="s">
        <v>4004</v>
      </c>
      <c r="R916" s="92">
        <v>151</v>
      </c>
      <c r="S916" s="92" t="s">
        <v>3918</v>
      </c>
      <c r="T916" s="200">
        <v>3000</v>
      </c>
      <c r="U916" s="201">
        <v>1</v>
      </c>
      <c r="V916" s="58">
        <f t="shared" si="66"/>
        <v>453000</v>
      </c>
      <c r="W916" s="92" t="s">
        <v>68</v>
      </c>
      <c r="X916" s="302" t="s">
        <v>4633</v>
      </c>
      <c r="Y916" s="92" t="s">
        <v>4840</v>
      </c>
      <c r="Z916" s="92" t="s">
        <v>4841</v>
      </c>
      <c r="AA916" s="92">
        <v>3</v>
      </c>
      <c r="AB916" s="92">
        <v>10</v>
      </c>
      <c r="AC916" s="92">
        <v>34</v>
      </c>
      <c r="AD916" s="21">
        <v>0</v>
      </c>
      <c r="AE916" s="54">
        <v>0</v>
      </c>
      <c r="AF916" s="315">
        <f t="shared" si="69"/>
        <v>0</v>
      </c>
    </row>
    <row r="917" spans="1:32" ht="210" x14ac:dyDescent="0.25">
      <c r="A917" s="107" t="s">
        <v>588</v>
      </c>
      <c r="B917" s="107" t="s">
        <v>2269</v>
      </c>
      <c r="C917" s="52"/>
      <c r="D917" s="106" t="s">
        <v>2300</v>
      </c>
      <c r="E917" s="22" t="str">
        <f t="shared" si="67"/>
        <v>SEJUSPPROG</v>
      </c>
      <c r="F917" s="52" t="s">
        <v>729</v>
      </c>
      <c r="G917" s="22" t="str">
        <f t="shared" si="68"/>
        <v>P130SEJUSP</v>
      </c>
      <c r="H917" s="92" t="s">
        <v>1183</v>
      </c>
      <c r="I917" s="22" t="s">
        <v>16</v>
      </c>
      <c r="J917" s="92" t="s">
        <v>2144</v>
      </c>
      <c r="K917" s="22" t="str">
        <f>VLOOKUP(CONCATENATE(A917,LEFT(J917,4)),AGRUPAMENTO!$D$2:$E$6783,2,FALSE)</f>
        <v>Material de consumo</v>
      </c>
      <c r="L917" s="92" t="s">
        <v>44</v>
      </c>
      <c r="M917" s="52"/>
      <c r="N917" s="52">
        <v>60</v>
      </c>
      <c r="O917" s="153" t="s">
        <v>3099</v>
      </c>
      <c r="P917" s="52" t="s">
        <v>58</v>
      </c>
      <c r="Q917" s="92" t="s">
        <v>4005</v>
      </c>
      <c r="R917" s="92">
        <v>152</v>
      </c>
      <c r="S917" s="92" t="s">
        <v>3918</v>
      </c>
      <c r="T917" s="200">
        <v>200</v>
      </c>
      <c r="U917" s="201">
        <v>1</v>
      </c>
      <c r="V917" s="58">
        <f t="shared" si="66"/>
        <v>30400</v>
      </c>
      <c r="W917" s="92" t="s">
        <v>68</v>
      </c>
      <c r="X917" s="302" t="s">
        <v>4633</v>
      </c>
      <c r="Y917" s="92" t="s">
        <v>4655</v>
      </c>
      <c r="Z917" s="92" t="s">
        <v>4656</v>
      </c>
      <c r="AA917" s="92">
        <v>3</v>
      </c>
      <c r="AB917" s="92">
        <v>10</v>
      </c>
      <c r="AC917" s="92">
        <v>34</v>
      </c>
      <c r="AD917" s="21">
        <v>0</v>
      </c>
      <c r="AE917" s="54">
        <v>0</v>
      </c>
      <c r="AF917" s="315">
        <f t="shared" si="69"/>
        <v>0</v>
      </c>
    </row>
    <row r="918" spans="1:32" ht="210" x14ac:dyDescent="0.25">
      <c r="A918" s="107" t="s">
        <v>588</v>
      </c>
      <c r="B918" s="107" t="s">
        <v>2269</v>
      </c>
      <c r="C918" s="52"/>
      <c r="D918" s="106" t="s">
        <v>2300</v>
      </c>
      <c r="E918" s="22" t="str">
        <f t="shared" si="67"/>
        <v>SEJUSPPROG</v>
      </c>
      <c r="F918" s="52" t="s">
        <v>729</v>
      </c>
      <c r="G918" s="22" t="str">
        <f t="shared" si="68"/>
        <v>P130SEJUSP</v>
      </c>
      <c r="H918" s="92" t="s">
        <v>1183</v>
      </c>
      <c r="I918" s="22" t="s">
        <v>16</v>
      </c>
      <c r="J918" s="92" t="s">
        <v>2144</v>
      </c>
      <c r="K918" s="22" t="str">
        <f>VLOOKUP(CONCATENATE(A918,LEFT(J918,4)),AGRUPAMENTO!$D$2:$E$6783,2,FALSE)</f>
        <v>Material de consumo</v>
      </c>
      <c r="L918" s="92" t="s">
        <v>44</v>
      </c>
      <c r="M918" s="52"/>
      <c r="N918" s="52">
        <v>60</v>
      </c>
      <c r="O918" s="153" t="s">
        <v>3100</v>
      </c>
      <c r="P918" s="52" t="s">
        <v>58</v>
      </c>
      <c r="Q918" s="92" t="s">
        <v>4005</v>
      </c>
      <c r="R918" s="92">
        <v>152</v>
      </c>
      <c r="S918" s="92" t="s">
        <v>3918</v>
      </c>
      <c r="T918" s="200">
        <v>200</v>
      </c>
      <c r="U918" s="201">
        <v>1</v>
      </c>
      <c r="V918" s="58">
        <f t="shared" si="66"/>
        <v>30400</v>
      </c>
      <c r="W918" s="92" t="s">
        <v>68</v>
      </c>
      <c r="X918" s="302" t="s">
        <v>4633</v>
      </c>
      <c r="Y918" s="92" t="s">
        <v>4655</v>
      </c>
      <c r="Z918" s="92" t="s">
        <v>4656</v>
      </c>
      <c r="AA918" s="92">
        <v>3</v>
      </c>
      <c r="AB918" s="92">
        <v>10</v>
      </c>
      <c r="AC918" s="92">
        <v>34</v>
      </c>
      <c r="AD918" s="21">
        <v>0</v>
      </c>
      <c r="AE918" s="54">
        <v>0</v>
      </c>
      <c r="AF918" s="315">
        <f t="shared" si="69"/>
        <v>0</v>
      </c>
    </row>
    <row r="919" spans="1:32" ht="210" x14ac:dyDescent="0.25">
      <c r="A919" s="107" t="s">
        <v>588</v>
      </c>
      <c r="B919" s="107" t="s">
        <v>2269</v>
      </c>
      <c r="C919" s="52"/>
      <c r="D919" s="106" t="s">
        <v>2300</v>
      </c>
      <c r="E919" s="22" t="str">
        <f t="shared" si="67"/>
        <v>SEJUSPPROG</v>
      </c>
      <c r="F919" s="52" t="s">
        <v>729</v>
      </c>
      <c r="G919" s="22" t="str">
        <f t="shared" si="68"/>
        <v>P130SEJUSP</v>
      </c>
      <c r="H919" s="92" t="s">
        <v>1183</v>
      </c>
      <c r="I919" s="22" t="s">
        <v>16</v>
      </c>
      <c r="J919" s="92" t="s">
        <v>1602</v>
      </c>
      <c r="K919" s="22" t="str">
        <f>VLOOKUP(CONCATENATE(A919,LEFT(J919,4)),AGRUPAMENTO!$D$2:$E$6783,2,FALSE)</f>
        <v>Material de consumo</v>
      </c>
      <c r="L919" s="92" t="s">
        <v>44</v>
      </c>
      <c r="M919" s="52"/>
      <c r="N919" s="52">
        <v>60</v>
      </c>
      <c r="O919" s="153" t="s">
        <v>3101</v>
      </c>
      <c r="P919" s="52" t="s">
        <v>58</v>
      </c>
      <c r="Q919" s="92" t="s">
        <v>4006</v>
      </c>
      <c r="R919" s="92">
        <v>60000</v>
      </c>
      <c r="S919" s="92" t="s">
        <v>4007</v>
      </c>
      <c r="T919" s="200">
        <v>0.22</v>
      </c>
      <c r="U919" s="201">
        <v>1</v>
      </c>
      <c r="V919" s="58">
        <f t="shared" si="66"/>
        <v>13200</v>
      </c>
      <c r="W919" s="92" t="s">
        <v>68</v>
      </c>
      <c r="X919" s="302" t="s">
        <v>4633</v>
      </c>
      <c r="Y919" s="92" t="s">
        <v>4842</v>
      </c>
      <c r="Z919" s="92" t="s">
        <v>4843</v>
      </c>
      <c r="AA919" s="92">
        <v>3</v>
      </c>
      <c r="AB919" s="92">
        <v>10</v>
      </c>
      <c r="AC919" s="92">
        <v>34</v>
      </c>
      <c r="AD919" s="21">
        <v>0</v>
      </c>
      <c r="AE919" s="54">
        <v>0</v>
      </c>
      <c r="AF919" s="315">
        <f t="shared" si="69"/>
        <v>0</v>
      </c>
    </row>
    <row r="920" spans="1:32" ht="210" x14ac:dyDescent="0.25">
      <c r="A920" s="107" t="s">
        <v>588</v>
      </c>
      <c r="B920" s="107" t="s">
        <v>2269</v>
      </c>
      <c r="C920" s="52"/>
      <c r="D920" s="106" t="s">
        <v>2300</v>
      </c>
      <c r="E920" s="22" t="str">
        <f t="shared" si="67"/>
        <v>SEJUSPPROG</v>
      </c>
      <c r="F920" s="52" t="s">
        <v>729</v>
      </c>
      <c r="G920" s="22" t="str">
        <f t="shared" si="68"/>
        <v>P130SEJUSP</v>
      </c>
      <c r="H920" s="92" t="s">
        <v>1183</v>
      </c>
      <c r="I920" s="22" t="s">
        <v>16</v>
      </c>
      <c r="J920" s="92" t="s">
        <v>2144</v>
      </c>
      <c r="K920" s="22" t="str">
        <f>VLOOKUP(CONCATENATE(A920,LEFT(J920,4)),AGRUPAMENTO!$D$2:$E$6783,2,FALSE)</f>
        <v>Material de consumo</v>
      </c>
      <c r="L920" s="92" t="s">
        <v>44</v>
      </c>
      <c r="M920" s="52"/>
      <c r="N920" s="52">
        <v>60</v>
      </c>
      <c r="O920" s="153" t="s">
        <v>3102</v>
      </c>
      <c r="P920" s="52" t="s">
        <v>58</v>
      </c>
      <c r="Q920" s="92" t="s">
        <v>4005</v>
      </c>
      <c r="R920" s="92">
        <v>152</v>
      </c>
      <c r="S920" s="92" t="s">
        <v>3918</v>
      </c>
      <c r="T920" s="200">
        <v>200</v>
      </c>
      <c r="U920" s="201">
        <v>1</v>
      </c>
      <c r="V920" s="58">
        <f t="shared" si="66"/>
        <v>30400</v>
      </c>
      <c r="W920" s="92" t="s">
        <v>68</v>
      </c>
      <c r="X920" s="302" t="s">
        <v>4633</v>
      </c>
      <c r="Y920" s="92" t="s">
        <v>4655</v>
      </c>
      <c r="Z920" s="92" t="s">
        <v>4656</v>
      </c>
      <c r="AA920" s="92">
        <v>3</v>
      </c>
      <c r="AB920" s="92">
        <v>10</v>
      </c>
      <c r="AC920" s="92">
        <v>34</v>
      </c>
      <c r="AD920" s="21">
        <v>0</v>
      </c>
      <c r="AE920" s="54">
        <v>0</v>
      </c>
      <c r="AF920" s="315">
        <f t="shared" si="69"/>
        <v>0</v>
      </c>
    </row>
    <row r="921" spans="1:32" ht="210" x14ac:dyDescent="0.25">
      <c r="A921" s="107" t="s">
        <v>588</v>
      </c>
      <c r="B921" s="107" t="s">
        <v>2269</v>
      </c>
      <c r="C921" s="52"/>
      <c r="D921" s="106" t="s">
        <v>2300</v>
      </c>
      <c r="E921" s="22" t="str">
        <f t="shared" si="67"/>
        <v>SEJUSPPROG</v>
      </c>
      <c r="F921" s="52" t="s">
        <v>729</v>
      </c>
      <c r="G921" s="22" t="str">
        <f t="shared" si="68"/>
        <v>P130SEJUSP</v>
      </c>
      <c r="H921" s="92" t="s">
        <v>1183</v>
      </c>
      <c r="I921" s="22" t="s">
        <v>16</v>
      </c>
      <c r="J921" s="92" t="s">
        <v>1644</v>
      </c>
      <c r="K921" s="22" t="str">
        <f>VLOOKUP(CONCATENATE(A921,LEFT(J921,4)),AGRUPAMENTO!$D$2:$E$6783,2,FALSE)</f>
        <v>Cursos de formação e capacitações</v>
      </c>
      <c r="L921" s="92" t="s">
        <v>44</v>
      </c>
      <c r="M921" s="52"/>
      <c r="N921" s="52">
        <v>60</v>
      </c>
      <c r="O921" s="153" t="s">
        <v>3103</v>
      </c>
      <c r="P921" s="52" t="s">
        <v>58</v>
      </c>
      <c r="Q921" s="92" t="s">
        <v>4005</v>
      </c>
      <c r="R921" s="92">
        <v>152</v>
      </c>
      <c r="S921" s="92" t="s">
        <v>3918</v>
      </c>
      <c r="T921" s="200">
        <v>2497</v>
      </c>
      <c r="U921" s="201">
        <v>1</v>
      </c>
      <c r="V921" s="58">
        <f t="shared" si="66"/>
        <v>379544</v>
      </c>
      <c r="W921" s="92" t="s">
        <v>68</v>
      </c>
      <c r="X921" s="302" t="s">
        <v>4633</v>
      </c>
      <c r="Y921" s="92" t="s">
        <v>4842</v>
      </c>
      <c r="Z921" s="92" t="s">
        <v>4843</v>
      </c>
      <c r="AA921" s="92">
        <v>3</v>
      </c>
      <c r="AB921" s="92">
        <v>10</v>
      </c>
      <c r="AC921" s="92">
        <v>34</v>
      </c>
      <c r="AD921" s="21">
        <v>0</v>
      </c>
      <c r="AE921" s="54">
        <v>0</v>
      </c>
      <c r="AF921" s="315">
        <f t="shared" si="69"/>
        <v>0</v>
      </c>
    </row>
    <row r="922" spans="1:32" ht="210" x14ac:dyDescent="0.25">
      <c r="A922" s="107" t="s">
        <v>588</v>
      </c>
      <c r="B922" s="107" t="s">
        <v>2269</v>
      </c>
      <c r="C922" s="52"/>
      <c r="D922" s="106" t="s">
        <v>2300</v>
      </c>
      <c r="E922" s="22" t="str">
        <f t="shared" si="67"/>
        <v>SEJUSPPROG</v>
      </c>
      <c r="F922" s="52" t="s">
        <v>729</v>
      </c>
      <c r="G922" s="22" t="str">
        <f t="shared" si="68"/>
        <v>P130SEJUSP</v>
      </c>
      <c r="H922" s="92" t="s">
        <v>1183</v>
      </c>
      <c r="I922" s="22" t="s">
        <v>16</v>
      </c>
      <c r="J922" s="92" t="s">
        <v>1644</v>
      </c>
      <c r="K922" s="22" t="str">
        <f>VLOOKUP(CONCATENATE(A922,LEFT(J922,4)),AGRUPAMENTO!$D$2:$E$6783,2,FALSE)</f>
        <v>Cursos de formação e capacitações</v>
      </c>
      <c r="L922" s="92" t="s">
        <v>44</v>
      </c>
      <c r="M922" s="52"/>
      <c r="N922" s="52">
        <v>60</v>
      </c>
      <c r="O922" s="153" t="s">
        <v>3104</v>
      </c>
      <c r="P922" s="52" t="s">
        <v>58</v>
      </c>
      <c r="Q922" s="92" t="s">
        <v>4005</v>
      </c>
      <c r="R922" s="92">
        <v>152</v>
      </c>
      <c r="S922" s="92" t="s">
        <v>3918</v>
      </c>
      <c r="T922" s="200">
        <v>997</v>
      </c>
      <c r="U922" s="201">
        <v>1</v>
      </c>
      <c r="V922" s="58">
        <f t="shared" si="66"/>
        <v>151544</v>
      </c>
      <c r="W922" s="92" t="s">
        <v>68</v>
      </c>
      <c r="X922" s="302" t="s">
        <v>4633</v>
      </c>
      <c r="Y922" s="92" t="s">
        <v>4842</v>
      </c>
      <c r="Z922" s="92" t="s">
        <v>4843</v>
      </c>
      <c r="AA922" s="92">
        <v>3</v>
      </c>
      <c r="AB922" s="92">
        <v>10</v>
      </c>
      <c r="AC922" s="92">
        <v>34</v>
      </c>
      <c r="AD922" s="21">
        <v>0</v>
      </c>
      <c r="AE922" s="54">
        <v>0</v>
      </c>
      <c r="AF922" s="315">
        <f t="shared" si="69"/>
        <v>0</v>
      </c>
    </row>
    <row r="923" spans="1:32" ht="210" x14ac:dyDescent="0.25">
      <c r="A923" s="107" t="s">
        <v>588</v>
      </c>
      <c r="B923" s="107" t="s">
        <v>2269</v>
      </c>
      <c r="C923" s="52"/>
      <c r="D923" s="106" t="s">
        <v>2300</v>
      </c>
      <c r="E923" s="22" t="str">
        <f t="shared" si="67"/>
        <v>SEJUSPPROG</v>
      </c>
      <c r="F923" s="52" t="s">
        <v>729</v>
      </c>
      <c r="G923" s="22" t="str">
        <f t="shared" si="68"/>
        <v>P130SEJUSP</v>
      </c>
      <c r="H923" s="92" t="s">
        <v>1183</v>
      </c>
      <c r="I923" s="22" t="s">
        <v>16</v>
      </c>
      <c r="J923" s="92" t="s">
        <v>1644</v>
      </c>
      <c r="K923" s="22" t="str">
        <f>VLOOKUP(CONCATENATE(A923,LEFT(J923,4)),AGRUPAMENTO!$D$2:$E$6783,2,FALSE)</f>
        <v>Cursos de formação e capacitações</v>
      </c>
      <c r="L923" s="92" t="s">
        <v>44</v>
      </c>
      <c r="M923" s="52"/>
      <c r="N923" s="52">
        <v>60</v>
      </c>
      <c r="O923" s="153" t="s">
        <v>3105</v>
      </c>
      <c r="P923" s="52" t="s">
        <v>58</v>
      </c>
      <c r="Q923" s="92" t="s">
        <v>4005</v>
      </c>
      <c r="R923" s="92">
        <v>152</v>
      </c>
      <c r="S923" s="92" t="s">
        <v>3918</v>
      </c>
      <c r="T923" s="200">
        <v>77</v>
      </c>
      <c r="U923" s="201">
        <v>1</v>
      </c>
      <c r="V923" s="58">
        <f t="shared" si="66"/>
        <v>11704</v>
      </c>
      <c r="W923" s="92" t="s">
        <v>68</v>
      </c>
      <c r="X923" s="302" t="s">
        <v>4633</v>
      </c>
      <c r="Y923" s="92" t="s">
        <v>4842</v>
      </c>
      <c r="Z923" s="92" t="s">
        <v>4843</v>
      </c>
      <c r="AA923" s="92">
        <v>3</v>
      </c>
      <c r="AB923" s="92">
        <v>10</v>
      </c>
      <c r="AC923" s="92">
        <v>34</v>
      </c>
      <c r="AD923" s="21">
        <v>0</v>
      </c>
      <c r="AE923" s="54">
        <v>0</v>
      </c>
      <c r="AF923" s="315">
        <f t="shared" si="69"/>
        <v>0</v>
      </c>
    </row>
    <row r="924" spans="1:32" ht="409.5" x14ac:dyDescent="0.25">
      <c r="A924" s="107" t="s">
        <v>588</v>
      </c>
      <c r="B924" s="107" t="s">
        <v>2269</v>
      </c>
      <c r="C924" s="52"/>
      <c r="D924" s="106" t="s">
        <v>2300</v>
      </c>
      <c r="E924" s="22" t="str">
        <f t="shared" si="67"/>
        <v>SEJUSPPROG</v>
      </c>
      <c r="F924" s="52" t="s">
        <v>729</v>
      </c>
      <c r="G924" s="22" t="str">
        <f t="shared" si="68"/>
        <v>P130SEJUSP</v>
      </c>
      <c r="H924" s="92" t="s">
        <v>1183</v>
      </c>
      <c r="I924" s="22" t="s">
        <v>16</v>
      </c>
      <c r="J924" s="92" t="s">
        <v>1676</v>
      </c>
      <c r="K924" s="22" t="str">
        <f>VLOOKUP(CONCATENATE(A924,LEFT(J924,4)),AGRUPAMENTO!$D$2:$E$6783,2,FALSE)</f>
        <v>Aquisições de itens de TIC</v>
      </c>
      <c r="L924" s="92" t="s">
        <v>94</v>
      </c>
      <c r="M924" s="52"/>
      <c r="N924" s="92">
        <v>10</v>
      </c>
      <c r="O924" s="92" t="s">
        <v>3106</v>
      </c>
      <c r="P924" s="52" t="s">
        <v>58</v>
      </c>
      <c r="Q924" s="92" t="s">
        <v>4008</v>
      </c>
      <c r="R924" s="92">
        <v>70</v>
      </c>
      <c r="S924" s="92" t="s">
        <v>3928</v>
      </c>
      <c r="T924" s="200">
        <v>3000</v>
      </c>
      <c r="U924" s="201">
        <v>1</v>
      </c>
      <c r="V924" s="58">
        <f t="shared" si="66"/>
        <v>210000</v>
      </c>
      <c r="W924" s="92" t="s">
        <v>68</v>
      </c>
      <c r="X924" s="302" t="s">
        <v>4633</v>
      </c>
      <c r="Y924" s="92" t="s">
        <v>4844</v>
      </c>
      <c r="Z924" s="92" t="s">
        <v>4845</v>
      </c>
      <c r="AA924" s="92">
        <v>3</v>
      </c>
      <c r="AB924" s="92">
        <v>10</v>
      </c>
      <c r="AC924" s="92">
        <v>34</v>
      </c>
      <c r="AD924" s="21">
        <v>0</v>
      </c>
      <c r="AE924" s="54">
        <v>0</v>
      </c>
      <c r="AF924" s="315">
        <f t="shared" si="69"/>
        <v>0</v>
      </c>
    </row>
    <row r="925" spans="1:32" ht="255" x14ac:dyDescent="0.25">
      <c r="A925" s="107" t="s">
        <v>588</v>
      </c>
      <c r="B925" s="107" t="s">
        <v>2269</v>
      </c>
      <c r="C925" s="52"/>
      <c r="D925" s="106" t="s">
        <v>2300</v>
      </c>
      <c r="E925" s="22" t="str">
        <f t="shared" si="67"/>
        <v>SEJUSPPROG</v>
      </c>
      <c r="F925" s="52" t="s">
        <v>729</v>
      </c>
      <c r="G925" s="22" t="str">
        <f t="shared" si="68"/>
        <v>P130SEJUSP</v>
      </c>
      <c r="H925" s="92" t="s">
        <v>1148</v>
      </c>
      <c r="I925" s="22" t="s">
        <v>16</v>
      </c>
      <c r="J925" s="92" t="s">
        <v>2231</v>
      </c>
      <c r="K925" s="22" t="str">
        <f>VLOOKUP(CONCATENATE(A925,LEFT(J925,4)),AGRUPAMENTO!$D$2:$E$6783,2,FALSE)</f>
        <v>Demais despesas de capital</v>
      </c>
      <c r="L925" s="92" t="s">
        <v>94</v>
      </c>
      <c r="M925" s="52"/>
      <c r="N925" s="92">
        <v>10</v>
      </c>
      <c r="O925" s="92" t="s">
        <v>2647</v>
      </c>
      <c r="P925" s="52" t="s">
        <v>58</v>
      </c>
      <c r="Q925" s="92" t="s">
        <v>4009</v>
      </c>
      <c r="R925" s="92">
        <v>25</v>
      </c>
      <c r="S925" s="92" t="s">
        <v>3928</v>
      </c>
      <c r="T925" s="200">
        <v>1705</v>
      </c>
      <c r="U925" s="201">
        <v>1</v>
      </c>
      <c r="V925" s="58">
        <f t="shared" si="66"/>
        <v>42625</v>
      </c>
      <c r="W925" s="92" t="s">
        <v>68</v>
      </c>
      <c r="X925" s="302" t="s">
        <v>4633</v>
      </c>
      <c r="Y925" s="92" t="s">
        <v>4663</v>
      </c>
      <c r="Z925" s="92" t="s">
        <v>4664</v>
      </c>
      <c r="AA925" s="92">
        <v>3</v>
      </c>
      <c r="AB925" s="92">
        <v>10</v>
      </c>
      <c r="AC925" s="92">
        <v>34</v>
      </c>
      <c r="AD925" s="21">
        <v>0</v>
      </c>
      <c r="AE925" s="54">
        <v>0</v>
      </c>
      <c r="AF925" s="315">
        <f t="shared" si="69"/>
        <v>0</v>
      </c>
    </row>
    <row r="926" spans="1:32" ht="255" x14ac:dyDescent="0.25">
      <c r="A926" s="107" t="s">
        <v>588</v>
      </c>
      <c r="B926" s="107" t="s">
        <v>2269</v>
      </c>
      <c r="C926" s="52"/>
      <c r="D926" s="106" t="s">
        <v>2300</v>
      </c>
      <c r="E926" s="22" t="str">
        <f t="shared" si="67"/>
        <v>SEJUSPPROG</v>
      </c>
      <c r="F926" s="52" t="s">
        <v>729</v>
      </c>
      <c r="G926" s="22" t="str">
        <f t="shared" si="68"/>
        <v>P130SEJUSP</v>
      </c>
      <c r="H926" s="92" t="s">
        <v>1183</v>
      </c>
      <c r="I926" s="22" t="s">
        <v>16</v>
      </c>
      <c r="J926" s="92" t="s">
        <v>1676</v>
      </c>
      <c r="K926" s="22" t="str">
        <f>VLOOKUP(CONCATENATE(A926,LEFT(J926,4)),AGRUPAMENTO!$D$2:$E$6783,2,FALSE)</f>
        <v>Aquisições de itens de TIC</v>
      </c>
      <c r="L926" s="92" t="s">
        <v>94</v>
      </c>
      <c r="M926" s="52"/>
      <c r="N926" s="92">
        <v>10</v>
      </c>
      <c r="O926" s="92" t="s">
        <v>3107</v>
      </c>
      <c r="P926" s="52" t="s">
        <v>58</v>
      </c>
      <c r="Q926" s="92" t="s">
        <v>4009</v>
      </c>
      <c r="R926" s="92">
        <v>30</v>
      </c>
      <c r="S926" s="92" t="s">
        <v>3928</v>
      </c>
      <c r="T926" s="200">
        <v>1980</v>
      </c>
      <c r="U926" s="201">
        <v>1</v>
      </c>
      <c r="V926" s="58">
        <f t="shared" si="66"/>
        <v>59400</v>
      </c>
      <c r="W926" s="92" t="s">
        <v>68</v>
      </c>
      <c r="X926" s="302" t="s">
        <v>4633</v>
      </c>
      <c r="Y926" s="92" t="s">
        <v>4663</v>
      </c>
      <c r="Z926" s="92" t="s">
        <v>4664</v>
      </c>
      <c r="AA926" s="92">
        <v>3</v>
      </c>
      <c r="AB926" s="92">
        <v>10</v>
      </c>
      <c r="AC926" s="92">
        <v>34</v>
      </c>
      <c r="AD926" s="21">
        <v>0</v>
      </c>
      <c r="AE926" s="54">
        <v>0</v>
      </c>
      <c r="AF926" s="315">
        <f t="shared" si="69"/>
        <v>0</v>
      </c>
    </row>
    <row r="927" spans="1:32" ht="105" x14ac:dyDescent="0.25">
      <c r="A927" s="107" t="s">
        <v>588</v>
      </c>
      <c r="B927" s="107" t="s">
        <v>2270</v>
      </c>
      <c r="C927" s="52"/>
      <c r="D927" s="52" t="s">
        <v>2301</v>
      </c>
      <c r="E927" s="22" t="str">
        <f t="shared" si="67"/>
        <v>SEJUSPPROG</v>
      </c>
      <c r="F927" s="116" t="s">
        <v>687</v>
      </c>
      <c r="G927" s="22" t="str">
        <f t="shared" si="68"/>
        <v>P705SEJUSP</v>
      </c>
      <c r="H927" s="52" t="s">
        <v>914</v>
      </c>
      <c r="I927" s="22" t="s">
        <v>16</v>
      </c>
      <c r="J927" s="107" t="s">
        <v>2207</v>
      </c>
      <c r="K927" s="22" t="str">
        <f>VLOOKUP(CONCATENATE(A927,LEFT(J927,4)),AGRUPAMENTO!$D$2:$E$6783,2,FALSE)</f>
        <v>PRODEMGE</v>
      </c>
      <c r="L927" s="52" t="s">
        <v>44</v>
      </c>
      <c r="M927" s="52"/>
      <c r="N927" s="52">
        <v>10</v>
      </c>
      <c r="O927" s="52" t="s">
        <v>3083</v>
      </c>
      <c r="P927" s="52" t="s">
        <v>46</v>
      </c>
      <c r="Q927" s="52" t="s">
        <v>4000</v>
      </c>
      <c r="R927" s="52">
        <v>2</v>
      </c>
      <c r="S927" s="52" t="s">
        <v>3937</v>
      </c>
      <c r="T927" s="88">
        <v>80.5</v>
      </c>
      <c r="U927" s="53">
        <v>12</v>
      </c>
      <c r="V927" s="58">
        <f t="shared" si="66"/>
        <v>1932</v>
      </c>
      <c r="W927" s="52" t="s">
        <v>49</v>
      </c>
      <c r="X927" s="52" t="s">
        <v>4825</v>
      </c>
      <c r="Y927" s="52" t="s">
        <v>4826</v>
      </c>
      <c r="Z927" s="52" t="s">
        <v>4827</v>
      </c>
      <c r="AA927" s="52">
        <v>0</v>
      </c>
      <c r="AB927" s="52">
        <v>0</v>
      </c>
      <c r="AC927" s="52">
        <v>0</v>
      </c>
      <c r="AD927" s="21">
        <v>0.74255988295180719</v>
      </c>
      <c r="AE927" s="54">
        <v>0.74255988295180719</v>
      </c>
      <c r="AF927" s="315">
        <f t="shared" si="69"/>
        <v>1434.6256938628915</v>
      </c>
    </row>
    <row r="928" spans="1:32" ht="105" x14ac:dyDescent="0.25">
      <c r="A928" s="107" t="s">
        <v>588</v>
      </c>
      <c r="B928" s="107" t="s">
        <v>2270</v>
      </c>
      <c r="C928" s="52"/>
      <c r="D928" s="52" t="s">
        <v>2301</v>
      </c>
      <c r="E928" s="22" t="str">
        <f t="shared" si="67"/>
        <v>SEJUSPPROG</v>
      </c>
      <c r="F928" s="116" t="s">
        <v>687</v>
      </c>
      <c r="G928" s="22" t="str">
        <f t="shared" si="68"/>
        <v>P705SEJUSP</v>
      </c>
      <c r="H928" s="52" t="s">
        <v>914</v>
      </c>
      <c r="I928" s="22" t="s">
        <v>16</v>
      </c>
      <c r="J928" s="107" t="s">
        <v>2207</v>
      </c>
      <c r="K928" s="22" t="str">
        <f>VLOOKUP(CONCATENATE(A928,LEFT(J928,4)),AGRUPAMENTO!$D$2:$E$6783,2,FALSE)</f>
        <v>PRODEMGE</v>
      </c>
      <c r="L928" s="52" t="s">
        <v>44</v>
      </c>
      <c r="M928" s="52"/>
      <c r="N928" s="52">
        <v>10</v>
      </c>
      <c r="O928" s="52" t="s">
        <v>3084</v>
      </c>
      <c r="P928" s="52" t="s">
        <v>46</v>
      </c>
      <c r="Q928" s="52" t="s">
        <v>4000</v>
      </c>
      <c r="R928" s="52">
        <v>2</v>
      </c>
      <c r="S928" s="52" t="s">
        <v>3937</v>
      </c>
      <c r="T928" s="88">
        <v>188.6</v>
      </c>
      <c r="U928" s="53">
        <v>12</v>
      </c>
      <c r="V928" s="58">
        <f t="shared" si="66"/>
        <v>4526.3999999999996</v>
      </c>
      <c r="W928" s="52" t="s">
        <v>49</v>
      </c>
      <c r="X928" s="52" t="s">
        <v>4825</v>
      </c>
      <c r="Y928" s="52" t="s">
        <v>4826</v>
      </c>
      <c r="Z928" s="52" t="s">
        <v>4827</v>
      </c>
      <c r="AA928" s="52">
        <v>0</v>
      </c>
      <c r="AB928" s="52">
        <v>0</v>
      </c>
      <c r="AC928" s="52">
        <v>0</v>
      </c>
      <c r="AD928" s="21">
        <v>0.74255988295180719</v>
      </c>
      <c r="AE928" s="54">
        <v>0.74255988295180719</v>
      </c>
      <c r="AF928" s="315">
        <f t="shared" si="69"/>
        <v>3361.1230541930599</v>
      </c>
    </row>
    <row r="929" spans="1:32" ht="105" x14ac:dyDescent="0.25">
      <c r="A929" s="107" t="s">
        <v>588</v>
      </c>
      <c r="B929" s="107" t="s">
        <v>2270</v>
      </c>
      <c r="C929" s="52"/>
      <c r="D929" s="52" t="s">
        <v>2301</v>
      </c>
      <c r="E929" s="22" t="str">
        <f t="shared" si="67"/>
        <v>SEJUSPPROG</v>
      </c>
      <c r="F929" s="116" t="s">
        <v>687</v>
      </c>
      <c r="G929" s="22" t="str">
        <f t="shared" si="68"/>
        <v>P705SEJUSP</v>
      </c>
      <c r="H929" s="52" t="s">
        <v>914</v>
      </c>
      <c r="I929" s="22" t="s">
        <v>16</v>
      </c>
      <c r="J929" s="107" t="s">
        <v>2207</v>
      </c>
      <c r="K929" s="22" t="str">
        <f>VLOOKUP(CONCATENATE(A929,LEFT(J929,4)),AGRUPAMENTO!$D$2:$E$6783,2,FALSE)</f>
        <v>PRODEMGE</v>
      </c>
      <c r="L929" s="52" t="s">
        <v>44</v>
      </c>
      <c r="M929" s="52"/>
      <c r="N929" s="52">
        <v>10</v>
      </c>
      <c r="O929" s="52" t="s">
        <v>3085</v>
      </c>
      <c r="P929" s="52" t="s">
        <v>46</v>
      </c>
      <c r="Q929" s="52" t="s">
        <v>4000</v>
      </c>
      <c r="R929" s="52">
        <v>2</v>
      </c>
      <c r="S929" s="52" t="s">
        <v>3937</v>
      </c>
      <c r="T929" s="88">
        <v>1185.6500000000001</v>
      </c>
      <c r="U929" s="53">
        <v>12</v>
      </c>
      <c r="V929" s="58">
        <f t="shared" si="66"/>
        <v>28455.600000000002</v>
      </c>
      <c r="W929" s="52" t="s">
        <v>49</v>
      </c>
      <c r="X929" s="52" t="s">
        <v>4825</v>
      </c>
      <c r="Y929" s="52" t="s">
        <v>4826</v>
      </c>
      <c r="Z929" s="52" t="s">
        <v>4827</v>
      </c>
      <c r="AA929" s="52">
        <v>0</v>
      </c>
      <c r="AB929" s="52">
        <v>0</v>
      </c>
      <c r="AC929" s="52">
        <v>0</v>
      </c>
      <c r="AD929" s="21">
        <v>0.74255988295180719</v>
      </c>
      <c r="AE929" s="54">
        <v>0.74255988295180719</v>
      </c>
      <c r="AF929" s="315">
        <f t="shared" si="69"/>
        <v>21129.987005323448</v>
      </c>
    </row>
    <row r="930" spans="1:32" ht="105" x14ac:dyDescent="0.25">
      <c r="A930" s="107" t="s">
        <v>588</v>
      </c>
      <c r="B930" s="107" t="s">
        <v>2270</v>
      </c>
      <c r="C930" s="52"/>
      <c r="D930" s="52" t="s">
        <v>2301</v>
      </c>
      <c r="E930" s="22" t="str">
        <f t="shared" si="67"/>
        <v>SEJUSPPROG</v>
      </c>
      <c r="F930" s="116" t="s">
        <v>687</v>
      </c>
      <c r="G930" s="22" t="str">
        <f t="shared" si="68"/>
        <v>P705SEJUSP</v>
      </c>
      <c r="H930" s="52" t="s">
        <v>914</v>
      </c>
      <c r="I930" s="22" t="s">
        <v>16</v>
      </c>
      <c r="J930" s="107" t="s">
        <v>2207</v>
      </c>
      <c r="K930" s="22" t="str">
        <f>VLOOKUP(CONCATENATE(A930,LEFT(J930,4)),AGRUPAMENTO!$D$2:$E$6783,2,FALSE)</f>
        <v>PRODEMGE</v>
      </c>
      <c r="L930" s="52" t="s">
        <v>44</v>
      </c>
      <c r="M930" s="52"/>
      <c r="N930" s="52">
        <v>10</v>
      </c>
      <c r="O930" s="52" t="s">
        <v>3085</v>
      </c>
      <c r="P930" s="52" t="s">
        <v>46</v>
      </c>
      <c r="Q930" s="52" t="s">
        <v>4000</v>
      </c>
      <c r="R930" s="52">
        <v>1</v>
      </c>
      <c r="S930" s="52" t="s">
        <v>3937</v>
      </c>
      <c r="T930" s="88">
        <v>2659.95</v>
      </c>
      <c r="U930" s="53">
        <v>12</v>
      </c>
      <c r="V930" s="58">
        <f t="shared" si="66"/>
        <v>31919.399999999998</v>
      </c>
      <c r="W930" s="52" t="s">
        <v>49</v>
      </c>
      <c r="X930" s="52" t="s">
        <v>4825</v>
      </c>
      <c r="Y930" s="52" t="s">
        <v>4826</v>
      </c>
      <c r="Z930" s="52" t="s">
        <v>4827</v>
      </c>
      <c r="AA930" s="52">
        <v>0</v>
      </c>
      <c r="AB930" s="52">
        <v>0</v>
      </c>
      <c r="AC930" s="52">
        <v>0</v>
      </c>
      <c r="AD930" s="21">
        <v>0.74255988295180719</v>
      </c>
      <c r="AE930" s="54">
        <v>0.74255988295180719</v>
      </c>
      <c r="AF930" s="315">
        <f t="shared" si="69"/>
        <v>23702.065927891912</v>
      </c>
    </row>
    <row r="931" spans="1:32" ht="105" x14ac:dyDescent="0.25">
      <c r="A931" s="107" t="s">
        <v>588</v>
      </c>
      <c r="B931" s="107" t="s">
        <v>2270</v>
      </c>
      <c r="C931" s="52"/>
      <c r="D931" s="52" t="s">
        <v>2301</v>
      </c>
      <c r="E931" s="22" t="str">
        <f t="shared" si="67"/>
        <v>SEJUSPPROG</v>
      </c>
      <c r="F931" s="116" t="s">
        <v>687</v>
      </c>
      <c r="G931" s="22" t="str">
        <f t="shared" si="68"/>
        <v>P705SEJUSP</v>
      </c>
      <c r="H931" s="52" t="s">
        <v>914</v>
      </c>
      <c r="I931" s="22" t="s">
        <v>16</v>
      </c>
      <c r="J931" s="107" t="s">
        <v>2207</v>
      </c>
      <c r="K931" s="22" t="str">
        <f>VLOOKUP(CONCATENATE(A931,LEFT(J931,4)),AGRUPAMENTO!$D$2:$E$6783,2,FALSE)</f>
        <v>PRODEMGE</v>
      </c>
      <c r="L931" s="52" t="s">
        <v>44</v>
      </c>
      <c r="M931" s="52"/>
      <c r="N931" s="52">
        <v>10</v>
      </c>
      <c r="O931" s="52" t="s">
        <v>3086</v>
      </c>
      <c r="P931" s="52" t="s">
        <v>46</v>
      </c>
      <c r="Q931" s="52" t="s">
        <v>4000</v>
      </c>
      <c r="R931" s="52">
        <v>347</v>
      </c>
      <c r="S931" s="52" t="s">
        <v>3937</v>
      </c>
      <c r="T931" s="88">
        <v>56.35</v>
      </c>
      <c r="U931" s="53">
        <v>12</v>
      </c>
      <c r="V931" s="58">
        <f t="shared" si="66"/>
        <v>234641.40000000002</v>
      </c>
      <c r="W931" s="52" t="s">
        <v>49</v>
      </c>
      <c r="X931" s="52" t="s">
        <v>4825</v>
      </c>
      <c r="Y931" s="52" t="s">
        <v>4826</v>
      </c>
      <c r="Z931" s="52" t="s">
        <v>4827</v>
      </c>
      <c r="AA931" s="52">
        <v>0</v>
      </c>
      <c r="AB931" s="52">
        <v>0</v>
      </c>
      <c r="AC931" s="52">
        <v>0</v>
      </c>
      <c r="AD931" s="21">
        <v>0.74255988295180719</v>
      </c>
      <c r="AE931" s="54">
        <v>0.74255988295180719</v>
      </c>
      <c r="AF931" s="315">
        <f t="shared" si="69"/>
        <v>174235.2905196482</v>
      </c>
    </row>
    <row r="932" spans="1:32" ht="105" x14ac:dyDescent="0.25">
      <c r="A932" s="107" t="s">
        <v>588</v>
      </c>
      <c r="B932" s="107" t="s">
        <v>2270</v>
      </c>
      <c r="C932" s="52"/>
      <c r="D932" s="52" t="s">
        <v>2301</v>
      </c>
      <c r="E932" s="22" t="str">
        <f t="shared" si="67"/>
        <v>SEJUSPPROG</v>
      </c>
      <c r="F932" s="116" t="s">
        <v>687</v>
      </c>
      <c r="G932" s="22" t="str">
        <f t="shared" si="68"/>
        <v>P705SEJUSP</v>
      </c>
      <c r="H932" s="52" t="s">
        <v>914</v>
      </c>
      <c r="I932" s="22" t="s">
        <v>16</v>
      </c>
      <c r="J932" s="107" t="s">
        <v>2207</v>
      </c>
      <c r="K932" s="22" t="str">
        <f>VLOOKUP(CONCATENATE(A932,LEFT(J932,4)),AGRUPAMENTO!$D$2:$E$6783,2,FALSE)</f>
        <v>PRODEMGE</v>
      </c>
      <c r="L932" s="52" t="s">
        <v>44</v>
      </c>
      <c r="M932" s="52"/>
      <c r="N932" s="52">
        <v>10</v>
      </c>
      <c r="O932" s="52" t="s">
        <v>3085</v>
      </c>
      <c r="P932" s="52" t="s">
        <v>46</v>
      </c>
      <c r="Q932" s="52" t="s">
        <v>4000</v>
      </c>
      <c r="R932" s="52">
        <v>1</v>
      </c>
      <c r="S932" s="52" t="s">
        <v>3937</v>
      </c>
      <c r="T932" s="88">
        <v>1039.5999999999999</v>
      </c>
      <c r="U932" s="53">
        <v>12</v>
      </c>
      <c r="V932" s="58">
        <f t="shared" si="66"/>
        <v>12475.199999999999</v>
      </c>
      <c r="W932" s="52" t="s">
        <v>49</v>
      </c>
      <c r="X932" s="52" t="s">
        <v>4825</v>
      </c>
      <c r="Y932" s="52" t="s">
        <v>4826</v>
      </c>
      <c r="Z932" s="52" t="s">
        <v>4827</v>
      </c>
      <c r="AA932" s="52">
        <v>0</v>
      </c>
      <c r="AB932" s="52">
        <v>0</v>
      </c>
      <c r="AC932" s="52">
        <v>0</v>
      </c>
      <c r="AD932" s="21">
        <v>0.74255988295180719</v>
      </c>
      <c r="AE932" s="54">
        <v>0.74255988295180719</v>
      </c>
      <c r="AF932" s="315">
        <f t="shared" si="69"/>
        <v>9263.5830518003841</v>
      </c>
    </row>
    <row r="933" spans="1:32" ht="105" x14ac:dyDescent="0.25">
      <c r="A933" s="107" t="s">
        <v>588</v>
      </c>
      <c r="B933" s="107" t="s">
        <v>2270</v>
      </c>
      <c r="C933" s="52"/>
      <c r="D933" s="52" t="s">
        <v>2301</v>
      </c>
      <c r="E933" s="22" t="str">
        <f t="shared" si="67"/>
        <v>SEJUSPPROG</v>
      </c>
      <c r="F933" s="120" t="s">
        <v>681</v>
      </c>
      <c r="G933" s="22" t="str">
        <f t="shared" si="68"/>
        <v>P129SEJUSP</v>
      </c>
      <c r="H933" s="52" t="s">
        <v>1015</v>
      </c>
      <c r="I933" s="22" t="s">
        <v>16</v>
      </c>
      <c r="J933" s="107" t="s">
        <v>2207</v>
      </c>
      <c r="K933" s="22" t="str">
        <f>VLOOKUP(CONCATENATE(A933,LEFT(J933,4)),AGRUPAMENTO!$D$2:$E$6783,2,FALSE)</f>
        <v>PRODEMGE</v>
      </c>
      <c r="L933" s="52" t="s">
        <v>44</v>
      </c>
      <c r="M933" s="52"/>
      <c r="N933" s="52">
        <v>60</v>
      </c>
      <c r="O933" s="52" t="s">
        <v>3083</v>
      </c>
      <c r="P933" s="52" t="s">
        <v>46</v>
      </c>
      <c r="Q933" s="52" t="s">
        <v>4000</v>
      </c>
      <c r="R933" s="52">
        <v>15</v>
      </c>
      <c r="S933" s="52" t="s">
        <v>3937</v>
      </c>
      <c r="T933" s="88">
        <v>80.5</v>
      </c>
      <c r="U933" s="53">
        <v>12</v>
      </c>
      <c r="V933" s="58">
        <f t="shared" si="66"/>
        <v>14490</v>
      </c>
      <c r="W933" s="52" t="s">
        <v>49</v>
      </c>
      <c r="X933" s="52" t="s">
        <v>4825</v>
      </c>
      <c r="Y933" s="52" t="s">
        <v>4826</v>
      </c>
      <c r="Z933" s="52" t="s">
        <v>4827</v>
      </c>
      <c r="AA933" s="52">
        <v>0</v>
      </c>
      <c r="AB933" s="52">
        <v>0</v>
      </c>
      <c r="AC933" s="52">
        <v>0</v>
      </c>
      <c r="AD933" s="21">
        <v>0.74255988295180719</v>
      </c>
      <c r="AE933" s="54">
        <v>0.74255988295180719</v>
      </c>
      <c r="AF933" s="315">
        <f t="shared" si="69"/>
        <v>10759.692703971687</v>
      </c>
    </row>
    <row r="934" spans="1:32" ht="105" x14ac:dyDescent="0.25">
      <c r="A934" s="107" t="s">
        <v>588</v>
      </c>
      <c r="B934" s="107" t="s">
        <v>2270</v>
      </c>
      <c r="C934" s="52"/>
      <c r="D934" s="52" t="s">
        <v>2301</v>
      </c>
      <c r="E934" s="22" t="str">
        <f t="shared" si="67"/>
        <v>SEJUSPPROG</v>
      </c>
      <c r="F934" s="120" t="s">
        <v>681</v>
      </c>
      <c r="G934" s="22" t="str">
        <f t="shared" si="68"/>
        <v>P129SEJUSP</v>
      </c>
      <c r="H934" s="52" t="s">
        <v>1015</v>
      </c>
      <c r="I934" s="22" t="s">
        <v>16</v>
      </c>
      <c r="J934" s="107" t="s">
        <v>2207</v>
      </c>
      <c r="K934" s="22" t="str">
        <f>VLOOKUP(CONCATENATE(A934,LEFT(J934,4)),AGRUPAMENTO!$D$2:$E$6783,2,FALSE)</f>
        <v>PRODEMGE</v>
      </c>
      <c r="L934" s="52" t="s">
        <v>44</v>
      </c>
      <c r="M934" s="52"/>
      <c r="N934" s="52">
        <v>60</v>
      </c>
      <c r="O934" s="52" t="s">
        <v>3084</v>
      </c>
      <c r="P934" s="52" t="s">
        <v>46</v>
      </c>
      <c r="Q934" s="52" t="s">
        <v>4000</v>
      </c>
      <c r="R934" s="52">
        <v>16</v>
      </c>
      <c r="S934" s="52" t="s">
        <v>3937</v>
      </c>
      <c r="T934" s="88">
        <v>188.6</v>
      </c>
      <c r="U934" s="53">
        <v>12</v>
      </c>
      <c r="V934" s="58">
        <f t="shared" si="66"/>
        <v>36211.199999999997</v>
      </c>
      <c r="W934" s="52" t="s">
        <v>49</v>
      </c>
      <c r="X934" s="52" t="s">
        <v>4825</v>
      </c>
      <c r="Y934" s="52" t="s">
        <v>4826</v>
      </c>
      <c r="Z934" s="52" t="s">
        <v>4827</v>
      </c>
      <c r="AA934" s="52">
        <v>0</v>
      </c>
      <c r="AB934" s="52">
        <v>0</v>
      </c>
      <c r="AC934" s="52">
        <v>0</v>
      </c>
      <c r="AD934" s="21">
        <v>0.74255988295180719</v>
      </c>
      <c r="AE934" s="54">
        <v>0.74255988295180719</v>
      </c>
      <c r="AF934" s="315">
        <f t="shared" si="69"/>
        <v>26888.98443354448</v>
      </c>
    </row>
    <row r="935" spans="1:32" ht="105" x14ac:dyDescent="0.25">
      <c r="A935" s="107" t="s">
        <v>588</v>
      </c>
      <c r="B935" s="107" t="s">
        <v>2270</v>
      </c>
      <c r="C935" s="52"/>
      <c r="D935" s="52" t="s">
        <v>2301</v>
      </c>
      <c r="E935" s="22" t="str">
        <f t="shared" si="67"/>
        <v>SEJUSPPROG</v>
      </c>
      <c r="F935" s="120" t="s">
        <v>681</v>
      </c>
      <c r="G935" s="22" t="str">
        <f t="shared" si="68"/>
        <v>P129SEJUSP</v>
      </c>
      <c r="H935" s="52" t="s">
        <v>1015</v>
      </c>
      <c r="I935" s="22" t="s">
        <v>16</v>
      </c>
      <c r="J935" s="107" t="s">
        <v>2207</v>
      </c>
      <c r="K935" s="22" t="str">
        <f>VLOOKUP(CONCATENATE(A935,LEFT(J935,4)),AGRUPAMENTO!$D$2:$E$6783,2,FALSE)</f>
        <v>PRODEMGE</v>
      </c>
      <c r="L935" s="52" t="s">
        <v>44</v>
      </c>
      <c r="M935" s="52"/>
      <c r="N935" s="52">
        <v>60</v>
      </c>
      <c r="O935" s="52" t="s">
        <v>3085</v>
      </c>
      <c r="P935" s="52" t="s">
        <v>46</v>
      </c>
      <c r="Q935" s="52" t="s">
        <v>4000</v>
      </c>
      <c r="R935" s="52">
        <v>4</v>
      </c>
      <c r="S935" s="52" t="s">
        <v>3937</v>
      </c>
      <c r="T935" s="88">
        <v>443.9</v>
      </c>
      <c r="U935" s="53">
        <v>12</v>
      </c>
      <c r="V935" s="58">
        <f t="shared" si="66"/>
        <v>21307.199999999997</v>
      </c>
      <c r="W935" s="52" t="s">
        <v>49</v>
      </c>
      <c r="X935" s="52" t="s">
        <v>4825</v>
      </c>
      <c r="Y935" s="52" t="s">
        <v>4826</v>
      </c>
      <c r="Z935" s="52" t="s">
        <v>4827</v>
      </c>
      <c r="AA935" s="52">
        <v>0</v>
      </c>
      <c r="AB935" s="52">
        <v>0</v>
      </c>
      <c r="AC935" s="52">
        <v>0</v>
      </c>
      <c r="AD935" s="21">
        <v>0.74255988295180719</v>
      </c>
      <c r="AE935" s="54">
        <v>0.74255988295180719</v>
      </c>
      <c r="AF935" s="315">
        <f t="shared" si="69"/>
        <v>15821.871938030745</v>
      </c>
    </row>
    <row r="936" spans="1:32" ht="105" x14ac:dyDescent="0.25">
      <c r="A936" s="107" t="s">
        <v>588</v>
      </c>
      <c r="B936" s="107" t="s">
        <v>2270</v>
      </c>
      <c r="C936" s="52"/>
      <c r="D936" s="52" t="s">
        <v>2301</v>
      </c>
      <c r="E936" s="22" t="str">
        <f t="shared" si="67"/>
        <v>SEJUSPPROG</v>
      </c>
      <c r="F936" s="120" t="s">
        <v>681</v>
      </c>
      <c r="G936" s="22" t="str">
        <f t="shared" si="68"/>
        <v>P129SEJUSP</v>
      </c>
      <c r="H936" s="52" t="s">
        <v>1015</v>
      </c>
      <c r="I936" s="22" t="s">
        <v>16</v>
      </c>
      <c r="J936" s="107" t="s">
        <v>2207</v>
      </c>
      <c r="K936" s="22" t="str">
        <f>VLOOKUP(CONCATENATE(A936,LEFT(J936,4)),AGRUPAMENTO!$D$2:$E$6783,2,FALSE)</f>
        <v>PRODEMGE</v>
      </c>
      <c r="L936" s="52" t="s">
        <v>44</v>
      </c>
      <c r="M936" s="52"/>
      <c r="N936" s="52">
        <v>60</v>
      </c>
      <c r="O936" s="52" t="s">
        <v>3085</v>
      </c>
      <c r="P936" s="52" t="s">
        <v>46</v>
      </c>
      <c r="Q936" s="52" t="s">
        <v>4000</v>
      </c>
      <c r="R936" s="52">
        <v>1</v>
      </c>
      <c r="S936" s="52" t="s">
        <v>3937</v>
      </c>
      <c r="T936" s="88">
        <v>668.15</v>
      </c>
      <c r="U936" s="53">
        <v>12</v>
      </c>
      <c r="V936" s="58">
        <f t="shared" si="66"/>
        <v>8017.7999999999993</v>
      </c>
      <c r="W936" s="52" t="s">
        <v>49</v>
      </c>
      <c r="X936" s="52" t="s">
        <v>4825</v>
      </c>
      <c r="Y936" s="52" t="s">
        <v>4826</v>
      </c>
      <c r="Z936" s="52" t="s">
        <v>4827</v>
      </c>
      <c r="AA936" s="52">
        <v>0</v>
      </c>
      <c r="AB936" s="52">
        <v>0</v>
      </c>
      <c r="AC936" s="52">
        <v>0</v>
      </c>
      <c r="AD936" s="21">
        <v>0.74255988295180719</v>
      </c>
      <c r="AE936" s="54">
        <v>0.74255988295180719</v>
      </c>
      <c r="AF936" s="315">
        <f t="shared" si="69"/>
        <v>5953.6966295309994</v>
      </c>
    </row>
    <row r="937" spans="1:32" ht="105" x14ac:dyDescent="0.25">
      <c r="A937" s="107" t="s">
        <v>588</v>
      </c>
      <c r="B937" s="107" t="s">
        <v>2270</v>
      </c>
      <c r="C937" s="52"/>
      <c r="D937" s="52" t="s">
        <v>2301</v>
      </c>
      <c r="E937" s="22" t="str">
        <f t="shared" si="67"/>
        <v>SEJUSPPROG</v>
      </c>
      <c r="F937" s="120" t="s">
        <v>681</v>
      </c>
      <c r="G937" s="22" t="str">
        <f t="shared" si="68"/>
        <v>P129SEJUSP</v>
      </c>
      <c r="H937" s="52" t="s">
        <v>1015</v>
      </c>
      <c r="I937" s="22" t="s">
        <v>16</v>
      </c>
      <c r="J937" s="107" t="s">
        <v>2207</v>
      </c>
      <c r="K937" s="22" t="str">
        <f>VLOOKUP(CONCATENATE(A937,LEFT(J937,4)),AGRUPAMENTO!$D$2:$E$6783,2,FALSE)</f>
        <v>PRODEMGE</v>
      </c>
      <c r="L937" s="52" t="s">
        <v>44</v>
      </c>
      <c r="M937" s="52"/>
      <c r="N937" s="52">
        <v>60</v>
      </c>
      <c r="O937" s="52" t="s">
        <v>3085</v>
      </c>
      <c r="P937" s="52" t="s">
        <v>46</v>
      </c>
      <c r="Q937" s="52" t="s">
        <v>4000</v>
      </c>
      <c r="R937" s="52">
        <v>2</v>
      </c>
      <c r="S937" s="52" t="s">
        <v>3937</v>
      </c>
      <c r="T937" s="88">
        <v>1039.5999999999999</v>
      </c>
      <c r="U937" s="53">
        <v>12</v>
      </c>
      <c r="V937" s="58">
        <f t="shared" si="66"/>
        <v>24950.399999999998</v>
      </c>
      <c r="W937" s="52" t="s">
        <v>49</v>
      </c>
      <c r="X937" s="52" t="s">
        <v>4825</v>
      </c>
      <c r="Y937" s="52" t="s">
        <v>4826</v>
      </c>
      <c r="Z937" s="52" t="s">
        <v>4827</v>
      </c>
      <c r="AA937" s="52">
        <v>0</v>
      </c>
      <c r="AB937" s="52">
        <v>0</v>
      </c>
      <c r="AC937" s="52">
        <v>0</v>
      </c>
      <c r="AD937" s="21">
        <v>0.74255988295180719</v>
      </c>
      <c r="AE937" s="54">
        <v>0.74255988295180719</v>
      </c>
      <c r="AF937" s="315">
        <f t="shared" si="69"/>
        <v>18527.166103600768</v>
      </c>
    </row>
    <row r="938" spans="1:32" ht="105" x14ac:dyDescent="0.25">
      <c r="A938" s="107" t="s">
        <v>588</v>
      </c>
      <c r="B938" s="107" t="s">
        <v>2270</v>
      </c>
      <c r="C938" s="52"/>
      <c r="D938" s="52" t="s">
        <v>2301</v>
      </c>
      <c r="E938" s="22" t="str">
        <f t="shared" si="67"/>
        <v>SEJUSPPROG</v>
      </c>
      <c r="F938" s="120" t="s">
        <v>681</v>
      </c>
      <c r="G938" s="22" t="str">
        <f t="shared" si="68"/>
        <v>P129SEJUSP</v>
      </c>
      <c r="H938" s="52" t="s">
        <v>1015</v>
      </c>
      <c r="I938" s="22" t="s">
        <v>16</v>
      </c>
      <c r="J938" s="107" t="s">
        <v>2207</v>
      </c>
      <c r="K938" s="22" t="str">
        <f>VLOOKUP(CONCATENATE(A938,LEFT(J938,4)),AGRUPAMENTO!$D$2:$E$6783,2,FALSE)</f>
        <v>PRODEMGE</v>
      </c>
      <c r="L938" s="52" t="s">
        <v>44</v>
      </c>
      <c r="M938" s="52"/>
      <c r="N938" s="52">
        <v>60</v>
      </c>
      <c r="O938" s="52" t="s">
        <v>3085</v>
      </c>
      <c r="P938" s="52" t="s">
        <v>46</v>
      </c>
      <c r="Q938" s="52" t="s">
        <v>4000</v>
      </c>
      <c r="R938" s="52">
        <v>15</v>
      </c>
      <c r="S938" s="52" t="s">
        <v>3937</v>
      </c>
      <c r="T938" s="88">
        <v>1185.6500000000001</v>
      </c>
      <c r="U938" s="53">
        <v>12</v>
      </c>
      <c r="V938" s="58">
        <f t="shared" si="66"/>
        <v>213417</v>
      </c>
      <c r="W938" s="52" t="s">
        <v>49</v>
      </c>
      <c r="X938" s="52" t="s">
        <v>4825</v>
      </c>
      <c r="Y938" s="52" t="s">
        <v>4826</v>
      </c>
      <c r="Z938" s="52" t="s">
        <v>4827</v>
      </c>
      <c r="AA938" s="52">
        <v>0</v>
      </c>
      <c r="AB938" s="52">
        <v>0</v>
      </c>
      <c r="AC938" s="52">
        <v>0</v>
      </c>
      <c r="AD938" s="21">
        <v>0.74255988295180719</v>
      </c>
      <c r="AE938" s="54">
        <v>0.74255988295180719</v>
      </c>
      <c r="AF938" s="315">
        <f t="shared" si="69"/>
        <v>158474.90253992582</v>
      </c>
    </row>
    <row r="939" spans="1:32" ht="105" x14ac:dyDescent="0.25">
      <c r="A939" s="107" t="s">
        <v>588</v>
      </c>
      <c r="B939" s="107" t="s">
        <v>2270</v>
      </c>
      <c r="C939" s="52"/>
      <c r="D939" s="52" t="s">
        <v>2301</v>
      </c>
      <c r="E939" s="22" t="str">
        <f t="shared" si="67"/>
        <v>SEJUSPPROG</v>
      </c>
      <c r="F939" s="120" t="s">
        <v>681</v>
      </c>
      <c r="G939" s="22" t="str">
        <f t="shared" si="68"/>
        <v>P129SEJUSP</v>
      </c>
      <c r="H939" s="52" t="s">
        <v>1015</v>
      </c>
      <c r="I939" s="22" t="s">
        <v>16</v>
      </c>
      <c r="J939" s="107" t="s">
        <v>2207</v>
      </c>
      <c r="K939" s="22" t="str">
        <f>VLOOKUP(CONCATENATE(A939,LEFT(J939,4)),AGRUPAMENTO!$D$2:$E$6783,2,FALSE)</f>
        <v>PRODEMGE</v>
      </c>
      <c r="L939" s="52" t="s">
        <v>44</v>
      </c>
      <c r="M939" s="52"/>
      <c r="N939" s="52">
        <v>60</v>
      </c>
      <c r="O939" s="52" t="s">
        <v>3086</v>
      </c>
      <c r="P939" s="52" t="s">
        <v>46</v>
      </c>
      <c r="Q939" s="52" t="s">
        <v>4000</v>
      </c>
      <c r="R939" s="52">
        <v>8</v>
      </c>
      <c r="S939" s="52" t="s">
        <v>3937</v>
      </c>
      <c r="T939" s="88">
        <v>56.35</v>
      </c>
      <c r="U939" s="53">
        <v>12</v>
      </c>
      <c r="V939" s="58">
        <f t="shared" si="66"/>
        <v>5409.6</v>
      </c>
      <c r="W939" s="52" t="s">
        <v>49</v>
      </c>
      <c r="X939" s="52" t="s">
        <v>4825</v>
      </c>
      <c r="Y939" s="52" t="s">
        <v>4826</v>
      </c>
      <c r="Z939" s="52" t="s">
        <v>4827</v>
      </c>
      <c r="AA939" s="52">
        <v>0</v>
      </c>
      <c r="AB939" s="52">
        <v>0</v>
      </c>
      <c r="AC939" s="52">
        <v>0</v>
      </c>
      <c r="AD939" s="21">
        <v>0.74255988295180719</v>
      </c>
      <c r="AE939" s="54">
        <v>0.74255988295180719</v>
      </c>
      <c r="AF939" s="315">
        <f t="shared" si="69"/>
        <v>4016.9519428160966</v>
      </c>
    </row>
    <row r="940" spans="1:32" ht="105" x14ac:dyDescent="0.25">
      <c r="A940" s="107" t="s">
        <v>588</v>
      </c>
      <c r="B940" s="107" t="s">
        <v>2270</v>
      </c>
      <c r="C940" s="52"/>
      <c r="D940" s="52" t="s">
        <v>2301</v>
      </c>
      <c r="E940" s="22" t="str">
        <f t="shared" si="67"/>
        <v>SEJUSPPROG</v>
      </c>
      <c r="F940" s="52" t="s">
        <v>729</v>
      </c>
      <c r="G940" s="22" t="str">
        <f t="shared" si="68"/>
        <v>P130SEJUSP</v>
      </c>
      <c r="H940" s="52" t="s">
        <v>1183</v>
      </c>
      <c r="I940" s="22" t="s">
        <v>16</v>
      </c>
      <c r="J940" s="107" t="s">
        <v>2207</v>
      </c>
      <c r="K940" s="22" t="str">
        <f>VLOOKUP(CONCATENATE(A940,LEFT(J940,4)),AGRUPAMENTO!$D$2:$E$6783,2,FALSE)</f>
        <v>PRODEMGE</v>
      </c>
      <c r="L940" s="52" t="s">
        <v>44</v>
      </c>
      <c r="M940" s="52"/>
      <c r="N940" s="52">
        <v>60</v>
      </c>
      <c r="O940" s="52" t="s">
        <v>3083</v>
      </c>
      <c r="P940" s="52" t="s">
        <v>46</v>
      </c>
      <c r="Q940" s="52" t="s">
        <v>4000</v>
      </c>
      <c r="R940" s="52">
        <v>90</v>
      </c>
      <c r="S940" s="52" t="s">
        <v>3937</v>
      </c>
      <c r="T940" s="88">
        <v>80.5</v>
      </c>
      <c r="U940" s="53">
        <v>12</v>
      </c>
      <c r="V940" s="58">
        <f t="shared" si="66"/>
        <v>86940</v>
      </c>
      <c r="W940" s="52" t="s">
        <v>49</v>
      </c>
      <c r="X940" s="52" t="s">
        <v>4825</v>
      </c>
      <c r="Y940" s="52" t="s">
        <v>4826</v>
      </c>
      <c r="Z940" s="52" t="s">
        <v>4827</v>
      </c>
      <c r="AA940" s="52">
        <v>0</v>
      </c>
      <c r="AB940" s="52">
        <v>0</v>
      </c>
      <c r="AC940" s="52">
        <v>0</v>
      </c>
      <c r="AD940" s="21">
        <v>0.74255988295180719</v>
      </c>
      <c r="AE940" s="54">
        <v>0.74255988295180719</v>
      </c>
      <c r="AF940" s="315">
        <f t="shared" si="69"/>
        <v>64558.156223830119</v>
      </c>
    </row>
    <row r="941" spans="1:32" ht="105" x14ac:dyDescent="0.25">
      <c r="A941" s="107" t="s">
        <v>588</v>
      </c>
      <c r="B941" s="107" t="s">
        <v>2270</v>
      </c>
      <c r="C941" s="52"/>
      <c r="D941" s="52" t="s">
        <v>2301</v>
      </c>
      <c r="E941" s="22" t="str">
        <f t="shared" si="67"/>
        <v>SEJUSPPROG</v>
      </c>
      <c r="F941" s="52" t="s">
        <v>729</v>
      </c>
      <c r="G941" s="22" t="str">
        <f t="shared" si="68"/>
        <v>P130SEJUSP</v>
      </c>
      <c r="H941" s="52" t="s">
        <v>1183</v>
      </c>
      <c r="I941" s="22" t="s">
        <v>16</v>
      </c>
      <c r="J941" s="107" t="s">
        <v>2207</v>
      </c>
      <c r="K941" s="22" t="str">
        <f>VLOOKUP(CONCATENATE(A941,LEFT(J941,4)),AGRUPAMENTO!$D$2:$E$6783,2,FALSE)</f>
        <v>PRODEMGE</v>
      </c>
      <c r="L941" s="52" t="s">
        <v>44</v>
      </c>
      <c r="M941" s="52"/>
      <c r="N941" s="52">
        <v>60</v>
      </c>
      <c r="O941" s="52" t="s">
        <v>3084</v>
      </c>
      <c r="P941" s="52" t="s">
        <v>46</v>
      </c>
      <c r="Q941" s="52" t="s">
        <v>4000</v>
      </c>
      <c r="R941" s="52">
        <v>90</v>
      </c>
      <c r="S941" s="52" t="s">
        <v>3937</v>
      </c>
      <c r="T941" s="88">
        <v>188.6</v>
      </c>
      <c r="U941" s="53">
        <v>12</v>
      </c>
      <c r="V941" s="58">
        <f t="shared" si="66"/>
        <v>203688</v>
      </c>
      <c r="W941" s="52" t="s">
        <v>49</v>
      </c>
      <c r="X941" s="52" t="s">
        <v>4825</v>
      </c>
      <c r="Y941" s="52" t="s">
        <v>4826</v>
      </c>
      <c r="Z941" s="52" t="s">
        <v>4827</v>
      </c>
      <c r="AA941" s="52">
        <v>0</v>
      </c>
      <c r="AB941" s="52">
        <v>0</v>
      </c>
      <c r="AC941" s="52">
        <v>0</v>
      </c>
      <c r="AD941" s="21">
        <v>0.74255988295180719</v>
      </c>
      <c r="AE941" s="54">
        <v>0.74255988295180719</v>
      </c>
      <c r="AF941" s="315">
        <f t="shared" si="69"/>
        <v>151250.53743868769</v>
      </c>
    </row>
    <row r="942" spans="1:32" ht="105" x14ac:dyDescent="0.25">
      <c r="A942" s="107" t="s">
        <v>588</v>
      </c>
      <c r="B942" s="107" t="s">
        <v>2270</v>
      </c>
      <c r="C942" s="52"/>
      <c r="D942" s="52" t="s">
        <v>2301</v>
      </c>
      <c r="E942" s="22" t="str">
        <f t="shared" si="67"/>
        <v>SEJUSPPROG</v>
      </c>
      <c r="F942" s="52" t="s">
        <v>729</v>
      </c>
      <c r="G942" s="22" t="str">
        <f t="shared" si="68"/>
        <v>P130SEJUSP</v>
      </c>
      <c r="H942" s="52" t="s">
        <v>1183</v>
      </c>
      <c r="I942" s="22" t="s">
        <v>16</v>
      </c>
      <c r="J942" s="107" t="s">
        <v>2207</v>
      </c>
      <c r="K942" s="22" t="str">
        <f>VLOOKUP(CONCATENATE(A942,LEFT(J942,4)),AGRUPAMENTO!$D$2:$E$6783,2,FALSE)</f>
        <v>PRODEMGE</v>
      </c>
      <c r="L942" s="52" t="s">
        <v>44</v>
      </c>
      <c r="M942" s="52"/>
      <c r="N942" s="52">
        <v>60</v>
      </c>
      <c r="O942" s="52" t="s">
        <v>3085</v>
      </c>
      <c r="P942" s="52" t="s">
        <v>46</v>
      </c>
      <c r="Q942" s="52" t="s">
        <v>4000</v>
      </c>
      <c r="R942" s="52">
        <v>3</v>
      </c>
      <c r="S942" s="52" t="s">
        <v>3937</v>
      </c>
      <c r="T942" s="88">
        <v>668.15</v>
      </c>
      <c r="U942" s="53">
        <v>12</v>
      </c>
      <c r="V942" s="58">
        <f t="shared" si="66"/>
        <v>24053.399999999998</v>
      </c>
      <c r="W942" s="52" t="s">
        <v>49</v>
      </c>
      <c r="X942" s="52" t="s">
        <v>4825</v>
      </c>
      <c r="Y942" s="52" t="s">
        <v>4826</v>
      </c>
      <c r="Z942" s="52" t="s">
        <v>4827</v>
      </c>
      <c r="AA942" s="52">
        <v>0</v>
      </c>
      <c r="AB942" s="52">
        <v>0</v>
      </c>
      <c r="AC942" s="52">
        <v>0</v>
      </c>
      <c r="AD942" s="21">
        <v>0.74255988295180719</v>
      </c>
      <c r="AE942" s="54">
        <v>0.74255988295180719</v>
      </c>
      <c r="AF942" s="315">
        <f t="shared" si="69"/>
        <v>17861.089888592996</v>
      </c>
    </row>
    <row r="943" spans="1:32" ht="105" x14ac:dyDescent="0.25">
      <c r="A943" s="107" t="s">
        <v>588</v>
      </c>
      <c r="B943" s="107" t="s">
        <v>2270</v>
      </c>
      <c r="C943" s="52"/>
      <c r="D943" s="52" t="s">
        <v>2301</v>
      </c>
      <c r="E943" s="22" t="str">
        <f t="shared" si="67"/>
        <v>SEJUSPPROG</v>
      </c>
      <c r="F943" s="52" t="s">
        <v>729</v>
      </c>
      <c r="G943" s="22" t="str">
        <f t="shared" si="68"/>
        <v>P130SEJUSP</v>
      </c>
      <c r="H943" s="52" t="s">
        <v>1183</v>
      </c>
      <c r="I943" s="22" t="s">
        <v>16</v>
      </c>
      <c r="J943" s="107" t="s">
        <v>2207</v>
      </c>
      <c r="K943" s="22" t="str">
        <f>VLOOKUP(CONCATENATE(A943,LEFT(J943,4)),AGRUPAMENTO!$D$2:$E$6783,2,FALSE)</f>
        <v>PRODEMGE</v>
      </c>
      <c r="L943" s="52" t="s">
        <v>44</v>
      </c>
      <c r="M943" s="52"/>
      <c r="N943" s="52">
        <v>60</v>
      </c>
      <c r="O943" s="52" t="s">
        <v>3085</v>
      </c>
      <c r="P943" s="52" t="s">
        <v>46</v>
      </c>
      <c r="Q943" s="52" t="s">
        <v>4000</v>
      </c>
      <c r="R943" s="52">
        <v>7</v>
      </c>
      <c r="S943" s="52" t="s">
        <v>3937</v>
      </c>
      <c r="T943" s="88">
        <v>1039.5999999999999</v>
      </c>
      <c r="U943" s="53">
        <v>12</v>
      </c>
      <c r="V943" s="58">
        <f t="shared" si="66"/>
        <v>87326.399999999994</v>
      </c>
      <c r="W943" s="52" t="s">
        <v>49</v>
      </c>
      <c r="X943" s="52" t="s">
        <v>4825</v>
      </c>
      <c r="Y943" s="52" t="s">
        <v>4826</v>
      </c>
      <c r="Z943" s="52" t="s">
        <v>4827</v>
      </c>
      <c r="AA943" s="52">
        <v>0</v>
      </c>
      <c r="AB943" s="52">
        <v>0</v>
      </c>
      <c r="AC943" s="52">
        <v>0</v>
      </c>
      <c r="AD943" s="21">
        <v>0.74255988295180719</v>
      </c>
      <c r="AE943" s="54">
        <v>0.74255988295180719</v>
      </c>
      <c r="AF943" s="315">
        <f t="shared" si="69"/>
        <v>64845.081362602694</v>
      </c>
    </row>
    <row r="944" spans="1:32" ht="105" x14ac:dyDescent="0.25">
      <c r="A944" s="107" t="s">
        <v>588</v>
      </c>
      <c r="B944" s="107" t="s">
        <v>2270</v>
      </c>
      <c r="C944" s="52"/>
      <c r="D944" s="52" t="s">
        <v>2301</v>
      </c>
      <c r="E944" s="22" t="str">
        <f t="shared" si="67"/>
        <v>SEJUSPPROG</v>
      </c>
      <c r="F944" s="52" t="s">
        <v>729</v>
      </c>
      <c r="G944" s="22" t="str">
        <f t="shared" si="68"/>
        <v>P130SEJUSP</v>
      </c>
      <c r="H944" s="52" t="s">
        <v>1183</v>
      </c>
      <c r="I944" s="22" t="s">
        <v>16</v>
      </c>
      <c r="J944" s="107" t="s">
        <v>2207</v>
      </c>
      <c r="K944" s="22" t="str">
        <f>VLOOKUP(CONCATENATE(A944,LEFT(J944,4)),AGRUPAMENTO!$D$2:$E$6783,2,FALSE)</f>
        <v>PRODEMGE</v>
      </c>
      <c r="L944" s="52" t="s">
        <v>44</v>
      </c>
      <c r="M944" s="52"/>
      <c r="N944" s="52">
        <v>60</v>
      </c>
      <c r="O944" s="52" t="s">
        <v>3085</v>
      </c>
      <c r="P944" s="52" t="s">
        <v>46</v>
      </c>
      <c r="Q944" s="52" t="s">
        <v>4000</v>
      </c>
      <c r="R944" s="52">
        <v>76</v>
      </c>
      <c r="S944" s="52" t="s">
        <v>3937</v>
      </c>
      <c r="T944" s="88">
        <v>1185.6500000000001</v>
      </c>
      <c r="U944" s="53">
        <v>12</v>
      </c>
      <c r="V944" s="58">
        <f t="shared" si="66"/>
        <v>1081312.8</v>
      </c>
      <c r="W944" s="52" t="s">
        <v>49</v>
      </c>
      <c r="X944" s="52" t="s">
        <v>4825</v>
      </c>
      <c r="Y944" s="52" t="s">
        <v>4826</v>
      </c>
      <c r="Z944" s="52" t="s">
        <v>4827</v>
      </c>
      <c r="AA944" s="52">
        <v>0</v>
      </c>
      <c r="AB944" s="52">
        <v>0</v>
      </c>
      <c r="AC944" s="52">
        <v>0</v>
      </c>
      <c r="AD944" s="21">
        <v>0.74255988295180719</v>
      </c>
      <c r="AE944" s="54">
        <v>0.74255988295180719</v>
      </c>
      <c r="AF944" s="315">
        <f t="shared" si="69"/>
        <v>802939.50620229088</v>
      </c>
    </row>
    <row r="945" spans="1:32" ht="105" x14ac:dyDescent="0.25">
      <c r="A945" s="107" t="s">
        <v>588</v>
      </c>
      <c r="B945" s="107" t="s">
        <v>2270</v>
      </c>
      <c r="C945" s="52"/>
      <c r="D945" s="52" t="s">
        <v>2301</v>
      </c>
      <c r="E945" s="22" t="str">
        <f t="shared" si="67"/>
        <v>SEJUSPPROG</v>
      </c>
      <c r="F945" s="52" t="s">
        <v>729</v>
      </c>
      <c r="G945" s="22" t="str">
        <f t="shared" si="68"/>
        <v>P130SEJUSP</v>
      </c>
      <c r="H945" s="52" t="s">
        <v>1183</v>
      </c>
      <c r="I945" s="22" t="s">
        <v>16</v>
      </c>
      <c r="J945" s="107" t="s">
        <v>2207</v>
      </c>
      <c r="K945" s="22" t="str">
        <f>VLOOKUP(CONCATENATE(A945,LEFT(J945,4)),AGRUPAMENTO!$D$2:$E$6783,2,FALSE)</f>
        <v>PRODEMGE</v>
      </c>
      <c r="L945" s="52" t="s">
        <v>44</v>
      </c>
      <c r="M945" s="52"/>
      <c r="N945" s="52">
        <v>60</v>
      </c>
      <c r="O945" s="52" t="s">
        <v>3085</v>
      </c>
      <c r="P945" s="52" t="s">
        <v>46</v>
      </c>
      <c r="Q945" s="52" t="s">
        <v>4000</v>
      </c>
      <c r="R945" s="52">
        <v>3</v>
      </c>
      <c r="S945" s="52" t="s">
        <v>3937</v>
      </c>
      <c r="T945" s="88">
        <v>2659.95</v>
      </c>
      <c r="U945" s="53">
        <v>12</v>
      </c>
      <c r="V945" s="58">
        <f t="shared" si="66"/>
        <v>95758.2</v>
      </c>
      <c r="W945" s="52" t="s">
        <v>49</v>
      </c>
      <c r="X945" s="52" t="s">
        <v>4825</v>
      </c>
      <c r="Y945" s="52" t="s">
        <v>4826</v>
      </c>
      <c r="Z945" s="52" t="s">
        <v>4827</v>
      </c>
      <c r="AA945" s="52">
        <v>0</v>
      </c>
      <c r="AB945" s="52">
        <v>0</v>
      </c>
      <c r="AC945" s="52">
        <v>0</v>
      </c>
      <c r="AD945" s="21">
        <v>0.74255988295180719</v>
      </c>
      <c r="AE945" s="54">
        <v>0.74255988295180719</v>
      </c>
      <c r="AF945" s="315">
        <f t="shared" si="69"/>
        <v>71106.197783675743</v>
      </c>
    </row>
    <row r="946" spans="1:32" ht="105" x14ac:dyDescent="0.25">
      <c r="A946" s="107" t="s">
        <v>588</v>
      </c>
      <c r="B946" s="107" t="s">
        <v>2270</v>
      </c>
      <c r="C946" s="52"/>
      <c r="D946" s="52" t="s">
        <v>2301</v>
      </c>
      <c r="E946" s="22" t="str">
        <f t="shared" si="67"/>
        <v>SEJUSPPROG</v>
      </c>
      <c r="F946" s="52" t="s">
        <v>729</v>
      </c>
      <c r="G946" s="22" t="str">
        <f t="shared" si="68"/>
        <v>P130SEJUSP</v>
      </c>
      <c r="H946" s="52" t="s">
        <v>1183</v>
      </c>
      <c r="I946" s="22" t="s">
        <v>16</v>
      </c>
      <c r="J946" s="107" t="s">
        <v>2207</v>
      </c>
      <c r="K946" s="22" t="str">
        <f>VLOOKUP(CONCATENATE(A946,LEFT(J946,4)),AGRUPAMENTO!$D$2:$E$6783,2,FALSE)</f>
        <v>PRODEMGE</v>
      </c>
      <c r="L946" s="52" t="s">
        <v>44</v>
      </c>
      <c r="M946" s="52"/>
      <c r="N946" s="52">
        <v>60</v>
      </c>
      <c r="O946" s="52" t="s">
        <v>3086</v>
      </c>
      <c r="P946" s="52" t="s">
        <v>46</v>
      </c>
      <c r="Q946" s="52" t="s">
        <v>4000</v>
      </c>
      <c r="R946" s="52">
        <v>930</v>
      </c>
      <c r="S946" s="52" t="s">
        <v>3937</v>
      </c>
      <c r="T946" s="88">
        <v>56.35</v>
      </c>
      <c r="U946" s="53">
        <v>12</v>
      </c>
      <c r="V946" s="58">
        <f t="shared" si="66"/>
        <v>628866</v>
      </c>
      <c r="W946" s="52" t="s">
        <v>49</v>
      </c>
      <c r="X946" s="52" t="s">
        <v>4825</v>
      </c>
      <c r="Y946" s="52" t="s">
        <v>4826</v>
      </c>
      <c r="Z946" s="52" t="s">
        <v>4827</v>
      </c>
      <c r="AA946" s="52">
        <v>0</v>
      </c>
      <c r="AB946" s="52">
        <v>0</v>
      </c>
      <c r="AC946" s="52">
        <v>0</v>
      </c>
      <c r="AD946" s="21">
        <v>0.74255988295180719</v>
      </c>
      <c r="AE946" s="54">
        <v>0.74255988295180719</v>
      </c>
      <c r="AF946" s="315">
        <f t="shared" si="69"/>
        <v>466970.66335237119</v>
      </c>
    </row>
    <row r="947" spans="1:32" ht="105" x14ac:dyDescent="0.25">
      <c r="A947" s="107" t="s">
        <v>588</v>
      </c>
      <c r="B947" s="107" t="s">
        <v>2270</v>
      </c>
      <c r="C947" s="52"/>
      <c r="D947" s="52" t="s">
        <v>2301</v>
      </c>
      <c r="E947" s="22" t="str">
        <f t="shared" si="67"/>
        <v>SEJUSPPROG</v>
      </c>
      <c r="F947" s="52" t="s">
        <v>729</v>
      </c>
      <c r="G947" s="22" t="str">
        <f t="shared" si="68"/>
        <v>P130SEJUSP</v>
      </c>
      <c r="H947" s="52" t="s">
        <v>1259</v>
      </c>
      <c r="I947" s="22" t="s">
        <v>16</v>
      </c>
      <c r="J947" s="107" t="s">
        <v>2207</v>
      </c>
      <c r="K947" s="22" t="str">
        <f>VLOOKUP(CONCATENATE(A947,LEFT(J947,4)),AGRUPAMENTO!$D$2:$E$6783,2,FALSE)</f>
        <v>PRODEMGE</v>
      </c>
      <c r="L947" s="52" t="s">
        <v>44</v>
      </c>
      <c r="M947" s="52"/>
      <c r="N947" s="52">
        <v>10</v>
      </c>
      <c r="O947" s="52" t="s">
        <v>3083</v>
      </c>
      <c r="P947" s="52" t="s">
        <v>46</v>
      </c>
      <c r="Q947" s="52" t="s">
        <v>4000</v>
      </c>
      <c r="R947" s="52">
        <v>2</v>
      </c>
      <c r="S947" s="52" t="s">
        <v>3937</v>
      </c>
      <c r="T947" s="88">
        <v>80.5</v>
      </c>
      <c r="U947" s="53">
        <v>12</v>
      </c>
      <c r="V947" s="58">
        <f t="shared" si="66"/>
        <v>1932</v>
      </c>
      <c r="W947" s="52" t="s">
        <v>49</v>
      </c>
      <c r="X947" s="52" t="s">
        <v>4825</v>
      </c>
      <c r="Y947" s="52" t="s">
        <v>4826</v>
      </c>
      <c r="Z947" s="52" t="s">
        <v>4827</v>
      </c>
      <c r="AA947" s="52">
        <v>0</v>
      </c>
      <c r="AB947" s="52">
        <v>0</v>
      </c>
      <c r="AC947" s="52">
        <v>0</v>
      </c>
      <c r="AD947" s="21">
        <v>0.74255988295180719</v>
      </c>
      <c r="AE947" s="54">
        <v>0.74255988295180719</v>
      </c>
      <c r="AF947" s="315">
        <f t="shared" si="69"/>
        <v>1434.6256938628915</v>
      </c>
    </row>
    <row r="948" spans="1:32" ht="105" x14ac:dyDescent="0.25">
      <c r="A948" s="107" t="s">
        <v>588</v>
      </c>
      <c r="B948" s="107" t="s">
        <v>2270</v>
      </c>
      <c r="C948" s="52"/>
      <c r="D948" s="52" t="s">
        <v>2301</v>
      </c>
      <c r="E948" s="22" t="str">
        <f t="shared" si="67"/>
        <v>SEJUSPPROG</v>
      </c>
      <c r="F948" s="52" t="s">
        <v>729</v>
      </c>
      <c r="G948" s="22" t="str">
        <f t="shared" si="68"/>
        <v>P130SEJUSP</v>
      </c>
      <c r="H948" s="52" t="s">
        <v>1259</v>
      </c>
      <c r="I948" s="22" t="s">
        <v>16</v>
      </c>
      <c r="J948" s="107" t="s">
        <v>2207</v>
      </c>
      <c r="K948" s="22" t="str">
        <f>VLOOKUP(CONCATENATE(A948,LEFT(J948,4)),AGRUPAMENTO!$D$2:$E$6783,2,FALSE)</f>
        <v>PRODEMGE</v>
      </c>
      <c r="L948" s="52" t="s">
        <v>44</v>
      </c>
      <c r="M948" s="52"/>
      <c r="N948" s="52">
        <v>10</v>
      </c>
      <c r="O948" s="52" t="s">
        <v>3084</v>
      </c>
      <c r="P948" s="52" t="s">
        <v>46</v>
      </c>
      <c r="Q948" s="52" t="s">
        <v>4000</v>
      </c>
      <c r="R948" s="52">
        <v>2</v>
      </c>
      <c r="S948" s="52" t="s">
        <v>3937</v>
      </c>
      <c r="T948" s="88">
        <v>188.6</v>
      </c>
      <c r="U948" s="53">
        <v>12</v>
      </c>
      <c r="V948" s="58">
        <f t="shared" si="66"/>
        <v>4526.3999999999996</v>
      </c>
      <c r="W948" s="52" t="s">
        <v>49</v>
      </c>
      <c r="X948" s="52" t="s">
        <v>4825</v>
      </c>
      <c r="Y948" s="52" t="s">
        <v>4826</v>
      </c>
      <c r="Z948" s="52" t="s">
        <v>4827</v>
      </c>
      <c r="AA948" s="52">
        <v>0</v>
      </c>
      <c r="AB948" s="52">
        <v>0</v>
      </c>
      <c r="AC948" s="52">
        <v>0</v>
      </c>
      <c r="AD948" s="21">
        <v>0.74255988295180719</v>
      </c>
      <c r="AE948" s="54">
        <v>0.74255988295180719</v>
      </c>
      <c r="AF948" s="315">
        <f t="shared" si="69"/>
        <v>3361.1230541930599</v>
      </c>
    </row>
    <row r="949" spans="1:32" ht="105" x14ac:dyDescent="0.25">
      <c r="A949" s="107" t="s">
        <v>588</v>
      </c>
      <c r="B949" s="107" t="s">
        <v>2270</v>
      </c>
      <c r="C949" s="52"/>
      <c r="D949" s="52" t="s">
        <v>2301</v>
      </c>
      <c r="E949" s="22" t="str">
        <f t="shared" si="67"/>
        <v>SEJUSPPROG</v>
      </c>
      <c r="F949" s="52" t="s">
        <v>729</v>
      </c>
      <c r="G949" s="22" t="str">
        <f t="shared" si="68"/>
        <v>P130SEJUSP</v>
      </c>
      <c r="H949" s="52" t="s">
        <v>1259</v>
      </c>
      <c r="I949" s="22" t="s">
        <v>16</v>
      </c>
      <c r="J949" s="107" t="s">
        <v>2207</v>
      </c>
      <c r="K949" s="22" t="str">
        <f>VLOOKUP(CONCATENATE(A949,LEFT(J949,4)),AGRUPAMENTO!$D$2:$E$6783,2,FALSE)</f>
        <v>PRODEMGE</v>
      </c>
      <c r="L949" s="52" t="s">
        <v>44</v>
      </c>
      <c r="M949" s="52"/>
      <c r="N949" s="52">
        <v>10</v>
      </c>
      <c r="O949" s="52" t="s">
        <v>3085</v>
      </c>
      <c r="P949" s="52" t="s">
        <v>46</v>
      </c>
      <c r="Q949" s="52" t="s">
        <v>4000</v>
      </c>
      <c r="R949" s="52">
        <v>2</v>
      </c>
      <c r="S949" s="52" t="s">
        <v>3937</v>
      </c>
      <c r="T949" s="88">
        <v>1185.6500000000001</v>
      </c>
      <c r="U949" s="53">
        <v>12</v>
      </c>
      <c r="V949" s="58">
        <f t="shared" si="66"/>
        <v>28455.600000000002</v>
      </c>
      <c r="W949" s="52" t="s">
        <v>49</v>
      </c>
      <c r="X949" s="52" t="s">
        <v>4825</v>
      </c>
      <c r="Y949" s="52" t="s">
        <v>4826</v>
      </c>
      <c r="Z949" s="52" t="s">
        <v>4827</v>
      </c>
      <c r="AA949" s="52">
        <v>0</v>
      </c>
      <c r="AB949" s="52">
        <v>0</v>
      </c>
      <c r="AC949" s="52">
        <v>0</v>
      </c>
      <c r="AD949" s="21">
        <v>0.74255988295180719</v>
      </c>
      <c r="AE949" s="54">
        <v>0.74255988295180719</v>
      </c>
      <c r="AF949" s="315">
        <f t="shared" si="69"/>
        <v>21129.987005323448</v>
      </c>
    </row>
    <row r="950" spans="1:32" ht="105" x14ac:dyDescent="0.25">
      <c r="A950" s="107" t="s">
        <v>588</v>
      </c>
      <c r="B950" s="107" t="s">
        <v>2270</v>
      </c>
      <c r="C950" s="52"/>
      <c r="D950" s="52" t="s">
        <v>2301</v>
      </c>
      <c r="E950" s="22" t="str">
        <f t="shared" si="67"/>
        <v>SEJUSPPROG</v>
      </c>
      <c r="F950" s="52" t="s">
        <v>729</v>
      </c>
      <c r="G950" s="22" t="str">
        <f t="shared" si="68"/>
        <v>P130SEJUSP</v>
      </c>
      <c r="H950" s="52" t="s">
        <v>1259</v>
      </c>
      <c r="I950" s="22" t="s">
        <v>16</v>
      </c>
      <c r="J950" s="107" t="s">
        <v>2207</v>
      </c>
      <c r="K950" s="22" t="str">
        <f>VLOOKUP(CONCATENATE(A950,LEFT(J950,4)),AGRUPAMENTO!$D$2:$E$6783,2,FALSE)</f>
        <v>PRODEMGE</v>
      </c>
      <c r="L950" s="52" t="s">
        <v>44</v>
      </c>
      <c r="M950" s="52"/>
      <c r="N950" s="52">
        <v>10</v>
      </c>
      <c r="O950" s="52" t="s">
        <v>3086</v>
      </c>
      <c r="P950" s="52" t="s">
        <v>46</v>
      </c>
      <c r="Q950" s="52" t="s">
        <v>4000</v>
      </c>
      <c r="R950" s="52">
        <v>15</v>
      </c>
      <c r="S950" s="52" t="s">
        <v>3937</v>
      </c>
      <c r="T950" s="88">
        <v>56.35</v>
      </c>
      <c r="U950" s="53">
        <v>12</v>
      </c>
      <c r="V950" s="58">
        <f t="shared" si="66"/>
        <v>10143</v>
      </c>
      <c r="W950" s="52" t="s">
        <v>49</v>
      </c>
      <c r="X950" s="52" t="s">
        <v>4825</v>
      </c>
      <c r="Y950" s="52" t="s">
        <v>4826</v>
      </c>
      <c r="Z950" s="52" t="s">
        <v>4827</v>
      </c>
      <c r="AA950" s="52">
        <v>0</v>
      </c>
      <c r="AB950" s="52">
        <v>0</v>
      </c>
      <c r="AC950" s="52">
        <v>0</v>
      </c>
      <c r="AD950" s="21">
        <v>0.74255988295180719</v>
      </c>
      <c r="AE950" s="54">
        <v>0.74255988295180719</v>
      </c>
      <c r="AF950" s="315">
        <f t="shared" si="69"/>
        <v>7531.7848927801806</v>
      </c>
    </row>
    <row r="951" spans="1:32" ht="105" x14ac:dyDescent="0.25">
      <c r="A951" s="107" t="s">
        <v>588</v>
      </c>
      <c r="B951" s="107" t="s">
        <v>2270</v>
      </c>
      <c r="C951" s="52"/>
      <c r="D951" s="52" t="s">
        <v>2301</v>
      </c>
      <c r="E951" s="22" t="str">
        <f t="shared" si="67"/>
        <v>SEJUSPPROG</v>
      </c>
      <c r="F951" s="52" t="s">
        <v>705</v>
      </c>
      <c r="G951" s="22" t="str">
        <f t="shared" si="68"/>
        <v>P134SEJUSP</v>
      </c>
      <c r="H951" s="52" t="s">
        <v>1356</v>
      </c>
      <c r="I951" s="22" t="s">
        <v>16</v>
      </c>
      <c r="J951" s="107" t="s">
        <v>2207</v>
      </c>
      <c r="K951" s="22" t="str">
        <f>VLOOKUP(CONCATENATE(A951,LEFT(J951,4)),AGRUPAMENTO!$D$2:$E$6783,2,FALSE)</f>
        <v>PRODEMGE</v>
      </c>
      <c r="L951" s="52" t="s">
        <v>44</v>
      </c>
      <c r="M951" s="52"/>
      <c r="N951" s="52">
        <v>10</v>
      </c>
      <c r="O951" s="52" t="s">
        <v>3083</v>
      </c>
      <c r="P951" s="52" t="s">
        <v>46</v>
      </c>
      <c r="Q951" s="52" t="s">
        <v>4000</v>
      </c>
      <c r="R951" s="52">
        <v>2</v>
      </c>
      <c r="S951" s="52" t="s">
        <v>3937</v>
      </c>
      <c r="T951" s="88">
        <v>80.5</v>
      </c>
      <c r="U951" s="53">
        <v>12</v>
      </c>
      <c r="V951" s="58">
        <f t="shared" si="66"/>
        <v>1932</v>
      </c>
      <c r="W951" s="52" t="s">
        <v>49</v>
      </c>
      <c r="X951" s="52" t="s">
        <v>4825</v>
      </c>
      <c r="Y951" s="52" t="s">
        <v>4826</v>
      </c>
      <c r="Z951" s="52" t="s">
        <v>4827</v>
      </c>
      <c r="AA951" s="52">
        <v>0</v>
      </c>
      <c r="AB951" s="52">
        <v>0</v>
      </c>
      <c r="AC951" s="52">
        <v>0</v>
      </c>
      <c r="AD951" s="21">
        <v>0.74255988295180719</v>
      </c>
      <c r="AE951" s="54">
        <v>0.74255988295180719</v>
      </c>
      <c r="AF951" s="315">
        <f t="shared" si="69"/>
        <v>1434.6256938628915</v>
      </c>
    </row>
    <row r="952" spans="1:32" ht="105" x14ac:dyDescent="0.25">
      <c r="A952" s="107" t="s">
        <v>588</v>
      </c>
      <c r="B952" s="107" t="s">
        <v>2270</v>
      </c>
      <c r="C952" s="52"/>
      <c r="D952" s="52" t="s">
        <v>2301</v>
      </c>
      <c r="E952" s="22" t="str">
        <f t="shared" si="67"/>
        <v>SEJUSPPROG</v>
      </c>
      <c r="F952" s="52" t="s">
        <v>705</v>
      </c>
      <c r="G952" s="22" t="str">
        <f t="shared" si="68"/>
        <v>P134SEJUSP</v>
      </c>
      <c r="H952" s="52" t="s">
        <v>1356</v>
      </c>
      <c r="I952" s="22" t="s">
        <v>16</v>
      </c>
      <c r="J952" s="107" t="s">
        <v>2207</v>
      </c>
      <c r="K952" s="22" t="str">
        <f>VLOOKUP(CONCATENATE(A952,LEFT(J952,4)),AGRUPAMENTO!$D$2:$E$6783,2,FALSE)</f>
        <v>PRODEMGE</v>
      </c>
      <c r="L952" s="52" t="s">
        <v>44</v>
      </c>
      <c r="M952" s="52"/>
      <c r="N952" s="52">
        <v>10</v>
      </c>
      <c r="O952" s="52" t="s">
        <v>3084</v>
      </c>
      <c r="P952" s="52" t="s">
        <v>46</v>
      </c>
      <c r="Q952" s="52" t="s">
        <v>4000</v>
      </c>
      <c r="R952" s="52">
        <v>2</v>
      </c>
      <c r="S952" s="52" t="s">
        <v>3937</v>
      </c>
      <c r="T952" s="88">
        <v>188.6</v>
      </c>
      <c r="U952" s="53">
        <v>12</v>
      </c>
      <c r="V952" s="58">
        <f t="shared" si="66"/>
        <v>4526.3999999999996</v>
      </c>
      <c r="W952" s="52" t="s">
        <v>49</v>
      </c>
      <c r="X952" s="52" t="s">
        <v>4825</v>
      </c>
      <c r="Y952" s="52" t="s">
        <v>4826</v>
      </c>
      <c r="Z952" s="52" t="s">
        <v>4827</v>
      </c>
      <c r="AA952" s="52">
        <v>0</v>
      </c>
      <c r="AB952" s="52">
        <v>0</v>
      </c>
      <c r="AC952" s="52">
        <v>0</v>
      </c>
      <c r="AD952" s="21">
        <v>0.74255988295180719</v>
      </c>
      <c r="AE952" s="54">
        <v>0.74255988295180719</v>
      </c>
      <c r="AF952" s="315">
        <f t="shared" si="69"/>
        <v>3361.1230541930599</v>
      </c>
    </row>
    <row r="953" spans="1:32" ht="105" x14ac:dyDescent="0.25">
      <c r="A953" s="107" t="s">
        <v>588</v>
      </c>
      <c r="B953" s="107" t="s">
        <v>2270</v>
      </c>
      <c r="C953" s="52"/>
      <c r="D953" s="52" t="s">
        <v>2301</v>
      </c>
      <c r="E953" s="22" t="str">
        <f t="shared" si="67"/>
        <v>SEJUSPPROG</v>
      </c>
      <c r="F953" s="52" t="s">
        <v>705</v>
      </c>
      <c r="G953" s="22" t="str">
        <f t="shared" si="68"/>
        <v>P134SEJUSP</v>
      </c>
      <c r="H953" s="52" t="s">
        <v>1356</v>
      </c>
      <c r="I953" s="22" t="s">
        <v>16</v>
      </c>
      <c r="J953" s="107" t="s">
        <v>2207</v>
      </c>
      <c r="K953" s="22" t="str">
        <f>VLOOKUP(CONCATENATE(A953,LEFT(J953,4)),AGRUPAMENTO!$D$2:$E$6783,2,FALSE)</f>
        <v>PRODEMGE</v>
      </c>
      <c r="L953" s="52" t="s">
        <v>44</v>
      </c>
      <c r="M953" s="52"/>
      <c r="N953" s="52">
        <v>10</v>
      </c>
      <c r="O953" s="52" t="s">
        <v>3085</v>
      </c>
      <c r="P953" s="52" t="s">
        <v>46</v>
      </c>
      <c r="Q953" s="52" t="s">
        <v>4000</v>
      </c>
      <c r="R953" s="52">
        <v>1</v>
      </c>
      <c r="S953" s="52" t="s">
        <v>3937</v>
      </c>
      <c r="T953" s="88">
        <v>1185.6500000000001</v>
      </c>
      <c r="U953" s="53">
        <v>12</v>
      </c>
      <c r="V953" s="58">
        <f t="shared" si="66"/>
        <v>14227.800000000001</v>
      </c>
      <c r="W953" s="52" t="s">
        <v>49</v>
      </c>
      <c r="X953" s="52" t="s">
        <v>4825</v>
      </c>
      <c r="Y953" s="52" t="s">
        <v>4826</v>
      </c>
      <c r="Z953" s="52" t="s">
        <v>4827</v>
      </c>
      <c r="AA953" s="52">
        <v>0</v>
      </c>
      <c r="AB953" s="52">
        <v>0</v>
      </c>
      <c r="AC953" s="52">
        <v>0</v>
      </c>
      <c r="AD953" s="21">
        <v>0.74255988295180719</v>
      </c>
      <c r="AE953" s="54">
        <v>0.74255988295180719</v>
      </c>
      <c r="AF953" s="315">
        <f t="shared" si="69"/>
        <v>10564.993502661724</v>
      </c>
    </row>
    <row r="954" spans="1:32" ht="105" x14ac:dyDescent="0.25">
      <c r="A954" s="107" t="s">
        <v>588</v>
      </c>
      <c r="B954" s="107" t="s">
        <v>2270</v>
      </c>
      <c r="C954" s="52"/>
      <c r="D954" s="52" t="s">
        <v>2301</v>
      </c>
      <c r="E954" s="22" t="str">
        <f t="shared" si="67"/>
        <v>SEJUSPPROG</v>
      </c>
      <c r="F954" s="52" t="s">
        <v>705</v>
      </c>
      <c r="G954" s="22" t="str">
        <f t="shared" si="68"/>
        <v>P134SEJUSP</v>
      </c>
      <c r="H954" s="52" t="s">
        <v>1356</v>
      </c>
      <c r="I954" s="22" t="s">
        <v>16</v>
      </c>
      <c r="J954" s="107" t="s">
        <v>2207</v>
      </c>
      <c r="K954" s="22" t="str">
        <f>VLOOKUP(CONCATENATE(A954,LEFT(J954,4)),AGRUPAMENTO!$D$2:$E$6783,2,FALSE)</f>
        <v>PRODEMGE</v>
      </c>
      <c r="L954" s="52" t="s">
        <v>44</v>
      </c>
      <c r="M954" s="52"/>
      <c r="N954" s="52">
        <v>10</v>
      </c>
      <c r="O954" s="52" t="s">
        <v>3086</v>
      </c>
      <c r="P954" s="52" t="s">
        <v>46</v>
      </c>
      <c r="Q954" s="52" t="s">
        <v>4000</v>
      </c>
      <c r="R954" s="52">
        <v>16</v>
      </c>
      <c r="S954" s="52" t="s">
        <v>3937</v>
      </c>
      <c r="T954" s="88">
        <v>56.35</v>
      </c>
      <c r="U954" s="53">
        <v>12</v>
      </c>
      <c r="V954" s="58">
        <f t="shared" si="66"/>
        <v>10819.2</v>
      </c>
      <c r="W954" s="52" t="s">
        <v>49</v>
      </c>
      <c r="X954" s="52" t="s">
        <v>4825</v>
      </c>
      <c r="Y954" s="52" t="s">
        <v>4826</v>
      </c>
      <c r="Z954" s="52" t="s">
        <v>4827</v>
      </c>
      <c r="AA954" s="52">
        <v>0</v>
      </c>
      <c r="AB954" s="52">
        <v>0</v>
      </c>
      <c r="AC954" s="52">
        <v>0</v>
      </c>
      <c r="AD954" s="21">
        <v>0.74255988295180719</v>
      </c>
      <c r="AE954" s="54">
        <v>0.74255988295180719</v>
      </c>
      <c r="AF954" s="315">
        <f t="shared" si="69"/>
        <v>8033.9038856321931</v>
      </c>
    </row>
    <row r="955" spans="1:32" ht="105" x14ac:dyDescent="0.25">
      <c r="A955" s="107" t="s">
        <v>588</v>
      </c>
      <c r="B955" s="107" t="s">
        <v>2270</v>
      </c>
      <c r="C955" s="52"/>
      <c r="D955" s="52" t="s">
        <v>2301</v>
      </c>
      <c r="E955" s="22" t="str">
        <f t="shared" si="67"/>
        <v>SEJUSPPROG</v>
      </c>
      <c r="F955" s="122" t="s">
        <v>886</v>
      </c>
      <c r="G955" s="22" t="str">
        <f t="shared" si="68"/>
        <v>P146SEJUSP</v>
      </c>
      <c r="H955" s="52" t="s">
        <v>1424</v>
      </c>
      <c r="I955" s="22" t="s">
        <v>16</v>
      </c>
      <c r="J955" s="107" t="s">
        <v>2207</v>
      </c>
      <c r="K955" s="22" t="str">
        <f>VLOOKUP(CONCATENATE(A955,LEFT(J955,4)),AGRUPAMENTO!$D$2:$E$6783,2,FALSE)</f>
        <v>PRODEMGE</v>
      </c>
      <c r="L955" s="52" t="s">
        <v>44</v>
      </c>
      <c r="M955" s="52"/>
      <c r="N955" s="52">
        <v>10</v>
      </c>
      <c r="O955" s="52" t="s">
        <v>3083</v>
      </c>
      <c r="P955" s="52" t="s">
        <v>46</v>
      </c>
      <c r="Q955" s="52" t="s">
        <v>4000</v>
      </c>
      <c r="R955" s="52">
        <v>10</v>
      </c>
      <c r="S955" s="52" t="s">
        <v>3937</v>
      </c>
      <c r="T955" s="88">
        <v>80.5</v>
      </c>
      <c r="U955" s="53">
        <v>12</v>
      </c>
      <c r="V955" s="58">
        <f t="shared" si="66"/>
        <v>9660</v>
      </c>
      <c r="W955" s="52" t="s">
        <v>49</v>
      </c>
      <c r="X955" s="52" t="s">
        <v>4825</v>
      </c>
      <c r="Y955" s="52" t="s">
        <v>4826</v>
      </c>
      <c r="Z955" s="52" t="s">
        <v>4827</v>
      </c>
      <c r="AA955" s="52">
        <v>0</v>
      </c>
      <c r="AB955" s="52">
        <v>0</v>
      </c>
      <c r="AC955" s="52">
        <v>0</v>
      </c>
      <c r="AD955" s="21">
        <v>0.74255988295180719</v>
      </c>
      <c r="AE955" s="54">
        <v>0.74255988295180719</v>
      </c>
      <c r="AF955" s="315">
        <f t="shared" si="69"/>
        <v>7173.1284693144571</v>
      </c>
    </row>
    <row r="956" spans="1:32" ht="105" x14ac:dyDescent="0.25">
      <c r="A956" s="107" t="s">
        <v>588</v>
      </c>
      <c r="B956" s="107" t="s">
        <v>2270</v>
      </c>
      <c r="C956" s="52"/>
      <c r="D956" s="52" t="s">
        <v>2301</v>
      </c>
      <c r="E956" s="22" t="str">
        <f t="shared" si="67"/>
        <v>SEJUSPPROG</v>
      </c>
      <c r="F956" s="122" t="s">
        <v>886</v>
      </c>
      <c r="G956" s="22" t="str">
        <f t="shared" si="68"/>
        <v>P146SEJUSP</v>
      </c>
      <c r="H956" s="52" t="s">
        <v>1424</v>
      </c>
      <c r="I956" s="22" t="s">
        <v>16</v>
      </c>
      <c r="J956" s="107" t="s">
        <v>2207</v>
      </c>
      <c r="K956" s="22" t="str">
        <f>VLOOKUP(CONCATENATE(A956,LEFT(J956,4)),AGRUPAMENTO!$D$2:$E$6783,2,FALSE)</f>
        <v>PRODEMGE</v>
      </c>
      <c r="L956" s="52" t="s">
        <v>44</v>
      </c>
      <c r="M956" s="52"/>
      <c r="N956" s="52">
        <v>10</v>
      </c>
      <c r="O956" s="52" t="s">
        <v>3084</v>
      </c>
      <c r="P956" s="52" t="s">
        <v>46</v>
      </c>
      <c r="Q956" s="52" t="s">
        <v>4000</v>
      </c>
      <c r="R956" s="52">
        <v>10</v>
      </c>
      <c r="S956" s="52" t="s">
        <v>3937</v>
      </c>
      <c r="T956" s="88">
        <v>188.6</v>
      </c>
      <c r="U956" s="53">
        <v>12</v>
      </c>
      <c r="V956" s="58">
        <f t="shared" si="66"/>
        <v>22632</v>
      </c>
      <c r="W956" s="52" t="s">
        <v>49</v>
      </c>
      <c r="X956" s="52" t="s">
        <v>4825</v>
      </c>
      <c r="Y956" s="52" t="s">
        <v>4826</v>
      </c>
      <c r="Z956" s="52" t="s">
        <v>4827</v>
      </c>
      <c r="AA956" s="52">
        <v>0</v>
      </c>
      <c r="AB956" s="52">
        <v>0</v>
      </c>
      <c r="AC956" s="52">
        <v>0</v>
      </c>
      <c r="AD956" s="21">
        <v>0.74255988295180719</v>
      </c>
      <c r="AE956" s="54">
        <v>0.74255988295180719</v>
      </c>
      <c r="AF956" s="315">
        <f t="shared" si="69"/>
        <v>16805.6152709653</v>
      </c>
    </row>
    <row r="957" spans="1:32" ht="105" x14ac:dyDescent="0.25">
      <c r="A957" s="107" t="s">
        <v>588</v>
      </c>
      <c r="B957" s="107" t="s">
        <v>2270</v>
      </c>
      <c r="C957" s="52"/>
      <c r="D957" s="52" t="s">
        <v>2301</v>
      </c>
      <c r="E957" s="22" t="str">
        <f t="shared" si="67"/>
        <v>SEJUSPPROG</v>
      </c>
      <c r="F957" s="122" t="s">
        <v>886</v>
      </c>
      <c r="G957" s="22" t="str">
        <f t="shared" si="68"/>
        <v>P146SEJUSP</v>
      </c>
      <c r="H957" s="52" t="s">
        <v>1424</v>
      </c>
      <c r="I957" s="22" t="s">
        <v>16</v>
      </c>
      <c r="J957" s="107" t="s">
        <v>2207</v>
      </c>
      <c r="K957" s="22" t="str">
        <f>VLOOKUP(CONCATENATE(A957,LEFT(J957,4)),AGRUPAMENTO!$D$2:$E$6783,2,FALSE)</f>
        <v>PRODEMGE</v>
      </c>
      <c r="L957" s="52" t="s">
        <v>44</v>
      </c>
      <c r="M957" s="52"/>
      <c r="N957" s="52">
        <v>10</v>
      </c>
      <c r="O957" s="52" t="s">
        <v>3085</v>
      </c>
      <c r="P957" s="52" t="s">
        <v>46</v>
      </c>
      <c r="Q957" s="52" t="s">
        <v>4000</v>
      </c>
      <c r="R957" s="52">
        <v>6</v>
      </c>
      <c r="S957" s="52" t="s">
        <v>3937</v>
      </c>
      <c r="T957" s="88">
        <v>1185.6500000000001</v>
      </c>
      <c r="U957" s="53">
        <v>12</v>
      </c>
      <c r="V957" s="58">
        <f t="shared" si="66"/>
        <v>85366.8</v>
      </c>
      <c r="W957" s="52" t="s">
        <v>49</v>
      </c>
      <c r="X957" s="52" t="s">
        <v>4825</v>
      </c>
      <c r="Y957" s="52" t="s">
        <v>4826</v>
      </c>
      <c r="Z957" s="52" t="s">
        <v>4827</v>
      </c>
      <c r="AA957" s="52">
        <v>0</v>
      </c>
      <c r="AB957" s="52">
        <v>0</v>
      </c>
      <c r="AC957" s="52">
        <v>0</v>
      </c>
      <c r="AD957" s="21">
        <v>0.74255988295180719</v>
      </c>
      <c r="AE957" s="54">
        <v>0.74255988295180719</v>
      </c>
      <c r="AF957" s="315">
        <f t="shared" si="69"/>
        <v>63389.961015970337</v>
      </c>
    </row>
    <row r="958" spans="1:32" ht="105" x14ac:dyDescent="0.25">
      <c r="A958" s="107" t="s">
        <v>588</v>
      </c>
      <c r="B958" s="107" t="s">
        <v>2270</v>
      </c>
      <c r="C958" s="52"/>
      <c r="D958" s="52" t="s">
        <v>2301</v>
      </c>
      <c r="E958" s="22" t="str">
        <f t="shared" si="67"/>
        <v>SEJUSPPROG</v>
      </c>
      <c r="F958" s="122" t="s">
        <v>886</v>
      </c>
      <c r="G958" s="22" t="str">
        <f t="shared" si="68"/>
        <v>P146SEJUSP</v>
      </c>
      <c r="H958" s="52" t="s">
        <v>1424</v>
      </c>
      <c r="I958" s="22" t="s">
        <v>16</v>
      </c>
      <c r="J958" s="107" t="s">
        <v>2207</v>
      </c>
      <c r="K958" s="22" t="str">
        <f>VLOOKUP(CONCATENATE(A958,LEFT(J958,4)),AGRUPAMENTO!$D$2:$E$6783,2,FALSE)</f>
        <v>PRODEMGE</v>
      </c>
      <c r="L958" s="52" t="s">
        <v>44</v>
      </c>
      <c r="M958" s="52"/>
      <c r="N958" s="52">
        <v>10</v>
      </c>
      <c r="O958" s="52" t="s">
        <v>3086</v>
      </c>
      <c r="P958" s="52" t="s">
        <v>46</v>
      </c>
      <c r="Q958" s="52" t="s">
        <v>4000</v>
      </c>
      <c r="R958" s="52">
        <v>35</v>
      </c>
      <c r="S958" s="52" t="s">
        <v>3937</v>
      </c>
      <c r="T958" s="88">
        <v>56.35</v>
      </c>
      <c r="U958" s="53">
        <v>12</v>
      </c>
      <c r="V958" s="58">
        <f t="shared" si="66"/>
        <v>23667</v>
      </c>
      <c r="W958" s="52" t="s">
        <v>49</v>
      </c>
      <c r="X958" s="52" t="s">
        <v>4825</v>
      </c>
      <c r="Y958" s="52" t="s">
        <v>4826</v>
      </c>
      <c r="Z958" s="52" t="s">
        <v>4827</v>
      </c>
      <c r="AA958" s="52">
        <v>0</v>
      </c>
      <c r="AB958" s="52">
        <v>0</v>
      </c>
      <c r="AC958" s="52">
        <v>0</v>
      </c>
      <c r="AD958" s="21">
        <v>0.74255988295180719</v>
      </c>
      <c r="AE958" s="54">
        <v>0.74255988295180719</v>
      </c>
      <c r="AF958" s="315">
        <f t="shared" si="69"/>
        <v>17574.164749820422</v>
      </c>
    </row>
    <row r="959" spans="1:32" ht="255" x14ac:dyDescent="0.25">
      <c r="A959" s="107" t="s">
        <v>588</v>
      </c>
      <c r="B959" s="107" t="s">
        <v>2269</v>
      </c>
      <c r="C959" s="52"/>
      <c r="D959" s="106" t="s">
        <v>2300</v>
      </c>
      <c r="E959" s="22" t="str">
        <f t="shared" si="67"/>
        <v>SEJUSPPROG</v>
      </c>
      <c r="F959" s="52" t="s">
        <v>729</v>
      </c>
      <c r="G959" s="22" t="str">
        <f t="shared" si="68"/>
        <v>P130SEJUSP</v>
      </c>
      <c r="H959" s="92" t="s">
        <v>1183</v>
      </c>
      <c r="I959" s="22" t="s">
        <v>16</v>
      </c>
      <c r="J959" s="92" t="s">
        <v>1676</v>
      </c>
      <c r="K959" s="22" t="str">
        <f>VLOOKUP(CONCATENATE(A959,LEFT(J959,4)),AGRUPAMENTO!$D$2:$E$6783,2,FALSE)</f>
        <v>Aquisições de itens de TIC</v>
      </c>
      <c r="L959" s="92" t="s">
        <v>94</v>
      </c>
      <c r="M959" s="52"/>
      <c r="N959" s="92">
        <v>10</v>
      </c>
      <c r="O959" s="92" t="s">
        <v>3108</v>
      </c>
      <c r="P959" s="52" t="s">
        <v>58</v>
      </c>
      <c r="Q959" s="92" t="s">
        <v>4009</v>
      </c>
      <c r="R959" s="92">
        <v>60</v>
      </c>
      <c r="S959" s="92" t="s">
        <v>3928</v>
      </c>
      <c r="T959" s="200">
        <v>168</v>
      </c>
      <c r="U959" s="201">
        <v>1</v>
      </c>
      <c r="V959" s="58">
        <f t="shared" si="66"/>
        <v>10080</v>
      </c>
      <c r="W959" s="92" t="s">
        <v>68</v>
      </c>
      <c r="X959" s="302" t="s">
        <v>4633</v>
      </c>
      <c r="Y959" s="92" t="s">
        <v>4663</v>
      </c>
      <c r="Z959" s="92" t="s">
        <v>4664</v>
      </c>
      <c r="AA959" s="92">
        <v>3</v>
      </c>
      <c r="AB959" s="92">
        <v>10</v>
      </c>
      <c r="AC959" s="92">
        <v>34</v>
      </c>
      <c r="AD959" s="21">
        <v>0</v>
      </c>
      <c r="AE959" s="54">
        <v>0</v>
      </c>
      <c r="AF959" s="315">
        <f t="shared" si="69"/>
        <v>0</v>
      </c>
    </row>
    <row r="960" spans="1:32" ht="105" x14ac:dyDescent="0.25">
      <c r="A960" s="107" t="s">
        <v>588</v>
      </c>
      <c r="B960" s="107" t="s">
        <v>2270</v>
      </c>
      <c r="C960" s="52"/>
      <c r="D960" s="52" t="s">
        <v>2301</v>
      </c>
      <c r="E960" s="22" t="str">
        <f t="shared" si="67"/>
        <v>SEJUSPPROG</v>
      </c>
      <c r="F960" s="116" t="s">
        <v>687</v>
      </c>
      <c r="G960" s="22" t="str">
        <f t="shared" si="68"/>
        <v>P705SEJUSP</v>
      </c>
      <c r="H960" s="52" t="s">
        <v>914</v>
      </c>
      <c r="I960" s="22" t="s">
        <v>16</v>
      </c>
      <c r="J960" s="52" t="s">
        <v>2218</v>
      </c>
      <c r="K960" s="22" t="str">
        <f>VLOOKUP(CONCATENATE(A960,LEFT(J960,4)),AGRUPAMENTO!$D$2:$E$6783,2,FALSE)</f>
        <v>Obrigações tributárias</v>
      </c>
      <c r="L960" s="52" t="s">
        <v>44</v>
      </c>
      <c r="M960" s="52"/>
      <c r="N960" s="52">
        <v>10</v>
      </c>
      <c r="O960" s="52" t="s">
        <v>3109</v>
      </c>
      <c r="P960" s="52" t="s">
        <v>46</v>
      </c>
      <c r="Q960" s="52" t="s">
        <v>4010</v>
      </c>
      <c r="R960" s="52">
        <v>1</v>
      </c>
      <c r="S960" s="52" t="s">
        <v>4011</v>
      </c>
      <c r="T960" s="88">
        <v>7500</v>
      </c>
      <c r="U960" s="53">
        <v>1</v>
      </c>
      <c r="V960" s="58">
        <f t="shared" si="66"/>
        <v>7500</v>
      </c>
      <c r="W960" s="52" t="s">
        <v>49</v>
      </c>
      <c r="X960" s="52" t="s">
        <v>4846</v>
      </c>
      <c r="Y960" s="52" t="s">
        <v>4847</v>
      </c>
      <c r="Z960" s="52" t="s">
        <v>4848</v>
      </c>
      <c r="AA960" s="52">
        <v>0</v>
      </c>
      <c r="AB960" s="52">
        <v>0</v>
      </c>
      <c r="AC960" s="52">
        <v>0</v>
      </c>
      <c r="AD960" s="21">
        <v>0.20034174244500716</v>
      </c>
      <c r="AE960" s="54">
        <v>0.20034174244500716</v>
      </c>
      <c r="AF960" s="315">
        <f t="shared" si="69"/>
        <v>1502.5630683375537</v>
      </c>
    </row>
    <row r="961" spans="1:32" ht="105" x14ac:dyDescent="0.25">
      <c r="A961" s="107" t="s">
        <v>588</v>
      </c>
      <c r="B961" s="107" t="s">
        <v>2270</v>
      </c>
      <c r="C961" s="52"/>
      <c r="D961" s="52" t="s">
        <v>2301</v>
      </c>
      <c r="E961" s="22" t="str">
        <f t="shared" si="67"/>
        <v>SEJUSPPROG</v>
      </c>
      <c r="F961" s="116" t="s">
        <v>687</v>
      </c>
      <c r="G961" s="22" t="str">
        <f t="shared" si="68"/>
        <v>P705SEJUSP</v>
      </c>
      <c r="H961" s="52" t="s">
        <v>914</v>
      </c>
      <c r="I961" s="22" t="s">
        <v>16</v>
      </c>
      <c r="J961" s="52" t="s">
        <v>2177</v>
      </c>
      <c r="K961" s="22" t="str">
        <f>VLOOKUP(CONCATENATE(A961,LEFT(J961,4)),AGRUPAMENTO!$D$2:$E$6783,2,FALSE)</f>
        <v>Gestão de equipamentos</v>
      </c>
      <c r="L961" s="52" t="s">
        <v>44</v>
      </c>
      <c r="M961" s="52"/>
      <c r="N961" s="52">
        <v>10</v>
      </c>
      <c r="O961" s="52" t="s">
        <v>3110</v>
      </c>
      <c r="P961" s="52" t="s">
        <v>46</v>
      </c>
      <c r="Q961" s="52" t="s">
        <v>4012</v>
      </c>
      <c r="R961" s="52">
        <v>1</v>
      </c>
      <c r="S961" s="52" t="s">
        <v>4012</v>
      </c>
      <c r="T961" s="88">
        <v>94.34</v>
      </c>
      <c r="U961" s="53">
        <v>12</v>
      </c>
      <c r="V961" s="58">
        <f t="shared" si="66"/>
        <v>1132.08</v>
      </c>
      <c r="W961" s="52" t="s">
        <v>49</v>
      </c>
      <c r="X961" s="52" t="s">
        <v>4846</v>
      </c>
      <c r="Y961" s="52" t="s">
        <v>4847</v>
      </c>
      <c r="Z961" s="52" t="s">
        <v>4848</v>
      </c>
      <c r="AA961" s="52">
        <v>0</v>
      </c>
      <c r="AB961" s="52">
        <v>0</v>
      </c>
      <c r="AC961" s="52">
        <v>0</v>
      </c>
      <c r="AD961" s="21">
        <v>0.88454016594970364</v>
      </c>
      <c r="AE961" s="54">
        <v>0.88454016594970364</v>
      </c>
      <c r="AF961" s="315">
        <f t="shared" si="69"/>
        <v>1001.3702310683404</v>
      </c>
    </row>
    <row r="962" spans="1:32" ht="105" x14ac:dyDescent="0.25">
      <c r="A962" s="107" t="s">
        <v>588</v>
      </c>
      <c r="B962" s="107" t="s">
        <v>2270</v>
      </c>
      <c r="C962" s="52"/>
      <c r="D962" s="52" t="s">
        <v>2301</v>
      </c>
      <c r="E962" s="22" t="str">
        <f t="shared" si="67"/>
        <v>SEJUSPPROG</v>
      </c>
      <c r="F962" s="122" t="s">
        <v>886</v>
      </c>
      <c r="G962" s="22" t="str">
        <f t="shared" si="68"/>
        <v>P146SEJUSP</v>
      </c>
      <c r="H962" s="52" t="s">
        <v>1424</v>
      </c>
      <c r="I962" s="22" t="s">
        <v>16</v>
      </c>
      <c r="J962" s="52" t="s">
        <v>2177</v>
      </c>
      <c r="K962" s="22" t="str">
        <f>VLOOKUP(CONCATENATE(A962,LEFT(J962,4)),AGRUPAMENTO!$D$2:$E$6783,2,FALSE)</f>
        <v>Gestão de equipamentos</v>
      </c>
      <c r="L962" s="52" t="s">
        <v>44</v>
      </c>
      <c r="M962" s="52"/>
      <c r="N962" s="52">
        <v>10</v>
      </c>
      <c r="O962" s="52" t="s">
        <v>3111</v>
      </c>
      <c r="P962" s="52" t="s">
        <v>46</v>
      </c>
      <c r="Q962" s="52" t="s">
        <v>4012</v>
      </c>
      <c r="R962" s="52">
        <v>3</v>
      </c>
      <c r="S962" s="52" t="s">
        <v>4012</v>
      </c>
      <c r="T962" s="88">
        <v>94.34</v>
      </c>
      <c r="U962" s="53">
        <v>12</v>
      </c>
      <c r="V962" s="58">
        <f t="shared" ref="V962:V1025" si="70">R962*T962*U962</f>
        <v>3396.24</v>
      </c>
      <c r="W962" s="52" t="s">
        <v>49</v>
      </c>
      <c r="X962" s="52" t="s">
        <v>4846</v>
      </c>
      <c r="Y962" s="52" t="s">
        <v>4847</v>
      </c>
      <c r="Z962" s="52" t="s">
        <v>4848</v>
      </c>
      <c r="AA962" s="52">
        <v>0</v>
      </c>
      <c r="AB962" s="52">
        <v>0</v>
      </c>
      <c r="AC962" s="52">
        <v>0</v>
      </c>
      <c r="AD962" s="21">
        <v>0.88454016594970364</v>
      </c>
      <c r="AE962" s="54">
        <v>0.88454016594970364</v>
      </c>
      <c r="AF962" s="315">
        <f t="shared" si="69"/>
        <v>3004.1106932050211</v>
      </c>
    </row>
    <row r="963" spans="1:32" ht="105" x14ac:dyDescent="0.25">
      <c r="A963" s="107" t="s">
        <v>588</v>
      </c>
      <c r="B963" s="107" t="s">
        <v>2270</v>
      </c>
      <c r="C963" s="52"/>
      <c r="D963" s="52" t="s">
        <v>2301</v>
      </c>
      <c r="E963" s="22" t="str">
        <f t="shared" ref="E963:E1026" si="71">CONCATENATE(A963,"PROG")</f>
        <v>SEJUSPPROG</v>
      </c>
      <c r="F963" s="52" t="s">
        <v>729</v>
      </c>
      <c r="G963" s="22" t="str">
        <f t="shared" si="68"/>
        <v>P130SEJUSP</v>
      </c>
      <c r="H963" s="52" t="s">
        <v>1183</v>
      </c>
      <c r="I963" s="22" t="s">
        <v>16</v>
      </c>
      <c r="J963" s="52" t="s">
        <v>2177</v>
      </c>
      <c r="K963" s="22" t="str">
        <f>VLOOKUP(CONCATENATE(A963,LEFT(J963,4)),AGRUPAMENTO!$D$2:$E$6783,2,FALSE)</f>
        <v>Gestão de equipamentos</v>
      </c>
      <c r="L963" s="52" t="s">
        <v>44</v>
      </c>
      <c r="M963" s="52"/>
      <c r="N963" s="52">
        <v>60</v>
      </c>
      <c r="O963" s="52" t="s">
        <v>3112</v>
      </c>
      <c r="P963" s="52" t="s">
        <v>46</v>
      </c>
      <c r="Q963" s="52" t="s">
        <v>4012</v>
      </c>
      <c r="R963" s="52">
        <v>37</v>
      </c>
      <c r="S963" s="52" t="s">
        <v>4012</v>
      </c>
      <c r="T963" s="88">
        <v>94.34</v>
      </c>
      <c r="U963" s="53">
        <v>12</v>
      </c>
      <c r="V963" s="58">
        <f t="shared" si="70"/>
        <v>41886.959999999999</v>
      </c>
      <c r="W963" s="52" t="s">
        <v>49</v>
      </c>
      <c r="X963" s="52" t="s">
        <v>4846</v>
      </c>
      <c r="Y963" s="52" t="s">
        <v>4847</v>
      </c>
      <c r="Z963" s="52" t="s">
        <v>4848</v>
      </c>
      <c r="AA963" s="52">
        <v>0</v>
      </c>
      <c r="AB963" s="52">
        <v>0</v>
      </c>
      <c r="AC963" s="52">
        <v>0</v>
      </c>
      <c r="AD963" s="21">
        <v>0.88454016594970364</v>
      </c>
      <c r="AE963" s="54">
        <v>0.88454016594970364</v>
      </c>
      <c r="AF963" s="315">
        <f t="shared" si="69"/>
        <v>37050.698549528599</v>
      </c>
    </row>
    <row r="964" spans="1:32" ht="105" x14ac:dyDescent="0.25">
      <c r="A964" s="107" t="s">
        <v>588</v>
      </c>
      <c r="B964" s="107" t="s">
        <v>2270</v>
      </c>
      <c r="C964" s="52"/>
      <c r="D964" s="52" t="s">
        <v>2301</v>
      </c>
      <c r="E964" s="22" t="str">
        <f t="shared" si="71"/>
        <v>SEJUSPPROG</v>
      </c>
      <c r="F964" s="122" t="s">
        <v>886</v>
      </c>
      <c r="G964" s="22" t="str">
        <f t="shared" ref="G964:G1027" si="72">CONCATENATE("P",(LEFT(F964,3)),A964)</f>
        <v>P146SEJUSP</v>
      </c>
      <c r="H964" s="52" t="s">
        <v>1424</v>
      </c>
      <c r="I964" s="22" t="s">
        <v>16</v>
      </c>
      <c r="J964" s="52" t="s">
        <v>2177</v>
      </c>
      <c r="K964" s="22" t="str">
        <f>VLOOKUP(CONCATENATE(A964,LEFT(J964,4)),AGRUPAMENTO!$D$2:$E$6783,2,FALSE)</f>
        <v>Gestão de equipamentos</v>
      </c>
      <c r="L964" s="52" t="s">
        <v>44</v>
      </c>
      <c r="M964" s="52"/>
      <c r="N964" s="52">
        <v>10</v>
      </c>
      <c r="O964" s="52" t="s">
        <v>3113</v>
      </c>
      <c r="P964" s="52" t="s">
        <v>46</v>
      </c>
      <c r="Q964" s="52" t="s">
        <v>4012</v>
      </c>
      <c r="R964" s="52">
        <v>10</v>
      </c>
      <c r="S964" s="52" t="s">
        <v>4012</v>
      </c>
      <c r="T964" s="88">
        <v>188.68</v>
      </c>
      <c r="U964" s="53">
        <v>12</v>
      </c>
      <c r="V964" s="58">
        <f t="shared" si="70"/>
        <v>22641.600000000002</v>
      </c>
      <c r="W964" s="52" t="s">
        <v>49</v>
      </c>
      <c r="X964" s="52" t="s">
        <v>4846</v>
      </c>
      <c r="Y964" s="52" t="s">
        <v>4847</v>
      </c>
      <c r="Z964" s="52" t="s">
        <v>4848</v>
      </c>
      <c r="AA964" s="52">
        <v>0</v>
      </c>
      <c r="AB964" s="52">
        <v>0</v>
      </c>
      <c r="AC964" s="52">
        <v>0</v>
      </c>
      <c r="AD964" s="21">
        <v>0.88454016594970364</v>
      </c>
      <c r="AE964" s="54">
        <v>0.88454016594970364</v>
      </c>
      <c r="AF964" s="315">
        <f t="shared" ref="AF964:AF1027" si="73">AE964*V964</f>
        <v>20027.404621366812</v>
      </c>
    </row>
    <row r="965" spans="1:32" ht="105" x14ac:dyDescent="0.25">
      <c r="A965" s="107" t="s">
        <v>588</v>
      </c>
      <c r="B965" s="107" t="s">
        <v>2270</v>
      </c>
      <c r="C965" s="52"/>
      <c r="D965" s="52" t="s">
        <v>2301</v>
      </c>
      <c r="E965" s="22" t="str">
        <f t="shared" si="71"/>
        <v>SEJUSPPROG</v>
      </c>
      <c r="F965" s="52" t="s">
        <v>729</v>
      </c>
      <c r="G965" s="22" t="str">
        <f t="shared" si="72"/>
        <v>P130SEJUSP</v>
      </c>
      <c r="H965" s="52" t="s">
        <v>1183</v>
      </c>
      <c r="I965" s="22" t="s">
        <v>16</v>
      </c>
      <c r="J965" s="52" t="s">
        <v>2177</v>
      </c>
      <c r="K965" s="22" t="str">
        <f>VLOOKUP(CONCATENATE(A965,LEFT(J965,4)),AGRUPAMENTO!$D$2:$E$6783,2,FALSE)</f>
        <v>Gestão de equipamentos</v>
      </c>
      <c r="L965" s="52" t="s">
        <v>44</v>
      </c>
      <c r="M965" s="52"/>
      <c r="N965" s="52">
        <v>60</v>
      </c>
      <c r="O965" s="52" t="s">
        <v>3114</v>
      </c>
      <c r="P965" s="52" t="s">
        <v>46</v>
      </c>
      <c r="Q965" s="52" t="s">
        <v>4012</v>
      </c>
      <c r="R965" s="52">
        <v>50</v>
      </c>
      <c r="S965" s="52" t="s">
        <v>4012</v>
      </c>
      <c r="T965" s="88">
        <v>140.41999999999999</v>
      </c>
      <c r="U965" s="53">
        <v>12</v>
      </c>
      <c r="V965" s="58">
        <f t="shared" si="70"/>
        <v>84251.999999999985</v>
      </c>
      <c r="W965" s="52" t="s">
        <v>49</v>
      </c>
      <c r="X965" s="52" t="s">
        <v>4846</v>
      </c>
      <c r="Y965" s="52" t="s">
        <v>4847</v>
      </c>
      <c r="Z965" s="52" t="s">
        <v>4848</v>
      </c>
      <c r="AA965" s="52">
        <v>0</v>
      </c>
      <c r="AB965" s="52">
        <v>0</v>
      </c>
      <c r="AC965" s="52">
        <v>0</v>
      </c>
      <c r="AD965" s="21">
        <v>0.88454016594970364</v>
      </c>
      <c r="AE965" s="54">
        <v>0.88454016594970364</v>
      </c>
      <c r="AF965" s="315">
        <f t="shared" si="73"/>
        <v>74524.278061594421</v>
      </c>
    </row>
    <row r="966" spans="1:32" ht="105" x14ac:dyDescent="0.25">
      <c r="A966" s="107" t="s">
        <v>588</v>
      </c>
      <c r="B966" s="107" t="s">
        <v>2270</v>
      </c>
      <c r="C966" s="52"/>
      <c r="D966" s="52" t="s">
        <v>2301</v>
      </c>
      <c r="E966" s="22" t="str">
        <f t="shared" si="71"/>
        <v>SEJUSPPROG</v>
      </c>
      <c r="F966" s="116" t="s">
        <v>687</v>
      </c>
      <c r="G966" s="22" t="str">
        <f t="shared" si="72"/>
        <v>P705SEJUSP</v>
      </c>
      <c r="H966" s="52" t="s">
        <v>914</v>
      </c>
      <c r="I966" s="22" t="s">
        <v>16</v>
      </c>
      <c r="J966" s="52" t="s">
        <v>2177</v>
      </c>
      <c r="K966" s="22" t="str">
        <f>VLOOKUP(CONCATENATE(A966,LEFT(J966,4)),AGRUPAMENTO!$D$2:$E$6783,2,FALSE)</f>
        <v>Gestão de equipamentos</v>
      </c>
      <c r="L966" s="52" t="s">
        <v>44</v>
      </c>
      <c r="M966" s="52"/>
      <c r="N966" s="52">
        <v>10</v>
      </c>
      <c r="O966" s="52" t="s">
        <v>3115</v>
      </c>
      <c r="P966" s="52" t="s">
        <v>46</v>
      </c>
      <c r="Q966" s="52" t="s">
        <v>4012</v>
      </c>
      <c r="R966" s="52">
        <v>14</v>
      </c>
      <c r="S966" s="52" t="s">
        <v>4012</v>
      </c>
      <c r="T966" s="88">
        <v>210.63</v>
      </c>
      <c r="U966" s="53">
        <v>12</v>
      </c>
      <c r="V966" s="58">
        <f t="shared" si="70"/>
        <v>35385.839999999997</v>
      </c>
      <c r="W966" s="52" t="s">
        <v>49</v>
      </c>
      <c r="X966" s="52" t="s">
        <v>4846</v>
      </c>
      <c r="Y966" s="52" t="s">
        <v>4847</v>
      </c>
      <c r="Z966" s="52" t="s">
        <v>4848</v>
      </c>
      <c r="AA966" s="52">
        <v>0</v>
      </c>
      <c r="AB966" s="52">
        <v>0</v>
      </c>
      <c r="AC966" s="52">
        <v>0</v>
      </c>
      <c r="AD966" s="21">
        <v>0.88454016594970364</v>
      </c>
      <c r="AE966" s="54">
        <v>0.88454016594970364</v>
      </c>
      <c r="AF966" s="315">
        <f t="shared" si="73"/>
        <v>31300.196785869659</v>
      </c>
    </row>
    <row r="967" spans="1:32" ht="105" x14ac:dyDescent="0.25">
      <c r="A967" s="107" t="s">
        <v>588</v>
      </c>
      <c r="B967" s="107" t="s">
        <v>2270</v>
      </c>
      <c r="C967" s="52"/>
      <c r="D967" s="52" t="s">
        <v>2301</v>
      </c>
      <c r="E967" s="22" t="str">
        <f t="shared" si="71"/>
        <v>SEJUSPPROG</v>
      </c>
      <c r="F967" s="120" t="s">
        <v>681</v>
      </c>
      <c r="G967" s="22" t="str">
        <f t="shared" si="72"/>
        <v>P129SEJUSP</v>
      </c>
      <c r="H967" s="52" t="s">
        <v>1015</v>
      </c>
      <c r="I967" s="22" t="s">
        <v>16</v>
      </c>
      <c r="J967" s="52" t="s">
        <v>2177</v>
      </c>
      <c r="K967" s="22" t="str">
        <f>VLOOKUP(CONCATENATE(A967,LEFT(J967,4)),AGRUPAMENTO!$D$2:$E$6783,2,FALSE)</f>
        <v>Gestão de equipamentos</v>
      </c>
      <c r="L967" s="52" t="s">
        <v>44</v>
      </c>
      <c r="M967" s="52"/>
      <c r="N967" s="52">
        <v>60</v>
      </c>
      <c r="O967" s="52" t="s">
        <v>3116</v>
      </c>
      <c r="P967" s="52" t="s">
        <v>46</v>
      </c>
      <c r="Q967" s="52" t="s">
        <v>4012</v>
      </c>
      <c r="R967" s="52">
        <v>2</v>
      </c>
      <c r="S967" s="52" t="s">
        <v>4012</v>
      </c>
      <c r="T967" s="88">
        <v>140.41999999999999</v>
      </c>
      <c r="U967" s="53">
        <v>12</v>
      </c>
      <c r="V967" s="58">
        <f t="shared" si="70"/>
        <v>3370.08</v>
      </c>
      <c r="W967" s="52" t="s">
        <v>49</v>
      </c>
      <c r="X967" s="52" t="s">
        <v>4846</v>
      </c>
      <c r="Y967" s="52" t="s">
        <v>4847</v>
      </c>
      <c r="Z967" s="52" t="s">
        <v>4848</v>
      </c>
      <c r="AA967" s="52">
        <v>0</v>
      </c>
      <c r="AB967" s="52">
        <v>0</v>
      </c>
      <c r="AC967" s="52">
        <v>0</v>
      </c>
      <c r="AD967" s="21">
        <v>0.88454016594970364</v>
      </c>
      <c r="AE967" s="54">
        <v>0.88454016594970364</v>
      </c>
      <c r="AF967" s="315">
        <f t="shared" si="73"/>
        <v>2980.9711224637772</v>
      </c>
    </row>
    <row r="968" spans="1:32" ht="105" x14ac:dyDescent="0.25">
      <c r="A968" s="107" t="s">
        <v>588</v>
      </c>
      <c r="B968" s="107" t="s">
        <v>2270</v>
      </c>
      <c r="C968" s="52"/>
      <c r="D968" s="52" t="s">
        <v>2301</v>
      </c>
      <c r="E968" s="22" t="str">
        <f t="shared" si="71"/>
        <v>SEJUSPPROG</v>
      </c>
      <c r="F968" s="122" t="s">
        <v>886</v>
      </c>
      <c r="G968" s="22" t="str">
        <f t="shared" si="72"/>
        <v>P146SEJUSP</v>
      </c>
      <c r="H968" s="52" t="s">
        <v>1424</v>
      </c>
      <c r="I968" s="22" t="s">
        <v>16</v>
      </c>
      <c r="J968" s="52" t="s">
        <v>2177</v>
      </c>
      <c r="K968" s="22" t="str">
        <f>VLOOKUP(CONCATENATE(A968,LEFT(J968,4)),AGRUPAMENTO!$D$2:$E$6783,2,FALSE)</f>
        <v>Gestão de equipamentos</v>
      </c>
      <c r="L968" s="52" t="s">
        <v>44</v>
      </c>
      <c r="M968" s="52"/>
      <c r="N968" s="52">
        <v>10</v>
      </c>
      <c r="O968" s="52" t="s">
        <v>3117</v>
      </c>
      <c r="P968" s="52" t="s">
        <v>46</v>
      </c>
      <c r="Q968" s="52" t="s">
        <v>4012</v>
      </c>
      <c r="R968" s="52">
        <v>8</v>
      </c>
      <c r="S968" s="52" t="s">
        <v>4012</v>
      </c>
      <c r="T968" s="88">
        <v>283.02</v>
      </c>
      <c r="U968" s="53">
        <v>12</v>
      </c>
      <c r="V968" s="58">
        <f t="shared" si="70"/>
        <v>27169.919999999998</v>
      </c>
      <c r="W968" s="52" t="s">
        <v>49</v>
      </c>
      <c r="X968" s="52" t="s">
        <v>4846</v>
      </c>
      <c r="Y968" s="52" t="s">
        <v>4847</v>
      </c>
      <c r="Z968" s="52" t="s">
        <v>4848</v>
      </c>
      <c r="AA968" s="52">
        <v>0</v>
      </c>
      <c r="AB968" s="52">
        <v>0</v>
      </c>
      <c r="AC968" s="52">
        <v>0</v>
      </c>
      <c r="AD968" s="21">
        <v>0.88454016594970364</v>
      </c>
      <c r="AE968" s="54">
        <v>0.88454016594970364</v>
      </c>
      <c r="AF968" s="315">
        <f t="shared" si="73"/>
        <v>24032.885545640169</v>
      </c>
    </row>
    <row r="969" spans="1:32" ht="105" x14ac:dyDescent="0.25">
      <c r="A969" s="107" t="s">
        <v>588</v>
      </c>
      <c r="B969" s="107" t="s">
        <v>2270</v>
      </c>
      <c r="C969" s="52"/>
      <c r="D969" s="52" t="s">
        <v>2301</v>
      </c>
      <c r="E969" s="22" t="str">
        <f t="shared" si="71"/>
        <v>SEJUSPPROG</v>
      </c>
      <c r="F969" s="52" t="s">
        <v>729</v>
      </c>
      <c r="G969" s="22" t="str">
        <f t="shared" si="72"/>
        <v>P130SEJUSP</v>
      </c>
      <c r="H969" s="52" t="s">
        <v>1183</v>
      </c>
      <c r="I969" s="22" t="s">
        <v>16</v>
      </c>
      <c r="J969" s="52" t="s">
        <v>2177</v>
      </c>
      <c r="K969" s="22" t="str">
        <f>VLOOKUP(CONCATENATE(A969,LEFT(J969,4)),AGRUPAMENTO!$D$2:$E$6783,2,FALSE)</f>
        <v>Gestão de equipamentos</v>
      </c>
      <c r="L969" s="52" t="s">
        <v>44</v>
      </c>
      <c r="M969" s="52"/>
      <c r="N969" s="52">
        <v>60</v>
      </c>
      <c r="O969" s="52" t="s">
        <v>3118</v>
      </c>
      <c r="P969" s="52" t="s">
        <v>46</v>
      </c>
      <c r="Q969" s="52" t="s">
        <v>4012</v>
      </c>
      <c r="R969" s="52">
        <v>37</v>
      </c>
      <c r="S969" s="52" t="s">
        <v>4012</v>
      </c>
      <c r="T969" s="88">
        <v>210.63</v>
      </c>
      <c r="U969" s="53">
        <v>12</v>
      </c>
      <c r="V969" s="58">
        <f t="shared" si="70"/>
        <v>93519.72</v>
      </c>
      <c r="W969" s="52" t="s">
        <v>49</v>
      </c>
      <c r="X969" s="52" t="s">
        <v>4846</v>
      </c>
      <c r="Y969" s="52" t="s">
        <v>4847</v>
      </c>
      <c r="Z969" s="52" t="s">
        <v>4848</v>
      </c>
      <c r="AA969" s="52">
        <v>0</v>
      </c>
      <c r="AB969" s="52">
        <v>0</v>
      </c>
      <c r="AC969" s="52">
        <v>0</v>
      </c>
      <c r="AD969" s="21">
        <v>0.88454016594970364</v>
      </c>
      <c r="AE969" s="54">
        <v>0.88454016594970364</v>
      </c>
      <c r="AF969" s="315">
        <f t="shared" si="73"/>
        <v>82721.948648369813</v>
      </c>
    </row>
    <row r="970" spans="1:32" ht="105" x14ac:dyDescent="0.25">
      <c r="A970" s="107" t="s">
        <v>588</v>
      </c>
      <c r="B970" s="107" t="s">
        <v>2270</v>
      </c>
      <c r="C970" s="52"/>
      <c r="D970" s="52" t="s">
        <v>2301</v>
      </c>
      <c r="E970" s="22" t="str">
        <f t="shared" si="71"/>
        <v>SEJUSPPROG</v>
      </c>
      <c r="F970" s="52" t="s">
        <v>729</v>
      </c>
      <c r="G970" s="22" t="str">
        <f t="shared" si="72"/>
        <v>P130SEJUSP</v>
      </c>
      <c r="H970" s="52" t="s">
        <v>1259</v>
      </c>
      <c r="I970" s="22" t="s">
        <v>16</v>
      </c>
      <c r="J970" s="52" t="s">
        <v>2177</v>
      </c>
      <c r="K970" s="22" t="str">
        <f>VLOOKUP(CONCATENATE(A970,LEFT(J970,4)),AGRUPAMENTO!$D$2:$E$6783,2,FALSE)</f>
        <v>Gestão de equipamentos</v>
      </c>
      <c r="L970" s="52" t="s">
        <v>44</v>
      </c>
      <c r="M970" s="52"/>
      <c r="N970" s="52">
        <v>10</v>
      </c>
      <c r="O970" s="52" t="s">
        <v>3119</v>
      </c>
      <c r="P970" s="52" t="s">
        <v>46</v>
      </c>
      <c r="Q970" s="52" t="s">
        <v>4012</v>
      </c>
      <c r="R970" s="52">
        <v>5</v>
      </c>
      <c r="S970" s="52" t="s">
        <v>4012</v>
      </c>
      <c r="T970" s="88">
        <v>210.63</v>
      </c>
      <c r="U970" s="53">
        <v>12</v>
      </c>
      <c r="V970" s="58">
        <f t="shared" si="70"/>
        <v>12637.800000000001</v>
      </c>
      <c r="W970" s="52" t="s">
        <v>49</v>
      </c>
      <c r="X970" s="52" t="s">
        <v>4846</v>
      </c>
      <c r="Y970" s="52" t="s">
        <v>4847</v>
      </c>
      <c r="Z970" s="52" t="s">
        <v>4848</v>
      </c>
      <c r="AA970" s="52">
        <v>0</v>
      </c>
      <c r="AB970" s="52">
        <v>0</v>
      </c>
      <c r="AC970" s="52">
        <v>0</v>
      </c>
      <c r="AD970" s="21">
        <v>0.88454016594970364</v>
      </c>
      <c r="AE970" s="54">
        <v>0.88454016594970364</v>
      </c>
      <c r="AF970" s="315">
        <f t="shared" si="73"/>
        <v>11178.641709239166</v>
      </c>
    </row>
    <row r="971" spans="1:32" ht="105" x14ac:dyDescent="0.25">
      <c r="A971" s="107" t="s">
        <v>588</v>
      </c>
      <c r="B971" s="107" t="s">
        <v>2270</v>
      </c>
      <c r="C971" s="52"/>
      <c r="D971" s="52" t="s">
        <v>2301</v>
      </c>
      <c r="E971" s="22" t="str">
        <f t="shared" si="71"/>
        <v>SEJUSPPROG</v>
      </c>
      <c r="F971" s="116" t="s">
        <v>687</v>
      </c>
      <c r="G971" s="22" t="str">
        <f t="shared" si="72"/>
        <v>P705SEJUSP</v>
      </c>
      <c r="H971" s="52" t="s">
        <v>914</v>
      </c>
      <c r="I971" s="22" t="s">
        <v>16</v>
      </c>
      <c r="J971" s="52" t="s">
        <v>2177</v>
      </c>
      <c r="K971" s="22" t="str">
        <f>VLOOKUP(CONCATENATE(A971,LEFT(J971,4)),AGRUPAMENTO!$D$2:$E$6783,2,FALSE)</f>
        <v>Gestão de equipamentos</v>
      </c>
      <c r="L971" s="52" t="s">
        <v>44</v>
      </c>
      <c r="M971" s="52"/>
      <c r="N971" s="52">
        <v>10</v>
      </c>
      <c r="O971" s="52" t="s">
        <v>3120</v>
      </c>
      <c r="P971" s="52" t="s">
        <v>46</v>
      </c>
      <c r="Q971" s="52" t="s">
        <v>4012</v>
      </c>
      <c r="R971" s="52">
        <v>2</v>
      </c>
      <c r="S971" s="52" t="s">
        <v>4012</v>
      </c>
      <c r="T971" s="88">
        <v>631.88</v>
      </c>
      <c r="U971" s="53">
        <v>12</v>
      </c>
      <c r="V971" s="58">
        <f t="shared" si="70"/>
        <v>15165.119999999999</v>
      </c>
      <c r="W971" s="52" t="s">
        <v>49</v>
      </c>
      <c r="X971" s="52" t="s">
        <v>4846</v>
      </c>
      <c r="Y971" s="52" t="s">
        <v>4847</v>
      </c>
      <c r="Z971" s="52" t="s">
        <v>4848</v>
      </c>
      <c r="AA971" s="52">
        <v>0</v>
      </c>
      <c r="AB971" s="52">
        <v>0</v>
      </c>
      <c r="AC971" s="52">
        <v>0</v>
      </c>
      <c r="AD971" s="21">
        <v>0.88454016594970364</v>
      </c>
      <c r="AE971" s="54">
        <v>0.88454016594970364</v>
      </c>
      <c r="AF971" s="315">
        <f t="shared" si="73"/>
        <v>13414.157761447168</v>
      </c>
    </row>
    <row r="972" spans="1:32" ht="105" x14ac:dyDescent="0.25">
      <c r="A972" s="107" t="s">
        <v>588</v>
      </c>
      <c r="B972" s="107" t="s">
        <v>2270</v>
      </c>
      <c r="C972" s="52"/>
      <c r="D972" s="52" t="s">
        <v>2301</v>
      </c>
      <c r="E972" s="22" t="str">
        <f t="shared" si="71"/>
        <v>SEJUSPPROG</v>
      </c>
      <c r="F972" s="52" t="s">
        <v>699</v>
      </c>
      <c r="G972" s="22" t="str">
        <f t="shared" si="72"/>
        <v>P141SEJUSP</v>
      </c>
      <c r="H972" s="52" t="s">
        <v>1393</v>
      </c>
      <c r="I972" s="22" t="s">
        <v>16</v>
      </c>
      <c r="J972" s="52" t="s">
        <v>2177</v>
      </c>
      <c r="K972" s="22" t="str">
        <f>VLOOKUP(CONCATENATE(A972,LEFT(J972,4)),AGRUPAMENTO!$D$2:$E$6783,2,FALSE)</f>
        <v>Gestão de equipamentos</v>
      </c>
      <c r="L972" s="52" t="s">
        <v>44</v>
      </c>
      <c r="M972" s="52"/>
      <c r="N972" s="52">
        <v>10</v>
      </c>
      <c r="O972" s="52" t="s">
        <v>3121</v>
      </c>
      <c r="P972" s="52" t="s">
        <v>46</v>
      </c>
      <c r="Q972" s="52" t="s">
        <v>4012</v>
      </c>
      <c r="R972" s="52">
        <v>2</v>
      </c>
      <c r="S972" s="52" t="s">
        <v>4012</v>
      </c>
      <c r="T972" s="88">
        <v>94.34</v>
      </c>
      <c r="U972" s="53">
        <v>12</v>
      </c>
      <c r="V972" s="58">
        <f t="shared" si="70"/>
        <v>2264.16</v>
      </c>
      <c r="W972" s="52" t="s">
        <v>49</v>
      </c>
      <c r="X972" s="52" t="s">
        <v>4846</v>
      </c>
      <c r="Y972" s="52" t="s">
        <v>4847</v>
      </c>
      <c r="Z972" s="52" t="s">
        <v>4848</v>
      </c>
      <c r="AA972" s="52">
        <v>0</v>
      </c>
      <c r="AB972" s="52">
        <v>0</v>
      </c>
      <c r="AC972" s="52">
        <v>0</v>
      </c>
      <c r="AD972" s="21">
        <v>0.88454016594970364</v>
      </c>
      <c r="AE972" s="54">
        <v>0.88454016594970364</v>
      </c>
      <c r="AF972" s="315">
        <f t="shared" si="73"/>
        <v>2002.7404621366809</v>
      </c>
    </row>
    <row r="973" spans="1:32" ht="135" x14ac:dyDescent="0.25">
      <c r="A973" s="107" t="s">
        <v>588</v>
      </c>
      <c r="B973" s="107" t="s">
        <v>2270</v>
      </c>
      <c r="C973" s="52"/>
      <c r="D973" s="52" t="s">
        <v>2301</v>
      </c>
      <c r="E973" s="22" t="str">
        <f t="shared" si="71"/>
        <v>SEJUSPPROG</v>
      </c>
      <c r="F973" s="122" t="s">
        <v>886</v>
      </c>
      <c r="G973" s="22" t="str">
        <f t="shared" si="72"/>
        <v>P146SEJUSP</v>
      </c>
      <c r="H973" s="52" t="s">
        <v>1424</v>
      </c>
      <c r="I973" s="22" t="s">
        <v>16</v>
      </c>
      <c r="J973" s="52" t="s">
        <v>1641</v>
      </c>
      <c r="K973" s="22" t="str">
        <f>VLOOKUP(CONCATENATE(A973,LEFT(J973,4)),AGRUPAMENTO!$D$2:$E$6783,2,FALSE)</f>
        <v xml:space="preserve">Locação de Máquinas e Equipamentos </v>
      </c>
      <c r="L973" s="52" t="s">
        <v>44</v>
      </c>
      <c r="M973" s="52"/>
      <c r="N973" s="52">
        <v>10</v>
      </c>
      <c r="O973" s="52" t="s">
        <v>3122</v>
      </c>
      <c r="P973" s="52" t="s">
        <v>46</v>
      </c>
      <c r="Q973" s="52" t="s">
        <v>4012</v>
      </c>
      <c r="R973" s="52">
        <v>2</v>
      </c>
      <c r="S973" s="52" t="s">
        <v>4012</v>
      </c>
      <c r="T973" s="88">
        <v>1100</v>
      </c>
      <c r="U973" s="53">
        <v>12</v>
      </c>
      <c r="V973" s="58">
        <f t="shared" si="70"/>
        <v>26400</v>
      </c>
      <c r="W973" s="52" t="s">
        <v>49</v>
      </c>
      <c r="X973" s="52" t="s">
        <v>4846</v>
      </c>
      <c r="Y973" s="52" t="s">
        <v>4846</v>
      </c>
      <c r="Z973" s="52" t="s">
        <v>4848</v>
      </c>
      <c r="AA973" s="52">
        <v>0</v>
      </c>
      <c r="AB973" s="52">
        <v>0</v>
      </c>
      <c r="AC973" s="52">
        <v>0</v>
      </c>
      <c r="AD973" s="21">
        <v>0.57732302447688655</v>
      </c>
      <c r="AE973" s="54">
        <v>0.57732302447688655</v>
      </c>
      <c r="AF973" s="315">
        <f t="shared" si="73"/>
        <v>15241.327846189804</v>
      </c>
    </row>
    <row r="974" spans="1:32" ht="135" x14ac:dyDescent="0.25">
      <c r="A974" s="107" t="s">
        <v>588</v>
      </c>
      <c r="B974" s="107" t="s">
        <v>2270</v>
      </c>
      <c r="C974" s="52"/>
      <c r="D974" s="52" t="s">
        <v>2301</v>
      </c>
      <c r="E974" s="22" t="str">
        <f t="shared" si="71"/>
        <v>SEJUSPPROG</v>
      </c>
      <c r="F974" s="52" t="s">
        <v>729</v>
      </c>
      <c r="G974" s="22" t="str">
        <f t="shared" si="72"/>
        <v>P130SEJUSP</v>
      </c>
      <c r="H974" s="52" t="s">
        <v>1183</v>
      </c>
      <c r="I974" s="22" t="s">
        <v>16</v>
      </c>
      <c r="J974" s="52" t="s">
        <v>1641</v>
      </c>
      <c r="K974" s="22" t="str">
        <f>VLOOKUP(CONCATENATE(A974,LEFT(J974,4)),AGRUPAMENTO!$D$2:$E$6783,2,FALSE)</f>
        <v xml:space="preserve">Locação de Máquinas e Equipamentos </v>
      </c>
      <c r="L974" s="52" t="s">
        <v>44</v>
      </c>
      <c r="M974" s="52"/>
      <c r="N974" s="52">
        <v>60</v>
      </c>
      <c r="O974" s="52" t="s">
        <v>3123</v>
      </c>
      <c r="P974" s="52" t="s">
        <v>46</v>
      </c>
      <c r="Q974" s="52" t="s">
        <v>4012</v>
      </c>
      <c r="R974" s="52">
        <v>73</v>
      </c>
      <c r="S974" s="52" t="s">
        <v>4012</v>
      </c>
      <c r="T974" s="88">
        <v>1100</v>
      </c>
      <c r="U974" s="53">
        <v>12</v>
      </c>
      <c r="V974" s="58">
        <f t="shared" si="70"/>
        <v>963600</v>
      </c>
      <c r="W974" s="52" t="s">
        <v>49</v>
      </c>
      <c r="X974" s="52" t="s">
        <v>4846</v>
      </c>
      <c r="Y974" s="52" t="s">
        <v>4846</v>
      </c>
      <c r="Z974" s="52" t="s">
        <v>4848</v>
      </c>
      <c r="AA974" s="52">
        <v>0</v>
      </c>
      <c r="AB974" s="52">
        <v>0</v>
      </c>
      <c r="AC974" s="52">
        <v>0</v>
      </c>
      <c r="AD974" s="21">
        <v>0.57732302447688655</v>
      </c>
      <c r="AE974" s="54">
        <v>0.57732302447688655</v>
      </c>
      <c r="AF974" s="315">
        <f t="shared" si="73"/>
        <v>556308.46638592787</v>
      </c>
    </row>
    <row r="975" spans="1:32" ht="195" x14ac:dyDescent="0.25">
      <c r="A975" s="107" t="s">
        <v>588</v>
      </c>
      <c r="B975" s="107" t="s">
        <v>2270</v>
      </c>
      <c r="C975" s="52"/>
      <c r="D975" s="52" t="s">
        <v>2301</v>
      </c>
      <c r="E975" s="22" t="str">
        <f t="shared" si="71"/>
        <v>SEJUSPPROG</v>
      </c>
      <c r="F975" s="52" t="s">
        <v>729</v>
      </c>
      <c r="G975" s="22" t="str">
        <f t="shared" si="72"/>
        <v>P130SEJUSP</v>
      </c>
      <c r="H975" s="52" t="s">
        <v>1183</v>
      </c>
      <c r="I975" s="22" t="s">
        <v>16</v>
      </c>
      <c r="J975" s="52" t="s">
        <v>1641</v>
      </c>
      <c r="K975" s="22" t="str">
        <f>VLOOKUP(CONCATENATE(A975,LEFT(J975,4)),AGRUPAMENTO!$D$2:$E$6783,2,FALSE)</f>
        <v xml:space="preserve">Locação de Máquinas e Equipamentos </v>
      </c>
      <c r="L975" s="52" t="s">
        <v>44</v>
      </c>
      <c r="M975" s="52"/>
      <c r="N975" s="52">
        <v>60</v>
      </c>
      <c r="O975" s="52" t="s">
        <v>3124</v>
      </c>
      <c r="P975" s="52" t="s">
        <v>46</v>
      </c>
      <c r="Q975" s="52" t="s">
        <v>4012</v>
      </c>
      <c r="R975" s="52">
        <v>64</v>
      </c>
      <c r="S975" s="52" t="s">
        <v>4012</v>
      </c>
      <c r="T975" s="88">
        <v>4525.72</v>
      </c>
      <c r="U975" s="53">
        <v>12</v>
      </c>
      <c r="V975" s="58">
        <f t="shared" si="70"/>
        <v>3475752.96</v>
      </c>
      <c r="W975" s="52" t="s">
        <v>49</v>
      </c>
      <c r="X975" s="52" t="s">
        <v>4849</v>
      </c>
      <c r="Y975" s="52" t="s">
        <v>4850</v>
      </c>
      <c r="Z975" s="52" t="s">
        <v>4851</v>
      </c>
      <c r="AA975" s="52">
        <v>0</v>
      </c>
      <c r="AB975" s="52">
        <v>0</v>
      </c>
      <c r="AC975" s="52">
        <v>0</v>
      </c>
      <c r="AD975" s="21">
        <v>0.57732302447688655</v>
      </c>
      <c r="AE975" s="54">
        <v>0.57732302447688655</v>
      </c>
      <c r="AF975" s="315">
        <f t="shared" si="73"/>
        <v>2006632.2112016908</v>
      </c>
    </row>
    <row r="976" spans="1:32" ht="195" x14ac:dyDescent="0.25">
      <c r="A976" s="107" t="s">
        <v>588</v>
      </c>
      <c r="B976" s="107" t="s">
        <v>2270</v>
      </c>
      <c r="C976" s="52"/>
      <c r="D976" s="52" t="s">
        <v>2301</v>
      </c>
      <c r="E976" s="22" t="str">
        <f t="shared" si="71"/>
        <v>SEJUSPPROG</v>
      </c>
      <c r="F976" s="52" t="s">
        <v>729</v>
      </c>
      <c r="G976" s="22" t="str">
        <f t="shared" si="72"/>
        <v>P130SEJUSP</v>
      </c>
      <c r="H976" s="52" t="s">
        <v>1183</v>
      </c>
      <c r="I976" s="22" t="s">
        <v>16</v>
      </c>
      <c r="J976" s="52" t="s">
        <v>1641</v>
      </c>
      <c r="K976" s="22" t="str">
        <f>VLOOKUP(CONCATENATE(A976,LEFT(J976,4)),AGRUPAMENTO!$D$2:$E$6783,2,FALSE)</f>
        <v xml:space="preserve">Locação de Máquinas e Equipamentos </v>
      </c>
      <c r="L976" s="52" t="s">
        <v>44</v>
      </c>
      <c r="M976" s="52"/>
      <c r="N976" s="52">
        <v>60</v>
      </c>
      <c r="O976" s="52" t="s">
        <v>3125</v>
      </c>
      <c r="P976" s="52" t="s">
        <v>46</v>
      </c>
      <c r="Q976" s="52" t="s">
        <v>4012</v>
      </c>
      <c r="R976" s="52">
        <v>88</v>
      </c>
      <c r="S976" s="52" t="s">
        <v>4012</v>
      </c>
      <c r="T976" s="88">
        <v>11680.82</v>
      </c>
      <c r="U976" s="53">
        <v>12</v>
      </c>
      <c r="V976" s="58">
        <f t="shared" si="70"/>
        <v>12334945.919999998</v>
      </c>
      <c r="W976" s="52" t="s">
        <v>49</v>
      </c>
      <c r="X976" s="52" t="s">
        <v>4849</v>
      </c>
      <c r="Y976" s="52" t="s">
        <v>4850</v>
      </c>
      <c r="Z976" s="52" t="s">
        <v>4851</v>
      </c>
      <c r="AA976" s="52">
        <v>0</v>
      </c>
      <c r="AB976" s="52">
        <v>0</v>
      </c>
      <c r="AC976" s="52">
        <v>0</v>
      </c>
      <c r="AD976" s="21">
        <v>0.57732302447688655</v>
      </c>
      <c r="AE976" s="54">
        <v>0.57732302447688655</v>
      </c>
      <c r="AF976" s="315">
        <f t="shared" si="73"/>
        <v>7121248.2852932308</v>
      </c>
    </row>
    <row r="977" spans="1:32" ht="135" x14ac:dyDescent="0.25">
      <c r="A977" s="107" t="s">
        <v>588</v>
      </c>
      <c r="B977" s="107" t="s">
        <v>2270</v>
      </c>
      <c r="C977" s="52"/>
      <c r="D977" s="52" t="s">
        <v>2301</v>
      </c>
      <c r="E977" s="22" t="str">
        <f t="shared" si="71"/>
        <v>SEJUSPPROG</v>
      </c>
      <c r="F977" s="52" t="s">
        <v>699</v>
      </c>
      <c r="G977" s="22" t="str">
        <f t="shared" si="72"/>
        <v>P141SEJUSP</v>
      </c>
      <c r="H977" s="52" t="s">
        <v>1403</v>
      </c>
      <c r="I977" s="22" t="s">
        <v>16</v>
      </c>
      <c r="J977" s="52" t="s">
        <v>1641</v>
      </c>
      <c r="K977" s="22" t="str">
        <f>VLOOKUP(CONCATENATE(A977,LEFT(J977,4)),AGRUPAMENTO!$D$2:$E$6783,2,FALSE)</f>
        <v xml:space="preserve">Locação de Máquinas e Equipamentos </v>
      </c>
      <c r="L977" s="52" t="s">
        <v>44</v>
      </c>
      <c r="M977" s="52"/>
      <c r="N977" s="52">
        <v>10</v>
      </c>
      <c r="O977" s="52" t="s">
        <v>3126</v>
      </c>
      <c r="P977" s="52" t="s">
        <v>46</v>
      </c>
      <c r="Q977" s="52" t="s">
        <v>4012</v>
      </c>
      <c r="R977" s="52">
        <v>3</v>
      </c>
      <c r="S977" s="52" t="s">
        <v>4012</v>
      </c>
      <c r="T977" s="88">
        <v>1100</v>
      </c>
      <c r="U977" s="53">
        <v>12</v>
      </c>
      <c r="V977" s="58">
        <f t="shared" si="70"/>
        <v>39600</v>
      </c>
      <c r="W977" s="52" t="s">
        <v>49</v>
      </c>
      <c r="X977" s="52" t="s">
        <v>4846</v>
      </c>
      <c r="Y977" s="52" t="s">
        <v>4846</v>
      </c>
      <c r="Z977" s="52" t="s">
        <v>4848</v>
      </c>
      <c r="AA977" s="52">
        <v>0</v>
      </c>
      <c r="AB977" s="52">
        <v>0</v>
      </c>
      <c r="AC977" s="52">
        <v>0</v>
      </c>
      <c r="AD977" s="21">
        <v>0.57732302447688655</v>
      </c>
      <c r="AE977" s="54">
        <v>0.57732302447688655</v>
      </c>
      <c r="AF977" s="315">
        <f t="shared" si="73"/>
        <v>22861.991769284708</v>
      </c>
    </row>
    <row r="978" spans="1:32" ht="195" x14ac:dyDescent="0.25">
      <c r="A978" s="107" t="s">
        <v>588</v>
      </c>
      <c r="B978" s="107" t="s">
        <v>2270</v>
      </c>
      <c r="C978" s="52"/>
      <c r="D978" s="52" t="s">
        <v>2301</v>
      </c>
      <c r="E978" s="22" t="str">
        <f t="shared" si="71"/>
        <v>SEJUSPPROG</v>
      </c>
      <c r="F978" s="122" t="s">
        <v>886</v>
      </c>
      <c r="G978" s="22" t="str">
        <f t="shared" si="72"/>
        <v>P146SEJUSP</v>
      </c>
      <c r="H978" s="52" t="s">
        <v>1424</v>
      </c>
      <c r="I978" s="22" t="s">
        <v>16</v>
      </c>
      <c r="J978" s="52" t="s">
        <v>1641</v>
      </c>
      <c r="K978" s="22" t="str">
        <f>VLOOKUP(CONCATENATE(A978,LEFT(J978,4)),AGRUPAMENTO!$D$2:$E$6783,2,FALSE)</f>
        <v xml:space="preserve">Locação de Máquinas e Equipamentos </v>
      </c>
      <c r="L978" s="52" t="s">
        <v>44</v>
      </c>
      <c r="M978" s="52"/>
      <c r="N978" s="52">
        <v>10</v>
      </c>
      <c r="O978" s="52" t="s">
        <v>3127</v>
      </c>
      <c r="P978" s="52" t="s">
        <v>46</v>
      </c>
      <c r="Q978" s="52" t="s">
        <v>4012</v>
      </c>
      <c r="R978" s="52">
        <v>4</v>
      </c>
      <c r="S978" s="52" t="s">
        <v>4012</v>
      </c>
      <c r="T978" s="88">
        <v>11680.82</v>
      </c>
      <c r="U978" s="53">
        <v>12</v>
      </c>
      <c r="V978" s="58">
        <f t="shared" si="70"/>
        <v>560679.36</v>
      </c>
      <c r="W978" s="52" t="s">
        <v>49</v>
      </c>
      <c r="X978" s="52" t="s">
        <v>4849</v>
      </c>
      <c r="Y978" s="52" t="s">
        <v>4850</v>
      </c>
      <c r="Z978" s="52" t="s">
        <v>4851</v>
      </c>
      <c r="AA978" s="52">
        <v>0</v>
      </c>
      <c r="AB978" s="52">
        <v>0</v>
      </c>
      <c r="AC978" s="52">
        <v>0</v>
      </c>
      <c r="AD978" s="21">
        <v>0.57732302447688655</v>
      </c>
      <c r="AE978" s="54">
        <v>0.57732302447688655</v>
      </c>
      <c r="AF978" s="315">
        <f t="shared" si="73"/>
        <v>323693.10387696506</v>
      </c>
    </row>
    <row r="979" spans="1:32" ht="105" x14ac:dyDescent="0.25">
      <c r="A979" s="107" t="s">
        <v>588</v>
      </c>
      <c r="B979" s="107" t="s">
        <v>2270</v>
      </c>
      <c r="C979" s="52"/>
      <c r="D979" s="52" t="s">
        <v>2301</v>
      </c>
      <c r="E979" s="22" t="str">
        <f t="shared" si="71"/>
        <v>SEJUSPPROG</v>
      </c>
      <c r="F979" s="52" t="s">
        <v>705</v>
      </c>
      <c r="G979" s="22" t="str">
        <f t="shared" si="72"/>
        <v>P134SEJUSP</v>
      </c>
      <c r="H979" s="52" t="s">
        <v>1356</v>
      </c>
      <c r="I979" s="22" t="s">
        <v>16</v>
      </c>
      <c r="J979" s="52" t="s">
        <v>1666</v>
      </c>
      <c r="K979" s="22" t="str">
        <f>VLOOKUP(CONCATENATE(A979,LEFT(J979,4)),AGRUPAMENTO!$D$2:$E$6783,2,FALSE)</f>
        <v>Serviços de TIC</v>
      </c>
      <c r="L979" s="52" t="s">
        <v>44</v>
      </c>
      <c r="M979" s="52"/>
      <c r="N979" s="52">
        <v>10</v>
      </c>
      <c r="O979" s="52" t="s">
        <v>3128</v>
      </c>
      <c r="P979" s="52" t="s">
        <v>46</v>
      </c>
      <c r="Q979" s="52" t="s">
        <v>4012</v>
      </c>
      <c r="R979" s="52">
        <v>1</v>
      </c>
      <c r="S979" s="52" t="s">
        <v>4012</v>
      </c>
      <c r="T979" s="88">
        <v>35.630000000000003</v>
      </c>
      <c r="U979" s="53">
        <v>12</v>
      </c>
      <c r="V979" s="58">
        <f t="shared" si="70"/>
        <v>427.56000000000006</v>
      </c>
      <c r="W979" s="52" t="s">
        <v>49</v>
      </c>
      <c r="X979" s="52" t="s">
        <v>4846</v>
      </c>
      <c r="Y979" s="52" t="s">
        <v>4852</v>
      </c>
      <c r="Z979" s="52" t="s">
        <v>4853</v>
      </c>
      <c r="AA979" s="52">
        <v>0</v>
      </c>
      <c r="AB979" s="52">
        <v>0</v>
      </c>
      <c r="AC979" s="52">
        <v>0</v>
      </c>
      <c r="AD979" s="21">
        <v>0.78045682583967335</v>
      </c>
      <c r="AE979" s="54">
        <v>0.78045682583967335</v>
      </c>
      <c r="AF979" s="315">
        <f t="shared" si="73"/>
        <v>333.6921204560108</v>
      </c>
    </row>
    <row r="980" spans="1:32" ht="105" x14ac:dyDescent="0.25">
      <c r="A980" s="107" t="s">
        <v>588</v>
      </c>
      <c r="B980" s="107" t="s">
        <v>2270</v>
      </c>
      <c r="C980" s="52"/>
      <c r="D980" s="52" t="s">
        <v>2301</v>
      </c>
      <c r="E980" s="22" t="str">
        <f t="shared" si="71"/>
        <v>SEJUSPPROG</v>
      </c>
      <c r="F980" s="122" t="s">
        <v>886</v>
      </c>
      <c r="G980" s="22" t="str">
        <f t="shared" si="72"/>
        <v>P146SEJUSP</v>
      </c>
      <c r="H980" s="52" t="s">
        <v>1424</v>
      </c>
      <c r="I980" s="22" t="s">
        <v>16</v>
      </c>
      <c r="J980" s="52" t="s">
        <v>1666</v>
      </c>
      <c r="K980" s="22" t="str">
        <f>VLOOKUP(CONCATENATE(A980,LEFT(J980,4)),AGRUPAMENTO!$D$2:$E$6783,2,FALSE)</f>
        <v>Serviços de TIC</v>
      </c>
      <c r="L980" s="52" t="s">
        <v>44</v>
      </c>
      <c r="M980" s="52"/>
      <c r="N980" s="52">
        <v>10</v>
      </c>
      <c r="O980" s="52" t="s">
        <v>3129</v>
      </c>
      <c r="P980" s="52" t="s">
        <v>46</v>
      </c>
      <c r="Q980" s="52" t="s">
        <v>4012</v>
      </c>
      <c r="R980" s="52">
        <v>1</v>
      </c>
      <c r="S980" s="52" t="s">
        <v>4012</v>
      </c>
      <c r="T980" s="88">
        <v>808.81</v>
      </c>
      <c r="U980" s="53">
        <v>12</v>
      </c>
      <c r="V980" s="58">
        <f t="shared" si="70"/>
        <v>9705.7199999999993</v>
      </c>
      <c r="W980" s="52" t="s">
        <v>49</v>
      </c>
      <c r="X980" s="52" t="s">
        <v>4846</v>
      </c>
      <c r="Y980" s="52" t="s">
        <v>4852</v>
      </c>
      <c r="Z980" s="52" t="s">
        <v>4853</v>
      </c>
      <c r="AA980" s="52">
        <v>0</v>
      </c>
      <c r="AB980" s="52">
        <v>0</v>
      </c>
      <c r="AC980" s="52">
        <v>0</v>
      </c>
      <c r="AD980" s="21">
        <v>0.78045682583967335</v>
      </c>
      <c r="AE980" s="54">
        <v>0.78045682583967335</v>
      </c>
      <c r="AF980" s="315">
        <f t="shared" si="73"/>
        <v>7574.8954236886339</v>
      </c>
    </row>
    <row r="981" spans="1:32" ht="105" x14ac:dyDescent="0.25">
      <c r="A981" s="107" t="s">
        <v>588</v>
      </c>
      <c r="B981" s="107" t="s">
        <v>2270</v>
      </c>
      <c r="C981" s="52"/>
      <c r="D981" s="52" t="s">
        <v>2301</v>
      </c>
      <c r="E981" s="22" t="str">
        <f t="shared" si="71"/>
        <v>SEJUSPPROG</v>
      </c>
      <c r="F981" s="52" t="s">
        <v>729</v>
      </c>
      <c r="G981" s="22" t="str">
        <f t="shared" si="72"/>
        <v>P130SEJUSP</v>
      </c>
      <c r="H981" s="52" t="s">
        <v>1183</v>
      </c>
      <c r="I981" s="22" t="s">
        <v>16</v>
      </c>
      <c r="J981" s="52" t="s">
        <v>1666</v>
      </c>
      <c r="K981" s="22" t="str">
        <f>VLOOKUP(CONCATENATE(A981,LEFT(J981,4)),AGRUPAMENTO!$D$2:$E$6783,2,FALSE)</f>
        <v>Serviços de TIC</v>
      </c>
      <c r="L981" s="52" t="s">
        <v>44</v>
      </c>
      <c r="M981" s="52"/>
      <c r="N981" s="52">
        <v>60</v>
      </c>
      <c r="O981" s="52" t="s">
        <v>3130</v>
      </c>
      <c r="P981" s="52" t="s">
        <v>46</v>
      </c>
      <c r="Q981" s="52" t="s">
        <v>4012</v>
      </c>
      <c r="R981" s="52">
        <v>1</v>
      </c>
      <c r="S981" s="52" t="s">
        <v>4012</v>
      </c>
      <c r="T981" s="88">
        <v>5606.93</v>
      </c>
      <c r="U981" s="53">
        <v>12</v>
      </c>
      <c r="V981" s="58">
        <f t="shared" si="70"/>
        <v>67283.16</v>
      </c>
      <c r="W981" s="52" t="s">
        <v>49</v>
      </c>
      <c r="X981" s="52" t="s">
        <v>4846</v>
      </c>
      <c r="Y981" s="52" t="s">
        <v>4852</v>
      </c>
      <c r="Z981" s="52" t="s">
        <v>4853</v>
      </c>
      <c r="AA981" s="52">
        <v>0</v>
      </c>
      <c r="AB981" s="52">
        <v>0</v>
      </c>
      <c r="AC981" s="52">
        <v>0</v>
      </c>
      <c r="AD981" s="21">
        <v>0.78045682583967335</v>
      </c>
      <c r="AE981" s="54">
        <v>0.78045682583967335</v>
      </c>
      <c r="AF981" s="315">
        <f t="shared" si="73"/>
        <v>52511.601486062878</v>
      </c>
    </row>
    <row r="982" spans="1:32" ht="105" x14ac:dyDescent="0.25">
      <c r="A982" s="107" t="s">
        <v>588</v>
      </c>
      <c r="B982" s="107" t="s">
        <v>2270</v>
      </c>
      <c r="C982" s="52"/>
      <c r="D982" s="52" t="s">
        <v>2301</v>
      </c>
      <c r="E982" s="22" t="str">
        <f t="shared" si="71"/>
        <v>SEJUSPPROG</v>
      </c>
      <c r="F982" s="52" t="s">
        <v>699</v>
      </c>
      <c r="G982" s="22" t="str">
        <f t="shared" si="72"/>
        <v>P141SEJUSP</v>
      </c>
      <c r="H982" s="52" t="s">
        <v>1403</v>
      </c>
      <c r="I982" s="22" t="s">
        <v>16</v>
      </c>
      <c r="J982" s="52" t="s">
        <v>1666</v>
      </c>
      <c r="K982" s="22" t="str">
        <f>VLOOKUP(CONCATENATE(A982,LEFT(J982,4)),AGRUPAMENTO!$D$2:$E$6783,2,FALSE)</f>
        <v>Serviços de TIC</v>
      </c>
      <c r="L982" s="52" t="s">
        <v>44</v>
      </c>
      <c r="M982" s="52"/>
      <c r="N982" s="52">
        <v>10</v>
      </c>
      <c r="O982" s="52" t="s">
        <v>3131</v>
      </c>
      <c r="P982" s="52" t="s">
        <v>46</v>
      </c>
      <c r="Q982" s="52" t="s">
        <v>4012</v>
      </c>
      <c r="R982" s="52">
        <v>1</v>
      </c>
      <c r="S982" s="52" t="s">
        <v>4012</v>
      </c>
      <c r="T982" s="88">
        <v>100</v>
      </c>
      <c r="U982" s="53">
        <v>12</v>
      </c>
      <c r="V982" s="58">
        <f t="shared" si="70"/>
        <v>1200</v>
      </c>
      <c r="W982" s="52" t="s">
        <v>49</v>
      </c>
      <c r="X982" s="52" t="s">
        <v>4846</v>
      </c>
      <c r="Y982" s="52" t="s">
        <v>4852</v>
      </c>
      <c r="Z982" s="52" t="s">
        <v>4853</v>
      </c>
      <c r="AA982" s="52">
        <v>0</v>
      </c>
      <c r="AB982" s="52">
        <v>0</v>
      </c>
      <c r="AC982" s="52">
        <v>0</v>
      </c>
      <c r="AD982" s="21">
        <v>0.78045682583967335</v>
      </c>
      <c r="AE982" s="54">
        <v>0.78045682583967335</v>
      </c>
      <c r="AF982" s="315">
        <f t="shared" si="73"/>
        <v>936.54819100760801</v>
      </c>
    </row>
    <row r="983" spans="1:32" ht="105" x14ac:dyDescent="0.25">
      <c r="A983" s="107" t="s">
        <v>588</v>
      </c>
      <c r="B983" s="107" t="s">
        <v>2270</v>
      </c>
      <c r="C983" s="52"/>
      <c r="D983" s="52" t="s">
        <v>2301</v>
      </c>
      <c r="E983" s="22" t="str">
        <f t="shared" si="71"/>
        <v>SEJUSPPROG</v>
      </c>
      <c r="F983" s="52" t="s">
        <v>705</v>
      </c>
      <c r="G983" s="22" t="str">
        <f t="shared" si="72"/>
        <v>P134SEJUSP</v>
      </c>
      <c r="H983" s="52" t="s">
        <v>1356</v>
      </c>
      <c r="I983" s="22" t="s">
        <v>16</v>
      </c>
      <c r="J983" s="52" t="s">
        <v>1666</v>
      </c>
      <c r="K983" s="22" t="str">
        <f>VLOOKUP(CONCATENATE(A983,LEFT(J983,4)),AGRUPAMENTO!$D$2:$E$6783,2,FALSE)</f>
        <v>Serviços de TIC</v>
      </c>
      <c r="L983" s="52" t="s">
        <v>44</v>
      </c>
      <c r="M983" s="52"/>
      <c r="N983" s="52">
        <v>10</v>
      </c>
      <c r="O983" s="52" t="s">
        <v>3132</v>
      </c>
      <c r="P983" s="52" t="s">
        <v>46</v>
      </c>
      <c r="Q983" s="52" t="s">
        <v>4012</v>
      </c>
      <c r="R983" s="52">
        <v>25</v>
      </c>
      <c r="S983" s="52" t="s">
        <v>4012</v>
      </c>
      <c r="T983" s="88">
        <v>47.98</v>
      </c>
      <c r="U983" s="53">
        <v>12</v>
      </c>
      <c r="V983" s="58">
        <f t="shared" si="70"/>
        <v>14394</v>
      </c>
      <c r="W983" s="52" t="s">
        <v>49</v>
      </c>
      <c r="X983" s="52" t="s">
        <v>4846</v>
      </c>
      <c r="Y983" s="52" t="s">
        <v>4852</v>
      </c>
      <c r="Z983" s="52" t="s">
        <v>4853</v>
      </c>
      <c r="AA983" s="52">
        <v>0</v>
      </c>
      <c r="AB983" s="52">
        <v>0</v>
      </c>
      <c r="AC983" s="52">
        <v>0</v>
      </c>
      <c r="AD983" s="21">
        <v>0.78045682583967335</v>
      </c>
      <c r="AE983" s="54">
        <v>0.78045682583967335</v>
      </c>
      <c r="AF983" s="315">
        <f t="shared" si="73"/>
        <v>11233.895551136258</v>
      </c>
    </row>
    <row r="984" spans="1:32" ht="105" x14ac:dyDescent="0.25">
      <c r="A984" s="107" t="s">
        <v>588</v>
      </c>
      <c r="B984" s="107" t="s">
        <v>2270</v>
      </c>
      <c r="C984" s="52"/>
      <c r="D984" s="52" t="s">
        <v>2301</v>
      </c>
      <c r="E984" s="22" t="str">
        <f t="shared" si="71"/>
        <v>SEJUSPPROG</v>
      </c>
      <c r="F984" s="122" t="s">
        <v>886</v>
      </c>
      <c r="G984" s="22" t="str">
        <f t="shared" si="72"/>
        <v>P146SEJUSP</v>
      </c>
      <c r="H984" s="52" t="s">
        <v>1424</v>
      </c>
      <c r="I984" s="22" t="s">
        <v>16</v>
      </c>
      <c r="J984" s="52" t="s">
        <v>1666</v>
      </c>
      <c r="K984" s="22" t="str">
        <f>VLOOKUP(CONCATENATE(A984,LEFT(J984,4)),AGRUPAMENTO!$D$2:$E$6783,2,FALSE)</f>
        <v>Serviços de TIC</v>
      </c>
      <c r="L984" s="52" t="s">
        <v>44</v>
      </c>
      <c r="M984" s="52"/>
      <c r="N984" s="52">
        <v>10</v>
      </c>
      <c r="O984" s="52" t="s">
        <v>3133</v>
      </c>
      <c r="P984" s="52" t="s">
        <v>46</v>
      </c>
      <c r="Q984" s="52" t="s">
        <v>4012</v>
      </c>
      <c r="R984" s="52">
        <v>25</v>
      </c>
      <c r="S984" s="52" t="s">
        <v>4012</v>
      </c>
      <c r="T984" s="88">
        <v>47.98</v>
      </c>
      <c r="U984" s="53">
        <v>12</v>
      </c>
      <c r="V984" s="58">
        <f t="shared" si="70"/>
        <v>14394</v>
      </c>
      <c r="W984" s="52" t="s">
        <v>49</v>
      </c>
      <c r="X984" s="52" t="s">
        <v>4846</v>
      </c>
      <c r="Y984" s="52" t="s">
        <v>4852</v>
      </c>
      <c r="Z984" s="52" t="s">
        <v>4853</v>
      </c>
      <c r="AA984" s="52">
        <v>0</v>
      </c>
      <c r="AB984" s="52">
        <v>0</v>
      </c>
      <c r="AC984" s="52">
        <v>0</v>
      </c>
      <c r="AD984" s="21">
        <v>0.78045682583967335</v>
      </c>
      <c r="AE984" s="54">
        <v>0.78045682583967335</v>
      </c>
      <c r="AF984" s="315">
        <f t="shared" si="73"/>
        <v>11233.895551136258</v>
      </c>
    </row>
    <row r="985" spans="1:32" ht="105" x14ac:dyDescent="0.25">
      <c r="A985" s="107" t="s">
        <v>588</v>
      </c>
      <c r="B985" s="107" t="s">
        <v>2270</v>
      </c>
      <c r="C985" s="52"/>
      <c r="D985" s="52" t="s">
        <v>2301</v>
      </c>
      <c r="E985" s="22" t="str">
        <f t="shared" si="71"/>
        <v>SEJUSPPROG</v>
      </c>
      <c r="F985" s="52" t="s">
        <v>729</v>
      </c>
      <c r="G985" s="22" t="str">
        <f t="shared" si="72"/>
        <v>P130SEJUSP</v>
      </c>
      <c r="H985" s="52" t="s">
        <v>1183</v>
      </c>
      <c r="I985" s="22" t="s">
        <v>16</v>
      </c>
      <c r="J985" s="52" t="s">
        <v>1666</v>
      </c>
      <c r="K985" s="22" t="str">
        <f>VLOOKUP(CONCATENATE(A985,LEFT(J985,4)),AGRUPAMENTO!$D$2:$E$6783,2,FALSE)</f>
        <v>Serviços de TIC</v>
      </c>
      <c r="L985" s="52" t="s">
        <v>44</v>
      </c>
      <c r="M985" s="52"/>
      <c r="N985" s="52">
        <v>60</v>
      </c>
      <c r="O985" s="52" t="s">
        <v>3134</v>
      </c>
      <c r="P985" s="52" t="s">
        <v>46</v>
      </c>
      <c r="Q985" s="52" t="s">
        <v>4012</v>
      </c>
      <c r="R985" s="52">
        <v>300</v>
      </c>
      <c r="S985" s="52" t="s">
        <v>4012</v>
      </c>
      <c r="T985" s="88">
        <v>47.98</v>
      </c>
      <c r="U985" s="53">
        <v>12</v>
      </c>
      <c r="V985" s="58">
        <f t="shared" si="70"/>
        <v>172727.99999999997</v>
      </c>
      <c r="W985" s="52" t="s">
        <v>49</v>
      </c>
      <c r="X985" s="52" t="s">
        <v>4846</v>
      </c>
      <c r="Y985" s="52" t="s">
        <v>4852</v>
      </c>
      <c r="Z985" s="52" t="s">
        <v>4853</v>
      </c>
      <c r="AA985" s="52">
        <v>0</v>
      </c>
      <c r="AB985" s="52">
        <v>0</v>
      </c>
      <c r="AC985" s="52">
        <v>0</v>
      </c>
      <c r="AD985" s="21">
        <v>0.78045682583967335</v>
      </c>
      <c r="AE985" s="54">
        <v>0.78045682583967335</v>
      </c>
      <c r="AF985" s="315">
        <f t="shared" si="73"/>
        <v>134806.74661363507</v>
      </c>
    </row>
    <row r="986" spans="1:32" ht="105" x14ac:dyDescent="0.25">
      <c r="A986" s="107" t="s">
        <v>588</v>
      </c>
      <c r="B986" s="107" t="s">
        <v>2270</v>
      </c>
      <c r="C986" s="52"/>
      <c r="D986" s="52" t="s">
        <v>2301</v>
      </c>
      <c r="E986" s="22" t="str">
        <f t="shared" si="71"/>
        <v>SEJUSPPROG</v>
      </c>
      <c r="F986" s="52" t="s">
        <v>729</v>
      </c>
      <c r="G986" s="22" t="str">
        <f t="shared" si="72"/>
        <v>P130SEJUSP</v>
      </c>
      <c r="H986" s="52" t="s">
        <v>1259</v>
      </c>
      <c r="I986" s="22" t="s">
        <v>16</v>
      </c>
      <c r="J986" s="52" t="s">
        <v>1666</v>
      </c>
      <c r="K986" s="22" t="str">
        <f>VLOOKUP(CONCATENATE(A986,LEFT(J986,4)),AGRUPAMENTO!$D$2:$E$6783,2,FALSE)</f>
        <v>Serviços de TIC</v>
      </c>
      <c r="L986" s="52" t="s">
        <v>44</v>
      </c>
      <c r="M986" s="52"/>
      <c r="N986" s="52">
        <v>10</v>
      </c>
      <c r="O986" s="52" t="s">
        <v>3135</v>
      </c>
      <c r="P986" s="52" t="s">
        <v>46</v>
      </c>
      <c r="Q986" s="52" t="s">
        <v>4012</v>
      </c>
      <c r="R986" s="52">
        <v>20</v>
      </c>
      <c r="S986" s="52" t="s">
        <v>4012</v>
      </c>
      <c r="T986" s="88">
        <v>47.98</v>
      </c>
      <c r="U986" s="53">
        <v>12</v>
      </c>
      <c r="V986" s="58">
        <f t="shared" si="70"/>
        <v>11515.199999999999</v>
      </c>
      <c r="W986" s="52" t="s">
        <v>49</v>
      </c>
      <c r="X986" s="52" t="s">
        <v>4846</v>
      </c>
      <c r="Y986" s="52" t="s">
        <v>4852</v>
      </c>
      <c r="Z986" s="52" t="s">
        <v>4853</v>
      </c>
      <c r="AA986" s="52">
        <v>0</v>
      </c>
      <c r="AB986" s="52">
        <v>0</v>
      </c>
      <c r="AC986" s="52">
        <v>0</v>
      </c>
      <c r="AD986" s="21">
        <v>0.78045682583967335</v>
      </c>
      <c r="AE986" s="54">
        <v>0.78045682583967335</v>
      </c>
      <c r="AF986" s="315">
        <f t="shared" si="73"/>
        <v>8987.1164409090052</v>
      </c>
    </row>
    <row r="987" spans="1:32" ht="105" x14ac:dyDescent="0.25">
      <c r="A987" s="107" t="s">
        <v>588</v>
      </c>
      <c r="B987" s="107" t="s">
        <v>2270</v>
      </c>
      <c r="C987" s="52"/>
      <c r="D987" s="52" t="s">
        <v>2301</v>
      </c>
      <c r="E987" s="22" t="str">
        <f t="shared" si="71"/>
        <v>SEJUSPPROG</v>
      </c>
      <c r="F987" s="116" t="s">
        <v>687</v>
      </c>
      <c r="G987" s="22" t="str">
        <f t="shared" si="72"/>
        <v>P705SEJUSP</v>
      </c>
      <c r="H987" s="52" t="s">
        <v>914</v>
      </c>
      <c r="I987" s="22" t="s">
        <v>16</v>
      </c>
      <c r="J987" s="52" t="s">
        <v>1666</v>
      </c>
      <c r="K987" s="22" t="str">
        <f>VLOOKUP(CONCATENATE(A987,LEFT(J987,4)),AGRUPAMENTO!$D$2:$E$6783,2,FALSE)</f>
        <v>Serviços de TIC</v>
      </c>
      <c r="L987" s="52" t="s">
        <v>44</v>
      </c>
      <c r="M987" s="52"/>
      <c r="N987" s="52">
        <v>10</v>
      </c>
      <c r="O987" s="52" t="s">
        <v>3136</v>
      </c>
      <c r="P987" s="52" t="s">
        <v>46</v>
      </c>
      <c r="Q987" s="52" t="s">
        <v>4012</v>
      </c>
      <c r="R987" s="52">
        <v>1</v>
      </c>
      <c r="S987" s="52" t="s">
        <v>4012</v>
      </c>
      <c r="T987" s="88">
        <v>22171.65</v>
      </c>
      <c r="U987" s="53">
        <v>12</v>
      </c>
      <c r="V987" s="58">
        <f t="shared" si="70"/>
        <v>266059.80000000005</v>
      </c>
      <c r="W987" s="52" t="s">
        <v>49</v>
      </c>
      <c r="X987" s="52" t="s">
        <v>4846</v>
      </c>
      <c r="Y987" s="52" t="s">
        <v>4852</v>
      </c>
      <c r="Z987" s="52" t="s">
        <v>4853</v>
      </c>
      <c r="AA987" s="52">
        <v>0</v>
      </c>
      <c r="AB987" s="52">
        <v>0</v>
      </c>
      <c r="AC987" s="52">
        <v>0</v>
      </c>
      <c r="AD987" s="21">
        <v>0.78045682583967335</v>
      </c>
      <c r="AE987" s="54">
        <v>0.78045682583967335</v>
      </c>
      <c r="AF987" s="315">
        <f t="shared" si="73"/>
        <v>207648.18699153836</v>
      </c>
    </row>
    <row r="988" spans="1:32" ht="105" x14ac:dyDescent="0.25">
      <c r="A988" s="107" t="s">
        <v>588</v>
      </c>
      <c r="B988" s="107" t="s">
        <v>2270</v>
      </c>
      <c r="C988" s="52"/>
      <c r="D988" s="52" t="s">
        <v>2301</v>
      </c>
      <c r="E988" s="22" t="str">
        <f t="shared" si="71"/>
        <v>SEJUSPPROG</v>
      </c>
      <c r="F988" s="120" t="s">
        <v>681</v>
      </c>
      <c r="G988" s="22" t="str">
        <f t="shared" si="72"/>
        <v>P129SEJUSP</v>
      </c>
      <c r="H988" s="52" t="s">
        <v>1015</v>
      </c>
      <c r="I988" s="22" t="s">
        <v>16</v>
      </c>
      <c r="J988" s="52" t="s">
        <v>1666</v>
      </c>
      <c r="K988" s="22" t="str">
        <f>VLOOKUP(CONCATENATE(A988,LEFT(J988,4)),AGRUPAMENTO!$D$2:$E$6783,2,FALSE)</f>
        <v>Serviços de TIC</v>
      </c>
      <c r="L988" s="52" t="s">
        <v>44</v>
      </c>
      <c r="M988" s="52"/>
      <c r="N988" s="52">
        <v>60</v>
      </c>
      <c r="O988" s="52" t="s">
        <v>3137</v>
      </c>
      <c r="P988" s="52" t="s">
        <v>46</v>
      </c>
      <c r="Q988" s="52" t="s">
        <v>4012</v>
      </c>
      <c r="R988" s="52">
        <v>1</v>
      </c>
      <c r="S988" s="52" t="s">
        <v>4012</v>
      </c>
      <c r="T988" s="88">
        <v>1825.79</v>
      </c>
      <c r="U988" s="53">
        <v>12</v>
      </c>
      <c r="V988" s="58">
        <f t="shared" si="70"/>
        <v>21909.48</v>
      </c>
      <c r="W988" s="52" t="s">
        <v>49</v>
      </c>
      <c r="X988" s="52" t="s">
        <v>4846</v>
      </c>
      <c r="Y988" s="52" t="s">
        <v>4852</v>
      </c>
      <c r="Z988" s="52" t="s">
        <v>4853</v>
      </c>
      <c r="AA988" s="52">
        <v>0</v>
      </c>
      <c r="AB988" s="52">
        <v>0</v>
      </c>
      <c r="AC988" s="52">
        <v>0</v>
      </c>
      <c r="AD988" s="21">
        <v>0.78045682583967335</v>
      </c>
      <c r="AE988" s="54">
        <v>0.78045682583967335</v>
      </c>
      <c r="AF988" s="315">
        <f t="shared" si="73"/>
        <v>17099.403216597806</v>
      </c>
    </row>
    <row r="989" spans="1:32" ht="105" x14ac:dyDescent="0.25">
      <c r="A989" s="107" t="s">
        <v>588</v>
      </c>
      <c r="B989" s="107" t="s">
        <v>2270</v>
      </c>
      <c r="C989" s="52"/>
      <c r="D989" s="52" t="s">
        <v>2301</v>
      </c>
      <c r="E989" s="22" t="str">
        <f t="shared" si="71"/>
        <v>SEJUSPPROG</v>
      </c>
      <c r="F989" s="52" t="s">
        <v>705</v>
      </c>
      <c r="G989" s="22" t="str">
        <f t="shared" si="72"/>
        <v>P134SEJUSP</v>
      </c>
      <c r="H989" s="52" t="s">
        <v>1356</v>
      </c>
      <c r="I989" s="22" t="s">
        <v>16</v>
      </c>
      <c r="J989" s="52" t="s">
        <v>1666</v>
      </c>
      <c r="K989" s="22" t="str">
        <f>VLOOKUP(CONCATENATE(A989,LEFT(J989,4)),AGRUPAMENTO!$D$2:$E$6783,2,FALSE)</f>
        <v>Serviços de TIC</v>
      </c>
      <c r="L989" s="52" t="s">
        <v>44</v>
      </c>
      <c r="M989" s="52"/>
      <c r="N989" s="52">
        <v>10</v>
      </c>
      <c r="O989" s="52" t="s">
        <v>3138</v>
      </c>
      <c r="P989" s="52" t="s">
        <v>46</v>
      </c>
      <c r="Q989" s="52" t="s">
        <v>4012</v>
      </c>
      <c r="R989" s="52">
        <v>1</v>
      </c>
      <c r="S989" s="52" t="s">
        <v>4012</v>
      </c>
      <c r="T989" s="88">
        <v>244.68</v>
      </c>
      <c r="U989" s="53">
        <v>12</v>
      </c>
      <c r="V989" s="58">
        <f t="shared" si="70"/>
        <v>2936.16</v>
      </c>
      <c r="W989" s="52" t="s">
        <v>49</v>
      </c>
      <c r="X989" s="52" t="s">
        <v>4846</v>
      </c>
      <c r="Y989" s="52" t="s">
        <v>4852</v>
      </c>
      <c r="Z989" s="52" t="s">
        <v>4853</v>
      </c>
      <c r="AA989" s="52">
        <v>0</v>
      </c>
      <c r="AB989" s="52">
        <v>0</v>
      </c>
      <c r="AC989" s="52">
        <v>0</v>
      </c>
      <c r="AD989" s="21">
        <v>0.78045682583967335</v>
      </c>
      <c r="AE989" s="54">
        <v>0.78045682583967335</v>
      </c>
      <c r="AF989" s="315">
        <f t="shared" si="73"/>
        <v>2291.5461137574152</v>
      </c>
    </row>
    <row r="990" spans="1:32" ht="105" x14ac:dyDescent="0.25">
      <c r="A990" s="107" t="s">
        <v>588</v>
      </c>
      <c r="B990" s="107" t="s">
        <v>2270</v>
      </c>
      <c r="C990" s="52"/>
      <c r="D990" s="52" t="s">
        <v>2301</v>
      </c>
      <c r="E990" s="22" t="str">
        <f t="shared" si="71"/>
        <v>SEJUSPPROG</v>
      </c>
      <c r="F990" s="122" t="s">
        <v>886</v>
      </c>
      <c r="G990" s="22" t="str">
        <f t="shared" si="72"/>
        <v>P146SEJUSP</v>
      </c>
      <c r="H990" s="52" t="s">
        <v>1424</v>
      </c>
      <c r="I990" s="22" t="s">
        <v>16</v>
      </c>
      <c r="J990" s="52" t="s">
        <v>1666</v>
      </c>
      <c r="K990" s="22" t="str">
        <f>VLOOKUP(CONCATENATE(A990,LEFT(J990,4)),AGRUPAMENTO!$D$2:$E$6783,2,FALSE)</f>
        <v>Serviços de TIC</v>
      </c>
      <c r="L990" s="52" t="s">
        <v>44</v>
      </c>
      <c r="M990" s="52"/>
      <c r="N990" s="52">
        <v>10</v>
      </c>
      <c r="O990" s="52" t="s">
        <v>3139</v>
      </c>
      <c r="P990" s="52" t="s">
        <v>46</v>
      </c>
      <c r="Q990" s="52" t="s">
        <v>4012</v>
      </c>
      <c r="R990" s="52">
        <v>1</v>
      </c>
      <c r="S990" s="52" t="s">
        <v>4012</v>
      </c>
      <c r="T990" s="88">
        <v>1462.78</v>
      </c>
      <c r="U990" s="53">
        <v>12</v>
      </c>
      <c r="V990" s="58">
        <f t="shared" si="70"/>
        <v>17553.36</v>
      </c>
      <c r="W990" s="52" t="s">
        <v>49</v>
      </c>
      <c r="X990" s="52" t="s">
        <v>4846</v>
      </c>
      <c r="Y990" s="52" t="s">
        <v>4852</v>
      </c>
      <c r="Z990" s="52" t="s">
        <v>4853</v>
      </c>
      <c r="AA990" s="52">
        <v>0</v>
      </c>
      <c r="AB990" s="52">
        <v>0</v>
      </c>
      <c r="AC990" s="52">
        <v>0</v>
      </c>
      <c r="AD990" s="21">
        <v>0.78045682583967335</v>
      </c>
      <c r="AE990" s="54">
        <v>0.78045682583967335</v>
      </c>
      <c r="AF990" s="315">
        <f t="shared" si="73"/>
        <v>13699.63962842109</v>
      </c>
    </row>
    <row r="991" spans="1:32" ht="105" x14ac:dyDescent="0.25">
      <c r="A991" s="107" t="s">
        <v>588</v>
      </c>
      <c r="B991" s="107" t="s">
        <v>2270</v>
      </c>
      <c r="C991" s="52"/>
      <c r="D991" s="52" t="s">
        <v>2301</v>
      </c>
      <c r="E991" s="22" t="str">
        <f t="shared" si="71"/>
        <v>SEJUSPPROG</v>
      </c>
      <c r="F991" s="52" t="s">
        <v>729</v>
      </c>
      <c r="G991" s="22" t="str">
        <f t="shared" si="72"/>
        <v>P130SEJUSP</v>
      </c>
      <c r="H991" s="52" t="s">
        <v>1183</v>
      </c>
      <c r="I991" s="22" t="s">
        <v>16</v>
      </c>
      <c r="J991" s="52" t="s">
        <v>1666</v>
      </c>
      <c r="K991" s="22" t="str">
        <f>VLOOKUP(CONCATENATE(A991,LEFT(J991,4)),AGRUPAMENTO!$D$2:$E$6783,2,FALSE)</f>
        <v>Serviços de TIC</v>
      </c>
      <c r="L991" s="52" t="s">
        <v>44</v>
      </c>
      <c r="M991" s="52"/>
      <c r="N991" s="52">
        <v>60</v>
      </c>
      <c r="O991" s="52" t="s">
        <v>3140</v>
      </c>
      <c r="P991" s="52" t="s">
        <v>46</v>
      </c>
      <c r="Q991" s="52" t="s">
        <v>4012</v>
      </c>
      <c r="R991" s="52">
        <v>1</v>
      </c>
      <c r="S991" s="52" t="s">
        <v>4012</v>
      </c>
      <c r="T991" s="88">
        <v>15215.69</v>
      </c>
      <c r="U991" s="53">
        <v>12</v>
      </c>
      <c r="V991" s="58">
        <f t="shared" si="70"/>
        <v>182588.28</v>
      </c>
      <c r="W991" s="52" t="s">
        <v>49</v>
      </c>
      <c r="X991" s="52" t="s">
        <v>4846</v>
      </c>
      <c r="Y991" s="52" t="s">
        <v>4852</v>
      </c>
      <c r="Z991" s="52" t="s">
        <v>4853</v>
      </c>
      <c r="AA991" s="52">
        <v>0</v>
      </c>
      <c r="AB991" s="52">
        <v>0</v>
      </c>
      <c r="AC991" s="52">
        <v>0</v>
      </c>
      <c r="AD991" s="21">
        <v>0.78045682583967335</v>
      </c>
      <c r="AE991" s="54">
        <v>0.78045682583967335</v>
      </c>
      <c r="AF991" s="315">
        <f t="shared" si="73"/>
        <v>142502.2694443255</v>
      </c>
    </row>
    <row r="992" spans="1:32" ht="105" x14ac:dyDescent="0.25">
      <c r="A992" s="107" t="s">
        <v>588</v>
      </c>
      <c r="B992" s="107" t="s">
        <v>2270</v>
      </c>
      <c r="C992" s="52"/>
      <c r="D992" s="52" t="s">
        <v>2301</v>
      </c>
      <c r="E992" s="22" t="str">
        <f t="shared" si="71"/>
        <v>SEJUSPPROG</v>
      </c>
      <c r="F992" s="52" t="s">
        <v>729</v>
      </c>
      <c r="G992" s="22" t="str">
        <f t="shared" si="72"/>
        <v>P130SEJUSP</v>
      </c>
      <c r="H992" s="52" t="s">
        <v>1183</v>
      </c>
      <c r="I992" s="22" t="s">
        <v>16</v>
      </c>
      <c r="J992" s="52" t="s">
        <v>1666</v>
      </c>
      <c r="K992" s="22" t="str">
        <f>VLOOKUP(CONCATENATE(A992,LEFT(J992,4)),AGRUPAMENTO!$D$2:$E$6783,2,FALSE)</f>
        <v>Serviços de TIC</v>
      </c>
      <c r="L992" s="52" t="s">
        <v>44</v>
      </c>
      <c r="M992" s="52"/>
      <c r="N992" s="52">
        <v>60</v>
      </c>
      <c r="O992" s="52" t="s">
        <v>3141</v>
      </c>
      <c r="P992" s="52" t="s">
        <v>46</v>
      </c>
      <c r="Q992" s="52" t="s">
        <v>4012</v>
      </c>
      <c r="R992" s="52">
        <v>1</v>
      </c>
      <c r="S992" s="52" t="s">
        <v>4012</v>
      </c>
      <c r="T992" s="88">
        <v>100</v>
      </c>
      <c r="U992" s="53">
        <v>12</v>
      </c>
      <c r="V992" s="58">
        <f t="shared" si="70"/>
        <v>1200</v>
      </c>
      <c r="W992" s="52" t="s">
        <v>49</v>
      </c>
      <c r="X992" s="52" t="s">
        <v>4846</v>
      </c>
      <c r="Y992" s="52" t="s">
        <v>4852</v>
      </c>
      <c r="Z992" s="52" t="s">
        <v>4853</v>
      </c>
      <c r="AA992" s="52">
        <v>0</v>
      </c>
      <c r="AB992" s="52">
        <v>0</v>
      </c>
      <c r="AC992" s="52">
        <v>0</v>
      </c>
      <c r="AD992" s="21">
        <v>0.78045682583967335</v>
      </c>
      <c r="AE992" s="54">
        <v>0.78045682583967335</v>
      </c>
      <c r="AF992" s="315">
        <f t="shared" si="73"/>
        <v>936.54819100760801</v>
      </c>
    </row>
    <row r="993" spans="1:32" ht="105" x14ac:dyDescent="0.25">
      <c r="A993" s="107" t="s">
        <v>588</v>
      </c>
      <c r="B993" s="107" t="s">
        <v>2270</v>
      </c>
      <c r="C993" s="52"/>
      <c r="D993" s="52" t="s">
        <v>2301</v>
      </c>
      <c r="E993" s="22" t="str">
        <f t="shared" si="71"/>
        <v>SEJUSPPROG</v>
      </c>
      <c r="F993" s="52" t="s">
        <v>729</v>
      </c>
      <c r="G993" s="22" t="str">
        <f t="shared" si="72"/>
        <v>P130SEJUSP</v>
      </c>
      <c r="H993" s="52" t="s">
        <v>1259</v>
      </c>
      <c r="I993" s="22" t="s">
        <v>16</v>
      </c>
      <c r="J993" s="52" t="s">
        <v>1666</v>
      </c>
      <c r="K993" s="22" t="str">
        <f>VLOOKUP(CONCATENATE(A993,LEFT(J993,4)),AGRUPAMENTO!$D$2:$E$6783,2,FALSE)</f>
        <v>Serviços de TIC</v>
      </c>
      <c r="L993" s="52" t="s">
        <v>44</v>
      </c>
      <c r="M993" s="52"/>
      <c r="N993" s="52">
        <v>10</v>
      </c>
      <c r="O993" s="52" t="s">
        <v>3142</v>
      </c>
      <c r="P993" s="52" t="s">
        <v>46</v>
      </c>
      <c r="Q993" s="52" t="s">
        <v>4012</v>
      </c>
      <c r="R993" s="52">
        <v>1</v>
      </c>
      <c r="S993" s="52" t="s">
        <v>4012</v>
      </c>
      <c r="T993" s="88">
        <v>5000</v>
      </c>
      <c r="U993" s="53">
        <v>12</v>
      </c>
      <c r="V993" s="58">
        <f t="shared" si="70"/>
        <v>60000</v>
      </c>
      <c r="W993" s="52" t="s">
        <v>49</v>
      </c>
      <c r="X993" s="52" t="s">
        <v>4846</v>
      </c>
      <c r="Y993" s="52" t="s">
        <v>4852</v>
      </c>
      <c r="Z993" s="52" t="s">
        <v>4853</v>
      </c>
      <c r="AA993" s="52">
        <v>0</v>
      </c>
      <c r="AB993" s="52">
        <v>0</v>
      </c>
      <c r="AC993" s="52">
        <v>0</v>
      </c>
      <c r="AD993" s="21">
        <v>0.78045682583967335</v>
      </c>
      <c r="AE993" s="54">
        <v>0.78045682583967335</v>
      </c>
      <c r="AF993" s="315">
        <f t="shared" si="73"/>
        <v>46827.409550380398</v>
      </c>
    </row>
    <row r="994" spans="1:32" ht="105" x14ac:dyDescent="0.25">
      <c r="A994" s="107" t="s">
        <v>588</v>
      </c>
      <c r="B994" s="107" t="s">
        <v>2270</v>
      </c>
      <c r="C994" s="52"/>
      <c r="D994" s="52" t="s">
        <v>2301</v>
      </c>
      <c r="E994" s="22" t="str">
        <f t="shared" si="71"/>
        <v>SEJUSPPROG</v>
      </c>
      <c r="F994" s="116" t="s">
        <v>687</v>
      </c>
      <c r="G994" s="22" t="str">
        <f t="shared" si="72"/>
        <v>P705SEJUSP</v>
      </c>
      <c r="H994" s="52" t="s">
        <v>914</v>
      </c>
      <c r="I994" s="22" t="s">
        <v>16</v>
      </c>
      <c r="J994" s="52" t="s">
        <v>1666</v>
      </c>
      <c r="K994" s="22" t="str">
        <f>VLOOKUP(CONCATENATE(A994,LEFT(J994,4)),AGRUPAMENTO!$D$2:$E$6783,2,FALSE)</f>
        <v>Serviços de TIC</v>
      </c>
      <c r="L994" s="52" t="s">
        <v>44</v>
      </c>
      <c r="M994" s="52"/>
      <c r="N994" s="52">
        <v>10</v>
      </c>
      <c r="O994" s="52" t="s">
        <v>3142</v>
      </c>
      <c r="P994" s="52" t="s">
        <v>46</v>
      </c>
      <c r="Q994" s="52" t="s">
        <v>4012</v>
      </c>
      <c r="R994" s="52">
        <v>1</v>
      </c>
      <c r="S994" s="52" t="s">
        <v>4012</v>
      </c>
      <c r="T994" s="88">
        <v>3000</v>
      </c>
      <c r="U994" s="53">
        <v>12</v>
      </c>
      <c r="V994" s="58">
        <f t="shared" si="70"/>
        <v>36000</v>
      </c>
      <c r="W994" s="52" t="s">
        <v>49</v>
      </c>
      <c r="X994" s="52" t="s">
        <v>4846</v>
      </c>
      <c r="Y994" s="52" t="s">
        <v>4852</v>
      </c>
      <c r="Z994" s="52" t="s">
        <v>4853</v>
      </c>
      <c r="AA994" s="52">
        <v>0</v>
      </c>
      <c r="AB994" s="52">
        <v>0</v>
      </c>
      <c r="AC994" s="52">
        <v>0</v>
      </c>
      <c r="AD994" s="21">
        <v>0.78045682583967335</v>
      </c>
      <c r="AE994" s="54">
        <v>0.78045682583967335</v>
      </c>
      <c r="AF994" s="315">
        <f t="shared" si="73"/>
        <v>28096.445730228239</v>
      </c>
    </row>
    <row r="995" spans="1:32" ht="105" x14ac:dyDescent="0.25">
      <c r="A995" s="107" t="s">
        <v>588</v>
      </c>
      <c r="B995" s="107" t="s">
        <v>2270</v>
      </c>
      <c r="C995" s="52"/>
      <c r="D995" s="52" t="s">
        <v>2301</v>
      </c>
      <c r="E995" s="22" t="str">
        <f t="shared" si="71"/>
        <v>SEJUSPPROG</v>
      </c>
      <c r="F995" s="52" t="s">
        <v>729</v>
      </c>
      <c r="G995" s="22" t="str">
        <f t="shared" si="72"/>
        <v>P130SEJUSP</v>
      </c>
      <c r="H995" s="52" t="s">
        <v>1183</v>
      </c>
      <c r="I995" s="22" t="s">
        <v>16</v>
      </c>
      <c r="J995" s="52" t="s">
        <v>1666</v>
      </c>
      <c r="K995" s="22" t="str">
        <f>VLOOKUP(CONCATENATE(A995,LEFT(J995,4)),AGRUPAMENTO!$D$2:$E$6783,2,FALSE)</f>
        <v>Serviços de TIC</v>
      </c>
      <c r="L995" s="52" t="s">
        <v>44</v>
      </c>
      <c r="M995" s="52"/>
      <c r="N995" s="52">
        <v>60</v>
      </c>
      <c r="O995" s="52" t="s">
        <v>3142</v>
      </c>
      <c r="P995" s="52" t="s">
        <v>46</v>
      </c>
      <c r="Q995" s="52" t="s">
        <v>4012</v>
      </c>
      <c r="R995" s="52">
        <v>1</v>
      </c>
      <c r="S995" s="52" t="s">
        <v>4012</v>
      </c>
      <c r="T995" s="88">
        <v>2000</v>
      </c>
      <c r="U995" s="53">
        <v>12</v>
      </c>
      <c r="V995" s="58">
        <f t="shared" si="70"/>
        <v>24000</v>
      </c>
      <c r="W995" s="52" t="s">
        <v>49</v>
      </c>
      <c r="X995" s="52" t="s">
        <v>4846</v>
      </c>
      <c r="Y995" s="52" t="s">
        <v>4852</v>
      </c>
      <c r="Z995" s="52" t="s">
        <v>4853</v>
      </c>
      <c r="AA995" s="52">
        <v>0</v>
      </c>
      <c r="AB995" s="52">
        <v>0</v>
      </c>
      <c r="AC995" s="52">
        <v>0</v>
      </c>
      <c r="AD995" s="21">
        <v>0.78045682583967335</v>
      </c>
      <c r="AE995" s="54">
        <v>0.78045682583967335</v>
      </c>
      <c r="AF995" s="315">
        <f t="shared" si="73"/>
        <v>18730.963820152159</v>
      </c>
    </row>
    <row r="996" spans="1:32" ht="105" x14ac:dyDescent="0.25">
      <c r="A996" s="107" t="s">
        <v>588</v>
      </c>
      <c r="B996" s="107" t="s">
        <v>2270</v>
      </c>
      <c r="C996" s="52"/>
      <c r="D996" s="52" t="s">
        <v>2301</v>
      </c>
      <c r="E996" s="22" t="str">
        <f t="shared" si="71"/>
        <v>SEJUSPPROG</v>
      </c>
      <c r="F996" s="122" t="s">
        <v>886</v>
      </c>
      <c r="G996" s="22" t="str">
        <f t="shared" si="72"/>
        <v>P146SEJUSP</v>
      </c>
      <c r="H996" s="52" t="s">
        <v>1424</v>
      </c>
      <c r="I996" s="22" t="s">
        <v>16</v>
      </c>
      <c r="J996" s="52" t="s">
        <v>1666</v>
      </c>
      <c r="K996" s="22" t="str">
        <f>VLOOKUP(CONCATENATE(A996,LEFT(J996,4)),AGRUPAMENTO!$D$2:$E$6783,2,FALSE)</f>
        <v>Serviços de TIC</v>
      </c>
      <c r="L996" s="52" t="s">
        <v>44</v>
      </c>
      <c r="M996" s="52"/>
      <c r="N996" s="52">
        <v>10</v>
      </c>
      <c r="O996" s="52" t="s">
        <v>3142</v>
      </c>
      <c r="P996" s="52" t="s">
        <v>46</v>
      </c>
      <c r="Q996" s="52" t="s">
        <v>4012</v>
      </c>
      <c r="R996" s="52">
        <v>1</v>
      </c>
      <c r="S996" s="52" t="s">
        <v>4012</v>
      </c>
      <c r="T996" s="88">
        <v>2000</v>
      </c>
      <c r="U996" s="53">
        <v>12</v>
      </c>
      <c r="V996" s="58">
        <f t="shared" si="70"/>
        <v>24000</v>
      </c>
      <c r="W996" s="52" t="s">
        <v>49</v>
      </c>
      <c r="X996" s="52" t="s">
        <v>4846</v>
      </c>
      <c r="Y996" s="52" t="s">
        <v>4852</v>
      </c>
      <c r="Z996" s="52" t="s">
        <v>4853</v>
      </c>
      <c r="AA996" s="52">
        <v>0</v>
      </c>
      <c r="AB996" s="52">
        <v>0</v>
      </c>
      <c r="AC996" s="52">
        <v>0</v>
      </c>
      <c r="AD996" s="21">
        <v>0.78045682583967335</v>
      </c>
      <c r="AE996" s="54">
        <v>0.78045682583967335</v>
      </c>
      <c r="AF996" s="315">
        <f t="shared" si="73"/>
        <v>18730.963820152159</v>
      </c>
    </row>
    <row r="997" spans="1:32" ht="105" x14ac:dyDescent="0.25">
      <c r="A997" s="107" t="s">
        <v>588</v>
      </c>
      <c r="B997" s="107" t="s">
        <v>2270</v>
      </c>
      <c r="C997" s="52"/>
      <c r="D997" s="52" t="s">
        <v>2301</v>
      </c>
      <c r="E997" s="22" t="str">
        <f t="shared" si="71"/>
        <v>SEJUSPPROG</v>
      </c>
      <c r="F997" s="120" t="s">
        <v>681</v>
      </c>
      <c r="G997" s="22" t="str">
        <f t="shared" si="72"/>
        <v>P129SEJUSP</v>
      </c>
      <c r="H997" s="52" t="s">
        <v>1015</v>
      </c>
      <c r="I997" s="22" t="s">
        <v>16</v>
      </c>
      <c r="J997" s="52" t="s">
        <v>1666</v>
      </c>
      <c r="K997" s="22" t="str">
        <f>VLOOKUP(CONCATENATE(A997,LEFT(J997,4)),AGRUPAMENTO!$D$2:$E$6783,2,FALSE)</f>
        <v>Serviços de TIC</v>
      </c>
      <c r="L997" s="52" t="s">
        <v>44</v>
      </c>
      <c r="M997" s="52"/>
      <c r="N997" s="52">
        <v>60</v>
      </c>
      <c r="O997" s="52" t="s">
        <v>3142</v>
      </c>
      <c r="P997" s="52" t="s">
        <v>46</v>
      </c>
      <c r="Q997" s="52" t="s">
        <v>4012</v>
      </c>
      <c r="R997" s="52">
        <v>1</v>
      </c>
      <c r="S997" s="52" t="s">
        <v>4012</v>
      </c>
      <c r="T997" s="88">
        <v>3000</v>
      </c>
      <c r="U997" s="53">
        <v>12</v>
      </c>
      <c r="V997" s="58">
        <f t="shared" si="70"/>
        <v>36000</v>
      </c>
      <c r="W997" s="52" t="s">
        <v>49</v>
      </c>
      <c r="X997" s="52" t="s">
        <v>4846</v>
      </c>
      <c r="Y997" s="52" t="s">
        <v>4852</v>
      </c>
      <c r="Z997" s="52" t="s">
        <v>4853</v>
      </c>
      <c r="AA997" s="52">
        <v>0</v>
      </c>
      <c r="AB997" s="52">
        <v>0</v>
      </c>
      <c r="AC997" s="52">
        <v>0</v>
      </c>
      <c r="AD997" s="21">
        <v>0.78045682583967335</v>
      </c>
      <c r="AE997" s="54">
        <v>0.78045682583967335</v>
      </c>
      <c r="AF997" s="315">
        <f t="shared" si="73"/>
        <v>28096.445730228239</v>
      </c>
    </row>
    <row r="998" spans="1:32" ht="105" x14ac:dyDescent="0.25">
      <c r="A998" s="107" t="s">
        <v>588</v>
      </c>
      <c r="B998" s="107" t="s">
        <v>2270</v>
      </c>
      <c r="C998" s="52"/>
      <c r="D998" s="52" t="s">
        <v>2301</v>
      </c>
      <c r="E998" s="22" t="str">
        <f t="shared" si="71"/>
        <v>SEJUSPPROG</v>
      </c>
      <c r="F998" s="52" t="s">
        <v>705</v>
      </c>
      <c r="G998" s="22" t="str">
        <f t="shared" si="72"/>
        <v>P134SEJUSP</v>
      </c>
      <c r="H998" s="52" t="s">
        <v>1356</v>
      </c>
      <c r="I998" s="22" t="s">
        <v>16</v>
      </c>
      <c r="J998" s="52" t="s">
        <v>1666</v>
      </c>
      <c r="K998" s="22" t="str">
        <f>VLOOKUP(CONCATENATE(A998,LEFT(J998,4)),AGRUPAMENTO!$D$2:$E$6783,2,FALSE)</f>
        <v>Serviços de TIC</v>
      </c>
      <c r="L998" s="52" t="s">
        <v>44</v>
      </c>
      <c r="M998" s="52"/>
      <c r="N998" s="52">
        <v>10</v>
      </c>
      <c r="O998" s="52" t="s">
        <v>3142</v>
      </c>
      <c r="P998" s="52" t="s">
        <v>46</v>
      </c>
      <c r="Q998" s="52" t="s">
        <v>4012</v>
      </c>
      <c r="R998" s="52">
        <v>1</v>
      </c>
      <c r="S998" s="52" t="s">
        <v>4012</v>
      </c>
      <c r="T998" s="88">
        <v>3000</v>
      </c>
      <c r="U998" s="53">
        <v>12</v>
      </c>
      <c r="V998" s="58">
        <f t="shared" si="70"/>
        <v>36000</v>
      </c>
      <c r="W998" s="52" t="s">
        <v>49</v>
      </c>
      <c r="X998" s="52" t="s">
        <v>4846</v>
      </c>
      <c r="Y998" s="52" t="s">
        <v>4852</v>
      </c>
      <c r="Z998" s="52" t="s">
        <v>4853</v>
      </c>
      <c r="AA998" s="52">
        <v>0</v>
      </c>
      <c r="AB998" s="52">
        <v>0</v>
      </c>
      <c r="AC998" s="52">
        <v>0</v>
      </c>
      <c r="AD998" s="21">
        <v>0.78045682583967335</v>
      </c>
      <c r="AE998" s="54">
        <v>0.78045682583967335</v>
      </c>
      <c r="AF998" s="315">
        <f t="shared" si="73"/>
        <v>28096.445730228239</v>
      </c>
    </row>
    <row r="999" spans="1:32" ht="105" x14ac:dyDescent="0.25">
      <c r="A999" s="107" t="s">
        <v>588</v>
      </c>
      <c r="B999" s="107" t="s">
        <v>2270</v>
      </c>
      <c r="C999" s="52"/>
      <c r="D999" s="52" t="s">
        <v>2301</v>
      </c>
      <c r="E999" s="22" t="str">
        <f t="shared" si="71"/>
        <v>SEJUSPPROG</v>
      </c>
      <c r="F999" s="52" t="s">
        <v>699</v>
      </c>
      <c r="G999" s="22" t="str">
        <f t="shared" si="72"/>
        <v>P141SEJUSP</v>
      </c>
      <c r="H999" s="52" t="s">
        <v>1403</v>
      </c>
      <c r="I999" s="22" t="s">
        <v>16</v>
      </c>
      <c r="J999" s="52" t="s">
        <v>1666</v>
      </c>
      <c r="K999" s="22" t="str">
        <f>VLOOKUP(CONCATENATE(A999,LEFT(J999,4)),AGRUPAMENTO!$D$2:$E$6783,2,FALSE)</f>
        <v>Serviços de TIC</v>
      </c>
      <c r="L999" s="52" t="s">
        <v>44</v>
      </c>
      <c r="M999" s="52"/>
      <c r="N999" s="52">
        <v>10</v>
      </c>
      <c r="O999" s="52" t="s">
        <v>3142</v>
      </c>
      <c r="P999" s="52" t="s">
        <v>46</v>
      </c>
      <c r="Q999" s="52" t="s">
        <v>4012</v>
      </c>
      <c r="R999" s="52">
        <v>1</v>
      </c>
      <c r="S999" s="52" t="s">
        <v>4012</v>
      </c>
      <c r="T999" s="88">
        <v>1500</v>
      </c>
      <c r="U999" s="53">
        <v>12</v>
      </c>
      <c r="V999" s="58">
        <f t="shared" si="70"/>
        <v>18000</v>
      </c>
      <c r="W999" s="52" t="s">
        <v>49</v>
      </c>
      <c r="X999" s="52" t="s">
        <v>4846</v>
      </c>
      <c r="Y999" s="52" t="s">
        <v>4852</v>
      </c>
      <c r="Z999" s="52" t="s">
        <v>4853</v>
      </c>
      <c r="AA999" s="52">
        <v>0</v>
      </c>
      <c r="AB999" s="52">
        <v>0</v>
      </c>
      <c r="AC999" s="52">
        <v>0</v>
      </c>
      <c r="AD999" s="21">
        <v>0.78045682583967335</v>
      </c>
      <c r="AE999" s="54">
        <v>0.78045682583967335</v>
      </c>
      <c r="AF999" s="315">
        <f t="shared" si="73"/>
        <v>14048.222865114119</v>
      </c>
    </row>
    <row r="1000" spans="1:32" ht="105" x14ac:dyDescent="0.25">
      <c r="A1000" s="107" t="s">
        <v>588</v>
      </c>
      <c r="B1000" s="107" t="s">
        <v>2270</v>
      </c>
      <c r="C1000" s="52"/>
      <c r="D1000" s="52" t="s">
        <v>2301</v>
      </c>
      <c r="E1000" s="22" t="str">
        <f t="shared" si="71"/>
        <v>SEJUSPPROG</v>
      </c>
      <c r="F1000" s="52" t="s">
        <v>729</v>
      </c>
      <c r="G1000" s="22" t="str">
        <f t="shared" si="72"/>
        <v>P130SEJUSP</v>
      </c>
      <c r="H1000" s="52" t="s">
        <v>1183</v>
      </c>
      <c r="I1000" s="22" t="s">
        <v>16</v>
      </c>
      <c r="J1000" s="52" t="s">
        <v>1666</v>
      </c>
      <c r="K1000" s="22" t="str">
        <f>VLOOKUP(CONCATENATE(A1000,LEFT(J1000,4)),AGRUPAMENTO!$D$2:$E$6783,2,FALSE)</f>
        <v>Serviços de TIC</v>
      </c>
      <c r="L1000" s="52" t="s">
        <v>44</v>
      </c>
      <c r="M1000" s="52"/>
      <c r="N1000" s="52">
        <v>60</v>
      </c>
      <c r="O1000" s="52" t="s">
        <v>3143</v>
      </c>
      <c r="P1000" s="52" t="s">
        <v>46</v>
      </c>
      <c r="Q1000" s="52" t="s">
        <v>4012</v>
      </c>
      <c r="R1000" s="52">
        <v>1</v>
      </c>
      <c r="S1000" s="52" t="s">
        <v>4012</v>
      </c>
      <c r="T1000" s="88">
        <v>1200</v>
      </c>
      <c r="U1000" s="53">
        <v>12</v>
      </c>
      <c r="V1000" s="58">
        <f t="shared" si="70"/>
        <v>14400</v>
      </c>
      <c r="W1000" s="52" t="s">
        <v>49</v>
      </c>
      <c r="X1000" s="52" t="s">
        <v>4846</v>
      </c>
      <c r="Y1000" s="52" t="s">
        <v>4852</v>
      </c>
      <c r="Z1000" s="52" t="s">
        <v>4853</v>
      </c>
      <c r="AA1000" s="52">
        <v>0</v>
      </c>
      <c r="AB1000" s="52">
        <v>0</v>
      </c>
      <c r="AC1000" s="52">
        <v>0</v>
      </c>
      <c r="AD1000" s="21">
        <v>0.78045682583967335</v>
      </c>
      <c r="AE1000" s="54">
        <v>0.78045682583967335</v>
      </c>
      <c r="AF1000" s="315">
        <f t="shared" si="73"/>
        <v>11238.578292091297</v>
      </c>
    </row>
    <row r="1001" spans="1:32" ht="120" x14ac:dyDescent="0.25">
      <c r="A1001" s="107" t="s">
        <v>588</v>
      </c>
      <c r="B1001" s="107" t="s">
        <v>2270</v>
      </c>
      <c r="C1001" s="52"/>
      <c r="D1001" s="52" t="s">
        <v>2301</v>
      </c>
      <c r="E1001" s="22" t="str">
        <f t="shared" si="71"/>
        <v>SEJUSPPROG</v>
      </c>
      <c r="F1001" s="52" t="s">
        <v>729</v>
      </c>
      <c r="G1001" s="22" t="str">
        <f t="shared" si="72"/>
        <v>P130SEJUSP</v>
      </c>
      <c r="H1001" s="52" t="s">
        <v>1183</v>
      </c>
      <c r="I1001" s="22" t="s">
        <v>16</v>
      </c>
      <c r="J1001" s="52" t="s">
        <v>1666</v>
      </c>
      <c r="K1001" s="22" t="str">
        <f>VLOOKUP(CONCATENATE(A1001,LEFT(J1001,4)),AGRUPAMENTO!$D$2:$E$6783,2,FALSE)</f>
        <v>Serviços de TIC</v>
      </c>
      <c r="L1001" s="52" t="s">
        <v>44</v>
      </c>
      <c r="M1001" s="52"/>
      <c r="N1001" s="52">
        <v>60</v>
      </c>
      <c r="O1001" s="52" t="s">
        <v>3144</v>
      </c>
      <c r="P1001" s="52" t="s">
        <v>46</v>
      </c>
      <c r="Q1001" s="52" t="s">
        <v>4012</v>
      </c>
      <c r="R1001" s="52">
        <v>1</v>
      </c>
      <c r="S1001" s="52" t="s">
        <v>4012</v>
      </c>
      <c r="T1001" s="88">
        <v>8536.5</v>
      </c>
      <c r="U1001" s="53">
        <v>12</v>
      </c>
      <c r="V1001" s="58">
        <f t="shared" si="70"/>
        <v>102438</v>
      </c>
      <c r="W1001" s="52" t="s">
        <v>49</v>
      </c>
      <c r="X1001" s="52" t="s">
        <v>4846</v>
      </c>
      <c r="Y1001" s="52" t="s">
        <v>4852</v>
      </c>
      <c r="Z1001" s="52" t="s">
        <v>4853</v>
      </c>
      <c r="AA1001" s="52">
        <v>0</v>
      </c>
      <c r="AB1001" s="52">
        <v>0</v>
      </c>
      <c r="AC1001" s="52">
        <v>0</v>
      </c>
      <c r="AD1001" s="21">
        <v>0.78045682583967335</v>
      </c>
      <c r="AE1001" s="54">
        <v>0.78045682583967335</v>
      </c>
      <c r="AF1001" s="315">
        <f t="shared" si="73"/>
        <v>79948.436325364455</v>
      </c>
    </row>
    <row r="1002" spans="1:32" ht="120" x14ac:dyDescent="0.25">
      <c r="A1002" s="107" t="s">
        <v>588</v>
      </c>
      <c r="B1002" s="107" t="s">
        <v>2270</v>
      </c>
      <c r="C1002" s="52"/>
      <c r="D1002" s="52" t="s">
        <v>2301</v>
      </c>
      <c r="E1002" s="22" t="str">
        <f t="shared" si="71"/>
        <v>SEJUSPPROG</v>
      </c>
      <c r="F1002" s="120" t="s">
        <v>681</v>
      </c>
      <c r="G1002" s="22" t="str">
        <f t="shared" si="72"/>
        <v>P129SEJUSP</v>
      </c>
      <c r="H1002" s="52" t="s">
        <v>1015</v>
      </c>
      <c r="I1002" s="22" t="s">
        <v>16</v>
      </c>
      <c r="J1002" s="52" t="s">
        <v>1666</v>
      </c>
      <c r="K1002" s="22" t="str">
        <f>VLOOKUP(CONCATENATE(A1002,LEFT(J1002,4)),AGRUPAMENTO!$D$2:$E$6783,2,FALSE)</f>
        <v>Serviços de TIC</v>
      </c>
      <c r="L1002" s="52" t="s">
        <v>44</v>
      </c>
      <c r="M1002" s="52"/>
      <c r="N1002" s="52">
        <v>60</v>
      </c>
      <c r="O1002" s="52" t="s">
        <v>3144</v>
      </c>
      <c r="P1002" s="52" t="s">
        <v>46</v>
      </c>
      <c r="Q1002" s="52" t="s">
        <v>4012</v>
      </c>
      <c r="R1002" s="52">
        <v>1</v>
      </c>
      <c r="S1002" s="52" t="s">
        <v>4012</v>
      </c>
      <c r="T1002" s="88">
        <v>468.33</v>
      </c>
      <c r="U1002" s="53">
        <v>12</v>
      </c>
      <c r="V1002" s="58">
        <f>R1002*T1002*U1002</f>
        <v>5619.96</v>
      </c>
      <c r="W1002" s="52" t="s">
        <v>49</v>
      </c>
      <c r="X1002" s="52" t="s">
        <v>4846</v>
      </c>
      <c r="Y1002" s="52" t="s">
        <v>4852</v>
      </c>
      <c r="Z1002" s="52" t="s">
        <v>4853</v>
      </c>
      <c r="AA1002" s="52">
        <v>0</v>
      </c>
      <c r="AB1002" s="52">
        <v>0</v>
      </c>
      <c r="AC1002" s="52">
        <v>0</v>
      </c>
      <c r="AD1002" s="21">
        <v>0.78045682583967335</v>
      </c>
      <c r="AE1002" s="54">
        <v>0.78045682583967335</v>
      </c>
      <c r="AF1002" s="315">
        <f t="shared" si="73"/>
        <v>4386.1361429459303</v>
      </c>
    </row>
    <row r="1003" spans="1:32" ht="120" x14ac:dyDescent="0.25">
      <c r="A1003" s="107" t="s">
        <v>588</v>
      </c>
      <c r="B1003" s="107" t="s">
        <v>2270</v>
      </c>
      <c r="C1003" s="52"/>
      <c r="D1003" s="52" t="s">
        <v>2301</v>
      </c>
      <c r="E1003" s="22" t="str">
        <f t="shared" si="71"/>
        <v>SEJUSPPROG</v>
      </c>
      <c r="F1003" s="122" t="s">
        <v>886</v>
      </c>
      <c r="G1003" s="22" t="str">
        <f t="shared" si="72"/>
        <v>P146SEJUSP</v>
      </c>
      <c r="H1003" s="52" t="s">
        <v>1424</v>
      </c>
      <c r="I1003" s="22" t="s">
        <v>16</v>
      </c>
      <c r="J1003" s="52" t="s">
        <v>1666</v>
      </c>
      <c r="K1003" s="22" t="str">
        <f>VLOOKUP(CONCATENATE(A1003,LEFT(J1003,4)),AGRUPAMENTO!$D$2:$E$6783,2,FALSE)</f>
        <v>Serviços de TIC</v>
      </c>
      <c r="L1003" s="52" t="s">
        <v>44</v>
      </c>
      <c r="M1003" s="52"/>
      <c r="N1003" s="52">
        <v>10</v>
      </c>
      <c r="O1003" s="52" t="s">
        <v>3144</v>
      </c>
      <c r="P1003" s="52" t="s">
        <v>46</v>
      </c>
      <c r="Q1003" s="52" t="s">
        <v>4012</v>
      </c>
      <c r="R1003" s="52">
        <v>1</v>
      </c>
      <c r="S1003" s="52" t="s">
        <v>4012</v>
      </c>
      <c r="T1003" s="88">
        <v>452.99</v>
      </c>
      <c r="U1003" s="53">
        <v>12</v>
      </c>
      <c r="V1003" s="58">
        <f t="shared" si="70"/>
        <v>5435.88</v>
      </c>
      <c r="W1003" s="52" t="s">
        <v>49</v>
      </c>
      <c r="X1003" s="52" t="s">
        <v>4846</v>
      </c>
      <c r="Y1003" s="52" t="s">
        <v>4852</v>
      </c>
      <c r="Z1003" s="52" t="s">
        <v>4853</v>
      </c>
      <c r="AA1003" s="52">
        <v>0</v>
      </c>
      <c r="AB1003" s="52">
        <v>0</v>
      </c>
      <c r="AC1003" s="52">
        <v>0</v>
      </c>
      <c r="AD1003" s="21">
        <v>0.78045682583967335</v>
      </c>
      <c r="AE1003" s="54">
        <v>0.78045682583967335</v>
      </c>
      <c r="AF1003" s="315">
        <f t="shared" si="73"/>
        <v>4242.4696504453641</v>
      </c>
    </row>
    <row r="1004" spans="1:32" ht="120" x14ac:dyDescent="0.25">
      <c r="A1004" s="107" t="s">
        <v>588</v>
      </c>
      <c r="B1004" s="107" t="s">
        <v>2270</v>
      </c>
      <c r="C1004" s="52"/>
      <c r="D1004" s="52" t="s">
        <v>2301</v>
      </c>
      <c r="E1004" s="22" t="str">
        <f t="shared" si="71"/>
        <v>SEJUSPPROG</v>
      </c>
      <c r="F1004" s="52" t="s">
        <v>729</v>
      </c>
      <c r="G1004" s="22" t="str">
        <f t="shared" si="72"/>
        <v>P130SEJUSP</v>
      </c>
      <c r="H1004" s="52" t="s">
        <v>1259</v>
      </c>
      <c r="I1004" s="22" t="s">
        <v>16</v>
      </c>
      <c r="J1004" s="52" t="s">
        <v>1666</v>
      </c>
      <c r="K1004" s="22" t="str">
        <f>VLOOKUP(CONCATENATE(A1004,LEFT(J1004,4)),AGRUPAMENTO!$D$2:$E$6783,2,FALSE)</f>
        <v>Serviços de TIC</v>
      </c>
      <c r="L1004" s="52" t="s">
        <v>44</v>
      </c>
      <c r="M1004" s="52"/>
      <c r="N1004" s="52">
        <v>10</v>
      </c>
      <c r="O1004" s="52" t="s">
        <v>3145</v>
      </c>
      <c r="P1004" s="52" t="s">
        <v>46</v>
      </c>
      <c r="Q1004" s="52" t="s">
        <v>4012</v>
      </c>
      <c r="R1004" s="52">
        <v>1</v>
      </c>
      <c r="S1004" s="52" t="s">
        <v>4012</v>
      </c>
      <c r="T1004" s="88">
        <v>6000</v>
      </c>
      <c r="U1004" s="53">
        <v>12</v>
      </c>
      <c r="V1004" s="58">
        <f t="shared" si="70"/>
        <v>72000</v>
      </c>
      <c r="W1004" s="52" t="s">
        <v>49</v>
      </c>
      <c r="X1004" s="52" t="s">
        <v>4846</v>
      </c>
      <c r="Y1004" s="52" t="s">
        <v>4852</v>
      </c>
      <c r="Z1004" s="52" t="s">
        <v>4853</v>
      </c>
      <c r="AA1004" s="52">
        <v>0</v>
      </c>
      <c r="AB1004" s="52">
        <v>0</v>
      </c>
      <c r="AC1004" s="52">
        <v>0</v>
      </c>
      <c r="AD1004" s="21">
        <v>0.78045682583967335</v>
      </c>
      <c r="AE1004" s="54">
        <v>0.78045682583967335</v>
      </c>
      <c r="AF1004" s="315">
        <f t="shared" si="73"/>
        <v>56192.891460456478</v>
      </c>
    </row>
    <row r="1005" spans="1:32" ht="120" x14ac:dyDescent="0.25">
      <c r="A1005" s="107" t="s">
        <v>588</v>
      </c>
      <c r="B1005" s="107" t="s">
        <v>2270</v>
      </c>
      <c r="C1005" s="52"/>
      <c r="D1005" s="52" t="s">
        <v>2301</v>
      </c>
      <c r="E1005" s="22" t="str">
        <f t="shared" si="71"/>
        <v>SEJUSPPROG</v>
      </c>
      <c r="F1005" s="116" t="s">
        <v>687</v>
      </c>
      <c r="G1005" s="22" t="str">
        <f t="shared" si="72"/>
        <v>P705SEJUSP</v>
      </c>
      <c r="H1005" s="52" t="s">
        <v>914</v>
      </c>
      <c r="I1005" s="22" t="s">
        <v>16</v>
      </c>
      <c r="J1005" s="52" t="s">
        <v>1666</v>
      </c>
      <c r="K1005" s="22" t="str">
        <f>VLOOKUP(CONCATENATE(A1005,LEFT(J1005,4)),AGRUPAMENTO!$D$2:$E$6783,2,FALSE)</f>
        <v>Serviços de TIC</v>
      </c>
      <c r="L1005" s="52" t="s">
        <v>44</v>
      </c>
      <c r="M1005" s="52"/>
      <c r="N1005" s="52">
        <v>10</v>
      </c>
      <c r="O1005" s="52" t="s">
        <v>3145</v>
      </c>
      <c r="P1005" s="52" t="s">
        <v>46</v>
      </c>
      <c r="Q1005" s="52" t="s">
        <v>4012</v>
      </c>
      <c r="R1005" s="52">
        <v>1</v>
      </c>
      <c r="S1005" s="52" t="s">
        <v>4012</v>
      </c>
      <c r="T1005" s="88">
        <v>6000</v>
      </c>
      <c r="U1005" s="53">
        <v>12</v>
      </c>
      <c r="V1005" s="58">
        <f t="shared" si="70"/>
        <v>72000</v>
      </c>
      <c r="W1005" s="52" t="s">
        <v>49</v>
      </c>
      <c r="X1005" s="52" t="s">
        <v>4846</v>
      </c>
      <c r="Y1005" s="52" t="s">
        <v>4852</v>
      </c>
      <c r="Z1005" s="52" t="s">
        <v>4853</v>
      </c>
      <c r="AA1005" s="52">
        <v>0</v>
      </c>
      <c r="AB1005" s="52">
        <v>0</v>
      </c>
      <c r="AC1005" s="52">
        <v>0</v>
      </c>
      <c r="AD1005" s="21">
        <v>0.78045682583967335</v>
      </c>
      <c r="AE1005" s="54">
        <v>0.78045682583967335</v>
      </c>
      <c r="AF1005" s="315">
        <f t="shared" si="73"/>
        <v>56192.891460456478</v>
      </c>
    </row>
    <row r="1006" spans="1:32" ht="120" x14ac:dyDescent="0.25">
      <c r="A1006" s="107" t="s">
        <v>588</v>
      </c>
      <c r="B1006" s="107" t="s">
        <v>2270</v>
      </c>
      <c r="C1006" s="52"/>
      <c r="D1006" s="52" t="s">
        <v>2301</v>
      </c>
      <c r="E1006" s="22" t="str">
        <f t="shared" si="71"/>
        <v>SEJUSPPROG</v>
      </c>
      <c r="F1006" s="52" t="s">
        <v>729</v>
      </c>
      <c r="G1006" s="22" t="str">
        <f t="shared" si="72"/>
        <v>P130SEJUSP</v>
      </c>
      <c r="H1006" s="52" t="s">
        <v>1183</v>
      </c>
      <c r="I1006" s="22" t="s">
        <v>16</v>
      </c>
      <c r="J1006" s="52" t="s">
        <v>1666</v>
      </c>
      <c r="K1006" s="22" t="str">
        <f>VLOOKUP(CONCATENATE(A1006,LEFT(J1006,4)),AGRUPAMENTO!$D$2:$E$6783,2,FALSE)</f>
        <v>Serviços de TIC</v>
      </c>
      <c r="L1006" s="52" t="s">
        <v>44</v>
      </c>
      <c r="M1006" s="52"/>
      <c r="N1006" s="52">
        <v>60</v>
      </c>
      <c r="O1006" s="52" t="s">
        <v>3145</v>
      </c>
      <c r="P1006" s="52" t="s">
        <v>46</v>
      </c>
      <c r="Q1006" s="52" t="s">
        <v>4012</v>
      </c>
      <c r="R1006" s="52">
        <v>1</v>
      </c>
      <c r="S1006" s="52" t="s">
        <v>4012</v>
      </c>
      <c r="T1006" s="88">
        <v>25000</v>
      </c>
      <c r="U1006" s="53">
        <v>12</v>
      </c>
      <c r="V1006" s="58">
        <f t="shared" si="70"/>
        <v>300000</v>
      </c>
      <c r="W1006" s="52" t="s">
        <v>49</v>
      </c>
      <c r="X1006" s="52" t="s">
        <v>4846</v>
      </c>
      <c r="Y1006" s="52" t="s">
        <v>4852</v>
      </c>
      <c r="Z1006" s="52" t="s">
        <v>4853</v>
      </c>
      <c r="AA1006" s="52">
        <v>0</v>
      </c>
      <c r="AB1006" s="52">
        <v>0</v>
      </c>
      <c r="AC1006" s="52">
        <v>0</v>
      </c>
      <c r="AD1006" s="21">
        <v>0.78045682583967335</v>
      </c>
      <c r="AE1006" s="54">
        <v>0.78045682583967335</v>
      </c>
      <c r="AF1006" s="315">
        <f t="shared" si="73"/>
        <v>234137.04775190199</v>
      </c>
    </row>
    <row r="1007" spans="1:32" ht="120" x14ac:dyDescent="0.25">
      <c r="A1007" s="107" t="s">
        <v>588</v>
      </c>
      <c r="B1007" s="107" t="s">
        <v>2270</v>
      </c>
      <c r="C1007" s="52"/>
      <c r="D1007" s="52" t="s">
        <v>2301</v>
      </c>
      <c r="E1007" s="22" t="str">
        <f t="shared" si="71"/>
        <v>SEJUSPPROG</v>
      </c>
      <c r="F1007" s="122" t="s">
        <v>886</v>
      </c>
      <c r="G1007" s="22" t="str">
        <f t="shared" si="72"/>
        <v>P146SEJUSP</v>
      </c>
      <c r="H1007" s="52" t="s">
        <v>1424</v>
      </c>
      <c r="I1007" s="22" t="s">
        <v>16</v>
      </c>
      <c r="J1007" s="52" t="s">
        <v>1666</v>
      </c>
      <c r="K1007" s="22" t="str">
        <f>VLOOKUP(CONCATENATE(A1007,LEFT(J1007,4)),AGRUPAMENTO!$D$2:$E$6783,2,FALSE)</f>
        <v>Serviços de TIC</v>
      </c>
      <c r="L1007" s="52" t="s">
        <v>44</v>
      </c>
      <c r="M1007" s="52"/>
      <c r="N1007" s="52">
        <v>10</v>
      </c>
      <c r="O1007" s="52" t="s">
        <v>3145</v>
      </c>
      <c r="P1007" s="52" t="s">
        <v>46</v>
      </c>
      <c r="Q1007" s="52" t="s">
        <v>4012</v>
      </c>
      <c r="R1007" s="52">
        <v>1</v>
      </c>
      <c r="S1007" s="52" t="s">
        <v>4012</v>
      </c>
      <c r="T1007" s="88">
        <v>6000</v>
      </c>
      <c r="U1007" s="53">
        <v>12</v>
      </c>
      <c r="V1007" s="58">
        <f t="shared" si="70"/>
        <v>72000</v>
      </c>
      <c r="W1007" s="52" t="s">
        <v>49</v>
      </c>
      <c r="X1007" s="52" t="s">
        <v>4846</v>
      </c>
      <c r="Y1007" s="52" t="s">
        <v>4852</v>
      </c>
      <c r="Z1007" s="52" t="s">
        <v>4853</v>
      </c>
      <c r="AA1007" s="52">
        <v>0</v>
      </c>
      <c r="AB1007" s="52">
        <v>0</v>
      </c>
      <c r="AC1007" s="52">
        <v>0</v>
      </c>
      <c r="AD1007" s="21">
        <v>0.78045682583967335</v>
      </c>
      <c r="AE1007" s="54">
        <v>0.78045682583967335</v>
      </c>
      <c r="AF1007" s="315">
        <f t="shared" si="73"/>
        <v>56192.891460456478</v>
      </c>
    </row>
    <row r="1008" spans="1:32" ht="120" x14ac:dyDescent="0.25">
      <c r="A1008" s="107" t="s">
        <v>588</v>
      </c>
      <c r="B1008" s="107" t="s">
        <v>2270</v>
      </c>
      <c r="C1008" s="52"/>
      <c r="D1008" s="52" t="s">
        <v>2301</v>
      </c>
      <c r="E1008" s="22" t="str">
        <f t="shared" si="71"/>
        <v>SEJUSPPROG</v>
      </c>
      <c r="F1008" s="120" t="s">
        <v>681</v>
      </c>
      <c r="G1008" s="22" t="str">
        <f t="shared" si="72"/>
        <v>P129SEJUSP</v>
      </c>
      <c r="H1008" s="52" t="s">
        <v>1015</v>
      </c>
      <c r="I1008" s="22" t="s">
        <v>16</v>
      </c>
      <c r="J1008" s="52" t="s">
        <v>1666</v>
      </c>
      <c r="K1008" s="22" t="str">
        <f>VLOOKUP(CONCATENATE(A1008,LEFT(J1008,4)),AGRUPAMENTO!$D$2:$E$6783,2,FALSE)</f>
        <v>Serviços de TIC</v>
      </c>
      <c r="L1008" s="52" t="s">
        <v>44</v>
      </c>
      <c r="M1008" s="52"/>
      <c r="N1008" s="52">
        <v>60</v>
      </c>
      <c r="O1008" s="52" t="s">
        <v>3145</v>
      </c>
      <c r="P1008" s="52" t="s">
        <v>46</v>
      </c>
      <c r="Q1008" s="52" t="s">
        <v>4012</v>
      </c>
      <c r="R1008" s="52">
        <v>1</v>
      </c>
      <c r="S1008" s="52" t="s">
        <v>4012</v>
      </c>
      <c r="T1008" s="88">
        <v>6000</v>
      </c>
      <c r="U1008" s="53">
        <v>12</v>
      </c>
      <c r="V1008" s="58">
        <f t="shared" si="70"/>
        <v>72000</v>
      </c>
      <c r="W1008" s="52" t="s">
        <v>49</v>
      </c>
      <c r="X1008" s="52" t="s">
        <v>4846</v>
      </c>
      <c r="Y1008" s="52" t="s">
        <v>4852</v>
      </c>
      <c r="Z1008" s="52" t="s">
        <v>4853</v>
      </c>
      <c r="AA1008" s="52">
        <v>0</v>
      </c>
      <c r="AB1008" s="52">
        <v>0</v>
      </c>
      <c r="AC1008" s="52">
        <v>0</v>
      </c>
      <c r="AD1008" s="21">
        <v>0.78045682583967335</v>
      </c>
      <c r="AE1008" s="54">
        <v>0.78045682583967335</v>
      </c>
      <c r="AF1008" s="315">
        <f t="shared" si="73"/>
        <v>56192.891460456478</v>
      </c>
    </row>
    <row r="1009" spans="1:32" ht="120" x14ac:dyDescent="0.25">
      <c r="A1009" s="107" t="s">
        <v>588</v>
      </c>
      <c r="B1009" s="107" t="s">
        <v>2270</v>
      </c>
      <c r="C1009" s="52"/>
      <c r="D1009" s="52" t="s">
        <v>2301</v>
      </c>
      <c r="E1009" s="22" t="str">
        <f t="shared" si="71"/>
        <v>SEJUSPPROG</v>
      </c>
      <c r="F1009" s="52" t="s">
        <v>705</v>
      </c>
      <c r="G1009" s="22" t="str">
        <f t="shared" si="72"/>
        <v>P134SEJUSP</v>
      </c>
      <c r="H1009" s="52" t="s">
        <v>1356</v>
      </c>
      <c r="I1009" s="22" t="s">
        <v>16</v>
      </c>
      <c r="J1009" s="52" t="s">
        <v>1666</v>
      </c>
      <c r="K1009" s="22" t="str">
        <f>VLOOKUP(CONCATENATE(A1009,LEFT(J1009,4)),AGRUPAMENTO!$D$2:$E$6783,2,FALSE)</f>
        <v>Serviços de TIC</v>
      </c>
      <c r="L1009" s="52" t="s">
        <v>44</v>
      </c>
      <c r="M1009" s="52"/>
      <c r="N1009" s="52">
        <v>10</v>
      </c>
      <c r="O1009" s="52" t="s">
        <v>3145</v>
      </c>
      <c r="P1009" s="52" t="s">
        <v>46</v>
      </c>
      <c r="Q1009" s="52" t="s">
        <v>4012</v>
      </c>
      <c r="R1009" s="52">
        <v>1</v>
      </c>
      <c r="S1009" s="52" t="s">
        <v>4012</v>
      </c>
      <c r="T1009" s="88">
        <v>6000</v>
      </c>
      <c r="U1009" s="53">
        <v>12</v>
      </c>
      <c r="V1009" s="58">
        <f t="shared" si="70"/>
        <v>72000</v>
      </c>
      <c r="W1009" s="52" t="s">
        <v>49</v>
      </c>
      <c r="X1009" s="52" t="s">
        <v>4846</v>
      </c>
      <c r="Y1009" s="52" t="s">
        <v>4852</v>
      </c>
      <c r="Z1009" s="52" t="s">
        <v>4853</v>
      </c>
      <c r="AA1009" s="52">
        <v>0</v>
      </c>
      <c r="AB1009" s="52">
        <v>0</v>
      </c>
      <c r="AC1009" s="52">
        <v>0</v>
      </c>
      <c r="AD1009" s="21">
        <v>0.78045682583967335</v>
      </c>
      <c r="AE1009" s="54">
        <v>0.78045682583967335</v>
      </c>
      <c r="AF1009" s="315">
        <f t="shared" si="73"/>
        <v>56192.891460456478</v>
      </c>
    </row>
    <row r="1010" spans="1:32" ht="105" x14ac:dyDescent="0.25">
      <c r="A1010" s="107" t="s">
        <v>588</v>
      </c>
      <c r="B1010" s="107" t="s">
        <v>2270</v>
      </c>
      <c r="C1010" s="52"/>
      <c r="D1010" s="52" t="s">
        <v>2301</v>
      </c>
      <c r="E1010" s="22" t="str">
        <f t="shared" si="71"/>
        <v>SEJUSPPROG</v>
      </c>
      <c r="F1010" s="52" t="s">
        <v>705</v>
      </c>
      <c r="G1010" s="22" t="str">
        <f t="shared" si="72"/>
        <v>P134SEJUSP</v>
      </c>
      <c r="H1010" s="52" t="s">
        <v>1356</v>
      </c>
      <c r="I1010" s="22" t="s">
        <v>16</v>
      </c>
      <c r="J1010" s="52" t="s">
        <v>1666</v>
      </c>
      <c r="K1010" s="22" t="str">
        <f>VLOOKUP(CONCATENATE(A1010,LEFT(J1010,4)),AGRUPAMENTO!$D$2:$E$6783,2,FALSE)</f>
        <v>Serviços de TIC</v>
      </c>
      <c r="L1010" s="52" t="s">
        <v>44</v>
      </c>
      <c r="M1010" s="52"/>
      <c r="N1010" s="52">
        <v>10</v>
      </c>
      <c r="O1010" s="170" t="s">
        <v>3146</v>
      </c>
      <c r="P1010" s="52" t="s">
        <v>46</v>
      </c>
      <c r="Q1010" s="52" t="s">
        <v>4012</v>
      </c>
      <c r="R1010" s="52">
        <v>1</v>
      </c>
      <c r="S1010" s="52" t="s">
        <v>4012</v>
      </c>
      <c r="T1010" s="88">
        <v>15513.6</v>
      </c>
      <c r="U1010" s="53">
        <v>12</v>
      </c>
      <c r="V1010" s="58">
        <f t="shared" si="70"/>
        <v>186163.20000000001</v>
      </c>
      <c r="W1010" s="52" t="s">
        <v>49</v>
      </c>
      <c r="X1010" s="52" t="s">
        <v>4846</v>
      </c>
      <c r="Y1010" s="52" t="s">
        <v>4852</v>
      </c>
      <c r="Z1010" s="52" t="s">
        <v>4853</v>
      </c>
      <c r="AA1010" s="52">
        <v>0</v>
      </c>
      <c r="AB1010" s="52">
        <v>0</v>
      </c>
      <c r="AC1010" s="52">
        <v>0</v>
      </c>
      <c r="AD1010" s="21">
        <v>0.78045682583967335</v>
      </c>
      <c r="AE1010" s="54">
        <v>0.78045682583967335</v>
      </c>
      <c r="AF1010" s="315">
        <f t="shared" si="73"/>
        <v>145292.34016015628</v>
      </c>
    </row>
    <row r="1011" spans="1:32" ht="270" x14ac:dyDescent="0.25">
      <c r="A1011" s="107" t="s">
        <v>588</v>
      </c>
      <c r="B1011" s="107" t="s">
        <v>2269</v>
      </c>
      <c r="C1011" s="52"/>
      <c r="D1011" s="106" t="s">
        <v>2300</v>
      </c>
      <c r="E1011" s="22" t="str">
        <f t="shared" si="71"/>
        <v>SEJUSPPROG</v>
      </c>
      <c r="F1011" s="52" t="s">
        <v>729</v>
      </c>
      <c r="G1011" s="22" t="str">
        <f t="shared" si="72"/>
        <v>P130SEJUSP</v>
      </c>
      <c r="H1011" s="92" t="s">
        <v>1183</v>
      </c>
      <c r="I1011" s="22" t="s">
        <v>16</v>
      </c>
      <c r="J1011" s="92" t="s">
        <v>1676</v>
      </c>
      <c r="K1011" s="22" t="str">
        <f>VLOOKUP(CONCATENATE(A1011,LEFT(J1011,4)),AGRUPAMENTO!$D$2:$E$6783,2,FALSE)</f>
        <v>Aquisições de itens de TIC</v>
      </c>
      <c r="L1011" s="92" t="s">
        <v>94</v>
      </c>
      <c r="M1011" s="52"/>
      <c r="N1011" s="92">
        <v>10</v>
      </c>
      <c r="O1011" s="172" t="s">
        <v>3147</v>
      </c>
      <c r="P1011" s="52" t="s">
        <v>58</v>
      </c>
      <c r="Q1011" s="153" t="s">
        <v>4013</v>
      </c>
      <c r="R1011" s="153">
        <f>168+2</f>
        <v>170</v>
      </c>
      <c r="S1011" s="153" t="s">
        <v>4014</v>
      </c>
      <c r="T1011" s="213">
        <f>(2879.1+2349+2892.99)/3</f>
        <v>2707.03</v>
      </c>
      <c r="U1011" s="214">
        <v>1</v>
      </c>
      <c r="V1011" s="58">
        <f t="shared" si="70"/>
        <v>460195.10000000003</v>
      </c>
      <c r="W1011" s="92" t="s">
        <v>68</v>
      </c>
      <c r="X1011" s="302" t="s">
        <v>4633</v>
      </c>
      <c r="Y1011" s="92" t="s">
        <v>4854</v>
      </c>
      <c r="Z1011" s="302" t="s">
        <v>4855</v>
      </c>
      <c r="AA1011" s="92">
        <v>3</v>
      </c>
      <c r="AB1011" s="92">
        <v>10</v>
      </c>
      <c r="AC1011" s="92">
        <v>34</v>
      </c>
      <c r="AD1011" s="21">
        <v>0</v>
      </c>
      <c r="AE1011" s="54">
        <v>0</v>
      </c>
      <c r="AF1011" s="315">
        <f t="shared" si="73"/>
        <v>0</v>
      </c>
    </row>
    <row r="1012" spans="1:32" ht="105" x14ac:dyDescent="0.25">
      <c r="A1012" s="107" t="s">
        <v>588</v>
      </c>
      <c r="B1012" s="107" t="s">
        <v>2270</v>
      </c>
      <c r="C1012" s="52"/>
      <c r="D1012" s="52" t="s">
        <v>2301</v>
      </c>
      <c r="E1012" s="22" t="str">
        <f t="shared" si="71"/>
        <v>SEJUSPPROG</v>
      </c>
      <c r="F1012" s="116" t="s">
        <v>687</v>
      </c>
      <c r="G1012" s="22" t="str">
        <f t="shared" si="72"/>
        <v>P705SEJUSP</v>
      </c>
      <c r="H1012" s="52" t="s">
        <v>914</v>
      </c>
      <c r="I1012" s="22" t="s">
        <v>16</v>
      </c>
      <c r="J1012" s="52" t="s">
        <v>1666</v>
      </c>
      <c r="K1012" s="22" t="str">
        <f>VLOOKUP(CONCATENATE(A1012,LEFT(J1012,4)),AGRUPAMENTO!$D$2:$E$6783,2,FALSE)</f>
        <v>Serviços de TIC</v>
      </c>
      <c r="L1012" s="52" t="s">
        <v>44</v>
      </c>
      <c r="M1012" s="52"/>
      <c r="N1012" s="52">
        <v>10</v>
      </c>
      <c r="O1012" s="52" t="s">
        <v>3148</v>
      </c>
      <c r="P1012" s="52" t="s">
        <v>46</v>
      </c>
      <c r="Q1012" s="52" t="s">
        <v>4012</v>
      </c>
      <c r="R1012" s="52">
        <v>1</v>
      </c>
      <c r="S1012" s="52" t="s">
        <v>4012</v>
      </c>
      <c r="T1012" s="88">
        <v>2635.82</v>
      </c>
      <c r="U1012" s="53">
        <v>12</v>
      </c>
      <c r="V1012" s="58">
        <f t="shared" si="70"/>
        <v>31629.840000000004</v>
      </c>
      <c r="W1012" s="52" t="s">
        <v>49</v>
      </c>
      <c r="X1012" s="52" t="s">
        <v>4846</v>
      </c>
      <c r="Y1012" s="52" t="s">
        <v>4852</v>
      </c>
      <c r="Z1012" s="52" t="s">
        <v>4853</v>
      </c>
      <c r="AA1012" s="52">
        <v>0</v>
      </c>
      <c r="AB1012" s="52">
        <v>0</v>
      </c>
      <c r="AC1012" s="52">
        <v>0</v>
      </c>
      <c r="AD1012" s="21">
        <v>0.78045682583967335</v>
      </c>
      <c r="AE1012" s="54">
        <v>0.78045682583967335</v>
      </c>
      <c r="AF1012" s="315">
        <f t="shared" si="73"/>
        <v>24685.724528216735</v>
      </c>
    </row>
    <row r="1013" spans="1:32" ht="105" x14ac:dyDescent="0.25">
      <c r="A1013" s="107" t="s">
        <v>588</v>
      </c>
      <c r="B1013" s="107" t="s">
        <v>2270</v>
      </c>
      <c r="C1013" s="52"/>
      <c r="D1013" s="52" t="s">
        <v>2301</v>
      </c>
      <c r="E1013" s="22" t="str">
        <f t="shared" si="71"/>
        <v>SEJUSPPROG</v>
      </c>
      <c r="F1013" s="120" t="s">
        <v>681</v>
      </c>
      <c r="G1013" s="22" t="str">
        <f t="shared" si="72"/>
        <v>P129SEJUSP</v>
      </c>
      <c r="H1013" s="52" t="s">
        <v>1015</v>
      </c>
      <c r="I1013" s="22" t="s">
        <v>16</v>
      </c>
      <c r="J1013" s="52" t="s">
        <v>1666</v>
      </c>
      <c r="K1013" s="22" t="str">
        <f>VLOOKUP(CONCATENATE(A1013,LEFT(J1013,4)),AGRUPAMENTO!$D$2:$E$6783,2,FALSE)</f>
        <v>Serviços de TIC</v>
      </c>
      <c r="L1013" s="52" t="s">
        <v>44</v>
      </c>
      <c r="M1013" s="52"/>
      <c r="N1013" s="52">
        <v>60</v>
      </c>
      <c r="O1013" s="52" t="s">
        <v>3148</v>
      </c>
      <c r="P1013" s="52" t="s">
        <v>46</v>
      </c>
      <c r="Q1013" s="52" t="s">
        <v>4012</v>
      </c>
      <c r="R1013" s="52">
        <v>1</v>
      </c>
      <c r="S1013" s="52" t="s">
        <v>4015</v>
      </c>
      <c r="T1013" s="88">
        <v>65.78</v>
      </c>
      <c r="U1013" s="53">
        <v>12</v>
      </c>
      <c r="V1013" s="58">
        <f t="shared" si="70"/>
        <v>789.36</v>
      </c>
      <c r="W1013" s="52" t="s">
        <v>49</v>
      </c>
      <c r="X1013" s="52" t="s">
        <v>4846</v>
      </c>
      <c r="Y1013" s="52" t="s">
        <v>4852</v>
      </c>
      <c r="Z1013" s="52" t="s">
        <v>4853</v>
      </c>
      <c r="AA1013" s="52">
        <v>0</v>
      </c>
      <c r="AB1013" s="52">
        <v>0</v>
      </c>
      <c r="AC1013" s="52">
        <v>0</v>
      </c>
      <c r="AD1013" s="21">
        <v>0.78045682583967335</v>
      </c>
      <c r="AE1013" s="54">
        <v>0.78045682583967335</v>
      </c>
      <c r="AF1013" s="315">
        <f t="shared" si="73"/>
        <v>616.0614000448046</v>
      </c>
    </row>
    <row r="1014" spans="1:32" ht="405" x14ac:dyDescent="0.25">
      <c r="A1014" s="107" t="s">
        <v>588</v>
      </c>
      <c r="B1014" s="107" t="s">
        <v>2269</v>
      </c>
      <c r="C1014" s="52"/>
      <c r="D1014" s="106" t="s">
        <v>2300</v>
      </c>
      <c r="E1014" s="22" t="str">
        <f t="shared" si="71"/>
        <v>SEJUSPPROG</v>
      </c>
      <c r="F1014" s="52" t="s">
        <v>729</v>
      </c>
      <c r="G1014" s="22" t="str">
        <f t="shared" si="72"/>
        <v>P130SEJUSP</v>
      </c>
      <c r="H1014" s="92" t="s">
        <v>1183</v>
      </c>
      <c r="I1014" s="22" t="s">
        <v>16</v>
      </c>
      <c r="J1014" s="92" t="s">
        <v>1676</v>
      </c>
      <c r="K1014" s="22" t="str">
        <f>VLOOKUP(CONCATENATE(A1014,LEFT(J1014,4)),AGRUPAMENTO!$D$2:$E$6783,2,FALSE)</f>
        <v>Aquisições de itens de TIC</v>
      </c>
      <c r="L1014" s="92" t="s">
        <v>94</v>
      </c>
      <c r="M1014" s="52"/>
      <c r="N1014" s="92">
        <v>10</v>
      </c>
      <c r="O1014" s="172" t="s">
        <v>3149</v>
      </c>
      <c r="P1014" s="52" t="s">
        <v>58</v>
      </c>
      <c r="Q1014" s="153" t="s">
        <v>4016</v>
      </c>
      <c r="R1014" s="153">
        <v>168</v>
      </c>
      <c r="S1014" s="153" t="s">
        <v>4014</v>
      </c>
      <c r="T1014" s="213">
        <f>(2699.1+2887.93+1899.9)/3</f>
        <v>2495.6433333333334</v>
      </c>
      <c r="U1014" s="214">
        <v>1</v>
      </c>
      <c r="V1014" s="58">
        <f t="shared" si="70"/>
        <v>419268.08</v>
      </c>
      <c r="W1014" s="92" t="s">
        <v>68</v>
      </c>
      <c r="X1014" s="302" t="s">
        <v>4633</v>
      </c>
      <c r="Y1014" s="153" t="s">
        <v>4856</v>
      </c>
      <c r="Z1014" s="92" t="s">
        <v>4857</v>
      </c>
      <c r="AA1014" s="92">
        <v>3</v>
      </c>
      <c r="AB1014" s="92">
        <v>10</v>
      </c>
      <c r="AC1014" s="92">
        <v>34</v>
      </c>
      <c r="AD1014" s="21">
        <v>0</v>
      </c>
      <c r="AE1014" s="54">
        <v>0</v>
      </c>
      <c r="AF1014" s="315">
        <f t="shared" si="73"/>
        <v>0</v>
      </c>
    </row>
    <row r="1015" spans="1:32" ht="255" x14ac:dyDescent="0.25">
      <c r="A1015" s="107" t="s">
        <v>588</v>
      </c>
      <c r="B1015" s="107" t="s">
        <v>2269</v>
      </c>
      <c r="C1015" s="52"/>
      <c r="D1015" s="106" t="s">
        <v>2300</v>
      </c>
      <c r="E1015" s="22" t="str">
        <f t="shared" si="71"/>
        <v>SEJUSPPROG</v>
      </c>
      <c r="F1015" s="52" t="s">
        <v>729</v>
      </c>
      <c r="G1015" s="22" t="str">
        <f t="shared" si="72"/>
        <v>P130SEJUSP</v>
      </c>
      <c r="H1015" s="92" t="s">
        <v>1183</v>
      </c>
      <c r="I1015" s="22" t="s">
        <v>16</v>
      </c>
      <c r="J1015" s="92" t="s">
        <v>1677</v>
      </c>
      <c r="K1015" s="22" t="str">
        <f>VLOOKUP(CONCATENATE(A1015,LEFT(J1015,4)),AGRUPAMENTO!$D$2:$E$6783,2,FALSE)</f>
        <v>Aquisições de itens de TIC</v>
      </c>
      <c r="L1015" s="92" t="s">
        <v>94</v>
      </c>
      <c r="M1015" s="52"/>
      <c r="N1015" s="92">
        <v>10</v>
      </c>
      <c r="O1015" s="157" t="s">
        <v>3150</v>
      </c>
      <c r="P1015" s="52" t="s">
        <v>58</v>
      </c>
      <c r="Q1015" s="153" t="s">
        <v>4017</v>
      </c>
      <c r="R1015" s="153">
        <f>168+7</f>
        <v>175</v>
      </c>
      <c r="S1015" s="153" t="s">
        <v>3918</v>
      </c>
      <c r="T1015" s="213">
        <f>(188.72+433.9+269.91)/3</f>
        <v>297.51</v>
      </c>
      <c r="U1015" s="214">
        <v>1</v>
      </c>
      <c r="V1015" s="58">
        <f t="shared" si="70"/>
        <v>52064.25</v>
      </c>
      <c r="W1015" s="92" t="s">
        <v>68</v>
      </c>
      <c r="X1015" s="302" t="s">
        <v>4633</v>
      </c>
      <c r="Y1015" s="92" t="s">
        <v>4858</v>
      </c>
      <c r="Z1015" s="92" t="s">
        <v>4859</v>
      </c>
      <c r="AA1015" s="92">
        <v>3</v>
      </c>
      <c r="AB1015" s="92">
        <v>10</v>
      </c>
      <c r="AC1015" s="92">
        <v>34</v>
      </c>
      <c r="AD1015" s="21">
        <v>0</v>
      </c>
      <c r="AE1015" s="54">
        <v>0</v>
      </c>
      <c r="AF1015" s="315">
        <f t="shared" si="73"/>
        <v>0</v>
      </c>
    </row>
    <row r="1016" spans="1:32" ht="210" x14ac:dyDescent="0.25">
      <c r="A1016" s="107" t="s">
        <v>588</v>
      </c>
      <c r="B1016" s="107" t="s">
        <v>2269</v>
      </c>
      <c r="C1016" s="52"/>
      <c r="D1016" s="106" t="s">
        <v>2300</v>
      </c>
      <c r="E1016" s="22" t="str">
        <f t="shared" si="71"/>
        <v>SEJUSPPROG</v>
      </c>
      <c r="F1016" s="52" t="s">
        <v>729</v>
      </c>
      <c r="G1016" s="22" t="str">
        <f t="shared" si="72"/>
        <v>P130SEJUSP</v>
      </c>
      <c r="H1016" s="92" t="s">
        <v>1183</v>
      </c>
      <c r="I1016" s="22" t="s">
        <v>16</v>
      </c>
      <c r="J1016" s="92" t="s">
        <v>1677</v>
      </c>
      <c r="K1016" s="22" t="str">
        <f>VLOOKUP(CONCATENATE(A1016,LEFT(J1016,4)),AGRUPAMENTO!$D$2:$E$6783,2,FALSE)</f>
        <v>Aquisições de itens de TIC</v>
      </c>
      <c r="L1016" s="92" t="s">
        <v>94</v>
      </c>
      <c r="M1016" s="52"/>
      <c r="N1016" s="92">
        <v>10</v>
      </c>
      <c r="O1016" s="172" t="s">
        <v>3151</v>
      </c>
      <c r="P1016" s="52" t="s">
        <v>58</v>
      </c>
      <c r="Q1016" s="153" t="s">
        <v>4018</v>
      </c>
      <c r="R1016" s="153">
        <v>1</v>
      </c>
      <c r="S1016" s="153" t="s">
        <v>4014</v>
      </c>
      <c r="T1016" s="213">
        <f>(3999+3124.46+4581.9)/3</f>
        <v>3901.7866666666669</v>
      </c>
      <c r="U1016" s="214">
        <v>1</v>
      </c>
      <c r="V1016" s="58">
        <f t="shared" si="70"/>
        <v>3901.7866666666669</v>
      </c>
      <c r="W1016" s="92" t="s">
        <v>68</v>
      </c>
      <c r="X1016" s="302" t="s">
        <v>4633</v>
      </c>
      <c r="Y1016" s="92" t="s">
        <v>4860</v>
      </c>
      <c r="Z1016" s="92" t="s">
        <v>4861</v>
      </c>
      <c r="AA1016" s="92">
        <v>3</v>
      </c>
      <c r="AB1016" s="92">
        <v>10</v>
      </c>
      <c r="AC1016" s="92">
        <v>34</v>
      </c>
      <c r="AD1016" s="21">
        <v>0</v>
      </c>
      <c r="AE1016" s="54">
        <v>0</v>
      </c>
      <c r="AF1016" s="315">
        <f t="shared" si="73"/>
        <v>0</v>
      </c>
    </row>
    <row r="1017" spans="1:32" ht="409.5" x14ac:dyDescent="0.25">
      <c r="A1017" s="107" t="s">
        <v>588</v>
      </c>
      <c r="B1017" s="107" t="s">
        <v>2269</v>
      </c>
      <c r="C1017" s="52"/>
      <c r="D1017" s="106" t="s">
        <v>2300</v>
      </c>
      <c r="E1017" s="22" t="str">
        <f t="shared" si="71"/>
        <v>SEJUSPPROG</v>
      </c>
      <c r="F1017" s="52" t="s">
        <v>729</v>
      </c>
      <c r="G1017" s="22" t="str">
        <f t="shared" si="72"/>
        <v>P130SEJUSP</v>
      </c>
      <c r="H1017" s="128" t="s">
        <v>1183</v>
      </c>
      <c r="I1017" s="22" t="s">
        <v>16</v>
      </c>
      <c r="J1017" s="92" t="s">
        <v>1676</v>
      </c>
      <c r="K1017" s="22" t="str">
        <f>VLOOKUP(CONCATENATE(A1017,LEFT(J1017,4)),AGRUPAMENTO!$D$2:$E$6783,2,FALSE)</f>
        <v>Aquisições de itens de TIC</v>
      </c>
      <c r="L1017" s="92" t="s">
        <v>94</v>
      </c>
      <c r="M1017" s="52"/>
      <c r="N1017" s="92">
        <v>10</v>
      </c>
      <c r="O1017" s="92" t="s">
        <v>3152</v>
      </c>
      <c r="P1017" s="52" t="s">
        <v>58</v>
      </c>
      <c r="Q1017" s="92" t="s">
        <v>4019</v>
      </c>
      <c r="R1017" s="92">
        <v>3</v>
      </c>
      <c r="S1017" s="92" t="s">
        <v>3935</v>
      </c>
      <c r="T1017" s="200">
        <v>2747.31</v>
      </c>
      <c r="U1017" s="201">
        <v>171</v>
      </c>
      <c r="V1017" s="58">
        <f t="shared" si="70"/>
        <v>1409370.03</v>
      </c>
      <c r="W1017" s="92" t="s">
        <v>68</v>
      </c>
      <c r="X1017" s="302" t="s">
        <v>4633</v>
      </c>
      <c r="Y1017" s="302" t="s">
        <v>4862</v>
      </c>
      <c r="Z1017" s="302" t="s">
        <v>4863</v>
      </c>
      <c r="AA1017" s="92">
        <v>3</v>
      </c>
      <c r="AB1017" s="92">
        <v>10</v>
      </c>
      <c r="AC1017" s="92">
        <v>34</v>
      </c>
      <c r="AD1017" s="21">
        <v>0</v>
      </c>
      <c r="AE1017" s="54">
        <v>0</v>
      </c>
      <c r="AF1017" s="315">
        <f t="shared" si="73"/>
        <v>0</v>
      </c>
    </row>
    <row r="1018" spans="1:32" ht="105" x14ac:dyDescent="0.25">
      <c r="A1018" s="109" t="s">
        <v>588</v>
      </c>
      <c r="B1018" s="110" t="s">
        <v>2270</v>
      </c>
      <c r="C1018" s="52"/>
      <c r="D1018" s="115" t="s">
        <v>2276</v>
      </c>
      <c r="E1018" s="22" t="str">
        <f t="shared" si="71"/>
        <v>SEJUSPPROG</v>
      </c>
      <c r="F1018" s="52" t="s">
        <v>729</v>
      </c>
      <c r="G1018" s="22" t="str">
        <f t="shared" si="72"/>
        <v>P130SEJUSP</v>
      </c>
      <c r="H1018" s="123" t="s">
        <v>1183</v>
      </c>
      <c r="I1018" s="22" t="s">
        <v>16</v>
      </c>
      <c r="J1018" s="123" t="s">
        <v>2138</v>
      </c>
      <c r="K1018" s="22" t="str">
        <f>VLOOKUP(CONCATENATE(A1018,LEFT(J1018,4)),AGRUPAMENTO!$D$2:$E$6783,2,FALSE)</f>
        <v>Reparo de imóveis</v>
      </c>
      <c r="L1018" s="123" t="s">
        <v>44</v>
      </c>
      <c r="M1018" s="52"/>
      <c r="N1018" s="52">
        <v>60</v>
      </c>
      <c r="O1018" s="142" t="s">
        <v>3153</v>
      </c>
      <c r="P1018" s="52" t="s">
        <v>58</v>
      </c>
      <c r="Q1018" s="123" t="s">
        <v>4020</v>
      </c>
      <c r="R1018" s="123">
        <v>200000</v>
      </c>
      <c r="S1018" s="123" t="s">
        <v>3886</v>
      </c>
      <c r="T1018" s="180">
        <v>28.98</v>
      </c>
      <c r="U1018" s="181">
        <v>1</v>
      </c>
      <c r="V1018" s="58">
        <f t="shared" si="70"/>
        <v>5796000</v>
      </c>
      <c r="W1018" s="123" t="s">
        <v>68</v>
      </c>
      <c r="X1018" s="123" t="s">
        <v>4864</v>
      </c>
      <c r="Y1018" s="123" t="s">
        <v>4865</v>
      </c>
      <c r="Z1018" s="123" t="s">
        <v>4866</v>
      </c>
      <c r="AA1018" s="123">
        <v>8</v>
      </c>
      <c r="AB1018" s="123">
        <v>11</v>
      </c>
      <c r="AC1018" s="123">
        <v>35</v>
      </c>
      <c r="AD1018" s="21">
        <v>0</v>
      </c>
      <c r="AE1018" s="54">
        <v>0</v>
      </c>
      <c r="AF1018" s="315">
        <f t="shared" si="73"/>
        <v>0</v>
      </c>
    </row>
    <row r="1019" spans="1:32" ht="240" x14ac:dyDescent="0.25">
      <c r="A1019" s="107" t="s">
        <v>588</v>
      </c>
      <c r="B1019" s="107" t="s">
        <v>2269</v>
      </c>
      <c r="C1019" s="52"/>
      <c r="D1019" s="106" t="s">
        <v>2300</v>
      </c>
      <c r="E1019" s="22" t="str">
        <f t="shared" si="71"/>
        <v>SEJUSPPROG</v>
      </c>
      <c r="F1019" s="52" t="s">
        <v>729</v>
      </c>
      <c r="G1019" s="22" t="str">
        <f t="shared" si="72"/>
        <v>P130SEJUSP</v>
      </c>
      <c r="H1019" s="52" t="s">
        <v>1183</v>
      </c>
      <c r="I1019" s="22" t="s">
        <v>16</v>
      </c>
      <c r="J1019" s="92" t="s">
        <v>266</v>
      </c>
      <c r="K1019" s="22" t="str">
        <f>VLOOKUP(CONCATENATE(A1019,LEFT(J1019,4)),AGRUPAMENTO!$D$2:$E$6783,2,FALSE)</f>
        <v>Obras e projetos de obras</v>
      </c>
      <c r="L1019" s="52" t="s">
        <v>94</v>
      </c>
      <c r="M1019" s="52"/>
      <c r="N1019" s="52">
        <v>60</v>
      </c>
      <c r="O1019" s="159" t="s">
        <v>3154</v>
      </c>
      <c r="P1019" s="52" t="s">
        <v>58</v>
      </c>
      <c r="Q1019" s="159" t="s">
        <v>3872</v>
      </c>
      <c r="R1019" s="159">
        <v>10</v>
      </c>
      <c r="S1019" s="159" t="s">
        <v>3918</v>
      </c>
      <c r="T1019" s="211">
        <v>500000</v>
      </c>
      <c r="U1019" s="212">
        <v>1</v>
      </c>
      <c r="V1019" s="58">
        <f t="shared" si="70"/>
        <v>5000000</v>
      </c>
      <c r="W1019" s="284" t="s">
        <v>68</v>
      </c>
      <c r="X1019" s="128" t="s">
        <v>4867</v>
      </c>
      <c r="Y1019" s="128" t="s">
        <v>4868</v>
      </c>
      <c r="Z1019" s="128" t="s">
        <v>4661</v>
      </c>
      <c r="AA1019" s="284">
        <v>1</v>
      </c>
      <c r="AB1019" s="92">
        <v>11</v>
      </c>
      <c r="AC1019" s="92">
        <v>36</v>
      </c>
      <c r="AD1019" s="21">
        <v>0</v>
      </c>
      <c r="AE1019" s="54">
        <v>0</v>
      </c>
      <c r="AF1019" s="315">
        <f t="shared" si="73"/>
        <v>0</v>
      </c>
    </row>
    <row r="1020" spans="1:32" ht="120" x14ac:dyDescent="0.25">
      <c r="A1020" s="107" t="s">
        <v>588</v>
      </c>
      <c r="B1020" s="107" t="s">
        <v>2269</v>
      </c>
      <c r="C1020" s="52"/>
      <c r="D1020" s="106" t="s">
        <v>2300</v>
      </c>
      <c r="E1020" s="22" t="str">
        <f t="shared" si="71"/>
        <v>SEJUSPPROG</v>
      </c>
      <c r="F1020" s="52" t="s">
        <v>729</v>
      </c>
      <c r="G1020" s="22" t="str">
        <f t="shared" si="72"/>
        <v>P130SEJUSP</v>
      </c>
      <c r="H1020" s="128" t="s">
        <v>1183</v>
      </c>
      <c r="I1020" s="22" t="s">
        <v>16</v>
      </c>
      <c r="J1020" s="128" t="s">
        <v>2232</v>
      </c>
      <c r="K1020" s="22" t="str">
        <f>VLOOKUP(CONCATENATE(A1020,LEFT(J1020,4)),AGRUPAMENTO!$D$2:$E$6783,2,FALSE)</f>
        <v>Demais despesas de capital</v>
      </c>
      <c r="L1020" s="92" t="s">
        <v>94</v>
      </c>
      <c r="M1020" s="52"/>
      <c r="N1020" s="92">
        <v>10</v>
      </c>
      <c r="O1020" s="92" t="s">
        <v>3155</v>
      </c>
      <c r="P1020" s="52" t="s">
        <v>58</v>
      </c>
      <c r="Q1020" s="92" t="s">
        <v>4021</v>
      </c>
      <c r="R1020" s="92">
        <v>5</v>
      </c>
      <c r="S1020" s="92" t="s">
        <v>4022</v>
      </c>
      <c r="T1020" s="200">
        <f>(446.31+688.06+701.91)/3</f>
        <v>612.09333333333325</v>
      </c>
      <c r="U1020" s="201">
        <v>1</v>
      </c>
      <c r="V1020" s="58">
        <f t="shared" si="70"/>
        <v>3060.4666666666662</v>
      </c>
      <c r="W1020" s="92" t="s">
        <v>68</v>
      </c>
      <c r="X1020" s="92" t="s">
        <v>4869</v>
      </c>
      <c r="Y1020" s="92" t="s">
        <v>4870</v>
      </c>
      <c r="Z1020" s="92" t="s">
        <v>4871</v>
      </c>
      <c r="AA1020" s="92">
        <v>1</v>
      </c>
      <c r="AB1020" s="92">
        <v>12</v>
      </c>
      <c r="AC1020" s="92">
        <v>36</v>
      </c>
      <c r="AD1020" s="21">
        <v>0</v>
      </c>
      <c r="AE1020" s="54">
        <v>0</v>
      </c>
      <c r="AF1020" s="315">
        <f t="shared" si="73"/>
        <v>0</v>
      </c>
    </row>
    <row r="1021" spans="1:32" ht="150" x14ac:dyDescent="0.25">
      <c r="A1021" s="107" t="s">
        <v>588</v>
      </c>
      <c r="B1021" s="107" t="s">
        <v>2270</v>
      </c>
      <c r="C1021" s="52"/>
      <c r="D1021" s="52" t="s">
        <v>2301</v>
      </c>
      <c r="E1021" s="22" t="str">
        <f t="shared" si="71"/>
        <v>SEJUSPPROG</v>
      </c>
      <c r="F1021" s="116" t="s">
        <v>687</v>
      </c>
      <c r="G1021" s="22" t="str">
        <f t="shared" si="72"/>
        <v>P705SEJUSP</v>
      </c>
      <c r="H1021" s="52" t="s">
        <v>914</v>
      </c>
      <c r="I1021" s="22" t="s">
        <v>16</v>
      </c>
      <c r="J1021" s="52" t="s">
        <v>1664</v>
      </c>
      <c r="K1021" s="22" t="str">
        <f>VLOOKUP(CONCATENATE(A1021,LEFT(J1021,4)),AGRUPAMENTO!$D$2:$E$6783,2,FALSE)</f>
        <v>Serviços de TIC</v>
      </c>
      <c r="L1021" s="52" t="s">
        <v>44</v>
      </c>
      <c r="M1021" s="52"/>
      <c r="N1021" s="52">
        <v>10</v>
      </c>
      <c r="O1021" s="52" t="s">
        <v>3156</v>
      </c>
      <c r="P1021" s="52" t="s">
        <v>58</v>
      </c>
      <c r="Q1021" s="52" t="s">
        <v>4012</v>
      </c>
      <c r="R1021" s="52">
        <v>1</v>
      </c>
      <c r="S1021" s="52" t="s">
        <v>3937</v>
      </c>
      <c r="T1021" s="88">
        <v>50000</v>
      </c>
      <c r="U1021" s="53">
        <v>12</v>
      </c>
      <c r="V1021" s="58">
        <f t="shared" si="70"/>
        <v>600000</v>
      </c>
      <c r="W1021" s="52" t="s">
        <v>68</v>
      </c>
      <c r="X1021" s="52" t="s">
        <v>4872</v>
      </c>
      <c r="Y1021" s="52" t="s">
        <v>4873</v>
      </c>
      <c r="Z1021" s="52" t="s">
        <v>4874</v>
      </c>
      <c r="AA1021" s="52">
        <v>1</v>
      </c>
      <c r="AB1021" s="52">
        <v>12</v>
      </c>
      <c r="AC1021" s="52">
        <v>37</v>
      </c>
      <c r="AD1021" s="21">
        <v>0</v>
      </c>
      <c r="AE1021" s="54">
        <v>0</v>
      </c>
      <c r="AF1021" s="315">
        <f t="shared" si="73"/>
        <v>0</v>
      </c>
    </row>
    <row r="1022" spans="1:32" ht="165" x14ac:dyDescent="0.25">
      <c r="A1022" s="107" t="s">
        <v>588</v>
      </c>
      <c r="B1022" s="107" t="s">
        <v>2269</v>
      </c>
      <c r="C1022" s="52"/>
      <c r="D1022" s="106" t="s">
        <v>2300</v>
      </c>
      <c r="E1022" s="22" t="str">
        <f t="shared" si="71"/>
        <v>SEJUSPPROG</v>
      </c>
      <c r="F1022" s="52" t="s">
        <v>729</v>
      </c>
      <c r="G1022" s="22" t="str">
        <f t="shared" si="72"/>
        <v>P130SEJUSP</v>
      </c>
      <c r="H1022" s="128" t="s">
        <v>1183</v>
      </c>
      <c r="I1022" s="22" t="s">
        <v>16</v>
      </c>
      <c r="J1022" s="128" t="s">
        <v>2232</v>
      </c>
      <c r="K1022" s="22" t="str">
        <f>VLOOKUP(CONCATENATE(A1022,LEFT(J1022,4)),AGRUPAMENTO!$D$2:$E$6783,2,FALSE)</f>
        <v>Demais despesas de capital</v>
      </c>
      <c r="L1022" s="92" t="s">
        <v>94</v>
      </c>
      <c r="M1022" s="52"/>
      <c r="N1022" s="92">
        <v>10</v>
      </c>
      <c r="O1022" s="92" t="s">
        <v>3157</v>
      </c>
      <c r="P1022" s="52" t="s">
        <v>58</v>
      </c>
      <c r="Q1022" s="92" t="s">
        <v>4021</v>
      </c>
      <c r="R1022" s="92">
        <v>10</v>
      </c>
      <c r="S1022" s="92" t="s">
        <v>4022</v>
      </c>
      <c r="T1022" s="200">
        <f>(349.9+294.41+299.16)/3</f>
        <v>314.49</v>
      </c>
      <c r="U1022" s="201">
        <v>1</v>
      </c>
      <c r="V1022" s="58">
        <f t="shared" si="70"/>
        <v>3144.9</v>
      </c>
      <c r="W1022" s="92" t="s">
        <v>68</v>
      </c>
      <c r="X1022" s="92" t="s">
        <v>4869</v>
      </c>
      <c r="Y1022" s="92" t="s">
        <v>4875</v>
      </c>
      <c r="Z1022" s="92" t="s">
        <v>4876</v>
      </c>
      <c r="AA1022" s="92">
        <v>1</v>
      </c>
      <c r="AB1022" s="92">
        <v>12</v>
      </c>
      <c r="AC1022" s="92">
        <v>38</v>
      </c>
      <c r="AD1022" s="21">
        <v>0</v>
      </c>
      <c r="AE1022" s="54">
        <v>0</v>
      </c>
      <c r="AF1022" s="315">
        <f t="shared" si="73"/>
        <v>0</v>
      </c>
    </row>
    <row r="1023" spans="1:32" ht="60" x14ac:dyDescent="0.25">
      <c r="A1023" s="109" t="s">
        <v>588</v>
      </c>
      <c r="B1023" s="110" t="s">
        <v>2270</v>
      </c>
      <c r="C1023" s="52"/>
      <c r="D1023" s="115" t="s">
        <v>2276</v>
      </c>
      <c r="E1023" s="22" t="str">
        <f t="shared" si="71"/>
        <v>SEJUSPPROG</v>
      </c>
      <c r="F1023" s="52" t="s">
        <v>729</v>
      </c>
      <c r="G1023" s="22" t="str">
        <f t="shared" si="72"/>
        <v>P130SEJUSP</v>
      </c>
      <c r="H1023" s="123" t="s">
        <v>1183</v>
      </c>
      <c r="I1023" s="22" t="s">
        <v>16</v>
      </c>
      <c r="J1023" s="123" t="s">
        <v>2139</v>
      </c>
      <c r="K1023" s="22" t="str">
        <f>VLOOKUP(CONCATENATE(A1023,LEFT(J1023,4)),AGRUPAMENTO!$D$2:$E$6783,2,FALSE)</f>
        <v>Material de consumo</v>
      </c>
      <c r="L1023" s="123" t="s">
        <v>44</v>
      </c>
      <c r="M1023" s="52"/>
      <c r="N1023" s="52">
        <v>60</v>
      </c>
      <c r="O1023" s="123" t="s">
        <v>3158</v>
      </c>
      <c r="P1023" s="52" t="s">
        <v>58</v>
      </c>
      <c r="Q1023" s="123" t="s">
        <v>4020</v>
      </c>
      <c r="R1023" s="123">
        <v>18200</v>
      </c>
      <c r="S1023" s="123" t="s">
        <v>4023</v>
      </c>
      <c r="T1023" s="180">
        <v>49.9</v>
      </c>
      <c r="U1023" s="181">
        <v>1</v>
      </c>
      <c r="V1023" s="58">
        <f t="shared" si="70"/>
        <v>908180</v>
      </c>
      <c r="W1023" s="123" t="s">
        <v>68</v>
      </c>
      <c r="X1023" s="123" t="s">
        <v>4877</v>
      </c>
      <c r="Y1023" s="123" t="s">
        <v>4878</v>
      </c>
      <c r="Z1023" s="123" t="s">
        <v>4879</v>
      </c>
      <c r="AA1023" s="123">
        <v>9</v>
      </c>
      <c r="AB1023" s="123">
        <v>13</v>
      </c>
      <c r="AC1023" s="123">
        <v>39</v>
      </c>
      <c r="AD1023" s="21">
        <v>0</v>
      </c>
      <c r="AE1023" s="54">
        <v>0</v>
      </c>
      <c r="AF1023" s="315">
        <f t="shared" si="73"/>
        <v>0</v>
      </c>
    </row>
    <row r="1024" spans="1:32" ht="45" x14ac:dyDescent="0.25">
      <c r="A1024" s="109" t="s">
        <v>588</v>
      </c>
      <c r="B1024" s="110" t="s">
        <v>2270</v>
      </c>
      <c r="C1024" s="52"/>
      <c r="D1024" s="115" t="s">
        <v>2276</v>
      </c>
      <c r="E1024" s="22" t="str">
        <f t="shared" si="71"/>
        <v>SEJUSPPROG</v>
      </c>
      <c r="F1024" s="52" t="s">
        <v>729</v>
      </c>
      <c r="G1024" s="22" t="str">
        <f t="shared" si="72"/>
        <v>P130SEJUSP</v>
      </c>
      <c r="H1024" s="123" t="s">
        <v>1183</v>
      </c>
      <c r="I1024" s="22" t="s">
        <v>16</v>
      </c>
      <c r="J1024" s="123" t="s">
        <v>2138</v>
      </c>
      <c r="K1024" s="22" t="str">
        <f>VLOOKUP(CONCATENATE(A1024,LEFT(J1024,4)),AGRUPAMENTO!$D$2:$E$6783,2,FALSE)</f>
        <v>Reparo de imóveis</v>
      </c>
      <c r="L1024" s="123" t="s">
        <v>44</v>
      </c>
      <c r="M1024" s="52"/>
      <c r="N1024" s="52">
        <v>60</v>
      </c>
      <c r="O1024" s="123" t="s">
        <v>3159</v>
      </c>
      <c r="P1024" s="52" t="s">
        <v>58</v>
      </c>
      <c r="Q1024" s="123" t="s">
        <v>4020</v>
      </c>
      <c r="R1024" s="123">
        <v>50000</v>
      </c>
      <c r="S1024" s="123" t="s">
        <v>4023</v>
      </c>
      <c r="T1024" s="180">
        <v>49.9</v>
      </c>
      <c r="U1024" s="181">
        <v>1</v>
      </c>
      <c r="V1024" s="58">
        <f t="shared" si="70"/>
        <v>2495000</v>
      </c>
      <c r="W1024" s="123" t="s">
        <v>68</v>
      </c>
      <c r="X1024" s="123" t="s">
        <v>4877</v>
      </c>
      <c r="Y1024" s="123" t="s">
        <v>4880</v>
      </c>
      <c r="Z1024" s="123" t="s">
        <v>4881</v>
      </c>
      <c r="AA1024" s="123">
        <v>9</v>
      </c>
      <c r="AB1024" s="123">
        <v>13</v>
      </c>
      <c r="AC1024" s="123">
        <v>39</v>
      </c>
      <c r="AD1024" s="21">
        <v>0</v>
      </c>
      <c r="AE1024" s="54">
        <v>0</v>
      </c>
      <c r="AF1024" s="315">
        <f t="shared" si="73"/>
        <v>0</v>
      </c>
    </row>
    <row r="1025" spans="1:32" ht="75" x14ac:dyDescent="0.25">
      <c r="A1025" s="109" t="s">
        <v>588</v>
      </c>
      <c r="B1025" s="110" t="s">
        <v>2270</v>
      </c>
      <c r="C1025" s="52"/>
      <c r="D1025" s="115" t="s">
        <v>2276</v>
      </c>
      <c r="E1025" s="22" t="str">
        <f t="shared" si="71"/>
        <v>SEJUSPPROG</v>
      </c>
      <c r="F1025" s="52" t="s">
        <v>729</v>
      </c>
      <c r="G1025" s="22" t="str">
        <f t="shared" si="72"/>
        <v>P130SEJUSP</v>
      </c>
      <c r="H1025" s="123" t="s">
        <v>1183</v>
      </c>
      <c r="I1025" s="22" t="s">
        <v>16</v>
      </c>
      <c r="J1025" s="123" t="s">
        <v>2141</v>
      </c>
      <c r="K1025" s="22" t="str">
        <f>VLOOKUP(CONCATENATE(A1025,LEFT(J1025,4)),AGRUPAMENTO!$D$2:$E$6783,2,FALSE)</f>
        <v>Material de consumo</v>
      </c>
      <c r="L1025" s="123" t="s">
        <v>44</v>
      </c>
      <c r="M1025" s="52"/>
      <c r="N1025" s="52">
        <v>60</v>
      </c>
      <c r="O1025" s="123" t="s">
        <v>3160</v>
      </c>
      <c r="P1025" s="52" t="s">
        <v>58</v>
      </c>
      <c r="Q1025" s="123" t="s">
        <v>4020</v>
      </c>
      <c r="R1025" s="123">
        <v>10000</v>
      </c>
      <c r="S1025" s="123" t="s">
        <v>4023</v>
      </c>
      <c r="T1025" s="180">
        <v>200</v>
      </c>
      <c r="U1025" s="181">
        <v>1</v>
      </c>
      <c r="V1025" s="58">
        <f t="shared" si="70"/>
        <v>2000000</v>
      </c>
      <c r="W1025" s="123" t="s">
        <v>68</v>
      </c>
      <c r="X1025" s="123" t="s">
        <v>4877</v>
      </c>
      <c r="Y1025" s="123" t="s">
        <v>4882</v>
      </c>
      <c r="Z1025" s="123" t="s">
        <v>4883</v>
      </c>
      <c r="AA1025" s="123">
        <v>9</v>
      </c>
      <c r="AB1025" s="123">
        <v>13</v>
      </c>
      <c r="AC1025" s="123">
        <v>39</v>
      </c>
      <c r="AD1025" s="21">
        <v>0</v>
      </c>
      <c r="AE1025" s="54">
        <v>0</v>
      </c>
      <c r="AF1025" s="315">
        <f t="shared" si="73"/>
        <v>0</v>
      </c>
    </row>
    <row r="1026" spans="1:32" ht="75" x14ac:dyDescent="0.25">
      <c r="A1026" s="109" t="s">
        <v>588</v>
      </c>
      <c r="B1026" s="110" t="s">
        <v>2270</v>
      </c>
      <c r="C1026" s="52"/>
      <c r="D1026" s="115" t="s">
        <v>2276</v>
      </c>
      <c r="E1026" s="22" t="str">
        <f t="shared" si="71"/>
        <v>SEJUSPPROG</v>
      </c>
      <c r="F1026" s="52" t="s">
        <v>729</v>
      </c>
      <c r="G1026" s="22" t="str">
        <f t="shared" si="72"/>
        <v>P130SEJUSP</v>
      </c>
      <c r="H1026" s="123" t="s">
        <v>1183</v>
      </c>
      <c r="I1026" s="22" t="s">
        <v>16</v>
      </c>
      <c r="J1026" s="123" t="s">
        <v>2141</v>
      </c>
      <c r="K1026" s="22" t="str">
        <f>VLOOKUP(CONCATENATE(A1026,LEFT(J1026,4)),AGRUPAMENTO!$D$2:$E$6783,2,FALSE)</f>
        <v>Material de consumo</v>
      </c>
      <c r="L1026" s="123" t="s">
        <v>44</v>
      </c>
      <c r="M1026" s="52"/>
      <c r="N1026" s="52">
        <v>60</v>
      </c>
      <c r="O1026" s="123" t="s">
        <v>3161</v>
      </c>
      <c r="P1026" s="52" t="s">
        <v>58</v>
      </c>
      <c r="Q1026" s="123" t="s">
        <v>4020</v>
      </c>
      <c r="R1026" s="123">
        <v>20000</v>
      </c>
      <c r="S1026" s="123" t="s">
        <v>4023</v>
      </c>
      <c r="T1026" s="180">
        <v>49.9</v>
      </c>
      <c r="U1026" s="181">
        <v>1</v>
      </c>
      <c r="V1026" s="58">
        <f t="shared" ref="V1026:V1089" si="74">R1026*T1026*U1026</f>
        <v>998000</v>
      </c>
      <c r="W1026" s="123" t="s">
        <v>68</v>
      </c>
      <c r="X1026" s="123" t="s">
        <v>4877</v>
      </c>
      <c r="Y1026" s="123" t="s">
        <v>4882</v>
      </c>
      <c r="Z1026" s="123" t="s">
        <v>4883</v>
      </c>
      <c r="AA1026" s="123">
        <v>9</v>
      </c>
      <c r="AB1026" s="123">
        <v>13</v>
      </c>
      <c r="AC1026" s="123">
        <v>39</v>
      </c>
      <c r="AD1026" s="21">
        <v>0</v>
      </c>
      <c r="AE1026" s="54">
        <v>0</v>
      </c>
      <c r="AF1026" s="315">
        <f t="shared" si="73"/>
        <v>0</v>
      </c>
    </row>
    <row r="1027" spans="1:32" ht="45" x14ac:dyDescent="0.25">
      <c r="A1027" s="109" t="s">
        <v>588</v>
      </c>
      <c r="B1027" s="110" t="s">
        <v>2270</v>
      </c>
      <c r="C1027" s="52"/>
      <c r="D1027" s="115" t="s">
        <v>2276</v>
      </c>
      <c r="E1027" s="22" t="str">
        <f t="shared" ref="E1027:E1090" si="75">CONCATENATE(A1027,"PROG")</f>
        <v>SEJUSPPROG</v>
      </c>
      <c r="F1027" s="52" t="s">
        <v>729</v>
      </c>
      <c r="G1027" s="22" t="str">
        <f t="shared" si="72"/>
        <v>P130SEJUSP</v>
      </c>
      <c r="H1027" s="123" t="s">
        <v>1183</v>
      </c>
      <c r="I1027" s="22" t="s">
        <v>16</v>
      </c>
      <c r="J1027" s="123" t="s">
        <v>2138</v>
      </c>
      <c r="K1027" s="22" t="str">
        <f>VLOOKUP(CONCATENATE(A1027,LEFT(J1027,4)),AGRUPAMENTO!$D$2:$E$6783,2,FALSE)</f>
        <v>Reparo de imóveis</v>
      </c>
      <c r="L1027" s="123" t="s">
        <v>44</v>
      </c>
      <c r="M1027" s="52"/>
      <c r="N1027" s="52">
        <v>60</v>
      </c>
      <c r="O1027" s="123" t="s">
        <v>3162</v>
      </c>
      <c r="P1027" s="52" t="s">
        <v>58</v>
      </c>
      <c r="Q1027" s="123" t="s">
        <v>4020</v>
      </c>
      <c r="R1027" s="123">
        <v>7500</v>
      </c>
      <c r="S1027" s="123" t="s">
        <v>3886</v>
      </c>
      <c r="T1027" s="180">
        <v>93</v>
      </c>
      <c r="U1027" s="181">
        <v>1</v>
      </c>
      <c r="V1027" s="58">
        <f t="shared" si="74"/>
        <v>697500</v>
      </c>
      <c r="W1027" s="123" t="s">
        <v>68</v>
      </c>
      <c r="X1027" s="123" t="s">
        <v>4877</v>
      </c>
      <c r="Y1027" s="123" t="s">
        <v>4880</v>
      </c>
      <c r="Z1027" s="123" t="s">
        <v>4884</v>
      </c>
      <c r="AA1027" s="123">
        <v>9</v>
      </c>
      <c r="AB1027" s="123">
        <v>13</v>
      </c>
      <c r="AC1027" s="123">
        <v>39</v>
      </c>
      <c r="AD1027" s="21">
        <v>0</v>
      </c>
      <c r="AE1027" s="54">
        <v>0</v>
      </c>
      <c r="AF1027" s="315">
        <f t="shared" si="73"/>
        <v>0</v>
      </c>
    </row>
    <row r="1028" spans="1:32" ht="255" x14ac:dyDescent="0.25">
      <c r="A1028" s="107" t="s">
        <v>588</v>
      </c>
      <c r="B1028" s="107" t="s">
        <v>2269</v>
      </c>
      <c r="C1028" s="52"/>
      <c r="D1028" s="106" t="s">
        <v>2300</v>
      </c>
      <c r="E1028" s="22" t="str">
        <f t="shared" si="75"/>
        <v>SEJUSPPROG</v>
      </c>
      <c r="F1028" s="52" t="s">
        <v>729</v>
      </c>
      <c r="G1028" s="22" t="str">
        <f t="shared" ref="G1028:G1091" si="76">CONCATENATE("P",(LEFT(F1028,3)),A1028)</f>
        <v>P130SEJUSP</v>
      </c>
      <c r="H1028" s="128" t="s">
        <v>1183</v>
      </c>
      <c r="I1028" s="22" t="s">
        <v>16</v>
      </c>
      <c r="J1028" s="92" t="s">
        <v>2228</v>
      </c>
      <c r="K1028" s="22" t="str">
        <f>VLOOKUP(CONCATENATE(A1028,LEFT(J1028,4)),AGRUPAMENTO!$D$2:$E$6783,2,FALSE)</f>
        <v>Aquisições de itens de TIC</v>
      </c>
      <c r="L1028" s="92" t="s">
        <v>94</v>
      </c>
      <c r="M1028" s="52"/>
      <c r="N1028" s="92">
        <v>10</v>
      </c>
      <c r="O1028" s="92" t="s">
        <v>3163</v>
      </c>
      <c r="P1028" s="52" t="s">
        <v>58</v>
      </c>
      <c r="Q1028" s="92" t="s">
        <v>4024</v>
      </c>
      <c r="R1028" s="92">
        <v>20</v>
      </c>
      <c r="S1028" s="92" t="s">
        <v>4022</v>
      </c>
      <c r="T1028" s="200">
        <v>575.96</v>
      </c>
      <c r="U1028" s="201">
        <v>1</v>
      </c>
      <c r="V1028" s="58">
        <f t="shared" si="74"/>
        <v>11519.2</v>
      </c>
      <c r="W1028" s="92" t="s">
        <v>68</v>
      </c>
      <c r="X1028" s="92" t="s">
        <v>4885</v>
      </c>
      <c r="Y1028" s="92" t="s">
        <v>4886</v>
      </c>
      <c r="Z1028" s="92" t="s">
        <v>4887</v>
      </c>
      <c r="AA1028" s="92">
        <v>2</v>
      </c>
      <c r="AB1028" s="92">
        <v>13</v>
      </c>
      <c r="AC1028" s="92">
        <v>40</v>
      </c>
      <c r="AD1028" s="21">
        <v>0</v>
      </c>
      <c r="AE1028" s="54">
        <v>0</v>
      </c>
      <c r="AF1028" s="315">
        <f t="shared" ref="AF1028:AF1091" si="77">AE1028*V1028</f>
        <v>0</v>
      </c>
    </row>
    <row r="1029" spans="1:32" ht="150" x14ac:dyDescent="0.25">
      <c r="A1029" s="110" t="s">
        <v>588</v>
      </c>
      <c r="B1029" s="110" t="s">
        <v>2270</v>
      </c>
      <c r="C1029" s="52"/>
      <c r="D1029" s="115" t="s">
        <v>2276</v>
      </c>
      <c r="E1029" s="22" t="str">
        <f t="shared" si="75"/>
        <v>SEJUSPPROG</v>
      </c>
      <c r="F1029" s="52" t="s">
        <v>729</v>
      </c>
      <c r="G1029" s="22" t="str">
        <f t="shared" si="76"/>
        <v>P130SEJUSP</v>
      </c>
      <c r="H1029" s="115" t="s">
        <v>1183</v>
      </c>
      <c r="I1029" s="22" t="s">
        <v>16</v>
      </c>
      <c r="J1029" s="115" t="s">
        <v>1656</v>
      </c>
      <c r="K1029" s="22" t="str">
        <f>VLOOKUP(CONCATENATE(A1029,LEFT(J1029,4)),AGRUPAMENTO!$D$2:$E$6783,2,FALSE)</f>
        <v>Demais despesas de custeio</v>
      </c>
      <c r="L1029" s="136" t="s">
        <v>44</v>
      </c>
      <c r="M1029" s="52"/>
      <c r="N1029" s="52">
        <v>60</v>
      </c>
      <c r="O1029" s="115" t="s">
        <v>3164</v>
      </c>
      <c r="P1029" s="52" t="s">
        <v>58</v>
      </c>
      <c r="Q1029" s="115" t="s">
        <v>3812</v>
      </c>
      <c r="R1029" s="115">
        <v>1</v>
      </c>
      <c r="S1029" s="115" t="s">
        <v>4025</v>
      </c>
      <c r="T1029" s="233">
        <v>28769</v>
      </c>
      <c r="U1029" s="234">
        <v>12</v>
      </c>
      <c r="V1029" s="58">
        <f t="shared" si="74"/>
        <v>345228</v>
      </c>
      <c r="W1029" s="115" t="s">
        <v>68</v>
      </c>
      <c r="X1029" s="115" t="s">
        <v>4888</v>
      </c>
      <c r="Y1029" s="115" t="s">
        <v>4889</v>
      </c>
      <c r="Z1029" s="115" t="s">
        <v>4890</v>
      </c>
      <c r="AA1029" s="123">
        <v>10</v>
      </c>
      <c r="AB1029" s="123">
        <v>14</v>
      </c>
      <c r="AC1029" s="123">
        <v>41</v>
      </c>
      <c r="AD1029" s="21">
        <v>0</v>
      </c>
      <c r="AE1029" s="54">
        <v>0</v>
      </c>
      <c r="AF1029" s="315">
        <f t="shared" si="77"/>
        <v>0</v>
      </c>
    </row>
    <row r="1030" spans="1:32" ht="165" x14ac:dyDescent="0.25">
      <c r="A1030" s="107" t="s">
        <v>588</v>
      </c>
      <c r="B1030" s="107" t="s">
        <v>2273</v>
      </c>
      <c r="C1030" s="52"/>
      <c r="D1030" s="107" t="s">
        <v>2295</v>
      </c>
      <c r="E1030" s="22" t="str">
        <f t="shared" si="75"/>
        <v>SEJUSPPROG</v>
      </c>
      <c r="F1030" s="52" t="s">
        <v>699</v>
      </c>
      <c r="G1030" s="22" t="str">
        <f t="shared" si="76"/>
        <v>P141SEJUSP</v>
      </c>
      <c r="H1030" s="52" t="s">
        <v>1393</v>
      </c>
      <c r="I1030" s="22" t="s">
        <v>16</v>
      </c>
      <c r="J1030" s="52" t="s">
        <v>1695</v>
      </c>
      <c r="K1030" s="22" t="str">
        <f>VLOOKUP(CONCATENATE(A1030,LEFT(J1030,4)),AGRUPAMENTO!$D$2:$E$6783,2,FALSE)</f>
        <v>Aluguéis e condomínios</v>
      </c>
      <c r="L1030" s="52" t="s">
        <v>44</v>
      </c>
      <c r="M1030" s="52"/>
      <c r="N1030" s="52">
        <v>10</v>
      </c>
      <c r="O1030" s="52" t="s">
        <v>3165</v>
      </c>
      <c r="P1030" s="52" t="s">
        <v>46</v>
      </c>
      <c r="Q1030" s="52" t="s">
        <v>4026</v>
      </c>
      <c r="R1030" s="52">
        <v>5</v>
      </c>
      <c r="S1030" s="52" t="s">
        <v>4027</v>
      </c>
      <c r="T1030" s="88">
        <v>500</v>
      </c>
      <c r="U1030" s="53">
        <v>12</v>
      </c>
      <c r="V1030" s="58">
        <f t="shared" si="74"/>
        <v>30000</v>
      </c>
      <c r="W1030" s="52" t="s">
        <v>49</v>
      </c>
      <c r="X1030" s="278" t="s">
        <v>4891</v>
      </c>
      <c r="Y1030" s="278" t="s">
        <v>4892</v>
      </c>
      <c r="Z1030" s="278" t="s">
        <v>4893</v>
      </c>
      <c r="AA1030" s="52">
        <v>0</v>
      </c>
      <c r="AB1030" s="52">
        <v>0</v>
      </c>
      <c r="AC1030" s="52">
        <v>0</v>
      </c>
      <c r="AD1030" s="21">
        <v>1</v>
      </c>
      <c r="AE1030" s="54">
        <v>1</v>
      </c>
      <c r="AF1030" s="315">
        <f t="shared" si="77"/>
        <v>30000</v>
      </c>
    </row>
    <row r="1031" spans="1:32" ht="165" x14ac:dyDescent="0.25">
      <c r="A1031" s="107" t="s">
        <v>588</v>
      </c>
      <c r="B1031" s="107" t="s">
        <v>2273</v>
      </c>
      <c r="C1031" s="52"/>
      <c r="D1031" s="107" t="s">
        <v>2295</v>
      </c>
      <c r="E1031" s="22" t="str">
        <f t="shared" si="75"/>
        <v>SEJUSPPROG</v>
      </c>
      <c r="F1031" s="52" t="s">
        <v>699</v>
      </c>
      <c r="G1031" s="22" t="str">
        <f t="shared" si="76"/>
        <v>P141SEJUSP</v>
      </c>
      <c r="H1031" s="52" t="s">
        <v>1393</v>
      </c>
      <c r="I1031" s="22" t="s">
        <v>16</v>
      </c>
      <c r="J1031" s="52" t="s">
        <v>264</v>
      </c>
      <c r="K1031" s="22" t="str">
        <f>VLOOKUP(CONCATENATE(A1031,LEFT(J1031,4)),AGRUPAMENTO!$D$2:$E$6783,2,FALSE)</f>
        <v>Obrigações tributárias</v>
      </c>
      <c r="L1031" s="52" t="s">
        <v>44</v>
      </c>
      <c r="M1031" s="52"/>
      <c r="N1031" s="52">
        <v>10</v>
      </c>
      <c r="O1031" s="52" t="s">
        <v>3166</v>
      </c>
      <c r="P1031" s="52" t="s">
        <v>46</v>
      </c>
      <c r="Q1031" s="52" t="s">
        <v>4026</v>
      </c>
      <c r="R1031" s="52">
        <v>5</v>
      </c>
      <c r="S1031" s="52" t="s">
        <v>4027</v>
      </c>
      <c r="T1031" s="88">
        <v>2500</v>
      </c>
      <c r="U1031" s="53">
        <v>1</v>
      </c>
      <c r="V1031" s="58">
        <f t="shared" si="74"/>
        <v>12500</v>
      </c>
      <c r="W1031" s="52" t="s">
        <v>49</v>
      </c>
      <c r="X1031" s="278" t="s">
        <v>4891</v>
      </c>
      <c r="Y1031" s="278" t="s">
        <v>4892</v>
      </c>
      <c r="Z1031" s="278" t="s">
        <v>4893</v>
      </c>
      <c r="AA1031" s="52">
        <v>0</v>
      </c>
      <c r="AB1031" s="52">
        <v>0</v>
      </c>
      <c r="AC1031" s="52">
        <v>0</v>
      </c>
      <c r="AD1031" s="21">
        <v>0.20034174244500716</v>
      </c>
      <c r="AE1031" s="54">
        <v>0.20034174244500716</v>
      </c>
      <c r="AF1031" s="315">
        <f t="shared" si="77"/>
        <v>2504.2717805625894</v>
      </c>
    </row>
    <row r="1032" spans="1:32" ht="165" x14ac:dyDescent="0.25">
      <c r="A1032" s="107" t="s">
        <v>588</v>
      </c>
      <c r="B1032" s="107" t="s">
        <v>2273</v>
      </c>
      <c r="C1032" s="52"/>
      <c r="D1032" s="107" t="s">
        <v>2295</v>
      </c>
      <c r="E1032" s="22" t="str">
        <f t="shared" si="75"/>
        <v>SEJUSPPROG</v>
      </c>
      <c r="F1032" s="52" t="s">
        <v>699</v>
      </c>
      <c r="G1032" s="22" t="str">
        <f t="shared" si="76"/>
        <v>P141SEJUSP</v>
      </c>
      <c r="H1032" s="52" t="s">
        <v>1393</v>
      </c>
      <c r="I1032" s="22" t="s">
        <v>16</v>
      </c>
      <c r="J1032" s="52" t="s">
        <v>1636</v>
      </c>
      <c r="K1032" s="22" t="str">
        <f>VLOOKUP(CONCATENATE(A1032,LEFT(J1032,4)),AGRUPAMENTO!$D$2:$E$6783,2,FALSE)</f>
        <v>Utilidade Pública</v>
      </c>
      <c r="L1032" s="52" t="s">
        <v>44</v>
      </c>
      <c r="M1032" s="52"/>
      <c r="N1032" s="52">
        <v>10</v>
      </c>
      <c r="O1032" s="52" t="s">
        <v>3167</v>
      </c>
      <c r="P1032" s="52" t="s">
        <v>46</v>
      </c>
      <c r="Q1032" s="52" t="s">
        <v>4026</v>
      </c>
      <c r="R1032" s="52">
        <v>5</v>
      </c>
      <c r="S1032" s="52" t="s">
        <v>4028</v>
      </c>
      <c r="T1032" s="88">
        <v>350</v>
      </c>
      <c r="U1032" s="53">
        <v>12</v>
      </c>
      <c r="V1032" s="58">
        <f t="shared" si="74"/>
        <v>21000</v>
      </c>
      <c r="W1032" s="52" t="s">
        <v>49</v>
      </c>
      <c r="X1032" s="278" t="s">
        <v>4891</v>
      </c>
      <c r="Y1032" s="278" t="s">
        <v>4892</v>
      </c>
      <c r="Z1032" s="278" t="s">
        <v>4893</v>
      </c>
      <c r="AA1032" s="52">
        <v>0</v>
      </c>
      <c r="AB1032" s="52">
        <v>0</v>
      </c>
      <c r="AC1032" s="52">
        <v>0</v>
      </c>
      <c r="AD1032" s="21">
        <v>0.96957830030776992</v>
      </c>
      <c r="AE1032" s="54">
        <v>0.96957830030776992</v>
      </c>
      <c r="AF1032" s="315">
        <f t="shared" si="77"/>
        <v>20361.144306463168</v>
      </c>
    </row>
    <row r="1033" spans="1:32" ht="165" x14ac:dyDescent="0.25">
      <c r="A1033" s="107" t="s">
        <v>588</v>
      </c>
      <c r="B1033" s="107" t="s">
        <v>2273</v>
      </c>
      <c r="C1033" s="52"/>
      <c r="D1033" s="107" t="s">
        <v>2295</v>
      </c>
      <c r="E1033" s="22" t="str">
        <f t="shared" si="75"/>
        <v>SEJUSPPROG</v>
      </c>
      <c r="F1033" s="52" t="s">
        <v>699</v>
      </c>
      <c r="G1033" s="22" t="str">
        <f t="shared" si="76"/>
        <v>P141SEJUSP</v>
      </c>
      <c r="H1033" s="52" t="s">
        <v>1393</v>
      </c>
      <c r="I1033" s="22" t="s">
        <v>16</v>
      </c>
      <c r="J1033" s="52" t="s">
        <v>1638</v>
      </c>
      <c r="K1033" s="22" t="str">
        <f>VLOOKUP(CONCATENATE(A1033,LEFT(J1033,4)),AGRUPAMENTO!$D$2:$E$6783,2,FALSE)</f>
        <v>Utilidade Pública</v>
      </c>
      <c r="L1033" s="52" t="s">
        <v>44</v>
      </c>
      <c r="M1033" s="52"/>
      <c r="N1033" s="52">
        <v>10</v>
      </c>
      <c r="O1033" s="52" t="s">
        <v>3168</v>
      </c>
      <c r="P1033" s="52" t="s">
        <v>46</v>
      </c>
      <c r="Q1033" s="52" t="s">
        <v>4026</v>
      </c>
      <c r="R1033" s="52">
        <v>5</v>
      </c>
      <c r="S1033" s="52" t="s">
        <v>4028</v>
      </c>
      <c r="T1033" s="88">
        <v>200</v>
      </c>
      <c r="U1033" s="53">
        <v>12</v>
      </c>
      <c r="V1033" s="58">
        <f t="shared" si="74"/>
        <v>12000</v>
      </c>
      <c r="W1033" s="52" t="s">
        <v>49</v>
      </c>
      <c r="X1033" s="278" t="s">
        <v>4891</v>
      </c>
      <c r="Y1033" s="278" t="s">
        <v>4892</v>
      </c>
      <c r="Z1033" s="278" t="s">
        <v>4893</v>
      </c>
      <c r="AA1033" s="52">
        <v>0</v>
      </c>
      <c r="AB1033" s="52">
        <v>0</v>
      </c>
      <c r="AC1033" s="52">
        <v>0</v>
      </c>
      <c r="AD1033" s="21">
        <v>0.96957830030776992</v>
      </c>
      <c r="AE1033" s="54">
        <v>0.96957830030776992</v>
      </c>
      <c r="AF1033" s="315">
        <f t="shared" si="77"/>
        <v>11634.939603693239</v>
      </c>
    </row>
    <row r="1034" spans="1:32" ht="165" x14ac:dyDescent="0.25">
      <c r="A1034" s="107" t="s">
        <v>588</v>
      </c>
      <c r="B1034" s="107" t="s">
        <v>2273</v>
      </c>
      <c r="C1034" s="52"/>
      <c r="D1034" s="107" t="s">
        <v>2295</v>
      </c>
      <c r="E1034" s="22" t="str">
        <f t="shared" si="75"/>
        <v>SEJUSPPROG</v>
      </c>
      <c r="F1034" s="52" t="s">
        <v>699</v>
      </c>
      <c r="G1034" s="22" t="str">
        <f t="shared" si="76"/>
        <v>P141SEJUSP</v>
      </c>
      <c r="H1034" s="52" t="s">
        <v>1393</v>
      </c>
      <c r="I1034" s="22" t="s">
        <v>16</v>
      </c>
      <c r="J1034" s="52" t="s">
        <v>1633</v>
      </c>
      <c r="K1034" s="22" t="str">
        <f>VLOOKUP(CONCATENATE(A1034,LEFT(J1034,4)),AGRUPAMENTO!$D$2:$E$6783,2,FALSE)</f>
        <v>Terceirizados - MGS</v>
      </c>
      <c r="L1034" s="52" t="s">
        <v>44</v>
      </c>
      <c r="M1034" s="52"/>
      <c r="N1034" s="52">
        <v>10</v>
      </c>
      <c r="O1034" s="52" t="s">
        <v>3169</v>
      </c>
      <c r="P1034" s="52" t="s">
        <v>46</v>
      </c>
      <c r="Q1034" s="52" t="s">
        <v>4029</v>
      </c>
      <c r="R1034" s="52">
        <v>1</v>
      </c>
      <c r="S1034" s="52" t="s">
        <v>4030</v>
      </c>
      <c r="T1034" s="88">
        <v>5673.72</v>
      </c>
      <c r="U1034" s="53">
        <v>13</v>
      </c>
      <c r="V1034" s="58">
        <f t="shared" si="74"/>
        <v>73758.36</v>
      </c>
      <c r="W1034" s="52" t="s">
        <v>49</v>
      </c>
      <c r="X1034" s="278" t="s">
        <v>4891</v>
      </c>
      <c r="Y1034" s="278" t="s">
        <v>4892</v>
      </c>
      <c r="Z1034" s="278" t="s">
        <v>4893</v>
      </c>
      <c r="AA1034" s="52">
        <v>0</v>
      </c>
      <c r="AB1034" s="52">
        <v>0</v>
      </c>
      <c r="AC1034" s="52">
        <v>0</v>
      </c>
      <c r="AD1034" s="21">
        <v>1</v>
      </c>
      <c r="AE1034" s="54">
        <v>1</v>
      </c>
      <c r="AF1034" s="315">
        <f t="shared" si="77"/>
        <v>73758.36</v>
      </c>
    </row>
    <row r="1035" spans="1:32" ht="165" x14ac:dyDescent="0.25">
      <c r="A1035" s="107" t="s">
        <v>588</v>
      </c>
      <c r="B1035" s="107" t="s">
        <v>2273</v>
      </c>
      <c r="C1035" s="52"/>
      <c r="D1035" s="107" t="s">
        <v>2295</v>
      </c>
      <c r="E1035" s="22" t="str">
        <f t="shared" si="75"/>
        <v>SEJUSPPROG</v>
      </c>
      <c r="F1035" s="52" t="s">
        <v>699</v>
      </c>
      <c r="G1035" s="22" t="str">
        <f t="shared" si="76"/>
        <v>P141SEJUSP</v>
      </c>
      <c r="H1035" s="52" t="s">
        <v>1393</v>
      </c>
      <c r="I1035" s="22" t="s">
        <v>16</v>
      </c>
      <c r="J1035" s="52" t="s">
        <v>1633</v>
      </c>
      <c r="K1035" s="22" t="str">
        <f>VLOOKUP(CONCATENATE(A1035,LEFT(J1035,4)),AGRUPAMENTO!$D$2:$E$6783,2,FALSE)</f>
        <v>Terceirizados - MGS</v>
      </c>
      <c r="L1035" s="52" t="s">
        <v>44</v>
      </c>
      <c r="M1035" s="52"/>
      <c r="N1035" s="52">
        <v>10</v>
      </c>
      <c r="O1035" s="52" t="s">
        <v>3170</v>
      </c>
      <c r="P1035" s="52" t="s">
        <v>46</v>
      </c>
      <c r="Q1035" s="52" t="s">
        <v>4029</v>
      </c>
      <c r="R1035" s="52">
        <v>1</v>
      </c>
      <c r="S1035" s="52" t="s">
        <v>4030</v>
      </c>
      <c r="T1035" s="88">
        <v>7322.52</v>
      </c>
      <c r="U1035" s="53">
        <v>13</v>
      </c>
      <c r="V1035" s="58">
        <f t="shared" si="74"/>
        <v>95192.760000000009</v>
      </c>
      <c r="W1035" s="52" t="s">
        <v>49</v>
      </c>
      <c r="X1035" s="278" t="s">
        <v>4891</v>
      </c>
      <c r="Y1035" s="278" t="s">
        <v>4892</v>
      </c>
      <c r="Z1035" s="278" t="s">
        <v>4893</v>
      </c>
      <c r="AA1035" s="52">
        <v>0</v>
      </c>
      <c r="AB1035" s="52">
        <v>0</v>
      </c>
      <c r="AC1035" s="52">
        <v>0</v>
      </c>
      <c r="AD1035" s="21">
        <v>1</v>
      </c>
      <c r="AE1035" s="54">
        <v>1</v>
      </c>
      <c r="AF1035" s="315">
        <f t="shared" si="77"/>
        <v>95192.760000000009</v>
      </c>
    </row>
    <row r="1036" spans="1:32" ht="165" x14ac:dyDescent="0.25">
      <c r="A1036" s="107" t="s">
        <v>588</v>
      </c>
      <c r="B1036" s="107" t="s">
        <v>2273</v>
      </c>
      <c r="C1036" s="52"/>
      <c r="D1036" s="107" t="s">
        <v>2295</v>
      </c>
      <c r="E1036" s="22" t="str">
        <f t="shared" si="75"/>
        <v>SEJUSPPROG</v>
      </c>
      <c r="F1036" s="52" t="s">
        <v>699</v>
      </c>
      <c r="G1036" s="22" t="str">
        <f t="shared" si="76"/>
        <v>P141SEJUSP</v>
      </c>
      <c r="H1036" s="52" t="s">
        <v>1393</v>
      </c>
      <c r="I1036" s="22" t="s">
        <v>16</v>
      </c>
      <c r="J1036" s="52" t="s">
        <v>1633</v>
      </c>
      <c r="K1036" s="22" t="str">
        <f>VLOOKUP(CONCATENATE(A1036,LEFT(J1036,4)),AGRUPAMENTO!$D$2:$E$6783,2,FALSE)</f>
        <v>Terceirizados - MGS</v>
      </c>
      <c r="L1036" s="52" t="s">
        <v>44</v>
      </c>
      <c r="M1036" s="52"/>
      <c r="N1036" s="52">
        <v>10</v>
      </c>
      <c r="O1036" s="52" t="s">
        <v>3171</v>
      </c>
      <c r="P1036" s="52" t="s">
        <v>46</v>
      </c>
      <c r="Q1036" s="52" t="s">
        <v>4031</v>
      </c>
      <c r="R1036" s="52">
        <v>1</v>
      </c>
      <c r="S1036" s="52" t="s">
        <v>4030</v>
      </c>
      <c r="T1036" s="88">
        <v>7000</v>
      </c>
      <c r="U1036" s="53">
        <v>13</v>
      </c>
      <c r="V1036" s="58">
        <f t="shared" si="74"/>
        <v>91000</v>
      </c>
      <c r="W1036" s="52" t="s">
        <v>49</v>
      </c>
      <c r="X1036" s="278" t="s">
        <v>4891</v>
      </c>
      <c r="Y1036" s="278" t="s">
        <v>4892</v>
      </c>
      <c r="Z1036" s="278" t="s">
        <v>4893</v>
      </c>
      <c r="AA1036" s="52">
        <v>0</v>
      </c>
      <c r="AB1036" s="52">
        <v>0</v>
      </c>
      <c r="AC1036" s="52">
        <v>0</v>
      </c>
      <c r="AD1036" s="21">
        <v>1</v>
      </c>
      <c r="AE1036" s="54">
        <v>1</v>
      </c>
      <c r="AF1036" s="315">
        <f t="shared" si="77"/>
        <v>91000</v>
      </c>
    </row>
    <row r="1037" spans="1:32" ht="165" x14ac:dyDescent="0.25">
      <c r="A1037" s="107" t="s">
        <v>588</v>
      </c>
      <c r="B1037" s="107" t="s">
        <v>2273</v>
      </c>
      <c r="C1037" s="52"/>
      <c r="D1037" s="107" t="s">
        <v>2295</v>
      </c>
      <c r="E1037" s="22" t="str">
        <f t="shared" si="75"/>
        <v>SEJUSPPROG</v>
      </c>
      <c r="F1037" s="52" t="s">
        <v>699</v>
      </c>
      <c r="G1037" s="22" t="str">
        <f t="shared" si="76"/>
        <v>P141SEJUSP</v>
      </c>
      <c r="H1037" s="52" t="s">
        <v>1393</v>
      </c>
      <c r="I1037" s="22" t="s">
        <v>16</v>
      </c>
      <c r="J1037" s="52" t="s">
        <v>1631</v>
      </c>
      <c r="K1037" s="22" t="str">
        <f>VLOOKUP(CONCATENATE(A1037,LEFT(J1037,4)),AGRUPAMENTO!$D$2:$E$6783,2,FALSE)</f>
        <v>Terceirizados - MGS</v>
      </c>
      <c r="L1037" s="52" t="s">
        <v>44</v>
      </c>
      <c r="M1037" s="52"/>
      <c r="N1037" s="52">
        <v>10</v>
      </c>
      <c r="O1037" s="52" t="s">
        <v>3172</v>
      </c>
      <c r="P1037" s="52" t="s">
        <v>46</v>
      </c>
      <c r="Q1037" s="52" t="s">
        <v>4031</v>
      </c>
      <c r="R1037" s="52">
        <v>1</v>
      </c>
      <c r="S1037" s="52" t="s">
        <v>4030</v>
      </c>
      <c r="T1037" s="88">
        <v>4000</v>
      </c>
      <c r="U1037" s="53">
        <v>13</v>
      </c>
      <c r="V1037" s="58">
        <f t="shared" si="74"/>
        <v>52000</v>
      </c>
      <c r="W1037" s="52" t="s">
        <v>49</v>
      </c>
      <c r="X1037" s="278" t="s">
        <v>4891</v>
      </c>
      <c r="Y1037" s="278" t="s">
        <v>4892</v>
      </c>
      <c r="Z1037" s="278" t="s">
        <v>4893</v>
      </c>
      <c r="AA1037" s="52">
        <v>0</v>
      </c>
      <c r="AB1037" s="52">
        <v>0</v>
      </c>
      <c r="AC1037" s="52">
        <v>0</v>
      </c>
      <c r="AD1037" s="21">
        <v>1</v>
      </c>
      <c r="AE1037" s="54">
        <v>1</v>
      </c>
      <c r="AF1037" s="315">
        <f t="shared" si="77"/>
        <v>52000</v>
      </c>
    </row>
    <row r="1038" spans="1:32" ht="150" x14ac:dyDescent="0.25">
      <c r="A1038" s="107" t="s">
        <v>588</v>
      </c>
      <c r="B1038" s="107" t="s">
        <v>2273</v>
      </c>
      <c r="C1038" s="52"/>
      <c r="D1038" s="107" t="s">
        <v>2295</v>
      </c>
      <c r="E1038" s="22" t="str">
        <f t="shared" si="75"/>
        <v>SEJUSPPROG</v>
      </c>
      <c r="F1038" s="52" t="s">
        <v>699</v>
      </c>
      <c r="G1038" s="22" t="str">
        <f t="shared" si="76"/>
        <v>P141SEJUSP</v>
      </c>
      <c r="H1038" s="52" t="s">
        <v>1393</v>
      </c>
      <c r="I1038" s="22" t="s">
        <v>16</v>
      </c>
      <c r="J1038" s="52" t="s">
        <v>1701</v>
      </c>
      <c r="K1038" s="22" t="str">
        <f>VLOOKUP(CONCATENATE(A1038,LEFT(J1038,4)),AGRUPAMENTO!$D$2:$E$6783,2,FALSE)</f>
        <v>Estagiários</v>
      </c>
      <c r="L1038" s="52" t="s">
        <v>44</v>
      </c>
      <c r="M1038" s="52"/>
      <c r="N1038" s="52">
        <v>10</v>
      </c>
      <c r="O1038" s="52" t="s">
        <v>3173</v>
      </c>
      <c r="P1038" s="52" t="s">
        <v>46</v>
      </c>
      <c r="Q1038" s="52" t="s">
        <v>3942</v>
      </c>
      <c r="R1038" s="52">
        <v>1</v>
      </c>
      <c r="S1038" s="52" t="s">
        <v>4032</v>
      </c>
      <c r="T1038" s="88">
        <v>1551.21</v>
      </c>
      <c r="U1038" s="53">
        <v>12</v>
      </c>
      <c r="V1038" s="58">
        <f t="shared" si="74"/>
        <v>18614.52</v>
      </c>
      <c r="W1038" s="52" t="s">
        <v>49</v>
      </c>
      <c r="X1038" s="278" t="s">
        <v>4894</v>
      </c>
      <c r="Y1038" s="278" t="s">
        <v>4892</v>
      </c>
      <c r="Z1038" s="278" t="s">
        <v>4895</v>
      </c>
      <c r="AA1038" s="52">
        <v>0</v>
      </c>
      <c r="AB1038" s="52">
        <v>0</v>
      </c>
      <c r="AC1038" s="52">
        <v>0</v>
      </c>
      <c r="AD1038" s="21">
        <v>1</v>
      </c>
      <c r="AE1038" s="54">
        <v>1</v>
      </c>
      <c r="AF1038" s="315">
        <f t="shared" si="77"/>
        <v>18614.52</v>
      </c>
    </row>
    <row r="1039" spans="1:32" ht="105" x14ac:dyDescent="0.25">
      <c r="A1039" s="107" t="s">
        <v>588</v>
      </c>
      <c r="B1039" s="107" t="s">
        <v>2273</v>
      </c>
      <c r="C1039" s="52"/>
      <c r="D1039" s="107" t="s">
        <v>2295</v>
      </c>
      <c r="E1039" s="22" t="str">
        <f t="shared" si="75"/>
        <v>SEJUSPPROG</v>
      </c>
      <c r="F1039" s="52" t="s">
        <v>699</v>
      </c>
      <c r="G1039" s="22" t="str">
        <f t="shared" si="76"/>
        <v>P141SEJUSP</v>
      </c>
      <c r="H1039" s="52" t="s">
        <v>1393</v>
      </c>
      <c r="I1039" s="22" t="s">
        <v>16</v>
      </c>
      <c r="J1039" s="52" t="s">
        <v>1628</v>
      </c>
      <c r="K1039" s="22" t="str">
        <f>VLOOKUP(CONCATENATE(A1039,LEFT(J1039,4)),AGRUPAMENTO!$D$2:$E$6783,2,FALSE)</f>
        <v>Pronto Pagamento</v>
      </c>
      <c r="L1039" s="52" t="s">
        <v>44</v>
      </c>
      <c r="M1039" s="52"/>
      <c r="N1039" s="52">
        <v>10</v>
      </c>
      <c r="O1039" s="52" t="s">
        <v>3174</v>
      </c>
      <c r="P1039" s="52" t="s">
        <v>46</v>
      </c>
      <c r="Q1039" s="52">
        <v>1</v>
      </c>
      <c r="R1039" s="52">
        <v>1</v>
      </c>
      <c r="S1039" s="52" t="s">
        <v>4033</v>
      </c>
      <c r="T1039" s="88">
        <v>300</v>
      </c>
      <c r="U1039" s="53">
        <v>12</v>
      </c>
      <c r="V1039" s="58">
        <f t="shared" si="74"/>
        <v>3600</v>
      </c>
      <c r="W1039" s="52" t="s">
        <v>49</v>
      </c>
      <c r="X1039" s="278" t="s">
        <v>4896</v>
      </c>
      <c r="Y1039" s="278" t="s">
        <v>4897</v>
      </c>
      <c r="Z1039" s="278" t="s">
        <v>4895</v>
      </c>
      <c r="AA1039" s="52">
        <v>0</v>
      </c>
      <c r="AB1039" s="52">
        <v>0</v>
      </c>
      <c r="AC1039" s="52">
        <v>0</v>
      </c>
      <c r="AD1039" s="21">
        <v>1</v>
      </c>
      <c r="AE1039" s="54">
        <v>1</v>
      </c>
      <c r="AF1039" s="315">
        <f t="shared" si="77"/>
        <v>3600</v>
      </c>
    </row>
    <row r="1040" spans="1:32" ht="409.5" x14ac:dyDescent="0.25">
      <c r="A1040" s="107" t="s">
        <v>588</v>
      </c>
      <c r="B1040" s="107" t="s">
        <v>2273</v>
      </c>
      <c r="C1040" s="52"/>
      <c r="D1040" s="107" t="s">
        <v>2295</v>
      </c>
      <c r="E1040" s="22" t="str">
        <f t="shared" si="75"/>
        <v>SEJUSPPROG</v>
      </c>
      <c r="F1040" s="52" t="s">
        <v>699</v>
      </c>
      <c r="G1040" s="22" t="str">
        <f t="shared" si="76"/>
        <v>P141SEJUSP</v>
      </c>
      <c r="H1040" s="52" t="s">
        <v>1393</v>
      </c>
      <c r="I1040" s="22" t="s">
        <v>16</v>
      </c>
      <c r="J1040" s="52" t="s">
        <v>2245</v>
      </c>
      <c r="K1040" s="22" t="str">
        <f>VLOOKUP(CONCATENATE(A1040,LEFT(J1040,4)),AGRUPAMENTO!$D$2:$E$6783,2,FALSE)</f>
        <v>Termos de parceria e contratos de gestão</v>
      </c>
      <c r="L1040" s="52" t="s">
        <v>44</v>
      </c>
      <c r="M1040" s="52"/>
      <c r="N1040" s="52">
        <v>10</v>
      </c>
      <c r="O1040" s="52" t="s">
        <v>3175</v>
      </c>
      <c r="P1040" s="52" t="s">
        <v>46</v>
      </c>
      <c r="Q1040" s="52">
        <v>1</v>
      </c>
      <c r="R1040" s="52">
        <v>1</v>
      </c>
      <c r="S1040" s="52" t="s">
        <v>3884</v>
      </c>
      <c r="T1040" s="88">
        <v>3694571.53</v>
      </c>
      <c r="U1040" s="53">
        <v>1</v>
      </c>
      <c r="V1040" s="58">
        <f t="shared" si="74"/>
        <v>3694571.53</v>
      </c>
      <c r="W1040" s="52" t="s">
        <v>49</v>
      </c>
      <c r="X1040" s="278" t="s">
        <v>4898</v>
      </c>
      <c r="Y1040" s="279" t="s">
        <v>4583</v>
      </c>
      <c r="Z1040" s="278" t="s">
        <v>4584</v>
      </c>
      <c r="AA1040" s="52">
        <v>0</v>
      </c>
      <c r="AB1040" s="52">
        <v>0</v>
      </c>
      <c r="AC1040" s="52">
        <v>0</v>
      </c>
      <c r="AD1040" s="21">
        <v>0.7343679956527589</v>
      </c>
      <c r="AE1040" s="54">
        <v>0.7343679956527589</v>
      </c>
      <c r="AF1040" s="315">
        <f t="shared" si="77"/>
        <v>2713175.0892818468</v>
      </c>
    </row>
    <row r="1041" spans="1:32" ht="409.5" x14ac:dyDescent="0.25">
      <c r="A1041" s="107" t="s">
        <v>588</v>
      </c>
      <c r="B1041" s="107" t="s">
        <v>2269</v>
      </c>
      <c r="C1041" s="52"/>
      <c r="D1041" s="107" t="s">
        <v>2300</v>
      </c>
      <c r="E1041" s="22" t="str">
        <f t="shared" si="75"/>
        <v>SEJUSPPROG</v>
      </c>
      <c r="F1041" s="52" t="s">
        <v>729</v>
      </c>
      <c r="G1041" s="22" t="str">
        <f t="shared" si="76"/>
        <v>P130SEJUSP</v>
      </c>
      <c r="H1041" s="92" t="s">
        <v>1183</v>
      </c>
      <c r="I1041" s="22" t="s">
        <v>16</v>
      </c>
      <c r="J1041" s="92" t="s">
        <v>255</v>
      </c>
      <c r="K1041" s="22" t="str">
        <f>VLOOKUP(CONCATENATE(A1041,LEFT(J1041,4)),AGRUPAMENTO!$D$2:$E$6783,2,FALSE)</f>
        <v>Material de consumo</v>
      </c>
      <c r="L1041" s="92" t="s">
        <v>44</v>
      </c>
      <c r="M1041" s="52"/>
      <c r="N1041" s="52">
        <v>60</v>
      </c>
      <c r="O1041" s="92" t="s">
        <v>3176</v>
      </c>
      <c r="P1041" s="52" t="s">
        <v>58</v>
      </c>
      <c r="Q1041" s="92" t="s">
        <v>3927</v>
      </c>
      <c r="R1041" s="92">
        <v>300</v>
      </c>
      <c r="S1041" s="92" t="s">
        <v>3928</v>
      </c>
      <c r="T1041" s="200">
        <v>50</v>
      </c>
      <c r="U1041" s="201">
        <v>1</v>
      </c>
      <c r="V1041" s="58">
        <f t="shared" si="74"/>
        <v>15000</v>
      </c>
      <c r="W1041" s="92" t="s">
        <v>68</v>
      </c>
      <c r="X1041" s="92" t="s">
        <v>4899</v>
      </c>
      <c r="Y1041" s="92" t="s">
        <v>4673</v>
      </c>
      <c r="Z1041" s="92" t="s">
        <v>4900</v>
      </c>
      <c r="AA1041" s="92">
        <v>4</v>
      </c>
      <c r="AB1041" s="92">
        <v>14</v>
      </c>
      <c r="AC1041" s="92">
        <v>42</v>
      </c>
      <c r="AD1041" s="21">
        <v>0</v>
      </c>
      <c r="AE1041" s="54">
        <v>0</v>
      </c>
      <c r="AF1041" s="315">
        <f t="shared" si="77"/>
        <v>0</v>
      </c>
    </row>
    <row r="1042" spans="1:32" ht="409.5" x14ac:dyDescent="0.25">
      <c r="A1042" s="107" t="s">
        <v>588</v>
      </c>
      <c r="B1042" s="107" t="s">
        <v>2269</v>
      </c>
      <c r="C1042" s="52"/>
      <c r="D1042" s="107" t="s">
        <v>2300</v>
      </c>
      <c r="E1042" s="22" t="str">
        <f t="shared" si="75"/>
        <v>SEJUSPPROG</v>
      </c>
      <c r="F1042" s="52" t="s">
        <v>729</v>
      </c>
      <c r="G1042" s="22" t="str">
        <f t="shared" si="76"/>
        <v>P130SEJUSP</v>
      </c>
      <c r="H1042" s="92" t="s">
        <v>1183</v>
      </c>
      <c r="I1042" s="22" t="s">
        <v>16</v>
      </c>
      <c r="J1042" s="92" t="s">
        <v>255</v>
      </c>
      <c r="K1042" s="22" t="str">
        <f>VLOOKUP(CONCATENATE(A1042,LEFT(J1042,4)),AGRUPAMENTO!$D$2:$E$6783,2,FALSE)</f>
        <v>Material de consumo</v>
      </c>
      <c r="L1042" s="92" t="s">
        <v>44</v>
      </c>
      <c r="M1042" s="52"/>
      <c r="N1042" s="52">
        <v>60</v>
      </c>
      <c r="O1042" s="92" t="s">
        <v>3177</v>
      </c>
      <c r="P1042" s="52" t="s">
        <v>58</v>
      </c>
      <c r="Q1042" s="92" t="s">
        <v>3927</v>
      </c>
      <c r="R1042" s="92">
        <v>700</v>
      </c>
      <c r="S1042" s="92" t="s">
        <v>3928</v>
      </c>
      <c r="T1042" s="200">
        <v>56.19</v>
      </c>
      <c r="U1042" s="201">
        <v>1</v>
      </c>
      <c r="V1042" s="58">
        <f t="shared" si="74"/>
        <v>39333</v>
      </c>
      <c r="W1042" s="92" t="s">
        <v>68</v>
      </c>
      <c r="X1042" s="92" t="s">
        <v>4899</v>
      </c>
      <c r="Y1042" s="92" t="s">
        <v>4673</v>
      </c>
      <c r="Z1042" s="92" t="s">
        <v>4900</v>
      </c>
      <c r="AA1042" s="92">
        <v>4</v>
      </c>
      <c r="AB1042" s="92">
        <v>14</v>
      </c>
      <c r="AC1042" s="92">
        <v>42</v>
      </c>
      <c r="AD1042" s="21">
        <v>0</v>
      </c>
      <c r="AE1042" s="54">
        <v>0</v>
      </c>
      <c r="AF1042" s="315">
        <f t="shared" si="77"/>
        <v>0</v>
      </c>
    </row>
    <row r="1043" spans="1:32" ht="409.5" x14ac:dyDescent="0.25">
      <c r="A1043" s="107" t="s">
        <v>588</v>
      </c>
      <c r="B1043" s="107" t="s">
        <v>2273</v>
      </c>
      <c r="C1043" s="52"/>
      <c r="D1043" s="107" t="s">
        <v>2294</v>
      </c>
      <c r="E1043" s="22" t="str">
        <f t="shared" si="75"/>
        <v>SEJUSPPROG</v>
      </c>
      <c r="F1043" s="52" t="s">
        <v>699</v>
      </c>
      <c r="G1043" s="22" t="str">
        <f t="shared" si="76"/>
        <v>P141SEJUSP</v>
      </c>
      <c r="H1043" s="52" t="s">
        <v>1403</v>
      </c>
      <c r="I1043" s="22" t="s">
        <v>16</v>
      </c>
      <c r="J1043" s="52" t="s">
        <v>1602</v>
      </c>
      <c r="K1043" s="22" t="str">
        <f>VLOOKUP(CONCATENATE(A1043,LEFT(J1043,4)),AGRUPAMENTO!$D$2:$E$6783,2,FALSE)</f>
        <v>Material de consumo</v>
      </c>
      <c r="L1043" s="52" t="s">
        <v>44</v>
      </c>
      <c r="M1043" s="52"/>
      <c r="N1043" s="52">
        <v>10</v>
      </c>
      <c r="O1043" s="52" t="s">
        <v>2862</v>
      </c>
      <c r="P1043" s="52" t="s">
        <v>46</v>
      </c>
      <c r="Q1043" s="52" t="s">
        <v>3915</v>
      </c>
      <c r="R1043" s="52">
        <v>11</v>
      </c>
      <c r="S1043" s="52" t="s">
        <v>3916</v>
      </c>
      <c r="T1043" s="88">
        <v>191</v>
      </c>
      <c r="U1043" s="53">
        <v>1</v>
      </c>
      <c r="V1043" s="58">
        <f t="shared" si="74"/>
        <v>2101</v>
      </c>
      <c r="W1043" s="52" t="s">
        <v>49</v>
      </c>
      <c r="X1043" s="278" t="s">
        <v>4901</v>
      </c>
      <c r="Y1043" s="279" t="s">
        <v>4577</v>
      </c>
      <c r="Z1043" s="278" t="s">
        <v>4902</v>
      </c>
      <c r="AA1043" s="52">
        <v>0</v>
      </c>
      <c r="AB1043" s="52">
        <v>0</v>
      </c>
      <c r="AC1043" s="52">
        <v>0</v>
      </c>
      <c r="AD1043" s="21">
        <v>0.66843255889259856</v>
      </c>
      <c r="AE1043" s="54">
        <v>0.66843255889259856</v>
      </c>
      <c r="AF1043" s="315">
        <f t="shared" si="77"/>
        <v>1404.3768062333495</v>
      </c>
    </row>
    <row r="1044" spans="1:32" ht="409.5" x14ac:dyDescent="0.25">
      <c r="A1044" s="107" t="s">
        <v>588</v>
      </c>
      <c r="B1044" s="107" t="s">
        <v>2273</v>
      </c>
      <c r="C1044" s="52"/>
      <c r="D1044" s="107" t="s">
        <v>2294</v>
      </c>
      <c r="E1044" s="22" t="str">
        <f t="shared" si="75"/>
        <v>SEJUSPPROG</v>
      </c>
      <c r="F1044" s="52" t="s">
        <v>699</v>
      </c>
      <c r="G1044" s="22" t="str">
        <f t="shared" si="76"/>
        <v>P141SEJUSP</v>
      </c>
      <c r="H1044" s="52" t="s">
        <v>1403</v>
      </c>
      <c r="I1044" s="22" t="s">
        <v>16</v>
      </c>
      <c r="J1044" s="52" t="s">
        <v>490</v>
      </c>
      <c r="K1044" s="22" t="str">
        <f>VLOOKUP(CONCATENATE(A1044,LEFT(J1044,4)),AGRUPAMENTO!$D$2:$E$6783,2,FALSE)</f>
        <v>Material de consumo</v>
      </c>
      <c r="L1044" s="52" t="s">
        <v>44</v>
      </c>
      <c r="M1044" s="52"/>
      <c r="N1044" s="52">
        <v>10</v>
      </c>
      <c r="O1044" s="52" t="s">
        <v>2621</v>
      </c>
      <c r="P1044" s="52" t="s">
        <v>46</v>
      </c>
      <c r="Q1044" s="52" t="s">
        <v>3880</v>
      </c>
      <c r="R1044" s="52">
        <v>440</v>
      </c>
      <c r="S1044" s="52" t="s">
        <v>3881</v>
      </c>
      <c r="T1044" s="88">
        <v>191</v>
      </c>
      <c r="U1044" s="53">
        <v>1</v>
      </c>
      <c r="V1044" s="58">
        <f t="shared" si="74"/>
        <v>84040</v>
      </c>
      <c r="W1044" s="52" t="s">
        <v>49</v>
      </c>
      <c r="X1044" s="278" t="s">
        <v>4901</v>
      </c>
      <c r="Y1044" s="279" t="s">
        <v>4577</v>
      </c>
      <c r="Z1044" s="278" t="s">
        <v>4902</v>
      </c>
      <c r="AA1044" s="52">
        <v>0</v>
      </c>
      <c r="AB1044" s="52">
        <v>0</v>
      </c>
      <c r="AC1044" s="52">
        <v>0</v>
      </c>
      <c r="AD1044" s="21">
        <v>0.66843255889259856</v>
      </c>
      <c r="AE1044" s="54">
        <v>0.66843255889259856</v>
      </c>
      <c r="AF1044" s="315">
        <f t="shared" si="77"/>
        <v>56175.072249333985</v>
      </c>
    </row>
    <row r="1045" spans="1:32" ht="409.5" x14ac:dyDescent="0.25">
      <c r="A1045" s="107" t="s">
        <v>588</v>
      </c>
      <c r="B1045" s="107" t="s">
        <v>2273</v>
      </c>
      <c r="C1045" s="52"/>
      <c r="D1045" s="107" t="s">
        <v>2294</v>
      </c>
      <c r="E1045" s="22" t="str">
        <f t="shared" si="75"/>
        <v>SEJUSPPROG</v>
      </c>
      <c r="F1045" s="52" t="s">
        <v>699</v>
      </c>
      <c r="G1045" s="22" t="str">
        <f t="shared" si="76"/>
        <v>P141SEJUSP</v>
      </c>
      <c r="H1045" s="52" t="s">
        <v>1403</v>
      </c>
      <c r="I1045" s="22" t="s">
        <v>16</v>
      </c>
      <c r="J1045" s="52" t="s">
        <v>490</v>
      </c>
      <c r="K1045" s="22" t="str">
        <f>VLOOKUP(CONCATENATE(A1045,LEFT(J1045,4)),AGRUPAMENTO!$D$2:$E$6783,2,FALSE)</f>
        <v>Material de consumo</v>
      </c>
      <c r="L1045" s="52" t="s">
        <v>44</v>
      </c>
      <c r="M1045" s="52"/>
      <c r="N1045" s="52">
        <v>10</v>
      </c>
      <c r="O1045" s="52" t="s">
        <v>2864</v>
      </c>
      <c r="P1045" s="52" t="s">
        <v>46</v>
      </c>
      <c r="Q1045" s="52" t="s">
        <v>3919</v>
      </c>
      <c r="R1045" s="52">
        <v>110</v>
      </c>
      <c r="S1045" s="52" t="s">
        <v>3920</v>
      </c>
      <c r="T1045" s="88">
        <v>191</v>
      </c>
      <c r="U1045" s="53">
        <v>1</v>
      </c>
      <c r="V1045" s="58">
        <f t="shared" si="74"/>
        <v>21010</v>
      </c>
      <c r="W1045" s="52" t="s">
        <v>49</v>
      </c>
      <c r="X1045" s="278" t="s">
        <v>4901</v>
      </c>
      <c r="Y1045" s="279" t="s">
        <v>4577</v>
      </c>
      <c r="Z1045" s="278" t="s">
        <v>4902</v>
      </c>
      <c r="AA1045" s="52">
        <v>0</v>
      </c>
      <c r="AB1045" s="52">
        <v>0</v>
      </c>
      <c r="AC1045" s="52">
        <v>0</v>
      </c>
      <c r="AD1045" s="21">
        <v>0.66843255889259856</v>
      </c>
      <c r="AE1045" s="54">
        <v>0.66843255889259856</v>
      </c>
      <c r="AF1045" s="315">
        <f t="shared" si="77"/>
        <v>14043.768062333496</v>
      </c>
    </row>
    <row r="1046" spans="1:32" ht="409.5" x14ac:dyDescent="0.25">
      <c r="A1046" s="107" t="s">
        <v>588</v>
      </c>
      <c r="B1046" s="107" t="s">
        <v>2273</v>
      </c>
      <c r="C1046" s="52"/>
      <c r="D1046" s="107" t="s">
        <v>2294</v>
      </c>
      <c r="E1046" s="22" t="str">
        <f t="shared" si="75"/>
        <v>SEJUSPPROG</v>
      </c>
      <c r="F1046" s="52" t="s">
        <v>699</v>
      </c>
      <c r="G1046" s="22" t="str">
        <f t="shared" si="76"/>
        <v>P141SEJUSP</v>
      </c>
      <c r="H1046" s="52" t="s">
        <v>1403</v>
      </c>
      <c r="I1046" s="22" t="s">
        <v>16</v>
      </c>
      <c r="J1046" s="52" t="s">
        <v>490</v>
      </c>
      <c r="K1046" s="22" t="str">
        <f>VLOOKUP(CONCATENATE(A1046,LEFT(J1046,4)),AGRUPAMENTO!$D$2:$E$6783,2,FALSE)</f>
        <v>Material de consumo</v>
      </c>
      <c r="L1046" s="52" t="s">
        <v>44</v>
      </c>
      <c r="M1046" s="52"/>
      <c r="N1046" s="52">
        <v>10</v>
      </c>
      <c r="O1046" s="52" t="s">
        <v>2865</v>
      </c>
      <c r="P1046" s="52" t="s">
        <v>46</v>
      </c>
      <c r="Q1046" s="52" t="s">
        <v>3921</v>
      </c>
      <c r="R1046" s="52">
        <v>13200</v>
      </c>
      <c r="S1046" s="52" t="s">
        <v>3922</v>
      </c>
      <c r="T1046" s="88">
        <v>15</v>
      </c>
      <c r="U1046" s="53">
        <v>1</v>
      </c>
      <c r="V1046" s="58">
        <f t="shared" si="74"/>
        <v>198000</v>
      </c>
      <c r="W1046" s="52" t="s">
        <v>49</v>
      </c>
      <c r="X1046" s="278" t="s">
        <v>4903</v>
      </c>
      <c r="Y1046" s="279" t="s">
        <v>4577</v>
      </c>
      <c r="Z1046" s="278" t="s">
        <v>4902</v>
      </c>
      <c r="AA1046" s="52">
        <v>0</v>
      </c>
      <c r="AB1046" s="52">
        <v>0</v>
      </c>
      <c r="AC1046" s="52">
        <v>0</v>
      </c>
      <c r="AD1046" s="21">
        <v>0.66843255889259856</v>
      </c>
      <c r="AE1046" s="54">
        <v>0.66843255889259856</v>
      </c>
      <c r="AF1046" s="315">
        <f t="shared" si="77"/>
        <v>132349.64666073452</v>
      </c>
    </row>
    <row r="1047" spans="1:32" ht="409.5" x14ac:dyDescent="0.25">
      <c r="A1047" s="107" t="s">
        <v>588</v>
      </c>
      <c r="B1047" s="107" t="s">
        <v>2273</v>
      </c>
      <c r="C1047" s="52"/>
      <c r="D1047" s="107" t="s">
        <v>2294</v>
      </c>
      <c r="E1047" s="22" t="str">
        <f t="shared" si="75"/>
        <v>SEJUSPPROG</v>
      </c>
      <c r="F1047" s="52" t="s">
        <v>699</v>
      </c>
      <c r="G1047" s="22" t="str">
        <f t="shared" si="76"/>
        <v>P141SEJUSP</v>
      </c>
      <c r="H1047" s="52" t="s">
        <v>1403</v>
      </c>
      <c r="I1047" s="22" t="s">
        <v>16</v>
      </c>
      <c r="J1047" s="52" t="s">
        <v>490</v>
      </c>
      <c r="K1047" s="22" t="str">
        <f>VLOOKUP(CONCATENATE(A1047,LEFT(J1047,4)),AGRUPAMENTO!$D$2:$E$6783,2,FALSE)</f>
        <v>Material de consumo</v>
      </c>
      <c r="L1047" s="52" t="s">
        <v>44</v>
      </c>
      <c r="M1047" s="52"/>
      <c r="N1047" s="52">
        <v>10</v>
      </c>
      <c r="O1047" s="52" t="s">
        <v>2862</v>
      </c>
      <c r="P1047" s="52" t="s">
        <v>46</v>
      </c>
      <c r="Q1047" s="52" t="s">
        <v>3915</v>
      </c>
      <c r="R1047" s="52">
        <v>5</v>
      </c>
      <c r="S1047" s="52" t="s">
        <v>3916</v>
      </c>
      <c r="T1047" s="88">
        <v>85</v>
      </c>
      <c r="U1047" s="53">
        <v>1</v>
      </c>
      <c r="V1047" s="58">
        <f t="shared" si="74"/>
        <v>425</v>
      </c>
      <c r="W1047" s="52" t="s">
        <v>49</v>
      </c>
      <c r="X1047" s="278" t="s">
        <v>4904</v>
      </c>
      <c r="Y1047" s="279" t="s">
        <v>4577</v>
      </c>
      <c r="Z1047" s="278" t="s">
        <v>4902</v>
      </c>
      <c r="AA1047" s="52">
        <v>0</v>
      </c>
      <c r="AB1047" s="52">
        <v>0</v>
      </c>
      <c r="AC1047" s="52">
        <v>0</v>
      </c>
      <c r="AD1047" s="21">
        <v>0.66843255889259856</v>
      </c>
      <c r="AE1047" s="54">
        <v>0.66843255889259856</v>
      </c>
      <c r="AF1047" s="315">
        <f t="shared" si="77"/>
        <v>284.08383752935441</v>
      </c>
    </row>
    <row r="1048" spans="1:32" ht="409.5" x14ac:dyDescent="0.25">
      <c r="A1048" s="107" t="s">
        <v>588</v>
      </c>
      <c r="B1048" s="107" t="s">
        <v>2273</v>
      </c>
      <c r="C1048" s="52"/>
      <c r="D1048" s="107" t="s">
        <v>2294</v>
      </c>
      <c r="E1048" s="22" t="str">
        <f t="shared" si="75"/>
        <v>SEJUSPPROG</v>
      </c>
      <c r="F1048" s="52" t="s">
        <v>699</v>
      </c>
      <c r="G1048" s="22" t="str">
        <f t="shared" si="76"/>
        <v>P141SEJUSP</v>
      </c>
      <c r="H1048" s="52" t="s">
        <v>1403</v>
      </c>
      <c r="I1048" s="22" t="s">
        <v>16</v>
      </c>
      <c r="J1048" s="52" t="s">
        <v>490</v>
      </c>
      <c r="K1048" s="22" t="str">
        <f>VLOOKUP(CONCATENATE(A1048,LEFT(J1048,4)),AGRUPAMENTO!$D$2:$E$6783,2,FALSE)</f>
        <v>Material de consumo</v>
      </c>
      <c r="L1048" s="52" t="s">
        <v>44</v>
      </c>
      <c r="M1048" s="52"/>
      <c r="N1048" s="52">
        <v>10</v>
      </c>
      <c r="O1048" s="52" t="s">
        <v>2621</v>
      </c>
      <c r="P1048" s="52" t="s">
        <v>46</v>
      </c>
      <c r="Q1048" s="52" t="s">
        <v>3880</v>
      </c>
      <c r="R1048" s="52">
        <v>200</v>
      </c>
      <c r="S1048" s="52" t="s">
        <v>3881</v>
      </c>
      <c r="T1048" s="88">
        <v>85</v>
      </c>
      <c r="U1048" s="53">
        <v>1</v>
      </c>
      <c r="V1048" s="58">
        <f t="shared" si="74"/>
        <v>17000</v>
      </c>
      <c r="W1048" s="52" t="s">
        <v>49</v>
      </c>
      <c r="X1048" s="278" t="s">
        <v>4904</v>
      </c>
      <c r="Y1048" s="279" t="s">
        <v>4577</v>
      </c>
      <c r="Z1048" s="278" t="s">
        <v>4902</v>
      </c>
      <c r="AA1048" s="52">
        <v>0</v>
      </c>
      <c r="AB1048" s="52">
        <v>0</v>
      </c>
      <c r="AC1048" s="52">
        <v>0</v>
      </c>
      <c r="AD1048" s="21">
        <v>0.66843255889259856</v>
      </c>
      <c r="AE1048" s="54">
        <v>0.66843255889259856</v>
      </c>
      <c r="AF1048" s="315">
        <f t="shared" si="77"/>
        <v>11363.353501174175</v>
      </c>
    </row>
    <row r="1049" spans="1:32" ht="409.5" x14ac:dyDescent="0.25">
      <c r="A1049" s="107" t="s">
        <v>588</v>
      </c>
      <c r="B1049" s="107" t="s">
        <v>2273</v>
      </c>
      <c r="C1049" s="52"/>
      <c r="D1049" s="107" t="s">
        <v>2294</v>
      </c>
      <c r="E1049" s="22" t="str">
        <f t="shared" si="75"/>
        <v>SEJUSPPROG</v>
      </c>
      <c r="F1049" s="52" t="s">
        <v>699</v>
      </c>
      <c r="G1049" s="22" t="str">
        <f t="shared" si="76"/>
        <v>P141SEJUSP</v>
      </c>
      <c r="H1049" s="52" t="s">
        <v>1403</v>
      </c>
      <c r="I1049" s="22" t="s">
        <v>16</v>
      </c>
      <c r="J1049" s="52" t="s">
        <v>490</v>
      </c>
      <c r="K1049" s="22" t="str">
        <f>VLOOKUP(CONCATENATE(A1049,LEFT(J1049,4)),AGRUPAMENTO!$D$2:$E$6783,2,FALSE)</f>
        <v>Material de consumo</v>
      </c>
      <c r="L1049" s="52" t="s">
        <v>44</v>
      </c>
      <c r="M1049" s="52"/>
      <c r="N1049" s="52">
        <v>10</v>
      </c>
      <c r="O1049" s="52" t="s">
        <v>2864</v>
      </c>
      <c r="P1049" s="52" t="s">
        <v>46</v>
      </c>
      <c r="Q1049" s="52" t="s">
        <v>3919</v>
      </c>
      <c r="R1049" s="52">
        <v>100</v>
      </c>
      <c r="S1049" s="52" t="s">
        <v>3920</v>
      </c>
      <c r="T1049" s="88">
        <v>85</v>
      </c>
      <c r="U1049" s="53">
        <v>1</v>
      </c>
      <c r="V1049" s="58">
        <f t="shared" si="74"/>
        <v>8500</v>
      </c>
      <c r="W1049" s="52" t="s">
        <v>49</v>
      </c>
      <c r="X1049" s="278" t="s">
        <v>4904</v>
      </c>
      <c r="Y1049" s="279" t="s">
        <v>4577</v>
      </c>
      <c r="Z1049" s="278" t="s">
        <v>4902</v>
      </c>
      <c r="AA1049" s="52">
        <v>0</v>
      </c>
      <c r="AB1049" s="52">
        <v>0</v>
      </c>
      <c r="AC1049" s="52">
        <v>0</v>
      </c>
      <c r="AD1049" s="21">
        <v>0.66843255889259856</v>
      </c>
      <c r="AE1049" s="54">
        <v>0.66843255889259856</v>
      </c>
      <c r="AF1049" s="315">
        <f t="shared" si="77"/>
        <v>5681.6767505870876</v>
      </c>
    </row>
    <row r="1050" spans="1:32" ht="409.5" x14ac:dyDescent="0.25">
      <c r="A1050" s="107" t="s">
        <v>588</v>
      </c>
      <c r="B1050" s="107" t="s">
        <v>2273</v>
      </c>
      <c r="C1050" s="52"/>
      <c r="D1050" s="107" t="s">
        <v>2294</v>
      </c>
      <c r="E1050" s="22" t="str">
        <f t="shared" si="75"/>
        <v>SEJUSPPROG</v>
      </c>
      <c r="F1050" s="52" t="s">
        <v>699</v>
      </c>
      <c r="G1050" s="22" t="str">
        <f t="shared" si="76"/>
        <v>P141SEJUSP</v>
      </c>
      <c r="H1050" s="52" t="s">
        <v>1403</v>
      </c>
      <c r="I1050" s="22" t="s">
        <v>16</v>
      </c>
      <c r="J1050" s="52" t="s">
        <v>490</v>
      </c>
      <c r="K1050" s="22" t="str">
        <f>VLOOKUP(CONCATENATE(A1050,LEFT(J1050,4)),AGRUPAMENTO!$D$2:$E$6783,2,FALSE)</f>
        <v>Material de consumo</v>
      </c>
      <c r="L1050" s="52" t="s">
        <v>44</v>
      </c>
      <c r="M1050" s="52"/>
      <c r="N1050" s="52">
        <v>10</v>
      </c>
      <c r="O1050" s="52" t="s">
        <v>2865</v>
      </c>
      <c r="P1050" s="52" t="s">
        <v>46</v>
      </c>
      <c r="Q1050" s="52" t="s">
        <v>3921</v>
      </c>
      <c r="R1050" s="52">
        <v>6000</v>
      </c>
      <c r="S1050" s="52" t="s">
        <v>3922</v>
      </c>
      <c r="T1050" s="88">
        <v>11</v>
      </c>
      <c r="U1050" s="53">
        <v>1</v>
      </c>
      <c r="V1050" s="58">
        <f t="shared" si="74"/>
        <v>66000</v>
      </c>
      <c r="W1050" s="52" t="s">
        <v>49</v>
      </c>
      <c r="X1050" s="278" t="s">
        <v>4904</v>
      </c>
      <c r="Y1050" s="279" t="s">
        <v>4577</v>
      </c>
      <c r="Z1050" s="278" t="s">
        <v>4902</v>
      </c>
      <c r="AA1050" s="52">
        <v>0</v>
      </c>
      <c r="AB1050" s="52">
        <v>0</v>
      </c>
      <c r="AC1050" s="52">
        <v>0</v>
      </c>
      <c r="AD1050" s="21">
        <v>0.66843255889259856</v>
      </c>
      <c r="AE1050" s="54">
        <v>0.66843255889259856</v>
      </c>
      <c r="AF1050" s="315">
        <f t="shared" si="77"/>
        <v>44116.548886911507</v>
      </c>
    </row>
    <row r="1051" spans="1:32" ht="409.5" x14ac:dyDescent="0.25">
      <c r="A1051" s="107" t="s">
        <v>588</v>
      </c>
      <c r="B1051" s="107" t="s">
        <v>2269</v>
      </c>
      <c r="C1051" s="52"/>
      <c r="D1051" s="107" t="s">
        <v>2300</v>
      </c>
      <c r="E1051" s="22" t="str">
        <f t="shared" si="75"/>
        <v>SEJUSPPROG</v>
      </c>
      <c r="F1051" s="52" t="s">
        <v>729</v>
      </c>
      <c r="G1051" s="22" t="str">
        <f t="shared" si="76"/>
        <v>P130SEJUSP</v>
      </c>
      <c r="H1051" s="92" t="s">
        <v>1183</v>
      </c>
      <c r="I1051" s="22" t="s">
        <v>16</v>
      </c>
      <c r="J1051" s="92" t="s">
        <v>255</v>
      </c>
      <c r="K1051" s="22" t="str">
        <f>VLOOKUP(CONCATENATE(A1051,LEFT(J1051,4)),AGRUPAMENTO!$D$2:$E$6783,2,FALSE)</f>
        <v>Material de consumo</v>
      </c>
      <c r="L1051" s="92" t="s">
        <v>44</v>
      </c>
      <c r="M1051" s="52"/>
      <c r="N1051" s="52">
        <v>60</v>
      </c>
      <c r="O1051" s="92" t="s">
        <v>3178</v>
      </c>
      <c r="P1051" s="52" t="s">
        <v>58</v>
      </c>
      <c r="Q1051" s="92" t="s">
        <v>3927</v>
      </c>
      <c r="R1051" s="92">
        <v>350</v>
      </c>
      <c r="S1051" s="92" t="s">
        <v>3928</v>
      </c>
      <c r="T1051" s="200">
        <v>12.08</v>
      </c>
      <c r="U1051" s="201">
        <v>1</v>
      </c>
      <c r="V1051" s="58">
        <f t="shared" si="74"/>
        <v>4228</v>
      </c>
      <c r="W1051" s="92" t="s">
        <v>68</v>
      </c>
      <c r="X1051" s="92" t="s">
        <v>4899</v>
      </c>
      <c r="Y1051" s="92" t="s">
        <v>4673</v>
      </c>
      <c r="Z1051" s="92" t="s">
        <v>4900</v>
      </c>
      <c r="AA1051" s="92">
        <v>4</v>
      </c>
      <c r="AB1051" s="92">
        <v>14</v>
      </c>
      <c r="AC1051" s="92">
        <v>42</v>
      </c>
      <c r="AD1051" s="21">
        <v>0</v>
      </c>
      <c r="AE1051" s="54">
        <v>0</v>
      </c>
      <c r="AF1051" s="315">
        <f t="shared" si="77"/>
        <v>0</v>
      </c>
    </row>
    <row r="1052" spans="1:32" ht="409.5" x14ac:dyDescent="0.25">
      <c r="A1052" s="107" t="s">
        <v>588</v>
      </c>
      <c r="B1052" s="107" t="s">
        <v>2269</v>
      </c>
      <c r="C1052" s="52"/>
      <c r="D1052" s="107" t="s">
        <v>2300</v>
      </c>
      <c r="E1052" s="22" t="str">
        <f t="shared" si="75"/>
        <v>SEJUSPPROG</v>
      </c>
      <c r="F1052" s="52" t="s">
        <v>729</v>
      </c>
      <c r="G1052" s="22" t="str">
        <f t="shared" si="76"/>
        <v>P130SEJUSP</v>
      </c>
      <c r="H1052" s="92" t="s">
        <v>1183</v>
      </c>
      <c r="I1052" s="22" t="s">
        <v>16</v>
      </c>
      <c r="J1052" s="92" t="s">
        <v>255</v>
      </c>
      <c r="K1052" s="22" t="str">
        <f>VLOOKUP(CONCATENATE(A1052,LEFT(J1052,4)),AGRUPAMENTO!$D$2:$E$6783,2,FALSE)</f>
        <v>Material de consumo</v>
      </c>
      <c r="L1052" s="92" t="s">
        <v>44</v>
      </c>
      <c r="M1052" s="52"/>
      <c r="N1052" s="52">
        <v>60</v>
      </c>
      <c r="O1052" s="92" t="s">
        <v>3179</v>
      </c>
      <c r="P1052" s="52" t="s">
        <v>58</v>
      </c>
      <c r="Q1052" s="92" t="s">
        <v>3927</v>
      </c>
      <c r="R1052" s="92">
        <v>450</v>
      </c>
      <c r="S1052" s="92" t="s">
        <v>3928</v>
      </c>
      <c r="T1052" s="200">
        <v>31.99</v>
      </c>
      <c r="U1052" s="201">
        <v>1</v>
      </c>
      <c r="V1052" s="58">
        <f t="shared" si="74"/>
        <v>14395.5</v>
      </c>
      <c r="W1052" s="92" t="s">
        <v>68</v>
      </c>
      <c r="X1052" s="92" t="s">
        <v>4899</v>
      </c>
      <c r="Y1052" s="92" t="s">
        <v>4673</v>
      </c>
      <c r="Z1052" s="92" t="s">
        <v>4900</v>
      </c>
      <c r="AA1052" s="92">
        <v>4</v>
      </c>
      <c r="AB1052" s="92">
        <v>14</v>
      </c>
      <c r="AC1052" s="92">
        <v>42</v>
      </c>
      <c r="AD1052" s="21">
        <v>0</v>
      </c>
      <c r="AE1052" s="54">
        <v>0</v>
      </c>
      <c r="AF1052" s="315">
        <f t="shared" si="77"/>
        <v>0</v>
      </c>
    </row>
    <row r="1053" spans="1:32" ht="409.5" x14ac:dyDescent="0.25">
      <c r="A1053" s="107" t="s">
        <v>588</v>
      </c>
      <c r="B1053" s="107" t="s">
        <v>2269</v>
      </c>
      <c r="C1053" s="52"/>
      <c r="D1053" s="107" t="s">
        <v>2300</v>
      </c>
      <c r="E1053" s="22" t="str">
        <f t="shared" si="75"/>
        <v>SEJUSPPROG</v>
      </c>
      <c r="F1053" s="52" t="s">
        <v>729</v>
      </c>
      <c r="G1053" s="22" t="str">
        <f t="shared" si="76"/>
        <v>P130SEJUSP</v>
      </c>
      <c r="H1053" s="92" t="s">
        <v>1183</v>
      </c>
      <c r="I1053" s="22" t="s">
        <v>16</v>
      </c>
      <c r="J1053" s="92" t="s">
        <v>255</v>
      </c>
      <c r="K1053" s="22" t="str">
        <f>VLOOKUP(CONCATENATE(A1053,LEFT(J1053,4)),AGRUPAMENTO!$D$2:$E$6783,2,FALSE)</f>
        <v>Material de consumo</v>
      </c>
      <c r="L1053" s="92" t="s">
        <v>44</v>
      </c>
      <c r="M1053" s="52"/>
      <c r="N1053" s="52">
        <v>60</v>
      </c>
      <c r="O1053" s="92" t="s">
        <v>3180</v>
      </c>
      <c r="P1053" s="52" t="s">
        <v>58</v>
      </c>
      <c r="Q1053" s="92" t="s">
        <v>3927</v>
      </c>
      <c r="R1053" s="92">
        <v>350</v>
      </c>
      <c r="S1053" s="92" t="s">
        <v>3928</v>
      </c>
      <c r="T1053" s="200">
        <v>48</v>
      </c>
      <c r="U1053" s="201">
        <v>1</v>
      </c>
      <c r="V1053" s="58">
        <f t="shared" si="74"/>
        <v>16800</v>
      </c>
      <c r="W1053" s="92" t="s">
        <v>68</v>
      </c>
      <c r="X1053" s="92" t="s">
        <v>4899</v>
      </c>
      <c r="Y1053" s="92" t="s">
        <v>4673</v>
      </c>
      <c r="Z1053" s="92" t="s">
        <v>4900</v>
      </c>
      <c r="AA1053" s="92">
        <v>4</v>
      </c>
      <c r="AB1053" s="92">
        <v>14</v>
      </c>
      <c r="AC1053" s="92">
        <v>42</v>
      </c>
      <c r="AD1053" s="21">
        <v>0</v>
      </c>
      <c r="AE1053" s="54">
        <v>0</v>
      </c>
      <c r="AF1053" s="315">
        <f t="shared" si="77"/>
        <v>0</v>
      </c>
    </row>
    <row r="1054" spans="1:32" ht="409.5" x14ac:dyDescent="0.25">
      <c r="A1054" s="107" t="s">
        <v>588</v>
      </c>
      <c r="B1054" s="107" t="s">
        <v>2269</v>
      </c>
      <c r="C1054" s="52"/>
      <c r="D1054" s="107" t="s">
        <v>2300</v>
      </c>
      <c r="E1054" s="22" t="str">
        <f t="shared" si="75"/>
        <v>SEJUSPPROG</v>
      </c>
      <c r="F1054" s="52" t="s">
        <v>729</v>
      </c>
      <c r="G1054" s="22" t="str">
        <f t="shared" si="76"/>
        <v>P130SEJUSP</v>
      </c>
      <c r="H1054" s="92" t="s">
        <v>1183</v>
      </c>
      <c r="I1054" s="22" t="s">
        <v>16</v>
      </c>
      <c r="J1054" s="92" t="s">
        <v>255</v>
      </c>
      <c r="K1054" s="22" t="str">
        <f>VLOOKUP(CONCATENATE(A1054,LEFT(J1054,4)),AGRUPAMENTO!$D$2:$E$6783,2,FALSE)</f>
        <v>Material de consumo</v>
      </c>
      <c r="L1054" s="92" t="s">
        <v>44</v>
      </c>
      <c r="M1054" s="52"/>
      <c r="N1054" s="52">
        <v>60</v>
      </c>
      <c r="O1054" s="92" t="s">
        <v>3181</v>
      </c>
      <c r="P1054" s="52" t="s">
        <v>58</v>
      </c>
      <c r="Q1054" s="92" t="s">
        <v>3927</v>
      </c>
      <c r="R1054" s="92">
        <v>350</v>
      </c>
      <c r="S1054" s="92" t="s">
        <v>3928</v>
      </c>
      <c r="T1054" s="200">
        <v>30</v>
      </c>
      <c r="U1054" s="201">
        <v>1</v>
      </c>
      <c r="V1054" s="58">
        <f t="shared" si="74"/>
        <v>10500</v>
      </c>
      <c r="W1054" s="92" t="s">
        <v>68</v>
      </c>
      <c r="X1054" s="92" t="s">
        <v>4899</v>
      </c>
      <c r="Y1054" s="92" t="s">
        <v>4673</v>
      </c>
      <c r="Z1054" s="92" t="s">
        <v>4900</v>
      </c>
      <c r="AA1054" s="92">
        <v>4</v>
      </c>
      <c r="AB1054" s="92">
        <v>14</v>
      </c>
      <c r="AC1054" s="92">
        <v>42</v>
      </c>
      <c r="AD1054" s="21">
        <v>0</v>
      </c>
      <c r="AE1054" s="54">
        <v>0</v>
      </c>
      <c r="AF1054" s="315">
        <f t="shared" si="77"/>
        <v>0</v>
      </c>
    </row>
    <row r="1055" spans="1:32" ht="409.5" x14ac:dyDescent="0.25">
      <c r="A1055" s="107" t="s">
        <v>588</v>
      </c>
      <c r="B1055" s="107" t="s">
        <v>2269</v>
      </c>
      <c r="C1055" s="52"/>
      <c r="D1055" s="107" t="s">
        <v>2300</v>
      </c>
      <c r="E1055" s="22" t="str">
        <f t="shared" si="75"/>
        <v>SEJUSPPROG</v>
      </c>
      <c r="F1055" s="52" t="s">
        <v>729</v>
      </c>
      <c r="G1055" s="22" t="str">
        <f t="shared" si="76"/>
        <v>P130SEJUSP</v>
      </c>
      <c r="H1055" s="92" t="s">
        <v>1183</v>
      </c>
      <c r="I1055" s="22" t="s">
        <v>16</v>
      </c>
      <c r="J1055" s="92" t="s">
        <v>332</v>
      </c>
      <c r="K1055" s="22" t="str">
        <f>VLOOKUP(CONCATENATE(A1055,LEFT(J1055,4)),AGRUPAMENTO!$D$2:$E$6783,2,FALSE)</f>
        <v>Material de consumo</v>
      </c>
      <c r="L1055" s="92" t="s">
        <v>44</v>
      </c>
      <c r="M1055" s="52"/>
      <c r="N1055" s="52">
        <v>60</v>
      </c>
      <c r="O1055" s="92" t="s">
        <v>3182</v>
      </c>
      <c r="P1055" s="52" t="s">
        <v>58</v>
      </c>
      <c r="Q1055" s="92" t="s">
        <v>3927</v>
      </c>
      <c r="R1055" s="92">
        <v>1500</v>
      </c>
      <c r="S1055" s="92" t="s">
        <v>3928</v>
      </c>
      <c r="T1055" s="200">
        <v>43.56</v>
      </c>
      <c r="U1055" s="201">
        <v>1</v>
      </c>
      <c r="V1055" s="58">
        <f t="shared" si="74"/>
        <v>65340</v>
      </c>
      <c r="W1055" s="92" t="s">
        <v>68</v>
      </c>
      <c r="X1055" s="92" t="s">
        <v>4899</v>
      </c>
      <c r="Y1055" s="92" t="s">
        <v>4673</v>
      </c>
      <c r="Z1055" s="92" t="s">
        <v>4900</v>
      </c>
      <c r="AA1055" s="92">
        <v>4</v>
      </c>
      <c r="AB1055" s="92">
        <v>14</v>
      </c>
      <c r="AC1055" s="92">
        <v>42</v>
      </c>
      <c r="AD1055" s="21">
        <v>0</v>
      </c>
      <c r="AE1055" s="54">
        <v>0</v>
      </c>
      <c r="AF1055" s="315">
        <f t="shared" si="77"/>
        <v>0</v>
      </c>
    </row>
    <row r="1056" spans="1:32" ht="409.5" x14ac:dyDescent="0.25">
      <c r="A1056" s="107" t="s">
        <v>588</v>
      </c>
      <c r="B1056" s="107" t="s">
        <v>2269</v>
      </c>
      <c r="C1056" s="52"/>
      <c r="D1056" s="107" t="s">
        <v>2300</v>
      </c>
      <c r="E1056" s="22" t="str">
        <f t="shared" si="75"/>
        <v>SEJUSPPROG</v>
      </c>
      <c r="F1056" s="52" t="s">
        <v>729</v>
      </c>
      <c r="G1056" s="22" t="str">
        <f t="shared" si="76"/>
        <v>P130SEJUSP</v>
      </c>
      <c r="H1056" s="92" t="s">
        <v>1183</v>
      </c>
      <c r="I1056" s="22" t="s">
        <v>16</v>
      </c>
      <c r="J1056" s="92" t="s">
        <v>255</v>
      </c>
      <c r="K1056" s="22" t="str">
        <f>VLOOKUP(CONCATENATE(A1056,LEFT(J1056,4)),AGRUPAMENTO!$D$2:$E$6783,2,FALSE)</f>
        <v>Material de consumo</v>
      </c>
      <c r="L1056" s="92" t="s">
        <v>44</v>
      </c>
      <c r="M1056" s="52"/>
      <c r="N1056" s="52">
        <v>60</v>
      </c>
      <c r="O1056" s="92" t="s">
        <v>3183</v>
      </c>
      <c r="P1056" s="52" t="s">
        <v>58</v>
      </c>
      <c r="Q1056" s="92" t="s">
        <v>3927</v>
      </c>
      <c r="R1056" s="92">
        <v>7000</v>
      </c>
      <c r="S1056" s="92" t="s">
        <v>3928</v>
      </c>
      <c r="T1056" s="200">
        <v>3.5</v>
      </c>
      <c r="U1056" s="201">
        <v>1</v>
      </c>
      <c r="V1056" s="58">
        <f t="shared" si="74"/>
        <v>24500</v>
      </c>
      <c r="W1056" s="92" t="s">
        <v>68</v>
      </c>
      <c r="X1056" s="92" t="s">
        <v>4899</v>
      </c>
      <c r="Y1056" s="92" t="s">
        <v>4673</v>
      </c>
      <c r="Z1056" s="92" t="s">
        <v>4900</v>
      </c>
      <c r="AA1056" s="92">
        <v>4</v>
      </c>
      <c r="AB1056" s="92">
        <v>14</v>
      </c>
      <c r="AC1056" s="92">
        <v>42</v>
      </c>
      <c r="AD1056" s="21">
        <v>0</v>
      </c>
      <c r="AE1056" s="54">
        <v>0</v>
      </c>
      <c r="AF1056" s="315">
        <f t="shared" si="77"/>
        <v>0</v>
      </c>
    </row>
    <row r="1057" spans="1:32" ht="409.5" x14ac:dyDescent="0.25">
      <c r="A1057" s="107" t="s">
        <v>588</v>
      </c>
      <c r="B1057" s="107" t="s">
        <v>2269</v>
      </c>
      <c r="C1057" s="52"/>
      <c r="D1057" s="107" t="s">
        <v>2300</v>
      </c>
      <c r="E1057" s="22" t="str">
        <f t="shared" si="75"/>
        <v>SEJUSPPROG</v>
      </c>
      <c r="F1057" s="52" t="s">
        <v>729</v>
      </c>
      <c r="G1057" s="22" t="str">
        <f t="shared" si="76"/>
        <v>P130SEJUSP</v>
      </c>
      <c r="H1057" s="92" t="s">
        <v>1183</v>
      </c>
      <c r="I1057" s="22" t="s">
        <v>16</v>
      </c>
      <c r="J1057" s="92" t="s">
        <v>1602</v>
      </c>
      <c r="K1057" s="22" t="str">
        <f>VLOOKUP(CONCATENATE(A1057,LEFT(J1057,4)),AGRUPAMENTO!$D$2:$E$6783,2,FALSE)</f>
        <v>Material de consumo</v>
      </c>
      <c r="L1057" s="92" t="s">
        <v>44</v>
      </c>
      <c r="M1057" s="52"/>
      <c r="N1057" s="52">
        <v>60</v>
      </c>
      <c r="O1057" s="92" t="s">
        <v>3184</v>
      </c>
      <c r="P1057" s="52" t="s">
        <v>58</v>
      </c>
      <c r="Q1057" s="92" t="s">
        <v>4034</v>
      </c>
      <c r="R1057" s="92">
        <v>3000</v>
      </c>
      <c r="S1057" s="92" t="s">
        <v>3928</v>
      </c>
      <c r="T1057" s="200">
        <v>6.5</v>
      </c>
      <c r="U1057" s="201">
        <v>1</v>
      </c>
      <c r="V1057" s="58">
        <f t="shared" si="74"/>
        <v>19500</v>
      </c>
      <c r="W1057" s="92" t="s">
        <v>68</v>
      </c>
      <c r="X1057" s="92" t="s">
        <v>4899</v>
      </c>
      <c r="Y1057" s="92" t="s">
        <v>4673</v>
      </c>
      <c r="Z1057" s="92" t="s">
        <v>4905</v>
      </c>
      <c r="AA1057" s="92">
        <v>4</v>
      </c>
      <c r="AB1057" s="92">
        <v>14</v>
      </c>
      <c r="AC1057" s="92">
        <v>42</v>
      </c>
      <c r="AD1057" s="21">
        <v>0</v>
      </c>
      <c r="AE1057" s="54">
        <v>0</v>
      </c>
      <c r="AF1057" s="315">
        <f t="shared" si="77"/>
        <v>0</v>
      </c>
    </row>
    <row r="1058" spans="1:32" ht="255" x14ac:dyDescent="0.25">
      <c r="A1058" s="107" t="s">
        <v>588</v>
      </c>
      <c r="B1058" s="107" t="s">
        <v>2270</v>
      </c>
      <c r="C1058" s="52"/>
      <c r="D1058" s="108" t="s">
        <v>2301</v>
      </c>
      <c r="E1058" s="22" t="str">
        <f t="shared" si="75"/>
        <v>SEJUSPPROG</v>
      </c>
      <c r="F1058" s="52" t="s">
        <v>729</v>
      </c>
      <c r="G1058" s="22" t="str">
        <f t="shared" si="76"/>
        <v>P130SEJUSP</v>
      </c>
      <c r="H1058" s="52" t="s">
        <v>1183</v>
      </c>
      <c r="I1058" s="22" t="s">
        <v>16</v>
      </c>
      <c r="J1058" s="52" t="s">
        <v>1664</v>
      </c>
      <c r="K1058" s="22" t="str">
        <f>VLOOKUP(CONCATENATE(A1058,LEFT(J1058,4)),AGRUPAMENTO!$D$2:$E$6783,2,FALSE)</f>
        <v>Serviços de TIC</v>
      </c>
      <c r="L1058" s="52" t="s">
        <v>44</v>
      </c>
      <c r="M1058" s="52"/>
      <c r="N1058" s="92">
        <v>10</v>
      </c>
      <c r="O1058" s="52" t="s">
        <v>3185</v>
      </c>
      <c r="P1058" s="52" t="s">
        <v>58</v>
      </c>
      <c r="Q1058" s="52" t="s">
        <v>4035</v>
      </c>
      <c r="R1058" s="52">
        <v>200</v>
      </c>
      <c r="S1058" s="52" t="s">
        <v>3981</v>
      </c>
      <c r="T1058" s="88">
        <v>3861.53</v>
      </c>
      <c r="U1058" s="53">
        <v>1</v>
      </c>
      <c r="V1058" s="58">
        <f t="shared" si="74"/>
        <v>772306</v>
      </c>
      <c r="W1058" s="52" t="s">
        <v>68</v>
      </c>
      <c r="X1058" s="52" t="s">
        <v>4906</v>
      </c>
      <c r="Y1058" s="52" t="s">
        <v>4907</v>
      </c>
      <c r="Z1058" s="52" t="s">
        <v>4908</v>
      </c>
      <c r="AA1058" s="52">
        <v>2</v>
      </c>
      <c r="AB1058" s="52">
        <v>15</v>
      </c>
      <c r="AC1058" s="52">
        <v>43</v>
      </c>
      <c r="AD1058" s="21">
        <v>0</v>
      </c>
      <c r="AE1058" s="54">
        <v>0</v>
      </c>
      <c r="AF1058" s="315">
        <f t="shared" si="77"/>
        <v>0</v>
      </c>
    </row>
    <row r="1059" spans="1:32" ht="409.5" x14ac:dyDescent="0.25">
      <c r="A1059" s="107" t="s">
        <v>588</v>
      </c>
      <c r="B1059" s="107" t="s">
        <v>2273</v>
      </c>
      <c r="C1059" s="52"/>
      <c r="D1059" s="107" t="s">
        <v>2294</v>
      </c>
      <c r="E1059" s="22" t="str">
        <f t="shared" si="75"/>
        <v>SEJUSPPROG</v>
      </c>
      <c r="F1059" s="52" t="s">
        <v>699</v>
      </c>
      <c r="G1059" s="22" t="str">
        <f t="shared" si="76"/>
        <v>P141SEJUSP</v>
      </c>
      <c r="H1059" s="52" t="s">
        <v>1403</v>
      </c>
      <c r="I1059" s="22" t="s">
        <v>16</v>
      </c>
      <c r="J1059" s="52" t="s">
        <v>2131</v>
      </c>
      <c r="K1059" s="22" t="str">
        <f>VLOOKUP(CONCATENATE(A1059,LEFT(J1059,4)),AGRUPAMENTO!$D$2:$E$6783,2,FALSE)</f>
        <v>Diárias e viagens</v>
      </c>
      <c r="L1059" s="52" t="s">
        <v>44</v>
      </c>
      <c r="M1059" s="52"/>
      <c r="N1059" s="52">
        <v>10</v>
      </c>
      <c r="O1059" s="52" t="s">
        <v>3029</v>
      </c>
      <c r="P1059" s="52" t="s">
        <v>46</v>
      </c>
      <c r="Q1059" s="52" t="s">
        <v>3952</v>
      </c>
      <c r="R1059" s="52">
        <v>35</v>
      </c>
      <c r="S1059" s="52" t="s">
        <v>3953</v>
      </c>
      <c r="T1059" s="88">
        <v>352</v>
      </c>
      <c r="U1059" s="53">
        <v>1</v>
      </c>
      <c r="V1059" s="58">
        <f t="shared" si="74"/>
        <v>12320</v>
      </c>
      <c r="W1059" s="52" t="s">
        <v>49</v>
      </c>
      <c r="X1059" s="278" t="s">
        <v>4909</v>
      </c>
      <c r="Y1059" s="279" t="s">
        <v>4577</v>
      </c>
      <c r="Z1059" s="278" t="s">
        <v>4578</v>
      </c>
      <c r="AA1059" s="52">
        <v>0</v>
      </c>
      <c r="AB1059" s="52">
        <v>0</v>
      </c>
      <c r="AC1059" s="52">
        <v>0</v>
      </c>
      <c r="AD1059" s="21">
        <v>0.86749884668513244</v>
      </c>
      <c r="AE1059" s="54">
        <v>0.86749884668513244</v>
      </c>
      <c r="AF1059" s="315">
        <f t="shared" si="77"/>
        <v>10687.585791160831</v>
      </c>
    </row>
    <row r="1060" spans="1:32" ht="300" x14ac:dyDescent="0.25">
      <c r="A1060" s="107" t="s">
        <v>588</v>
      </c>
      <c r="B1060" s="107" t="s">
        <v>2269</v>
      </c>
      <c r="C1060" s="52"/>
      <c r="D1060" s="107" t="s">
        <v>2300</v>
      </c>
      <c r="E1060" s="22" t="str">
        <f t="shared" si="75"/>
        <v>SEJUSPPROG</v>
      </c>
      <c r="F1060" s="52" t="s">
        <v>729</v>
      </c>
      <c r="G1060" s="22" t="str">
        <f t="shared" si="76"/>
        <v>P130SEJUSP</v>
      </c>
      <c r="H1060" s="92" t="s">
        <v>1183</v>
      </c>
      <c r="I1060" s="22" t="s">
        <v>16</v>
      </c>
      <c r="J1060" s="92" t="s">
        <v>332</v>
      </c>
      <c r="K1060" s="22" t="str">
        <f>VLOOKUP(CONCATENATE(A1060,LEFT(J1060,4)),AGRUPAMENTO!$D$2:$E$6783,2,FALSE)</f>
        <v>Material de consumo</v>
      </c>
      <c r="L1060" s="92" t="s">
        <v>44</v>
      </c>
      <c r="M1060" s="52"/>
      <c r="N1060" s="52">
        <v>60</v>
      </c>
      <c r="O1060" s="92" t="s">
        <v>3186</v>
      </c>
      <c r="P1060" s="52" t="s">
        <v>58</v>
      </c>
      <c r="Q1060" s="92" t="s">
        <v>3927</v>
      </c>
      <c r="R1060" s="92">
        <v>350</v>
      </c>
      <c r="S1060" s="92" t="s">
        <v>3928</v>
      </c>
      <c r="T1060" s="200">
        <v>405</v>
      </c>
      <c r="U1060" s="201">
        <v>1</v>
      </c>
      <c r="V1060" s="58">
        <f t="shared" si="74"/>
        <v>141750</v>
      </c>
      <c r="W1060" s="92" t="s">
        <v>68</v>
      </c>
      <c r="X1060" s="92" t="s">
        <v>4667</v>
      </c>
      <c r="Y1060" s="92" t="s">
        <v>4668</v>
      </c>
      <c r="Z1060" s="92" t="s">
        <v>4669</v>
      </c>
      <c r="AA1060" s="92">
        <v>3</v>
      </c>
      <c r="AB1060" s="92">
        <v>15</v>
      </c>
      <c r="AC1060" s="92">
        <v>44</v>
      </c>
      <c r="AD1060" s="21">
        <v>0</v>
      </c>
      <c r="AE1060" s="54">
        <v>0</v>
      </c>
      <c r="AF1060" s="315">
        <f t="shared" si="77"/>
        <v>0</v>
      </c>
    </row>
    <row r="1061" spans="1:32" ht="330" x14ac:dyDescent="0.25">
      <c r="A1061" s="107" t="s">
        <v>588</v>
      </c>
      <c r="B1061" s="107" t="s">
        <v>2273</v>
      </c>
      <c r="C1061" s="52"/>
      <c r="D1061" s="107" t="s">
        <v>2294</v>
      </c>
      <c r="E1061" s="22" t="str">
        <f t="shared" si="75"/>
        <v>SEJUSPPROG</v>
      </c>
      <c r="F1061" s="52" t="s">
        <v>699</v>
      </c>
      <c r="G1061" s="22" t="str">
        <f t="shared" si="76"/>
        <v>P141SEJUSP</v>
      </c>
      <c r="H1061" s="52" t="s">
        <v>1403</v>
      </c>
      <c r="I1061" s="22" t="s">
        <v>16</v>
      </c>
      <c r="J1061" s="52" t="s">
        <v>2131</v>
      </c>
      <c r="K1061" s="22" t="str">
        <f>VLOOKUP(CONCATENATE(A1061,LEFT(J1061,4)),AGRUPAMENTO!$D$2:$E$6783,2,FALSE)</f>
        <v>Diárias e viagens</v>
      </c>
      <c r="L1061" s="52" t="s">
        <v>44</v>
      </c>
      <c r="M1061" s="52"/>
      <c r="N1061" s="52">
        <v>10</v>
      </c>
      <c r="O1061" s="52" t="s">
        <v>3029</v>
      </c>
      <c r="P1061" s="52" t="s">
        <v>46</v>
      </c>
      <c r="Q1061" s="52" t="s">
        <v>3952</v>
      </c>
      <c r="R1061" s="52">
        <v>18</v>
      </c>
      <c r="S1061" s="52" t="s">
        <v>3953</v>
      </c>
      <c r="T1061" s="88">
        <v>352</v>
      </c>
      <c r="U1061" s="53">
        <v>1</v>
      </c>
      <c r="V1061" s="58">
        <f t="shared" si="74"/>
        <v>6336</v>
      </c>
      <c r="W1061" s="52" t="s">
        <v>49</v>
      </c>
      <c r="X1061" s="278" t="s">
        <v>4910</v>
      </c>
      <c r="Y1061" s="278" t="s">
        <v>4911</v>
      </c>
      <c r="Z1061" s="278" t="s">
        <v>4912</v>
      </c>
      <c r="AA1061" s="52">
        <v>0</v>
      </c>
      <c r="AB1061" s="52">
        <v>0</v>
      </c>
      <c r="AC1061" s="52">
        <v>0</v>
      </c>
      <c r="AD1061" s="21">
        <v>0.86749884668513244</v>
      </c>
      <c r="AE1061" s="54">
        <v>0.86749884668513244</v>
      </c>
      <c r="AF1061" s="315">
        <f t="shared" si="77"/>
        <v>5496.472692596999</v>
      </c>
    </row>
    <row r="1062" spans="1:32" ht="105" x14ac:dyDescent="0.25">
      <c r="A1062" s="107" t="s">
        <v>588</v>
      </c>
      <c r="B1062" s="107" t="s">
        <v>2273</v>
      </c>
      <c r="C1062" s="52"/>
      <c r="D1062" s="107" t="s">
        <v>2294</v>
      </c>
      <c r="E1062" s="22" t="str">
        <f t="shared" si="75"/>
        <v>SEJUSPPROG</v>
      </c>
      <c r="F1062" s="52" t="s">
        <v>699</v>
      </c>
      <c r="G1062" s="22" t="str">
        <f t="shared" si="76"/>
        <v>P141SEJUSP</v>
      </c>
      <c r="H1062" s="52" t="s">
        <v>1403</v>
      </c>
      <c r="I1062" s="22" t="s">
        <v>16</v>
      </c>
      <c r="J1062" s="52" t="s">
        <v>1633</v>
      </c>
      <c r="K1062" s="22" t="str">
        <f>VLOOKUP(CONCATENATE(A1062,LEFT(J1062,4)),AGRUPAMENTO!$D$2:$E$6783,2,FALSE)</f>
        <v>Terceirizados - MGS</v>
      </c>
      <c r="L1062" s="52" t="s">
        <v>44</v>
      </c>
      <c r="M1062" s="52"/>
      <c r="N1062" s="52">
        <v>10</v>
      </c>
      <c r="O1062" s="52" t="s">
        <v>3187</v>
      </c>
      <c r="P1062" s="52" t="s">
        <v>46</v>
      </c>
      <c r="Q1062" s="52">
        <v>2</v>
      </c>
      <c r="R1062" s="52">
        <v>2</v>
      </c>
      <c r="S1062" s="52" t="s">
        <v>119</v>
      </c>
      <c r="T1062" s="88">
        <v>7836.62</v>
      </c>
      <c r="U1062" s="53">
        <v>13</v>
      </c>
      <c r="V1062" s="58">
        <f t="shared" si="74"/>
        <v>203752.12</v>
      </c>
      <c r="W1062" s="52" t="s">
        <v>49</v>
      </c>
      <c r="X1062" s="278" t="s">
        <v>4913</v>
      </c>
      <c r="Y1062" s="278" t="s">
        <v>4914</v>
      </c>
      <c r="Z1062" s="278" t="s">
        <v>4915</v>
      </c>
      <c r="AA1062" s="52">
        <v>0</v>
      </c>
      <c r="AB1062" s="52">
        <v>0</v>
      </c>
      <c r="AC1062" s="52">
        <v>0</v>
      </c>
      <c r="AD1062" s="21">
        <v>1</v>
      </c>
      <c r="AE1062" s="54">
        <v>1</v>
      </c>
      <c r="AF1062" s="315">
        <f t="shared" si="77"/>
        <v>203752.12</v>
      </c>
    </row>
    <row r="1063" spans="1:32" ht="120" x14ac:dyDescent="0.25">
      <c r="A1063" s="107" t="s">
        <v>588</v>
      </c>
      <c r="B1063" s="107" t="s">
        <v>2273</v>
      </c>
      <c r="C1063" s="52"/>
      <c r="D1063" s="107" t="s">
        <v>2294</v>
      </c>
      <c r="E1063" s="22" t="str">
        <f t="shared" si="75"/>
        <v>SEJUSPPROG</v>
      </c>
      <c r="F1063" s="52" t="s">
        <v>699</v>
      </c>
      <c r="G1063" s="22" t="str">
        <f t="shared" si="76"/>
        <v>P141SEJUSP</v>
      </c>
      <c r="H1063" s="52" t="s">
        <v>1403</v>
      </c>
      <c r="I1063" s="22" t="s">
        <v>16</v>
      </c>
      <c r="J1063" s="52" t="s">
        <v>1633</v>
      </c>
      <c r="K1063" s="22" t="str">
        <f>VLOOKUP(CONCATENATE(A1063,LEFT(J1063,4)),AGRUPAMENTO!$D$2:$E$6783,2,FALSE)</f>
        <v>Terceirizados - MGS</v>
      </c>
      <c r="L1063" s="52" t="s">
        <v>44</v>
      </c>
      <c r="M1063" s="52"/>
      <c r="N1063" s="52">
        <v>10</v>
      </c>
      <c r="O1063" s="52" t="s">
        <v>3188</v>
      </c>
      <c r="P1063" s="52" t="s">
        <v>46</v>
      </c>
      <c r="Q1063" s="52">
        <v>2</v>
      </c>
      <c r="R1063" s="52">
        <v>2</v>
      </c>
      <c r="S1063" s="52" t="s">
        <v>119</v>
      </c>
      <c r="T1063" s="88">
        <v>9501.6200000000008</v>
      </c>
      <c r="U1063" s="53">
        <v>13</v>
      </c>
      <c r="V1063" s="58">
        <f t="shared" si="74"/>
        <v>247042.12000000002</v>
      </c>
      <c r="W1063" s="52" t="s">
        <v>49</v>
      </c>
      <c r="X1063" s="278" t="s">
        <v>4913</v>
      </c>
      <c r="Y1063" s="278" t="s">
        <v>4916</v>
      </c>
      <c r="Z1063" s="278" t="s">
        <v>4915</v>
      </c>
      <c r="AA1063" s="52">
        <v>0</v>
      </c>
      <c r="AB1063" s="52">
        <v>0</v>
      </c>
      <c r="AC1063" s="52">
        <v>0</v>
      </c>
      <c r="AD1063" s="21">
        <v>1</v>
      </c>
      <c r="AE1063" s="54">
        <v>1</v>
      </c>
      <c r="AF1063" s="315">
        <f t="shared" si="77"/>
        <v>247042.12000000002</v>
      </c>
    </row>
    <row r="1064" spans="1:32" ht="75" x14ac:dyDescent="0.25">
      <c r="A1064" s="107" t="s">
        <v>588</v>
      </c>
      <c r="B1064" s="107" t="s">
        <v>2273</v>
      </c>
      <c r="C1064" s="52"/>
      <c r="D1064" s="107" t="s">
        <v>2294</v>
      </c>
      <c r="E1064" s="22" t="str">
        <f t="shared" si="75"/>
        <v>SEJUSPPROG</v>
      </c>
      <c r="F1064" s="52" t="s">
        <v>699</v>
      </c>
      <c r="G1064" s="22" t="str">
        <f t="shared" si="76"/>
        <v>P141SEJUSP</v>
      </c>
      <c r="H1064" s="52" t="s">
        <v>1403</v>
      </c>
      <c r="I1064" s="22" t="s">
        <v>16</v>
      </c>
      <c r="J1064" s="52" t="s">
        <v>1633</v>
      </c>
      <c r="K1064" s="22" t="str">
        <f>VLOOKUP(CONCATENATE(A1064,LEFT(J1064,4)),AGRUPAMENTO!$D$2:$E$6783,2,FALSE)</f>
        <v>Terceirizados - MGS</v>
      </c>
      <c r="L1064" s="52" t="s">
        <v>44</v>
      </c>
      <c r="M1064" s="52"/>
      <c r="N1064" s="52">
        <v>10</v>
      </c>
      <c r="O1064" s="52" t="s">
        <v>3189</v>
      </c>
      <c r="P1064" s="52" t="s">
        <v>46</v>
      </c>
      <c r="Q1064" s="52">
        <v>1</v>
      </c>
      <c r="R1064" s="52">
        <v>1</v>
      </c>
      <c r="S1064" s="52" t="s">
        <v>119</v>
      </c>
      <c r="T1064" s="88">
        <v>4003.56</v>
      </c>
      <c r="U1064" s="53">
        <v>13</v>
      </c>
      <c r="V1064" s="58">
        <f t="shared" si="74"/>
        <v>52046.28</v>
      </c>
      <c r="W1064" s="52" t="s">
        <v>49</v>
      </c>
      <c r="X1064" s="278" t="s">
        <v>4917</v>
      </c>
      <c r="Y1064" s="278" t="s">
        <v>4918</v>
      </c>
      <c r="Z1064" s="278" t="s">
        <v>4919</v>
      </c>
      <c r="AA1064" s="52">
        <v>0</v>
      </c>
      <c r="AB1064" s="52">
        <v>0</v>
      </c>
      <c r="AC1064" s="52">
        <v>0</v>
      </c>
      <c r="AD1064" s="21">
        <v>1</v>
      </c>
      <c r="AE1064" s="54">
        <v>1</v>
      </c>
      <c r="AF1064" s="315">
        <f t="shared" si="77"/>
        <v>52046.28</v>
      </c>
    </row>
    <row r="1065" spans="1:32" ht="135" x14ac:dyDescent="0.25">
      <c r="A1065" s="107" t="s">
        <v>588</v>
      </c>
      <c r="B1065" s="107" t="s">
        <v>2273</v>
      </c>
      <c r="C1065" s="52"/>
      <c r="D1065" s="107" t="s">
        <v>2294</v>
      </c>
      <c r="E1065" s="22" t="str">
        <f t="shared" si="75"/>
        <v>SEJUSPPROG</v>
      </c>
      <c r="F1065" s="52" t="s">
        <v>699</v>
      </c>
      <c r="G1065" s="22" t="str">
        <f t="shared" si="76"/>
        <v>P141SEJUSP</v>
      </c>
      <c r="H1065" s="52" t="s">
        <v>1403</v>
      </c>
      <c r="I1065" s="22" t="s">
        <v>16</v>
      </c>
      <c r="J1065" s="52" t="s">
        <v>405</v>
      </c>
      <c r="K1065" s="22" t="str">
        <f>VLOOKUP(CONCATENATE(A1065,LEFT(J1065,4)),AGRUPAMENTO!$D$2:$E$6783,2,FALSE)</f>
        <v>Material de consumo</v>
      </c>
      <c r="L1065" s="52" t="s">
        <v>44</v>
      </c>
      <c r="M1065" s="52"/>
      <c r="N1065" s="52">
        <v>10</v>
      </c>
      <c r="O1065" s="52" t="s">
        <v>3190</v>
      </c>
      <c r="P1065" s="52" t="s">
        <v>46</v>
      </c>
      <c r="Q1065" s="52">
        <v>1</v>
      </c>
      <c r="R1065" s="52">
        <v>1</v>
      </c>
      <c r="S1065" s="52" t="s">
        <v>4036</v>
      </c>
      <c r="T1065" s="88">
        <v>100</v>
      </c>
      <c r="U1065" s="53">
        <v>12</v>
      </c>
      <c r="V1065" s="58">
        <f t="shared" si="74"/>
        <v>1200</v>
      </c>
      <c r="W1065" s="52" t="s">
        <v>49</v>
      </c>
      <c r="X1065" s="278" t="s">
        <v>4920</v>
      </c>
      <c r="Y1065" s="278" t="s">
        <v>4921</v>
      </c>
      <c r="Z1065" s="278" t="s">
        <v>4922</v>
      </c>
      <c r="AA1065" s="52">
        <v>0</v>
      </c>
      <c r="AB1065" s="52">
        <v>0</v>
      </c>
      <c r="AC1065" s="52">
        <v>0</v>
      </c>
      <c r="AD1065" s="21">
        <v>0.66843255889259856</v>
      </c>
      <c r="AE1065" s="54">
        <v>0.66843255889259856</v>
      </c>
      <c r="AF1065" s="315">
        <f t="shared" si="77"/>
        <v>802.11907067111827</v>
      </c>
    </row>
    <row r="1066" spans="1:32" ht="120" x14ac:dyDescent="0.25">
      <c r="A1066" s="107" t="s">
        <v>588</v>
      </c>
      <c r="B1066" s="107" t="s">
        <v>2273</v>
      </c>
      <c r="C1066" s="52"/>
      <c r="D1066" s="107" t="s">
        <v>2294</v>
      </c>
      <c r="E1066" s="22" t="str">
        <f t="shared" si="75"/>
        <v>SEJUSPPROG</v>
      </c>
      <c r="F1066" s="52" t="s">
        <v>699</v>
      </c>
      <c r="G1066" s="22" t="str">
        <f t="shared" si="76"/>
        <v>P141SEJUSP</v>
      </c>
      <c r="H1066" s="52" t="s">
        <v>1403</v>
      </c>
      <c r="I1066" s="22" t="s">
        <v>16</v>
      </c>
      <c r="J1066" s="52" t="s">
        <v>1628</v>
      </c>
      <c r="K1066" s="22" t="str">
        <f>VLOOKUP(CONCATENATE(A1066,LEFT(J1066,4)),AGRUPAMENTO!$D$2:$E$6783,2,FALSE)</f>
        <v>Pronto Pagamento</v>
      </c>
      <c r="L1066" s="52" t="s">
        <v>44</v>
      </c>
      <c r="M1066" s="52"/>
      <c r="N1066" s="52">
        <v>10</v>
      </c>
      <c r="O1066" s="52" t="s">
        <v>3191</v>
      </c>
      <c r="P1066" s="52" t="s">
        <v>46</v>
      </c>
      <c r="Q1066" s="52">
        <v>1</v>
      </c>
      <c r="R1066" s="52">
        <v>1</v>
      </c>
      <c r="S1066" s="52" t="s">
        <v>4037</v>
      </c>
      <c r="T1066" s="88">
        <v>500</v>
      </c>
      <c r="U1066" s="53">
        <v>12</v>
      </c>
      <c r="V1066" s="58">
        <f t="shared" si="74"/>
        <v>6000</v>
      </c>
      <c r="W1066" s="52" t="s">
        <v>49</v>
      </c>
      <c r="X1066" s="278" t="s">
        <v>4923</v>
      </c>
      <c r="Y1066" s="278" t="s">
        <v>4924</v>
      </c>
      <c r="Z1066" s="278" t="s">
        <v>4925</v>
      </c>
      <c r="AA1066" s="52">
        <v>0</v>
      </c>
      <c r="AB1066" s="52">
        <v>0</v>
      </c>
      <c r="AC1066" s="52">
        <v>0</v>
      </c>
      <c r="AD1066" s="21">
        <v>1</v>
      </c>
      <c r="AE1066" s="54">
        <v>1</v>
      </c>
      <c r="AF1066" s="315">
        <f t="shared" si="77"/>
        <v>6000</v>
      </c>
    </row>
    <row r="1067" spans="1:32" ht="90" x14ac:dyDescent="0.25">
      <c r="A1067" s="107" t="s">
        <v>588</v>
      </c>
      <c r="B1067" s="107" t="s">
        <v>2273</v>
      </c>
      <c r="C1067" s="52"/>
      <c r="D1067" s="107" t="s">
        <v>2303</v>
      </c>
      <c r="E1067" s="22" t="str">
        <f t="shared" si="75"/>
        <v>SEJUSPPROG</v>
      </c>
      <c r="F1067" s="52" t="s">
        <v>699</v>
      </c>
      <c r="G1067" s="22" t="str">
        <f t="shared" si="76"/>
        <v>P141SEJUSP</v>
      </c>
      <c r="H1067" s="52" t="s">
        <v>1403</v>
      </c>
      <c r="I1067" s="22" t="s">
        <v>16</v>
      </c>
      <c r="J1067" s="52" t="s">
        <v>1632</v>
      </c>
      <c r="K1067" s="22" t="str">
        <f>VLOOKUP(CONCATENATE(A1067,LEFT(J1067,4)),AGRUPAMENTO!$D$2:$E$6783,2,FALSE)</f>
        <v>Terceirizados - MGS</v>
      </c>
      <c r="L1067" s="52" t="s">
        <v>44</v>
      </c>
      <c r="M1067" s="52"/>
      <c r="N1067" s="52">
        <v>10</v>
      </c>
      <c r="O1067" s="52" t="s">
        <v>3192</v>
      </c>
      <c r="P1067" s="52" t="s">
        <v>46</v>
      </c>
      <c r="Q1067" s="52" t="s">
        <v>4038</v>
      </c>
      <c r="R1067" s="52">
        <v>1</v>
      </c>
      <c r="S1067" s="52" t="s">
        <v>4039</v>
      </c>
      <c r="T1067" s="88">
        <v>13180.08</v>
      </c>
      <c r="U1067" s="53">
        <v>13</v>
      </c>
      <c r="V1067" s="58">
        <f t="shared" si="74"/>
        <v>171341.04</v>
      </c>
      <c r="W1067" s="52" t="s">
        <v>49</v>
      </c>
      <c r="X1067" s="238" t="s">
        <v>4926</v>
      </c>
      <c r="Y1067" s="238" t="s">
        <v>4927</v>
      </c>
      <c r="Z1067" s="238" t="s">
        <v>4928</v>
      </c>
      <c r="AA1067" s="52">
        <v>0</v>
      </c>
      <c r="AB1067" s="52">
        <v>0</v>
      </c>
      <c r="AC1067" s="52">
        <v>0</v>
      </c>
      <c r="AD1067" s="21">
        <v>1</v>
      </c>
      <c r="AE1067" s="54">
        <v>1</v>
      </c>
      <c r="AF1067" s="315">
        <f t="shared" si="77"/>
        <v>171341.04</v>
      </c>
    </row>
    <row r="1068" spans="1:32" ht="195" x14ac:dyDescent="0.25">
      <c r="A1068" s="107" t="s">
        <v>588</v>
      </c>
      <c r="B1068" s="107" t="s">
        <v>2273</v>
      </c>
      <c r="C1068" s="52"/>
      <c r="D1068" s="107" t="s">
        <v>2303</v>
      </c>
      <c r="E1068" s="22" t="str">
        <f t="shared" si="75"/>
        <v>SEJUSPPROG</v>
      </c>
      <c r="F1068" s="52" t="s">
        <v>699</v>
      </c>
      <c r="G1068" s="22" t="str">
        <f t="shared" si="76"/>
        <v>P141SEJUSP</v>
      </c>
      <c r="H1068" s="52" t="s">
        <v>1403</v>
      </c>
      <c r="I1068" s="22" t="s">
        <v>16</v>
      </c>
      <c r="J1068" s="52" t="s">
        <v>1633</v>
      </c>
      <c r="K1068" s="22" t="str">
        <f>VLOOKUP(CONCATENATE(A1068,LEFT(J1068,4)),AGRUPAMENTO!$D$2:$E$6783,2,FALSE)</f>
        <v>Terceirizados - MGS</v>
      </c>
      <c r="L1068" s="52" t="s">
        <v>44</v>
      </c>
      <c r="M1068" s="52"/>
      <c r="N1068" s="52">
        <v>10</v>
      </c>
      <c r="O1068" s="52" t="s">
        <v>3193</v>
      </c>
      <c r="P1068" s="52" t="s">
        <v>46</v>
      </c>
      <c r="Q1068" s="52" t="s">
        <v>4038</v>
      </c>
      <c r="R1068" s="52">
        <v>1</v>
      </c>
      <c r="S1068" s="52" t="s">
        <v>4039</v>
      </c>
      <c r="T1068" s="88">
        <v>500</v>
      </c>
      <c r="U1068" s="53">
        <v>12</v>
      </c>
      <c r="V1068" s="58">
        <f t="shared" si="74"/>
        <v>6000</v>
      </c>
      <c r="W1068" s="52" t="s">
        <v>49</v>
      </c>
      <c r="X1068" s="238" t="s">
        <v>4926</v>
      </c>
      <c r="Y1068" s="238" t="s">
        <v>4929</v>
      </c>
      <c r="Z1068" s="238" t="s">
        <v>4930</v>
      </c>
      <c r="AA1068" s="52">
        <v>0</v>
      </c>
      <c r="AB1068" s="52">
        <v>0</v>
      </c>
      <c r="AC1068" s="52">
        <v>0</v>
      </c>
      <c r="AD1068" s="21">
        <v>1</v>
      </c>
      <c r="AE1068" s="54">
        <v>1</v>
      </c>
      <c r="AF1068" s="315">
        <f t="shared" si="77"/>
        <v>6000</v>
      </c>
    </row>
    <row r="1069" spans="1:32" ht="195" x14ac:dyDescent="0.25">
      <c r="A1069" s="107" t="s">
        <v>588</v>
      </c>
      <c r="B1069" s="107" t="s">
        <v>2273</v>
      </c>
      <c r="C1069" s="52"/>
      <c r="D1069" s="107" t="s">
        <v>2303</v>
      </c>
      <c r="E1069" s="22" t="str">
        <f t="shared" si="75"/>
        <v>SEJUSPPROG</v>
      </c>
      <c r="F1069" s="52" t="s">
        <v>699</v>
      </c>
      <c r="G1069" s="22" t="str">
        <f t="shared" si="76"/>
        <v>P141SEJUSP</v>
      </c>
      <c r="H1069" s="52" t="s">
        <v>1393</v>
      </c>
      <c r="I1069" s="22" t="s">
        <v>16</v>
      </c>
      <c r="J1069" s="52" t="s">
        <v>1750</v>
      </c>
      <c r="K1069" s="22" t="str">
        <f>VLOOKUP(CONCATENATE(A1069,LEFT(J1069,4)),AGRUPAMENTO!$D$2:$E$6783,2,FALSE)</f>
        <v>SUBVENÇÕES SOCIAIS</v>
      </c>
      <c r="L1069" s="52" t="s">
        <v>44</v>
      </c>
      <c r="M1069" s="52"/>
      <c r="N1069" s="52">
        <v>10</v>
      </c>
      <c r="O1069" s="52" t="s">
        <v>3194</v>
      </c>
      <c r="P1069" s="52" t="s">
        <v>46</v>
      </c>
      <c r="Q1069" s="52" t="s">
        <v>4040</v>
      </c>
      <c r="R1069" s="52">
        <v>13</v>
      </c>
      <c r="S1069" s="52" t="s">
        <v>4041</v>
      </c>
      <c r="T1069" s="88">
        <v>80000</v>
      </c>
      <c r="U1069" s="53">
        <v>2</v>
      </c>
      <c r="V1069" s="58">
        <f t="shared" si="74"/>
        <v>2080000</v>
      </c>
      <c r="W1069" s="52" t="s">
        <v>49</v>
      </c>
      <c r="X1069" s="238" t="s">
        <v>4931</v>
      </c>
      <c r="Y1069" s="238" t="s">
        <v>4932</v>
      </c>
      <c r="Z1069" s="238" t="s">
        <v>4933</v>
      </c>
      <c r="AA1069" s="52">
        <v>0</v>
      </c>
      <c r="AB1069" s="52">
        <v>0</v>
      </c>
      <c r="AC1069" s="52">
        <v>0</v>
      </c>
      <c r="AD1069" s="21">
        <v>0.97618154946514557</v>
      </c>
      <c r="AE1069" s="54">
        <v>0.97618154946514557</v>
      </c>
      <c r="AF1069" s="315">
        <f t="shared" si="77"/>
        <v>2030457.6228875029</v>
      </c>
    </row>
    <row r="1070" spans="1:32" ht="105" x14ac:dyDescent="0.25">
      <c r="A1070" s="107" t="s">
        <v>588</v>
      </c>
      <c r="B1070" s="107" t="s">
        <v>2273</v>
      </c>
      <c r="C1070" s="52"/>
      <c r="D1070" s="107" t="s">
        <v>2303</v>
      </c>
      <c r="E1070" s="22" t="str">
        <f t="shared" si="75"/>
        <v>SEJUSPPROG</v>
      </c>
      <c r="F1070" s="52" t="s">
        <v>699</v>
      </c>
      <c r="G1070" s="22" t="str">
        <f t="shared" si="76"/>
        <v>P141SEJUSP</v>
      </c>
      <c r="H1070" s="52" t="s">
        <v>1393</v>
      </c>
      <c r="I1070" s="22" t="s">
        <v>16</v>
      </c>
      <c r="J1070" s="52" t="s">
        <v>1644</v>
      </c>
      <c r="K1070" s="22" t="str">
        <f>VLOOKUP(CONCATENATE(A1070,LEFT(J1070,4)),AGRUPAMENTO!$D$2:$E$6783,2,FALSE)</f>
        <v>Cursos de formação e capacitações</v>
      </c>
      <c r="L1070" s="52" t="s">
        <v>44</v>
      </c>
      <c r="M1070" s="52"/>
      <c r="N1070" s="52">
        <v>10</v>
      </c>
      <c r="O1070" s="52" t="s">
        <v>3195</v>
      </c>
      <c r="P1070" s="52" t="s">
        <v>46</v>
      </c>
      <c r="Q1070" s="235" t="s">
        <v>3195</v>
      </c>
      <c r="R1070" s="235">
        <v>1</v>
      </c>
      <c r="S1070" s="235" t="s">
        <v>3884</v>
      </c>
      <c r="T1070" s="236">
        <v>200000</v>
      </c>
      <c r="U1070" s="237">
        <v>1</v>
      </c>
      <c r="V1070" s="58">
        <f t="shared" si="74"/>
        <v>200000</v>
      </c>
      <c r="W1070" s="52" t="s">
        <v>49</v>
      </c>
      <c r="X1070" s="238" t="s">
        <v>4934</v>
      </c>
      <c r="Y1070" s="303" t="s">
        <v>4935</v>
      </c>
      <c r="Z1070" s="238" t="s">
        <v>4936</v>
      </c>
      <c r="AA1070" s="52">
        <v>0</v>
      </c>
      <c r="AB1070" s="52">
        <v>0</v>
      </c>
      <c r="AC1070" s="52">
        <v>0</v>
      </c>
      <c r="AD1070" s="21">
        <v>1</v>
      </c>
      <c r="AE1070" s="54">
        <v>1</v>
      </c>
      <c r="AF1070" s="315">
        <f t="shared" si="77"/>
        <v>200000</v>
      </c>
    </row>
    <row r="1071" spans="1:32" ht="409.5" x14ac:dyDescent="0.25">
      <c r="A1071" s="107" t="s">
        <v>588</v>
      </c>
      <c r="B1071" s="107" t="s">
        <v>2273</v>
      </c>
      <c r="C1071" s="52"/>
      <c r="D1071" s="107" t="s">
        <v>2303</v>
      </c>
      <c r="E1071" s="22" t="str">
        <f t="shared" si="75"/>
        <v>SEJUSPPROG</v>
      </c>
      <c r="F1071" s="52" t="s">
        <v>699</v>
      </c>
      <c r="G1071" s="22" t="str">
        <f t="shared" si="76"/>
        <v>P141SEJUSP</v>
      </c>
      <c r="H1071" s="52" t="s">
        <v>1393</v>
      </c>
      <c r="I1071" s="22" t="s">
        <v>16</v>
      </c>
      <c r="J1071" s="52" t="s">
        <v>1664</v>
      </c>
      <c r="K1071" s="22" t="str">
        <f>VLOOKUP(CONCATENATE(A1071,LEFT(J1071,4)),AGRUPAMENTO!$D$2:$E$6783,2,FALSE)</f>
        <v>Serviços de TIC</v>
      </c>
      <c r="L1071" s="52" t="s">
        <v>44</v>
      </c>
      <c r="M1071" s="52"/>
      <c r="N1071" s="52">
        <v>10</v>
      </c>
      <c r="O1071" s="52" t="s">
        <v>3196</v>
      </c>
      <c r="P1071" s="52" t="s">
        <v>46</v>
      </c>
      <c r="Q1071" s="238" t="s">
        <v>4042</v>
      </c>
      <c r="R1071" s="235">
        <v>1</v>
      </c>
      <c r="S1071" s="235" t="s">
        <v>4043</v>
      </c>
      <c r="T1071" s="236">
        <v>28890</v>
      </c>
      <c r="U1071" s="237">
        <v>12</v>
      </c>
      <c r="V1071" s="58">
        <f t="shared" si="74"/>
        <v>346680</v>
      </c>
      <c r="W1071" s="52" t="s">
        <v>49</v>
      </c>
      <c r="X1071" s="238" t="s">
        <v>4937</v>
      </c>
      <c r="Y1071" s="238" t="s">
        <v>4938</v>
      </c>
      <c r="Z1071" s="238" t="s">
        <v>4939</v>
      </c>
      <c r="AA1071" s="52">
        <v>0</v>
      </c>
      <c r="AB1071" s="52">
        <v>0</v>
      </c>
      <c r="AC1071" s="52">
        <v>0</v>
      </c>
      <c r="AD1071" s="21">
        <v>0.78045682583967335</v>
      </c>
      <c r="AE1071" s="54">
        <v>0.78045682583967335</v>
      </c>
      <c r="AF1071" s="315">
        <f t="shared" si="77"/>
        <v>270568.77238209796</v>
      </c>
    </row>
    <row r="1072" spans="1:32" ht="225" x14ac:dyDescent="0.25">
      <c r="A1072" s="107" t="s">
        <v>588</v>
      </c>
      <c r="B1072" s="107" t="s">
        <v>2273</v>
      </c>
      <c r="C1072" s="52"/>
      <c r="D1072" s="107" t="s">
        <v>2303</v>
      </c>
      <c r="E1072" s="22" t="str">
        <f t="shared" si="75"/>
        <v>SEJUSPPROG</v>
      </c>
      <c r="F1072" s="52" t="s">
        <v>699</v>
      </c>
      <c r="G1072" s="22" t="str">
        <f t="shared" si="76"/>
        <v>P141SEJUSP</v>
      </c>
      <c r="H1072" s="52" t="s">
        <v>1393</v>
      </c>
      <c r="I1072" s="22" t="s">
        <v>16</v>
      </c>
      <c r="J1072" s="52" t="s">
        <v>2131</v>
      </c>
      <c r="K1072" s="22" t="str">
        <f>VLOOKUP(CONCATENATE(A1072,LEFT(J1072,4)),AGRUPAMENTO!$D$2:$E$6783,2,FALSE)</f>
        <v>Diárias e viagens</v>
      </c>
      <c r="L1072" s="52" t="s">
        <v>44</v>
      </c>
      <c r="M1072" s="52"/>
      <c r="N1072" s="52">
        <v>10</v>
      </c>
      <c r="O1072" s="52" t="s">
        <v>3197</v>
      </c>
      <c r="P1072" s="52" t="s">
        <v>46</v>
      </c>
      <c r="Q1072" s="238" t="s">
        <v>4044</v>
      </c>
      <c r="R1072" s="235">
        <v>9</v>
      </c>
      <c r="S1072" s="235">
        <v>110</v>
      </c>
      <c r="T1072" s="236">
        <v>362</v>
      </c>
      <c r="U1072" s="237">
        <v>12</v>
      </c>
      <c r="V1072" s="58">
        <f t="shared" si="74"/>
        <v>39096</v>
      </c>
      <c r="W1072" s="52" t="s">
        <v>49</v>
      </c>
      <c r="X1072" s="238" t="s">
        <v>4940</v>
      </c>
      <c r="Y1072" s="238" t="s">
        <v>4941</v>
      </c>
      <c r="Z1072" s="238" t="s">
        <v>4942</v>
      </c>
      <c r="AA1072" s="52">
        <v>0</v>
      </c>
      <c r="AB1072" s="52">
        <v>0</v>
      </c>
      <c r="AC1072" s="52">
        <v>0</v>
      </c>
      <c r="AD1072" s="21">
        <v>0.86749884668513244</v>
      </c>
      <c r="AE1072" s="54">
        <v>0.86749884668513244</v>
      </c>
      <c r="AF1072" s="315">
        <f t="shared" si="77"/>
        <v>33915.734910001935</v>
      </c>
    </row>
    <row r="1073" spans="1:32" ht="165" x14ac:dyDescent="0.25">
      <c r="A1073" s="107" t="s">
        <v>588</v>
      </c>
      <c r="B1073" s="107" t="s">
        <v>2273</v>
      </c>
      <c r="C1073" s="52"/>
      <c r="D1073" s="107" t="s">
        <v>2303</v>
      </c>
      <c r="E1073" s="22" t="str">
        <f t="shared" si="75"/>
        <v>SEJUSPPROG</v>
      </c>
      <c r="F1073" s="52" t="s">
        <v>699</v>
      </c>
      <c r="G1073" s="22" t="str">
        <f t="shared" si="76"/>
        <v>P141SEJUSP</v>
      </c>
      <c r="H1073" s="52" t="s">
        <v>1393</v>
      </c>
      <c r="I1073" s="22" t="s">
        <v>16</v>
      </c>
      <c r="J1073" s="52" t="s">
        <v>1634</v>
      </c>
      <c r="K1073" s="22" t="str">
        <f>VLOOKUP(CONCATENATE(A1073,LEFT(J1073,4)),AGRUPAMENTO!$D$2:$E$6783,2,FALSE)</f>
        <v>Alimentação</v>
      </c>
      <c r="L1073" s="52" t="s">
        <v>44</v>
      </c>
      <c r="M1073" s="52"/>
      <c r="N1073" s="52">
        <v>10</v>
      </c>
      <c r="O1073" s="52" t="s">
        <v>3198</v>
      </c>
      <c r="P1073" s="52" t="s">
        <v>46</v>
      </c>
      <c r="Q1073" s="238" t="s">
        <v>4045</v>
      </c>
      <c r="R1073" s="235">
        <v>2</v>
      </c>
      <c r="S1073" s="235" t="s">
        <v>4046</v>
      </c>
      <c r="T1073" s="236">
        <v>750</v>
      </c>
      <c r="U1073" s="237">
        <v>2</v>
      </c>
      <c r="V1073" s="58">
        <f t="shared" si="74"/>
        <v>3000</v>
      </c>
      <c r="W1073" s="52" t="s">
        <v>49</v>
      </c>
      <c r="X1073" s="238" t="s">
        <v>4940</v>
      </c>
      <c r="Y1073" s="238" t="s">
        <v>4943</v>
      </c>
      <c r="Z1073" s="238" t="s">
        <v>4942</v>
      </c>
      <c r="AA1073" s="52">
        <v>0</v>
      </c>
      <c r="AB1073" s="52">
        <v>0</v>
      </c>
      <c r="AC1073" s="52">
        <v>0</v>
      </c>
      <c r="AD1073" s="21">
        <v>0.8985711123657989</v>
      </c>
      <c r="AE1073" s="54">
        <v>0.8985711123657989</v>
      </c>
      <c r="AF1073" s="315">
        <f t="shared" si="77"/>
        <v>2695.7133370973966</v>
      </c>
    </row>
    <row r="1074" spans="1:32" ht="120" x14ac:dyDescent="0.25">
      <c r="A1074" s="107" t="s">
        <v>588</v>
      </c>
      <c r="B1074" s="107" t="s">
        <v>2273</v>
      </c>
      <c r="C1074" s="52"/>
      <c r="D1074" s="107" t="s">
        <v>2303</v>
      </c>
      <c r="E1074" s="22" t="str">
        <f t="shared" si="75"/>
        <v>SEJUSPPROG</v>
      </c>
      <c r="F1074" s="52" t="s">
        <v>699</v>
      </c>
      <c r="G1074" s="22" t="str">
        <f t="shared" si="76"/>
        <v>P141SEJUSP</v>
      </c>
      <c r="H1074" s="52" t="s">
        <v>1403</v>
      </c>
      <c r="I1074" s="22" t="s">
        <v>16</v>
      </c>
      <c r="J1074" s="52" t="s">
        <v>1632</v>
      </c>
      <c r="K1074" s="22" t="str">
        <f>VLOOKUP(CONCATENATE(A1074,LEFT(J1074,4)),AGRUPAMENTO!$D$2:$E$6783,2,FALSE)</f>
        <v>Terceirizados - MGS</v>
      </c>
      <c r="L1074" s="52" t="s">
        <v>44</v>
      </c>
      <c r="M1074" s="52"/>
      <c r="N1074" s="52">
        <v>10</v>
      </c>
      <c r="O1074" s="52" t="s">
        <v>3192</v>
      </c>
      <c r="P1074" s="52" t="s">
        <v>46</v>
      </c>
      <c r="Q1074" s="52" t="s">
        <v>4047</v>
      </c>
      <c r="R1074" s="52">
        <v>1</v>
      </c>
      <c r="S1074" s="52" t="s">
        <v>4039</v>
      </c>
      <c r="T1074" s="88">
        <v>9800</v>
      </c>
      <c r="U1074" s="53">
        <v>13</v>
      </c>
      <c r="V1074" s="58">
        <f t="shared" si="74"/>
        <v>127400</v>
      </c>
      <c r="W1074" s="52" t="s">
        <v>49</v>
      </c>
      <c r="X1074" s="238" t="s">
        <v>4944</v>
      </c>
      <c r="Y1074" s="238" t="s">
        <v>4945</v>
      </c>
      <c r="Z1074" s="238" t="s">
        <v>4928</v>
      </c>
      <c r="AA1074" s="52">
        <v>0</v>
      </c>
      <c r="AB1074" s="52">
        <v>0</v>
      </c>
      <c r="AC1074" s="52">
        <v>0</v>
      </c>
      <c r="AD1074" s="21">
        <v>1</v>
      </c>
      <c r="AE1074" s="54">
        <v>1</v>
      </c>
      <c r="AF1074" s="315">
        <f t="shared" si="77"/>
        <v>127400</v>
      </c>
    </row>
    <row r="1075" spans="1:32" ht="120" x14ac:dyDescent="0.25">
      <c r="A1075" s="107" t="s">
        <v>588</v>
      </c>
      <c r="B1075" s="107" t="s">
        <v>2273</v>
      </c>
      <c r="C1075" s="52"/>
      <c r="D1075" s="107" t="s">
        <v>2303</v>
      </c>
      <c r="E1075" s="22" t="str">
        <f t="shared" si="75"/>
        <v>SEJUSPPROG</v>
      </c>
      <c r="F1075" s="52" t="s">
        <v>699</v>
      </c>
      <c r="G1075" s="22" t="str">
        <f t="shared" si="76"/>
        <v>P141SEJUSP</v>
      </c>
      <c r="H1075" s="52" t="s">
        <v>1403</v>
      </c>
      <c r="I1075" s="22" t="s">
        <v>16</v>
      </c>
      <c r="J1075" s="52" t="s">
        <v>1633</v>
      </c>
      <c r="K1075" s="22" t="str">
        <f>VLOOKUP(CONCATENATE(A1075,LEFT(J1075,4)),AGRUPAMENTO!$D$2:$E$6783,2,FALSE)</f>
        <v>Terceirizados - MGS</v>
      </c>
      <c r="L1075" s="52" t="s">
        <v>44</v>
      </c>
      <c r="M1075" s="52"/>
      <c r="N1075" s="52">
        <v>10</v>
      </c>
      <c r="O1075" s="52" t="s">
        <v>3193</v>
      </c>
      <c r="P1075" s="52" t="s">
        <v>46</v>
      </c>
      <c r="Q1075" s="52" t="s">
        <v>4047</v>
      </c>
      <c r="R1075" s="52">
        <v>1</v>
      </c>
      <c r="S1075" s="52" t="s">
        <v>4039</v>
      </c>
      <c r="T1075" s="88">
        <v>1000</v>
      </c>
      <c r="U1075" s="53">
        <v>12</v>
      </c>
      <c r="V1075" s="58">
        <f t="shared" si="74"/>
        <v>12000</v>
      </c>
      <c r="W1075" s="52" t="s">
        <v>49</v>
      </c>
      <c r="X1075" s="238" t="s">
        <v>4944</v>
      </c>
      <c r="Y1075" s="238" t="s">
        <v>4945</v>
      </c>
      <c r="Z1075" s="238" t="s">
        <v>4928</v>
      </c>
      <c r="AA1075" s="52">
        <v>0</v>
      </c>
      <c r="AB1075" s="52">
        <v>0</v>
      </c>
      <c r="AC1075" s="52">
        <v>0</v>
      </c>
      <c r="AD1075" s="21">
        <v>1</v>
      </c>
      <c r="AE1075" s="54">
        <v>1</v>
      </c>
      <c r="AF1075" s="315">
        <f t="shared" si="77"/>
        <v>12000</v>
      </c>
    </row>
    <row r="1076" spans="1:32" ht="75" x14ac:dyDescent="0.25">
      <c r="A1076" s="107" t="s">
        <v>588</v>
      </c>
      <c r="B1076" s="107" t="s">
        <v>2273</v>
      </c>
      <c r="C1076" s="52"/>
      <c r="D1076" s="107" t="s">
        <v>2303</v>
      </c>
      <c r="E1076" s="22" t="str">
        <f t="shared" si="75"/>
        <v>SEJUSPPROG</v>
      </c>
      <c r="F1076" s="52" t="s">
        <v>699</v>
      </c>
      <c r="G1076" s="22" t="str">
        <f t="shared" si="76"/>
        <v>P141SEJUSP</v>
      </c>
      <c r="H1076" s="52" t="s">
        <v>1403</v>
      </c>
      <c r="I1076" s="22" t="s">
        <v>16</v>
      </c>
      <c r="J1076" s="52" t="s">
        <v>1690</v>
      </c>
      <c r="K1076" s="22" t="str">
        <f>VLOOKUP(CONCATENATE(A1076,LEFT(J1076,4)),AGRUPAMENTO!$D$2:$E$6783,2,FALSE)</f>
        <v>Estagiários</v>
      </c>
      <c r="L1076" s="52" t="s">
        <v>44</v>
      </c>
      <c r="M1076" s="52"/>
      <c r="N1076" s="52">
        <v>10</v>
      </c>
      <c r="O1076" s="52" t="s">
        <v>3022</v>
      </c>
      <c r="P1076" s="52" t="s">
        <v>46</v>
      </c>
      <c r="Q1076" s="52" t="s">
        <v>4048</v>
      </c>
      <c r="R1076" s="52">
        <v>1</v>
      </c>
      <c r="S1076" s="52" t="s">
        <v>3943</v>
      </c>
      <c r="T1076" s="88">
        <v>1551.21</v>
      </c>
      <c r="U1076" s="53">
        <v>12</v>
      </c>
      <c r="V1076" s="58">
        <f t="shared" si="74"/>
        <v>18614.52</v>
      </c>
      <c r="W1076" s="52" t="s">
        <v>49</v>
      </c>
      <c r="X1076" s="52" t="s">
        <v>4346</v>
      </c>
      <c r="Y1076" s="52" t="s">
        <v>4344</v>
      </c>
      <c r="Z1076" s="52" t="s">
        <v>4345</v>
      </c>
      <c r="AA1076" s="52">
        <v>0</v>
      </c>
      <c r="AB1076" s="52">
        <v>0</v>
      </c>
      <c r="AC1076" s="52">
        <v>0</v>
      </c>
      <c r="AD1076" s="21">
        <v>1</v>
      </c>
      <c r="AE1076" s="54">
        <v>1</v>
      </c>
      <c r="AF1076" s="315">
        <f t="shared" si="77"/>
        <v>18614.52</v>
      </c>
    </row>
    <row r="1077" spans="1:32" ht="300" x14ac:dyDescent="0.25">
      <c r="A1077" s="107" t="s">
        <v>588</v>
      </c>
      <c r="B1077" s="107" t="s">
        <v>2269</v>
      </c>
      <c r="C1077" s="52"/>
      <c r="D1077" s="107" t="s">
        <v>2300</v>
      </c>
      <c r="E1077" s="22" t="str">
        <f t="shared" si="75"/>
        <v>SEJUSPPROG</v>
      </c>
      <c r="F1077" s="52" t="s">
        <v>729</v>
      </c>
      <c r="G1077" s="22" t="str">
        <f t="shared" si="76"/>
        <v>P130SEJUSP</v>
      </c>
      <c r="H1077" s="92" t="s">
        <v>1183</v>
      </c>
      <c r="I1077" s="22" t="s">
        <v>16</v>
      </c>
      <c r="J1077" s="92" t="s">
        <v>332</v>
      </c>
      <c r="K1077" s="22" t="str">
        <f>VLOOKUP(CONCATENATE(A1077,LEFT(J1077,4)),AGRUPAMENTO!$D$2:$E$6783,2,FALSE)</f>
        <v>Material de consumo</v>
      </c>
      <c r="L1077" s="92" t="s">
        <v>44</v>
      </c>
      <c r="M1077" s="52"/>
      <c r="N1077" s="52">
        <v>60</v>
      </c>
      <c r="O1077" s="92" t="s">
        <v>3199</v>
      </c>
      <c r="P1077" s="52" t="s">
        <v>58</v>
      </c>
      <c r="Q1077" s="92" t="s">
        <v>3927</v>
      </c>
      <c r="R1077" s="92">
        <v>350</v>
      </c>
      <c r="S1077" s="92" t="s">
        <v>3928</v>
      </c>
      <c r="T1077" s="200">
        <v>48.2</v>
      </c>
      <c r="U1077" s="201">
        <v>1</v>
      </c>
      <c r="V1077" s="58">
        <f t="shared" si="74"/>
        <v>16870</v>
      </c>
      <c r="W1077" s="92" t="s">
        <v>68</v>
      </c>
      <c r="X1077" s="92" t="s">
        <v>4667</v>
      </c>
      <c r="Y1077" s="92" t="s">
        <v>4668</v>
      </c>
      <c r="Z1077" s="92" t="s">
        <v>4669</v>
      </c>
      <c r="AA1077" s="92">
        <v>3</v>
      </c>
      <c r="AB1077" s="92">
        <v>15</v>
      </c>
      <c r="AC1077" s="92">
        <v>44</v>
      </c>
      <c r="AD1077" s="21">
        <v>0</v>
      </c>
      <c r="AE1077" s="54">
        <v>0</v>
      </c>
      <c r="AF1077" s="315">
        <f t="shared" si="77"/>
        <v>0</v>
      </c>
    </row>
    <row r="1078" spans="1:32" ht="90" x14ac:dyDescent="0.25">
      <c r="A1078" s="107" t="s">
        <v>588</v>
      </c>
      <c r="B1078" s="107" t="s">
        <v>2273</v>
      </c>
      <c r="C1078" s="52"/>
      <c r="D1078" s="107" t="s">
        <v>2303</v>
      </c>
      <c r="E1078" s="22" t="str">
        <f t="shared" si="75"/>
        <v>SEJUSPPROG</v>
      </c>
      <c r="F1078" s="52" t="s">
        <v>699</v>
      </c>
      <c r="G1078" s="22" t="str">
        <f t="shared" si="76"/>
        <v>P141SEJUSP</v>
      </c>
      <c r="H1078" s="52" t="s">
        <v>1393</v>
      </c>
      <c r="I1078" s="22" t="s">
        <v>16</v>
      </c>
      <c r="J1078" s="52" t="s">
        <v>1632</v>
      </c>
      <c r="K1078" s="22" t="str">
        <f>VLOOKUP(CONCATENATE(A1078,LEFT(J1078,4)),AGRUPAMENTO!$D$2:$E$6783,2,FALSE)</f>
        <v>Terceirizados - MGS</v>
      </c>
      <c r="L1078" s="52" t="s">
        <v>44</v>
      </c>
      <c r="M1078" s="52"/>
      <c r="N1078" s="52">
        <v>10</v>
      </c>
      <c r="O1078" s="52" t="s">
        <v>3192</v>
      </c>
      <c r="P1078" s="52" t="s">
        <v>46</v>
      </c>
      <c r="Q1078" s="52" t="s">
        <v>4049</v>
      </c>
      <c r="R1078" s="52">
        <v>1</v>
      </c>
      <c r="S1078" s="52" t="s">
        <v>4039</v>
      </c>
      <c r="T1078" s="88">
        <v>3000</v>
      </c>
      <c r="U1078" s="53">
        <v>13</v>
      </c>
      <c r="V1078" s="58">
        <f t="shared" si="74"/>
        <v>39000</v>
      </c>
      <c r="W1078" s="52" t="s">
        <v>49</v>
      </c>
      <c r="X1078" s="238" t="s">
        <v>4946</v>
      </c>
      <c r="Y1078" s="52" t="s">
        <v>4947</v>
      </c>
      <c r="Z1078" s="238" t="s">
        <v>4948</v>
      </c>
      <c r="AA1078" s="52">
        <v>0</v>
      </c>
      <c r="AB1078" s="52">
        <v>0</v>
      </c>
      <c r="AC1078" s="52">
        <v>0</v>
      </c>
      <c r="AD1078" s="21">
        <v>1</v>
      </c>
      <c r="AE1078" s="54">
        <v>1</v>
      </c>
      <c r="AF1078" s="315">
        <f t="shared" si="77"/>
        <v>39000</v>
      </c>
    </row>
    <row r="1079" spans="1:32" ht="90" x14ac:dyDescent="0.25">
      <c r="A1079" s="107" t="s">
        <v>588</v>
      </c>
      <c r="B1079" s="107" t="s">
        <v>2273</v>
      </c>
      <c r="C1079" s="52"/>
      <c r="D1079" s="107" t="s">
        <v>2303</v>
      </c>
      <c r="E1079" s="22" t="str">
        <f t="shared" si="75"/>
        <v>SEJUSPPROG</v>
      </c>
      <c r="F1079" s="52" t="s">
        <v>699</v>
      </c>
      <c r="G1079" s="22" t="str">
        <f t="shared" si="76"/>
        <v>P141SEJUSP</v>
      </c>
      <c r="H1079" s="52" t="s">
        <v>1393</v>
      </c>
      <c r="I1079" s="22" t="s">
        <v>16</v>
      </c>
      <c r="J1079" s="52" t="s">
        <v>1633</v>
      </c>
      <c r="K1079" s="22" t="str">
        <f>VLOOKUP(CONCATENATE(A1079,LEFT(J1079,4)),AGRUPAMENTO!$D$2:$E$6783,2,FALSE)</f>
        <v>Terceirizados - MGS</v>
      </c>
      <c r="L1079" s="52" t="s">
        <v>44</v>
      </c>
      <c r="M1079" s="52"/>
      <c r="N1079" s="52">
        <v>10</v>
      </c>
      <c r="O1079" s="52" t="s">
        <v>3192</v>
      </c>
      <c r="P1079" s="52" t="s">
        <v>46</v>
      </c>
      <c r="Q1079" s="52" t="s">
        <v>4049</v>
      </c>
      <c r="R1079" s="52">
        <v>1</v>
      </c>
      <c r="S1079" s="52" t="s">
        <v>4039</v>
      </c>
      <c r="T1079" s="88">
        <v>500</v>
      </c>
      <c r="U1079" s="53">
        <v>12</v>
      </c>
      <c r="V1079" s="58">
        <f t="shared" si="74"/>
        <v>6000</v>
      </c>
      <c r="W1079" s="52" t="s">
        <v>49</v>
      </c>
      <c r="X1079" s="238" t="s">
        <v>4946</v>
      </c>
      <c r="Y1079" s="52" t="s">
        <v>4947</v>
      </c>
      <c r="Z1079" s="238" t="s">
        <v>4948</v>
      </c>
      <c r="AA1079" s="52">
        <v>0</v>
      </c>
      <c r="AB1079" s="52">
        <v>0</v>
      </c>
      <c r="AC1079" s="52">
        <v>0</v>
      </c>
      <c r="AD1079" s="21">
        <v>1</v>
      </c>
      <c r="AE1079" s="54">
        <v>1</v>
      </c>
      <c r="AF1079" s="315">
        <f t="shared" si="77"/>
        <v>6000</v>
      </c>
    </row>
    <row r="1080" spans="1:32" ht="300" x14ac:dyDescent="0.25">
      <c r="A1080" s="107" t="s">
        <v>588</v>
      </c>
      <c r="B1080" s="107" t="s">
        <v>2273</v>
      </c>
      <c r="C1080" s="52"/>
      <c r="D1080" s="107" t="s">
        <v>2294</v>
      </c>
      <c r="E1080" s="22" t="str">
        <f t="shared" si="75"/>
        <v>SEJUSPPROG</v>
      </c>
      <c r="F1080" s="52" t="s">
        <v>699</v>
      </c>
      <c r="G1080" s="22" t="str">
        <f t="shared" si="76"/>
        <v>P141SEJUSP</v>
      </c>
      <c r="H1080" s="52" t="s">
        <v>1393</v>
      </c>
      <c r="I1080" s="22" t="s">
        <v>16</v>
      </c>
      <c r="J1080" s="52" t="s">
        <v>2163</v>
      </c>
      <c r="K1080" s="22" t="str">
        <f>VLOOKUP(CONCATENATE(A1080,LEFT(J1080,4)),AGRUPAMENTO!$D$2:$E$6783,2,FALSE)</f>
        <v>Demais despesas de custeio</v>
      </c>
      <c r="L1080" s="52" t="s">
        <v>44</v>
      </c>
      <c r="M1080" s="52"/>
      <c r="N1080" s="52">
        <v>10</v>
      </c>
      <c r="O1080" s="52" t="s">
        <v>3200</v>
      </c>
      <c r="P1080" s="52" t="s">
        <v>46</v>
      </c>
      <c r="Q1080" s="52" t="s">
        <v>4050</v>
      </c>
      <c r="R1080" s="52">
        <v>2088</v>
      </c>
      <c r="S1080" s="52" t="s">
        <v>4051</v>
      </c>
      <c r="T1080" s="88">
        <v>1472.31</v>
      </c>
      <c r="U1080" s="53">
        <v>12</v>
      </c>
      <c r="V1080" s="58">
        <f t="shared" si="74"/>
        <v>36890199.359999999</v>
      </c>
      <c r="W1080" s="52" t="s">
        <v>49</v>
      </c>
      <c r="X1080" s="303" t="s">
        <v>4949</v>
      </c>
      <c r="Y1080" s="303" t="s">
        <v>4950</v>
      </c>
      <c r="Z1080" s="303" t="s">
        <v>4951</v>
      </c>
      <c r="AA1080" s="52">
        <v>0</v>
      </c>
      <c r="AB1080" s="52">
        <v>0</v>
      </c>
      <c r="AC1080" s="52">
        <v>0</v>
      </c>
      <c r="AD1080" s="21">
        <v>0.29138261490145073</v>
      </c>
      <c r="AE1080" s="54">
        <v>0.29138261490145073</v>
      </c>
      <c r="AF1080" s="315">
        <f t="shared" si="77"/>
        <v>10749162.753752625</v>
      </c>
    </row>
    <row r="1081" spans="1:32" ht="255" x14ac:dyDescent="0.25">
      <c r="A1081" s="107" t="s">
        <v>588</v>
      </c>
      <c r="B1081" s="107" t="s">
        <v>2273</v>
      </c>
      <c r="C1081" s="52"/>
      <c r="D1081" s="107" t="s">
        <v>2303</v>
      </c>
      <c r="E1081" s="22" t="str">
        <f t="shared" si="75"/>
        <v>SEJUSPPROG</v>
      </c>
      <c r="F1081" s="52" t="s">
        <v>699</v>
      </c>
      <c r="G1081" s="22" t="str">
        <f t="shared" si="76"/>
        <v>P141SEJUSP</v>
      </c>
      <c r="H1081" s="52" t="s">
        <v>1393</v>
      </c>
      <c r="I1081" s="22" t="s">
        <v>16</v>
      </c>
      <c r="J1081" s="52" t="s">
        <v>2163</v>
      </c>
      <c r="K1081" s="22" t="str">
        <f>VLOOKUP(CONCATENATE(A1081,LEFT(J1081,4)),AGRUPAMENTO!$D$2:$E$6783,2,FALSE)</f>
        <v>Demais despesas de custeio</v>
      </c>
      <c r="L1081" s="52" t="s">
        <v>44</v>
      </c>
      <c r="M1081" s="52"/>
      <c r="N1081" s="52">
        <v>10</v>
      </c>
      <c r="O1081" s="52" t="s">
        <v>3201</v>
      </c>
      <c r="P1081" s="52" t="s">
        <v>46</v>
      </c>
      <c r="Q1081" s="52" t="s">
        <v>4052</v>
      </c>
      <c r="R1081" s="52">
        <v>492</v>
      </c>
      <c r="S1081" s="52" t="s">
        <v>4053</v>
      </c>
      <c r="T1081" s="88">
        <v>1551.07</v>
      </c>
      <c r="U1081" s="53">
        <v>12</v>
      </c>
      <c r="V1081" s="58">
        <f t="shared" si="74"/>
        <v>9157517.2799999993</v>
      </c>
      <c r="W1081" s="52" t="s">
        <v>49</v>
      </c>
      <c r="X1081" s="303" t="s">
        <v>4952</v>
      </c>
      <c r="Y1081" s="303" t="s">
        <v>4953</v>
      </c>
      <c r="Z1081" s="303" t="s">
        <v>4951</v>
      </c>
      <c r="AA1081" s="52">
        <v>0</v>
      </c>
      <c r="AB1081" s="52">
        <v>0</v>
      </c>
      <c r="AC1081" s="52">
        <v>0</v>
      </c>
      <c r="AD1081" s="21">
        <v>0.29138261490145073</v>
      </c>
      <c r="AE1081" s="54">
        <v>0.29138261490145073</v>
      </c>
      <c r="AF1081" s="315">
        <f t="shared" si="77"/>
        <v>2668341.3310516202</v>
      </c>
    </row>
    <row r="1082" spans="1:32" ht="330" x14ac:dyDescent="0.25">
      <c r="A1082" s="107" t="s">
        <v>588</v>
      </c>
      <c r="B1082" s="107" t="s">
        <v>2271</v>
      </c>
      <c r="C1082" s="52"/>
      <c r="D1082" s="107" t="s">
        <v>2289</v>
      </c>
      <c r="E1082" s="22" t="str">
        <f t="shared" si="75"/>
        <v>SEJUSPPROG</v>
      </c>
      <c r="F1082" s="122" t="s">
        <v>886</v>
      </c>
      <c r="G1082" s="22" t="str">
        <f t="shared" si="76"/>
        <v>P146SEJUSP</v>
      </c>
      <c r="H1082" s="52" t="s">
        <v>2306</v>
      </c>
      <c r="I1082" s="22" t="s">
        <v>16</v>
      </c>
      <c r="J1082" s="107" t="s">
        <v>2245</v>
      </c>
      <c r="K1082" s="22" t="str">
        <f>VLOOKUP(CONCATENATE(A1082,LEFT(J1082,4)),AGRUPAMENTO!$D$2:$E$6783,2,FALSE)</f>
        <v>Termos de parceria e contratos de gestão</v>
      </c>
      <c r="L1082" s="107" t="s">
        <v>44</v>
      </c>
      <c r="M1082" s="52"/>
      <c r="N1082" s="107">
        <v>10</v>
      </c>
      <c r="O1082" s="107" t="s">
        <v>3202</v>
      </c>
      <c r="P1082" s="52" t="s">
        <v>46</v>
      </c>
      <c r="Q1082" s="107" t="s">
        <v>3812</v>
      </c>
      <c r="R1082" s="107">
        <v>1</v>
      </c>
      <c r="S1082" s="107" t="s">
        <v>4054</v>
      </c>
      <c r="T1082" s="239">
        <v>109345413.26099999</v>
      </c>
      <c r="U1082" s="107">
        <v>1</v>
      </c>
      <c r="V1082" s="58">
        <f t="shared" si="74"/>
        <v>109345413.26099999</v>
      </c>
      <c r="W1082" s="52" t="s">
        <v>49</v>
      </c>
      <c r="X1082" s="107" t="s">
        <v>4954</v>
      </c>
      <c r="Y1082" s="304" t="s">
        <v>4955</v>
      </c>
      <c r="Z1082" s="304" t="s">
        <v>4956</v>
      </c>
      <c r="AA1082" s="52">
        <v>0</v>
      </c>
      <c r="AB1082" s="52">
        <v>0</v>
      </c>
      <c r="AC1082" s="52">
        <v>0</v>
      </c>
      <c r="AD1082" s="21">
        <v>0.7343679956527589</v>
      </c>
      <c r="AE1082" s="54">
        <v>0.7343679956527589</v>
      </c>
      <c r="AF1082" s="315">
        <f t="shared" si="77"/>
        <v>80299771.970303163</v>
      </c>
    </row>
    <row r="1083" spans="1:32" ht="409.5" x14ac:dyDescent="0.25">
      <c r="A1083" s="107" t="s">
        <v>588</v>
      </c>
      <c r="B1083" s="107" t="s">
        <v>2271</v>
      </c>
      <c r="C1083" s="52"/>
      <c r="D1083" s="107" t="s">
        <v>2289</v>
      </c>
      <c r="E1083" s="22" t="str">
        <f t="shared" si="75"/>
        <v>SEJUSPPROG</v>
      </c>
      <c r="F1083" s="122" t="s">
        <v>886</v>
      </c>
      <c r="G1083" s="22" t="str">
        <f t="shared" si="76"/>
        <v>P146SEJUSP</v>
      </c>
      <c r="H1083" s="52" t="s">
        <v>2306</v>
      </c>
      <c r="I1083" s="22" t="s">
        <v>16</v>
      </c>
      <c r="J1083" s="107" t="s">
        <v>2245</v>
      </c>
      <c r="K1083" s="22" t="str">
        <f>VLOOKUP(CONCATENATE(A1083,LEFT(J1083,4)),AGRUPAMENTO!$D$2:$E$6783,2,FALSE)</f>
        <v>Termos de parceria e contratos de gestão</v>
      </c>
      <c r="L1083" s="107" t="s">
        <v>44</v>
      </c>
      <c r="M1083" s="52"/>
      <c r="N1083" s="107">
        <v>10</v>
      </c>
      <c r="O1083" s="107" t="s">
        <v>3203</v>
      </c>
      <c r="P1083" s="52" t="s">
        <v>46</v>
      </c>
      <c r="Q1083" s="107" t="s">
        <v>3812</v>
      </c>
      <c r="R1083" s="107">
        <v>1</v>
      </c>
      <c r="S1083" s="107" t="s">
        <v>4055</v>
      </c>
      <c r="T1083" s="239">
        <v>17336306.379000008</v>
      </c>
      <c r="U1083" s="107">
        <v>1</v>
      </c>
      <c r="V1083" s="58">
        <f t="shared" si="74"/>
        <v>17336306.379000008</v>
      </c>
      <c r="W1083" s="52" t="s">
        <v>49</v>
      </c>
      <c r="X1083" s="107" t="s">
        <v>4957</v>
      </c>
      <c r="Y1083" s="304" t="s">
        <v>4958</v>
      </c>
      <c r="Z1083" s="304" t="s">
        <v>4959</v>
      </c>
      <c r="AA1083" s="52">
        <v>0</v>
      </c>
      <c r="AB1083" s="52">
        <v>0</v>
      </c>
      <c r="AC1083" s="52">
        <v>0</v>
      </c>
      <c r="AD1083" s="21">
        <v>0.7343679956527589</v>
      </c>
      <c r="AE1083" s="54">
        <v>0.7343679956527589</v>
      </c>
      <c r="AF1083" s="315">
        <f t="shared" si="77"/>
        <v>12731228.567568375</v>
      </c>
    </row>
    <row r="1084" spans="1:32" ht="315" x14ac:dyDescent="0.25">
      <c r="A1084" s="107" t="s">
        <v>588</v>
      </c>
      <c r="B1084" s="107" t="s">
        <v>2271</v>
      </c>
      <c r="C1084" s="52"/>
      <c r="D1084" s="107" t="s">
        <v>2289</v>
      </c>
      <c r="E1084" s="22" t="str">
        <f t="shared" si="75"/>
        <v>SEJUSPPROG</v>
      </c>
      <c r="F1084" s="122" t="s">
        <v>886</v>
      </c>
      <c r="G1084" s="22" t="str">
        <f t="shared" si="76"/>
        <v>P146SEJUSP</v>
      </c>
      <c r="H1084" s="52" t="s">
        <v>2306</v>
      </c>
      <c r="I1084" s="22" t="s">
        <v>16</v>
      </c>
      <c r="J1084" s="107" t="s">
        <v>2245</v>
      </c>
      <c r="K1084" s="22" t="str">
        <f>VLOOKUP(CONCATENATE(A1084,LEFT(J1084,4)),AGRUPAMENTO!$D$2:$E$6783,2,FALSE)</f>
        <v>Termos de parceria e contratos de gestão</v>
      </c>
      <c r="L1084" s="107" t="s">
        <v>44</v>
      </c>
      <c r="M1084" s="52"/>
      <c r="N1084" s="107">
        <v>10</v>
      </c>
      <c r="O1084" s="107" t="s">
        <v>3204</v>
      </c>
      <c r="P1084" s="52" t="s">
        <v>46</v>
      </c>
      <c r="Q1084" s="107" t="s">
        <v>3812</v>
      </c>
      <c r="R1084" s="107">
        <v>1</v>
      </c>
      <c r="S1084" s="107" t="s">
        <v>4054</v>
      </c>
      <c r="T1084" s="239">
        <v>28181148.607499998</v>
      </c>
      <c r="U1084" s="107">
        <v>1</v>
      </c>
      <c r="V1084" s="58">
        <f t="shared" si="74"/>
        <v>28181148.607499998</v>
      </c>
      <c r="W1084" s="52" t="s">
        <v>49</v>
      </c>
      <c r="X1084" s="107" t="s">
        <v>4960</v>
      </c>
      <c r="Y1084" s="304" t="s">
        <v>4961</v>
      </c>
      <c r="Z1084" s="304" t="s">
        <v>4962</v>
      </c>
      <c r="AA1084" s="52">
        <v>0</v>
      </c>
      <c r="AB1084" s="52">
        <v>0</v>
      </c>
      <c r="AC1084" s="52">
        <v>0</v>
      </c>
      <c r="AD1084" s="21">
        <v>0.7343679956527589</v>
      </c>
      <c r="AE1084" s="54">
        <v>0.7343679956527589</v>
      </c>
      <c r="AF1084" s="315">
        <f t="shared" si="77"/>
        <v>20695333.618082311</v>
      </c>
    </row>
    <row r="1085" spans="1:32" ht="409.5" x14ac:dyDescent="0.25">
      <c r="A1085" s="107" t="s">
        <v>588</v>
      </c>
      <c r="B1085" s="107" t="s">
        <v>2271</v>
      </c>
      <c r="C1085" s="52"/>
      <c r="D1085" s="107" t="s">
        <v>2289</v>
      </c>
      <c r="E1085" s="22" t="str">
        <f t="shared" si="75"/>
        <v>SEJUSPPROG</v>
      </c>
      <c r="F1085" s="122" t="s">
        <v>886</v>
      </c>
      <c r="G1085" s="22" t="str">
        <f t="shared" si="76"/>
        <v>P146SEJUSP</v>
      </c>
      <c r="H1085" s="52" t="s">
        <v>2306</v>
      </c>
      <c r="I1085" s="22" t="s">
        <v>16</v>
      </c>
      <c r="J1085" s="107" t="s">
        <v>2245</v>
      </c>
      <c r="K1085" s="22" t="str">
        <f>VLOOKUP(CONCATENATE(A1085,LEFT(J1085,4)),AGRUPAMENTO!$D$2:$E$6783,2,FALSE)</f>
        <v>Termos de parceria e contratos de gestão</v>
      </c>
      <c r="L1085" s="107" t="s">
        <v>44</v>
      </c>
      <c r="M1085" s="52"/>
      <c r="N1085" s="107">
        <v>10</v>
      </c>
      <c r="O1085" s="107" t="s">
        <v>3205</v>
      </c>
      <c r="P1085" s="52" t="s">
        <v>46</v>
      </c>
      <c r="Q1085" s="107" t="s">
        <v>3812</v>
      </c>
      <c r="R1085" s="107">
        <v>1</v>
      </c>
      <c r="S1085" s="107" t="s">
        <v>4054</v>
      </c>
      <c r="T1085" s="239">
        <v>73675048.597500011</v>
      </c>
      <c r="U1085" s="107">
        <v>1</v>
      </c>
      <c r="V1085" s="58">
        <f t="shared" si="74"/>
        <v>73675048.597500011</v>
      </c>
      <c r="W1085" s="52" t="s">
        <v>49</v>
      </c>
      <c r="X1085" s="107" t="s">
        <v>4963</v>
      </c>
      <c r="Y1085" s="304" t="s">
        <v>4964</v>
      </c>
      <c r="Z1085" s="304" t="s">
        <v>4965</v>
      </c>
      <c r="AA1085" s="52">
        <v>0</v>
      </c>
      <c r="AB1085" s="52">
        <v>0</v>
      </c>
      <c r="AC1085" s="52">
        <v>0</v>
      </c>
      <c r="AD1085" s="21">
        <v>0.7343679956527589</v>
      </c>
      <c r="AE1085" s="54">
        <v>0.7343679956527589</v>
      </c>
      <c r="AF1085" s="315">
        <f t="shared" si="77"/>
        <v>54104597.768165685</v>
      </c>
    </row>
    <row r="1086" spans="1:32" ht="409.5" x14ac:dyDescent="0.25">
      <c r="A1086" s="107" t="s">
        <v>588</v>
      </c>
      <c r="B1086" s="107" t="s">
        <v>2271</v>
      </c>
      <c r="C1086" s="52"/>
      <c r="D1086" s="107" t="s">
        <v>2289</v>
      </c>
      <c r="E1086" s="22" t="str">
        <f t="shared" si="75"/>
        <v>SEJUSPPROG</v>
      </c>
      <c r="F1086" s="122" t="s">
        <v>886</v>
      </c>
      <c r="G1086" s="22" t="str">
        <f t="shared" si="76"/>
        <v>P146SEJUSP</v>
      </c>
      <c r="H1086" s="52" t="s">
        <v>2306</v>
      </c>
      <c r="I1086" s="22" t="s">
        <v>16</v>
      </c>
      <c r="J1086" s="107" t="s">
        <v>2245</v>
      </c>
      <c r="K1086" s="22" t="str">
        <f>VLOOKUP(CONCATENATE(A1086,LEFT(J1086,4)),AGRUPAMENTO!$D$2:$E$6783,2,FALSE)</f>
        <v>Termos de parceria e contratos de gestão</v>
      </c>
      <c r="L1086" s="107" t="s">
        <v>44</v>
      </c>
      <c r="M1086" s="52"/>
      <c r="N1086" s="107">
        <v>10</v>
      </c>
      <c r="O1086" s="107" t="s">
        <v>3206</v>
      </c>
      <c r="P1086" s="52" t="s">
        <v>46</v>
      </c>
      <c r="Q1086" s="107" t="s">
        <v>3812</v>
      </c>
      <c r="R1086" s="107">
        <v>1</v>
      </c>
      <c r="S1086" s="107" t="s">
        <v>4055</v>
      </c>
      <c r="T1086" s="239">
        <v>5436444.4024999887</v>
      </c>
      <c r="U1086" s="107">
        <v>1</v>
      </c>
      <c r="V1086" s="58">
        <f t="shared" si="74"/>
        <v>5436444.4024999887</v>
      </c>
      <c r="W1086" s="52" t="s">
        <v>49</v>
      </c>
      <c r="X1086" s="107" t="s">
        <v>4966</v>
      </c>
      <c r="Y1086" s="304" t="s">
        <v>4967</v>
      </c>
      <c r="Z1086" s="304" t="s">
        <v>4968</v>
      </c>
      <c r="AA1086" s="52">
        <v>0</v>
      </c>
      <c r="AB1086" s="52">
        <v>0</v>
      </c>
      <c r="AC1086" s="52">
        <v>0</v>
      </c>
      <c r="AD1086" s="21">
        <v>0.7343679956527589</v>
      </c>
      <c r="AE1086" s="54">
        <v>0.7343679956527589</v>
      </c>
      <c r="AF1086" s="315">
        <f t="shared" si="77"/>
        <v>3992350.7793415771</v>
      </c>
    </row>
    <row r="1087" spans="1:32" ht="315" x14ac:dyDescent="0.25">
      <c r="A1087" s="107" t="s">
        <v>588</v>
      </c>
      <c r="B1087" s="107" t="s">
        <v>2271</v>
      </c>
      <c r="C1087" s="52"/>
      <c r="D1087" s="107" t="s">
        <v>2289</v>
      </c>
      <c r="E1087" s="22" t="str">
        <f t="shared" si="75"/>
        <v>SEJUSPPROG</v>
      </c>
      <c r="F1087" s="122" t="s">
        <v>886</v>
      </c>
      <c r="G1087" s="22" t="str">
        <f t="shared" si="76"/>
        <v>P146SEJUSP</v>
      </c>
      <c r="H1087" s="52" t="s">
        <v>2306</v>
      </c>
      <c r="I1087" s="22" t="s">
        <v>16</v>
      </c>
      <c r="J1087" s="107" t="s">
        <v>2245</v>
      </c>
      <c r="K1087" s="22" t="str">
        <f>VLOOKUP(CONCATENATE(A1087,LEFT(J1087,4)),AGRUPAMENTO!$D$2:$E$6783,2,FALSE)</f>
        <v>Termos de parceria e contratos de gestão</v>
      </c>
      <c r="L1087" s="107" t="s">
        <v>44</v>
      </c>
      <c r="M1087" s="52"/>
      <c r="N1087" s="107">
        <v>10</v>
      </c>
      <c r="O1087" s="107" t="s">
        <v>3207</v>
      </c>
      <c r="P1087" s="52" t="s">
        <v>46</v>
      </c>
      <c r="Q1087" s="107" t="s">
        <v>3812</v>
      </c>
      <c r="R1087" s="107">
        <v>1</v>
      </c>
      <c r="S1087" s="107" t="s">
        <v>4054</v>
      </c>
      <c r="T1087" s="239">
        <v>1059462.852</v>
      </c>
      <c r="U1087" s="107">
        <v>1</v>
      </c>
      <c r="V1087" s="58">
        <f t="shared" si="74"/>
        <v>1059462.852</v>
      </c>
      <c r="W1087" s="52" t="s">
        <v>49</v>
      </c>
      <c r="X1087" s="107" t="s">
        <v>4969</v>
      </c>
      <c r="Y1087" s="304" t="s">
        <v>4970</v>
      </c>
      <c r="Z1087" s="304" t="s">
        <v>4971</v>
      </c>
      <c r="AA1087" s="52">
        <v>0</v>
      </c>
      <c r="AB1087" s="52">
        <v>0</v>
      </c>
      <c r="AC1087" s="52">
        <v>0</v>
      </c>
      <c r="AD1087" s="21">
        <v>0.7343679956527589</v>
      </c>
      <c r="AE1087" s="54">
        <v>0.7343679956527589</v>
      </c>
      <c r="AF1087" s="315">
        <f t="shared" si="77"/>
        <v>778035.61109179549</v>
      </c>
    </row>
    <row r="1088" spans="1:32" ht="409.5" x14ac:dyDescent="0.25">
      <c r="A1088" s="107" t="s">
        <v>588</v>
      </c>
      <c r="B1088" s="107" t="s">
        <v>2271</v>
      </c>
      <c r="C1088" s="52"/>
      <c r="D1088" s="107" t="s">
        <v>2289</v>
      </c>
      <c r="E1088" s="22" t="str">
        <f t="shared" si="75"/>
        <v>SEJUSPPROG</v>
      </c>
      <c r="F1088" s="122" t="s">
        <v>886</v>
      </c>
      <c r="G1088" s="22" t="str">
        <f t="shared" si="76"/>
        <v>P146SEJUSP</v>
      </c>
      <c r="H1088" s="52" t="s">
        <v>2306</v>
      </c>
      <c r="I1088" s="22" t="s">
        <v>16</v>
      </c>
      <c r="J1088" s="107" t="s">
        <v>2245</v>
      </c>
      <c r="K1088" s="22" t="str">
        <f>VLOOKUP(CONCATENATE(A1088,LEFT(J1088,4)),AGRUPAMENTO!$D$2:$E$6783,2,FALSE)</f>
        <v>Termos de parceria e contratos de gestão</v>
      </c>
      <c r="L1088" s="107" t="s">
        <v>44</v>
      </c>
      <c r="M1088" s="52"/>
      <c r="N1088" s="107">
        <v>10</v>
      </c>
      <c r="O1088" s="107" t="s">
        <v>3208</v>
      </c>
      <c r="P1088" s="52" t="s">
        <v>46</v>
      </c>
      <c r="Q1088" s="107" t="s">
        <v>3812</v>
      </c>
      <c r="R1088" s="107">
        <v>1</v>
      </c>
      <c r="S1088" s="107" t="s">
        <v>4054</v>
      </c>
      <c r="T1088" s="239">
        <v>18405005</v>
      </c>
      <c r="U1088" s="107">
        <v>1</v>
      </c>
      <c r="V1088" s="58">
        <f t="shared" si="74"/>
        <v>18405005</v>
      </c>
      <c r="W1088" s="52" t="s">
        <v>49</v>
      </c>
      <c r="X1088" s="107" t="s">
        <v>4972</v>
      </c>
      <c r="Y1088" s="304" t="s">
        <v>4973</v>
      </c>
      <c r="Z1088" s="304" t="s">
        <v>4974</v>
      </c>
      <c r="AA1088" s="52">
        <v>0</v>
      </c>
      <c r="AB1088" s="52">
        <v>0</v>
      </c>
      <c r="AC1088" s="52">
        <v>0</v>
      </c>
      <c r="AD1088" s="21">
        <v>0.7343679956527589</v>
      </c>
      <c r="AE1088" s="54">
        <v>0.7343679956527589</v>
      </c>
      <c r="AF1088" s="315">
        <f t="shared" si="77"/>
        <v>13516046.631829007</v>
      </c>
    </row>
    <row r="1089" spans="1:32" ht="315" x14ac:dyDescent="0.25">
      <c r="A1089" s="107" t="s">
        <v>588</v>
      </c>
      <c r="B1089" s="107" t="s">
        <v>2271</v>
      </c>
      <c r="C1089" s="52"/>
      <c r="D1089" s="107" t="s">
        <v>2289</v>
      </c>
      <c r="E1089" s="22" t="str">
        <f t="shared" si="75"/>
        <v>SEJUSPPROG</v>
      </c>
      <c r="F1089" s="122" t="s">
        <v>886</v>
      </c>
      <c r="G1089" s="22" t="str">
        <f t="shared" si="76"/>
        <v>P146SEJUSP</v>
      </c>
      <c r="H1089" s="52" t="s">
        <v>1424</v>
      </c>
      <c r="I1089" s="22" t="s">
        <v>16</v>
      </c>
      <c r="J1089" s="107" t="s">
        <v>2245</v>
      </c>
      <c r="K1089" s="22" t="str">
        <f>VLOOKUP(CONCATENATE(A1089,LEFT(J1089,4)),AGRUPAMENTO!$D$2:$E$6783,2,FALSE)</f>
        <v>Termos de parceria e contratos de gestão</v>
      </c>
      <c r="L1089" s="107" t="s">
        <v>44</v>
      </c>
      <c r="M1089" s="52"/>
      <c r="N1089" s="52">
        <v>10</v>
      </c>
      <c r="O1089" s="107" t="s">
        <v>3209</v>
      </c>
      <c r="P1089" s="52" t="s">
        <v>46</v>
      </c>
      <c r="Q1089" s="107" t="s">
        <v>3812</v>
      </c>
      <c r="R1089" s="107">
        <v>1</v>
      </c>
      <c r="S1089" s="107" t="s">
        <v>4054</v>
      </c>
      <c r="T1089" s="239">
        <v>3588637.5</v>
      </c>
      <c r="U1089" s="107">
        <v>1</v>
      </c>
      <c r="V1089" s="58">
        <f t="shared" si="74"/>
        <v>3588637.5</v>
      </c>
      <c r="W1089" s="52" t="s">
        <v>49</v>
      </c>
      <c r="X1089" s="107" t="s">
        <v>4975</v>
      </c>
      <c r="Y1089" s="304" t="s">
        <v>4976</v>
      </c>
      <c r="Z1089" s="304" t="s">
        <v>4977</v>
      </c>
      <c r="AA1089" s="52">
        <v>0</v>
      </c>
      <c r="AB1089" s="52">
        <v>0</v>
      </c>
      <c r="AC1089" s="52">
        <v>0</v>
      </c>
      <c r="AD1089" s="21">
        <v>0.7343679956527589</v>
      </c>
      <c r="AE1089" s="54">
        <v>0.7343679956527589</v>
      </c>
      <c r="AF1089" s="315">
        <f t="shared" si="77"/>
        <v>2635380.5279993275</v>
      </c>
    </row>
    <row r="1090" spans="1:32" ht="210" x14ac:dyDescent="0.25">
      <c r="A1090" s="107" t="s">
        <v>588</v>
      </c>
      <c r="B1090" s="107" t="s">
        <v>2271</v>
      </c>
      <c r="C1090" s="52"/>
      <c r="D1090" s="107" t="s">
        <v>2289</v>
      </c>
      <c r="E1090" s="22" t="str">
        <f t="shared" si="75"/>
        <v>SEJUSPPROG</v>
      </c>
      <c r="F1090" s="122" t="s">
        <v>886</v>
      </c>
      <c r="G1090" s="22" t="str">
        <f t="shared" si="76"/>
        <v>P146SEJUSP</v>
      </c>
      <c r="H1090" s="52" t="s">
        <v>1424</v>
      </c>
      <c r="I1090" s="22" t="s">
        <v>16</v>
      </c>
      <c r="J1090" s="52" t="s">
        <v>2131</v>
      </c>
      <c r="K1090" s="22" t="str">
        <f>VLOOKUP(CONCATENATE(A1090,LEFT(J1090,4)),AGRUPAMENTO!$D$2:$E$6783,2,FALSE)</f>
        <v>Diárias e viagens</v>
      </c>
      <c r="L1090" s="107" t="s">
        <v>44</v>
      </c>
      <c r="M1090" s="52"/>
      <c r="N1090" s="52">
        <v>10</v>
      </c>
      <c r="O1090" s="107" t="s">
        <v>3210</v>
      </c>
      <c r="P1090" s="52" t="s">
        <v>46</v>
      </c>
      <c r="Q1090" s="107" t="s">
        <v>3812</v>
      </c>
      <c r="R1090" s="107">
        <v>1</v>
      </c>
      <c r="S1090" s="107" t="s">
        <v>4056</v>
      </c>
      <c r="T1090" s="239">
        <v>10800</v>
      </c>
      <c r="U1090" s="107">
        <v>12</v>
      </c>
      <c r="V1090" s="58">
        <f t="shared" ref="V1090:V1153" si="78">R1090*T1090*U1090</f>
        <v>129600</v>
      </c>
      <c r="W1090" s="52" t="s">
        <v>49</v>
      </c>
      <c r="X1090" s="107" t="s">
        <v>4978</v>
      </c>
      <c r="Y1090" s="304" t="s">
        <v>4979</v>
      </c>
      <c r="Z1090" s="304" t="s">
        <v>4980</v>
      </c>
      <c r="AA1090" s="52">
        <v>0</v>
      </c>
      <c r="AB1090" s="52">
        <v>0</v>
      </c>
      <c r="AC1090" s="52">
        <v>0</v>
      </c>
      <c r="AD1090" s="21">
        <v>0.86749884668513244</v>
      </c>
      <c r="AE1090" s="54">
        <v>0.86749884668513244</v>
      </c>
      <c r="AF1090" s="315">
        <f t="shared" si="77"/>
        <v>112427.85053039316</v>
      </c>
    </row>
    <row r="1091" spans="1:32" ht="150" x14ac:dyDescent="0.25">
      <c r="A1091" s="107" t="s">
        <v>588</v>
      </c>
      <c r="B1091" s="107" t="s">
        <v>2271</v>
      </c>
      <c r="C1091" s="52"/>
      <c r="D1091" s="107" t="s">
        <v>2289</v>
      </c>
      <c r="E1091" s="22" t="str">
        <f t="shared" ref="E1091:E1154" si="79">CONCATENATE(A1091,"PROG")</f>
        <v>SEJUSPPROG</v>
      </c>
      <c r="F1091" s="122" t="s">
        <v>886</v>
      </c>
      <c r="G1091" s="22" t="str">
        <f t="shared" si="76"/>
        <v>P146SEJUSP</v>
      </c>
      <c r="H1091" s="52" t="s">
        <v>1424</v>
      </c>
      <c r="I1091" s="22" t="s">
        <v>16</v>
      </c>
      <c r="J1091" s="52" t="s">
        <v>2131</v>
      </c>
      <c r="K1091" s="22" t="str">
        <f>VLOOKUP(CONCATENATE(A1091,LEFT(J1091,4)),AGRUPAMENTO!$D$2:$E$6783,2,FALSE)</f>
        <v>Diárias e viagens</v>
      </c>
      <c r="L1091" s="107" t="s">
        <v>44</v>
      </c>
      <c r="M1091" s="52"/>
      <c r="N1091" s="52">
        <v>10</v>
      </c>
      <c r="O1091" s="107" t="s">
        <v>3211</v>
      </c>
      <c r="P1091" s="52" t="s">
        <v>46</v>
      </c>
      <c r="Q1091" s="107" t="s">
        <v>3812</v>
      </c>
      <c r="R1091" s="107">
        <v>1</v>
      </c>
      <c r="S1091" s="107" t="s">
        <v>4057</v>
      </c>
      <c r="T1091" s="239">
        <v>8000</v>
      </c>
      <c r="U1091" s="107">
        <v>3</v>
      </c>
      <c r="V1091" s="58">
        <f t="shared" si="78"/>
        <v>24000</v>
      </c>
      <c r="W1091" s="52" t="s">
        <v>49</v>
      </c>
      <c r="X1091" s="107" t="s">
        <v>4981</v>
      </c>
      <c r="Y1091" s="304" t="s">
        <v>4982</v>
      </c>
      <c r="Z1091" s="304" t="s">
        <v>4983</v>
      </c>
      <c r="AA1091" s="52">
        <v>0</v>
      </c>
      <c r="AB1091" s="52">
        <v>0</v>
      </c>
      <c r="AC1091" s="52">
        <v>0</v>
      </c>
      <c r="AD1091" s="21">
        <v>0.86749884668513244</v>
      </c>
      <c r="AE1091" s="54">
        <v>0.86749884668513244</v>
      </c>
      <c r="AF1091" s="315">
        <f t="shared" si="77"/>
        <v>20819.972320443179</v>
      </c>
    </row>
    <row r="1092" spans="1:32" ht="150" x14ac:dyDescent="0.25">
      <c r="A1092" s="107" t="s">
        <v>588</v>
      </c>
      <c r="B1092" s="107" t="s">
        <v>2271</v>
      </c>
      <c r="C1092" s="52"/>
      <c r="D1092" s="107" t="s">
        <v>2289</v>
      </c>
      <c r="E1092" s="22" t="str">
        <f t="shared" si="79"/>
        <v>SEJUSPPROG</v>
      </c>
      <c r="F1092" s="122" t="s">
        <v>886</v>
      </c>
      <c r="G1092" s="22" t="str">
        <f t="shared" ref="G1092:G1155" si="80">CONCATENATE("P",(LEFT(F1092,3)),A1092)</f>
        <v>P146SEJUSP</v>
      </c>
      <c r="H1092" s="52" t="s">
        <v>1424</v>
      </c>
      <c r="I1092" s="22" t="s">
        <v>16</v>
      </c>
      <c r="J1092" s="52" t="s">
        <v>2131</v>
      </c>
      <c r="K1092" s="22" t="str">
        <f>VLOOKUP(CONCATENATE(A1092,LEFT(J1092,4)),AGRUPAMENTO!$D$2:$E$6783,2,FALSE)</f>
        <v>Diárias e viagens</v>
      </c>
      <c r="L1092" s="107" t="s">
        <v>44</v>
      </c>
      <c r="M1092" s="52"/>
      <c r="N1092" s="52">
        <v>10</v>
      </c>
      <c r="O1092" s="107" t="s">
        <v>3212</v>
      </c>
      <c r="P1092" s="52" t="s">
        <v>46</v>
      </c>
      <c r="Q1092" s="107" t="s">
        <v>3812</v>
      </c>
      <c r="R1092" s="107">
        <v>1</v>
      </c>
      <c r="S1092" s="107" t="s">
        <v>4056</v>
      </c>
      <c r="T1092" s="239">
        <v>6000</v>
      </c>
      <c r="U1092" s="107">
        <v>3</v>
      </c>
      <c r="V1092" s="58">
        <f t="shared" si="78"/>
        <v>18000</v>
      </c>
      <c r="W1092" s="52" t="s">
        <v>49</v>
      </c>
      <c r="X1092" s="107" t="s">
        <v>4984</v>
      </c>
      <c r="Y1092" s="304" t="s">
        <v>4985</v>
      </c>
      <c r="Z1092" s="304" t="s">
        <v>4983</v>
      </c>
      <c r="AA1092" s="52">
        <v>0</v>
      </c>
      <c r="AB1092" s="52">
        <v>0</v>
      </c>
      <c r="AC1092" s="52">
        <v>0</v>
      </c>
      <c r="AD1092" s="21">
        <v>0.86749884668513244</v>
      </c>
      <c r="AE1092" s="54">
        <v>0.86749884668513244</v>
      </c>
      <c r="AF1092" s="315">
        <f t="shared" ref="AF1092:AF1155" si="81">AE1092*V1092</f>
        <v>15614.979240332385</v>
      </c>
    </row>
    <row r="1093" spans="1:32" ht="270" x14ac:dyDescent="0.25">
      <c r="A1093" s="107" t="s">
        <v>588</v>
      </c>
      <c r="B1093" s="107" t="s">
        <v>2271</v>
      </c>
      <c r="C1093" s="52"/>
      <c r="D1093" s="107" t="s">
        <v>2289</v>
      </c>
      <c r="E1093" s="22" t="str">
        <f t="shared" si="79"/>
        <v>SEJUSPPROG</v>
      </c>
      <c r="F1093" s="122" t="s">
        <v>886</v>
      </c>
      <c r="G1093" s="22" t="str">
        <f t="shared" si="80"/>
        <v>P146SEJUSP</v>
      </c>
      <c r="H1093" s="107" t="s">
        <v>1424</v>
      </c>
      <c r="I1093" s="22" t="s">
        <v>16</v>
      </c>
      <c r="J1093" s="107" t="s">
        <v>1672</v>
      </c>
      <c r="K1093" s="22" t="str">
        <f>VLOOKUP(CONCATENATE(A1093,LEFT(J1093,4)),AGRUPAMENTO!$D$2:$E$6783,2,FALSE)</f>
        <v>Obras e projetos de obras</v>
      </c>
      <c r="L1093" s="107" t="s">
        <v>94</v>
      </c>
      <c r="M1093" s="52"/>
      <c r="N1093" s="52">
        <v>10</v>
      </c>
      <c r="O1093" s="107" t="s">
        <v>3213</v>
      </c>
      <c r="P1093" s="52" t="s">
        <v>46</v>
      </c>
      <c r="Q1093" s="107" t="s">
        <v>3812</v>
      </c>
      <c r="R1093" s="107">
        <v>1</v>
      </c>
      <c r="S1093" s="107" t="s">
        <v>4058</v>
      </c>
      <c r="T1093" s="239">
        <v>156000</v>
      </c>
      <c r="U1093" s="107">
        <v>1</v>
      </c>
      <c r="V1093" s="58">
        <f t="shared" si="78"/>
        <v>156000</v>
      </c>
      <c r="W1093" s="52" t="s">
        <v>49</v>
      </c>
      <c r="X1093" s="107" t="s">
        <v>4986</v>
      </c>
      <c r="Y1093" s="304" t="s">
        <v>4987</v>
      </c>
      <c r="Z1093" s="304" t="s">
        <v>4988</v>
      </c>
      <c r="AA1093" s="52">
        <v>0</v>
      </c>
      <c r="AB1093" s="52">
        <v>0</v>
      </c>
      <c r="AC1093" s="52">
        <v>0</v>
      </c>
      <c r="AD1093" s="21">
        <v>1</v>
      </c>
      <c r="AE1093" s="54">
        <v>0</v>
      </c>
      <c r="AF1093" s="315">
        <f t="shared" si="81"/>
        <v>0</v>
      </c>
    </row>
    <row r="1094" spans="1:32" ht="240" x14ac:dyDescent="0.25">
      <c r="A1094" s="107" t="s">
        <v>588</v>
      </c>
      <c r="B1094" s="107" t="s">
        <v>2271</v>
      </c>
      <c r="C1094" s="52"/>
      <c r="D1094" s="107" t="s">
        <v>2289</v>
      </c>
      <c r="E1094" s="22" t="str">
        <f t="shared" si="79"/>
        <v>SEJUSPPROG</v>
      </c>
      <c r="F1094" s="122" t="s">
        <v>886</v>
      </c>
      <c r="G1094" s="22" t="str">
        <f t="shared" si="80"/>
        <v>P146SEJUSP</v>
      </c>
      <c r="H1094" s="107" t="s">
        <v>1424</v>
      </c>
      <c r="I1094" s="22" t="s">
        <v>16</v>
      </c>
      <c r="J1094" s="107" t="s">
        <v>1672</v>
      </c>
      <c r="K1094" s="22" t="str">
        <f>VLOOKUP(CONCATENATE(A1094,LEFT(J1094,4)),AGRUPAMENTO!$D$2:$E$6783,2,FALSE)</f>
        <v>Obras e projetos de obras</v>
      </c>
      <c r="L1094" s="107" t="s">
        <v>94</v>
      </c>
      <c r="M1094" s="52"/>
      <c r="N1094" s="52">
        <v>10</v>
      </c>
      <c r="O1094" s="107" t="s">
        <v>3214</v>
      </c>
      <c r="P1094" s="52" t="s">
        <v>46</v>
      </c>
      <c r="Q1094" s="107" t="s">
        <v>3812</v>
      </c>
      <c r="R1094" s="107">
        <v>1</v>
      </c>
      <c r="S1094" s="107" t="s">
        <v>4058</v>
      </c>
      <c r="T1094" s="239">
        <v>317912.62</v>
      </c>
      <c r="U1094" s="107">
        <v>1</v>
      </c>
      <c r="V1094" s="58">
        <f t="shared" si="78"/>
        <v>317912.62</v>
      </c>
      <c r="W1094" s="52" t="s">
        <v>49</v>
      </c>
      <c r="X1094" s="107" t="s">
        <v>4989</v>
      </c>
      <c r="Y1094" s="304" t="s">
        <v>4990</v>
      </c>
      <c r="Z1094" s="304" t="s">
        <v>4991</v>
      </c>
      <c r="AA1094" s="52">
        <v>0</v>
      </c>
      <c r="AB1094" s="52">
        <v>0</v>
      </c>
      <c r="AC1094" s="52">
        <v>0</v>
      </c>
      <c r="AD1094" s="21">
        <v>1</v>
      </c>
      <c r="AE1094" s="54">
        <v>0</v>
      </c>
      <c r="AF1094" s="315">
        <f t="shared" si="81"/>
        <v>0</v>
      </c>
    </row>
    <row r="1095" spans="1:32" ht="240" x14ac:dyDescent="0.25">
      <c r="A1095" s="107" t="s">
        <v>588</v>
      </c>
      <c r="B1095" s="107" t="s">
        <v>2271</v>
      </c>
      <c r="C1095" s="52"/>
      <c r="D1095" s="107" t="s">
        <v>2289</v>
      </c>
      <c r="E1095" s="22" t="str">
        <f t="shared" si="79"/>
        <v>SEJUSPPROG</v>
      </c>
      <c r="F1095" s="122" t="s">
        <v>886</v>
      </c>
      <c r="G1095" s="22" t="str">
        <f t="shared" si="80"/>
        <v>P146SEJUSP</v>
      </c>
      <c r="H1095" s="107" t="s">
        <v>1424</v>
      </c>
      <c r="I1095" s="22" t="s">
        <v>16</v>
      </c>
      <c r="J1095" s="107" t="s">
        <v>1672</v>
      </c>
      <c r="K1095" s="22" t="str">
        <f>VLOOKUP(CONCATENATE(A1095,LEFT(J1095,4)),AGRUPAMENTO!$D$2:$E$6783,2,FALSE)</f>
        <v>Obras e projetos de obras</v>
      </c>
      <c r="L1095" s="107" t="s">
        <v>94</v>
      </c>
      <c r="M1095" s="52"/>
      <c r="N1095" s="52">
        <v>10</v>
      </c>
      <c r="O1095" s="107" t="s">
        <v>3215</v>
      </c>
      <c r="P1095" s="52" t="s">
        <v>46</v>
      </c>
      <c r="Q1095" s="107" t="s">
        <v>3812</v>
      </c>
      <c r="R1095" s="107">
        <v>1</v>
      </c>
      <c r="S1095" s="107" t="s">
        <v>4058</v>
      </c>
      <c r="T1095" s="239">
        <v>741873.08</v>
      </c>
      <c r="U1095" s="107">
        <v>1</v>
      </c>
      <c r="V1095" s="58">
        <f t="shared" si="78"/>
        <v>741873.08</v>
      </c>
      <c r="W1095" s="52" t="s">
        <v>49</v>
      </c>
      <c r="X1095" s="107" t="s">
        <v>4989</v>
      </c>
      <c r="Y1095" s="304" t="s">
        <v>4990</v>
      </c>
      <c r="Z1095" s="304" t="s">
        <v>4991</v>
      </c>
      <c r="AA1095" s="52">
        <v>0</v>
      </c>
      <c r="AB1095" s="52">
        <v>0</v>
      </c>
      <c r="AC1095" s="52">
        <v>0</v>
      </c>
      <c r="AD1095" s="21">
        <v>1</v>
      </c>
      <c r="AE1095" s="54">
        <v>0</v>
      </c>
      <c r="AF1095" s="315">
        <f t="shared" si="81"/>
        <v>0</v>
      </c>
    </row>
    <row r="1096" spans="1:32" ht="195" x14ac:dyDescent="0.25">
      <c r="A1096" s="107" t="s">
        <v>588</v>
      </c>
      <c r="B1096" s="107" t="s">
        <v>2271</v>
      </c>
      <c r="C1096" s="52"/>
      <c r="D1096" s="107" t="s">
        <v>2289</v>
      </c>
      <c r="E1096" s="22" t="str">
        <f t="shared" si="79"/>
        <v>SEJUSPPROG</v>
      </c>
      <c r="F1096" s="122" t="s">
        <v>886</v>
      </c>
      <c r="G1096" s="22" t="str">
        <f t="shared" si="80"/>
        <v>P146SEJUSP</v>
      </c>
      <c r="H1096" s="107" t="s">
        <v>1424</v>
      </c>
      <c r="I1096" s="22" t="s">
        <v>16</v>
      </c>
      <c r="J1096" s="107" t="s">
        <v>458</v>
      </c>
      <c r="K1096" s="22" t="str">
        <f>VLOOKUP(CONCATENATE(A1096,LEFT(J1096,4)),AGRUPAMENTO!$D$2:$E$6783,2,FALSE)</f>
        <v>Demais despesas de capital</v>
      </c>
      <c r="L1096" s="107" t="s">
        <v>94</v>
      </c>
      <c r="M1096" s="52"/>
      <c r="N1096" s="52">
        <v>10</v>
      </c>
      <c r="O1096" s="107" t="s">
        <v>3216</v>
      </c>
      <c r="P1096" s="52" t="s">
        <v>46</v>
      </c>
      <c r="Q1096" s="107" t="s">
        <v>3812</v>
      </c>
      <c r="R1096" s="107">
        <v>1</v>
      </c>
      <c r="S1096" s="107" t="s">
        <v>4059</v>
      </c>
      <c r="T1096" s="239">
        <v>100000</v>
      </c>
      <c r="U1096" s="107">
        <v>1</v>
      </c>
      <c r="V1096" s="58">
        <f t="shared" si="78"/>
        <v>100000</v>
      </c>
      <c r="W1096" s="52" t="s">
        <v>49</v>
      </c>
      <c r="X1096" s="107" t="s">
        <v>4992</v>
      </c>
      <c r="Y1096" s="304" t="s">
        <v>4993</v>
      </c>
      <c r="Z1096" s="304" t="s">
        <v>4994</v>
      </c>
      <c r="AA1096" s="52">
        <v>0</v>
      </c>
      <c r="AB1096" s="52">
        <v>0</v>
      </c>
      <c r="AC1096" s="52">
        <v>0</v>
      </c>
      <c r="AD1096" s="21">
        <v>0</v>
      </c>
      <c r="AE1096" s="54">
        <v>0</v>
      </c>
      <c r="AF1096" s="315">
        <f t="shared" si="81"/>
        <v>0</v>
      </c>
    </row>
    <row r="1097" spans="1:32" ht="330" x14ac:dyDescent="0.25">
      <c r="A1097" s="107" t="s">
        <v>588</v>
      </c>
      <c r="B1097" s="107" t="s">
        <v>2271</v>
      </c>
      <c r="C1097" s="52"/>
      <c r="D1097" s="107" t="s">
        <v>2289</v>
      </c>
      <c r="E1097" s="22" t="str">
        <f t="shared" si="79"/>
        <v>SEJUSPPROG</v>
      </c>
      <c r="F1097" s="122" t="s">
        <v>886</v>
      </c>
      <c r="G1097" s="22" t="str">
        <f t="shared" si="80"/>
        <v>P146SEJUSP</v>
      </c>
      <c r="H1097" s="107" t="s">
        <v>1424</v>
      </c>
      <c r="I1097" s="22" t="s">
        <v>16</v>
      </c>
      <c r="J1097" s="107" t="s">
        <v>1672</v>
      </c>
      <c r="K1097" s="22" t="str">
        <f>VLOOKUP(CONCATENATE(A1097,LEFT(J1097,4)),AGRUPAMENTO!$D$2:$E$6783,2,FALSE)</f>
        <v>Obras e projetos de obras</v>
      </c>
      <c r="L1097" s="107" t="s">
        <v>94</v>
      </c>
      <c r="M1097" s="52"/>
      <c r="N1097" s="52">
        <v>10</v>
      </c>
      <c r="O1097" s="107" t="s">
        <v>3217</v>
      </c>
      <c r="P1097" s="52" t="s">
        <v>46</v>
      </c>
      <c r="Q1097" s="107" t="s">
        <v>3812</v>
      </c>
      <c r="R1097" s="107">
        <v>1</v>
      </c>
      <c r="S1097" s="107" t="s">
        <v>4058</v>
      </c>
      <c r="T1097" s="239">
        <v>750000</v>
      </c>
      <c r="U1097" s="107">
        <v>1</v>
      </c>
      <c r="V1097" s="58">
        <f t="shared" si="78"/>
        <v>750000</v>
      </c>
      <c r="W1097" s="52" t="s">
        <v>49</v>
      </c>
      <c r="X1097" s="107" t="s">
        <v>4995</v>
      </c>
      <c r="Y1097" s="304" t="s">
        <v>4996</v>
      </c>
      <c r="Z1097" s="304" t="s">
        <v>4997</v>
      </c>
      <c r="AA1097" s="52">
        <v>0</v>
      </c>
      <c r="AB1097" s="52">
        <v>0</v>
      </c>
      <c r="AC1097" s="52">
        <v>0</v>
      </c>
      <c r="AD1097" s="21">
        <v>1</v>
      </c>
      <c r="AE1097" s="54">
        <v>0</v>
      </c>
      <c r="AF1097" s="315">
        <f t="shared" si="81"/>
        <v>0</v>
      </c>
    </row>
    <row r="1098" spans="1:32" ht="330" x14ac:dyDescent="0.25">
      <c r="A1098" s="107" t="s">
        <v>588</v>
      </c>
      <c r="B1098" s="107" t="s">
        <v>2271</v>
      </c>
      <c r="C1098" s="52"/>
      <c r="D1098" s="107" t="s">
        <v>2289</v>
      </c>
      <c r="E1098" s="22" t="str">
        <f t="shared" si="79"/>
        <v>SEJUSPPROG</v>
      </c>
      <c r="F1098" s="122" t="s">
        <v>886</v>
      </c>
      <c r="G1098" s="22" t="str">
        <f t="shared" si="80"/>
        <v>P146SEJUSP</v>
      </c>
      <c r="H1098" s="107" t="s">
        <v>1424</v>
      </c>
      <c r="I1098" s="22" t="s">
        <v>16</v>
      </c>
      <c r="J1098" s="107" t="s">
        <v>1672</v>
      </c>
      <c r="K1098" s="22" t="str">
        <f>VLOOKUP(CONCATENATE(A1098,LEFT(J1098,4)),AGRUPAMENTO!$D$2:$E$6783,2,FALSE)</f>
        <v>Obras e projetos de obras</v>
      </c>
      <c r="L1098" s="107" t="s">
        <v>94</v>
      </c>
      <c r="M1098" s="52"/>
      <c r="N1098" s="52">
        <v>10</v>
      </c>
      <c r="O1098" s="107" t="s">
        <v>3218</v>
      </c>
      <c r="P1098" s="52" t="s">
        <v>46</v>
      </c>
      <c r="Q1098" s="107" t="s">
        <v>3812</v>
      </c>
      <c r="R1098" s="107">
        <v>1</v>
      </c>
      <c r="S1098" s="107" t="s">
        <v>4060</v>
      </c>
      <c r="T1098" s="239">
        <v>150000</v>
      </c>
      <c r="U1098" s="107">
        <v>1</v>
      </c>
      <c r="V1098" s="58">
        <f t="shared" si="78"/>
        <v>150000</v>
      </c>
      <c r="W1098" s="52" t="s">
        <v>49</v>
      </c>
      <c r="X1098" s="107" t="s">
        <v>4998</v>
      </c>
      <c r="Y1098" s="304" t="s">
        <v>4999</v>
      </c>
      <c r="Z1098" s="304" t="s">
        <v>5000</v>
      </c>
      <c r="AA1098" s="52">
        <v>0</v>
      </c>
      <c r="AB1098" s="52">
        <v>0</v>
      </c>
      <c r="AC1098" s="52">
        <v>0</v>
      </c>
      <c r="AD1098" s="21">
        <v>1</v>
      </c>
      <c r="AE1098" s="54">
        <v>0</v>
      </c>
      <c r="AF1098" s="315">
        <f t="shared" si="81"/>
        <v>0</v>
      </c>
    </row>
    <row r="1099" spans="1:32" ht="405" x14ac:dyDescent="0.25">
      <c r="A1099" s="107" t="s">
        <v>588</v>
      </c>
      <c r="B1099" s="107" t="s">
        <v>2271</v>
      </c>
      <c r="C1099" s="52"/>
      <c r="D1099" s="107" t="s">
        <v>2289</v>
      </c>
      <c r="E1099" s="22" t="str">
        <f t="shared" si="79"/>
        <v>SEJUSPPROG</v>
      </c>
      <c r="F1099" s="122" t="s">
        <v>886</v>
      </c>
      <c r="G1099" s="22" t="str">
        <f t="shared" si="80"/>
        <v>P146SEJUSP</v>
      </c>
      <c r="H1099" s="107" t="s">
        <v>1424</v>
      </c>
      <c r="I1099" s="22" t="s">
        <v>16</v>
      </c>
      <c r="J1099" s="107" t="s">
        <v>1672</v>
      </c>
      <c r="K1099" s="22" t="str">
        <f>VLOOKUP(CONCATENATE(A1099,LEFT(J1099,4)),AGRUPAMENTO!$D$2:$E$6783,2,FALSE)</f>
        <v>Obras e projetos de obras</v>
      </c>
      <c r="L1099" s="107" t="s">
        <v>94</v>
      </c>
      <c r="M1099" s="52"/>
      <c r="N1099" s="52">
        <v>10</v>
      </c>
      <c r="O1099" s="107" t="s">
        <v>3219</v>
      </c>
      <c r="P1099" s="52" t="s">
        <v>46</v>
      </c>
      <c r="Q1099" s="107" t="s">
        <v>3812</v>
      </c>
      <c r="R1099" s="107">
        <v>1</v>
      </c>
      <c r="S1099" s="107" t="s">
        <v>4058</v>
      </c>
      <c r="T1099" s="239">
        <v>280000</v>
      </c>
      <c r="U1099" s="107">
        <v>1</v>
      </c>
      <c r="V1099" s="58">
        <f t="shared" si="78"/>
        <v>280000</v>
      </c>
      <c r="W1099" s="52" t="s">
        <v>49</v>
      </c>
      <c r="X1099" s="107" t="s">
        <v>5001</v>
      </c>
      <c r="Y1099" s="304" t="s">
        <v>5002</v>
      </c>
      <c r="Z1099" s="304" t="s">
        <v>5003</v>
      </c>
      <c r="AA1099" s="52">
        <v>0</v>
      </c>
      <c r="AB1099" s="52">
        <v>0</v>
      </c>
      <c r="AC1099" s="52">
        <v>0</v>
      </c>
      <c r="AD1099" s="21">
        <v>1</v>
      </c>
      <c r="AE1099" s="54">
        <v>0</v>
      </c>
      <c r="AF1099" s="315">
        <f t="shared" si="81"/>
        <v>0</v>
      </c>
    </row>
    <row r="1100" spans="1:32" ht="409.5" x14ac:dyDescent="0.25">
      <c r="A1100" s="107" t="s">
        <v>588</v>
      </c>
      <c r="B1100" s="107" t="s">
        <v>2271</v>
      </c>
      <c r="C1100" s="52"/>
      <c r="D1100" s="107" t="s">
        <v>2289</v>
      </c>
      <c r="E1100" s="22" t="str">
        <f t="shared" si="79"/>
        <v>SEJUSPPROG</v>
      </c>
      <c r="F1100" s="122" t="s">
        <v>886</v>
      </c>
      <c r="G1100" s="22" t="str">
        <f t="shared" si="80"/>
        <v>P146SEJUSP</v>
      </c>
      <c r="H1100" s="52" t="s">
        <v>1424</v>
      </c>
      <c r="I1100" s="22" t="s">
        <v>16</v>
      </c>
      <c r="J1100" s="107" t="s">
        <v>1715</v>
      </c>
      <c r="K1100" s="22" t="str">
        <f>VLOOKUP(CONCATENATE(A1100,LEFT(J1100,4)),AGRUPAMENTO!$D$2:$E$6783,2,FALSE)</f>
        <v>Cursos de formação e capacitações</v>
      </c>
      <c r="L1100" s="107" t="s">
        <v>44</v>
      </c>
      <c r="M1100" s="52"/>
      <c r="N1100" s="52">
        <v>10</v>
      </c>
      <c r="O1100" s="107" t="s">
        <v>3220</v>
      </c>
      <c r="P1100" s="52" t="s">
        <v>46</v>
      </c>
      <c r="Q1100" s="107" t="s">
        <v>4061</v>
      </c>
      <c r="R1100" s="107">
        <v>1472</v>
      </c>
      <c r="S1100" s="107" t="s">
        <v>4062</v>
      </c>
      <c r="T1100" s="239">
        <v>180</v>
      </c>
      <c r="U1100" s="107">
        <v>1</v>
      </c>
      <c r="V1100" s="58">
        <f t="shared" si="78"/>
        <v>264960</v>
      </c>
      <c r="W1100" s="52" t="s">
        <v>49</v>
      </c>
      <c r="X1100" s="107" t="s">
        <v>5004</v>
      </c>
      <c r="Y1100" s="304" t="s">
        <v>5005</v>
      </c>
      <c r="Z1100" s="304" t="s">
        <v>5006</v>
      </c>
      <c r="AA1100" s="52">
        <v>0</v>
      </c>
      <c r="AB1100" s="52">
        <v>0</v>
      </c>
      <c r="AC1100" s="52">
        <v>0</v>
      </c>
      <c r="AD1100" s="21">
        <v>1</v>
      </c>
      <c r="AE1100" s="54">
        <v>1</v>
      </c>
      <c r="AF1100" s="315">
        <f t="shared" si="81"/>
        <v>264960</v>
      </c>
    </row>
    <row r="1101" spans="1:32" ht="315" x14ac:dyDescent="0.25">
      <c r="A1101" s="107" t="s">
        <v>588</v>
      </c>
      <c r="B1101" s="107" t="s">
        <v>2271</v>
      </c>
      <c r="C1101" s="52"/>
      <c r="D1101" s="107" t="s">
        <v>2289</v>
      </c>
      <c r="E1101" s="22" t="str">
        <f t="shared" si="79"/>
        <v>SEJUSPPROG</v>
      </c>
      <c r="F1101" s="122" t="s">
        <v>886</v>
      </c>
      <c r="G1101" s="22" t="str">
        <f t="shared" si="80"/>
        <v>P146SEJUSP</v>
      </c>
      <c r="H1101" s="107" t="s">
        <v>1424</v>
      </c>
      <c r="I1101" s="22" t="s">
        <v>16</v>
      </c>
      <c r="J1101" s="107" t="s">
        <v>1672</v>
      </c>
      <c r="K1101" s="22" t="str">
        <f>VLOOKUP(CONCATENATE(A1101,LEFT(J1101,4)),AGRUPAMENTO!$D$2:$E$6783,2,FALSE)</f>
        <v>Obras e projetos de obras</v>
      </c>
      <c r="L1101" s="107" t="s">
        <v>94</v>
      </c>
      <c r="M1101" s="52"/>
      <c r="N1101" s="52">
        <v>10</v>
      </c>
      <c r="O1101" s="107" t="s">
        <v>3221</v>
      </c>
      <c r="P1101" s="52" t="s">
        <v>46</v>
      </c>
      <c r="Q1101" s="107" t="s">
        <v>3812</v>
      </c>
      <c r="R1101" s="107">
        <v>10</v>
      </c>
      <c r="S1101" s="107" t="s">
        <v>4063</v>
      </c>
      <c r="T1101" s="239">
        <v>250000</v>
      </c>
      <c r="U1101" s="107">
        <v>1</v>
      </c>
      <c r="V1101" s="58">
        <f t="shared" si="78"/>
        <v>2500000</v>
      </c>
      <c r="W1101" s="52" t="s">
        <v>49</v>
      </c>
      <c r="X1101" s="107" t="s">
        <v>5007</v>
      </c>
      <c r="Y1101" s="304" t="s">
        <v>5008</v>
      </c>
      <c r="Z1101" s="304" t="s">
        <v>5009</v>
      </c>
      <c r="AA1101" s="52">
        <v>0</v>
      </c>
      <c r="AB1101" s="52">
        <v>0</v>
      </c>
      <c r="AC1101" s="52">
        <v>0</v>
      </c>
      <c r="AD1101" s="21">
        <v>1</v>
      </c>
      <c r="AE1101" s="54">
        <v>0</v>
      </c>
      <c r="AF1101" s="315">
        <f t="shared" si="81"/>
        <v>0</v>
      </c>
    </row>
    <row r="1102" spans="1:32" ht="225" x14ac:dyDescent="0.25">
      <c r="A1102" s="107" t="s">
        <v>588</v>
      </c>
      <c r="B1102" s="107" t="s">
        <v>2271</v>
      </c>
      <c r="C1102" s="52"/>
      <c r="D1102" s="107" t="s">
        <v>2289</v>
      </c>
      <c r="E1102" s="22" t="str">
        <f t="shared" si="79"/>
        <v>SEJUSPPROG</v>
      </c>
      <c r="F1102" s="122" t="s">
        <v>886</v>
      </c>
      <c r="G1102" s="22" t="str">
        <f t="shared" si="80"/>
        <v>P146SEJUSP</v>
      </c>
      <c r="H1102" s="52" t="s">
        <v>1424</v>
      </c>
      <c r="I1102" s="22" t="s">
        <v>16</v>
      </c>
      <c r="J1102" s="107" t="s">
        <v>1643</v>
      </c>
      <c r="K1102" s="22" t="str">
        <f>VLOOKUP(CONCATENATE(A1102,LEFT(J1102,4)),AGRUPAMENTO!$D$2:$E$6783,2,FALSE)</f>
        <v>Reparo de imóveis</v>
      </c>
      <c r="L1102" s="107" t="s">
        <v>44</v>
      </c>
      <c r="M1102" s="52"/>
      <c r="N1102" s="52">
        <v>10</v>
      </c>
      <c r="O1102" s="107" t="s">
        <v>3222</v>
      </c>
      <c r="P1102" s="52" t="s">
        <v>46</v>
      </c>
      <c r="Q1102" s="107" t="s">
        <v>4064</v>
      </c>
      <c r="R1102" s="107">
        <v>11000</v>
      </c>
      <c r="S1102" s="107" t="s">
        <v>4065</v>
      </c>
      <c r="T1102" s="239">
        <v>16.7</v>
      </c>
      <c r="U1102" s="107">
        <v>1</v>
      </c>
      <c r="V1102" s="58">
        <f t="shared" si="78"/>
        <v>183700</v>
      </c>
      <c r="W1102" s="52" t="s">
        <v>49</v>
      </c>
      <c r="X1102" s="107" t="s">
        <v>5010</v>
      </c>
      <c r="Y1102" s="304" t="s">
        <v>5011</v>
      </c>
      <c r="Z1102" s="304" t="s">
        <v>5012</v>
      </c>
      <c r="AA1102" s="52">
        <v>0</v>
      </c>
      <c r="AB1102" s="52">
        <v>0</v>
      </c>
      <c r="AC1102" s="52">
        <v>0</v>
      </c>
      <c r="AD1102" s="21">
        <v>0.24450815293978012</v>
      </c>
      <c r="AE1102" s="54">
        <v>0.24450815293978012</v>
      </c>
      <c r="AF1102" s="315">
        <f t="shared" si="81"/>
        <v>44916.147695037609</v>
      </c>
    </row>
    <row r="1103" spans="1:32" ht="90" x14ac:dyDescent="0.25">
      <c r="A1103" s="110" t="s">
        <v>588</v>
      </c>
      <c r="B1103" s="110" t="s">
        <v>2270</v>
      </c>
      <c r="C1103" s="52"/>
      <c r="D1103" s="110" t="s">
        <v>2276</v>
      </c>
      <c r="E1103" s="22" t="str">
        <f t="shared" si="79"/>
        <v>SEJUSPPROG</v>
      </c>
      <c r="F1103" s="125" t="s">
        <v>687</v>
      </c>
      <c r="G1103" s="22" t="str">
        <f t="shared" si="80"/>
        <v>P705SEJUSP</v>
      </c>
      <c r="H1103" s="110" t="s">
        <v>914</v>
      </c>
      <c r="I1103" s="22" t="s">
        <v>16</v>
      </c>
      <c r="J1103" s="115" t="s">
        <v>1656</v>
      </c>
      <c r="K1103" s="22" t="str">
        <f>VLOOKUP(CONCATENATE(A1103,LEFT(J1103,4)),AGRUPAMENTO!$D$2:$E$6783,2,FALSE)</f>
        <v>Demais despesas de custeio</v>
      </c>
      <c r="L1103" s="137" t="s">
        <v>44</v>
      </c>
      <c r="M1103" s="52"/>
      <c r="N1103" s="52">
        <v>10</v>
      </c>
      <c r="O1103" s="110" t="s">
        <v>3223</v>
      </c>
      <c r="P1103" s="52" t="s">
        <v>58</v>
      </c>
      <c r="Q1103" s="110" t="s">
        <v>3812</v>
      </c>
      <c r="R1103" s="110">
        <v>1</v>
      </c>
      <c r="S1103" s="110" t="s">
        <v>4066</v>
      </c>
      <c r="T1103" s="240">
        <v>88750</v>
      </c>
      <c r="U1103" s="110">
        <v>12</v>
      </c>
      <c r="V1103" s="58">
        <f t="shared" si="78"/>
        <v>1065000</v>
      </c>
      <c r="W1103" s="110" t="s">
        <v>68</v>
      </c>
      <c r="X1103" s="110" t="s">
        <v>5013</v>
      </c>
      <c r="Y1103" s="110" t="s">
        <v>5014</v>
      </c>
      <c r="Z1103" s="110" t="s">
        <v>5015</v>
      </c>
      <c r="AA1103" s="122">
        <v>11</v>
      </c>
      <c r="AB1103" s="122">
        <v>16</v>
      </c>
      <c r="AC1103" s="122">
        <v>45</v>
      </c>
      <c r="AD1103" s="21">
        <v>0</v>
      </c>
      <c r="AE1103" s="54">
        <v>0</v>
      </c>
      <c r="AF1103" s="315">
        <f t="shared" si="81"/>
        <v>0</v>
      </c>
    </row>
    <row r="1104" spans="1:32" ht="409.5" x14ac:dyDescent="0.25">
      <c r="A1104" s="107" t="s">
        <v>588</v>
      </c>
      <c r="B1104" s="107" t="s">
        <v>2271</v>
      </c>
      <c r="C1104" s="52"/>
      <c r="D1104" s="107" t="s">
        <v>2289</v>
      </c>
      <c r="E1104" s="22" t="str">
        <f t="shared" si="79"/>
        <v>SEJUSPPROG</v>
      </c>
      <c r="F1104" s="122" t="s">
        <v>886</v>
      </c>
      <c r="G1104" s="22" t="str">
        <f t="shared" si="80"/>
        <v>P146SEJUSP</v>
      </c>
      <c r="H1104" s="52" t="s">
        <v>1424</v>
      </c>
      <c r="I1104" s="22" t="s">
        <v>16</v>
      </c>
      <c r="J1104" s="107" t="s">
        <v>2177</v>
      </c>
      <c r="K1104" s="22" t="str">
        <f>VLOOKUP(CONCATENATE(A1104,LEFT(J1104,4)),AGRUPAMENTO!$D$2:$E$6783,2,FALSE)</f>
        <v>Gestão de equipamentos</v>
      </c>
      <c r="L1104" s="107" t="s">
        <v>44</v>
      </c>
      <c r="M1104" s="52"/>
      <c r="N1104" s="52">
        <v>10</v>
      </c>
      <c r="O1104" s="107" t="s">
        <v>3224</v>
      </c>
      <c r="P1104" s="52" t="s">
        <v>46</v>
      </c>
      <c r="Q1104" s="107" t="s">
        <v>3812</v>
      </c>
      <c r="R1104" s="107">
        <v>1</v>
      </c>
      <c r="S1104" s="107" t="s">
        <v>4067</v>
      </c>
      <c r="T1104" s="239">
        <v>100000</v>
      </c>
      <c r="U1104" s="107">
        <v>1</v>
      </c>
      <c r="V1104" s="58">
        <f t="shared" si="78"/>
        <v>100000</v>
      </c>
      <c r="W1104" s="52" t="s">
        <v>49</v>
      </c>
      <c r="X1104" s="107" t="s">
        <v>5016</v>
      </c>
      <c r="Y1104" s="304" t="s">
        <v>5017</v>
      </c>
      <c r="Z1104" s="304" t="s">
        <v>5018</v>
      </c>
      <c r="AA1104" s="52">
        <v>0</v>
      </c>
      <c r="AB1104" s="52">
        <v>0</v>
      </c>
      <c r="AC1104" s="52">
        <v>0</v>
      </c>
      <c r="AD1104" s="21">
        <v>0.88454016594970364</v>
      </c>
      <c r="AE1104" s="54">
        <v>0.88454016594970364</v>
      </c>
      <c r="AF1104" s="315">
        <f t="shared" si="81"/>
        <v>88454.016594970366</v>
      </c>
    </row>
    <row r="1105" spans="1:32" ht="150" x14ac:dyDescent="0.25">
      <c r="A1105" s="110" t="s">
        <v>588</v>
      </c>
      <c r="B1105" s="110" t="s">
        <v>2270</v>
      </c>
      <c r="C1105" s="52"/>
      <c r="D1105" s="110" t="s">
        <v>2276</v>
      </c>
      <c r="E1105" s="22" t="str">
        <f t="shared" si="79"/>
        <v>SEJUSPPROG</v>
      </c>
      <c r="F1105" s="108" t="s">
        <v>729</v>
      </c>
      <c r="G1105" s="22" t="str">
        <f t="shared" si="80"/>
        <v>P130SEJUSP</v>
      </c>
      <c r="H1105" s="110" t="s">
        <v>1183</v>
      </c>
      <c r="I1105" s="22" t="s">
        <v>16</v>
      </c>
      <c r="J1105" s="110" t="s">
        <v>1642</v>
      </c>
      <c r="K1105" s="22" t="str">
        <f>VLOOKUP(CONCATENATE(A1105,LEFT(J1105,4)),AGRUPAMENTO!$D$2:$E$6783,2,FALSE)</f>
        <v>Gestão de equipamentos</v>
      </c>
      <c r="L1105" s="137" t="s">
        <v>44</v>
      </c>
      <c r="M1105" s="52"/>
      <c r="N1105" s="52">
        <v>60</v>
      </c>
      <c r="O1105" s="110" t="s">
        <v>3225</v>
      </c>
      <c r="P1105" s="52" t="s">
        <v>58</v>
      </c>
      <c r="Q1105" s="110" t="s">
        <v>3812</v>
      </c>
      <c r="R1105" s="110">
        <v>1</v>
      </c>
      <c r="S1105" s="110" t="s">
        <v>4068</v>
      </c>
      <c r="T1105" s="240">
        <v>299000</v>
      </c>
      <c r="U1105" s="110">
        <v>12</v>
      </c>
      <c r="V1105" s="58">
        <f t="shared" si="78"/>
        <v>3588000</v>
      </c>
      <c r="W1105" s="110" t="s">
        <v>68</v>
      </c>
      <c r="X1105" s="110" t="s">
        <v>5019</v>
      </c>
      <c r="Y1105" s="110" t="s">
        <v>5020</v>
      </c>
      <c r="Z1105" s="110" t="s">
        <v>5021</v>
      </c>
      <c r="AA1105" s="122">
        <v>12</v>
      </c>
      <c r="AB1105" s="122">
        <v>17</v>
      </c>
      <c r="AC1105" s="122">
        <v>46</v>
      </c>
      <c r="AD1105" s="21">
        <v>0</v>
      </c>
      <c r="AE1105" s="54">
        <v>0</v>
      </c>
      <c r="AF1105" s="315">
        <f t="shared" si="81"/>
        <v>0</v>
      </c>
    </row>
    <row r="1106" spans="1:32" ht="150" x14ac:dyDescent="0.25">
      <c r="A1106" s="110" t="s">
        <v>588</v>
      </c>
      <c r="B1106" s="110" t="s">
        <v>2270</v>
      </c>
      <c r="C1106" s="52"/>
      <c r="D1106" s="110" t="s">
        <v>2276</v>
      </c>
      <c r="E1106" s="22" t="str">
        <f t="shared" si="79"/>
        <v>SEJUSPPROG</v>
      </c>
      <c r="F1106" s="122" t="s">
        <v>886</v>
      </c>
      <c r="G1106" s="22" t="str">
        <f t="shared" si="80"/>
        <v>P146SEJUSP</v>
      </c>
      <c r="H1106" s="108" t="s">
        <v>1424</v>
      </c>
      <c r="I1106" s="22" t="s">
        <v>16</v>
      </c>
      <c r="J1106" s="110" t="s">
        <v>1642</v>
      </c>
      <c r="K1106" s="22" t="str">
        <f>VLOOKUP(CONCATENATE(A1106,LEFT(J1106,4)),AGRUPAMENTO!$D$2:$E$6783,2,FALSE)</f>
        <v>Gestão de equipamentos</v>
      </c>
      <c r="L1106" s="137" t="s">
        <v>44</v>
      </c>
      <c r="M1106" s="52"/>
      <c r="N1106" s="52">
        <v>10</v>
      </c>
      <c r="O1106" s="110" t="s">
        <v>3226</v>
      </c>
      <c r="P1106" s="52" t="s">
        <v>58</v>
      </c>
      <c r="Q1106" s="110" t="s">
        <v>3812</v>
      </c>
      <c r="R1106" s="110">
        <v>1</v>
      </c>
      <c r="S1106" s="110" t="s">
        <v>4068</v>
      </c>
      <c r="T1106" s="240">
        <v>21000</v>
      </c>
      <c r="U1106" s="110">
        <v>12</v>
      </c>
      <c r="V1106" s="58">
        <f t="shared" si="78"/>
        <v>252000</v>
      </c>
      <c r="W1106" s="110" t="s">
        <v>68</v>
      </c>
      <c r="X1106" s="110" t="s">
        <v>5019</v>
      </c>
      <c r="Y1106" s="110" t="s">
        <v>5020</v>
      </c>
      <c r="Z1106" s="110" t="s">
        <v>5021</v>
      </c>
      <c r="AA1106" s="122">
        <v>12</v>
      </c>
      <c r="AB1106" s="122">
        <v>17</v>
      </c>
      <c r="AC1106" s="122">
        <v>46</v>
      </c>
      <c r="AD1106" s="21">
        <v>0</v>
      </c>
      <c r="AE1106" s="54">
        <v>0</v>
      </c>
      <c r="AF1106" s="315">
        <f t="shared" si="81"/>
        <v>0</v>
      </c>
    </row>
    <row r="1107" spans="1:32" ht="150" x14ac:dyDescent="0.25">
      <c r="A1107" s="110" t="s">
        <v>588</v>
      </c>
      <c r="B1107" s="110" t="s">
        <v>2270</v>
      </c>
      <c r="C1107" s="52"/>
      <c r="D1107" s="110" t="s">
        <v>2276</v>
      </c>
      <c r="E1107" s="22" t="str">
        <f t="shared" si="79"/>
        <v>SEJUSPPROG</v>
      </c>
      <c r="F1107" s="108" t="s">
        <v>705</v>
      </c>
      <c r="G1107" s="22" t="str">
        <f t="shared" si="80"/>
        <v>P134SEJUSP</v>
      </c>
      <c r="H1107" s="108" t="s">
        <v>1356</v>
      </c>
      <c r="I1107" s="22" t="s">
        <v>16</v>
      </c>
      <c r="J1107" s="110" t="s">
        <v>1642</v>
      </c>
      <c r="K1107" s="22" t="str">
        <f>VLOOKUP(CONCATENATE(A1107,LEFT(J1107,4)),AGRUPAMENTO!$D$2:$E$6783,2,FALSE)</f>
        <v>Gestão de equipamentos</v>
      </c>
      <c r="L1107" s="137" t="s">
        <v>44</v>
      </c>
      <c r="M1107" s="52"/>
      <c r="N1107" s="52">
        <v>10</v>
      </c>
      <c r="O1107" s="110" t="s">
        <v>3227</v>
      </c>
      <c r="P1107" s="52" t="s">
        <v>58</v>
      </c>
      <c r="Q1107" s="110" t="s">
        <v>3812</v>
      </c>
      <c r="R1107" s="110">
        <v>1</v>
      </c>
      <c r="S1107" s="110" t="s">
        <v>4068</v>
      </c>
      <c r="T1107" s="240">
        <v>5000</v>
      </c>
      <c r="U1107" s="110">
        <v>12</v>
      </c>
      <c r="V1107" s="58">
        <f t="shared" si="78"/>
        <v>60000</v>
      </c>
      <c r="W1107" s="110" t="s">
        <v>68</v>
      </c>
      <c r="X1107" s="110" t="s">
        <v>5019</v>
      </c>
      <c r="Y1107" s="110" t="s">
        <v>5020</v>
      </c>
      <c r="Z1107" s="110" t="s">
        <v>5021</v>
      </c>
      <c r="AA1107" s="122">
        <v>12</v>
      </c>
      <c r="AB1107" s="122">
        <v>17</v>
      </c>
      <c r="AC1107" s="122">
        <v>46</v>
      </c>
      <c r="AD1107" s="21">
        <v>0</v>
      </c>
      <c r="AE1107" s="54">
        <v>0</v>
      </c>
      <c r="AF1107" s="315">
        <f t="shared" si="81"/>
        <v>0</v>
      </c>
    </row>
    <row r="1108" spans="1:32" ht="60" x14ac:dyDescent="0.25">
      <c r="A1108" s="107" t="s">
        <v>588</v>
      </c>
      <c r="B1108" s="107" t="s">
        <v>2270</v>
      </c>
      <c r="C1108" s="52"/>
      <c r="D1108" s="108" t="s">
        <v>2301</v>
      </c>
      <c r="E1108" s="22" t="str">
        <f t="shared" si="79"/>
        <v>SEJUSPPROG</v>
      </c>
      <c r="F1108" s="125" t="s">
        <v>687</v>
      </c>
      <c r="G1108" s="22" t="str">
        <f t="shared" si="80"/>
        <v>P705SEJUSP</v>
      </c>
      <c r="H1108" s="108" t="s">
        <v>914</v>
      </c>
      <c r="I1108" s="22" t="s">
        <v>16</v>
      </c>
      <c r="J1108" s="108" t="s">
        <v>1664</v>
      </c>
      <c r="K1108" s="22" t="str">
        <f>VLOOKUP(CONCATENATE(A1108,LEFT(J1108,4)),AGRUPAMENTO!$D$2:$E$6783,2,FALSE)</f>
        <v>Serviços de TIC</v>
      </c>
      <c r="L1108" s="52" t="s">
        <v>44</v>
      </c>
      <c r="M1108" s="52"/>
      <c r="N1108" s="52">
        <v>10</v>
      </c>
      <c r="O1108" s="108" t="s">
        <v>3228</v>
      </c>
      <c r="P1108" s="52" t="s">
        <v>58</v>
      </c>
      <c r="Q1108" s="108" t="s">
        <v>4069</v>
      </c>
      <c r="R1108" s="108">
        <v>4239</v>
      </c>
      <c r="S1108" s="108" t="s">
        <v>3937</v>
      </c>
      <c r="T1108" s="241">
        <v>47.38</v>
      </c>
      <c r="U1108" s="108">
        <v>12</v>
      </c>
      <c r="V1108" s="58">
        <f t="shared" si="78"/>
        <v>2410125.84</v>
      </c>
      <c r="W1108" s="108" t="s">
        <v>68</v>
      </c>
      <c r="X1108" s="108" t="s">
        <v>5022</v>
      </c>
      <c r="Y1108" s="108" t="s">
        <v>5023</v>
      </c>
      <c r="Z1108" s="108" t="s">
        <v>5024</v>
      </c>
      <c r="AA1108" s="108">
        <v>2</v>
      </c>
      <c r="AB1108" s="108">
        <v>18</v>
      </c>
      <c r="AC1108" s="108">
        <v>47</v>
      </c>
      <c r="AD1108" s="21">
        <v>0</v>
      </c>
      <c r="AE1108" s="54">
        <v>0</v>
      </c>
      <c r="AF1108" s="315">
        <f t="shared" si="81"/>
        <v>0</v>
      </c>
    </row>
    <row r="1109" spans="1:32" ht="60" x14ac:dyDescent="0.25">
      <c r="A1109" s="107" t="s">
        <v>588</v>
      </c>
      <c r="B1109" s="107" t="s">
        <v>2270</v>
      </c>
      <c r="C1109" s="52"/>
      <c r="D1109" s="108" t="s">
        <v>2301</v>
      </c>
      <c r="E1109" s="22" t="str">
        <f t="shared" si="79"/>
        <v>SEJUSPPROG</v>
      </c>
      <c r="F1109" s="125" t="s">
        <v>687</v>
      </c>
      <c r="G1109" s="22" t="str">
        <f t="shared" si="80"/>
        <v>P705SEJUSP</v>
      </c>
      <c r="H1109" s="108" t="s">
        <v>914</v>
      </c>
      <c r="I1109" s="22" t="s">
        <v>16</v>
      </c>
      <c r="J1109" s="108" t="s">
        <v>1664</v>
      </c>
      <c r="K1109" s="22" t="str">
        <f>VLOOKUP(CONCATENATE(A1109,LEFT(J1109,4)),AGRUPAMENTO!$D$2:$E$6783,2,FALSE)</f>
        <v>Serviços de TIC</v>
      </c>
      <c r="L1109" s="108" t="s">
        <v>44</v>
      </c>
      <c r="M1109" s="52"/>
      <c r="N1109" s="52">
        <v>10</v>
      </c>
      <c r="O1109" s="108" t="s">
        <v>3229</v>
      </c>
      <c r="P1109" s="52" t="s">
        <v>58</v>
      </c>
      <c r="Q1109" s="108" t="s">
        <v>4069</v>
      </c>
      <c r="R1109" s="108">
        <v>28</v>
      </c>
      <c r="S1109" s="108" t="s">
        <v>3937</v>
      </c>
      <c r="T1109" s="241">
        <v>47.38</v>
      </c>
      <c r="U1109" s="108">
        <v>12</v>
      </c>
      <c r="V1109" s="58">
        <f t="shared" si="78"/>
        <v>15919.68</v>
      </c>
      <c r="W1109" s="108" t="s">
        <v>68</v>
      </c>
      <c r="X1109" s="108" t="s">
        <v>5022</v>
      </c>
      <c r="Y1109" s="108" t="s">
        <v>5023</v>
      </c>
      <c r="Z1109" s="108" t="s">
        <v>5024</v>
      </c>
      <c r="AA1109" s="108">
        <v>2</v>
      </c>
      <c r="AB1109" s="108">
        <v>18</v>
      </c>
      <c r="AC1109" s="108">
        <v>47</v>
      </c>
      <c r="AD1109" s="21">
        <v>0</v>
      </c>
      <c r="AE1109" s="54">
        <v>0</v>
      </c>
      <c r="AF1109" s="315">
        <f t="shared" si="81"/>
        <v>0</v>
      </c>
    </row>
    <row r="1110" spans="1:32" ht="60" x14ac:dyDescent="0.25">
      <c r="A1110" s="107" t="s">
        <v>588</v>
      </c>
      <c r="B1110" s="107" t="s">
        <v>2270</v>
      </c>
      <c r="C1110" s="52"/>
      <c r="D1110" s="108" t="s">
        <v>2301</v>
      </c>
      <c r="E1110" s="22" t="str">
        <f t="shared" si="79"/>
        <v>SEJUSPPROG</v>
      </c>
      <c r="F1110" s="125" t="s">
        <v>687</v>
      </c>
      <c r="G1110" s="22" t="str">
        <f t="shared" si="80"/>
        <v>P705SEJUSP</v>
      </c>
      <c r="H1110" s="108" t="s">
        <v>914</v>
      </c>
      <c r="I1110" s="22" t="s">
        <v>16</v>
      </c>
      <c r="J1110" s="108" t="s">
        <v>1664</v>
      </c>
      <c r="K1110" s="22" t="str">
        <f>VLOOKUP(CONCATENATE(A1110,LEFT(J1110,4)),AGRUPAMENTO!$D$2:$E$6783,2,FALSE)</f>
        <v>Serviços de TIC</v>
      </c>
      <c r="L1110" s="108" t="s">
        <v>44</v>
      </c>
      <c r="M1110" s="52"/>
      <c r="N1110" s="52">
        <v>10</v>
      </c>
      <c r="O1110" s="108" t="s">
        <v>3230</v>
      </c>
      <c r="P1110" s="52" t="s">
        <v>58</v>
      </c>
      <c r="Q1110" s="108" t="s">
        <v>4069</v>
      </c>
      <c r="R1110" s="108">
        <v>210</v>
      </c>
      <c r="S1110" s="108" t="s">
        <v>3937</v>
      </c>
      <c r="T1110" s="241">
        <v>47.38</v>
      </c>
      <c r="U1110" s="108">
        <v>12</v>
      </c>
      <c r="V1110" s="58">
        <f t="shared" si="78"/>
        <v>119397.6</v>
      </c>
      <c r="W1110" s="108" t="s">
        <v>68</v>
      </c>
      <c r="X1110" s="108" t="s">
        <v>5022</v>
      </c>
      <c r="Y1110" s="108" t="s">
        <v>5023</v>
      </c>
      <c r="Z1110" s="108" t="s">
        <v>5024</v>
      </c>
      <c r="AA1110" s="108">
        <v>2</v>
      </c>
      <c r="AB1110" s="108">
        <v>18</v>
      </c>
      <c r="AC1110" s="108">
        <v>47</v>
      </c>
      <c r="AD1110" s="21">
        <v>0</v>
      </c>
      <c r="AE1110" s="54">
        <v>0</v>
      </c>
      <c r="AF1110" s="315">
        <f t="shared" si="81"/>
        <v>0</v>
      </c>
    </row>
    <row r="1111" spans="1:32" ht="60" x14ac:dyDescent="0.25">
      <c r="A1111" s="107" t="s">
        <v>588</v>
      </c>
      <c r="B1111" s="107" t="s">
        <v>2270</v>
      </c>
      <c r="C1111" s="52"/>
      <c r="D1111" s="108" t="s">
        <v>2301</v>
      </c>
      <c r="E1111" s="22" t="str">
        <f t="shared" si="79"/>
        <v>SEJUSPPROG</v>
      </c>
      <c r="F1111" s="125" t="s">
        <v>687</v>
      </c>
      <c r="G1111" s="22" t="str">
        <f t="shared" si="80"/>
        <v>P705SEJUSP</v>
      </c>
      <c r="H1111" s="108" t="s">
        <v>914</v>
      </c>
      <c r="I1111" s="22" t="s">
        <v>16</v>
      </c>
      <c r="J1111" s="108" t="s">
        <v>1664</v>
      </c>
      <c r="K1111" s="22" t="str">
        <f>VLOOKUP(CONCATENATE(A1111,LEFT(J1111,4)),AGRUPAMENTO!$D$2:$E$6783,2,FALSE)</f>
        <v>Serviços de TIC</v>
      </c>
      <c r="L1111" s="108" t="s">
        <v>44</v>
      </c>
      <c r="M1111" s="52"/>
      <c r="N1111" s="52">
        <v>10</v>
      </c>
      <c r="O1111" s="108" t="s">
        <v>3231</v>
      </c>
      <c r="P1111" s="52" t="s">
        <v>58</v>
      </c>
      <c r="Q1111" s="108" t="s">
        <v>4069</v>
      </c>
      <c r="R1111" s="108">
        <v>5</v>
      </c>
      <c r="S1111" s="108" t="s">
        <v>3937</v>
      </c>
      <c r="T1111" s="241">
        <v>47.38</v>
      </c>
      <c r="U1111" s="108">
        <v>12</v>
      </c>
      <c r="V1111" s="58">
        <f t="shared" si="78"/>
        <v>2842.8</v>
      </c>
      <c r="W1111" s="108" t="s">
        <v>68</v>
      </c>
      <c r="X1111" s="108" t="s">
        <v>5022</v>
      </c>
      <c r="Y1111" s="108" t="s">
        <v>5023</v>
      </c>
      <c r="Z1111" s="108" t="s">
        <v>5024</v>
      </c>
      <c r="AA1111" s="108">
        <v>2</v>
      </c>
      <c r="AB1111" s="108">
        <v>18</v>
      </c>
      <c r="AC1111" s="108">
        <v>47</v>
      </c>
      <c r="AD1111" s="21">
        <v>0</v>
      </c>
      <c r="AE1111" s="54">
        <v>0</v>
      </c>
      <c r="AF1111" s="315">
        <f t="shared" si="81"/>
        <v>0</v>
      </c>
    </row>
    <row r="1112" spans="1:32" ht="60" x14ac:dyDescent="0.25">
      <c r="A1112" s="107" t="s">
        <v>588</v>
      </c>
      <c r="B1112" s="107" t="s">
        <v>2270</v>
      </c>
      <c r="C1112" s="52"/>
      <c r="D1112" s="108" t="s">
        <v>2301</v>
      </c>
      <c r="E1112" s="22" t="str">
        <f t="shared" si="79"/>
        <v>SEJUSPPROG</v>
      </c>
      <c r="F1112" s="125" t="s">
        <v>687</v>
      </c>
      <c r="G1112" s="22" t="str">
        <f t="shared" si="80"/>
        <v>P705SEJUSP</v>
      </c>
      <c r="H1112" s="108" t="s">
        <v>914</v>
      </c>
      <c r="I1112" s="22" t="s">
        <v>16</v>
      </c>
      <c r="J1112" s="108" t="s">
        <v>1664</v>
      </c>
      <c r="K1112" s="22" t="str">
        <f>VLOOKUP(CONCATENATE(A1112,LEFT(J1112,4)),AGRUPAMENTO!$D$2:$E$6783,2,FALSE)</f>
        <v>Serviços de TIC</v>
      </c>
      <c r="L1112" s="108" t="s">
        <v>44</v>
      </c>
      <c r="M1112" s="52"/>
      <c r="N1112" s="52">
        <v>10</v>
      </c>
      <c r="O1112" s="108" t="s">
        <v>3232</v>
      </c>
      <c r="P1112" s="52" t="s">
        <v>58</v>
      </c>
      <c r="Q1112" s="108" t="s">
        <v>4069</v>
      </c>
      <c r="R1112" s="108">
        <v>300</v>
      </c>
      <c r="S1112" s="108" t="s">
        <v>3937</v>
      </c>
      <c r="T1112" s="241">
        <v>47.38</v>
      </c>
      <c r="U1112" s="108">
        <v>12</v>
      </c>
      <c r="V1112" s="58">
        <f t="shared" si="78"/>
        <v>170568</v>
      </c>
      <c r="W1112" s="108" t="s">
        <v>68</v>
      </c>
      <c r="X1112" s="108" t="s">
        <v>5022</v>
      </c>
      <c r="Y1112" s="108" t="s">
        <v>5023</v>
      </c>
      <c r="Z1112" s="108" t="s">
        <v>5024</v>
      </c>
      <c r="AA1112" s="108">
        <v>2</v>
      </c>
      <c r="AB1112" s="108">
        <v>18</v>
      </c>
      <c r="AC1112" s="108">
        <v>47</v>
      </c>
      <c r="AD1112" s="21">
        <v>0</v>
      </c>
      <c r="AE1112" s="54">
        <v>0</v>
      </c>
      <c r="AF1112" s="315">
        <f t="shared" si="81"/>
        <v>0</v>
      </c>
    </row>
    <row r="1113" spans="1:32" ht="90" x14ac:dyDescent="0.25">
      <c r="A1113" s="107" t="s">
        <v>588</v>
      </c>
      <c r="B1113" s="107" t="s">
        <v>2270</v>
      </c>
      <c r="C1113" s="52"/>
      <c r="D1113" s="108" t="s">
        <v>2301</v>
      </c>
      <c r="E1113" s="22" t="str">
        <f t="shared" si="79"/>
        <v>SEJUSPPROG</v>
      </c>
      <c r="F1113" s="125" t="s">
        <v>687</v>
      </c>
      <c r="G1113" s="22" t="str">
        <f t="shared" si="80"/>
        <v>P705SEJUSP</v>
      </c>
      <c r="H1113" s="108" t="s">
        <v>914</v>
      </c>
      <c r="I1113" s="22" t="s">
        <v>16</v>
      </c>
      <c r="J1113" s="108" t="s">
        <v>1664</v>
      </c>
      <c r="K1113" s="22" t="str">
        <f>VLOOKUP(CONCATENATE(A1113,LEFT(J1113,4)),AGRUPAMENTO!$D$2:$E$6783,2,FALSE)</f>
        <v>Serviços de TIC</v>
      </c>
      <c r="L1113" s="108" t="s">
        <v>44</v>
      </c>
      <c r="M1113" s="52"/>
      <c r="N1113" s="52">
        <v>10</v>
      </c>
      <c r="O1113" s="108" t="s">
        <v>3233</v>
      </c>
      <c r="P1113" s="52" t="s">
        <v>58</v>
      </c>
      <c r="Q1113" s="108" t="s">
        <v>4069</v>
      </c>
      <c r="R1113" s="108">
        <v>2</v>
      </c>
      <c r="S1113" s="108" t="s">
        <v>3937</v>
      </c>
      <c r="T1113" s="241">
        <v>8.1</v>
      </c>
      <c r="U1113" s="108">
        <v>12</v>
      </c>
      <c r="V1113" s="58">
        <f t="shared" si="78"/>
        <v>194.39999999999998</v>
      </c>
      <c r="W1113" s="108" t="s">
        <v>68</v>
      </c>
      <c r="X1113" s="108" t="s">
        <v>5022</v>
      </c>
      <c r="Y1113" s="108" t="s">
        <v>5023</v>
      </c>
      <c r="Z1113" s="108" t="s">
        <v>5024</v>
      </c>
      <c r="AA1113" s="108">
        <v>2</v>
      </c>
      <c r="AB1113" s="108">
        <v>18</v>
      </c>
      <c r="AC1113" s="108">
        <v>47</v>
      </c>
      <c r="AD1113" s="21">
        <v>0</v>
      </c>
      <c r="AE1113" s="54">
        <v>0</v>
      </c>
      <c r="AF1113" s="315">
        <f t="shared" si="81"/>
        <v>0</v>
      </c>
    </row>
    <row r="1114" spans="1:32" ht="60" x14ac:dyDescent="0.25">
      <c r="A1114" s="107" t="s">
        <v>588</v>
      </c>
      <c r="B1114" s="107" t="s">
        <v>2270</v>
      </c>
      <c r="C1114" s="52"/>
      <c r="D1114" s="108" t="s">
        <v>2301</v>
      </c>
      <c r="E1114" s="22" t="str">
        <f t="shared" si="79"/>
        <v>SEJUSPPROG</v>
      </c>
      <c r="F1114" s="125" t="s">
        <v>687</v>
      </c>
      <c r="G1114" s="22" t="str">
        <f t="shared" si="80"/>
        <v>P705SEJUSP</v>
      </c>
      <c r="H1114" s="108" t="s">
        <v>914</v>
      </c>
      <c r="I1114" s="22" t="s">
        <v>16</v>
      </c>
      <c r="J1114" s="108" t="s">
        <v>1664</v>
      </c>
      <c r="K1114" s="22" t="str">
        <f>VLOOKUP(CONCATENATE(A1114,LEFT(J1114,4)),AGRUPAMENTO!$D$2:$E$6783,2,FALSE)</f>
        <v>Serviços de TIC</v>
      </c>
      <c r="L1114" s="108" t="s">
        <v>44</v>
      </c>
      <c r="M1114" s="52"/>
      <c r="N1114" s="52">
        <v>10</v>
      </c>
      <c r="O1114" s="108" t="s">
        <v>3234</v>
      </c>
      <c r="P1114" s="52" t="s">
        <v>58</v>
      </c>
      <c r="Q1114" s="108" t="s">
        <v>4069</v>
      </c>
      <c r="R1114" s="108">
        <v>8</v>
      </c>
      <c r="S1114" s="108" t="s">
        <v>3937</v>
      </c>
      <c r="T1114" s="241">
        <v>8000</v>
      </c>
      <c r="U1114" s="108">
        <v>12</v>
      </c>
      <c r="V1114" s="58">
        <f t="shared" si="78"/>
        <v>768000</v>
      </c>
      <c r="W1114" s="108" t="s">
        <v>68</v>
      </c>
      <c r="X1114" s="108" t="s">
        <v>5022</v>
      </c>
      <c r="Y1114" s="108" t="s">
        <v>5023</v>
      </c>
      <c r="Z1114" s="108" t="s">
        <v>5024</v>
      </c>
      <c r="AA1114" s="108">
        <v>2</v>
      </c>
      <c r="AB1114" s="108">
        <v>18</v>
      </c>
      <c r="AC1114" s="108">
        <v>47</v>
      </c>
      <c r="AD1114" s="21">
        <v>0</v>
      </c>
      <c r="AE1114" s="54">
        <v>0</v>
      </c>
      <c r="AF1114" s="315">
        <f t="shared" si="81"/>
        <v>0</v>
      </c>
    </row>
    <row r="1115" spans="1:32" ht="255" x14ac:dyDescent="0.25">
      <c r="A1115" s="109" t="s">
        <v>588</v>
      </c>
      <c r="B1115" s="110" t="s">
        <v>2270</v>
      </c>
      <c r="C1115" s="52"/>
      <c r="D1115" s="110" t="s">
        <v>2276</v>
      </c>
      <c r="E1115" s="22" t="str">
        <f t="shared" si="79"/>
        <v>SEJUSPPROG</v>
      </c>
      <c r="F1115" s="125" t="s">
        <v>687</v>
      </c>
      <c r="G1115" s="22" t="str">
        <f t="shared" si="80"/>
        <v>P705SEJUSP</v>
      </c>
      <c r="H1115" s="109" t="s">
        <v>914</v>
      </c>
      <c r="I1115" s="22" t="s">
        <v>16</v>
      </c>
      <c r="J1115" s="109" t="s">
        <v>450</v>
      </c>
      <c r="K1115" s="22" t="str">
        <f>VLOOKUP(CONCATENATE(A1115,LEFT(J1115,4)),AGRUPAMENTO!$D$2:$E$6783,2,FALSE)</f>
        <v>Frota</v>
      </c>
      <c r="L1115" s="137" t="s">
        <v>44</v>
      </c>
      <c r="M1115" s="52"/>
      <c r="N1115" s="52">
        <v>10</v>
      </c>
      <c r="O1115" s="109" t="s">
        <v>3235</v>
      </c>
      <c r="P1115" s="52" t="s">
        <v>58</v>
      </c>
      <c r="Q1115" s="109" t="s">
        <v>4070</v>
      </c>
      <c r="R1115" s="242">
        <f>((25000*5%)+25000)/12</f>
        <v>2187.5</v>
      </c>
      <c r="S1115" s="109" t="s">
        <v>4071</v>
      </c>
      <c r="T1115" s="243">
        <v>3.6304799999999999</v>
      </c>
      <c r="U1115" s="109">
        <v>12</v>
      </c>
      <c r="V1115" s="58">
        <f t="shared" si="78"/>
        <v>95300.1</v>
      </c>
      <c r="W1115" s="109" t="s">
        <v>5025</v>
      </c>
      <c r="X1115" s="109" t="s">
        <v>5026</v>
      </c>
      <c r="Y1115" s="109" t="s">
        <v>5027</v>
      </c>
      <c r="Z1115" s="109" t="s">
        <v>5028</v>
      </c>
      <c r="AA1115" s="110">
        <v>13</v>
      </c>
      <c r="AB1115" s="110">
        <v>19</v>
      </c>
      <c r="AC1115" s="110">
        <v>48</v>
      </c>
      <c r="AD1115" s="21">
        <v>0</v>
      </c>
      <c r="AE1115" s="54">
        <v>0</v>
      </c>
      <c r="AF1115" s="315">
        <f t="shared" si="81"/>
        <v>0</v>
      </c>
    </row>
    <row r="1116" spans="1:32" ht="195" x14ac:dyDescent="0.25">
      <c r="A1116" s="107" t="s">
        <v>588</v>
      </c>
      <c r="B1116" s="107" t="s">
        <v>2271</v>
      </c>
      <c r="C1116" s="52"/>
      <c r="D1116" s="107" t="s">
        <v>2289</v>
      </c>
      <c r="E1116" s="22" t="str">
        <f t="shared" si="79"/>
        <v>SEJUSPPROG</v>
      </c>
      <c r="F1116" s="122" t="s">
        <v>886</v>
      </c>
      <c r="G1116" s="22" t="str">
        <f t="shared" si="80"/>
        <v>P146SEJUSP</v>
      </c>
      <c r="H1116" s="52" t="s">
        <v>1424</v>
      </c>
      <c r="I1116" s="22" t="s">
        <v>16</v>
      </c>
      <c r="J1116" s="107" t="s">
        <v>1641</v>
      </c>
      <c r="K1116" s="22" t="str">
        <f>VLOOKUP(CONCATENATE(A1116,LEFT(J1116,4)),AGRUPAMENTO!$D$2:$E$6783,2,FALSE)</f>
        <v xml:space="preserve">Locação de Máquinas e Equipamentos </v>
      </c>
      <c r="L1116" s="107" t="s">
        <v>44</v>
      </c>
      <c r="M1116" s="52"/>
      <c r="N1116" s="52">
        <v>10</v>
      </c>
      <c r="O1116" s="107" t="s">
        <v>3236</v>
      </c>
      <c r="P1116" s="52" t="s">
        <v>46</v>
      </c>
      <c r="Q1116" s="107" t="s">
        <v>3812</v>
      </c>
      <c r="R1116" s="107">
        <v>1</v>
      </c>
      <c r="S1116" s="107" t="s">
        <v>4072</v>
      </c>
      <c r="T1116" s="239">
        <v>11376.08</v>
      </c>
      <c r="U1116" s="107">
        <v>12</v>
      </c>
      <c r="V1116" s="58">
        <f t="shared" si="78"/>
        <v>136512.95999999999</v>
      </c>
      <c r="W1116" s="52" t="s">
        <v>49</v>
      </c>
      <c r="X1116" s="107" t="s">
        <v>5029</v>
      </c>
      <c r="Y1116" s="304" t="s">
        <v>5030</v>
      </c>
      <c r="Z1116" s="304" t="s">
        <v>5031</v>
      </c>
      <c r="AA1116" s="52">
        <v>0</v>
      </c>
      <c r="AB1116" s="52">
        <v>0</v>
      </c>
      <c r="AC1116" s="52">
        <v>0</v>
      </c>
      <c r="AD1116" s="21">
        <v>0.57732302447688655</v>
      </c>
      <c r="AE1116" s="54">
        <v>0.57732302447688655</v>
      </c>
      <c r="AF1116" s="315">
        <f t="shared" si="81"/>
        <v>78812.074947492234</v>
      </c>
    </row>
    <row r="1117" spans="1:32" ht="195" x14ac:dyDescent="0.25">
      <c r="A1117" s="107" t="s">
        <v>588</v>
      </c>
      <c r="B1117" s="107" t="s">
        <v>2271</v>
      </c>
      <c r="C1117" s="52"/>
      <c r="D1117" s="107" t="s">
        <v>2289</v>
      </c>
      <c r="E1117" s="22" t="str">
        <f t="shared" si="79"/>
        <v>SEJUSPPROG</v>
      </c>
      <c r="F1117" s="122" t="s">
        <v>886</v>
      </c>
      <c r="G1117" s="22" t="str">
        <f t="shared" si="80"/>
        <v>P146SEJUSP</v>
      </c>
      <c r="H1117" s="52" t="s">
        <v>1424</v>
      </c>
      <c r="I1117" s="22" t="s">
        <v>16</v>
      </c>
      <c r="J1117" s="107" t="s">
        <v>1641</v>
      </c>
      <c r="K1117" s="22" t="str">
        <f>VLOOKUP(CONCATENATE(A1117,LEFT(J1117,4)),AGRUPAMENTO!$D$2:$E$6783,2,FALSE)</f>
        <v xml:space="preserve">Locação de Máquinas e Equipamentos </v>
      </c>
      <c r="L1117" s="107" t="s">
        <v>44</v>
      </c>
      <c r="M1117" s="52"/>
      <c r="N1117" s="52">
        <v>10</v>
      </c>
      <c r="O1117" s="107" t="s">
        <v>3237</v>
      </c>
      <c r="P1117" s="52" t="s">
        <v>46</v>
      </c>
      <c r="Q1117" s="107" t="s">
        <v>3812</v>
      </c>
      <c r="R1117" s="107">
        <v>1</v>
      </c>
      <c r="S1117" s="107" t="s">
        <v>4072</v>
      </c>
      <c r="T1117" s="239">
        <v>11376.08</v>
      </c>
      <c r="U1117" s="107">
        <v>12</v>
      </c>
      <c r="V1117" s="58">
        <f t="shared" si="78"/>
        <v>136512.95999999999</v>
      </c>
      <c r="W1117" s="52" t="s">
        <v>49</v>
      </c>
      <c r="X1117" s="107" t="s">
        <v>5029</v>
      </c>
      <c r="Y1117" s="304" t="s">
        <v>5030</v>
      </c>
      <c r="Z1117" s="304" t="s">
        <v>5031</v>
      </c>
      <c r="AA1117" s="52">
        <v>0</v>
      </c>
      <c r="AB1117" s="52">
        <v>0</v>
      </c>
      <c r="AC1117" s="52">
        <v>0</v>
      </c>
      <c r="AD1117" s="21">
        <v>0.57732302447688655</v>
      </c>
      <c r="AE1117" s="54">
        <v>0.57732302447688655</v>
      </c>
      <c r="AF1117" s="315">
        <f t="shared" si="81"/>
        <v>78812.074947492234</v>
      </c>
    </row>
    <row r="1118" spans="1:32" ht="195" x14ac:dyDescent="0.25">
      <c r="A1118" s="107" t="s">
        <v>588</v>
      </c>
      <c r="B1118" s="107" t="s">
        <v>2271</v>
      </c>
      <c r="C1118" s="52"/>
      <c r="D1118" s="107" t="s">
        <v>2289</v>
      </c>
      <c r="E1118" s="22" t="str">
        <f t="shared" si="79"/>
        <v>SEJUSPPROG</v>
      </c>
      <c r="F1118" s="122" t="s">
        <v>886</v>
      </c>
      <c r="G1118" s="22" t="str">
        <f t="shared" si="80"/>
        <v>P146SEJUSP</v>
      </c>
      <c r="H1118" s="52" t="s">
        <v>1424</v>
      </c>
      <c r="I1118" s="22" t="s">
        <v>16</v>
      </c>
      <c r="J1118" s="107" t="s">
        <v>1641</v>
      </c>
      <c r="K1118" s="22" t="str">
        <f>VLOOKUP(CONCATENATE(A1118,LEFT(J1118,4)),AGRUPAMENTO!$D$2:$E$6783,2,FALSE)</f>
        <v xml:space="preserve">Locação de Máquinas e Equipamentos </v>
      </c>
      <c r="L1118" s="107" t="s">
        <v>44</v>
      </c>
      <c r="M1118" s="52"/>
      <c r="N1118" s="52">
        <v>10</v>
      </c>
      <c r="O1118" s="107" t="s">
        <v>3238</v>
      </c>
      <c r="P1118" s="52" t="s">
        <v>46</v>
      </c>
      <c r="Q1118" s="107" t="s">
        <v>3812</v>
      </c>
      <c r="R1118" s="107">
        <v>1</v>
      </c>
      <c r="S1118" s="107" t="s">
        <v>4072</v>
      </c>
      <c r="T1118" s="239">
        <v>11376.08</v>
      </c>
      <c r="U1118" s="107">
        <v>12</v>
      </c>
      <c r="V1118" s="58">
        <f t="shared" si="78"/>
        <v>136512.95999999999</v>
      </c>
      <c r="W1118" s="52" t="s">
        <v>49</v>
      </c>
      <c r="X1118" s="107" t="s">
        <v>5029</v>
      </c>
      <c r="Y1118" s="304" t="s">
        <v>5030</v>
      </c>
      <c r="Z1118" s="304" t="s">
        <v>5031</v>
      </c>
      <c r="AA1118" s="52">
        <v>0</v>
      </c>
      <c r="AB1118" s="52">
        <v>0</v>
      </c>
      <c r="AC1118" s="52">
        <v>0</v>
      </c>
      <c r="AD1118" s="21">
        <v>0.57732302447688655</v>
      </c>
      <c r="AE1118" s="54">
        <v>0.57732302447688655</v>
      </c>
      <c r="AF1118" s="315">
        <f t="shared" si="81"/>
        <v>78812.074947492234</v>
      </c>
    </row>
    <row r="1119" spans="1:32" ht="195" x14ac:dyDescent="0.25">
      <c r="A1119" s="107" t="s">
        <v>588</v>
      </c>
      <c r="B1119" s="107" t="s">
        <v>2271</v>
      </c>
      <c r="C1119" s="52"/>
      <c r="D1119" s="107" t="s">
        <v>2289</v>
      </c>
      <c r="E1119" s="22" t="str">
        <f t="shared" si="79"/>
        <v>SEJUSPPROG</v>
      </c>
      <c r="F1119" s="122" t="s">
        <v>886</v>
      </c>
      <c r="G1119" s="22" t="str">
        <f t="shared" si="80"/>
        <v>P146SEJUSP</v>
      </c>
      <c r="H1119" s="52" t="s">
        <v>1424</v>
      </c>
      <c r="I1119" s="22" t="s">
        <v>16</v>
      </c>
      <c r="J1119" s="107" t="s">
        <v>1641</v>
      </c>
      <c r="K1119" s="22" t="str">
        <f>VLOOKUP(CONCATENATE(A1119,LEFT(J1119,4)),AGRUPAMENTO!$D$2:$E$6783,2,FALSE)</f>
        <v xml:space="preserve">Locação de Máquinas e Equipamentos </v>
      </c>
      <c r="L1119" s="107" t="s">
        <v>44</v>
      </c>
      <c r="M1119" s="52"/>
      <c r="N1119" s="52">
        <v>10</v>
      </c>
      <c r="O1119" s="107" t="s">
        <v>3239</v>
      </c>
      <c r="P1119" s="52" t="s">
        <v>46</v>
      </c>
      <c r="Q1119" s="107" t="s">
        <v>3812</v>
      </c>
      <c r="R1119" s="107">
        <v>1</v>
      </c>
      <c r="S1119" s="107" t="s">
        <v>4072</v>
      </c>
      <c r="T1119" s="239">
        <v>11376.08</v>
      </c>
      <c r="U1119" s="107">
        <v>12</v>
      </c>
      <c r="V1119" s="58">
        <f t="shared" si="78"/>
        <v>136512.95999999999</v>
      </c>
      <c r="W1119" s="52" t="s">
        <v>49</v>
      </c>
      <c r="X1119" s="107" t="s">
        <v>5029</v>
      </c>
      <c r="Y1119" s="304" t="s">
        <v>5030</v>
      </c>
      <c r="Z1119" s="304" t="s">
        <v>5031</v>
      </c>
      <c r="AA1119" s="52">
        <v>0</v>
      </c>
      <c r="AB1119" s="52">
        <v>0</v>
      </c>
      <c r="AC1119" s="52">
        <v>0</v>
      </c>
      <c r="AD1119" s="21">
        <v>0.57732302447688655</v>
      </c>
      <c r="AE1119" s="54">
        <v>0.57732302447688655</v>
      </c>
      <c r="AF1119" s="315">
        <f t="shared" si="81"/>
        <v>78812.074947492234</v>
      </c>
    </row>
    <row r="1120" spans="1:32" ht="195" x14ac:dyDescent="0.25">
      <c r="A1120" s="107" t="s">
        <v>588</v>
      </c>
      <c r="B1120" s="107" t="s">
        <v>2271</v>
      </c>
      <c r="C1120" s="52"/>
      <c r="D1120" s="107" t="s">
        <v>2289</v>
      </c>
      <c r="E1120" s="22" t="str">
        <f t="shared" si="79"/>
        <v>SEJUSPPROG</v>
      </c>
      <c r="F1120" s="122" t="s">
        <v>886</v>
      </c>
      <c r="G1120" s="22" t="str">
        <f t="shared" si="80"/>
        <v>P146SEJUSP</v>
      </c>
      <c r="H1120" s="52" t="s">
        <v>1424</v>
      </c>
      <c r="I1120" s="22" t="s">
        <v>16</v>
      </c>
      <c r="J1120" s="107" t="s">
        <v>1641</v>
      </c>
      <c r="K1120" s="22" t="str">
        <f>VLOOKUP(CONCATENATE(A1120,LEFT(J1120,4)),AGRUPAMENTO!$D$2:$E$6783,2,FALSE)</f>
        <v xml:space="preserve">Locação de Máquinas e Equipamentos </v>
      </c>
      <c r="L1120" s="107" t="s">
        <v>44</v>
      </c>
      <c r="M1120" s="52"/>
      <c r="N1120" s="52">
        <v>10</v>
      </c>
      <c r="O1120" s="107" t="s">
        <v>3240</v>
      </c>
      <c r="P1120" s="52" t="s">
        <v>46</v>
      </c>
      <c r="Q1120" s="107" t="s">
        <v>3812</v>
      </c>
      <c r="R1120" s="107">
        <v>1</v>
      </c>
      <c r="S1120" s="107" t="s">
        <v>4072</v>
      </c>
      <c r="T1120" s="239">
        <v>11376.08</v>
      </c>
      <c r="U1120" s="107">
        <v>12</v>
      </c>
      <c r="V1120" s="58">
        <f t="shared" si="78"/>
        <v>136512.95999999999</v>
      </c>
      <c r="W1120" s="52" t="s">
        <v>49</v>
      </c>
      <c r="X1120" s="107" t="s">
        <v>5029</v>
      </c>
      <c r="Y1120" s="304" t="s">
        <v>5030</v>
      </c>
      <c r="Z1120" s="304" t="s">
        <v>5031</v>
      </c>
      <c r="AA1120" s="52">
        <v>0</v>
      </c>
      <c r="AB1120" s="52">
        <v>0</v>
      </c>
      <c r="AC1120" s="52">
        <v>0</v>
      </c>
      <c r="AD1120" s="21">
        <v>0.57732302447688655</v>
      </c>
      <c r="AE1120" s="54">
        <v>0.57732302447688655</v>
      </c>
      <c r="AF1120" s="315">
        <f t="shared" si="81"/>
        <v>78812.074947492234</v>
      </c>
    </row>
    <row r="1121" spans="1:32" ht="195" x14ac:dyDescent="0.25">
      <c r="A1121" s="107" t="s">
        <v>588</v>
      </c>
      <c r="B1121" s="107" t="s">
        <v>2271</v>
      </c>
      <c r="C1121" s="52"/>
      <c r="D1121" s="107" t="s">
        <v>2289</v>
      </c>
      <c r="E1121" s="22" t="str">
        <f t="shared" si="79"/>
        <v>SEJUSPPROG</v>
      </c>
      <c r="F1121" s="122" t="s">
        <v>886</v>
      </c>
      <c r="G1121" s="22" t="str">
        <f t="shared" si="80"/>
        <v>P146SEJUSP</v>
      </c>
      <c r="H1121" s="52" t="s">
        <v>1424</v>
      </c>
      <c r="I1121" s="22" t="s">
        <v>16</v>
      </c>
      <c r="J1121" s="107" t="s">
        <v>1641</v>
      </c>
      <c r="K1121" s="22" t="str">
        <f>VLOOKUP(CONCATENATE(A1121,LEFT(J1121,4)),AGRUPAMENTO!$D$2:$E$6783,2,FALSE)</f>
        <v xml:space="preserve">Locação de Máquinas e Equipamentos </v>
      </c>
      <c r="L1121" s="107" t="s">
        <v>44</v>
      </c>
      <c r="M1121" s="52"/>
      <c r="N1121" s="52">
        <v>10</v>
      </c>
      <c r="O1121" s="107" t="s">
        <v>3241</v>
      </c>
      <c r="P1121" s="52" t="s">
        <v>46</v>
      </c>
      <c r="Q1121" s="107" t="s">
        <v>3812</v>
      </c>
      <c r="R1121" s="107">
        <v>1</v>
      </c>
      <c r="S1121" s="107" t="s">
        <v>4072</v>
      </c>
      <c r="T1121" s="239">
        <v>11376.08</v>
      </c>
      <c r="U1121" s="107">
        <v>12</v>
      </c>
      <c r="V1121" s="58">
        <f t="shared" si="78"/>
        <v>136512.95999999999</v>
      </c>
      <c r="W1121" s="52" t="s">
        <v>49</v>
      </c>
      <c r="X1121" s="107" t="s">
        <v>5029</v>
      </c>
      <c r="Y1121" s="304" t="s">
        <v>5030</v>
      </c>
      <c r="Z1121" s="304" t="s">
        <v>5031</v>
      </c>
      <c r="AA1121" s="52">
        <v>0</v>
      </c>
      <c r="AB1121" s="52">
        <v>0</v>
      </c>
      <c r="AC1121" s="52">
        <v>0</v>
      </c>
      <c r="AD1121" s="21">
        <v>0.57732302447688655</v>
      </c>
      <c r="AE1121" s="54">
        <v>0.57732302447688655</v>
      </c>
      <c r="AF1121" s="315">
        <f t="shared" si="81"/>
        <v>78812.074947492234</v>
      </c>
    </row>
    <row r="1122" spans="1:32" ht="195" x14ac:dyDescent="0.25">
      <c r="A1122" s="107" t="s">
        <v>588</v>
      </c>
      <c r="B1122" s="107" t="s">
        <v>2271</v>
      </c>
      <c r="C1122" s="52"/>
      <c r="D1122" s="107" t="s">
        <v>2289</v>
      </c>
      <c r="E1122" s="22" t="str">
        <f t="shared" si="79"/>
        <v>SEJUSPPROG</v>
      </c>
      <c r="F1122" s="122" t="s">
        <v>886</v>
      </c>
      <c r="G1122" s="22" t="str">
        <f t="shared" si="80"/>
        <v>P146SEJUSP</v>
      </c>
      <c r="H1122" s="52" t="s">
        <v>1424</v>
      </c>
      <c r="I1122" s="22" t="s">
        <v>16</v>
      </c>
      <c r="J1122" s="107" t="s">
        <v>1641</v>
      </c>
      <c r="K1122" s="22" t="str">
        <f>VLOOKUP(CONCATENATE(A1122,LEFT(J1122,4)),AGRUPAMENTO!$D$2:$E$6783,2,FALSE)</f>
        <v xml:space="preserve">Locação de Máquinas e Equipamentos </v>
      </c>
      <c r="L1122" s="107" t="s">
        <v>44</v>
      </c>
      <c r="M1122" s="52"/>
      <c r="N1122" s="52">
        <v>10</v>
      </c>
      <c r="O1122" s="107" t="s">
        <v>3242</v>
      </c>
      <c r="P1122" s="52" t="s">
        <v>46</v>
      </c>
      <c r="Q1122" s="107" t="s">
        <v>3812</v>
      </c>
      <c r="R1122" s="107">
        <v>1</v>
      </c>
      <c r="S1122" s="107" t="s">
        <v>4072</v>
      </c>
      <c r="T1122" s="239">
        <v>11376.08</v>
      </c>
      <c r="U1122" s="107">
        <v>12</v>
      </c>
      <c r="V1122" s="58">
        <f t="shared" si="78"/>
        <v>136512.95999999999</v>
      </c>
      <c r="W1122" s="52" t="s">
        <v>49</v>
      </c>
      <c r="X1122" s="107" t="s">
        <v>5029</v>
      </c>
      <c r="Y1122" s="304" t="s">
        <v>5030</v>
      </c>
      <c r="Z1122" s="304" t="s">
        <v>5031</v>
      </c>
      <c r="AA1122" s="52">
        <v>0</v>
      </c>
      <c r="AB1122" s="52">
        <v>0</v>
      </c>
      <c r="AC1122" s="52">
        <v>0</v>
      </c>
      <c r="AD1122" s="21">
        <v>0.57732302447688655</v>
      </c>
      <c r="AE1122" s="54">
        <v>0.57732302447688655</v>
      </c>
      <c r="AF1122" s="315">
        <f t="shared" si="81"/>
        <v>78812.074947492234</v>
      </c>
    </row>
    <row r="1123" spans="1:32" ht="195" x14ac:dyDescent="0.25">
      <c r="A1123" s="107" t="s">
        <v>588</v>
      </c>
      <c r="B1123" s="107" t="s">
        <v>2271</v>
      </c>
      <c r="C1123" s="52"/>
      <c r="D1123" s="107" t="s">
        <v>2289</v>
      </c>
      <c r="E1123" s="22" t="str">
        <f t="shared" si="79"/>
        <v>SEJUSPPROG</v>
      </c>
      <c r="F1123" s="122" t="s">
        <v>886</v>
      </c>
      <c r="G1123" s="22" t="str">
        <f t="shared" si="80"/>
        <v>P146SEJUSP</v>
      </c>
      <c r="H1123" s="52" t="s">
        <v>1424</v>
      </c>
      <c r="I1123" s="22" t="s">
        <v>16</v>
      </c>
      <c r="J1123" s="107" t="s">
        <v>1641</v>
      </c>
      <c r="K1123" s="22" t="str">
        <f>VLOOKUP(CONCATENATE(A1123,LEFT(J1123,4)),AGRUPAMENTO!$D$2:$E$6783,2,FALSE)</f>
        <v xml:space="preserve">Locação de Máquinas e Equipamentos </v>
      </c>
      <c r="L1123" s="107" t="s">
        <v>44</v>
      </c>
      <c r="M1123" s="52"/>
      <c r="N1123" s="52">
        <v>10</v>
      </c>
      <c r="O1123" s="107" t="s">
        <v>3243</v>
      </c>
      <c r="P1123" s="52" t="s">
        <v>46</v>
      </c>
      <c r="Q1123" s="107" t="s">
        <v>3812</v>
      </c>
      <c r="R1123" s="107">
        <v>1</v>
      </c>
      <c r="S1123" s="107" t="s">
        <v>4072</v>
      </c>
      <c r="T1123" s="239">
        <v>11376.08</v>
      </c>
      <c r="U1123" s="107">
        <v>12</v>
      </c>
      <c r="V1123" s="58">
        <f t="shared" si="78"/>
        <v>136512.95999999999</v>
      </c>
      <c r="W1123" s="52" t="s">
        <v>49</v>
      </c>
      <c r="X1123" s="107" t="s">
        <v>5029</v>
      </c>
      <c r="Y1123" s="304" t="s">
        <v>5030</v>
      </c>
      <c r="Z1123" s="304" t="s">
        <v>5031</v>
      </c>
      <c r="AA1123" s="52">
        <v>0</v>
      </c>
      <c r="AB1123" s="52">
        <v>0</v>
      </c>
      <c r="AC1123" s="52">
        <v>0</v>
      </c>
      <c r="AD1123" s="21">
        <v>0.57732302447688655</v>
      </c>
      <c r="AE1123" s="54">
        <v>0.57732302447688655</v>
      </c>
      <c r="AF1123" s="315">
        <f t="shared" si="81"/>
        <v>78812.074947492234</v>
      </c>
    </row>
    <row r="1124" spans="1:32" ht="195" x14ac:dyDescent="0.25">
      <c r="A1124" s="107" t="s">
        <v>588</v>
      </c>
      <c r="B1124" s="107" t="s">
        <v>2271</v>
      </c>
      <c r="C1124" s="52"/>
      <c r="D1124" s="107" t="s">
        <v>2289</v>
      </c>
      <c r="E1124" s="22" t="str">
        <f t="shared" si="79"/>
        <v>SEJUSPPROG</v>
      </c>
      <c r="F1124" s="122" t="s">
        <v>886</v>
      </c>
      <c r="G1124" s="22" t="str">
        <f t="shared" si="80"/>
        <v>P146SEJUSP</v>
      </c>
      <c r="H1124" s="52" t="s">
        <v>1424</v>
      </c>
      <c r="I1124" s="22" t="s">
        <v>16</v>
      </c>
      <c r="J1124" s="107" t="s">
        <v>1641</v>
      </c>
      <c r="K1124" s="22" t="str">
        <f>VLOOKUP(CONCATENATE(A1124,LEFT(J1124,4)),AGRUPAMENTO!$D$2:$E$6783,2,FALSE)</f>
        <v xml:space="preserve">Locação de Máquinas e Equipamentos </v>
      </c>
      <c r="L1124" s="107" t="s">
        <v>44</v>
      </c>
      <c r="M1124" s="52"/>
      <c r="N1124" s="52">
        <v>10</v>
      </c>
      <c r="O1124" s="107" t="s">
        <v>3244</v>
      </c>
      <c r="P1124" s="52" t="s">
        <v>46</v>
      </c>
      <c r="Q1124" s="107" t="s">
        <v>3812</v>
      </c>
      <c r="R1124" s="107">
        <v>1</v>
      </c>
      <c r="S1124" s="107" t="s">
        <v>4072</v>
      </c>
      <c r="T1124" s="239">
        <v>11376.08</v>
      </c>
      <c r="U1124" s="107">
        <v>12</v>
      </c>
      <c r="V1124" s="58">
        <f t="shared" si="78"/>
        <v>136512.95999999999</v>
      </c>
      <c r="W1124" s="52" t="s">
        <v>49</v>
      </c>
      <c r="X1124" s="107" t="s">
        <v>5029</v>
      </c>
      <c r="Y1124" s="304" t="s">
        <v>5030</v>
      </c>
      <c r="Z1124" s="304" t="s">
        <v>5031</v>
      </c>
      <c r="AA1124" s="52">
        <v>0</v>
      </c>
      <c r="AB1124" s="52">
        <v>0</v>
      </c>
      <c r="AC1124" s="52">
        <v>0</v>
      </c>
      <c r="AD1124" s="21">
        <v>0.57732302447688655</v>
      </c>
      <c r="AE1124" s="54">
        <v>0.57732302447688655</v>
      </c>
      <c r="AF1124" s="315">
        <f t="shared" si="81"/>
        <v>78812.074947492234</v>
      </c>
    </row>
    <row r="1125" spans="1:32" ht="195" x14ac:dyDescent="0.25">
      <c r="A1125" s="107" t="s">
        <v>588</v>
      </c>
      <c r="B1125" s="107" t="s">
        <v>2271</v>
      </c>
      <c r="C1125" s="52"/>
      <c r="D1125" s="107" t="s">
        <v>2289</v>
      </c>
      <c r="E1125" s="22" t="str">
        <f t="shared" si="79"/>
        <v>SEJUSPPROG</v>
      </c>
      <c r="F1125" s="122" t="s">
        <v>886</v>
      </c>
      <c r="G1125" s="22" t="str">
        <f t="shared" si="80"/>
        <v>P146SEJUSP</v>
      </c>
      <c r="H1125" s="52" t="s">
        <v>1424</v>
      </c>
      <c r="I1125" s="22" t="s">
        <v>16</v>
      </c>
      <c r="J1125" s="107" t="s">
        <v>1641</v>
      </c>
      <c r="K1125" s="22" t="str">
        <f>VLOOKUP(CONCATENATE(A1125,LEFT(J1125,4)),AGRUPAMENTO!$D$2:$E$6783,2,FALSE)</f>
        <v xml:space="preserve">Locação de Máquinas e Equipamentos </v>
      </c>
      <c r="L1125" s="107" t="s">
        <v>44</v>
      </c>
      <c r="M1125" s="52"/>
      <c r="N1125" s="52">
        <v>10</v>
      </c>
      <c r="O1125" s="107" t="s">
        <v>3245</v>
      </c>
      <c r="P1125" s="52" t="s">
        <v>46</v>
      </c>
      <c r="Q1125" s="107" t="s">
        <v>3812</v>
      </c>
      <c r="R1125" s="107">
        <v>1</v>
      </c>
      <c r="S1125" s="107" t="s">
        <v>4072</v>
      </c>
      <c r="T1125" s="239">
        <v>11376.08</v>
      </c>
      <c r="U1125" s="107">
        <v>12</v>
      </c>
      <c r="V1125" s="58">
        <f t="shared" si="78"/>
        <v>136512.95999999999</v>
      </c>
      <c r="W1125" s="52" t="s">
        <v>49</v>
      </c>
      <c r="X1125" s="107" t="s">
        <v>5029</v>
      </c>
      <c r="Y1125" s="304" t="s">
        <v>5030</v>
      </c>
      <c r="Z1125" s="304" t="s">
        <v>5031</v>
      </c>
      <c r="AA1125" s="52">
        <v>0</v>
      </c>
      <c r="AB1125" s="52">
        <v>0</v>
      </c>
      <c r="AC1125" s="52">
        <v>0</v>
      </c>
      <c r="AD1125" s="21">
        <v>0.57732302447688655</v>
      </c>
      <c r="AE1125" s="54">
        <v>0.57732302447688655</v>
      </c>
      <c r="AF1125" s="315">
        <f t="shared" si="81"/>
        <v>78812.074947492234</v>
      </c>
    </row>
    <row r="1126" spans="1:32" ht="255" x14ac:dyDescent="0.25">
      <c r="A1126" s="109" t="s">
        <v>588</v>
      </c>
      <c r="B1126" s="110" t="s">
        <v>2270</v>
      </c>
      <c r="C1126" s="52"/>
      <c r="D1126" s="110" t="s">
        <v>2276</v>
      </c>
      <c r="E1126" s="22" t="str">
        <f t="shared" si="79"/>
        <v>SEJUSPPROG</v>
      </c>
      <c r="F1126" s="108" t="s">
        <v>705</v>
      </c>
      <c r="G1126" s="22" t="str">
        <f t="shared" si="80"/>
        <v>P134SEJUSP</v>
      </c>
      <c r="H1126" s="108" t="s">
        <v>1356</v>
      </c>
      <c r="I1126" s="22" t="s">
        <v>16</v>
      </c>
      <c r="J1126" s="109" t="s">
        <v>450</v>
      </c>
      <c r="K1126" s="22" t="str">
        <f>VLOOKUP(CONCATENATE(A1126,LEFT(J1126,4)),AGRUPAMENTO!$D$2:$E$6783,2,FALSE)</f>
        <v>Frota</v>
      </c>
      <c r="L1126" s="137" t="s">
        <v>44</v>
      </c>
      <c r="M1126" s="52"/>
      <c r="N1126" s="52">
        <v>10</v>
      </c>
      <c r="O1126" s="109" t="s">
        <v>3246</v>
      </c>
      <c r="P1126" s="52" t="s">
        <v>58</v>
      </c>
      <c r="Q1126" s="109" t="s">
        <v>4070</v>
      </c>
      <c r="R1126" s="242">
        <f>((15000*5%)+15000)/12</f>
        <v>1312.5</v>
      </c>
      <c r="S1126" s="109" t="s">
        <v>4071</v>
      </c>
      <c r="T1126" s="243">
        <v>3.6304799999999999</v>
      </c>
      <c r="U1126" s="109">
        <v>12</v>
      </c>
      <c r="V1126" s="58">
        <f t="shared" si="78"/>
        <v>57180.06</v>
      </c>
      <c r="W1126" s="109" t="s">
        <v>5025</v>
      </c>
      <c r="X1126" s="109" t="s">
        <v>5026</v>
      </c>
      <c r="Y1126" s="109" t="s">
        <v>5027</v>
      </c>
      <c r="Z1126" s="109" t="s">
        <v>5028</v>
      </c>
      <c r="AA1126" s="110">
        <v>13</v>
      </c>
      <c r="AB1126" s="110">
        <v>19</v>
      </c>
      <c r="AC1126" s="110">
        <v>48</v>
      </c>
      <c r="AD1126" s="21">
        <v>0</v>
      </c>
      <c r="AE1126" s="54">
        <v>0</v>
      </c>
      <c r="AF1126" s="315">
        <f t="shared" si="81"/>
        <v>0</v>
      </c>
    </row>
    <row r="1127" spans="1:32" ht="255" x14ac:dyDescent="0.25">
      <c r="A1127" s="109" t="s">
        <v>588</v>
      </c>
      <c r="B1127" s="110" t="s">
        <v>2270</v>
      </c>
      <c r="C1127" s="52"/>
      <c r="D1127" s="110" t="s">
        <v>2276</v>
      </c>
      <c r="E1127" s="22" t="str">
        <f t="shared" si="79"/>
        <v>SEJUSPPROG</v>
      </c>
      <c r="F1127" s="109" t="s">
        <v>681</v>
      </c>
      <c r="G1127" s="22" t="str">
        <f t="shared" si="80"/>
        <v>P129SEJUSP</v>
      </c>
      <c r="H1127" s="109" t="s">
        <v>1015</v>
      </c>
      <c r="I1127" s="22" t="s">
        <v>16</v>
      </c>
      <c r="J1127" s="109" t="s">
        <v>450</v>
      </c>
      <c r="K1127" s="22" t="str">
        <f>VLOOKUP(CONCATENATE(A1127,LEFT(J1127,4)),AGRUPAMENTO!$D$2:$E$6783,2,FALSE)</f>
        <v>Frota</v>
      </c>
      <c r="L1127" s="137" t="s">
        <v>44</v>
      </c>
      <c r="M1127" s="52"/>
      <c r="N1127" s="52">
        <v>60</v>
      </c>
      <c r="O1127" s="109" t="s">
        <v>3247</v>
      </c>
      <c r="P1127" s="52" t="s">
        <v>58</v>
      </c>
      <c r="Q1127" s="109" t="s">
        <v>4070</v>
      </c>
      <c r="R1127" s="242">
        <f>((15000*5%)+15000)/12</f>
        <v>1312.5</v>
      </c>
      <c r="S1127" s="109" t="s">
        <v>4071</v>
      </c>
      <c r="T1127" s="243">
        <v>3.6304799999999999</v>
      </c>
      <c r="U1127" s="109">
        <v>12</v>
      </c>
      <c r="V1127" s="58">
        <f t="shared" si="78"/>
        <v>57180.06</v>
      </c>
      <c r="W1127" s="109" t="s">
        <v>5025</v>
      </c>
      <c r="X1127" s="109" t="s">
        <v>5026</v>
      </c>
      <c r="Y1127" s="109" t="s">
        <v>5027</v>
      </c>
      <c r="Z1127" s="109" t="s">
        <v>5028</v>
      </c>
      <c r="AA1127" s="110">
        <v>13</v>
      </c>
      <c r="AB1127" s="110">
        <v>19</v>
      </c>
      <c r="AC1127" s="110">
        <v>48</v>
      </c>
      <c r="AD1127" s="21">
        <v>0</v>
      </c>
      <c r="AE1127" s="54">
        <v>0</v>
      </c>
      <c r="AF1127" s="315">
        <f t="shared" si="81"/>
        <v>0</v>
      </c>
    </row>
    <row r="1128" spans="1:32" ht="255" x14ac:dyDescent="0.25">
      <c r="A1128" s="109" t="s">
        <v>588</v>
      </c>
      <c r="B1128" s="110" t="s">
        <v>2270</v>
      </c>
      <c r="C1128" s="52"/>
      <c r="D1128" s="110" t="s">
        <v>2276</v>
      </c>
      <c r="E1128" s="22" t="str">
        <f t="shared" si="79"/>
        <v>SEJUSPPROG</v>
      </c>
      <c r="F1128" s="122" t="s">
        <v>886</v>
      </c>
      <c r="G1128" s="22" t="str">
        <f t="shared" si="80"/>
        <v>P146SEJUSP</v>
      </c>
      <c r="H1128" s="108" t="s">
        <v>1424</v>
      </c>
      <c r="I1128" s="22" t="s">
        <v>16</v>
      </c>
      <c r="J1128" s="109" t="s">
        <v>450</v>
      </c>
      <c r="K1128" s="22" t="str">
        <f>VLOOKUP(CONCATENATE(A1128,LEFT(J1128,4)),AGRUPAMENTO!$D$2:$E$6783,2,FALSE)</f>
        <v>Frota</v>
      </c>
      <c r="L1128" s="137" t="s">
        <v>44</v>
      </c>
      <c r="M1128" s="52"/>
      <c r="N1128" s="52">
        <v>10</v>
      </c>
      <c r="O1128" s="109" t="s">
        <v>3248</v>
      </c>
      <c r="P1128" s="52" t="s">
        <v>58</v>
      </c>
      <c r="Q1128" s="109" t="s">
        <v>4070</v>
      </c>
      <c r="R1128" s="242">
        <f>((25000*5%)+25000)/12</f>
        <v>2187.5</v>
      </c>
      <c r="S1128" s="109" t="s">
        <v>4071</v>
      </c>
      <c r="T1128" s="243">
        <v>3.6304799999999999</v>
      </c>
      <c r="U1128" s="109">
        <v>12</v>
      </c>
      <c r="V1128" s="58">
        <f t="shared" si="78"/>
        <v>95300.1</v>
      </c>
      <c r="W1128" s="109" t="s">
        <v>5025</v>
      </c>
      <c r="X1128" s="109" t="s">
        <v>5026</v>
      </c>
      <c r="Y1128" s="109" t="s">
        <v>5027</v>
      </c>
      <c r="Z1128" s="109" t="s">
        <v>5028</v>
      </c>
      <c r="AA1128" s="110">
        <v>13</v>
      </c>
      <c r="AB1128" s="110">
        <v>19</v>
      </c>
      <c r="AC1128" s="110">
        <v>48</v>
      </c>
      <c r="AD1128" s="21">
        <v>0</v>
      </c>
      <c r="AE1128" s="54">
        <v>0</v>
      </c>
      <c r="AF1128" s="315">
        <f t="shared" si="81"/>
        <v>0</v>
      </c>
    </row>
    <row r="1129" spans="1:32" ht="255" x14ac:dyDescent="0.25">
      <c r="A1129" s="109" t="s">
        <v>588</v>
      </c>
      <c r="B1129" s="110" t="s">
        <v>2270</v>
      </c>
      <c r="C1129" s="52"/>
      <c r="D1129" s="110" t="s">
        <v>2276</v>
      </c>
      <c r="E1129" s="22" t="str">
        <f t="shared" si="79"/>
        <v>SEJUSPPROG</v>
      </c>
      <c r="F1129" s="108" t="s">
        <v>729</v>
      </c>
      <c r="G1129" s="22" t="str">
        <f t="shared" si="80"/>
        <v>P130SEJUSP</v>
      </c>
      <c r="H1129" s="109" t="s">
        <v>1183</v>
      </c>
      <c r="I1129" s="22" t="s">
        <v>16</v>
      </c>
      <c r="J1129" s="109" t="s">
        <v>450</v>
      </c>
      <c r="K1129" s="22" t="str">
        <f>VLOOKUP(CONCATENATE(A1129,LEFT(J1129,4)),AGRUPAMENTO!$D$2:$E$6783,2,FALSE)</f>
        <v>Frota</v>
      </c>
      <c r="L1129" s="137" t="s">
        <v>44</v>
      </c>
      <c r="M1129" s="52"/>
      <c r="N1129" s="52">
        <v>60</v>
      </c>
      <c r="O1129" s="109" t="s">
        <v>3249</v>
      </c>
      <c r="P1129" s="52" t="s">
        <v>58</v>
      </c>
      <c r="Q1129" s="109" t="s">
        <v>4070</v>
      </c>
      <c r="R1129" s="109">
        <f>((150000*5%)+150000)/12</f>
        <v>13125</v>
      </c>
      <c r="S1129" s="109" t="s">
        <v>4071</v>
      </c>
      <c r="T1129" s="243">
        <v>3.6304799999999999</v>
      </c>
      <c r="U1129" s="109">
        <v>12</v>
      </c>
      <c r="V1129" s="58">
        <f t="shared" si="78"/>
        <v>571800.6</v>
      </c>
      <c r="W1129" s="109" t="s">
        <v>5025</v>
      </c>
      <c r="X1129" s="109" t="s">
        <v>5026</v>
      </c>
      <c r="Y1129" s="109" t="s">
        <v>5027</v>
      </c>
      <c r="Z1129" s="109" t="s">
        <v>5028</v>
      </c>
      <c r="AA1129" s="110">
        <v>13</v>
      </c>
      <c r="AB1129" s="110">
        <v>19</v>
      </c>
      <c r="AC1129" s="110">
        <v>48</v>
      </c>
      <c r="AD1129" s="21">
        <v>0</v>
      </c>
      <c r="AE1129" s="54">
        <v>0</v>
      </c>
      <c r="AF1129" s="315">
        <f t="shared" si="81"/>
        <v>0</v>
      </c>
    </row>
    <row r="1130" spans="1:32" ht="180" x14ac:dyDescent="0.25">
      <c r="A1130" s="107" t="s">
        <v>588</v>
      </c>
      <c r="B1130" s="107" t="s">
        <v>2271</v>
      </c>
      <c r="C1130" s="52"/>
      <c r="D1130" s="107" t="s">
        <v>2305</v>
      </c>
      <c r="E1130" s="22" t="str">
        <f t="shared" si="79"/>
        <v>SEJUSPPROG</v>
      </c>
      <c r="F1130" s="122" t="s">
        <v>886</v>
      </c>
      <c r="G1130" s="22" t="str">
        <f t="shared" si="80"/>
        <v>P146SEJUSP</v>
      </c>
      <c r="H1130" s="52" t="s">
        <v>1424</v>
      </c>
      <c r="I1130" s="22" t="s">
        <v>16</v>
      </c>
      <c r="J1130" s="107" t="s">
        <v>1628</v>
      </c>
      <c r="K1130" s="22" t="str">
        <f>VLOOKUP(CONCATENATE(A1130,LEFT(J1130,4)),AGRUPAMENTO!$D$2:$E$6783,2,FALSE)</f>
        <v>Pronto Pagamento</v>
      </c>
      <c r="L1130" s="107" t="s">
        <v>44</v>
      </c>
      <c r="M1130" s="52"/>
      <c r="N1130" s="52">
        <v>10</v>
      </c>
      <c r="O1130" s="107" t="s">
        <v>3250</v>
      </c>
      <c r="P1130" s="52" t="s">
        <v>46</v>
      </c>
      <c r="Q1130" s="107" t="s">
        <v>4073</v>
      </c>
      <c r="R1130" s="107">
        <v>14</v>
      </c>
      <c r="S1130" s="107" t="s">
        <v>4074</v>
      </c>
      <c r="T1130" s="239">
        <v>2600</v>
      </c>
      <c r="U1130" s="107">
        <v>12</v>
      </c>
      <c r="V1130" s="58">
        <f t="shared" si="78"/>
        <v>436800</v>
      </c>
      <c r="W1130" s="52" t="s">
        <v>49</v>
      </c>
      <c r="X1130" s="107" t="s">
        <v>5032</v>
      </c>
      <c r="Y1130" s="304" t="s">
        <v>5033</v>
      </c>
      <c r="Z1130" s="304" t="s">
        <v>5034</v>
      </c>
      <c r="AA1130" s="52">
        <v>0</v>
      </c>
      <c r="AB1130" s="52">
        <v>0</v>
      </c>
      <c r="AC1130" s="52">
        <v>0</v>
      </c>
      <c r="AD1130" s="21">
        <v>1</v>
      </c>
      <c r="AE1130" s="54">
        <v>1</v>
      </c>
      <c r="AF1130" s="315">
        <f t="shared" si="81"/>
        <v>436800</v>
      </c>
    </row>
    <row r="1131" spans="1:32" ht="90" x14ac:dyDescent="0.25">
      <c r="A1131" s="107" t="s">
        <v>588</v>
      </c>
      <c r="B1131" s="107" t="s">
        <v>2271</v>
      </c>
      <c r="C1131" s="52"/>
      <c r="D1131" s="107" t="s">
        <v>2305</v>
      </c>
      <c r="E1131" s="22" t="str">
        <f t="shared" si="79"/>
        <v>SEJUSPPROG</v>
      </c>
      <c r="F1131" s="122" t="s">
        <v>886</v>
      </c>
      <c r="G1131" s="22" t="str">
        <f t="shared" si="80"/>
        <v>P146SEJUSP</v>
      </c>
      <c r="H1131" s="52" t="s">
        <v>1424</v>
      </c>
      <c r="I1131" s="22" t="s">
        <v>16</v>
      </c>
      <c r="J1131" s="52" t="s">
        <v>2131</v>
      </c>
      <c r="K1131" s="22" t="str">
        <f>VLOOKUP(CONCATENATE(A1131,LEFT(J1131,4)),AGRUPAMENTO!$D$2:$E$6783,2,FALSE)</f>
        <v>Diárias e viagens</v>
      </c>
      <c r="L1131" s="107" t="s">
        <v>44</v>
      </c>
      <c r="M1131" s="52"/>
      <c r="N1131" s="52">
        <v>10</v>
      </c>
      <c r="O1131" s="107" t="s">
        <v>3251</v>
      </c>
      <c r="P1131" s="52" t="s">
        <v>46</v>
      </c>
      <c r="Q1131" s="107" t="s">
        <v>4075</v>
      </c>
      <c r="R1131" s="107">
        <v>1</v>
      </c>
      <c r="S1131" s="107" t="s">
        <v>4076</v>
      </c>
      <c r="T1131" s="239">
        <v>608</v>
      </c>
      <c r="U1131" s="107">
        <v>12</v>
      </c>
      <c r="V1131" s="58">
        <f t="shared" si="78"/>
        <v>7296</v>
      </c>
      <c r="W1131" s="52" t="s">
        <v>49</v>
      </c>
      <c r="X1131" s="107" t="s">
        <v>5035</v>
      </c>
      <c r="Y1131" s="304" t="s">
        <v>5036</v>
      </c>
      <c r="Z1131" s="304" t="s">
        <v>5037</v>
      </c>
      <c r="AA1131" s="52">
        <v>0</v>
      </c>
      <c r="AB1131" s="52">
        <v>0</v>
      </c>
      <c r="AC1131" s="52">
        <v>0</v>
      </c>
      <c r="AD1131" s="21">
        <v>0.86749884668513244</v>
      </c>
      <c r="AE1131" s="54">
        <v>0.86749884668513244</v>
      </c>
      <c r="AF1131" s="315">
        <f t="shared" si="81"/>
        <v>6329.2715854147264</v>
      </c>
    </row>
    <row r="1132" spans="1:32" ht="75" x14ac:dyDescent="0.25">
      <c r="A1132" s="107" t="s">
        <v>588</v>
      </c>
      <c r="B1132" s="107" t="s">
        <v>2271</v>
      </c>
      <c r="C1132" s="52"/>
      <c r="D1132" s="107" t="s">
        <v>2305</v>
      </c>
      <c r="E1132" s="22" t="str">
        <f t="shared" si="79"/>
        <v>SEJUSPPROG</v>
      </c>
      <c r="F1132" s="122" t="s">
        <v>886</v>
      </c>
      <c r="G1132" s="22" t="str">
        <f t="shared" si="80"/>
        <v>P146SEJUSP</v>
      </c>
      <c r="H1132" s="52" t="s">
        <v>1424</v>
      </c>
      <c r="I1132" s="22" t="s">
        <v>16</v>
      </c>
      <c r="J1132" s="52" t="s">
        <v>2150</v>
      </c>
      <c r="K1132" s="22" t="str">
        <f>VLOOKUP(CONCATENATE(A1132,LEFT(J1132,4)),AGRUPAMENTO!$D$2:$E$6783,2,FALSE)</f>
        <v>Diárias e viagens</v>
      </c>
      <c r="L1132" s="107" t="s">
        <v>44</v>
      </c>
      <c r="M1132" s="52"/>
      <c r="N1132" s="52">
        <v>10</v>
      </c>
      <c r="O1132" s="107" t="s">
        <v>3252</v>
      </c>
      <c r="P1132" s="52" t="s">
        <v>46</v>
      </c>
      <c r="Q1132" s="107" t="s">
        <v>4077</v>
      </c>
      <c r="R1132" s="107">
        <v>1</v>
      </c>
      <c r="S1132" s="107" t="s">
        <v>4078</v>
      </c>
      <c r="T1132" s="239">
        <v>210</v>
      </c>
      <c r="U1132" s="107">
        <v>12</v>
      </c>
      <c r="V1132" s="58">
        <f t="shared" si="78"/>
        <v>2520</v>
      </c>
      <c r="W1132" s="52" t="s">
        <v>49</v>
      </c>
      <c r="X1132" s="107" t="s">
        <v>5035</v>
      </c>
      <c r="Y1132" s="304" t="s">
        <v>5036</v>
      </c>
      <c r="Z1132" s="304" t="s">
        <v>5037</v>
      </c>
      <c r="AA1132" s="52">
        <v>0</v>
      </c>
      <c r="AB1132" s="52">
        <v>0</v>
      </c>
      <c r="AC1132" s="52">
        <v>0</v>
      </c>
      <c r="AD1132" s="21">
        <v>0.86749884668513244</v>
      </c>
      <c r="AE1132" s="54">
        <v>0.86749884668513244</v>
      </c>
      <c r="AF1132" s="315">
        <f t="shared" si="81"/>
        <v>2186.0970936465337</v>
      </c>
    </row>
    <row r="1133" spans="1:32" ht="240" x14ac:dyDescent="0.25">
      <c r="A1133" s="107" t="s">
        <v>588</v>
      </c>
      <c r="B1133" s="107" t="s">
        <v>2271</v>
      </c>
      <c r="C1133" s="52"/>
      <c r="D1133" s="107" t="s">
        <v>2302</v>
      </c>
      <c r="E1133" s="22" t="str">
        <f t="shared" si="79"/>
        <v>SEJUSPPROG</v>
      </c>
      <c r="F1133" s="122" t="s">
        <v>886</v>
      </c>
      <c r="G1133" s="22" t="str">
        <f t="shared" si="80"/>
        <v>P146SEJUSP</v>
      </c>
      <c r="H1133" s="107" t="s">
        <v>2307</v>
      </c>
      <c r="I1133" s="22" t="s">
        <v>16</v>
      </c>
      <c r="J1133" s="107" t="s">
        <v>137</v>
      </c>
      <c r="K1133" s="22" t="str">
        <f>VLOOKUP(CONCATENATE(A1133,LEFT(J1133,4)),AGRUPAMENTO!$D$2:$E$6783,2,FALSE)</f>
        <v>Serviços de saúde e medicamentos</v>
      </c>
      <c r="L1133" s="107" t="s">
        <v>44</v>
      </c>
      <c r="M1133" s="52"/>
      <c r="N1133" s="52">
        <v>10</v>
      </c>
      <c r="O1133" s="107" t="s">
        <v>3253</v>
      </c>
      <c r="P1133" s="52" t="s">
        <v>46</v>
      </c>
      <c r="Q1133" s="107" t="s">
        <v>4079</v>
      </c>
      <c r="R1133" s="107">
        <v>440</v>
      </c>
      <c r="S1133" s="107" t="s">
        <v>3909</v>
      </c>
      <c r="T1133" s="239">
        <v>3.69</v>
      </c>
      <c r="U1133" s="107">
        <v>1</v>
      </c>
      <c r="V1133" s="58">
        <f t="shared" si="78"/>
        <v>1623.6</v>
      </c>
      <c r="W1133" s="52" t="s">
        <v>49</v>
      </c>
      <c r="X1133" s="107" t="s">
        <v>5038</v>
      </c>
      <c r="Y1133" s="304" t="s">
        <v>5039</v>
      </c>
      <c r="Z1133" s="304" t="s">
        <v>5040</v>
      </c>
      <c r="AA1133" s="52">
        <v>0</v>
      </c>
      <c r="AB1133" s="52">
        <v>0</v>
      </c>
      <c r="AC1133" s="52">
        <v>0</v>
      </c>
      <c r="AD1133" s="21">
        <v>0.68827656736675979</v>
      </c>
      <c r="AE1133" s="54">
        <v>0.68827656736675979</v>
      </c>
      <c r="AF1133" s="315">
        <f t="shared" si="81"/>
        <v>1117.4858347766713</v>
      </c>
    </row>
    <row r="1134" spans="1:32" ht="240" x14ac:dyDescent="0.25">
      <c r="A1134" s="107" t="s">
        <v>588</v>
      </c>
      <c r="B1134" s="107" t="s">
        <v>2271</v>
      </c>
      <c r="C1134" s="52"/>
      <c r="D1134" s="107" t="s">
        <v>2302</v>
      </c>
      <c r="E1134" s="22" t="str">
        <f t="shared" si="79"/>
        <v>SEJUSPPROG</v>
      </c>
      <c r="F1134" s="122" t="s">
        <v>886</v>
      </c>
      <c r="G1134" s="22" t="str">
        <f t="shared" si="80"/>
        <v>P146SEJUSP</v>
      </c>
      <c r="H1134" s="107" t="s">
        <v>2307</v>
      </c>
      <c r="I1134" s="22" t="s">
        <v>16</v>
      </c>
      <c r="J1134" s="107" t="s">
        <v>1605</v>
      </c>
      <c r="K1134" s="22" t="str">
        <f>VLOOKUP(CONCATENATE(A1134,LEFT(J1134,4)),AGRUPAMENTO!$D$2:$E$6783,2,FALSE)</f>
        <v>Serviços de saúde e medicamentos</v>
      </c>
      <c r="L1134" s="107" t="s">
        <v>44</v>
      </c>
      <c r="M1134" s="52"/>
      <c r="N1134" s="52">
        <v>10</v>
      </c>
      <c r="O1134" s="107" t="s">
        <v>3254</v>
      </c>
      <c r="P1134" s="52" t="s">
        <v>46</v>
      </c>
      <c r="Q1134" s="107" t="s">
        <v>4080</v>
      </c>
      <c r="R1134" s="107">
        <v>128</v>
      </c>
      <c r="S1134" s="107" t="s">
        <v>3909</v>
      </c>
      <c r="T1134" s="239">
        <v>6.35</v>
      </c>
      <c r="U1134" s="107">
        <v>1</v>
      </c>
      <c r="V1134" s="58">
        <f t="shared" si="78"/>
        <v>812.8</v>
      </c>
      <c r="W1134" s="52" t="s">
        <v>49</v>
      </c>
      <c r="X1134" s="107" t="s">
        <v>5041</v>
      </c>
      <c r="Y1134" s="304" t="s">
        <v>5042</v>
      </c>
      <c r="Z1134" s="304" t="s">
        <v>5040</v>
      </c>
      <c r="AA1134" s="52">
        <v>0</v>
      </c>
      <c r="AB1134" s="52">
        <v>0</v>
      </c>
      <c r="AC1134" s="52">
        <v>0</v>
      </c>
      <c r="AD1134" s="21">
        <v>0.68827656736675979</v>
      </c>
      <c r="AE1134" s="54">
        <v>0.68827656736675979</v>
      </c>
      <c r="AF1134" s="315">
        <f t="shared" si="81"/>
        <v>559.43119395570238</v>
      </c>
    </row>
    <row r="1135" spans="1:32" ht="240" x14ac:dyDescent="0.25">
      <c r="A1135" s="107" t="s">
        <v>588</v>
      </c>
      <c r="B1135" s="107" t="s">
        <v>2271</v>
      </c>
      <c r="C1135" s="52"/>
      <c r="D1135" s="107" t="s">
        <v>2302</v>
      </c>
      <c r="E1135" s="22" t="str">
        <f t="shared" si="79"/>
        <v>SEJUSPPROG</v>
      </c>
      <c r="F1135" s="122" t="s">
        <v>886</v>
      </c>
      <c r="G1135" s="22" t="str">
        <f t="shared" si="80"/>
        <v>P146SEJUSP</v>
      </c>
      <c r="H1135" s="107" t="s">
        <v>2307</v>
      </c>
      <c r="I1135" s="22" t="s">
        <v>16</v>
      </c>
      <c r="J1135" s="107" t="s">
        <v>2135</v>
      </c>
      <c r="K1135" s="22" t="str">
        <f>VLOOKUP(CONCATENATE(A1135,LEFT(J1135,4)),AGRUPAMENTO!$D$2:$E$6783,2,FALSE)</f>
        <v>Material de consumo</v>
      </c>
      <c r="L1135" s="107" t="s">
        <v>44</v>
      </c>
      <c r="M1135" s="52"/>
      <c r="N1135" s="52">
        <v>10</v>
      </c>
      <c r="O1135" s="107" t="s">
        <v>3255</v>
      </c>
      <c r="P1135" s="52" t="s">
        <v>46</v>
      </c>
      <c r="Q1135" s="107" t="s">
        <v>4081</v>
      </c>
      <c r="R1135" s="107">
        <v>34</v>
      </c>
      <c r="S1135" s="107" t="s">
        <v>3909</v>
      </c>
      <c r="T1135" s="239">
        <v>2.2999999999999998</v>
      </c>
      <c r="U1135" s="107">
        <v>1</v>
      </c>
      <c r="V1135" s="58">
        <f t="shared" si="78"/>
        <v>78.199999999999989</v>
      </c>
      <c r="W1135" s="52" t="s">
        <v>49</v>
      </c>
      <c r="X1135" s="107" t="s">
        <v>5043</v>
      </c>
      <c r="Y1135" s="304" t="s">
        <v>5044</v>
      </c>
      <c r="Z1135" s="304" t="s">
        <v>5040</v>
      </c>
      <c r="AA1135" s="52">
        <v>0</v>
      </c>
      <c r="AB1135" s="52">
        <v>0</v>
      </c>
      <c r="AC1135" s="52">
        <v>0</v>
      </c>
      <c r="AD1135" s="21">
        <v>0.66843255889259856</v>
      </c>
      <c r="AE1135" s="54">
        <v>0.66843255889259856</v>
      </c>
      <c r="AF1135" s="315">
        <f t="shared" si="81"/>
        <v>52.271426105401197</v>
      </c>
    </row>
    <row r="1136" spans="1:32" ht="240" x14ac:dyDescent="0.25">
      <c r="A1136" s="107" t="s">
        <v>588</v>
      </c>
      <c r="B1136" s="107" t="s">
        <v>2271</v>
      </c>
      <c r="C1136" s="52"/>
      <c r="D1136" s="107" t="s">
        <v>2302</v>
      </c>
      <c r="E1136" s="22" t="str">
        <f t="shared" si="79"/>
        <v>SEJUSPPROG</v>
      </c>
      <c r="F1136" s="122" t="s">
        <v>886</v>
      </c>
      <c r="G1136" s="22" t="str">
        <f t="shared" si="80"/>
        <v>P146SEJUSP</v>
      </c>
      <c r="H1136" s="107" t="s">
        <v>2307</v>
      </c>
      <c r="I1136" s="22" t="s">
        <v>16</v>
      </c>
      <c r="J1136" s="107" t="s">
        <v>2135</v>
      </c>
      <c r="K1136" s="22" t="str">
        <f>VLOOKUP(CONCATENATE(A1136,LEFT(J1136,4)),AGRUPAMENTO!$D$2:$E$6783,2,FALSE)</f>
        <v>Material de consumo</v>
      </c>
      <c r="L1136" s="107" t="s">
        <v>44</v>
      </c>
      <c r="M1136" s="52"/>
      <c r="N1136" s="52">
        <v>10</v>
      </c>
      <c r="O1136" s="107" t="s">
        <v>3256</v>
      </c>
      <c r="P1136" s="52" t="s">
        <v>46</v>
      </c>
      <c r="Q1136" s="107" t="s">
        <v>4082</v>
      </c>
      <c r="R1136" s="107">
        <v>32</v>
      </c>
      <c r="S1136" s="107" t="s">
        <v>3909</v>
      </c>
      <c r="T1136" s="239">
        <v>78.900000000000006</v>
      </c>
      <c r="U1136" s="107">
        <v>1</v>
      </c>
      <c r="V1136" s="58">
        <f t="shared" si="78"/>
        <v>2524.8000000000002</v>
      </c>
      <c r="W1136" s="52" t="s">
        <v>49</v>
      </c>
      <c r="X1136" s="107" t="s">
        <v>5043</v>
      </c>
      <c r="Y1136" s="304" t="s">
        <v>5044</v>
      </c>
      <c r="Z1136" s="304" t="s">
        <v>5040</v>
      </c>
      <c r="AA1136" s="52">
        <v>0</v>
      </c>
      <c r="AB1136" s="52">
        <v>0</v>
      </c>
      <c r="AC1136" s="52">
        <v>0</v>
      </c>
      <c r="AD1136" s="21">
        <v>0.66843255889259856</v>
      </c>
      <c r="AE1136" s="54">
        <v>0.66843255889259856</v>
      </c>
      <c r="AF1136" s="315">
        <f t="shared" si="81"/>
        <v>1687.6585246920329</v>
      </c>
    </row>
    <row r="1137" spans="1:32" ht="240" x14ac:dyDescent="0.25">
      <c r="A1137" s="107" t="s">
        <v>588</v>
      </c>
      <c r="B1137" s="107" t="s">
        <v>2271</v>
      </c>
      <c r="C1137" s="52"/>
      <c r="D1137" s="107" t="s">
        <v>2302</v>
      </c>
      <c r="E1137" s="22" t="str">
        <f t="shared" si="79"/>
        <v>SEJUSPPROG</v>
      </c>
      <c r="F1137" s="122" t="s">
        <v>886</v>
      </c>
      <c r="G1137" s="22" t="str">
        <f t="shared" si="80"/>
        <v>P146SEJUSP</v>
      </c>
      <c r="H1137" s="107" t="s">
        <v>2307</v>
      </c>
      <c r="I1137" s="22" t="s">
        <v>16</v>
      </c>
      <c r="J1137" s="107" t="s">
        <v>2135</v>
      </c>
      <c r="K1137" s="22" t="str">
        <f>VLOOKUP(CONCATENATE(A1137,LEFT(J1137,4)),AGRUPAMENTO!$D$2:$E$6783,2,FALSE)</f>
        <v>Material de consumo</v>
      </c>
      <c r="L1137" s="107" t="s">
        <v>44</v>
      </c>
      <c r="M1137" s="52"/>
      <c r="N1137" s="52">
        <v>10</v>
      </c>
      <c r="O1137" s="107" t="s">
        <v>3257</v>
      </c>
      <c r="P1137" s="52" t="s">
        <v>46</v>
      </c>
      <c r="Q1137" s="107" t="s">
        <v>4083</v>
      </c>
      <c r="R1137" s="107">
        <v>10</v>
      </c>
      <c r="S1137" s="107" t="s">
        <v>3909</v>
      </c>
      <c r="T1137" s="239">
        <v>28.9</v>
      </c>
      <c r="U1137" s="107">
        <v>1</v>
      </c>
      <c r="V1137" s="58">
        <f t="shared" si="78"/>
        <v>289</v>
      </c>
      <c r="W1137" s="52" t="s">
        <v>49</v>
      </c>
      <c r="X1137" s="107" t="s">
        <v>5043</v>
      </c>
      <c r="Y1137" s="304" t="s">
        <v>5044</v>
      </c>
      <c r="Z1137" s="304" t="s">
        <v>5040</v>
      </c>
      <c r="AA1137" s="52">
        <v>0</v>
      </c>
      <c r="AB1137" s="52">
        <v>0</v>
      </c>
      <c r="AC1137" s="52">
        <v>0</v>
      </c>
      <c r="AD1137" s="21">
        <v>0.66843255889259856</v>
      </c>
      <c r="AE1137" s="54">
        <v>0.66843255889259856</v>
      </c>
      <c r="AF1137" s="315">
        <f t="shared" si="81"/>
        <v>193.17700951996099</v>
      </c>
    </row>
    <row r="1138" spans="1:32" ht="240" x14ac:dyDescent="0.25">
      <c r="A1138" s="107" t="s">
        <v>588</v>
      </c>
      <c r="B1138" s="107" t="s">
        <v>2271</v>
      </c>
      <c r="C1138" s="52"/>
      <c r="D1138" s="107" t="s">
        <v>2302</v>
      </c>
      <c r="E1138" s="22" t="str">
        <f t="shared" si="79"/>
        <v>SEJUSPPROG</v>
      </c>
      <c r="F1138" s="122" t="s">
        <v>886</v>
      </c>
      <c r="G1138" s="22" t="str">
        <f t="shared" si="80"/>
        <v>P146SEJUSP</v>
      </c>
      <c r="H1138" s="107" t="s">
        <v>2307</v>
      </c>
      <c r="I1138" s="22" t="s">
        <v>16</v>
      </c>
      <c r="J1138" s="107" t="s">
        <v>2135</v>
      </c>
      <c r="K1138" s="22" t="str">
        <f>VLOOKUP(CONCATENATE(A1138,LEFT(J1138,4)),AGRUPAMENTO!$D$2:$E$6783,2,FALSE)</f>
        <v>Material de consumo</v>
      </c>
      <c r="L1138" s="107" t="s">
        <v>44</v>
      </c>
      <c r="M1138" s="52"/>
      <c r="N1138" s="52">
        <v>10</v>
      </c>
      <c r="O1138" s="107" t="s">
        <v>3258</v>
      </c>
      <c r="P1138" s="52" t="s">
        <v>46</v>
      </c>
      <c r="Q1138" s="107" t="s">
        <v>4084</v>
      </c>
      <c r="R1138" s="107">
        <v>40</v>
      </c>
      <c r="S1138" s="107" t="s">
        <v>3909</v>
      </c>
      <c r="T1138" s="239">
        <v>56</v>
      </c>
      <c r="U1138" s="107">
        <v>1</v>
      </c>
      <c r="V1138" s="58">
        <f t="shared" si="78"/>
        <v>2240</v>
      </c>
      <c r="W1138" s="52" t="s">
        <v>49</v>
      </c>
      <c r="X1138" s="107" t="s">
        <v>5043</v>
      </c>
      <c r="Y1138" s="304" t="s">
        <v>5044</v>
      </c>
      <c r="Z1138" s="304" t="s">
        <v>5040</v>
      </c>
      <c r="AA1138" s="52">
        <v>0</v>
      </c>
      <c r="AB1138" s="52">
        <v>0</v>
      </c>
      <c r="AC1138" s="52">
        <v>0</v>
      </c>
      <c r="AD1138" s="21">
        <v>0.66843255889259856</v>
      </c>
      <c r="AE1138" s="54">
        <v>0.66843255889259856</v>
      </c>
      <c r="AF1138" s="315">
        <f t="shared" si="81"/>
        <v>1497.2889319194207</v>
      </c>
    </row>
    <row r="1139" spans="1:32" ht="240" x14ac:dyDescent="0.25">
      <c r="A1139" s="107" t="s">
        <v>588</v>
      </c>
      <c r="B1139" s="107" t="s">
        <v>2271</v>
      </c>
      <c r="C1139" s="52"/>
      <c r="D1139" s="107" t="s">
        <v>2302</v>
      </c>
      <c r="E1139" s="22" t="str">
        <f t="shared" si="79"/>
        <v>SEJUSPPROG</v>
      </c>
      <c r="F1139" s="122" t="s">
        <v>886</v>
      </c>
      <c r="G1139" s="22" t="str">
        <f t="shared" si="80"/>
        <v>P146SEJUSP</v>
      </c>
      <c r="H1139" s="107" t="s">
        <v>2307</v>
      </c>
      <c r="I1139" s="22" t="s">
        <v>16</v>
      </c>
      <c r="J1139" s="107" t="s">
        <v>2135</v>
      </c>
      <c r="K1139" s="22" t="str">
        <f>VLOOKUP(CONCATENATE(A1139,LEFT(J1139,4)),AGRUPAMENTO!$D$2:$E$6783,2,FALSE)</f>
        <v>Material de consumo</v>
      </c>
      <c r="L1139" s="107" t="s">
        <v>44</v>
      </c>
      <c r="M1139" s="52"/>
      <c r="N1139" s="52">
        <v>10</v>
      </c>
      <c r="O1139" s="107" t="s">
        <v>3259</v>
      </c>
      <c r="P1139" s="52" t="s">
        <v>46</v>
      </c>
      <c r="Q1139" s="107" t="s">
        <v>4085</v>
      </c>
      <c r="R1139" s="107">
        <v>19</v>
      </c>
      <c r="S1139" s="107" t="s">
        <v>3909</v>
      </c>
      <c r="T1139" s="239">
        <v>75.900000000000006</v>
      </c>
      <c r="U1139" s="107">
        <v>1</v>
      </c>
      <c r="V1139" s="58">
        <f t="shared" si="78"/>
        <v>1442.1000000000001</v>
      </c>
      <c r="W1139" s="52" t="s">
        <v>49</v>
      </c>
      <c r="X1139" s="107" t="s">
        <v>5043</v>
      </c>
      <c r="Y1139" s="304" t="s">
        <v>5044</v>
      </c>
      <c r="Z1139" s="304" t="s">
        <v>5040</v>
      </c>
      <c r="AA1139" s="52">
        <v>0</v>
      </c>
      <c r="AB1139" s="52">
        <v>0</v>
      </c>
      <c r="AC1139" s="52">
        <v>0</v>
      </c>
      <c r="AD1139" s="21">
        <v>0.66843255889259856</v>
      </c>
      <c r="AE1139" s="54">
        <v>0.66843255889259856</v>
      </c>
      <c r="AF1139" s="315">
        <f t="shared" si="81"/>
        <v>963.94659317901653</v>
      </c>
    </row>
    <row r="1140" spans="1:32" ht="240" x14ac:dyDescent="0.25">
      <c r="A1140" s="107" t="s">
        <v>588</v>
      </c>
      <c r="B1140" s="107" t="s">
        <v>2271</v>
      </c>
      <c r="C1140" s="52"/>
      <c r="D1140" s="107" t="s">
        <v>2302</v>
      </c>
      <c r="E1140" s="22" t="str">
        <f t="shared" si="79"/>
        <v>SEJUSPPROG</v>
      </c>
      <c r="F1140" s="122" t="s">
        <v>886</v>
      </c>
      <c r="G1140" s="22" t="str">
        <f t="shared" si="80"/>
        <v>P146SEJUSP</v>
      </c>
      <c r="H1140" s="107" t="s">
        <v>2307</v>
      </c>
      <c r="I1140" s="22" t="s">
        <v>16</v>
      </c>
      <c r="J1140" s="107" t="s">
        <v>2135</v>
      </c>
      <c r="K1140" s="22" t="str">
        <f>VLOOKUP(CONCATENATE(A1140,LEFT(J1140,4)),AGRUPAMENTO!$D$2:$E$6783,2,FALSE)</f>
        <v>Material de consumo</v>
      </c>
      <c r="L1140" s="107" t="s">
        <v>44</v>
      </c>
      <c r="M1140" s="52"/>
      <c r="N1140" s="52">
        <v>10</v>
      </c>
      <c r="O1140" s="107" t="s">
        <v>3260</v>
      </c>
      <c r="P1140" s="52" t="s">
        <v>46</v>
      </c>
      <c r="Q1140" s="107" t="s">
        <v>4086</v>
      </c>
      <c r="R1140" s="107">
        <v>19</v>
      </c>
      <c r="S1140" s="107" t="s">
        <v>3909</v>
      </c>
      <c r="T1140" s="239">
        <v>25.9</v>
      </c>
      <c r="U1140" s="107">
        <v>1</v>
      </c>
      <c r="V1140" s="58">
        <f t="shared" si="78"/>
        <v>492.09999999999997</v>
      </c>
      <c r="W1140" s="52" t="s">
        <v>49</v>
      </c>
      <c r="X1140" s="107" t="s">
        <v>5043</v>
      </c>
      <c r="Y1140" s="304" t="s">
        <v>5045</v>
      </c>
      <c r="Z1140" s="304" t="s">
        <v>5040</v>
      </c>
      <c r="AA1140" s="52">
        <v>0</v>
      </c>
      <c r="AB1140" s="52">
        <v>0</v>
      </c>
      <c r="AC1140" s="52">
        <v>0</v>
      </c>
      <c r="AD1140" s="21">
        <v>0.66843255889259856</v>
      </c>
      <c r="AE1140" s="54">
        <v>0.66843255889259856</v>
      </c>
      <c r="AF1140" s="315">
        <f t="shared" si="81"/>
        <v>328.93566223104773</v>
      </c>
    </row>
    <row r="1141" spans="1:32" ht="240" x14ac:dyDescent="0.25">
      <c r="A1141" s="107" t="s">
        <v>588</v>
      </c>
      <c r="B1141" s="107" t="s">
        <v>2271</v>
      </c>
      <c r="C1141" s="52"/>
      <c r="D1141" s="107" t="s">
        <v>2302</v>
      </c>
      <c r="E1141" s="22" t="str">
        <f t="shared" si="79"/>
        <v>SEJUSPPROG</v>
      </c>
      <c r="F1141" s="122" t="s">
        <v>886</v>
      </c>
      <c r="G1141" s="22" t="str">
        <f t="shared" si="80"/>
        <v>P146SEJUSP</v>
      </c>
      <c r="H1141" s="107" t="s">
        <v>2307</v>
      </c>
      <c r="I1141" s="22" t="s">
        <v>16</v>
      </c>
      <c r="J1141" s="107" t="s">
        <v>1605</v>
      </c>
      <c r="K1141" s="22" t="str">
        <f>VLOOKUP(CONCATENATE(A1141,LEFT(J1141,4)),AGRUPAMENTO!$D$2:$E$6783,2,FALSE)</f>
        <v>Serviços de saúde e medicamentos</v>
      </c>
      <c r="L1141" s="107" t="s">
        <v>44</v>
      </c>
      <c r="M1141" s="52"/>
      <c r="N1141" s="52">
        <v>10</v>
      </c>
      <c r="O1141" s="107" t="s">
        <v>3261</v>
      </c>
      <c r="P1141" s="52" t="s">
        <v>46</v>
      </c>
      <c r="Q1141" s="107" t="s">
        <v>4087</v>
      </c>
      <c r="R1141" s="107">
        <v>96</v>
      </c>
      <c r="S1141" s="107" t="s">
        <v>3909</v>
      </c>
      <c r="T1141" s="239">
        <v>17.899999999999999</v>
      </c>
      <c r="U1141" s="107">
        <v>1</v>
      </c>
      <c r="V1141" s="58">
        <f t="shared" si="78"/>
        <v>1718.3999999999999</v>
      </c>
      <c r="W1141" s="52" t="s">
        <v>49</v>
      </c>
      <c r="X1141" s="107" t="s">
        <v>5041</v>
      </c>
      <c r="Y1141" s="304" t="s">
        <v>5046</v>
      </c>
      <c r="Z1141" s="304" t="s">
        <v>5040</v>
      </c>
      <c r="AA1141" s="52">
        <v>0</v>
      </c>
      <c r="AB1141" s="52">
        <v>0</v>
      </c>
      <c r="AC1141" s="52">
        <v>0</v>
      </c>
      <c r="AD1141" s="21">
        <v>0.68827656736675979</v>
      </c>
      <c r="AE1141" s="54">
        <v>0.68827656736675979</v>
      </c>
      <c r="AF1141" s="315">
        <f t="shared" si="81"/>
        <v>1182.7344533630398</v>
      </c>
    </row>
    <row r="1142" spans="1:32" ht="240" x14ac:dyDescent="0.25">
      <c r="A1142" s="107" t="s">
        <v>588</v>
      </c>
      <c r="B1142" s="107" t="s">
        <v>2271</v>
      </c>
      <c r="C1142" s="52"/>
      <c r="D1142" s="107" t="s">
        <v>2302</v>
      </c>
      <c r="E1142" s="22" t="str">
        <f t="shared" si="79"/>
        <v>SEJUSPPROG</v>
      </c>
      <c r="F1142" s="122" t="s">
        <v>886</v>
      </c>
      <c r="G1142" s="22" t="str">
        <f t="shared" si="80"/>
        <v>P146SEJUSP</v>
      </c>
      <c r="H1142" s="107" t="s">
        <v>2307</v>
      </c>
      <c r="I1142" s="22" t="s">
        <v>16</v>
      </c>
      <c r="J1142" s="107" t="s">
        <v>1605</v>
      </c>
      <c r="K1142" s="22" t="str">
        <f>VLOOKUP(CONCATENATE(A1142,LEFT(J1142,4)),AGRUPAMENTO!$D$2:$E$6783,2,FALSE)</f>
        <v>Serviços de saúde e medicamentos</v>
      </c>
      <c r="L1142" s="107" t="s">
        <v>44</v>
      </c>
      <c r="M1142" s="52"/>
      <c r="N1142" s="52">
        <v>10</v>
      </c>
      <c r="O1142" s="107" t="s">
        <v>3262</v>
      </c>
      <c r="P1142" s="52" t="s">
        <v>46</v>
      </c>
      <c r="Q1142" s="107" t="s">
        <v>3872</v>
      </c>
      <c r="R1142" s="107">
        <v>260</v>
      </c>
      <c r="S1142" s="107" t="s">
        <v>3909</v>
      </c>
      <c r="T1142" s="239">
        <v>0.17</v>
      </c>
      <c r="U1142" s="107">
        <v>1</v>
      </c>
      <c r="V1142" s="58">
        <f t="shared" si="78"/>
        <v>44.2</v>
      </c>
      <c r="W1142" s="52" t="s">
        <v>49</v>
      </c>
      <c r="X1142" s="107" t="s">
        <v>5041</v>
      </c>
      <c r="Y1142" s="304" t="s">
        <v>5046</v>
      </c>
      <c r="Z1142" s="304" t="s">
        <v>5040</v>
      </c>
      <c r="AA1142" s="52">
        <v>0</v>
      </c>
      <c r="AB1142" s="52">
        <v>0</v>
      </c>
      <c r="AC1142" s="52">
        <v>0</v>
      </c>
      <c r="AD1142" s="21">
        <v>0.68827656736675979</v>
      </c>
      <c r="AE1142" s="54">
        <v>0.68827656736675979</v>
      </c>
      <c r="AF1142" s="315">
        <f t="shared" si="81"/>
        <v>30.421824277610785</v>
      </c>
    </row>
    <row r="1143" spans="1:32" ht="255" x14ac:dyDescent="0.25">
      <c r="A1143" s="107" t="s">
        <v>588</v>
      </c>
      <c r="B1143" s="107" t="s">
        <v>2271</v>
      </c>
      <c r="C1143" s="52"/>
      <c r="D1143" s="107" t="s">
        <v>2302</v>
      </c>
      <c r="E1143" s="22" t="str">
        <f t="shared" si="79"/>
        <v>SEJUSPPROG</v>
      </c>
      <c r="F1143" s="122" t="s">
        <v>886</v>
      </c>
      <c r="G1143" s="22" t="str">
        <f t="shared" si="80"/>
        <v>P146SEJUSP</v>
      </c>
      <c r="H1143" s="107" t="s">
        <v>2307</v>
      </c>
      <c r="I1143" s="22" t="s">
        <v>16</v>
      </c>
      <c r="J1143" s="107" t="s">
        <v>2135</v>
      </c>
      <c r="K1143" s="22" t="str">
        <f>VLOOKUP(CONCATENATE(A1143,LEFT(J1143,4)),AGRUPAMENTO!$D$2:$E$6783,2,FALSE)</f>
        <v>Material de consumo</v>
      </c>
      <c r="L1143" s="107" t="s">
        <v>44</v>
      </c>
      <c r="M1143" s="52"/>
      <c r="N1143" s="52">
        <v>10</v>
      </c>
      <c r="O1143" s="107" t="s">
        <v>3263</v>
      </c>
      <c r="P1143" s="52" t="s">
        <v>46</v>
      </c>
      <c r="Q1143" s="107" t="s">
        <v>4088</v>
      </c>
      <c r="R1143" s="107">
        <v>28</v>
      </c>
      <c r="S1143" s="107" t="s">
        <v>3909</v>
      </c>
      <c r="T1143" s="239">
        <v>39.99</v>
      </c>
      <c r="U1143" s="107">
        <v>1</v>
      </c>
      <c r="V1143" s="58">
        <f t="shared" si="78"/>
        <v>1119.72</v>
      </c>
      <c r="W1143" s="52" t="s">
        <v>49</v>
      </c>
      <c r="X1143" s="107" t="s">
        <v>5043</v>
      </c>
      <c r="Y1143" s="304" t="s">
        <v>5044</v>
      </c>
      <c r="Z1143" s="304" t="s">
        <v>5040</v>
      </c>
      <c r="AA1143" s="52">
        <v>0</v>
      </c>
      <c r="AB1143" s="52">
        <v>0</v>
      </c>
      <c r="AC1143" s="52">
        <v>0</v>
      </c>
      <c r="AD1143" s="21">
        <v>0.66843255889259856</v>
      </c>
      <c r="AE1143" s="54">
        <v>0.66843255889259856</v>
      </c>
      <c r="AF1143" s="315">
        <f t="shared" si="81"/>
        <v>748.45730484322053</v>
      </c>
    </row>
    <row r="1144" spans="1:32" ht="240" x14ac:dyDescent="0.25">
      <c r="A1144" s="107" t="s">
        <v>588</v>
      </c>
      <c r="B1144" s="107" t="s">
        <v>2271</v>
      </c>
      <c r="C1144" s="52"/>
      <c r="D1144" s="107" t="s">
        <v>2302</v>
      </c>
      <c r="E1144" s="22" t="str">
        <f t="shared" si="79"/>
        <v>SEJUSPPROG</v>
      </c>
      <c r="F1144" s="122" t="s">
        <v>886</v>
      </c>
      <c r="G1144" s="22" t="str">
        <f t="shared" si="80"/>
        <v>P146SEJUSP</v>
      </c>
      <c r="H1144" s="107" t="s">
        <v>2307</v>
      </c>
      <c r="I1144" s="22" t="s">
        <v>16</v>
      </c>
      <c r="J1144" s="107" t="s">
        <v>2135</v>
      </c>
      <c r="K1144" s="22" t="str">
        <f>VLOOKUP(CONCATENATE(A1144,LEFT(J1144,4)),AGRUPAMENTO!$D$2:$E$6783,2,FALSE)</f>
        <v>Material de consumo</v>
      </c>
      <c r="L1144" s="107" t="s">
        <v>44</v>
      </c>
      <c r="M1144" s="52"/>
      <c r="N1144" s="52">
        <v>10</v>
      </c>
      <c r="O1144" s="107" t="s">
        <v>3264</v>
      </c>
      <c r="P1144" s="52" t="s">
        <v>46</v>
      </c>
      <c r="Q1144" s="107" t="s">
        <v>4088</v>
      </c>
      <c r="R1144" s="107">
        <v>28</v>
      </c>
      <c r="S1144" s="107" t="s">
        <v>3909</v>
      </c>
      <c r="T1144" s="239">
        <v>39.99</v>
      </c>
      <c r="U1144" s="107">
        <v>1</v>
      </c>
      <c r="V1144" s="58">
        <f t="shared" si="78"/>
        <v>1119.72</v>
      </c>
      <c r="W1144" s="52" t="s">
        <v>49</v>
      </c>
      <c r="X1144" s="107" t="s">
        <v>5043</v>
      </c>
      <c r="Y1144" s="304" t="s">
        <v>5044</v>
      </c>
      <c r="Z1144" s="304" t="s">
        <v>5040</v>
      </c>
      <c r="AA1144" s="52">
        <v>0</v>
      </c>
      <c r="AB1144" s="52">
        <v>0</v>
      </c>
      <c r="AC1144" s="52">
        <v>0</v>
      </c>
      <c r="AD1144" s="21">
        <v>0.66843255889259856</v>
      </c>
      <c r="AE1144" s="54">
        <v>0.66843255889259856</v>
      </c>
      <c r="AF1144" s="315">
        <f t="shared" si="81"/>
        <v>748.45730484322053</v>
      </c>
    </row>
    <row r="1145" spans="1:32" ht="150" x14ac:dyDescent="0.25">
      <c r="A1145" s="107" t="s">
        <v>588</v>
      </c>
      <c r="B1145" s="107" t="s">
        <v>2271</v>
      </c>
      <c r="C1145" s="52"/>
      <c r="D1145" s="107" t="s">
        <v>2302</v>
      </c>
      <c r="E1145" s="22" t="str">
        <f t="shared" si="79"/>
        <v>SEJUSPPROG</v>
      </c>
      <c r="F1145" s="122" t="s">
        <v>886</v>
      </c>
      <c r="G1145" s="22" t="str">
        <f t="shared" si="80"/>
        <v>P146SEJUSP</v>
      </c>
      <c r="H1145" s="107" t="s">
        <v>2307</v>
      </c>
      <c r="I1145" s="22" t="s">
        <v>16</v>
      </c>
      <c r="J1145" s="107" t="s">
        <v>405</v>
      </c>
      <c r="K1145" s="22" t="str">
        <f>VLOOKUP(CONCATENATE(A1145,LEFT(J1145,4)),AGRUPAMENTO!$D$2:$E$6783,2,FALSE)</f>
        <v>Material de consumo</v>
      </c>
      <c r="L1145" s="107" t="s">
        <v>44</v>
      </c>
      <c r="M1145" s="52"/>
      <c r="N1145" s="52">
        <v>10</v>
      </c>
      <c r="O1145" s="107" t="s">
        <v>3265</v>
      </c>
      <c r="P1145" s="52" t="s">
        <v>46</v>
      </c>
      <c r="Q1145" s="107" t="s">
        <v>4089</v>
      </c>
      <c r="R1145" s="107">
        <v>525</v>
      </c>
      <c r="S1145" s="107" t="s">
        <v>3909</v>
      </c>
      <c r="T1145" s="239">
        <v>7.2</v>
      </c>
      <c r="U1145" s="107">
        <v>1</v>
      </c>
      <c r="V1145" s="58">
        <f t="shared" si="78"/>
        <v>3780</v>
      </c>
      <c r="W1145" s="52" t="s">
        <v>49</v>
      </c>
      <c r="X1145" s="107" t="s">
        <v>5047</v>
      </c>
      <c r="Y1145" s="304" t="s">
        <v>5048</v>
      </c>
      <c r="Z1145" s="304" t="s">
        <v>5049</v>
      </c>
      <c r="AA1145" s="52">
        <v>0</v>
      </c>
      <c r="AB1145" s="52">
        <v>0</v>
      </c>
      <c r="AC1145" s="52">
        <v>0</v>
      </c>
      <c r="AD1145" s="21">
        <v>0.66843255889259856</v>
      </c>
      <c r="AE1145" s="54">
        <v>0.66843255889259856</v>
      </c>
      <c r="AF1145" s="315">
        <f t="shared" si="81"/>
        <v>2526.6750726140226</v>
      </c>
    </row>
    <row r="1146" spans="1:32" ht="150" x14ac:dyDescent="0.25">
      <c r="A1146" s="107" t="s">
        <v>588</v>
      </c>
      <c r="B1146" s="107" t="s">
        <v>2271</v>
      </c>
      <c r="C1146" s="52"/>
      <c r="D1146" s="107" t="s">
        <v>2302</v>
      </c>
      <c r="E1146" s="22" t="str">
        <f t="shared" si="79"/>
        <v>SEJUSPPROG</v>
      </c>
      <c r="F1146" s="122" t="s">
        <v>886</v>
      </c>
      <c r="G1146" s="22" t="str">
        <f t="shared" si="80"/>
        <v>P146SEJUSP</v>
      </c>
      <c r="H1146" s="107" t="s">
        <v>2307</v>
      </c>
      <c r="I1146" s="22" t="s">
        <v>16</v>
      </c>
      <c r="J1146" s="107" t="s">
        <v>405</v>
      </c>
      <c r="K1146" s="22" t="str">
        <f>VLOOKUP(CONCATENATE(A1146,LEFT(J1146,4)),AGRUPAMENTO!$D$2:$E$6783,2,FALSE)</f>
        <v>Material de consumo</v>
      </c>
      <c r="L1146" s="107" t="s">
        <v>44</v>
      </c>
      <c r="M1146" s="52"/>
      <c r="N1146" s="52">
        <v>10</v>
      </c>
      <c r="O1146" s="107" t="s">
        <v>3266</v>
      </c>
      <c r="P1146" s="52" t="s">
        <v>46</v>
      </c>
      <c r="Q1146" s="107" t="s">
        <v>4090</v>
      </c>
      <c r="R1146" s="107">
        <v>2280</v>
      </c>
      <c r="S1146" s="107" t="s">
        <v>3909</v>
      </c>
      <c r="T1146" s="239">
        <v>7.89</v>
      </c>
      <c r="U1146" s="107">
        <v>1</v>
      </c>
      <c r="V1146" s="58">
        <f t="shared" si="78"/>
        <v>17989.2</v>
      </c>
      <c r="W1146" s="52" t="s">
        <v>49</v>
      </c>
      <c r="X1146" s="107" t="s">
        <v>5047</v>
      </c>
      <c r="Y1146" s="304" t="s">
        <v>5048</v>
      </c>
      <c r="Z1146" s="304" t="s">
        <v>5049</v>
      </c>
      <c r="AA1146" s="52">
        <v>0</v>
      </c>
      <c r="AB1146" s="52">
        <v>0</v>
      </c>
      <c r="AC1146" s="52">
        <v>0</v>
      </c>
      <c r="AD1146" s="21">
        <v>0.66843255889259856</v>
      </c>
      <c r="AE1146" s="54">
        <v>0.66843255889259856</v>
      </c>
      <c r="AF1146" s="315">
        <f t="shared" si="81"/>
        <v>12024.566988430735</v>
      </c>
    </row>
    <row r="1147" spans="1:32" ht="240" x14ac:dyDescent="0.25">
      <c r="A1147" s="107" t="s">
        <v>588</v>
      </c>
      <c r="B1147" s="107" t="s">
        <v>2271</v>
      </c>
      <c r="C1147" s="52"/>
      <c r="D1147" s="107" t="s">
        <v>2302</v>
      </c>
      <c r="E1147" s="22" t="str">
        <f t="shared" si="79"/>
        <v>SEJUSPPROG</v>
      </c>
      <c r="F1147" s="122" t="s">
        <v>886</v>
      </c>
      <c r="G1147" s="22" t="str">
        <f t="shared" si="80"/>
        <v>P146SEJUSP</v>
      </c>
      <c r="H1147" s="107" t="s">
        <v>2307</v>
      </c>
      <c r="I1147" s="22" t="s">
        <v>16</v>
      </c>
      <c r="J1147" s="107" t="s">
        <v>1605</v>
      </c>
      <c r="K1147" s="22" t="str">
        <f>VLOOKUP(CONCATENATE(A1147,LEFT(J1147,4)),AGRUPAMENTO!$D$2:$E$6783,2,FALSE)</f>
        <v>Serviços de saúde e medicamentos</v>
      </c>
      <c r="L1147" s="107" t="s">
        <v>44</v>
      </c>
      <c r="M1147" s="52"/>
      <c r="N1147" s="52">
        <v>10</v>
      </c>
      <c r="O1147" s="107" t="s">
        <v>3267</v>
      </c>
      <c r="P1147" s="52" t="s">
        <v>46</v>
      </c>
      <c r="Q1147" s="107" t="s">
        <v>4091</v>
      </c>
      <c r="R1147" s="107">
        <v>11</v>
      </c>
      <c r="S1147" s="107" t="s">
        <v>3909</v>
      </c>
      <c r="T1147" s="239">
        <v>33.9</v>
      </c>
      <c r="U1147" s="107">
        <v>1</v>
      </c>
      <c r="V1147" s="58">
        <f t="shared" si="78"/>
        <v>372.9</v>
      </c>
      <c r="W1147" s="52" t="s">
        <v>49</v>
      </c>
      <c r="X1147" s="107" t="s">
        <v>5041</v>
      </c>
      <c r="Y1147" s="304" t="s">
        <v>5042</v>
      </c>
      <c r="Z1147" s="304" t="s">
        <v>5040</v>
      </c>
      <c r="AA1147" s="52">
        <v>0</v>
      </c>
      <c r="AB1147" s="52">
        <v>0</v>
      </c>
      <c r="AC1147" s="52">
        <v>0</v>
      </c>
      <c r="AD1147" s="21">
        <v>0.68827656736675979</v>
      </c>
      <c r="AE1147" s="54">
        <v>0.68827656736675979</v>
      </c>
      <c r="AF1147" s="315">
        <f t="shared" si="81"/>
        <v>256.65833197106474</v>
      </c>
    </row>
    <row r="1148" spans="1:32" ht="240" x14ac:dyDescent="0.25">
      <c r="A1148" s="107" t="s">
        <v>588</v>
      </c>
      <c r="B1148" s="107" t="s">
        <v>2271</v>
      </c>
      <c r="C1148" s="52"/>
      <c r="D1148" s="107" t="s">
        <v>2302</v>
      </c>
      <c r="E1148" s="22" t="str">
        <f t="shared" si="79"/>
        <v>SEJUSPPROG</v>
      </c>
      <c r="F1148" s="122" t="s">
        <v>886</v>
      </c>
      <c r="G1148" s="22" t="str">
        <f t="shared" si="80"/>
        <v>P146SEJUSP</v>
      </c>
      <c r="H1148" s="107" t="s">
        <v>2307</v>
      </c>
      <c r="I1148" s="22" t="s">
        <v>16</v>
      </c>
      <c r="J1148" s="107" t="s">
        <v>2135</v>
      </c>
      <c r="K1148" s="22" t="str">
        <f>VLOOKUP(CONCATENATE(A1148,LEFT(J1148,4)),AGRUPAMENTO!$D$2:$E$6783,2,FALSE)</f>
        <v>Material de consumo</v>
      </c>
      <c r="L1148" s="107" t="s">
        <v>44</v>
      </c>
      <c r="M1148" s="52"/>
      <c r="N1148" s="52">
        <v>10</v>
      </c>
      <c r="O1148" s="107" t="s">
        <v>3268</v>
      </c>
      <c r="P1148" s="52" t="s">
        <v>46</v>
      </c>
      <c r="Q1148" s="107" t="s">
        <v>4080</v>
      </c>
      <c r="R1148" s="107">
        <v>240</v>
      </c>
      <c r="S1148" s="107" t="s">
        <v>3909</v>
      </c>
      <c r="T1148" s="239">
        <v>2.99</v>
      </c>
      <c r="U1148" s="107">
        <v>1</v>
      </c>
      <c r="V1148" s="58">
        <f t="shared" si="78"/>
        <v>717.6</v>
      </c>
      <c r="W1148" s="52" t="s">
        <v>49</v>
      </c>
      <c r="X1148" s="107" t="s">
        <v>5043</v>
      </c>
      <c r="Y1148" s="304" t="s">
        <v>5042</v>
      </c>
      <c r="Z1148" s="304" t="s">
        <v>5040</v>
      </c>
      <c r="AA1148" s="52">
        <v>0</v>
      </c>
      <c r="AB1148" s="52">
        <v>0</v>
      </c>
      <c r="AC1148" s="52">
        <v>0</v>
      </c>
      <c r="AD1148" s="21">
        <v>0.66843255889259856</v>
      </c>
      <c r="AE1148" s="54">
        <v>0.66843255889259856</v>
      </c>
      <c r="AF1148" s="315">
        <f t="shared" si="81"/>
        <v>479.66720426132872</v>
      </c>
    </row>
    <row r="1149" spans="1:32" ht="240" x14ac:dyDescent="0.25">
      <c r="A1149" s="107" t="s">
        <v>588</v>
      </c>
      <c r="B1149" s="107" t="s">
        <v>2271</v>
      </c>
      <c r="C1149" s="52"/>
      <c r="D1149" s="107" t="s">
        <v>2302</v>
      </c>
      <c r="E1149" s="22" t="str">
        <f t="shared" si="79"/>
        <v>SEJUSPPROG</v>
      </c>
      <c r="F1149" s="122" t="s">
        <v>886</v>
      </c>
      <c r="G1149" s="22" t="str">
        <f t="shared" si="80"/>
        <v>P146SEJUSP</v>
      </c>
      <c r="H1149" s="107" t="s">
        <v>2307</v>
      </c>
      <c r="I1149" s="22" t="s">
        <v>16</v>
      </c>
      <c r="J1149" s="107" t="s">
        <v>1605</v>
      </c>
      <c r="K1149" s="22" t="str">
        <f>VLOOKUP(CONCATENATE(A1149,LEFT(J1149,4)),AGRUPAMENTO!$D$2:$E$6783,2,FALSE)</f>
        <v>Serviços de saúde e medicamentos</v>
      </c>
      <c r="L1149" s="107" t="s">
        <v>44</v>
      </c>
      <c r="M1149" s="52"/>
      <c r="N1149" s="52">
        <v>10</v>
      </c>
      <c r="O1149" s="107" t="s">
        <v>3269</v>
      </c>
      <c r="P1149" s="52" t="s">
        <v>46</v>
      </c>
      <c r="Q1149" s="107" t="s">
        <v>4092</v>
      </c>
      <c r="R1149" s="107">
        <v>94</v>
      </c>
      <c r="S1149" s="107" t="s">
        <v>3909</v>
      </c>
      <c r="T1149" s="239">
        <v>3.15</v>
      </c>
      <c r="U1149" s="107">
        <v>1</v>
      </c>
      <c r="V1149" s="58">
        <f t="shared" si="78"/>
        <v>296.09999999999997</v>
      </c>
      <c r="W1149" s="52" t="s">
        <v>49</v>
      </c>
      <c r="X1149" s="107" t="s">
        <v>5041</v>
      </c>
      <c r="Y1149" s="304" t="s">
        <v>5042</v>
      </c>
      <c r="Z1149" s="304" t="s">
        <v>5040</v>
      </c>
      <c r="AA1149" s="52">
        <v>0</v>
      </c>
      <c r="AB1149" s="52">
        <v>0</v>
      </c>
      <c r="AC1149" s="52">
        <v>0</v>
      </c>
      <c r="AD1149" s="21">
        <v>0.68827656736675979</v>
      </c>
      <c r="AE1149" s="54">
        <v>0.68827656736675979</v>
      </c>
      <c r="AF1149" s="315">
        <f t="shared" si="81"/>
        <v>203.79869159729756</v>
      </c>
    </row>
    <row r="1150" spans="1:32" ht="240" x14ac:dyDescent="0.25">
      <c r="A1150" s="107" t="s">
        <v>588</v>
      </c>
      <c r="B1150" s="107" t="s">
        <v>2271</v>
      </c>
      <c r="C1150" s="52"/>
      <c r="D1150" s="107" t="s">
        <v>2302</v>
      </c>
      <c r="E1150" s="22" t="str">
        <f t="shared" si="79"/>
        <v>SEJUSPPROG</v>
      </c>
      <c r="F1150" s="122" t="s">
        <v>886</v>
      </c>
      <c r="G1150" s="22" t="str">
        <f t="shared" si="80"/>
        <v>P146SEJUSP</v>
      </c>
      <c r="H1150" s="107" t="s">
        <v>2307</v>
      </c>
      <c r="I1150" s="22" t="s">
        <v>16</v>
      </c>
      <c r="J1150" s="107" t="s">
        <v>1605</v>
      </c>
      <c r="K1150" s="22" t="str">
        <f>VLOOKUP(CONCATENATE(A1150,LEFT(J1150,4)),AGRUPAMENTO!$D$2:$E$6783,2,FALSE)</f>
        <v>Serviços de saúde e medicamentos</v>
      </c>
      <c r="L1150" s="107" t="s">
        <v>44</v>
      </c>
      <c r="M1150" s="52"/>
      <c r="N1150" s="52">
        <v>10</v>
      </c>
      <c r="O1150" s="107" t="s">
        <v>3270</v>
      </c>
      <c r="P1150" s="52" t="s">
        <v>46</v>
      </c>
      <c r="Q1150" s="107" t="s">
        <v>3872</v>
      </c>
      <c r="R1150" s="107">
        <v>165</v>
      </c>
      <c r="S1150" s="107" t="s">
        <v>3909</v>
      </c>
      <c r="T1150" s="239">
        <v>3.27</v>
      </c>
      <c r="U1150" s="107">
        <v>1</v>
      </c>
      <c r="V1150" s="58">
        <f t="shared" si="78"/>
        <v>539.54999999999995</v>
      </c>
      <c r="W1150" s="52" t="s">
        <v>49</v>
      </c>
      <c r="X1150" s="107" t="s">
        <v>5041</v>
      </c>
      <c r="Y1150" s="304" t="s">
        <v>5042</v>
      </c>
      <c r="Z1150" s="304" t="s">
        <v>5040</v>
      </c>
      <c r="AA1150" s="52">
        <v>0</v>
      </c>
      <c r="AB1150" s="52">
        <v>0</v>
      </c>
      <c r="AC1150" s="52">
        <v>0</v>
      </c>
      <c r="AD1150" s="21">
        <v>0.68827656736675979</v>
      </c>
      <c r="AE1150" s="54">
        <v>0.68827656736675979</v>
      </c>
      <c r="AF1150" s="315">
        <f t="shared" si="81"/>
        <v>371.35962192273524</v>
      </c>
    </row>
    <row r="1151" spans="1:32" ht="240" x14ac:dyDescent="0.25">
      <c r="A1151" s="107" t="s">
        <v>588</v>
      </c>
      <c r="B1151" s="107" t="s">
        <v>2271</v>
      </c>
      <c r="C1151" s="52"/>
      <c r="D1151" s="107" t="s">
        <v>2302</v>
      </c>
      <c r="E1151" s="22" t="str">
        <f t="shared" si="79"/>
        <v>SEJUSPPROG</v>
      </c>
      <c r="F1151" s="122" t="s">
        <v>886</v>
      </c>
      <c r="G1151" s="22" t="str">
        <f t="shared" si="80"/>
        <v>P146SEJUSP</v>
      </c>
      <c r="H1151" s="107" t="s">
        <v>2307</v>
      </c>
      <c r="I1151" s="22" t="s">
        <v>16</v>
      </c>
      <c r="J1151" s="107" t="s">
        <v>2135</v>
      </c>
      <c r="K1151" s="22" t="str">
        <f>VLOOKUP(CONCATENATE(A1151,LEFT(J1151,4)),AGRUPAMENTO!$D$2:$E$6783,2,FALSE)</f>
        <v>Material de consumo</v>
      </c>
      <c r="L1151" s="107" t="s">
        <v>44</v>
      </c>
      <c r="M1151" s="52"/>
      <c r="N1151" s="52">
        <v>10</v>
      </c>
      <c r="O1151" s="107" t="s">
        <v>3271</v>
      </c>
      <c r="P1151" s="52" t="s">
        <v>46</v>
      </c>
      <c r="Q1151" s="107" t="s">
        <v>4093</v>
      </c>
      <c r="R1151" s="107">
        <v>37</v>
      </c>
      <c r="S1151" s="107" t="s">
        <v>3909</v>
      </c>
      <c r="T1151" s="239">
        <v>10.49</v>
      </c>
      <c r="U1151" s="107">
        <v>1</v>
      </c>
      <c r="V1151" s="58">
        <f t="shared" si="78"/>
        <v>388.13</v>
      </c>
      <c r="W1151" s="52" t="s">
        <v>49</v>
      </c>
      <c r="X1151" s="107" t="s">
        <v>5043</v>
      </c>
      <c r="Y1151" s="304" t="s">
        <v>5045</v>
      </c>
      <c r="Z1151" s="304" t="s">
        <v>5040</v>
      </c>
      <c r="AA1151" s="52">
        <v>0</v>
      </c>
      <c r="AB1151" s="52">
        <v>0</v>
      </c>
      <c r="AC1151" s="52">
        <v>0</v>
      </c>
      <c r="AD1151" s="21">
        <v>0.66843255889259856</v>
      </c>
      <c r="AE1151" s="54">
        <v>0.66843255889259856</v>
      </c>
      <c r="AF1151" s="315">
        <f t="shared" si="81"/>
        <v>259.43872908298425</v>
      </c>
    </row>
    <row r="1152" spans="1:32" ht="240" x14ac:dyDescent="0.25">
      <c r="A1152" s="107" t="s">
        <v>588</v>
      </c>
      <c r="B1152" s="107" t="s">
        <v>2271</v>
      </c>
      <c r="C1152" s="52"/>
      <c r="D1152" s="107" t="s">
        <v>2302</v>
      </c>
      <c r="E1152" s="22" t="str">
        <f t="shared" si="79"/>
        <v>SEJUSPPROG</v>
      </c>
      <c r="F1152" s="122" t="s">
        <v>886</v>
      </c>
      <c r="G1152" s="22" t="str">
        <f t="shared" si="80"/>
        <v>P146SEJUSP</v>
      </c>
      <c r="H1152" s="107" t="s">
        <v>2307</v>
      </c>
      <c r="I1152" s="22" t="s">
        <v>16</v>
      </c>
      <c r="J1152" s="107" t="s">
        <v>1605</v>
      </c>
      <c r="K1152" s="22" t="str">
        <f>VLOOKUP(CONCATENATE(A1152,LEFT(J1152,4)),AGRUPAMENTO!$D$2:$E$6783,2,FALSE)</f>
        <v>Serviços de saúde e medicamentos</v>
      </c>
      <c r="L1152" s="107" t="s">
        <v>44</v>
      </c>
      <c r="M1152" s="52"/>
      <c r="N1152" s="52">
        <v>10</v>
      </c>
      <c r="O1152" s="107" t="s">
        <v>3272</v>
      </c>
      <c r="P1152" s="52" t="s">
        <v>46</v>
      </c>
      <c r="Q1152" s="107" t="s">
        <v>4094</v>
      </c>
      <c r="R1152" s="107">
        <v>11</v>
      </c>
      <c r="S1152" s="107" t="s">
        <v>3909</v>
      </c>
      <c r="T1152" s="239">
        <v>1.1499999999999999</v>
      </c>
      <c r="U1152" s="107">
        <v>1</v>
      </c>
      <c r="V1152" s="58">
        <f t="shared" si="78"/>
        <v>12.649999999999999</v>
      </c>
      <c r="W1152" s="52" t="s">
        <v>49</v>
      </c>
      <c r="X1152" s="107" t="s">
        <v>5050</v>
      </c>
      <c r="Y1152" s="304" t="s">
        <v>5039</v>
      </c>
      <c r="Z1152" s="304" t="s">
        <v>5040</v>
      </c>
      <c r="AA1152" s="52">
        <v>0</v>
      </c>
      <c r="AB1152" s="52">
        <v>0</v>
      </c>
      <c r="AC1152" s="52">
        <v>0</v>
      </c>
      <c r="AD1152" s="21">
        <v>0.68827656736675979</v>
      </c>
      <c r="AE1152" s="54">
        <v>0.68827656736675979</v>
      </c>
      <c r="AF1152" s="315">
        <f t="shared" si="81"/>
        <v>8.7066985771895098</v>
      </c>
    </row>
    <row r="1153" spans="1:32" ht="240" x14ac:dyDescent="0.25">
      <c r="A1153" s="107" t="s">
        <v>588</v>
      </c>
      <c r="B1153" s="107" t="s">
        <v>2271</v>
      </c>
      <c r="C1153" s="52"/>
      <c r="D1153" s="107" t="s">
        <v>2302</v>
      </c>
      <c r="E1153" s="22" t="str">
        <f t="shared" si="79"/>
        <v>SEJUSPPROG</v>
      </c>
      <c r="F1153" s="122" t="s">
        <v>886</v>
      </c>
      <c r="G1153" s="22" t="str">
        <f t="shared" si="80"/>
        <v>P146SEJUSP</v>
      </c>
      <c r="H1153" s="107" t="s">
        <v>2307</v>
      </c>
      <c r="I1153" s="22" t="s">
        <v>16</v>
      </c>
      <c r="J1153" s="107" t="s">
        <v>1605</v>
      </c>
      <c r="K1153" s="22" t="str">
        <f>VLOOKUP(CONCATENATE(A1153,LEFT(J1153,4)),AGRUPAMENTO!$D$2:$E$6783,2,FALSE)</f>
        <v>Serviços de saúde e medicamentos</v>
      </c>
      <c r="L1153" s="107" t="s">
        <v>44</v>
      </c>
      <c r="M1153" s="52"/>
      <c r="N1153" s="52">
        <v>10</v>
      </c>
      <c r="O1153" s="107" t="s">
        <v>3273</v>
      </c>
      <c r="P1153" s="52" t="s">
        <v>46</v>
      </c>
      <c r="Q1153" s="107" t="s">
        <v>4094</v>
      </c>
      <c r="R1153" s="107">
        <v>44</v>
      </c>
      <c r="S1153" s="107" t="s">
        <v>3909</v>
      </c>
      <c r="T1153" s="239">
        <v>1.1499999999999999</v>
      </c>
      <c r="U1153" s="107">
        <v>1</v>
      </c>
      <c r="V1153" s="58">
        <f t="shared" si="78"/>
        <v>50.599999999999994</v>
      </c>
      <c r="W1153" s="52" t="s">
        <v>49</v>
      </c>
      <c r="X1153" s="107" t="s">
        <v>5050</v>
      </c>
      <c r="Y1153" s="304" t="s">
        <v>5039</v>
      </c>
      <c r="Z1153" s="304" t="s">
        <v>5040</v>
      </c>
      <c r="AA1153" s="52">
        <v>0</v>
      </c>
      <c r="AB1153" s="52">
        <v>0</v>
      </c>
      <c r="AC1153" s="52">
        <v>0</v>
      </c>
      <c r="AD1153" s="21">
        <v>0.68827656736675979</v>
      </c>
      <c r="AE1153" s="54">
        <v>0.68827656736675979</v>
      </c>
      <c r="AF1153" s="315">
        <f t="shared" si="81"/>
        <v>34.826794308758039</v>
      </c>
    </row>
    <row r="1154" spans="1:32" ht="240" x14ac:dyDescent="0.25">
      <c r="A1154" s="107" t="s">
        <v>588</v>
      </c>
      <c r="B1154" s="107" t="s">
        <v>2271</v>
      </c>
      <c r="C1154" s="52"/>
      <c r="D1154" s="107" t="s">
        <v>2302</v>
      </c>
      <c r="E1154" s="22" t="str">
        <f t="shared" si="79"/>
        <v>SEJUSPPROG</v>
      </c>
      <c r="F1154" s="122" t="s">
        <v>886</v>
      </c>
      <c r="G1154" s="22" t="str">
        <f t="shared" si="80"/>
        <v>P146SEJUSP</v>
      </c>
      <c r="H1154" s="107" t="s">
        <v>2307</v>
      </c>
      <c r="I1154" s="22" t="s">
        <v>16</v>
      </c>
      <c r="J1154" s="107" t="s">
        <v>1605</v>
      </c>
      <c r="K1154" s="22" t="str">
        <f>VLOOKUP(CONCATENATE(A1154,LEFT(J1154,4)),AGRUPAMENTO!$D$2:$E$6783,2,FALSE)</f>
        <v>Serviços de saúde e medicamentos</v>
      </c>
      <c r="L1154" s="107" t="s">
        <v>44</v>
      </c>
      <c r="M1154" s="52"/>
      <c r="N1154" s="52">
        <v>10</v>
      </c>
      <c r="O1154" s="107" t="s">
        <v>3274</v>
      </c>
      <c r="P1154" s="52" t="s">
        <v>46</v>
      </c>
      <c r="Q1154" s="107" t="s">
        <v>3872</v>
      </c>
      <c r="R1154" s="107">
        <v>1848</v>
      </c>
      <c r="S1154" s="107" t="s">
        <v>3909</v>
      </c>
      <c r="T1154" s="239">
        <v>39.9</v>
      </c>
      <c r="U1154" s="107">
        <v>1</v>
      </c>
      <c r="V1154" s="58">
        <f t="shared" ref="V1154:V1217" si="82">R1154*T1154*U1154</f>
        <v>73735.199999999997</v>
      </c>
      <c r="W1154" s="52" t="s">
        <v>49</v>
      </c>
      <c r="X1154" s="107" t="s">
        <v>5051</v>
      </c>
      <c r="Y1154" s="304" t="s">
        <v>5052</v>
      </c>
      <c r="Z1154" s="304" t="s">
        <v>5040</v>
      </c>
      <c r="AA1154" s="52">
        <v>0</v>
      </c>
      <c r="AB1154" s="52">
        <v>0</v>
      </c>
      <c r="AC1154" s="52">
        <v>0</v>
      </c>
      <c r="AD1154" s="21">
        <v>0.68827656736675979</v>
      </c>
      <c r="AE1154" s="54">
        <v>0.68827656736675979</v>
      </c>
      <c r="AF1154" s="315">
        <f t="shared" si="81"/>
        <v>50750.210350101508</v>
      </c>
    </row>
    <row r="1155" spans="1:32" ht="240" x14ac:dyDescent="0.25">
      <c r="A1155" s="107" t="s">
        <v>588</v>
      </c>
      <c r="B1155" s="107" t="s">
        <v>2271</v>
      </c>
      <c r="C1155" s="52"/>
      <c r="D1155" s="107" t="s">
        <v>2302</v>
      </c>
      <c r="E1155" s="22" t="str">
        <f t="shared" ref="E1155:E1218" si="83">CONCATENATE(A1155,"PROG")</f>
        <v>SEJUSPPROG</v>
      </c>
      <c r="F1155" s="122" t="s">
        <v>886</v>
      </c>
      <c r="G1155" s="22" t="str">
        <f t="shared" si="80"/>
        <v>P146SEJUSP</v>
      </c>
      <c r="H1155" s="107" t="s">
        <v>2307</v>
      </c>
      <c r="I1155" s="22" t="s">
        <v>16</v>
      </c>
      <c r="J1155" s="107" t="s">
        <v>137</v>
      </c>
      <c r="K1155" s="22" t="str">
        <f>VLOOKUP(CONCATENATE(A1155,LEFT(J1155,4)),AGRUPAMENTO!$D$2:$E$6783,2,FALSE)</f>
        <v>Serviços de saúde e medicamentos</v>
      </c>
      <c r="L1155" s="107" t="s">
        <v>44</v>
      </c>
      <c r="M1155" s="52"/>
      <c r="N1155" s="52">
        <v>10</v>
      </c>
      <c r="O1155" s="107" t="s">
        <v>3275</v>
      </c>
      <c r="P1155" s="52" t="s">
        <v>46</v>
      </c>
      <c r="Q1155" s="107" t="s">
        <v>4095</v>
      </c>
      <c r="R1155" s="107">
        <v>28</v>
      </c>
      <c r="S1155" s="107" t="s">
        <v>3909</v>
      </c>
      <c r="T1155" s="239">
        <v>19.98</v>
      </c>
      <c r="U1155" s="107">
        <v>1</v>
      </c>
      <c r="V1155" s="58">
        <f t="shared" si="82"/>
        <v>559.44000000000005</v>
      </c>
      <c r="W1155" s="52" t="s">
        <v>49</v>
      </c>
      <c r="X1155" s="107" t="s">
        <v>5053</v>
      </c>
      <c r="Y1155" s="304" t="s">
        <v>5045</v>
      </c>
      <c r="Z1155" s="304" t="s">
        <v>5040</v>
      </c>
      <c r="AA1155" s="52">
        <v>0</v>
      </c>
      <c r="AB1155" s="52">
        <v>0</v>
      </c>
      <c r="AC1155" s="52">
        <v>0</v>
      </c>
      <c r="AD1155" s="21">
        <v>0.68827656736675979</v>
      </c>
      <c r="AE1155" s="54">
        <v>0.68827656736675979</v>
      </c>
      <c r="AF1155" s="315">
        <f t="shared" si="81"/>
        <v>385.04944284766015</v>
      </c>
    </row>
    <row r="1156" spans="1:32" ht="240" x14ac:dyDescent="0.25">
      <c r="A1156" s="107" t="s">
        <v>588</v>
      </c>
      <c r="B1156" s="107" t="s">
        <v>2271</v>
      </c>
      <c r="C1156" s="52"/>
      <c r="D1156" s="107" t="s">
        <v>2302</v>
      </c>
      <c r="E1156" s="22" t="str">
        <f t="shared" si="83"/>
        <v>SEJUSPPROG</v>
      </c>
      <c r="F1156" s="122" t="s">
        <v>886</v>
      </c>
      <c r="G1156" s="22" t="str">
        <f t="shared" ref="G1156:G1219" si="84">CONCATENATE("P",(LEFT(F1156,3)),A1156)</f>
        <v>P146SEJUSP</v>
      </c>
      <c r="H1156" s="107" t="s">
        <v>2307</v>
      </c>
      <c r="I1156" s="22" t="s">
        <v>16</v>
      </c>
      <c r="J1156" s="107" t="s">
        <v>1605</v>
      </c>
      <c r="K1156" s="22" t="str">
        <f>VLOOKUP(CONCATENATE(A1156,LEFT(J1156,4)),AGRUPAMENTO!$D$2:$E$6783,2,FALSE)</f>
        <v>Serviços de saúde e medicamentos</v>
      </c>
      <c r="L1156" s="107" t="s">
        <v>44</v>
      </c>
      <c r="M1156" s="52"/>
      <c r="N1156" s="52">
        <v>10</v>
      </c>
      <c r="O1156" s="107" t="s">
        <v>3276</v>
      </c>
      <c r="P1156" s="52" t="s">
        <v>46</v>
      </c>
      <c r="Q1156" s="107" t="s">
        <v>3872</v>
      </c>
      <c r="R1156" s="107">
        <v>42</v>
      </c>
      <c r="S1156" s="107" t="s">
        <v>3909</v>
      </c>
      <c r="T1156" s="239">
        <v>26.89</v>
      </c>
      <c r="U1156" s="107">
        <v>1</v>
      </c>
      <c r="V1156" s="58">
        <f t="shared" si="82"/>
        <v>1129.3800000000001</v>
      </c>
      <c r="W1156" s="52" t="s">
        <v>49</v>
      </c>
      <c r="X1156" s="107" t="s">
        <v>5054</v>
      </c>
      <c r="Y1156" s="304" t="s">
        <v>5039</v>
      </c>
      <c r="Z1156" s="304" t="s">
        <v>5040</v>
      </c>
      <c r="AA1156" s="52">
        <v>0</v>
      </c>
      <c r="AB1156" s="52">
        <v>0</v>
      </c>
      <c r="AC1156" s="52">
        <v>0</v>
      </c>
      <c r="AD1156" s="21">
        <v>0.68827656736675979</v>
      </c>
      <c r="AE1156" s="54">
        <v>0.68827656736675979</v>
      </c>
      <c r="AF1156" s="315">
        <f t="shared" ref="AF1156:AF1219" si="85">AE1156*V1156</f>
        <v>777.32578965267123</v>
      </c>
    </row>
    <row r="1157" spans="1:32" ht="240" x14ac:dyDescent="0.25">
      <c r="A1157" s="107" t="s">
        <v>588</v>
      </c>
      <c r="B1157" s="107" t="s">
        <v>2271</v>
      </c>
      <c r="C1157" s="52"/>
      <c r="D1157" s="107" t="s">
        <v>2302</v>
      </c>
      <c r="E1157" s="22" t="str">
        <f t="shared" si="83"/>
        <v>SEJUSPPROG</v>
      </c>
      <c r="F1157" s="122" t="s">
        <v>886</v>
      </c>
      <c r="G1157" s="22" t="str">
        <f t="shared" si="84"/>
        <v>P146SEJUSP</v>
      </c>
      <c r="H1157" s="107" t="s">
        <v>2307</v>
      </c>
      <c r="I1157" s="22" t="s">
        <v>16</v>
      </c>
      <c r="J1157" s="107" t="s">
        <v>2135</v>
      </c>
      <c r="K1157" s="22" t="str">
        <f>VLOOKUP(CONCATENATE(A1157,LEFT(J1157,4)),AGRUPAMENTO!$D$2:$E$6783,2,FALSE)</f>
        <v>Material de consumo</v>
      </c>
      <c r="L1157" s="107" t="s">
        <v>44</v>
      </c>
      <c r="M1157" s="52"/>
      <c r="N1157" s="52">
        <v>10</v>
      </c>
      <c r="O1157" s="107" t="s">
        <v>3277</v>
      </c>
      <c r="P1157" s="52" t="s">
        <v>46</v>
      </c>
      <c r="Q1157" s="107" t="s">
        <v>3872</v>
      </c>
      <c r="R1157" s="107">
        <v>329</v>
      </c>
      <c r="S1157" s="107" t="s">
        <v>3909</v>
      </c>
      <c r="T1157" s="239">
        <v>14.9</v>
      </c>
      <c r="U1157" s="107">
        <v>1</v>
      </c>
      <c r="V1157" s="58">
        <f t="shared" si="82"/>
        <v>4902.1000000000004</v>
      </c>
      <c r="W1157" s="52" t="s">
        <v>49</v>
      </c>
      <c r="X1157" s="107" t="s">
        <v>5043</v>
      </c>
      <c r="Y1157" s="304" t="s">
        <v>5045</v>
      </c>
      <c r="Z1157" s="304" t="s">
        <v>5040</v>
      </c>
      <c r="AA1157" s="52">
        <v>0</v>
      </c>
      <c r="AB1157" s="52">
        <v>0</v>
      </c>
      <c r="AC1157" s="52">
        <v>0</v>
      </c>
      <c r="AD1157" s="21">
        <v>0.66843255889259856</v>
      </c>
      <c r="AE1157" s="54">
        <v>0.66843255889259856</v>
      </c>
      <c r="AF1157" s="315">
        <f t="shared" si="85"/>
        <v>3276.7232469474075</v>
      </c>
    </row>
    <row r="1158" spans="1:32" ht="240" x14ac:dyDescent="0.25">
      <c r="A1158" s="107" t="s">
        <v>588</v>
      </c>
      <c r="B1158" s="107" t="s">
        <v>2271</v>
      </c>
      <c r="C1158" s="52"/>
      <c r="D1158" s="107" t="s">
        <v>2302</v>
      </c>
      <c r="E1158" s="22" t="str">
        <f t="shared" si="83"/>
        <v>SEJUSPPROG</v>
      </c>
      <c r="F1158" s="122" t="s">
        <v>886</v>
      </c>
      <c r="G1158" s="22" t="str">
        <f t="shared" si="84"/>
        <v>P146SEJUSP</v>
      </c>
      <c r="H1158" s="107" t="s">
        <v>2307</v>
      </c>
      <c r="I1158" s="22" t="s">
        <v>16</v>
      </c>
      <c r="J1158" s="107" t="s">
        <v>2135</v>
      </c>
      <c r="K1158" s="22" t="str">
        <f>VLOOKUP(CONCATENATE(A1158,LEFT(J1158,4)),AGRUPAMENTO!$D$2:$E$6783,2,FALSE)</f>
        <v>Material de consumo</v>
      </c>
      <c r="L1158" s="107" t="s">
        <v>44</v>
      </c>
      <c r="M1158" s="52"/>
      <c r="N1158" s="52">
        <v>10</v>
      </c>
      <c r="O1158" s="107" t="s">
        <v>3278</v>
      </c>
      <c r="P1158" s="52" t="s">
        <v>46</v>
      </c>
      <c r="Q1158" s="107" t="s">
        <v>3872</v>
      </c>
      <c r="R1158" s="107">
        <v>329</v>
      </c>
      <c r="S1158" s="107" t="s">
        <v>3909</v>
      </c>
      <c r="T1158" s="239">
        <v>13.9</v>
      </c>
      <c r="U1158" s="107">
        <v>1</v>
      </c>
      <c r="V1158" s="58">
        <f t="shared" si="82"/>
        <v>4573.1000000000004</v>
      </c>
      <c r="W1158" s="52" t="s">
        <v>49</v>
      </c>
      <c r="X1158" s="107" t="s">
        <v>5043</v>
      </c>
      <c r="Y1158" s="304" t="s">
        <v>5045</v>
      </c>
      <c r="Z1158" s="304" t="s">
        <v>5040</v>
      </c>
      <c r="AA1158" s="52">
        <v>0</v>
      </c>
      <c r="AB1158" s="52">
        <v>0</v>
      </c>
      <c r="AC1158" s="52">
        <v>0</v>
      </c>
      <c r="AD1158" s="21">
        <v>0.66843255889259856</v>
      </c>
      <c r="AE1158" s="54">
        <v>0.66843255889259856</v>
      </c>
      <c r="AF1158" s="315">
        <f t="shared" si="85"/>
        <v>3056.8089350717428</v>
      </c>
    </row>
    <row r="1159" spans="1:32" ht="240" x14ac:dyDescent="0.25">
      <c r="A1159" s="107" t="s">
        <v>588</v>
      </c>
      <c r="B1159" s="107" t="s">
        <v>2271</v>
      </c>
      <c r="C1159" s="52"/>
      <c r="D1159" s="107" t="s">
        <v>2302</v>
      </c>
      <c r="E1159" s="22" t="str">
        <f t="shared" si="83"/>
        <v>SEJUSPPROG</v>
      </c>
      <c r="F1159" s="122" t="s">
        <v>886</v>
      </c>
      <c r="G1159" s="22" t="str">
        <f t="shared" si="84"/>
        <v>P146SEJUSP</v>
      </c>
      <c r="H1159" s="107" t="s">
        <v>2307</v>
      </c>
      <c r="I1159" s="22" t="s">
        <v>16</v>
      </c>
      <c r="J1159" s="107" t="s">
        <v>2135</v>
      </c>
      <c r="K1159" s="22" t="str">
        <f>VLOOKUP(CONCATENATE(A1159,LEFT(J1159,4)),AGRUPAMENTO!$D$2:$E$6783,2,FALSE)</f>
        <v>Material de consumo</v>
      </c>
      <c r="L1159" s="107" t="s">
        <v>44</v>
      </c>
      <c r="M1159" s="52"/>
      <c r="N1159" s="52">
        <v>10</v>
      </c>
      <c r="O1159" s="107" t="s">
        <v>3279</v>
      </c>
      <c r="P1159" s="52" t="s">
        <v>46</v>
      </c>
      <c r="Q1159" s="107" t="s">
        <v>3872</v>
      </c>
      <c r="R1159" s="107">
        <v>480</v>
      </c>
      <c r="S1159" s="107" t="s">
        <v>3909</v>
      </c>
      <c r="T1159" s="239">
        <v>12.9</v>
      </c>
      <c r="U1159" s="107">
        <v>1</v>
      </c>
      <c r="V1159" s="58">
        <f t="shared" si="82"/>
        <v>6192</v>
      </c>
      <c r="W1159" s="52" t="s">
        <v>49</v>
      </c>
      <c r="X1159" s="107" t="s">
        <v>5043</v>
      </c>
      <c r="Y1159" s="304" t="s">
        <v>5045</v>
      </c>
      <c r="Z1159" s="304" t="s">
        <v>5040</v>
      </c>
      <c r="AA1159" s="52">
        <v>0</v>
      </c>
      <c r="AB1159" s="52">
        <v>0</v>
      </c>
      <c r="AC1159" s="52">
        <v>0</v>
      </c>
      <c r="AD1159" s="21">
        <v>0.66843255889259856</v>
      </c>
      <c r="AE1159" s="54">
        <v>0.66843255889259856</v>
      </c>
      <c r="AF1159" s="315">
        <f t="shared" si="85"/>
        <v>4138.9344046629703</v>
      </c>
    </row>
    <row r="1160" spans="1:32" ht="240" x14ac:dyDescent="0.25">
      <c r="A1160" s="107" t="s">
        <v>588</v>
      </c>
      <c r="B1160" s="107" t="s">
        <v>2271</v>
      </c>
      <c r="C1160" s="52"/>
      <c r="D1160" s="107" t="s">
        <v>2302</v>
      </c>
      <c r="E1160" s="22" t="str">
        <f t="shared" si="83"/>
        <v>SEJUSPPROG</v>
      </c>
      <c r="F1160" s="122" t="s">
        <v>886</v>
      </c>
      <c r="G1160" s="22" t="str">
        <f t="shared" si="84"/>
        <v>P146SEJUSP</v>
      </c>
      <c r="H1160" s="107" t="s">
        <v>2307</v>
      </c>
      <c r="I1160" s="22" t="s">
        <v>16</v>
      </c>
      <c r="J1160" s="107" t="s">
        <v>2135</v>
      </c>
      <c r="K1160" s="22" t="str">
        <f>VLOOKUP(CONCATENATE(A1160,LEFT(J1160,4)),AGRUPAMENTO!$D$2:$E$6783,2,FALSE)</f>
        <v>Material de consumo</v>
      </c>
      <c r="L1160" s="107" t="s">
        <v>44</v>
      </c>
      <c r="M1160" s="52"/>
      <c r="N1160" s="52">
        <v>10</v>
      </c>
      <c r="O1160" s="107" t="s">
        <v>3280</v>
      </c>
      <c r="P1160" s="52" t="s">
        <v>46</v>
      </c>
      <c r="Q1160" s="107" t="s">
        <v>3872</v>
      </c>
      <c r="R1160" s="107">
        <v>545</v>
      </c>
      <c r="S1160" s="107" t="s">
        <v>3909</v>
      </c>
      <c r="T1160" s="239">
        <v>12.9</v>
      </c>
      <c r="U1160" s="107">
        <v>1</v>
      </c>
      <c r="V1160" s="58">
        <f t="shared" si="82"/>
        <v>7030.5</v>
      </c>
      <c r="W1160" s="52" t="s">
        <v>49</v>
      </c>
      <c r="X1160" s="107" t="s">
        <v>5043</v>
      </c>
      <c r="Y1160" s="304" t="s">
        <v>5045</v>
      </c>
      <c r="Z1160" s="304" t="s">
        <v>5040</v>
      </c>
      <c r="AA1160" s="52">
        <v>0</v>
      </c>
      <c r="AB1160" s="52">
        <v>0</v>
      </c>
      <c r="AC1160" s="52">
        <v>0</v>
      </c>
      <c r="AD1160" s="21">
        <v>0.66843255889259856</v>
      </c>
      <c r="AE1160" s="54">
        <v>0.66843255889259856</v>
      </c>
      <c r="AF1160" s="315">
        <f t="shared" si="85"/>
        <v>4699.4151052944144</v>
      </c>
    </row>
    <row r="1161" spans="1:32" ht="240" x14ac:dyDescent="0.25">
      <c r="A1161" s="107" t="s">
        <v>588</v>
      </c>
      <c r="B1161" s="107" t="s">
        <v>2271</v>
      </c>
      <c r="C1161" s="52"/>
      <c r="D1161" s="107" t="s">
        <v>2302</v>
      </c>
      <c r="E1161" s="22" t="str">
        <f t="shared" si="83"/>
        <v>SEJUSPPROG</v>
      </c>
      <c r="F1161" s="122" t="s">
        <v>886</v>
      </c>
      <c r="G1161" s="22" t="str">
        <f t="shared" si="84"/>
        <v>P146SEJUSP</v>
      </c>
      <c r="H1161" s="107" t="s">
        <v>2307</v>
      </c>
      <c r="I1161" s="22" t="s">
        <v>16</v>
      </c>
      <c r="J1161" s="107" t="s">
        <v>2135</v>
      </c>
      <c r="K1161" s="22" t="str">
        <f>VLOOKUP(CONCATENATE(A1161,LEFT(J1161,4)),AGRUPAMENTO!$D$2:$E$6783,2,FALSE)</f>
        <v>Material de consumo</v>
      </c>
      <c r="L1161" s="107" t="s">
        <v>44</v>
      </c>
      <c r="M1161" s="52"/>
      <c r="N1161" s="52">
        <v>10</v>
      </c>
      <c r="O1161" s="107" t="s">
        <v>3281</v>
      </c>
      <c r="P1161" s="52" t="s">
        <v>46</v>
      </c>
      <c r="Q1161" s="107" t="s">
        <v>3872</v>
      </c>
      <c r="R1161" s="107">
        <v>545</v>
      </c>
      <c r="S1161" s="107" t="s">
        <v>3909</v>
      </c>
      <c r="T1161" s="239">
        <v>12.9</v>
      </c>
      <c r="U1161" s="107">
        <v>1</v>
      </c>
      <c r="V1161" s="58">
        <f t="shared" si="82"/>
        <v>7030.5</v>
      </c>
      <c r="W1161" s="52" t="s">
        <v>49</v>
      </c>
      <c r="X1161" s="107" t="s">
        <v>5043</v>
      </c>
      <c r="Y1161" s="304" t="s">
        <v>5045</v>
      </c>
      <c r="Z1161" s="304" t="s">
        <v>5040</v>
      </c>
      <c r="AA1161" s="52">
        <v>0</v>
      </c>
      <c r="AB1161" s="52">
        <v>0</v>
      </c>
      <c r="AC1161" s="52">
        <v>0</v>
      </c>
      <c r="AD1161" s="21">
        <v>0.66843255889259856</v>
      </c>
      <c r="AE1161" s="54">
        <v>0.66843255889259856</v>
      </c>
      <c r="AF1161" s="315">
        <f t="shared" si="85"/>
        <v>4699.4151052944144</v>
      </c>
    </row>
    <row r="1162" spans="1:32" ht="240" x14ac:dyDescent="0.25">
      <c r="A1162" s="107" t="s">
        <v>588</v>
      </c>
      <c r="B1162" s="107" t="s">
        <v>2271</v>
      </c>
      <c r="C1162" s="52"/>
      <c r="D1162" s="107" t="s">
        <v>2302</v>
      </c>
      <c r="E1162" s="22" t="str">
        <f t="shared" si="83"/>
        <v>SEJUSPPROG</v>
      </c>
      <c r="F1162" s="122" t="s">
        <v>886</v>
      </c>
      <c r="G1162" s="22" t="str">
        <f t="shared" si="84"/>
        <v>P146SEJUSP</v>
      </c>
      <c r="H1162" s="107" t="s">
        <v>2307</v>
      </c>
      <c r="I1162" s="22" t="s">
        <v>16</v>
      </c>
      <c r="J1162" s="107" t="s">
        <v>2135</v>
      </c>
      <c r="K1162" s="22" t="str">
        <f>VLOOKUP(CONCATENATE(A1162,LEFT(J1162,4)),AGRUPAMENTO!$D$2:$E$6783,2,FALSE)</f>
        <v>Material de consumo</v>
      </c>
      <c r="L1162" s="107" t="s">
        <v>44</v>
      </c>
      <c r="M1162" s="52"/>
      <c r="N1162" s="52">
        <v>10</v>
      </c>
      <c r="O1162" s="107" t="s">
        <v>3282</v>
      </c>
      <c r="P1162" s="52" t="s">
        <v>46</v>
      </c>
      <c r="Q1162" s="107" t="s">
        <v>3872</v>
      </c>
      <c r="R1162" s="107">
        <v>545</v>
      </c>
      <c r="S1162" s="107" t="s">
        <v>3909</v>
      </c>
      <c r="T1162" s="239">
        <v>12.9</v>
      </c>
      <c r="U1162" s="107">
        <v>1</v>
      </c>
      <c r="V1162" s="58">
        <f t="shared" si="82"/>
        <v>7030.5</v>
      </c>
      <c r="W1162" s="52" t="s">
        <v>49</v>
      </c>
      <c r="X1162" s="107" t="s">
        <v>5043</v>
      </c>
      <c r="Y1162" s="304" t="s">
        <v>5045</v>
      </c>
      <c r="Z1162" s="304" t="s">
        <v>5040</v>
      </c>
      <c r="AA1162" s="52">
        <v>0</v>
      </c>
      <c r="AB1162" s="52">
        <v>0</v>
      </c>
      <c r="AC1162" s="52">
        <v>0</v>
      </c>
      <c r="AD1162" s="21">
        <v>0.66843255889259856</v>
      </c>
      <c r="AE1162" s="54">
        <v>0.66843255889259856</v>
      </c>
      <c r="AF1162" s="315">
        <f t="shared" si="85"/>
        <v>4699.4151052944144</v>
      </c>
    </row>
    <row r="1163" spans="1:32" ht="240" x14ac:dyDescent="0.25">
      <c r="A1163" s="107" t="s">
        <v>588</v>
      </c>
      <c r="B1163" s="107" t="s">
        <v>2271</v>
      </c>
      <c r="C1163" s="52"/>
      <c r="D1163" s="107" t="s">
        <v>2302</v>
      </c>
      <c r="E1163" s="22" t="str">
        <f t="shared" si="83"/>
        <v>SEJUSPPROG</v>
      </c>
      <c r="F1163" s="122" t="s">
        <v>886</v>
      </c>
      <c r="G1163" s="22" t="str">
        <f t="shared" si="84"/>
        <v>P146SEJUSP</v>
      </c>
      <c r="H1163" s="107" t="s">
        <v>2307</v>
      </c>
      <c r="I1163" s="22" t="s">
        <v>16</v>
      </c>
      <c r="J1163" s="107" t="s">
        <v>2135</v>
      </c>
      <c r="K1163" s="22" t="str">
        <f>VLOOKUP(CONCATENATE(A1163,LEFT(J1163,4)),AGRUPAMENTO!$D$2:$E$6783,2,FALSE)</f>
        <v>Material de consumo</v>
      </c>
      <c r="L1163" s="107" t="s">
        <v>44</v>
      </c>
      <c r="M1163" s="52"/>
      <c r="N1163" s="52">
        <v>10</v>
      </c>
      <c r="O1163" s="107" t="s">
        <v>3283</v>
      </c>
      <c r="P1163" s="52" t="s">
        <v>46</v>
      </c>
      <c r="Q1163" s="107" t="s">
        <v>3872</v>
      </c>
      <c r="R1163" s="107">
        <v>329</v>
      </c>
      <c r="S1163" s="107" t="s">
        <v>3909</v>
      </c>
      <c r="T1163" s="239">
        <v>11.9</v>
      </c>
      <c r="U1163" s="107">
        <v>1</v>
      </c>
      <c r="V1163" s="58">
        <f t="shared" si="82"/>
        <v>3915.1</v>
      </c>
      <c r="W1163" s="52" t="s">
        <v>49</v>
      </c>
      <c r="X1163" s="107" t="s">
        <v>5043</v>
      </c>
      <c r="Y1163" s="304" t="s">
        <v>5045</v>
      </c>
      <c r="Z1163" s="304" t="s">
        <v>5040</v>
      </c>
      <c r="AA1163" s="52">
        <v>0</v>
      </c>
      <c r="AB1163" s="52">
        <v>0</v>
      </c>
      <c r="AC1163" s="52">
        <v>0</v>
      </c>
      <c r="AD1163" s="21">
        <v>0.66843255889259856</v>
      </c>
      <c r="AE1163" s="54">
        <v>0.66843255889259856</v>
      </c>
      <c r="AF1163" s="315">
        <f t="shared" si="85"/>
        <v>2616.9803113204125</v>
      </c>
    </row>
    <row r="1164" spans="1:32" ht="240" x14ac:dyDescent="0.25">
      <c r="A1164" s="107" t="s">
        <v>588</v>
      </c>
      <c r="B1164" s="107" t="s">
        <v>2271</v>
      </c>
      <c r="C1164" s="52"/>
      <c r="D1164" s="107" t="s">
        <v>2302</v>
      </c>
      <c r="E1164" s="22" t="str">
        <f t="shared" si="83"/>
        <v>SEJUSPPROG</v>
      </c>
      <c r="F1164" s="122" t="s">
        <v>886</v>
      </c>
      <c r="G1164" s="22" t="str">
        <f t="shared" si="84"/>
        <v>P146SEJUSP</v>
      </c>
      <c r="H1164" s="107" t="s">
        <v>2307</v>
      </c>
      <c r="I1164" s="22" t="s">
        <v>16</v>
      </c>
      <c r="J1164" s="107" t="s">
        <v>2135</v>
      </c>
      <c r="K1164" s="22" t="str">
        <f>VLOOKUP(CONCATENATE(A1164,LEFT(J1164,4)),AGRUPAMENTO!$D$2:$E$6783,2,FALSE)</f>
        <v>Material de consumo</v>
      </c>
      <c r="L1164" s="107" t="s">
        <v>44</v>
      </c>
      <c r="M1164" s="52"/>
      <c r="N1164" s="52">
        <v>10</v>
      </c>
      <c r="O1164" s="107" t="s">
        <v>3284</v>
      </c>
      <c r="P1164" s="52" t="s">
        <v>46</v>
      </c>
      <c r="Q1164" s="107" t="s">
        <v>3872</v>
      </c>
      <c r="R1164" s="107">
        <v>329</v>
      </c>
      <c r="S1164" s="107" t="s">
        <v>3909</v>
      </c>
      <c r="T1164" s="239">
        <v>11.9</v>
      </c>
      <c r="U1164" s="107">
        <v>1</v>
      </c>
      <c r="V1164" s="58">
        <f t="shared" si="82"/>
        <v>3915.1</v>
      </c>
      <c r="W1164" s="52" t="s">
        <v>49</v>
      </c>
      <c r="X1164" s="107" t="s">
        <v>5043</v>
      </c>
      <c r="Y1164" s="304" t="s">
        <v>5045</v>
      </c>
      <c r="Z1164" s="304" t="s">
        <v>5040</v>
      </c>
      <c r="AA1164" s="52">
        <v>0</v>
      </c>
      <c r="AB1164" s="52">
        <v>0</v>
      </c>
      <c r="AC1164" s="52">
        <v>0</v>
      </c>
      <c r="AD1164" s="21">
        <v>0.66843255889259856</v>
      </c>
      <c r="AE1164" s="54">
        <v>0.66843255889259856</v>
      </c>
      <c r="AF1164" s="315">
        <f t="shared" si="85"/>
        <v>2616.9803113204125</v>
      </c>
    </row>
    <row r="1165" spans="1:32" ht="240" x14ac:dyDescent="0.25">
      <c r="A1165" s="107" t="s">
        <v>588</v>
      </c>
      <c r="B1165" s="107" t="s">
        <v>2271</v>
      </c>
      <c r="C1165" s="52"/>
      <c r="D1165" s="107" t="s">
        <v>2302</v>
      </c>
      <c r="E1165" s="22" t="str">
        <f t="shared" si="83"/>
        <v>SEJUSPPROG</v>
      </c>
      <c r="F1165" s="122" t="s">
        <v>886</v>
      </c>
      <c r="G1165" s="22" t="str">
        <f t="shared" si="84"/>
        <v>P146SEJUSP</v>
      </c>
      <c r="H1165" s="107" t="s">
        <v>2307</v>
      </c>
      <c r="I1165" s="22" t="s">
        <v>16</v>
      </c>
      <c r="J1165" s="107" t="s">
        <v>2135</v>
      </c>
      <c r="K1165" s="22" t="str">
        <f>VLOOKUP(CONCATENATE(A1165,LEFT(J1165,4)),AGRUPAMENTO!$D$2:$E$6783,2,FALSE)</f>
        <v>Material de consumo</v>
      </c>
      <c r="L1165" s="107" t="s">
        <v>44</v>
      </c>
      <c r="M1165" s="52"/>
      <c r="N1165" s="52">
        <v>10</v>
      </c>
      <c r="O1165" s="107" t="s">
        <v>3285</v>
      </c>
      <c r="P1165" s="52" t="s">
        <v>46</v>
      </c>
      <c r="Q1165" s="107" t="s">
        <v>3872</v>
      </c>
      <c r="R1165" s="107">
        <v>329</v>
      </c>
      <c r="S1165" s="107" t="s">
        <v>3909</v>
      </c>
      <c r="T1165" s="239">
        <v>13.9</v>
      </c>
      <c r="U1165" s="107">
        <v>1</v>
      </c>
      <c r="V1165" s="58">
        <f t="shared" si="82"/>
        <v>4573.1000000000004</v>
      </c>
      <c r="W1165" s="52" t="s">
        <v>49</v>
      </c>
      <c r="X1165" s="107" t="s">
        <v>5043</v>
      </c>
      <c r="Y1165" s="304" t="s">
        <v>5045</v>
      </c>
      <c r="Z1165" s="304" t="s">
        <v>5040</v>
      </c>
      <c r="AA1165" s="52">
        <v>0</v>
      </c>
      <c r="AB1165" s="52">
        <v>0</v>
      </c>
      <c r="AC1165" s="52">
        <v>0</v>
      </c>
      <c r="AD1165" s="21">
        <v>0.66843255889259856</v>
      </c>
      <c r="AE1165" s="54">
        <v>0.66843255889259856</v>
      </c>
      <c r="AF1165" s="315">
        <f t="shared" si="85"/>
        <v>3056.8089350717428</v>
      </c>
    </row>
    <row r="1166" spans="1:32" ht="240" x14ac:dyDescent="0.25">
      <c r="A1166" s="107" t="s">
        <v>588</v>
      </c>
      <c r="B1166" s="107" t="s">
        <v>2271</v>
      </c>
      <c r="C1166" s="52"/>
      <c r="D1166" s="107" t="s">
        <v>2302</v>
      </c>
      <c r="E1166" s="22" t="str">
        <f t="shared" si="83"/>
        <v>SEJUSPPROG</v>
      </c>
      <c r="F1166" s="122" t="s">
        <v>886</v>
      </c>
      <c r="G1166" s="22" t="str">
        <f t="shared" si="84"/>
        <v>P146SEJUSP</v>
      </c>
      <c r="H1166" s="107" t="s">
        <v>2307</v>
      </c>
      <c r="I1166" s="22" t="s">
        <v>16</v>
      </c>
      <c r="J1166" s="107" t="s">
        <v>2135</v>
      </c>
      <c r="K1166" s="22" t="str">
        <f>VLOOKUP(CONCATENATE(A1166,LEFT(J1166,4)),AGRUPAMENTO!$D$2:$E$6783,2,FALSE)</f>
        <v>Material de consumo</v>
      </c>
      <c r="L1166" s="107" t="s">
        <v>44</v>
      </c>
      <c r="M1166" s="52"/>
      <c r="N1166" s="52">
        <v>10</v>
      </c>
      <c r="O1166" s="107" t="s">
        <v>3286</v>
      </c>
      <c r="P1166" s="52" t="s">
        <v>46</v>
      </c>
      <c r="Q1166" s="107" t="s">
        <v>3872</v>
      </c>
      <c r="R1166" s="107">
        <v>329</v>
      </c>
      <c r="S1166" s="107" t="s">
        <v>3909</v>
      </c>
      <c r="T1166" s="239">
        <v>897</v>
      </c>
      <c r="U1166" s="107">
        <v>1</v>
      </c>
      <c r="V1166" s="58">
        <f t="shared" si="82"/>
        <v>295113</v>
      </c>
      <c r="W1166" s="52" t="s">
        <v>49</v>
      </c>
      <c r="X1166" s="107" t="s">
        <v>5043</v>
      </c>
      <c r="Y1166" s="304" t="s">
        <v>5045</v>
      </c>
      <c r="Z1166" s="304" t="s">
        <v>5040</v>
      </c>
      <c r="AA1166" s="52">
        <v>0</v>
      </c>
      <c r="AB1166" s="52">
        <v>0</v>
      </c>
      <c r="AC1166" s="52">
        <v>0</v>
      </c>
      <c r="AD1166" s="21">
        <v>0.66843255889259856</v>
      </c>
      <c r="AE1166" s="54">
        <v>0.66843255889259856</v>
      </c>
      <c r="AF1166" s="315">
        <f t="shared" si="85"/>
        <v>197263.13775247143</v>
      </c>
    </row>
    <row r="1167" spans="1:32" ht="240" x14ac:dyDescent="0.25">
      <c r="A1167" s="107" t="s">
        <v>588</v>
      </c>
      <c r="B1167" s="107" t="s">
        <v>2271</v>
      </c>
      <c r="C1167" s="52"/>
      <c r="D1167" s="107" t="s">
        <v>2302</v>
      </c>
      <c r="E1167" s="22" t="str">
        <f t="shared" si="83"/>
        <v>SEJUSPPROG</v>
      </c>
      <c r="F1167" s="122" t="s">
        <v>886</v>
      </c>
      <c r="G1167" s="22" t="str">
        <f t="shared" si="84"/>
        <v>P146SEJUSP</v>
      </c>
      <c r="H1167" s="107" t="s">
        <v>2307</v>
      </c>
      <c r="I1167" s="22" t="s">
        <v>16</v>
      </c>
      <c r="J1167" s="107" t="s">
        <v>2135</v>
      </c>
      <c r="K1167" s="22" t="str">
        <f>VLOOKUP(CONCATENATE(A1167,LEFT(J1167,4)),AGRUPAMENTO!$D$2:$E$6783,2,FALSE)</f>
        <v>Material de consumo</v>
      </c>
      <c r="L1167" s="107" t="s">
        <v>44</v>
      </c>
      <c r="M1167" s="52"/>
      <c r="N1167" s="52">
        <v>10</v>
      </c>
      <c r="O1167" s="107" t="s">
        <v>3287</v>
      </c>
      <c r="P1167" s="52" t="s">
        <v>46</v>
      </c>
      <c r="Q1167" s="107" t="s">
        <v>3872</v>
      </c>
      <c r="R1167" s="107">
        <v>329</v>
      </c>
      <c r="S1167" s="107" t="s">
        <v>3909</v>
      </c>
      <c r="T1167" s="239">
        <v>5.91</v>
      </c>
      <c r="U1167" s="107">
        <v>1</v>
      </c>
      <c r="V1167" s="58">
        <f t="shared" si="82"/>
        <v>1944.39</v>
      </c>
      <c r="W1167" s="52" t="s">
        <v>49</v>
      </c>
      <c r="X1167" s="107" t="s">
        <v>5043</v>
      </c>
      <c r="Y1167" s="304" t="s">
        <v>5045</v>
      </c>
      <c r="Z1167" s="304" t="s">
        <v>5040</v>
      </c>
      <c r="AA1167" s="52">
        <v>0</v>
      </c>
      <c r="AB1167" s="52">
        <v>0</v>
      </c>
      <c r="AC1167" s="52">
        <v>0</v>
      </c>
      <c r="AD1167" s="21">
        <v>0.66843255889259856</v>
      </c>
      <c r="AE1167" s="54">
        <v>0.66843255889259856</v>
      </c>
      <c r="AF1167" s="315">
        <f t="shared" si="85"/>
        <v>1299.6935831851797</v>
      </c>
    </row>
    <row r="1168" spans="1:32" ht="240" x14ac:dyDescent="0.25">
      <c r="A1168" s="107" t="s">
        <v>588</v>
      </c>
      <c r="B1168" s="107" t="s">
        <v>2271</v>
      </c>
      <c r="C1168" s="52"/>
      <c r="D1168" s="107" t="s">
        <v>2302</v>
      </c>
      <c r="E1168" s="22" t="str">
        <f t="shared" si="83"/>
        <v>SEJUSPPROG</v>
      </c>
      <c r="F1168" s="122" t="s">
        <v>886</v>
      </c>
      <c r="G1168" s="22" t="str">
        <f t="shared" si="84"/>
        <v>P146SEJUSP</v>
      </c>
      <c r="H1168" s="107" t="s">
        <v>2307</v>
      </c>
      <c r="I1168" s="22" t="s">
        <v>16</v>
      </c>
      <c r="J1168" s="107" t="s">
        <v>2135</v>
      </c>
      <c r="K1168" s="22" t="str">
        <f>VLOOKUP(CONCATENATE(A1168,LEFT(J1168,4)),AGRUPAMENTO!$D$2:$E$6783,2,FALSE)</f>
        <v>Material de consumo</v>
      </c>
      <c r="L1168" s="107" t="s">
        <v>44</v>
      </c>
      <c r="M1168" s="52"/>
      <c r="N1168" s="52">
        <v>10</v>
      </c>
      <c r="O1168" s="107" t="s">
        <v>3288</v>
      </c>
      <c r="P1168" s="52" t="s">
        <v>46</v>
      </c>
      <c r="Q1168" s="107" t="s">
        <v>3872</v>
      </c>
      <c r="R1168" s="107">
        <v>329</v>
      </c>
      <c r="S1168" s="107" t="s">
        <v>3909</v>
      </c>
      <c r="T1168" s="239">
        <v>8.89</v>
      </c>
      <c r="U1168" s="107">
        <v>1</v>
      </c>
      <c r="V1168" s="58">
        <f t="shared" si="82"/>
        <v>2924.8100000000004</v>
      </c>
      <c r="W1168" s="52" t="s">
        <v>49</v>
      </c>
      <c r="X1168" s="107" t="s">
        <v>5043</v>
      </c>
      <c r="Y1168" s="304" t="s">
        <v>5045</v>
      </c>
      <c r="Z1168" s="304" t="s">
        <v>5040</v>
      </c>
      <c r="AA1168" s="52">
        <v>0</v>
      </c>
      <c r="AB1168" s="52">
        <v>0</v>
      </c>
      <c r="AC1168" s="52">
        <v>0</v>
      </c>
      <c r="AD1168" s="21">
        <v>0.66843255889259856</v>
      </c>
      <c r="AE1168" s="54">
        <v>0.66843255889259856</v>
      </c>
      <c r="AF1168" s="315">
        <f t="shared" si="85"/>
        <v>1955.0382325746614</v>
      </c>
    </row>
    <row r="1169" spans="1:32" ht="240" x14ac:dyDescent="0.25">
      <c r="A1169" s="107" t="s">
        <v>588</v>
      </c>
      <c r="B1169" s="107" t="s">
        <v>2271</v>
      </c>
      <c r="C1169" s="52"/>
      <c r="D1169" s="107" t="s">
        <v>2302</v>
      </c>
      <c r="E1169" s="22" t="str">
        <f t="shared" si="83"/>
        <v>SEJUSPPROG</v>
      </c>
      <c r="F1169" s="122" t="s">
        <v>886</v>
      </c>
      <c r="G1169" s="22" t="str">
        <f t="shared" si="84"/>
        <v>P146SEJUSP</v>
      </c>
      <c r="H1169" s="107" t="s">
        <v>2307</v>
      </c>
      <c r="I1169" s="22" t="s">
        <v>16</v>
      </c>
      <c r="J1169" s="107" t="s">
        <v>2135</v>
      </c>
      <c r="K1169" s="22" t="str">
        <f>VLOOKUP(CONCATENATE(A1169,LEFT(J1169,4)),AGRUPAMENTO!$D$2:$E$6783,2,FALSE)</f>
        <v>Material de consumo</v>
      </c>
      <c r="L1169" s="107" t="s">
        <v>44</v>
      </c>
      <c r="M1169" s="52"/>
      <c r="N1169" s="52">
        <v>10</v>
      </c>
      <c r="O1169" s="107" t="s">
        <v>3289</v>
      </c>
      <c r="P1169" s="52" t="s">
        <v>46</v>
      </c>
      <c r="Q1169" s="107" t="s">
        <v>3872</v>
      </c>
      <c r="R1169" s="107">
        <v>329</v>
      </c>
      <c r="S1169" s="107" t="s">
        <v>3909</v>
      </c>
      <c r="T1169" s="239">
        <v>13.9</v>
      </c>
      <c r="U1169" s="107">
        <v>1</v>
      </c>
      <c r="V1169" s="58">
        <f t="shared" si="82"/>
        <v>4573.1000000000004</v>
      </c>
      <c r="W1169" s="52" t="s">
        <v>49</v>
      </c>
      <c r="X1169" s="107" t="s">
        <v>5043</v>
      </c>
      <c r="Y1169" s="304" t="s">
        <v>5045</v>
      </c>
      <c r="Z1169" s="304" t="s">
        <v>5040</v>
      </c>
      <c r="AA1169" s="52">
        <v>0</v>
      </c>
      <c r="AB1169" s="52">
        <v>0</v>
      </c>
      <c r="AC1169" s="52">
        <v>0</v>
      </c>
      <c r="AD1169" s="21">
        <v>0.66843255889259856</v>
      </c>
      <c r="AE1169" s="54">
        <v>0.66843255889259856</v>
      </c>
      <c r="AF1169" s="315">
        <f t="shared" si="85"/>
        <v>3056.8089350717428</v>
      </c>
    </row>
    <row r="1170" spans="1:32" ht="240" x14ac:dyDescent="0.25">
      <c r="A1170" s="107" t="s">
        <v>588</v>
      </c>
      <c r="B1170" s="107" t="s">
        <v>2271</v>
      </c>
      <c r="C1170" s="52"/>
      <c r="D1170" s="107" t="s">
        <v>2302</v>
      </c>
      <c r="E1170" s="22" t="str">
        <f t="shared" si="83"/>
        <v>SEJUSPPROG</v>
      </c>
      <c r="F1170" s="122" t="s">
        <v>886</v>
      </c>
      <c r="G1170" s="22" t="str">
        <f t="shared" si="84"/>
        <v>P146SEJUSP</v>
      </c>
      <c r="H1170" s="107" t="s">
        <v>2307</v>
      </c>
      <c r="I1170" s="22" t="s">
        <v>16</v>
      </c>
      <c r="J1170" s="107" t="s">
        <v>2135</v>
      </c>
      <c r="K1170" s="22" t="str">
        <f>VLOOKUP(CONCATENATE(A1170,LEFT(J1170,4)),AGRUPAMENTO!$D$2:$E$6783,2,FALSE)</f>
        <v>Material de consumo</v>
      </c>
      <c r="L1170" s="107" t="s">
        <v>44</v>
      </c>
      <c r="M1170" s="52"/>
      <c r="N1170" s="52">
        <v>10</v>
      </c>
      <c r="O1170" s="107" t="s">
        <v>3290</v>
      </c>
      <c r="P1170" s="52" t="s">
        <v>46</v>
      </c>
      <c r="Q1170" s="107" t="s">
        <v>3872</v>
      </c>
      <c r="R1170" s="107">
        <v>329</v>
      </c>
      <c r="S1170" s="107" t="s">
        <v>3909</v>
      </c>
      <c r="T1170" s="239">
        <v>8.9</v>
      </c>
      <c r="U1170" s="107">
        <v>1</v>
      </c>
      <c r="V1170" s="58">
        <f t="shared" si="82"/>
        <v>2928.1</v>
      </c>
      <c r="W1170" s="52" t="s">
        <v>49</v>
      </c>
      <c r="X1170" s="107" t="s">
        <v>5043</v>
      </c>
      <c r="Y1170" s="304" t="s">
        <v>5045</v>
      </c>
      <c r="Z1170" s="304" t="s">
        <v>5040</v>
      </c>
      <c r="AA1170" s="52">
        <v>0</v>
      </c>
      <c r="AB1170" s="52">
        <v>0</v>
      </c>
      <c r="AC1170" s="52">
        <v>0</v>
      </c>
      <c r="AD1170" s="21">
        <v>0.66843255889259856</v>
      </c>
      <c r="AE1170" s="54">
        <v>0.66843255889259856</v>
      </c>
      <c r="AF1170" s="315">
        <f t="shared" si="85"/>
        <v>1957.2373756934178</v>
      </c>
    </row>
    <row r="1171" spans="1:32" ht="240" x14ac:dyDescent="0.25">
      <c r="A1171" s="107" t="s">
        <v>588</v>
      </c>
      <c r="B1171" s="107" t="s">
        <v>2271</v>
      </c>
      <c r="C1171" s="52"/>
      <c r="D1171" s="107" t="s">
        <v>2302</v>
      </c>
      <c r="E1171" s="22" t="str">
        <f t="shared" si="83"/>
        <v>SEJUSPPROG</v>
      </c>
      <c r="F1171" s="122" t="s">
        <v>886</v>
      </c>
      <c r="G1171" s="22" t="str">
        <f t="shared" si="84"/>
        <v>P146SEJUSP</v>
      </c>
      <c r="H1171" s="107" t="s">
        <v>2307</v>
      </c>
      <c r="I1171" s="22" t="s">
        <v>16</v>
      </c>
      <c r="J1171" s="107" t="s">
        <v>2135</v>
      </c>
      <c r="K1171" s="22" t="str">
        <f>VLOOKUP(CONCATENATE(A1171,LEFT(J1171,4)),AGRUPAMENTO!$D$2:$E$6783,2,FALSE)</f>
        <v>Material de consumo</v>
      </c>
      <c r="L1171" s="107" t="s">
        <v>44</v>
      </c>
      <c r="M1171" s="52"/>
      <c r="N1171" s="52">
        <v>10</v>
      </c>
      <c r="O1171" s="107" t="s">
        <v>3291</v>
      </c>
      <c r="P1171" s="52" t="s">
        <v>46</v>
      </c>
      <c r="Q1171" s="107" t="s">
        <v>3872</v>
      </c>
      <c r="R1171" s="107">
        <v>329</v>
      </c>
      <c r="S1171" s="107" t="s">
        <v>3909</v>
      </c>
      <c r="T1171" s="239">
        <v>13.9</v>
      </c>
      <c r="U1171" s="107">
        <v>1</v>
      </c>
      <c r="V1171" s="58">
        <f t="shared" si="82"/>
        <v>4573.1000000000004</v>
      </c>
      <c r="W1171" s="52" t="s">
        <v>49</v>
      </c>
      <c r="X1171" s="107" t="s">
        <v>5043</v>
      </c>
      <c r="Y1171" s="304" t="s">
        <v>5045</v>
      </c>
      <c r="Z1171" s="304" t="s">
        <v>5040</v>
      </c>
      <c r="AA1171" s="52">
        <v>0</v>
      </c>
      <c r="AB1171" s="52">
        <v>0</v>
      </c>
      <c r="AC1171" s="52">
        <v>0</v>
      </c>
      <c r="AD1171" s="21">
        <v>0.66843255889259856</v>
      </c>
      <c r="AE1171" s="54">
        <v>0.66843255889259856</v>
      </c>
      <c r="AF1171" s="315">
        <f t="shared" si="85"/>
        <v>3056.8089350717428</v>
      </c>
    </row>
    <row r="1172" spans="1:32" ht="240" x14ac:dyDescent="0.25">
      <c r="A1172" s="107" t="s">
        <v>588</v>
      </c>
      <c r="B1172" s="107" t="s">
        <v>2271</v>
      </c>
      <c r="C1172" s="52"/>
      <c r="D1172" s="107" t="s">
        <v>2302</v>
      </c>
      <c r="E1172" s="22" t="str">
        <f t="shared" si="83"/>
        <v>SEJUSPPROG</v>
      </c>
      <c r="F1172" s="122" t="s">
        <v>886</v>
      </c>
      <c r="G1172" s="22" t="str">
        <f t="shared" si="84"/>
        <v>P146SEJUSP</v>
      </c>
      <c r="H1172" s="107" t="s">
        <v>2307</v>
      </c>
      <c r="I1172" s="22" t="s">
        <v>16</v>
      </c>
      <c r="J1172" s="107" t="s">
        <v>2135</v>
      </c>
      <c r="K1172" s="22" t="str">
        <f>VLOOKUP(CONCATENATE(A1172,LEFT(J1172,4)),AGRUPAMENTO!$D$2:$E$6783,2,FALSE)</f>
        <v>Material de consumo</v>
      </c>
      <c r="L1172" s="107" t="s">
        <v>44</v>
      </c>
      <c r="M1172" s="52"/>
      <c r="N1172" s="52">
        <v>10</v>
      </c>
      <c r="O1172" s="107" t="s">
        <v>3292</v>
      </c>
      <c r="P1172" s="52" t="s">
        <v>46</v>
      </c>
      <c r="Q1172" s="107" t="s">
        <v>3872</v>
      </c>
      <c r="R1172" s="107">
        <v>329</v>
      </c>
      <c r="S1172" s="107" t="s">
        <v>3909</v>
      </c>
      <c r="T1172" s="239">
        <v>9.34</v>
      </c>
      <c r="U1172" s="107">
        <v>1</v>
      </c>
      <c r="V1172" s="58">
        <f t="shared" si="82"/>
        <v>3072.86</v>
      </c>
      <c r="W1172" s="52" t="s">
        <v>49</v>
      </c>
      <c r="X1172" s="107" t="s">
        <v>5043</v>
      </c>
      <c r="Y1172" s="304" t="s">
        <v>5045</v>
      </c>
      <c r="Z1172" s="304" t="s">
        <v>5040</v>
      </c>
      <c r="AA1172" s="52">
        <v>0</v>
      </c>
      <c r="AB1172" s="52">
        <v>0</v>
      </c>
      <c r="AC1172" s="52">
        <v>0</v>
      </c>
      <c r="AD1172" s="21">
        <v>0.66843255889259856</v>
      </c>
      <c r="AE1172" s="54">
        <v>0.66843255889259856</v>
      </c>
      <c r="AF1172" s="315">
        <f t="shared" si="85"/>
        <v>2053.9996729187105</v>
      </c>
    </row>
    <row r="1173" spans="1:32" ht="240" x14ac:dyDescent="0.25">
      <c r="A1173" s="107" t="s">
        <v>588</v>
      </c>
      <c r="B1173" s="107" t="s">
        <v>2271</v>
      </c>
      <c r="C1173" s="52"/>
      <c r="D1173" s="107" t="s">
        <v>2302</v>
      </c>
      <c r="E1173" s="22" t="str">
        <f t="shared" si="83"/>
        <v>SEJUSPPROG</v>
      </c>
      <c r="F1173" s="122" t="s">
        <v>886</v>
      </c>
      <c r="G1173" s="22" t="str">
        <f t="shared" si="84"/>
        <v>P146SEJUSP</v>
      </c>
      <c r="H1173" s="107" t="s">
        <v>2307</v>
      </c>
      <c r="I1173" s="22" t="s">
        <v>16</v>
      </c>
      <c r="J1173" s="107" t="s">
        <v>2135</v>
      </c>
      <c r="K1173" s="22" t="str">
        <f>VLOOKUP(CONCATENATE(A1173,LEFT(J1173,4)),AGRUPAMENTO!$D$2:$E$6783,2,FALSE)</f>
        <v>Material de consumo</v>
      </c>
      <c r="L1173" s="107" t="s">
        <v>44</v>
      </c>
      <c r="M1173" s="52"/>
      <c r="N1173" s="52">
        <v>10</v>
      </c>
      <c r="O1173" s="107" t="s">
        <v>3293</v>
      </c>
      <c r="P1173" s="52" t="s">
        <v>46</v>
      </c>
      <c r="Q1173" s="107" t="s">
        <v>3872</v>
      </c>
      <c r="R1173" s="107">
        <v>329</v>
      </c>
      <c r="S1173" s="107" t="s">
        <v>3909</v>
      </c>
      <c r="T1173" s="239">
        <v>3.53</v>
      </c>
      <c r="U1173" s="107">
        <v>1</v>
      </c>
      <c r="V1173" s="58">
        <f t="shared" si="82"/>
        <v>1161.3699999999999</v>
      </c>
      <c r="W1173" s="52" t="s">
        <v>49</v>
      </c>
      <c r="X1173" s="107" t="s">
        <v>5043</v>
      </c>
      <c r="Y1173" s="304" t="s">
        <v>5045</v>
      </c>
      <c r="Z1173" s="304" t="s">
        <v>5040</v>
      </c>
      <c r="AA1173" s="52">
        <v>0</v>
      </c>
      <c r="AB1173" s="52">
        <v>0</v>
      </c>
      <c r="AC1173" s="52">
        <v>0</v>
      </c>
      <c r="AD1173" s="21">
        <v>0.66843255889259856</v>
      </c>
      <c r="AE1173" s="54">
        <v>0.66843255889259856</v>
      </c>
      <c r="AF1173" s="315">
        <f t="shared" si="85"/>
        <v>776.29752092109709</v>
      </c>
    </row>
    <row r="1174" spans="1:32" ht="240" x14ac:dyDescent="0.25">
      <c r="A1174" s="107" t="s">
        <v>588</v>
      </c>
      <c r="B1174" s="107" t="s">
        <v>2271</v>
      </c>
      <c r="C1174" s="52"/>
      <c r="D1174" s="107" t="s">
        <v>2302</v>
      </c>
      <c r="E1174" s="22" t="str">
        <f t="shared" si="83"/>
        <v>SEJUSPPROG</v>
      </c>
      <c r="F1174" s="122" t="s">
        <v>886</v>
      </c>
      <c r="G1174" s="22" t="str">
        <f t="shared" si="84"/>
        <v>P146SEJUSP</v>
      </c>
      <c r="H1174" s="107" t="s">
        <v>2307</v>
      </c>
      <c r="I1174" s="22" t="s">
        <v>16</v>
      </c>
      <c r="J1174" s="107" t="s">
        <v>2135</v>
      </c>
      <c r="K1174" s="22" t="str">
        <f>VLOOKUP(CONCATENATE(A1174,LEFT(J1174,4)),AGRUPAMENTO!$D$2:$E$6783,2,FALSE)</f>
        <v>Material de consumo</v>
      </c>
      <c r="L1174" s="107" t="s">
        <v>44</v>
      </c>
      <c r="M1174" s="52"/>
      <c r="N1174" s="52">
        <v>10</v>
      </c>
      <c r="O1174" s="107" t="s">
        <v>3294</v>
      </c>
      <c r="P1174" s="52" t="s">
        <v>46</v>
      </c>
      <c r="Q1174" s="107" t="s">
        <v>3872</v>
      </c>
      <c r="R1174" s="107">
        <v>329</v>
      </c>
      <c r="S1174" s="107" t="s">
        <v>3909</v>
      </c>
      <c r="T1174" s="239">
        <v>7.2</v>
      </c>
      <c r="U1174" s="107">
        <v>1</v>
      </c>
      <c r="V1174" s="58">
        <f t="shared" si="82"/>
        <v>2368.8000000000002</v>
      </c>
      <c r="W1174" s="52" t="s">
        <v>49</v>
      </c>
      <c r="X1174" s="107" t="s">
        <v>5043</v>
      </c>
      <c r="Y1174" s="304" t="s">
        <v>5045</v>
      </c>
      <c r="Z1174" s="304" t="s">
        <v>5040</v>
      </c>
      <c r="AA1174" s="52">
        <v>0</v>
      </c>
      <c r="AB1174" s="52">
        <v>0</v>
      </c>
      <c r="AC1174" s="52">
        <v>0</v>
      </c>
      <c r="AD1174" s="21">
        <v>0.66843255889259856</v>
      </c>
      <c r="AE1174" s="54">
        <v>0.66843255889259856</v>
      </c>
      <c r="AF1174" s="315">
        <f t="shared" si="85"/>
        <v>1583.3830455047876</v>
      </c>
    </row>
    <row r="1175" spans="1:32" ht="240" x14ac:dyDescent="0.25">
      <c r="A1175" s="107" t="s">
        <v>588</v>
      </c>
      <c r="B1175" s="107" t="s">
        <v>2271</v>
      </c>
      <c r="C1175" s="52"/>
      <c r="D1175" s="107" t="s">
        <v>2302</v>
      </c>
      <c r="E1175" s="22" t="str">
        <f t="shared" si="83"/>
        <v>SEJUSPPROG</v>
      </c>
      <c r="F1175" s="122" t="s">
        <v>886</v>
      </c>
      <c r="G1175" s="22" t="str">
        <f t="shared" si="84"/>
        <v>P146SEJUSP</v>
      </c>
      <c r="H1175" s="107" t="s">
        <v>2307</v>
      </c>
      <c r="I1175" s="22" t="s">
        <v>16</v>
      </c>
      <c r="J1175" s="107" t="s">
        <v>2135</v>
      </c>
      <c r="K1175" s="22" t="str">
        <f>VLOOKUP(CONCATENATE(A1175,LEFT(J1175,4)),AGRUPAMENTO!$D$2:$E$6783,2,FALSE)</f>
        <v>Material de consumo</v>
      </c>
      <c r="L1175" s="107" t="s">
        <v>44</v>
      </c>
      <c r="M1175" s="52"/>
      <c r="N1175" s="52">
        <v>10</v>
      </c>
      <c r="O1175" s="107" t="s">
        <v>3295</v>
      </c>
      <c r="P1175" s="52" t="s">
        <v>46</v>
      </c>
      <c r="Q1175" s="107" t="s">
        <v>3872</v>
      </c>
      <c r="R1175" s="107">
        <v>329</v>
      </c>
      <c r="S1175" s="107" t="s">
        <v>3909</v>
      </c>
      <c r="T1175" s="239">
        <v>28.9</v>
      </c>
      <c r="U1175" s="107">
        <v>1</v>
      </c>
      <c r="V1175" s="58">
        <f t="shared" si="82"/>
        <v>9508.1</v>
      </c>
      <c r="W1175" s="52" t="s">
        <v>49</v>
      </c>
      <c r="X1175" s="107" t="s">
        <v>5043</v>
      </c>
      <c r="Y1175" s="304" t="s">
        <v>5045</v>
      </c>
      <c r="Z1175" s="304" t="s">
        <v>5040</v>
      </c>
      <c r="AA1175" s="52">
        <v>0</v>
      </c>
      <c r="AB1175" s="52">
        <v>0</v>
      </c>
      <c r="AC1175" s="52">
        <v>0</v>
      </c>
      <c r="AD1175" s="21">
        <v>0.66843255889259856</v>
      </c>
      <c r="AE1175" s="54">
        <v>0.66843255889259856</v>
      </c>
      <c r="AF1175" s="315">
        <f t="shared" si="85"/>
        <v>6355.5236132067166</v>
      </c>
    </row>
    <row r="1176" spans="1:32" ht="240" x14ac:dyDescent="0.25">
      <c r="A1176" s="107" t="s">
        <v>588</v>
      </c>
      <c r="B1176" s="107" t="s">
        <v>2271</v>
      </c>
      <c r="C1176" s="52"/>
      <c r="D1176" s="107" t="s">
        <v>2302</v>
      </c>
      <c r="E1176" s="22" t="str">
        <f t="shared" si="83"/>
        <v>SEJUSPPROG</v>
      </c>
      <c r="F1176" s="122" t="s">
        <v>886</v>
      </c>
      <c r="G1176" s="22" t="str">
        <f t="shared" si="84"/>
        <v>P146SEJUSP</v>
      </c>
      <c r="H1176" s="107" t="s">
        <v>2307</v>
      </c>
      <c r="I1176" s="22" t="s">
        <v>16</v>
      </c>
      <c r="J1176" s="92" t="s">
        <v>2229</v>
      </c>
      <c r="K1176" s="22" t="str">
        <f>VLOOKUP(CONCATENATE(A1176,LEFT(J1176,4)),AGRUPAMENTO!$D$2:$E$6783,2,FALSE)</f>
        <v>Demais despesas de capital</v>
      </c>
      <c r="L1176" s="52" t="s">
        <v>94</v>
      </c>
      <c r="M1176" s="52"/>
      <c r="N1176" s="52">
        <v>10</v>
      </c>
      <c r="O1176" s="107" t="s">
        <v>3296</v>
      </c>
      <c r="P1176" s="52" t="s">
        <v>46</v>
      </c>
      <c r="Q1176" s="107" t="s">
        <v>3872</v>
      </c>
      <c r="R1176" s="107">
        <v>3</v>
      </c>
      <c r="S1176" s="107" t="s">
        <v>3909</v>
      </c>
      <c r="T1176" s="239">
        <v>230</v>
      </c>
      <c r="U1176" s="107">
        <v>1</v>
      </c>
      <c r="V1176" s="58">
        <f t="shared" si="82"/>
        <v>690</v>
      </c>
      <c r="W1176" s="52" t="s">
        <v>49</v>
      </c>
      <c r="X1176" s="107" t="s">
        <v>5043</v>
      </c>
      <c r="Y1176" s="304" t="s">
        <v>5039</v>
      </c>
      <c r="Z1176" s="304" t="s">
        <v>5040</v>
      </c>
      <c r="AA1176" s="52">
        <v>0</v>
      </c>
      <c r="AB1176" s="52">
        <v>0</v>
      </c>
      <c r="AC1176" s="52">
        <v>0</v>
      </c>
      <c r="AD1176" s="21">
        <v>1</v>
      </c>
      <c r="AE1176" s="54">
        <v>1</v>
      </c>
      <c r="AF1176" s="315">
        <f t="shared" si="85"/>
        <v>690</v>
      </c>
    </row>
    <row r="1177" spans="1:32" ht="240" x14ac:dyDescent="0.25">
      <c r="A1177" s="107" t="s">
        <v>588</v>
      </c>
      <c r="B1177" s="107" t="s">
        <v>2271</v>
      </c>
      <c r="C1177" s="52"/>
      <c r="D1177" s="107" t="s">
        <v>2302</v>
      </c>
      <c r="E1177" s="22" t="str">
        <f t="shared" si="83"/>
        <v>SEJUSPPROG</v>
      </c>
      <c r="F1177" s="122" t="s">
        <v>886</v>
      </c>
      <c r="G1177" s="22" t="str">
        <f t="shared" si="84"/>
        <v>P146SEJUSP</v>
      </c>
      <c r="H1177" s="107" t="s">
        <v>2307</v>
      </c>
      <c r="I1177" s="22" t="s">
        <v>16</v>
      </c>
      <c r="J1177" s="107" t="s">
        <v>2135</v>
      </c>
      <c r="K1177" s="22" t="str">
        <f>VLOOKUP(CONCATENATE(A1177,LEFT(J1177,4)),AGRUPAMENTO!$D$2:$E$6783,2,FALSE)</f>
        <v>Material de consumo</v>
      </c>
      <c r="L1177" s="107" t="s">
        <v>44</v>
      </c>
      <c r="M1177" s="52"/>
      <c r="N1177" s="52">
        <v>10</v>
      </c>
      <c r="O1177" s="107" t="s">
        <v>3297</v>
      </c>
      <c r="P1177" s="52" t="s">
        <v>46</v>
      </c>
      <c r="Q1177" s="107" t="s">
        <v>4096</v>
      </c>
      <c r="R1177" s="107">
        <v>285</v>
      </c>
      <c r="S1177" s="107" t="s">
        <v>3909</v>
      </c>
      <c r="T1177" s="239">
        <v>5.0999999999999996</v>
      </c>
      <c r="U1177" s="107">
        <v>1</v>
      </c>
      <c r="V1177" s="58">
        <f t="shared" si="82"/>
        <v>1453.5</v>
      </c>
      <c r="W1177" s="52" t="s">
        <v>49</v>
      </c>
      <c r="X1177" s="107" t="s">
        <v>5043</v>
      </c>
      <c r="Y1177" s="304" t="s">
        <v>5045</v>
      </c>
      <c r="Z1177" s="304" t="s">
        <v>5040</v>
      </c>
      <c r="AA1177" s="52">
        <v>0</v>
      </c>
      <c r="AB1177" s="52">
        <v>0</v>
      </c>
      <c r="AC1177" s="52">
        <v>0</v>
      </c>
      <c r="AD1177" s="21">
        <v>0.66843255889259856</v>
      </c>
      <c r="AE1177" s="54">
        <v>0.66843255889259856</v>
      </c>
      <c r="AF1177" s="315">
        <f t="shared" si="85"/>
        <v>971.56672435039206</v>
      </c>
    </row>
    <row r="1178" spans="1:32" ht="240" x14ac:dyDescent="0.25">
      <c r="A1178" s="107" t="s">
        <v>588</v>
      </c>
      <c r="B1178" s="107" t="s">
        <v>2271</v>
      </c>
      <c r="C1178" s="52"/>
      <c r="D1178" s="107" t="s">
        <v>2302</v>
      </c>
      <c r="E1178" s="22" t="str">
        <f t="shared" si="83"/>
        <v>SEJUSPPROG</v>
      </c>
      <c r="F1178" s="122" t="s">
        <v>886</v>
      </c>
      <c r="G1178" s="22" t="str">
        <f t="shared" si="84"/>
        <v>P146SEJUSP</v>
      </c>
      <c r="H1178" s="107" t="s">
        <v>2307</v>
      </c>
      <c r="I1178" s="22" t="s">
        <v>16</v>
      </c>
      <c r="J1178" s="107" t="s">
        <v>2135</v>
      </c>
      <c r="K1178" s="22" t="str">
        <f>VLOOKUP(CONCATENATE(A1178,LEFT(J1178,4)),AGRUPAMENTO!$D$2:$E$6783,2,FALSE)</f>
        <v>Material de consumo</v>
      </c>
      <c r="L1178" s="107" t="s">
        <v>44</v>
      </c>
      <c r="M1178" s="52"/>
      <c r="N1178" s="52">
        <v>10</v>
      </c>
      <c r="O1178" s="107" t="s">
        <v>3298</v>
      </c>
      <c r="P1178" s="52" t="s">
        <v>46</v>
      </c>
      <c r="Q1178" s="107" t="s">
        <v>4097</v>
      </c>
      <c r="R1178" s="107">
        <v>10</v>
      </c>
      <c r="S1178" s="107" t="s">
        <v>3909</v>
      </c>
      <c r="T1178" s="239">
        <v>23.9</v>
      </c>
      <c r="U1178" s="107">
        <v>1</v>
      </c>
      <c r="V1178" s="58">
        <f t="shared" si="82"/>
        <v>239</v>
      </c>
      <c r="W1178" s="52" t="s">
        <v>49</v>
      </c>
      <c r="X1178" s="107" t="s">
        <v>5043</v>
      </c>
      <c r="Y1178" s="304" t="s">
        <v>5045</v>
      </c>
      <c r="Z1178" s="304" t="s">
        <v>5040</v>
      </c>
      <c r="AA1178" s="52">
        <v>0</v>
      </c>
      <c r="AB1178" s="52">
        <v>0</v>
      </c>
      <c r="AC1178" s="52">
        <v>0</v>
      </c>
      <c r="AD1178" s="21">
        <v>0.66843255889259856</v>
      </c>
      <c r="AE1178" s="54">
        <v>0.66843255889259856</v>
      </c>
      <c r="AF1178" s="315">
        <f t="shared" si="85"/>
        <v>159.75538157533106</v>
      </c>
    </row>
    <row r="1179" spans="1:32" ht="240" x14ac:dyDescent="0.25">
      <c r="A1179" s="107" t="s">
        <v>588</v>
      </c>
      <c r="B1179" s="107" t="s">
        <v>2271</v>
      </c>
      <c r="C1179" s="52"/>
      <c r="D1179" s="107" t="s">
        <v>2302</v>
      </c>
      <c r="E1179" s="22" t="str">
        <f t="shared" si="83"/>
        <v>SEJUSPPROG</v>
      </c>
      <c r="F1179" s="122" t="s">
        <v>886</v>
      </c>
      <c r="G1179" s="22" t="str">
        <f t="shared" si="84"/>
        <v>P146SEJUSP</v>
      </c>
      <c r="H1179" s="107" t="s">
        <v>2307</v>
      </c>
      <c r="I1179" s="22" t="s">
        <v>16</v>
      </c>
      <c r="J1179" s="107" t="s">
        <v>137</v>
      </c>
      <c r="K1179" s="22" t="str">
        <f>VLOOKUP(CONCATENATE(A1179,LEFT(J1179,4)),AGRUPAMENTO!$D$2:$E$6783,2,FALSE)</f>
        <v>Serviços de saúde e medicamentos</v>
      </c>
      <c r="L1179" s="107" t="s">
        <v>44</v>
      </c>
      <c r="M1179" s="52"/>
      <c r="N1179" s="52">
        <v>10</v>
      </c>
      <c r="O1179" s="107" t="s">
        <v>3299</v>
      </c>
      <c r="P1179" s="52" t="s">
        <v>46</v>
      </c>
      <c r="Q1179" s="107" t="s">
        <v>4098</v>
      </c>
      <c r="R1179" s="107">
        <v>440</v>
      </c>
      <c r="S1179" s="107" t="s">
        <v>3909</v>
      </c>
      <c r="T1179" s="239">
        <v>7.99</v>
      </c>
      <c r="U1179" s="107">
        <v>1</v>
      </c>
      <c r="V1179" s="58">
        <f t="shared" si="82"/>
        <v>3515.6</v>
      </c>
      <c r="W1179" s="52" t="s">
        <v>49</v>
      </c>
      <c r="X1179" s="107" t="s">
        <v>5038</v>
      </c>
      <c r="Y1179" s="304" t="s">
        <v>5039</v>
      </c>
      <c r="Z1179" s="304" t="s">
        <v>5040</v>
      </c>
      <c r="AA1179" s="52">
        <v>0</v>
      </c>
      <c r="AB1179" s="52">
        <v>0</v>
      </c>
      <c r="AC1179" s="52">
        <v>0</v>
      </c>
      <c r="AD1179" s="21">
        <v>0.68827656736675979</v>
      </c>
      <c r="AE1179" s="54">
        <v>0.68827656736675979</v>
      </c>
      <c r="AF1179" s="315">
        <f t="shared" si="85"/>
        <v>2419.7051002345806</v>
      </c>
    </row>
    <row r="1180" spans="1:32" ht="240" x14ac:dyDescent="0.25">
      <c r="A1180" s="107" t="s">
        <v>588</v>
      </c>
      <c r="B1180" s="107" t="s">
        <v>2271</v>
      </c>
      <c r="C1180" s="52"/>
      <c r="D1180" s="107" t="s">
        <v>2302</v>
      </c>
      <c r="E1180" s="22" t="str">
        <f t="shared" si="83"/>
        <v>SEJUSPPROG</v>
      </c>
      <c r="F1180" s="122" t="s">
        <v>886</v>
      </c>
      <c r="G1180" s="22" t="str">
        <f t="shared" si="84"/>
        <v>P146SEJUSP</v>
      </c>
      <c r="H1180" s="107" t="s">
        <v>2307</v>
      </c>
      <c r="I1180" s="22" t="s">
        <v>16</v>
      </c>
      <c r="J1180" s="107" t="s">
        <v>2135</v>
      </c>
      <c r="K1180" s="22" t="str">
        <f>VLOOKUP(CONCATENATE(A1180,LEFT(J1180,4)),AGRUPAMENTO!$D$2:$E$6783,2,FALSE)</f>
        <v>Material de consumo</v>
      </c>
      <c r="L1180" s="107" t="s">
        <v>44</v>
      </c>
      <c r="M1180" s="52"/>
      <c r="N1180" s="52">
        <v>10</v>
      </c>
      <c r="O1180" s="107" t="s">
        <v>3300</v>
      </c>
      <c r="P1180" s="52" t="s">
        <v>46</v>
      </c>
      <c r="Q1180" s="107" t="s">
        <v>3872</v>
      </c>
      <c r="R1180" s="107">
        <v>28</v>
      </c>
      <c r="S1180" s="107" t="s">
        <v>3909</v>
      </c>
      <c r="T1180" s="239">
        <v>85.9</v>
      </c>
      <c r="U1180" s="107">
        <v>1</v>
      </c>
      <c r="V1180" s="58">
        <f t="shared" si="82"/>
        <v>2405.2000000000003</v>
      </c>
      <c r="W1180" s="52" t="s">
        <v>49</v>
      </c>
      <c r="X1180" s="107" t="s">
        <v>5043</v>
      </c>
      <c r="Y1180" s="304" t="s">
        <v>5045</v>
      </c>
      <c r="Z1180" s="304" t="s">
        <v>5040</v>
      </c>
      <c r="AA1180" s="52">
        <v>0</v>
      </c>
      <c r="AB1180" s="52">
        <v>0</v>
      </c>
      <c r="AC1180" s="52">
        <v>0</v>
      </c>
      <c r="AD1180" s="21">
        <v>0.66843255889259856</v>
      </c>
      <c r="AE1180" s="54">
        <v>0.66843255889259856</v>
      </c>
      <c r="AF1180" s="315">
        <f t="shared" si="85"/>
        <v>1607.7139906484783</v>
      </c>
    </row>
    <row r="1181" spans="1:32" ht="240" x14ac:dyDescent="0.25">
      <c r="A1181" s="107" t="s">
        <v>588</v>
      </c>
      <c r="B1181" s="107" t="s">
        <v>2271</v>
      </c>
      <c r="C1181" s="52"/>
      <c r="D1181" s="107" t="s">
        <v>2302</v>
      </c>
      <c r="E1181" s="22" t="str">
        <f t="shared" si="83"/>
        <v>SEJUSPPROG</v>
      </c>
      <c r="F1181" s="122" t="s">
        <v>886</v>
      </c>
      <c r="G1181" s="22" t="str">
        <f t="shared" si="84"/>
        <v>P146SEJUSP</v>
      </c>
      <c r="H1181" s="107" t="s">
        <v>2307</v>
      </c>
      <c r="I1181" s="22" t="s">
        <v>16</v>
      </c>
      <c r="J1181" s="107" t="s">
        <v>2135</v>
      </c>
      <c r="K1181" s="22" t="str">
        <f>VLOOKUP(CONCATENATE(A1181,LEFT(J1181,4)),AGRUPAMENTO!$D$2:$E$6783,2,FALSE)</f>
        <v>Material de consumo</v>
      </c>
      <c r="L1181" s="107" t="s">
        <v>44</v>
      </c>
      <c r="M1181" s="52"/>
      <c r="N1181" s="52">
        <v>10</v>
      </c>
      <c r="O1181" s="107" t="s">
        <v>3301</v>
      </c>
      <c r="P1181" s="52" t="s">
        <v>46</v>
      </c>
      <c r="Q1181" s="107" t="s">
        <v>4099</v>
      </c>
      <c r="R1181" s="107">
        <v>37</v>
      </c>
      <c r="S1181" s="107" t="s">
        <v>3909</v>
      </c>
      <c r="T1181" s="239">
        <v>64</v>
      </c>
      <c r="U1181" s="107">
        <v>1</v>
      </c>
      <c r="V1181" s="58">
        <f t="shared" si="82"/>
        <v>2368</v>
      </c>
      <c r="W1181" s="52" t="s">
        <v>49</v>
      </c>
      <c r="X1181" s="107" t="s">
        <v>5043</v>
      </c>
      <c r="Y1181" s="304" t="s">
        <v>5045</v>
      </c>
      <c r="Z1181" s="304" t="s">
        <v>5040</v>
      </c>
      <c r="AA1181" s="52">
        <v>0</v>
      </c>
      <c r="AB1181" s="52">
        <v>0</v>
      </c>
      <c r="AC1181" s="52">
        <v>0</v>
      </c>
      <c r="AD1181" s="21">
        <v>0.66843255889259856</v>
      </c>
      <c r="AE1181" s="54">
        <v>0.66843255889259856</v>
      </c>
      <c r="AF1181" s="315">
        <f t="shared" si="85"/>
        <v>1582.8482994576734</v>
      </c>
    </row>
    <row r="1182" spans="1:32" ht="240" x14ac:dyDescent="0.25">
      <c r="A1182" s="107" t="s">
        <v>588</v>
      </c>
      <c r="B1182" s="107" t="s">
        <v>2271</v>
      </c>
      <c r="C1182" s="52"/>
      <c r="D1182" s="107" t="s">
        <v>2302</v>
      </c>
      <c r="E1182" s="22" t="str">
        <f t="shared" si="83"/>
        <v>SEJUSPPROG</v>
      </c>
      <c r="F1182" s="122" t="s">
        <v>886</v>
      </c>
      <c r="G1182" s="22" t="str">
        <f t="shared" si="84"/>
        <v>P146SEJUSP</v>
      </c>
      <c r="H1182" s="107" t="s">
        <v>2307</v>
      </c>
      <c r="I1182" s="22" t="s">
        <v>16</v>
      </c>
      <c r="J1182" s="107" t="s">
        <v>2135</v>
      </c>
      <c r="K1182" s="22" t="str">
        <f>VLOOKUP(CONCATENATE(A1182,LEFT(J1182,4)),AGRUPAMENTO!$D$2:$E$6783,2,FALSE)</f>
        <v>Material de consumo</v>
      </c>
      <c r="L1182" s="107" t="s">
        <v>44</v>
      </c>
      <c r="M1182" s="52"/>
      <c r="N1182" s="52">
        <v>10</v>
      </c>
      <c r="O1182" s="107" t="s">
        <v>3302</v>
      </c>
      <c r="P1182" s="52" t="s">
        <v>46</v>
      </c>
      <c r="Q1182" s="107" t="s">
        <v>4100</v>
      </c>
      <c r="R1182" s="107">
        <v>37</v>
      </c>
      <c r="S1182" s="107" t="s">
        <v>3909</v>
      </c>
      <c r="T1182" s="239">
        <v>36.9</v>
      </c>
      <c r="U1182" s="107">
        <v>1</v>
      </c>
      <c r="V1182" s="58">
        <f t="shared" si="82"/>
        <v>1365.3</v>
      </c>
      <c r="W1182" s="52" t="s">
        <v>49</v>
      </c>
      <c r="X1182" s="107" t="s">
        <v>5043</v>
      </c>
      <c r="Y1182" s="304" t="s">
        <v>5045</v>
      </c>
      <c r="Z1182" s="304" t="s">
        <v>5040</v>
      </c>
      <c r="AA1182" s="52">
        <v>0</v>
      </c>
      <c r="AB1182" s="52">
        <v>0</v>
      </c>
      <c r="AC1182" s="52">
        <v>0</v>
      </c>
      <c r="AD1182" s="21">
        <v>0.66843255889259856</v>
      </c>
      <c r="AE1182" s="54">
        <v>0.66843255889259856</v>
      </c>
      <c r="AF1182" s="315">
        <f t="shared" si="85"/>
        <v>912.61097265606475</v>
      </c>
    </row>
    <row r="1183" spans="1:32" ht="240" x14ac:dyDescent="0.25">
      <c r="A1183" s="107" t="s">
        <v>588</v>
      </c>
      <c r="B1183" s="107" t="s">
        <v>2271</v>
      </c>
      <c r="C1183" s="52"/>
      <c r="D1183" s="107" t="s">
        <v>2302</v>
      </c>
      <c r="E1183" s="22" t="str">
        <f t="shared" si="83"/>
        <v>SEJUSPPROG</v>
      </c>
      <c r="F1183" s="122" t="s">
        <v>886</v>
      </c>
      <c r="G1183" s="22" t="str">
        <f t="shared" si="84"/>
        <v>P146SEJUSP</v>
      </c>
      <c r="H1183" s="107" t="s">
        <v>2307</v>
      </c>
      <c r="I1183" s="22" t="s">
        <v>16</v>
      </c>
      <c r="J1183" s="107" t="s">
        <v>137</v>
      </c>
      <c r="K1183" s="22" t="str">
        <f>VLOOKUP(CONCATENATE(A1183,LEFT(J1183,4)),AGRUPAMENTO!$D$2:$E$6783,2,FALSE)</f>
        <v>Serviços de saúde e medicamentos</v>
      </c>
      <c r="L1183" s="107" t="s">
        <v>44</v>
      </c>
      <c r="M1183" s="52"/>
      <c r="N1183" s="52">
        <v>10</v>
      </c>
      <c r="O1183" s="107" t="s">
        <v>3303</v>
      </c>
      <c r="P1183" s="52" t="s">
        <v>46</v>
      </c>
      <c r="Q1183" s="107" t="s">
        <v>4101</v>
      </c>
      <c r="R1183" s="107">
        <v>880</v>
      </c>
      <c r="S1183" s="107" t="s">
        <v>3909</v>
      </c>
      <c r="T1183" s="239">
        <v>0.49</v>
      </c>
      <c r="U1183" s="107">
        <v>1</v>
      </c>
      <c r="V1183" s="58">
        <f t="shared" si="82"/>
        <v>431.2</v>
      </c>
      <c r="W1183" s="52" t="s">
        <v>49</v>
      </c>
      <c r="X1183" s="107" t="s">
        <v>5055</v>
      </c>
      <c r="Y1183" s="304" t="s">
        <v>5042</v>
      </c>
      <c r="Z1183" s="304" t="s">
        <v>5040</v>
      </c>
      <c r="AA1183" s="52">
        <v>0</v>
      </c>
      <c r="AB1183" s="52">
        <v>0</v>
      </c>
      <c r="AC1183" s="52">
        <v>0</v>
      </c>
      <c r="AD1183" s="21">
        <v>0.68827656736675979</v>
      </c>
      <c r="AE1183" s="54">
        <v>0.68827656736675979</v>
      </c>
      <c r="AF1183" s="315">
        <f t="shared" si="85"/>
        <v>296.78485584854684</v>
      </c>
    </row>
    <row r="1184" spans="1:32" ht="240" x14ac:dyDescent="0.25">
      <c r="A1184" s="107" t="s">
        <v>588</v>
      </c>
      <c r="B1184" s="107" t="s">
        <v>2271</v>
      </c>
      <c r="C1184" s="52"/>
      <c r="D1184" s="107" t="s">
        <v>2302</v>
      </c>
      <c r="E1184" s="22" t="str">
        <f t="shared" si="83"/>
        <v>SEJUSPPROG</v>
      </c>
      <c r="F1184" s="122" t="s">
        <v>886</v>
      </c>
      <c r="G1184" s="22" t="str">
        <f t="shared" si="84"/>
        <v>P146SEJUSP</v>
      </c>
      <c r="H1184" s="107" t="s">
        <v>2307</v>
      </c>
      <c r="I1184" s="22" t="s">
        <v>16</v>
      </c>
      <c r="J1184" s="107" t="s">
        <v>137</v>
      </c>
      <c r="K1184" s="22" t="str">
        <f>VLOOKUP(CONCATENATE(A1184,LEFT(J1184,4)),AGRUPAMENTO!$D$2:$E$6783,2,FALSE)</f>
        <v>Serviços de saúde e medicamentos</v>
      </c>
      <c r="L1184" s="107" t="s">
        <v>44</v>
      </c>
      <c r="M1184" s="52"/>
      <c r="N1184" s="52">
        <v>10</v>
      </c>
      <c r="O1184" s="107" t="s">
        <v>3304</v>
      </c>
      <c r="P1184" s="52" t="s">
        <v>46</v>
      </c>
      <c r="Q1184" s="107" t="s">
        <v>4102</v>
      </c>
      <c r="R1184" s="107">
        <v>140</v>
      </c>
      <c r="S1184" s="107" t="s">
        <v>3909</v>
      </c>
      <c r="T1184" s="239">
        <v>7.9</v>
      </c>
      <c r="U1184" s="107">
        <v>1</v>
      </c>
      <c r="V1184" s="58">
        <f t="shared" si="82"/>
        <v>1106</v>
      </c>
      <c r="W1184" s="52" t="s">
        <v>49</v>
      </c>
      <c r="X1184" s="107" t="s">
        <v>5055</v>
      </c>
      <c r="Y1184" s="304" t="s">
        <v>5042</v>
      </c>
      <c r="Z1184" s="304" t="s">
        <v>5040</v>
      </c>
      <c r="AA1184" s="52">
        <v>0</v>
      </c>
      <c r="AB1184" s="52">
        <v>0</v>
      </c>
      <c r="AC1184" s="52">
        <v>0</v>
      </c>
      <c r="AD1184" s="21">
        <v>0.68827656736675979</v>
      </c>
      <c r="AE1184" s="54">
        <v>0.68827656736675979</v>
      </c>
      <c r="AF1184" s="315">
        <f t="shared" si="85"/>
        <v>761.23388350763628</v>
      </c>
    </row>
    <row r="1185" spans="1:32" ht="240" x14ac:dyDescent="0.25">
      <c r="A1185" s="107" t="s">
        <v>588</v>
      </c>
      <c r="B1185" s="107" t="s">
        <v>2271</v>
      </c>
      <c r="C1185" s="52"/>
      <c r="D1185" s="107" t="s">
        <v>2302</v>
      </c>
      <c r="E1185" s="22" t="str">
        <f t="shared" si="83"/>
        <v>SEJUSPPROG</v>
      </c>
      <c r="F1185" s="122" t="s">
        <v>886</v>
      </c>
      <c r="G1185" s="22" t="str">
        <f t="shared" si="84"/>
        <v>P146SEJUSP</v>
      </c>
      <c r="H1185" s="107" t="s">
        <v>2307</v>
      </c>
      <c r="I1185" s="22" t="s">
        <v>16</v>
      </c>
      <c r="J1185" s="107" t="s">
        <v>137</v>
      </c>
      <c r="K1185" s="22" t="str">
        <f>VLOOKUP(CONCATENATE(A1185,LEFT(J1185,4)),AGRUPAMENTO!$D$2:$E$6783,2,FALSE)</f>
        <v>Serviços de saúde e medicamentos</v>
      </c>
      <c r="L1185" s="107" t="s">
        <v>44</v>
      </c>
      <c r="M1185" s="52"/>
      <c r="N1185" s="52">
        <v>10</v>
      </c>
      <c r="O1185" s="107" t="s">
        <v>3305</v>
      </c>
      <c r="P1185" s="52" t="s">
        <v>46</v>
      </c>
      <c r="Q1185" s="107" t="s">
        <v>4103</v>
      </c>
      <c r="R1185" s="107">
        <v>338</v>
      </c>
      <c r="S1185" s="107" t="s">
        <v>3909</v>
      </c>
      <c r="T1185" s="239">
        <v>8.59</v>
      </c>
      <c r="U1185" s="107">
        <v>1</v>
      </c>
      <c r="V1185" s="58">
        <f t="shared" si="82"/>
        <v>2903.42</v>
      </c>
      <c r="W1185" s="52" t="s">
        <v>49</v>
      </c>
      <c r="X1185" s="107" t="s">
        <v>5053</v>
      </c>
      <c r="Y1185" s="304" t="s">
        <v>5045</v>
      </c>
      <c r="Z1185" s="304" t="s">
        <v>5040</v>
      </c>
      <c r="AA1185" s="52">
        <v>0</v>
      </c>
      <c r="AB1185" s="52">
        <v>0</v>
      </c>
      <c r="AC1185" s="52">
        <v>0</v>
      </c>
      <c r="AD1185" s="21">
        <v>0.68827656736675979</v>
      </c>
      <c r="AE1185" s="54">
        <v>0.68827656736675979</v>
      </c>
      <c r="AF1185" s="315">
        <f t="shared" si="85"/>
        <v>1998.3559512239979</v>
      </c>
    </row>
    <row r="1186" spans="1:32" ht="240" x14ac:dyDescent="0.25">
      <c r="A1186" s="107" t="s">
        <v>588</v>
      </c>
      <c r="B1186" s="107" t="s">
        <v>2271</v>
      </c>
      <c r="C1186" s="52"/>
      <c r="D1186" s="107" t="s">
        <v>2302</v>
      </c>
      <c r="E1186" s="22" t="str">
        <f t="shared" si="83"/>
        <v>SEJUSPPROG</v>
      </c>
      <c r="F1186" s="122" t="s">
        <v>886</v>
      </c>
      <c r="G1186" s="22" t="str">
        <f t="shared" si="84"/>
        <v>P146SEJUSP</v>
      </c>
      <c r="H1186" s="107" t="s">
        <v>2307</v>
      </c>
      <c r="I1186" s="22" t="s">
        <v>16</v>
      </c>
      <c r="J1186" s="107" t="s">
        <v>1605</v>
      </c>
      <c r="K1186" s="22" t="str">
        <f>VLOOKUP(CONCATENATE(A1186,LEFT(J1186,4)),AGRUPAMENTO!$D$2:$E$6783,2,FALSE)</f>
        <v>Serviços de saúde e medicamentos</v>
      </c>
      <c r="L1186" s="107" t="s">
        <v>44</v>
      </c>
      <c r="M1186" s="52"/>
      <c r="N1186" s="52">
        <v>10</v>
      </c>
      <c r="O1186" s="107" t="s">
        <v>3306</v>
      </c>
      <c r="P1186" s="52" t="s">
        <v>46</v>
      </c>
      <c r="Q1186" s="107" t="s">
        <v>3872</v>
      </c>
      <c r="R1186" s="107">
        <v>44</v>
      </c>
      <c r="S1186" s="107" t="s">
        <v>3909</v>
      </c>
      <c r="T1186" s="239">
        <v>969</v>
      </c>
      <c r="U1186" s="107">
        <v>1</v>
      </c>
      <c r="V1186" s="58">
        <f t="shared" si="82"/>
        <v>42636</v>
      </c>
      <c r="W1186" s="52" t="s">
        <v>49</v>
      </c>
      <c r="X1186" s="107" t="s">
        <v>5055</v>
      </c>
      <c r="Y1186" s="304" t="s">
        <v>5039</v>
      </c>
      <c r="Z1186" s="304" t="s">
        <v>5040</v>
      </c>
      <c r="AA1186" s="52">
        <v>0</v>
      </c>
      <c r="AB1186" s="52">
        <v>0</v>
      </c>
      <c r="AC1186" s="52">
        <v>0</v>
      </c>
      <c r="AD1186" s="21">
        <v>0.68827656736675979</v>
      </c>
      <c r="AE1186" s="54">
        <v>0.68827656736675979</v>
      </c>
      <c r="AF1186" s="315">
        <f t="shared" si="85"/>
        <v>29345.359726249171</v>
      </c>
    </row>
    <row r="1187" spans="1:32" ht="240" x14ac:dyDescent="0.25">
      <c r="A1187" s="107" t="s">
        <v>588</v>
      </c>
      <c r="B1187" s="107" t="s">
        <v>2271</v>
      </c>
      <c r="C1187" s="52"/>
      <c r="D1187" s="107" t="s">
        <v>2302</v>
      </c>
      <c r="E1187" s="22" t="str">
        <f t="shared" si="83"/>
        <v>SEJUSPPROG</v>
      </c>
      <c r="F1187" s="122" t="s">
        <v>886</v>
      </c>
      <c r="G1187" s="22" t="str">
        <f t="shared" si="84"/>
        <v>P146SEJUSP</v>
      </c>
      <c r="H1187" s="107" t="s">
        <v>2307</v>
      </c>
      <c r="I1187" s="22" t="s">
        <v>16</v>
      </c>
      <c r="J1187" s="107" t="s">
        <v>1605</v>
      </c>
      <c r="K1187" s="22" t="str">
        <f>VLOOKUP(CONCATENATE(A1187,LEFT(J1187,4)),AGRUPAMENTO!$D$2:$E$6783,2,FALSE)</f>
        <v>Serviços de saúde e medicamentos</v>
      </c>
      <c r="L1187" s="107" t="s">
        <v>44</v>
      </c>
      <c r="M1187" s="52"/>
      <c r="N1187" s="52">
        <v>10</v>
      </c>
      <c r="O1187" s="107" t="s">
        <v>3307</v>
      </c>
      <c r="P1187" s="52" t="s">
        <v>46</v>
      </c>
      <c r="Q1187" s="107" t="s">
        <v>4104</v>
      </c>
      <c r="R1187" s="107">
        <v>2000</v>
      </c>
      <c r="S1187" s="107" t="s">
        <v>3909</v>
      </c>
      <c r="T1187" s="239">
        <v>0.41</v>
      </c>
      <c r="U1187" s="107">
        <v>1</v>
      </c>
      <c r="V1187" s="58">
        <f t="shared" si="82"/>
        <v>820</v>
      </c>
      <c r="W1187" s="52" t="s">
        <v>49</v>
      </c>
      <c r="X1187" s="107" t="s">
        <v>5055</v>
      </c>
      <c r="Y1187" s="304" t="s">
        <v>5039</v>
      </c>
      <c r="Z1187" s="304" t="s">
        <v>5040</v>
      </c>
      <c r="AA1187" s="52">
        <v>0</v>
      </c>
      <c r="AB1187" s="52">
        <v>0</v>
      </c>
      <c r="AC1187" s="52">
        <v>0</v>
      </c>
      <c r="AD1187" s="21">
        <v>0.68827656736675979</v>
      </c>
      <c r="AE1187" s="54">
        <v>0.68827656736675979</v>
      </c>
      <c r="AF1187" s="315">
        <f t="shared" si="85"/>
        <v>564.38678524074305</v>
      </c>
    </row>
    <row r="1188" spans="1:32" ht="240" x14ac:dyDescent="0.25">
      <c r="A1188" s="107" t="s">
        <v>588</v>
      </c>
      <c r="B1188" s="107" t="s">
        <v>2271</v>
      </c>
      <c r="C1188" s="52"/>
      <c r="D1188" s="107" t="s">
        <v>2302</v>
      </c>
      <c r="E1188" s="22" t="str">
        <f t="shared" si="83"/>
        <v>SEJUSPPROG</v>
      </c>
      <c r="F1188" s="122" t="s">
        <v>886</v>
      </c>
      <c r="G1188" s="22" t="str">
        <f t="shared" si="84"/>
        <v>P146SEJUSP</v>
      </c>
      <c r="H1188" s="107" t="s">
        <v>2307</v>
      </c>
      <c r="I1188" s="22" t="s">
        <v>16</v>
      </c>
      <c r="J1188" s="107" t="s">
        <v>137</v>
      </c>
      <c r="K1188" s="22" t="str">
        <f>VLOOKUP(CONCATENATE(A1188,LEFT(J1188,4)),AGRUPAMENTO!$D$2:$E$6783,2,FALSE)</f>
        <v>Serviços de saúde e medicamentos</v>
      </c>
      <c r="L1188" s="107" t="s">
        <v>44</v>
      </c>
      <c r="M1188" s="52"/>
      <c r="N1188" s="52">
        <v>10</v>
      </c>
      <c r="O1188" s="107" t="s">
        <v>3308</v>
      </c>
      <c r="P1188" s="52" t="s">
        <v>46</v>
      </c>
      <c r="Q1188" s="107" t="s">
        <v>4105</v>
      </c>
      <c r="R1188" s="107">
        <v>240</v>
      </c>
      <c r="S1188" s="107" t="s">
        <v>3909</v>
      </c>
      <c r="T1188" s="239">
        <v>10.9</v>
      </c>
      <c r="U1188" s="107">
        <v>1</v>
      </c>
      <c r="V1188" s="58">
        <f t="shared" si="82"/>
        <v>2616</v>
      </c>
      <c r="W1188" s="52" t="s">
        <v>49</v>
      </c>
      <c r="X1188" s="107" t="s">
        <v>5056</v>
      </c>
      <c r="Y1188" s="304" t="s">
        <v>5057</v>
      </c>
      <c r="Z1188" s="304" t="s">
        <v>5040</v>
      </c>
      <c r="AA1188" s="52">
        <v>0</v>
      </c>
      <c r="AB1188" s="52">
        <v>0</v>
      </c>
      <c r="AC1188" s="52">
        <v>0</v>
      </c>
      <c r="AD1188" s="21">
        <v>0.68827656736675979</v>
      </c>
      <c r="AE1188" s="54">
        <v>0.68827656736675979</v>
      </c>
      <c r="AF1188" s="315">
        <f t="shared" si="85"/>
        <v>1800.5315002314437</v>
      </c>
    </row>
    <row r="1189" spans="1:32" ht="240" x14ac:dyDescent="0.25">
      <c r="A1189" s="107" t="s">
        <v>588</v>
      </c>
      <c r="B1189" s="107" t="s">
        <v>2271</v>
      </c>
      <c r="C1189" s="52"/>
      <c r="D1189" s="107" t="s">
        <v>2302</v>
      </c>
      <c r="E1189" s="22" t="str">
        <f t="shared" si="83"/>
        <v>SEJUSPPROG</v>
      </c>
      <c r="F1189" s="122" t="s">
        <v>886</v>
      </c>
      <c r="G1189" s="22" t="str">
        <f t="shared" si="84"/>
        <v>P146SEJUSP</v>
      </c>
      <c r="H1189" s="107" t="s">
        <v>2307</v>
      </c>
      <c r="I1189" s="22" t="s">
        <v>16</v>
      </c>
      <c r="J1189" s="107" t="s">
        <v>2135</v>
      </c>
      <c r="K1189" s="22" t="str">
        <f>VLOOKUP(CONCATENATE(A1189,LEFT(J1189,4)),AGRUPAMENTO!$D$2:$E$6783,2,FALSE)</f>
        <v>Material de consumo</v>
      </c>
      <c r="L1189" s="107" t="s">
        <v>44</v>
      </c>
      <c r="M1189" s="52"/>
      <c r="N1189" s="52">
        <v>10</v>
      </c>
      <c r="O1189" s="107" t="s">
        <v>3309</v>
      </c>
      <c r="P1189" s="52" t="s">
        <v>46</v>
      </c>
      <c r="Q1189" s="107" t="s">
        <v>4106</v>
      </c>
      <c r="R1189" s="107">
        <v>28</v>
      </c>
      <c r="S1189" s="107" t="s">
        <v>3909</v>
      </c>
      <c r="T1189" s="239">
        <v>18.899999999999999</v>
      </c>
      <c r="U1189" s="107">
        <v>1</v>
      </c>
      <c r="V1189" s="58">
        <f t="shared" si="82"/>
        <v>529.19999999999993</v>
      </c>
      <c r="W1189" s="52" t="s">
        <v>49</v>
      </c>
      <c r="X1189" s="107" t="s">
        <v>5043</v>
      </c>
      <c r="Y1189" s="304" t="s">
        <v>5045</v>
      </c>
      <c r="Z1189" s="304" t="s">
        <v>5040</v>
      </c>
      <c r="AA1189" s="52">
        <v>0</v>
      </c>
      <c r="AB1189" s="52">
        <v>0</v>
      </c>
      <c r="AC1189" s="52">
        <v>0</v>
      </c>
      <c r="AD1189" s="21">
        <v>0.66843255889259856</v>
      </c>
      <c r="AE1189" s="54">
        <v>0.66843255889259856</v>
      </c>
      <c r="AF1189" s="315">
        <f t="shared" si="85"/>
        <v>353.73451016596312</v>
      </c>
    </row>
    <row r="1190" spans="1:32" ht="240" x14ac:dyDescent="0.25">
      <c r="A1190" s="107" t="s">
        <v>588</v>
      </c>
      <c r="B1190" s="107" t="s">
        <v>2271</v>
      </c>
      <c r="C1190" s="52"/>
      <c r="D1190" s="107" t="s">
        <v>2302</v>
      </c>
      <c r="E1190" s="22" t="str">
        <f t="shared" si="83"/>
        <v>SEJUSPPROG</v>
      </c>
      <c r="F1190" s="122" t="s">
        <v>886</v>
      </c>
      <c r="G1190" s="22" t="str">
        <f t="shared" si="84"/>
        <v>P146SEJUSP</v>
      </c>
      <c r="H1190" s="107" t="s">
        <v>2307</v>
      </c>
      <c r="I1190" s="22" t="s">
        <v>16</v>
      </c>
      <c r="J1190" s="107" t="s">
        <v>2135</v>
      </c>
      <c r="K1190" s="22" t="str">
        <f>VLOOKUP(CONCATENATE(A1190,LEFT(J1190,4)),AGRUPAMENTO!$D$2:$E$6783,2,FALSE)</f>
        <v>Material de consumo</v>
      </c>
      <c r="L1190" s="107" t="s">
        <v>44</v>
      </c>
      <c r="M1190" s="52"/>
      <c r="N1190" s="52">
        <v>10</v>
      </c>
      <c r="O1190" s="107" t="s">
        <v>3310</v>
      </c>
      <c r="P1190" s="52" t="s">
        <v>46</v>
      </c>
      <c r="Q1190" s="107" t="s">
        <v>4107</v>
      </c>
      <c r="R1190" s="107">
        <v>19</v>
      </c>
      <c r="S1190" s="107" t="s">
        <v>3909</v>
      </c>
      <c r="T1190" s="239">
        <v>67.5</v>
      </c>
      <c r="U1190" s="107">
        <v>1</v>
      </c>
      <c r="V1190" s="58">
        <f t="shared" si="82"/>
        <v>1282.5</v>
      </c>
      <c r="W1190" s="52" t="s">
        <v>49</v>
      </c>
      <c r="X1190" s="107" t="s">
        <v>5043</v>
      </c>
      <c r="Y1190" s="304" t="s">
        <v>5045</v>
      </c>
      <c r="Z1190" s="304" t="s">
        <v>5040</v>
      </c>
      <c r="AA1190" s="52">
        <v>0</v>
      </c>
      <c r="AB1190" s="52">
        <v>0</v>
      </c>
      <c r="AC1190" s="52">
        <v>0</v>
      </c>
      <c r="AD1190" s="21">
        <v>0.66843255889259856</v>
      </c>
      <c r="AE1190" s="54">
        <v>0.66843255889259856</v>
      </c>
      <c r="AF1190" s="315">
        <f t="shared" si="85"/>
        <v>857.2647567797577</v>
      </c>
    </row>
    <row r="1191" spans="1:32" ht="240" x14ac:dyDescent="0.25">
      <c r="A1191" s="107" t="s">
        <v>588</v>
      </c>
      <c r="B1191" s="107" t="s">
        <v>2271</v>
      </c>
      <c r="C1191" s="52"/>
      <c r="D1191" s="107" t="s">
        <v>2302</v>
      </c>
      <c r="E1191" s="22" t="str">
        <f t="shared" si="83"/>
        <v>SEJUSPPROG</v>
      </c>
      <c r="F1191" s="122" t="s">
        <v>886</v>
      </c>
      <c r="G1191" s="22" t="str">
        <f t="shared" si="84"/>
        <v>P146SEJUSP</v>
      </c>
      <c r="H1191" s="107" t="s">
        <v>2307</v>
      </c>
      <c r="I1191" s="22" t="s">
        <v>16</v>
      </c>
      <c r="J1191" s="107" t="s">
        <v>405</v>
      </c>
      <c r="K1191" s="22" t="str">
        <f>VLOOKUP(CONCATENATE(A1191,LEFT(J1191,4)),AGRUPAMENTO!$D$2:$E$6783,2,FALSE)</f>
        <v>Material de consumo</v>
      </c>
      <c r="L1191" s="107" t="s">
        <v>44</v>
      </c>
      <c r="M1191" s="52"/>
      <c r="N1191" s="52">
        <v>10</v>
      </c>
      <c r="O1191" s="107" t="s">
        <v>3311</v>
      </c>
      <c r="P1191" s="52" t="s">
        <v>46</v>
      </c>
      <c r="Q1191" s="107" t="s">
        <v>4108</v>
      </c>
      <c r="R1191" s="107">
        <v>19</v>
      </c>
      <c r="S1191" s="107" t="s">
        <v>3909</v>
      </c>
      <c r="T1191" s="239">
        <v>140.65</v>
      </c>
      <c r="U1191" s="107">
        <v>1</v>
      </c>
      <c r="V1191" s="58">
        <f t="shared" si="82"/>
        <v>2672.35</v>
      </c>
      <c r="W1191" s="52" t="s">
        <v>49</v>
      </c>
      <c r="X1191" s="107" t="s">
        <v>5055</v>
      </c>
      <c r="Y1191" s="304" t="s">
        <v>5045</v>
      </c>
      <c r="Z1191" s="304" t="s">
        <v>5040</v>
      </c>
      <c r="AA1191" s="52">
        <v>0</v>
      </c>
      <c r="AB1191" s="52">
        <v>0</v>
      </c>
      <c r="AC1191" s="52">
        <v>0</v>
      </c>
      <c r="AD1191" s="21">
        <v>0.66843255889259856</v>
      </c>
      <c r="AE1191" s="54">
        <v>0.66843255889259856</v>
      </c>
      <c r="AF1191" s="315">
        <f t="shared" si="85"/>
        <v>1786.2857487566357</v>
      </c>
    </row>
    <row r="1192" spans="1:32" ht="240" x14ac:dyDescent="0.25">
      <c r="A1192" s="107" t="s">
        <v>588</v>
      </c>
      <c r="B1192" s="107" t="s">
        <v>2271</v>
      </c>
      <c r="C1192" s="52"/>
      <c r="D1192" s="107" t="s">
        <v>2302</v>
      </c>
      <c r="E1192" s="22" t="str">
        <f t="shared" si="83"/>
        <v>SEJUSPPROG</v>
      </c>
      <c r="F1192" s="122" t="s">
        <v>886</v>
      </c>
      <c r="G1192" s="22" t="str">
        <f t="shared" si="84"/>
        <v>P146SEJUSP</v>
      </c>
      <c r="H1192" s="107" t="s">
        <v>2307</v>
      </c>
      <c r="I1192" s="22" t="s">
        <v>16</v>
      </c>
      <c r="J1192" s="107" t="s">
        <v>137</v>
      </c>
      <c r="K1192" s="22" t="str">
        <f>VLOOKUP(CONCATENATE(A1192,LEFT(J1192,4)),AGRUPAMENTO!$D$2:$E$6783,2,FALSE)</f>
        <v>Serviços de saúde e medicamentos</v>
      </c>
      <c r="L1192" s="107" t="s">
        <v>44</v>
      </c>
      <c r="M1192" s="52"/>
      <c r="N1192" s="52">
        <v>10</v>
      </c>
      <c r="O1192" s="107" t="s">
        <v>3312</v>
      </c>
      <c r="P1192" s="52" t="s">
        <v>46</v>
      </c>
      <c r="Q1192" s="107" t="s">
        <v>4079</v>
      </c>
      <c r="R1192" s="107">
        <v>260</v>
      </c>
      <c r="S1192" s="107" t="s">
        <v>3909</v>
      </c>
      <c r="T1192" s="239">
        <v>3.59</v>
      </c>
      <c r="U1192" s="107">
        <v>1</v>
      </c>
      <c r="V1192" s="58">
        <f t="shared" si="82"/>
        <v>933.4</v>
      </c>
      <c r="W1192" s="52" t="s">
        <v>49</v>
      </c>
      <c r="X1192" s="107" t="s">
        <v>5038</v>
      </c>
      <c r="Y1192" s="304" t="s">
        <v>5039</v>
      </c>
      <c r="Z1192" s="304" t="s">
        <v>5040</v>
      </c>
      <c r="AA1192" s="52">
        <v>0</v>
      </c>
      <c r="AB1192" s="52">
        <v>0</v>
      </c>
      <c r="AC1192" s="52">
        <v>0</v>
      </c>
      <c r="AD1192" s="21">
        <v>0.68827656736675979</v>
      </c>
      <c r="AE1192" s="54">
        <v>0.68827656736675979</v>
      </c>
      <c r="AF1192" s="315">
        <f t="shared" si="85"/>
        <v>642.43734798013361</v>
      </c>
    </row>
    <row r="1193" spans="1:32" ht="240" x14ac:dyDescent="0.25">
      <c r="A1193" s="107" t="s">
        <v>588</v>
      </c>
      <c r="B1193" s="107" t="s">
        <v>2271</v>
      </c>
      <c r="C1193" s="52"/>
      <c r="D1193" s="107" t="s">
        <v>2302</v>
      </c>
      <c r="E1193" s="22" t="str">
        <f t="shared" si="83"/>
        <v>SEJUSPPROG</v>
      </c>
      <c r="F1193" s="122" t="s">
        <v>886</v>
      </c>
      <c r="G1193" s="22" t="str">
        <f t="shared" si="84"/>
        <v>P146SEJUSP</v>
      </c>
      <c r="H1193" s="107" t="s">
        <v>2307</v>
      </c>
      <c r="I1193" s="22" t="s">
        <v>16</v>
      </c>
      <c r="J1193" s="107" t="s">
        <v>2135</v>
      </c>
      <c r="K1193" s="22" t="str">
        <f>VLOOKUP(CONCATENATE(A1193,LEFT(J1193,4)),AGRUPAMENTO!$D$2:$E$6783,2,FALSE)</f>
        <v>Material de consumo</v>
      </c>
      <c r="L1193" s="107" t="s">
        <v>44</v>
      </c>
      <c r="M1193" s="52"/>
      <c r="N1193" s="52">
        <v>10</v>
      </c>
      <c r="O1193" s="107" t="s">
        <v>3313</v>
      </c>
      <c r="P1193" s="52" t="s">
        <v>46</v>
      </c>
      <c r="Q1193" s="107" t="s">
        <v>4109</v>
      </c>
      <c r="R1193" s="107">
        <v>37</v>
      </c>
      <c r="S1193" s="107" t="s">
        <v>3909</v>
      </c>
      <c r="T1193" s="239">
        <v>179</v>
      </c>
      <c r="U1193" s="107">
        <v>1</v>
      </c>
      <c r="V1193" s="58">
        <f t="shared" si="82"/>
        <v>6623</v>
      </c>
      <c r="W1193" s="52" t="s">
        <v>49</v>
      </c>
      <c r="X1193" s="107" t="s">
        <v>5043</v>
      </c>
      <c r="Y1193" s="304" t="s">
        <v>5045</v>
      </c>
      <c r="Z1193" s="304" t="s">
        <v>5040</v>
      </c>
      <c r="AA1193" s="52">
        <v>0</v>
      </c>
      <c r="AB1193" s="52">
        <v>0</v>
      </c>
      <c r="AC1193" s="52">
        <v>0</v>
      </c>
      <c r="AD1193" s="21">
        <v>0.66843255889259856</v>
      </c>
      <c r="AE1193" s="54">
        <v>0.66843255889259856</v>
      </c>
      <c r="AF1193" s="315">
        <f t="shared" si="85"/>
        <v>4427.0288375456803</v>
      </c>
    </row>
    <row r="1194" spans="1:32" ht="240" x14ac:dyDescent="0.25">
      <c r="A1194" s="107" t="s">
        <v>588</v>
      </c>
      <c r="B1194" s="107" t="s">
        <v>2271</v>
      </c>
      <c r="C1194" s="52"/>
      <c r="D1194" s="107" t="s">
        <v>2302</v>
      </c>
      <c r="E1194" s="22" t="str">
        <f t="shared" si="83"/>
        <v>SEJUSPPROG</v>
      </c>
      <c r="F1194" s="122" t="s">
        <v>886</v>
      </c>
      <c r="G1194" s="22" t="str">
        <f t="shared" si="84"/>
        <v>P146SEJUSP</v>
      </c>
      <c r="H1194" s="107" t="s">
        <v>2307</v>
      </c>
      <c r="I1194" s="22" t="s">
        <v>16</v>
      </c>
      <c r="J1194" s="107" t="s">
        <v>1605</v>
      </c>
      <c r="K1194" s="22" t="str">
        <f>VLOOKUP(CONCATENATE(A1194,LEFT(J1194,4)),AGRUPAMENTO!$D$2:$E$6783,2,FALSE)</f>
        <v>Serviços de saúde e medicamentos</v>
      </c>
      <c r="L1194" s="107" t="s">
        <v>44</v>
      </c>
      <c r="M1194" s="52"/>
      <c r="N1194" s="52">
        <v>10</v>
      </c>
      <c r="O1194" s="107" t="s">
        <v>3314</v>
      </c>
      <c r="P1194" s="52" t="s">
        <v>46</v>
      </c>
      <c r="Q1194" s="107" t="s">
        <v>3872</v>
      </c>
      <c r="R1194" s="107">
        <v>31</v>
      </c>
      <c r="S1194" s="107" t="s">
        <v>3909</v>
      </c>
      <c r="T1194" s="239">
        <v>59.3</v>
      </c>
      <c r="U1194" s="107">
        <v>1</v>
      </c>
      <c r="V1194" s="58">
        <f t="shared" si="82"/>
        <v>1838.3</v>
      </c>
      <c r="W1194" s="52" t="s">
        <v>49</v>
      </c>
      <c r="X1194" s="107" t="s">
        <v>5058</v>
      </c>
      <c r="Y1194" s="304" t="s">
        <v>5048</v>
      </c>
      <c r="Z1194" s="304" t="s">
        <v>5040</v>
      </c>
      <c r="AA1194" s="52">
        <v>0</v>
      </c>
      <c r="AB1194" s="52">
        <v>0</v>
      </c>
      <c r="AC1194" s="52">
        <v>0</v>
      </c>
      <c r="AD1194" s="21">
        <v>0.68827656736675979</v>
      </c>
      <c r="AE1194" s="54">
        <v>0.68827656736675979</v>
      </c>
      <c r="AF1194" s="315">
        <f t="shared" si="85"/>
        <v>1265.2588137903144</v>
      </c>
    </row>
    <row r="1195" spans="1:32" ht="240" x14ac:dyDescent="0.25">
      <c r="A1195" s="107" t="s">
        <v>588</v>
      </c>
      <c r="B1195" s="107" t="s">
        <v>2271</v>
      </c>
      <c r="C1195" s="52"/>
      <c r="D1195" s="107" t="s">
        <v>2302</v>
      </c>
      <c r="E1195" s="22" t="str">
        <f t="shared" si="83"/>
        <v>SEJUSPPROG</v>
      </c>
      <c r="F1195" s="122" t="s">
        <v>886</v>
      </c>
      <c r="G1195" s="22" t="str">
        <f t="shared" si="84"/>
        <v>P146SEJUSP</v>
      </c>
      <c r="H1195" s="107" t="s">
        <v>2307</v>
      </c>
      <c r="I1195" s="22" t="s">
        <v>16</v>
      </c>
      <c r="J1195" s="107" t="s">
        <v>1605</v>
      </c>
      <c r="K1195" s="22" t="str">
        <f>VLOOKUP(CONCATENATE(A1195,LEFT(J1195,4)),AGRUPAMENTO!$D$2:$E$6783,2,FALSE)</f>
        <v>Serviços de saúde e medicamentos</v>
      </c>
      <c r="L1195" s="107" t="s">
        <v>44</v>
      </c>
      <c r="M1195" s="52"/>
      <c r="N1195" s="52">
        <v>10</v>
      </c>
      <c r="O1195" s="107" t="s">
        <v>3315</v>
      </c>
      <c r="P1195" s="52" t="s">
        <v>46</v>
      </c>
      <c r="Q1195" s="107" t="s">
        <v>4110</v>
      </c>
      <c r="R1195" s="107">
        <v>19</v>
      </c>
      <c r="S1195" s="107" t="s">
        <v>3909</v>
      </c>
      <c r="T1195" s="239">
        <v>202.2</v>
      </c>
      <c r="U1195" s="107">
        <v>1</v>
      </c>
      <c r="V1195" s="58">
        <f t="shared" si="82"/>
        <v>3841.7999999999997</v>
      </c>
      <c r="W1195" s="52" t="s">
        <v>49</v>
      </c>
      <c r="X1195" s="107" t="s">
        <v>5055</v>
      </c>
      <c r="Y1195" s="304" t="s">
        <v>5042</v>
      </c>
      <c r="Z1195" s="304" t="s">
        <v>5040</v>
      </c>
      <c r="AA1195" s="52">
        <v>0</v>
      </c>
      <c r="AB1195" s="52">
        <v>0</v>
      </c>
      <c r="AC1195" s="52">
        <v>0</v>
      </c>
      <c r="AD1195" s="21">
        <v>0.68827656736675979</v>
      </c>
      <c r="AE1195" s="54">
        <v>0.68827656736675979</v>
      </c>
      <c r="AF1195" s="315">
        <f t="shared" si="85"/>
        <v>2644.2209165096174</v>
      </c>
    </row>
    <row r="1196" spans="1:32" ht="255" x14ac:dyDescent="0.25">
      <c r="A1196" s="107" t="s">
        <v>588</v>
      </c>
      <c r="B1196" s="107" t="s">
        <v>2271</v>
      </c>
      <c r="C1196" s="52"/>
      <c r="D1196" s="107" t="s">
        <v>2302</v>
      </c>
      <c r="E1196" s="22" t="str">
        <f t="shared" si="83"/>
        <v>SEJUSPPROG</v>
      </c>
      <c r="F1196" s="122" t="s">
        <v>886</v>
      </c>
      <c r="G1196" s="22" t="str">
        <f t="shared" si="84"/>
        <v>P146SEJUSP</v>
      </c>
      <c r="H1196" s="107" t="s">
        <v>2307</v>
      </c>
      <c r="I1196" s="22" t="s">
        <v>16</v>
      </c>
      <c r="J1196" s="107" t="s">
        <v>2135</v>
      </c>
      <c r="K1196" s="22" t="str">
        <f>VLOOKUP(CONCATENATE(A1196,LEFT(J1196,4)),AGRUPAMENTO!$D$2:$E$6783,2,FALSE)</f>
        <v>Material de consumo</v>
      </c>
      <c r="L1196" s="107" t="s">
        <v>44</v>
      </c>
      <c r="M1196" s="52"/>
      <c r="N1196" s="52">
        <v>10</v>
      </c>
      <c r="O1196" s="107" t="s">
        <v>3316</v>
      </c>
      <c r="P1196" s="52" t="s">
        <v>46</v>
      </c>
      <c r="Q1196" s="107" t="s">
        <v>4111</v>
      </c>
      <c r="R1196" s="107">
        <v>10</v>
      </c>
      <c r="S1196" s="107" t="s">
        <v>3909</v>
      </c>
      <c r="T1196" s="239">
        <v>107</v>
      </c>
      <c r="U1196" s="107">
        <v>1</v>
      </c>
      <c r="V1196" s="58">
        <f t="shared" si="82"/>
        <v>1070</v>
      </c>
      <c r="W1196" s="52" t="s">
        <v>49</v>
      </c>
      <c r="X1196" s="107" t="s">
        <v>5043</v>
      </c>
      <c r="Y1196" s="304" t="s">
        <v>5045</v>
      </c>
      <c r="Z1196" s="304" t="s">
        <v>5040</v>
      </c>
      <c r="AA1196" s="52">
        <v>0</v>
      </c>
      <c r="AB1196" s="52">
        <v>0</v>
      </c>
      <c r="AC1196" s="52">
        <v>0</v>
      </c>
      <c r="AD1196" s="21">
        <v>0.66843255889259856</v>
      </c>
      <c r="AE1196" s="54">
        <v>0.66843255889259856</v>
      </c>
      <c r="AF1196" s="315">
        <f t="shared" si="85"/>
        <v>715.22283801508047</v>
      </c>
    </row>
    <row r="1197" spans="1:32" ht="255" x14ac:dyDescent="0.25">
      <c r="A1197" s="107" t="s">
        <v>588</v>
      </c>
      <c r="B1197" s="107" t="s">
        <v>2271</v>
      </c>
      <c r="C1197" s="52"/>
      <c r="D1197" s="107" t="s">
        <v>2302</v>
      </c>
      <c r="E1197" s="22" t="str">
        <f t="shared" si="83"/>
        <v>SEJUSPPROG</v>
      </c>
      <c r="F1197" s="122" t="s">
        <v>886</v>
      </c>
      <c r="G1197" s="22" t="str">
        <f t="shared" si="84"/>
        <v>P146SEJUSP</v>
      </c>
      <c r="H1197" s="107" t="s">
        <v>2307</v>
      </c>
      <c r="I1197" s="22" t="s">
        <v>16</v>
      </c>
      <c r="J1197" s="107" t="s">
        <v>2135</v>
      </c>
      <c r="K1197" s="22" t="str">
        <f>VLOOKUP(CONCATENATE(A1197,LEFT(J1197,4)),AGRUPAMENTO!$D$2:$E$6783,2,FALSE)</f>
        <v>Material de consumo</v>
      </c>
      <c r="L1197" s="107" t="s">
        <v>44</v>
      </c>
      <c r="M1197" s="52"/>
      <c r="N1197" s="52">
        <v>10</v>
      </c>
      <c r="O1197" s="107" t="s">
        <v>3317</v>
      </c>
      <c r="P1197" s="52" t="s">
        <v>46</v>
      </c>
      <c r="Q1197" s="107" t="s">
        <v>4111</v>
      </c>
      <c r="R1197" s="107">
        <v>10</v>
      </c>
      <c r="S1197" s="107" t="s">
        <v>3909</v>
      </c>
      <c r="T1197" s="239">
        <v>184</v>
      </c>
      <c r="U1197" s="107">
        <v>1</v>
      </c>
      <c r="V1197" s="58">
        <f t="shared" si="82"/>
        <v>1840</v>
      </c>
      <c r="W1197" s="52" t="s">
        <v>49</v>
      </c>
      <c r="X1197" s="107" t="s">
        <v>5043</v>
      </c>
      <c r="Y1197" s="304" t="s">
        <v>5045</v>
      </c>
      <c r="Z1197" s="304" t="s">
        <v>5040</v>
      </c>
      <c r="AA1197" s="52">
        <v>0</v>
      </c>
      <c r="AB1197" s="52">
        <v>0</v>
      </c>
      <c r="AC1197" s="52">
        <v>0</v>
      </c>
      <c r="AD1197" s="21">
        <v>0.66843255889259856</v>
      </c>
      <c r="AE1197" s="54">
        <v>0.66843255889259856</v>
      </c>
      <c r="AF1197" s="315">
        <f t="shared" si="85"/>
        <v>1229.9159083623813</v>
      </c>
    </row>
    <row r="1198" spans="1:32" ht="240" x14ac:dyDescent="0.25">
      <c r="A1198" s="107" t="s">
        <v>588</v>
      </c>
      <c r="B1198" s="107" t="s">
        <v>2271</v>
      </c>
      <c r="C1198" s="52"/>
      <c r="D1198" s="107" t="s">
        <v>2302</v>
      </c>
      <c r="E1198" s="22" t="str">
        <f t="shared" si="83"/>
        <v>SEJUSPPROG</v>
      </c>
      <c r="F1198" s="122" t="s">
        <v>886</v>
      </c>
      <c r="G1198" s="22" t="str">
        <f t="shared" si="84"/>
        <v>P146SEJUSP</v>
      </c>
      <c r="H1198" s="107" t="s">
        <v>2307</v>
      </c>
      <c r="I1198" s="22" t="s">
        <v>16</v>
      </c>
      <c r="J1198" s="107" t="s">
        <v>2135</v>
      </c>
      <c r="K1198" s="22" t="str">
        <f>VLOOKUP(CONCATENATE(A1198,LEFT(J1198,4)),AGRUPAMENTO!$D$2:$E$6783,2,FALSE)</f>
        <v>Material de consumo</v>
      </c>
      <c r="L1198" s="107" t="s">
        <v>44</v>
      </c>
      <c r="M1198" s="52"/>
      <c r="N1198" s="52">
        <v>10</v>
      </c>
      <c r="O1198" s="107" t="s">
        <v>3318</v>
      </c>
      <c r="P1198" s="52" t="s">
        <v>46</v>
      </c>
      <c r="Q1198" s="107" t="s">
        <v>3872</v>
      </c>
      <c r="R1198" s="107">
        <v>30</v>
      </c>
      <c r="S1198" s="107" t="s">
        <v>3909</v>
      </c>
      <c r="T1198" s="239">
        <v>15.9</v>
      </c>
      <c r="U1198" s="107">
        <v>1</v>
      </c>
      <c r="V1198" s="58">
        <f t="shared" si="82"/>
        <v>477</v>
      </c>
      <c r="W1198" s="52" t="s">
        <v>49</v>
      </c>
      <c r="X1198" s="107" t="s">
        <v>5043</v>
      </c>
      <c r="Y1198" s="304" t="s">
        <v>5045</v>
      </c>
      <c r="Z1198" s="304" t="s">
        <v>5040</v>
      </c>
      <c r="AA1198" s="52">
        <v>0</v>
      </c>
      <c r="AB1198" s="52">
        <v>0</v>
      </c>
      <c r="AC1198" s="52">
        <v>0</v>
      </c>
      <c r="AD1198" s="21">
        <v>0.66843255889259856</v>
      </c>
      <c r="AE1198" s="54">
        <v>0.66843255889259856</v>
      </c>
      <c r="AF1198" s="315">
        <f t="shared" si="85"/>
        <v>318.8423305917695</v>
      </c>
    </row>
    <row r="1199" spans="1:32" ht="240" x14ac:dyDescent="0.25">
      <c r="A1199" s="107" t="s">
        <v>588</v>
      </c>
      <c r="B1199" s="107" t="s">
        <v>2271</v>
      </c>
      <c r="C1199" s="52"/>
      <c r="D1199" s="107" t="s">
        <v>2302</v>
      </c>
      <c r="E1199" s="22" t="str">
        <f t="shared" si="83"/>
        <v>SEJUSPPROG</v>
      </c>
      <c r="F1199" s="122" t="s">
        <v>886</v>
      </c>
      <c r="G1199" s="22" t="str">
        <f t="shared" si="84"/>
        <v>P146SEJUSP</v>
      </c>
      <c r="H1199" s="107" t="s">
        <v>2307</v>
      </c>
      <c r="I1199" s="22" t="s">
        <v>16</v>
      </c>
      <c r="J1199" s="107" t="s">
        <v>2135</v>
      </c>
      <c r="K1199" s="22" t="str">
        <f>VLOOKUP(CONCATENATE(A1199,LEFT(J1199,4)),AGRUPAMENTO!$D$2:$E$6783,2,FALSE)</f>
        <v>Material de consumo</v>
      </c>
      <c r="L1199" s="107" t="s">
        <v>44</v>
      </c>
      <c r="M1199" s="52"/>
      <c r="N1199" s="52">
        <v>10</v>
      </c>
      <c r="O1199" s="107" t="s">
        <v>3319</v>
      </c>
      <c r="P1199" s="52" t="s">
        <v>46</v>
      </c>
      <c r="Q1199" s="107" t="s">
        <v>3872</v>
      </c>
      <c r="R1199" s="107">
        <v>95</v>
      </c>
      <c r="S1199" s="107" t="s">
        <v>3909</v>
      </c>
      <c r="T1199" s="239">
        <v>2.37</v>
      </c>
      <c r="U1199" s="107">
        <v>1</v>
      </c>
      <c r="V1199" s="58">
        <f t="shared" si="82"/>
        <v>225.15</v>
      </c>
      <c r="W1199" s="52" t="s">
        <v>49</v>
      </c>
      <c r="X1199" s="107" t="s">
        <v>5043</v>
      </c>
      <c r="Y1199" s="304" t="s">
        <v>5045</v>
      </c>
      <c r="Z1199" s="304" t="s">
        <v>5040</v>
      </c>
      <c r="AA1199" s="52">
        <v>0</v>
      </c>
      <c r="AB1199" s="52">
        <v>0</v>
      </c>
      <c r="AC1199" s="52">
        <v>0</v>
      </c>
      <c r="AD1199" s="21">
        <v>0.66843255889259856</v>
      </c>
      <c r="AE1199" s="54">
        <v>0.66843255889259856</v>
      </c>
      <c r="AF1199" s="315">
        <f t="shared" si="85"/>
        <v>150.49759063466857</v>
      </c>
    </row>
    <row r="1200" spans="1:32" ht="240" x14ac:dyDescent="0.25">
      <c r="A1200" s="107" t="s">
        <v>588</v>
      </c>
      <c r="B1200" s="107" t="s">
        <v>2271</v>
      </c>
      <c r="C1200" s="52"/>
      <c r="D1200" s="107" t="s">
        <v>2302</v>
      </c>
      <c r="E1200" s="22" t="str">
        <f t="shared" si="83"/>
        <v>SEJUSPPROG</v>
      </c>
      <c r="F1200" s="122" t="s">
        <v>886</v>
      </c>
      <c r="G1200" s="22" t="str">
        <f t="shared" si="84"/>
        <v>P146SEJUSP</v>
      </c>
      <c r="H1200" s="107" t="s">
        <v>2307</v>
      </c>
      <c r="I1200" s="22" t="s">
        <v>16</v>
      </c>
      <c r="J1200" s="107" t="s">
        <v>1605</v>
      </c>
      <c r="K1200" s="22" t="str">
        <f>VLOOKUP(CONCATENATE(A1200,LEFT(J1200,4)),AGRUPAMENTO!$D$2:$E$6783,2,FALSE)</f>
        <v>Serviços de saúde e medicamentos</v>
      </c>
      <c r="L1200" s="107" t="s">
        <v>44</v>
      </c>
      <c r="M1200" s="52"/>
      <c r="N1200" s="52">
        <v>10</v>
      </c>
      <c r="O1200" s="107" t="s">
        <v>3320</v>
      </c>
      <c r="P1200" s="52" t="s">
        <v>46</v>
      </c>
      <c r="Q1200" s="107" t="s">
        <v>4112</v>
      </c>
      <c r="R1200" s="107">
        <v>132</v>
      </c>
      <c r="S1200" s="107" t="s">
        <v>3909</v>
      </c>
      <c r="T1200" s="239">
        <v>16</v>
      </c>
      <c r="U1200" s="107">
        <v>1</v>
      </c>
      <c r="V1200" s="58">
        <f t="shared" si="82"/>
        <v>2112</v>
      </c>
      <c r="W1200" s="52" t="s">
        <v>49</v>
      </c>
      <c r="X1200" s="107" t="s">
        <v>5054</v>
      </c>
      <c r="Y1200" s="304" t="s">
        <v>5039</v>
      </c>
      <c r="Z1200" s="304" t="s">
        <v>5040</v>
      </c>
      <c r="AA1200" s="52">
        <v>0</v>
      </c>
      <c r="AB1200" s="52">
        <v>0</v>
      </c>
      <c r="AC1200" s="52">
        <v>0</v>
      </c>
      <c r="AD1200" s="21">
        <v>0.68827656736675979</v>
      </c>
      <c r="AE1200" s="54">
        <v>0.68827656736675979</v>
      </c>
      <c r="AF1200" s="315">
        <f t="shared" si="85"/>
        <v>1453.6401102785967</v>
      </c>
    </row>
    <row r="1201" spans="1:32" ht="240" x14ac:dyDescent="0.25">
      <c r="A1201" s="107" t="s">
        <v>588</v>
      </c>
      <c r="B1201" s="107" t="s">
        <v>2271</v>
      </c>
      <c r="C1201" s="52"/>
      <c r="D1201" s="107" t="s">
        <v>2302</v>
      </c>
      <c r="E1201" s="22" t="str">
        <f t="shared" si="83"/>
        <v>SEJUSPPROG</v>
      </c>
      <c r="F1201" s="122" t="s">
        <v>886</v>
      </c>
      <c r="G1201" s="22" t="str">
        <f t="shared" si="84"/>
        <v>P146SEJUSP</v>
      </c>
      <c r="H1201" s="107" t="s">
        <v>2307</v>
      </c>
      <c r="I1201" s="22" t="s">
        <v>16</v>
      </c>
      <c r="J1201" s="107" t="s">
        <v>2135</v>
      </c>
      <c r="K1201" s="22" t="str">
        <f>VLOOKUP(CONCATENATE(A1201,LEFT(J1201,4)),AGRUPAMENTO!$D$2:$E$6783,2,FALSE)</f>
        <v>Material de consumo</v>
      </c>
      <c r="L1201" s="107" t="s">
        <v>44</v>
      </c>
      <c r="M1201" s="52"/>
      <c r="N1201" s="52">
        <v>10</v>
      </c>
      <c r="O1201" s="107" t="s">
        <v>3321</v>
      </c>
      <c r="P1201" s="52" t="s">
        <v>46</v>
      </c>
      <c r="Q1201" s="107" t="s">
        <v>4113</v>
      </c>
      <c r="R1201" s="107">
        <v>37</v>
      </c>
      <c r="S1201" s="107" t="s">
        <v>3909</v>
      </c>
      <c r="T1201" s="239">
        <v>12.5</v>
      </c>
      <c r="U1201" s="107">
        <v>1</v>
      </c>
      <c r="V1201" s="58">
        <f t="shared" si="82"/>
        <v>462.5</v>
      </c>
      <c r="W1201" s="52" t="s">
        <v>49</v>
      </c>
      <c r="X1201" s="107" t="s">
        <v>5043</v>
      </c>
      <c r="Y1201" s="304" t="s">
        <v>5045</v>
      </c>
      <c r="Z1201" s="304" t="s">
        <v>5040</v>
      </c>
      <c r="AA1201" s="52">
        <v>0</v>
      </c>
      <c r="AB1201" s="52">
        <v>0</v>
      </c>
      <c r="AC1201" s="52">
        <v>0</v>
      </c>
      <c r="AD1201" s="21">
        <v>0.66843255889259856</v>
      </c>
      <c r="AE1201" s="54">
        <v>0.66843255889259856</v>
      </c>
      <c r="AF1201" s="315">
        <f t="shared" si="85"/>
        <v>309.15005848782681</v>
      </c>
    </row>
    <row r="1202" spans="1:32" ht="240" x14ac:dyDescent="0.25">
      <c r="A1202" s="107" t="s">
        <v>588</v>
      </c>
      <c r="B1202" s="107" t="s">
        <v>2271</v>
      </c>
      <c r="C1202" s="52"/>
      <c r="D1202" s="107" t="s">
        <v>2302</v>
      </c>
      <c r="E1202" s="22" t="str">
        <f t="shared" si="83"/>
        <v>SEJUSPPROG</v>
      </c>
      <c r="F1202" s="122" t="s">
        <v>886</v>
      </c>
      <c r="G1202" s="22" t="str">
        <f t="shared" si="84"/>
        <v>P146SEJUSP</v>
      </c>
      <c r="H1202" s="107" t="s">
        <v>2307</v>
      </c>
      <c r="I1202" s="22" t="s">
        <v>16</v>
      </c>
      <c r="J1202" s="107" t="s">
        <v>2135</v>
      </c>
      <c r="K1202" s="22" t="str">
        <f>VLOOKUP(CONCATENATE(A1202,LEFT(J1202,4)),AGRUPAMENTO!$D$2:$E$6783,2,FALSE)</f>
        <v>Material de consumo</v>
      </c>
      <c r="L1202" s="107" t="s">
        <v>44</v>
      </c>
      <c r="M1202" s="52"/>
      <c r="N1202" s="52">
        <v>10</v>
      </c>
      <c r="O1202" s="107" t="s">
        <v>3322</v>
      </c>
      <c r="P1202" s="52" t="s">
        <v>46</v>
      </c>
      <c r="Q1202" s="107" t="s">
        <v>4114</v>
      </c>
      <c r="R1202" s="107">
        <v>37</v>
      </c>
      <c r="S1202" s="107" t="s">
        <v>3909</v>
      </c>
      <c r="T1202" s="239">
        <v>17.440000000000001</v>
      </c>
      <c r="U1202" s="107">
        <v>1</v>
      </c>
      <c r="V1202" s="58">
        <f t="shared" si="82"/>
        <v>645.28000000000009</v>
      </c>
      <c r="W1202" s="52" t="s">
        <v>49</v>
      </c>
      <c r="X1202" s="107" t="s">
        <v>5043</v>
      </c>
      <c r="Y1202" s="304" t="s">
        <v>5045</v>
      </c>
      <c r="Z1202" s="304" t="s">
        <v>5040</v>
      </c>
      <c r="AA1202" s="52">
        <v>0</v>
      </c>
      <c r="AB1202" s="52">
        <v>0</v>
      </c>
      <c r="AC1202" s="52">
        <v>0</v>
      </c>
      <c r="AD1202" s="21">
        <v>0.66843255889259856</v>
      </c>
      <c r="AE1202" s="54">
        <v>0.66843255889259856</v>
      </c>
      <c r="AF1202" s="315">
        <f t="shared" si="85"/>
        <v>431.32616160221608</v>
      </c>
    </row>
    <row r="1203" spans="1:32" ht="240" x14ac:dyDescent="0.25">
      <c r="A1203" s="107" t="s">
        <v>588</v>
      </c>
      <c r="B1203" s="107" t="s">
        <v>2271</v>
      </c>
      <c r="C1203" s="52"/>
      <c r="D1203" s="107" t="s">
        <v>2302</v>
      </c>
      <c r="E1203" s="22" t="str">
        <f t="shared" si="83"/>
        <v>SEJUSPPROG</v>
      </c>
      <c r="F1203" s="122" t="s">
        <v>886</v>
      </c>
      <c r="G1203" s="22" t="str">
        <f t="shared" si="84"/>
        <v>P146SEJUSP</v>
      </c>
      <c r="H1203" s="107" t="s">
        <v>2307</v>
      </c>
      <c r="I1203" s="22" t="s">
        <v>16</v>
      </c>
      <c r="J1203" s="107" t="s">
        <v>2135</v>
      </c>
      <c r="K1203" s="22" t="str">
        <f>VLOOKUP(CONCATENATE(A1203,LEFT(J1203,4)),AGRUPAMENTO!$D$2:$E$6783,2,FALSE)</f>
        <v>Material de consumo</v>
      </c>
      <c r="L1203" s="107" t="s">
        <v>44</v>
      </c>
      <c r="M1203" s="52"/>
      <c r="N1203" s="52">
        <v>10</v>
      </c>
      <c r="O1203" s="107" t="s">
        <v>3323</v>
      </c>
      <c r="P1203" s="52" t="s">
        <v>46</v>
      </c>
      <c r="Q1203" s="107" t="s">
        <v>4115</v>
      </c>
      <c r="R1203" s="107">
        <v>46</v>
      </c>
      <c r="S1203" s="107" t="s">
        <v>3909</v>
      </c>
      <c r="T1203" s="239">
        <v>32.58</v>
      </c>
      <c r="U1203" s="107">
        <v>1</v>
      </c>
      <c r="V1203" s="58">
        <f t="shared" si="82"/>
        <v>1498.6799999999998</v>
      </c>
      <c r="W1203" s="52" t="s">
        <v>49</v>
      </c>
      <c r="X1203" s="107" t="s">
        <v>5043</v>
      </c>
      <c r="Y1203" s="304" t="s">
        <v>5045</v>
      </c>
      <c r="Z1203" s="304" t="s">
        <v>5040</v>
      </c>
      <c r="AA1203" s="52">
        <v>0</v>
      </c>
      <c r="AB1203" s="52">
        <v>0</v>
      </c>
      <c r="AC1203" s="52">
        <v>0</v>
      </c>
      <c r="AD1203" s="21">
        <v>0.66843255889259856</v>
      </c>
      <c r="AE1203" s="54">
        <v>0.66843255889259856</v>
      </c>
      <c r="AF1203" s="315">
        <f t="shared" si="85"/>
        <v>1001.7665073611595</v>
      </c>
    </row>
    <row r="1204" spans="1:32" ht="240" x14ac:dyDescent="0.25">
      <c r="A1204" s="107" t="s">
        <v>588</v>
      </c>
      <c r="B1204" s="107" t="s">
        <v>2271</v>
      </c>
      <c r="C1204" s="52"/>
      <c r="D1204" s="107" t="s">
        <v>2302</v>
      </c>
      <c r="E1204" s="22" t="str">
        <f t="shared" si="83"/>
        <v>SEJUSPPROG</v>
      </c>
      <c r="F1204" s="122" t="s">
        <v>886</v>
      </c>
      <c r="G1204" s="22" t="str">
        <f t="shared" si="84"/>
        <v>P146SEJUSP</v>
      </c>
      <c r="H1204" s="107" t="s">
        <v>2307</v>
      </c>
      <c r="I1204" s="22" t="s">
        <v>16</v>
      </c>
      <c r="J1204" s="107" t="s">
        <v>2135</v>
      </c>
      <c r="K1204" s="22" t="str">
        <f>VLOOKUP(CONCATENATE(A1204,LEFT(J1204,4)),AGRUPAMENTO!$D$2:$E$6783,2,FALSE)</f>
        <v>Material de consumo</v>
      </c>
      <c r="L1204" s="107" t="s">
        <v>44</v>
      </c>
      <c r="M1204" s="52"/>
      <c r="N1204" s="52">
        <v>10</v>
      </c>
      <c r="O1204" s="107" t="s">
        <v>3324</v>
      </c>
      <c r="P1204" s="52" t="s">
        <v>46</v>
      </c>
      <c r="Q1204" s="107" t="s">
        <v>4116</v>
      </c>
      <c r="R1204" s="107">
        <v>46</v>
      </c>
      <c r="S1204" s="107" t="s">
        <v>3909</v>
      </c>
      <c r="T1204" s="239">
        <v>35.85</v>
      </c>
      <c r="U1204" s="107">
        <v>1</v>
      </c>
      <c r="V1204" s="58">
        <f t="shared" si="82"/>
        <v>1649.1000000000001</v>
      </c>
      <c r="W1204" s="52" t="s">
        <v>49</v>
      </c>
      <c r="X1204" s="107" t="s">
        <v>5043</v>
      </c>
      <c r="Y1204" s="304" t="s">
        <v>5045</v>
      </c>
      <c r="Z1204" s="304" t="s">
        <v>5040</v>
      </c>
      <c r="AA1204" s="52">
        <v>0</v>
      </c>
      <c r="AB1204" s="52">
        <v>0</v>
      </c>
      <c r="AC1204" s="52">
        <v>0</v>
      </c>
      <c r="AD1204" s="21">
        <v>0.66843255889259856</v>
      </c>
      <c r="AE1204" s="54">
        <v>0.66843255889259856</v>
      </c>
      <c r="AF1204" s="315">
        <f t="shared" si="85"/>
        <v>1102.3121328697844</v>
      </c>
    </row>
    <row r="1205" spans="1:32" ht="240" x14ac:dyDescent="0.25">
      <c r="A1205" s="107" t="s">
        <v>588</v>
      </c>
      <c r="B1205" s="107" t="s">
        <v>2271</v>
      </c>
      <c r="C1205" s="52"/>
      <c r="D1205" s="107" t="s">
        <v>2302</v>
      </c>
      <c r="E1205" s="22" t="str">
        <f t="shared" si="83"/>
        <v>SEJUSPPROG</v>
      </c>
      <c r="F1205" s="122" t="s">
        <v>886</v>
      </c>
      <c r="G1205" s="22" t="str">
        <f t="shared" si="84"/>
        <v>P146SEJUSP</v>
      </c>
      <c r="H1205" s="107" t="s">
        <v>2307</v>
      </c>
      <c r="I1205" s="22" t="s">
        <v>16</v>
      </c>
      <c r="J1205" s="107" t="s">
        <v>2135</v>
      </c>
      <c r="K1205" s="22" t="str">
        <f>VLOOKUP(CONCATENATE(A1205,LEFT(J1205,4)),AGRUPAMENTO!$D$2:$E$6783,2,FALSE)</f>
        <v>Material de consumo</v>
      </c>
      <c r="L1205" s="107" t="s">
        <v>44</v>
      </c>
      <c r="M1205" s="52"/>
      <c r="N1205" s="52">
        <v>10</v>
      </c>
      <c r="O1205" s="107" t="s">
        <v>3325</v>
      </c>
      <c r="P1205" s="52" t="s">
        <v>46</v>
      </c>
      <c r="Q1205" s="107" t="s">
        <v>3812</v>
      </c>
      <c r="R1205" s="107">
        <v>46</v>
      </c>
      <c r="S1205" s="107" t="s">
        <v>3909</v>
      </c>
      <c r="T1205" s="239">
        <v>4.66</v>
      </c>
      <c r="U1205" s="107">
        <v>1</v>
      </c>
      <c r="V1205" s="58">
        <f t="shared" si="82"/>
        <v>214.36</v>
      </c>
      <c r="W1205" s="52" t="s">
        <v>49</v>
      </c>
      <c r="X1205" s="107" t="s">
        <v>5043</v>
      </c>
      <c r="Y1205" s="304" t="s">
        <v>5045</v>
      </c>
      <c r="Z1205" s="304" t="s">
        <v>5040</v>
      </c>
      <c r="AA1205" s="52">
        <v>0</v>
      </c>
      <c r="AB1205" s="52">
        <v>0</v>
      </c>
      <c r="AC1205" s="52">
        <v>0</v>
      </c>
      <c r="AD1205" s="21">
        <v>0.66843255889259856</v>
      </c>
      <c r="AE1205" s="54">
        <v>0.66843255889259856</v>
      </c>
      <c r="AF1205" s="315">
        <f t="shared" si="85"/>
        <v>143.28520332421743</v>
      </c>
    </row>
    <row r="1206" spans="1:32" ht="240" x14ac:dyDescent="0.25">
      <c r="A1206" s="107" t="s">
        <v>588</v>
      </c>
      <c r="B1206" s="107" t="s">
        <v>2271</v>
      </c>
      <c r="C1206" s="52"/>
      <c r="D1206" s="107" t="s">
        <v>2302</v>
      </c>
      <c r="E1206" s="22" t="str">
        <f t="shared" si="83"/>
        <v>SEJUSPPROG</v>
      </c>
      <c r="F1206" s="122" t="s">
        <v>886</v>
      </c>
      <c r="G1206" s="22" t="str">
        <f t="shared" si="84"/>
        <v>P146SEJUSP</v>
      </c>
      <c r="H1206" s="107" t="s">
        <v>2307</v>
      </c>
      <c r="I1206" s="22" t="s">
        <v>16</v>
      </c>
      <c r="J1206" s="107" t="s">
        <v>2135</v>
      </c>
      <c r="K1206" s="22" t="str">
        <f>VLOOKUP(CONCATENATE(A1206,LEFT(J1206,4)),AGRUPAMENTO!$D$2:$E$6783,2,FALSE)</f>
        <v>Material de consumo</v>
      </c>
      <c r="L1206" s="107" t="s">
        <v>44</v>
      </c>
      <c r="M1206" s="52"/>
      <c r="N1206" s="52">
        <v>10</v>
      </c>
      <c r="O1206" s="107" t="s">
        <v>3326</v>
      </c>
      <c r="P1206" s="52" t="s">
        <v>46</v>
      </c>
      <c r="Q1206" s="107" t="s">
        <v>4117</v>
      </c>
      <c r="R1206" s="107">
        <v>42</v>
      </c>
      <c r="S1206" s="107" t="s">
        <v>3909</v>
      </c>
      <c r="T1206" s="239">
        <v>65.900000000000006</v>
      </c>
      <c r="U1206" s="107">
        <v>1</v>
      </c>
      <c r="V1206" s="58">
        <f t="shared" si="82"/>
        <v>2767.8</v>
      </c>
      <c r="W1206" s="52" t="s">
        <v>49</v>
      </c>
      <c r="X1206" s="107" t="s">
        <v>5043</v>
      </c>
      <c r="Y1206" s="304" t="s">
        <v>5045</v>
      </c>
      <c r="Z1206" s="304" t="s">
        <v>5040</v>
      </c>
      <c r="AA1206" s="52">
        <v>0</v>
      </c>
      <c r="AB1206" s="52">
        <v>0</v>
      </c>
      <c r="AC1206" s="52">
        <v>0</v>
      </c>
      <c r="AD1206" s="21">
        <v>0.66843255889259856</v>
      </c>
      <c r="AE1206" s="54">
        <v>0.66843255889259856</v>
      </c>
      <c r="AF1206" s="315">
        <f t="shared" si="85"/>
        <v>1850.0876365029344</v>
      </c>
    </row>
    <row r="1207" spans="1:32" ht="240" x14ac:dyDescent="0.25">
      <c r="A1207" s="107" t="s">
        <v>588</v>
      </c>
      <c r="B1207" s="107" t="s">
        <v>2271</v>
      </c>
      <c r="C1207" s="52"/>
      <c r="D1207" s="107" t="s">
        <v>2302</v>
      </c>
      <c r="E1207" s="22" t="str">
        <f t="shared" si="83"/>
        <v>SEJUSPPROG</v>
      </c>
      <c r="F1207" s="122" t="s">
        <v>886</v>
      </c>
      <c r="G1207" s="22" t="str">
        <f t="shared" si="84"/>
        <v>P146SEJUSP</v>
      </c>
      <c r="H1207" s="107" t="s">
        <v>2307</v>
      </c>
      <c r="I1207" s="22" t="s">
        <v>16</v>
      </c>
      <c r="J1207" s="107" t="s">
        <v>1605</v>
      </c>
      <c r="K1207" s="22" t="str">
        <f>VLOOKUP(CONCATENATE(A1207,LEFT(J1207,4)),AGRUPAMENTO!$D$2:$E$6783,2,FALSE)</f>
        <v>Serviços de saúde e medicamentos</v>
      </c>
      <c r="L1207" s="107" t="s">
        <v>44</v>
      </c>
      <c r="M1207" s="52"/>
      <c r="N1207" s="52">
        <v>10</v>
      </c>
      <c r="O1207" s="107" t="s">
        <v>3327</v>
      </c>
      <c r="P1207" s="52" t="s">
        <v>46</v>
      </c>
      <c r="Q1207" s="107" t="s">
        <v>3872</v>
      </c>
      <c r="R1207" s="107">
        <v>132</v>
      </c>
      <c r="S1207" s="107" t="s">
        <v>3909</v>
      </c>
      <c r="T1207" s="239">
        <v>6.41</v>
      </c>
      <c r="U1207" s="107">
        <v>1</v>
      </c>
      <c r="V1207" s="58">
        <f t="shared" si="82"/>
        <v>846.12</v>
      </c>
      <c r="W1207" s="52" t="s">
        <v>49</v>
      </c>
      <c r="X1207" s="107" t="s">
        <v>5054</v>
      </c>
      <c r="Y1207" s="304" t="s">
        <v>5039</v>
      </c>
      <c r="Z1207" s="304" t="s">
        <v>5040</v>
      </c>
      <c r="AA1207" s="52">
        <v>0</v>
      </c>
      <c r="AB1207" s="52">
        <v>0</v>
      </c>
      <c r="AC1207" s="52">
        <v>0</v>
      </c>
      <c r="AD1207" s="21">
        <v>0.68827656736675979</v>
      </c>
      <c r="AE1207" s="54">
        <v>0.68827656736675979</v>
      </c>
      <c r="AF1207" s="315">
        <f t="shared" si="85"/>
        <v>582.36456918036276</v>
      </c>
    </row>
    <row r="1208" spans="1:32" ht="240" x14ac:dyDescent="0.25">
      <c r="A1208" s="107" t="s">
        <v>588</v>
      </c>
      <c r="B1208" s="107" t="s">
        <v>2271</v>
      </c>
      <c r="C1208" s="52"/>
      <c r="D1208" s="107" t="s">
        <v>2302</v>
      </c>
      <c r="E1208" s="22" t="str">
        <f t="shared" si="83"/>
        <v>SEJUSPPROG</v>
      </c>
      <c r="F1208" s="122" t="s">
        <v>886</v>
      </c>
      <c r="G1208" s="22" t="str">
        <f t="shared" si="84"/>
        <v>P146SEJUSP</v>
      </c>
      <c r="H1208" s="107" t="s">
        <v>2307</v>
      </c>
      <c r="I1208" s="22" t="s">
        <v>16</v>
      </c>
      <c r="J1208" s="107" t="s">
        <v>1605</v>
      </c>
      <c r="K1208" s="22" t="str">
        <f>VLOOKUP(CONCATENATE(A1208,LEFT(J1208,4)),AGRUPAMENTO!$D$2:$E$6783,2,FALSE)</f>
        <v>Serviços de saúde e medicamentos</v>
      </c>
      <c r="L1208" s="107" t="s">
        <v>44</v>
      </c>
      <c r="M1208" s="52"/>
      <c r="N1208" s="52">
        <v>10</v>
      </c>
      <c r="O1208" s="107" t="s">
        <v>3328</v>
      </c>
      <c r="P1208" s="52" t="s">
        <v>46</v>
      </c>
      <c r="Q1208" s="107" t="s">
        <v>3872</v>
      </c>
      <c r="R1208" s="107">
        <v>34</v>
      </c>
      <c r="S1208" s="107" t="s">
        <v>3909</v>
      </c>
      <c r="T1208" s="239">
        <v>4.66</v>
      </c>
      <c r="U1208" s="107">
        <v>1</v>
      </c>
      <c r="V1208" s="58">
        <f t="shared" si="82"/>
        <v>158.44</v>
      </c>
      <c r="W1208" s="52" t="s">
        <v>49</v>
      </c>
      <c r="X1208" s="107" t="s">
        <v>5059</v>
      </c>
      <c r="Y1208" s="304" t="s">
        <v>5042</v>
      </c>
      <c r="Z1208" s="304" t="s">
        <v>5040</v>
      </c>
      <c r="AA1208" s="52">
        <v>0</v>
      </c>
      <c r="AB1208" s="52">
        <v>0</v>
      </c>
      <c r="AC1208" s="52">
        <v>0</v>
      </c>
      <c r="AD1208" s="21">
        <v>0.68827656736675979</v>
      </c>
      <c r="AE1208" s="54">
        <v>0.68827656736675979</v>
      </c>
      <c r="AF1208" s="315">
        <f t="shared" si="85"/>
        <v>109.05053933358943</v>
      </c>
    </row>
    <row r="1209" spans="1:32" ht="240" x14ac:dyDescent="0.25">
      <c r="A1209" s="107" t="s">
        <v>588</v>
      </c>
      <c r="B1209" s="107" t="s">
        <v>2271</v>
      </c>
      <c r="C1209" s="52"/>
      <c r="D1209" s="107" t="s">
        <v>2302</v>
      </c>
      <c r="E1209" s="22" t="str">
        <f t="shared" si="83"/>
        <v>SEJUSPPROG</v>
      </c>
      <c r="F1209" s="122" t="s">
        <v>886</v>
      </c>
      <c r="G1209" s="22" t="str">
        <f t="shared" si="84"/>
        <v>P146SEJUSP</v>
      </c>
      <c r="H1209" s="107" t="s">
        <v>2307</v>
      </c>
      <c r="I1209" s="22" t="s">
        <v>16</v>
      </c>
      <c r="J1209" s="107" t="s">
        <v>2135</v>
      </c>
      <c r="K1209" s="22" t="str">
        <f>VLOOKUP(CONCATENATE(A1209,LEFT(J1209,4)),AGRUPAMENTO!$D$2:$E$6783,2,FALSE)</f>
        <v>Material de consumo</v>
      </c>
      <c r="L1209" s="107" t="s">
        <v>44</v>
      </c>
      <c r="M1209" s="52"/>
      <c r="N1209" s="52">
        <v>10</v>
      </c>
      <c r="O1209" s="107" t="s">
        <v>3329</v>
      </c>
      <c r="P1209" s="52" t="s">
        <v>46</v>
      </c>
      <c r="Q1209" s="107" t="s">
        <v>4118</v>
      </c>
      <c r="R1209" s="107">
        <v>37</v>
      </c>
      <c r="S1209" s="107" t="s">
        <v>3909</v>
      </c>
      <c r="T1209" s="239">
        <v>5.99</v>
      </c>
      <c r="U1209" s="107">
        <v>1</v>
      </c>
      <c r="V1209" s="58">
        <f t="shared" si="82"/>
        <v>221.63</v>
      </c>
      <c r="W1209" s="52" t="s">
        <v>49</v>
      </c>
      <c r="X1209" s="107" t="s">
        <v>5043</v>
      </c>
      <c r="Y1209" s="304" t="s">
        <v>5045</v>
      </c>
      <c r="Z1209" s="304" t="s">
        <v>5040</v>
      </c>
      <c r="AA1209" s="52">
        <v>0</v>
      </c>
      <c r="AB1209" s="52">
        <v>0</v>
      </c>
      <c r="AC1209" s="52">
        <v>0</v>
      </c>
      <c r="AD1209" s="21">
        <v>0.66843255889259856</v>
      </c>
      <c r="AE1209" s="54">
        <v>0.66843255889259856</v>
      </c>
      <c r="AF1209" s="315">
        <f t="shared" si="85"/>
        <v>148.14470802736662</v>
      </c>
    </row>
    <row r="1210" spans="1:32" ht="240" x14ac:dyDescent="0.25">
      <c r="A1210" s="107" t="s">
        <v>588</v>
      </c>
      <c r="B1210" s="107" t="s">
        <v>2271</v>
      </c>
      <c r="C1210" s="52"/>
      <c r="D1210" s="107" t="s">
        <v>2302</v>
      </c>
      <c r="E1210" s="22" t="str">
        <f t="shared" si="83"/>
        <v>SEJUSPPROG</v>
      </c>
      <c r="F1210" s="122" t="s">
        <v>886</v>
      </c>
      <c r="G1210" s="22" t="str">
        <f t="shared" si="84"/>
        <v>P146SEJUSP</v>
      </c>
      <c r="H1210" s="107" t="s">
        <v>2307</v>
      </c>
      <c r="I1210" s="22" t="s">
        <v>16</v>
      </c>
      <c r="J1210" s="107" t="s">
        <v>2135</v>
      </c>
      <c r="K1210" s="22" t="str">
        <f>VLOOKUP(CONCATENATE(A1210,LEFT(J1210,4)),AGRUPAMENTO!$D$2:$E$6783,2,FALSE)</f>
        <v>Material de consumo</v>
      </c>
      <c r="L1210" s="107" t="s">
        <v>44</v>
      </c>
      <c r="M1210" s="52"/>
      <c r="N1210" s="52">
        <v>10</v>
      </c>
      <c r="O1210" s="107" t="s">
        <v>3330</v>
      </c>
      <c r="P1210" s="52" t="s">
        <v>46</v>
      </c>
      <c r="Q1210" s="107" t="s">
        <v>3872</v>
      </c>
      <c r="R1210" s="107">
        <v>28</v>
      </c>
      <c r="S1210" s="107" t="s">
        <v>3909</v>
      </c>
      <c r="T1210" s="239">
        <v>22.9</v>
      </c>
      <c r="U1210" s="107">
        <v>1</v>
      </c>
      <c r="V1210" s="58">
        <f t="shared" si="82"/>
        <v>641.19999999999993</v>
      </c>
      <c r="W1210" s="52" t="s">
        <v>49</v>
      </c>
      <c r="X1210" s="107" t="s">
        <v>5043</v>
      </c>
      <c r="Y1210" s="304" t="s">
        <v>5045</v>
      </c>
      <c r="Z1210" s="304" t="s">
        <v>5040</v>
      </c>
      <c r="AA1210" s="52">
        <v>0</v>
      </c>
      <c r="AB1210" s="52">
        <v>0</v>
      </c>
      <c r="AC1210" s="52">
        <v>0</v>
      </c>
      <c r="AD1210" s="21">
        <v>0.66843255889259856</v>
      </c>
      <c r="AE1210" s="54">
        <v>0.66843255889259856</v>
      </c>
      <c r="AF1210" s="315">
        <f t="shared" si="85"/>
        <v>428.59895676193418</v>
      </c>
    </row>
    <row r="1211" spans="1:32" ht="240" x14ac:dyDescent="0.25">
      <c r="A1211" s="107" t="s">
        <v>588</v>
      </c>
      <c r="B1211" s="107" t="s">
        <v>2271</v>
      </c>
      <c r="C1211" s="52"/>
      <c r="D1211" s="107" t="s">
        <v>2302</v>
      </c>
      <c r="E1211" s="22" t="str">
        <f t="shared" si="83"/>
        <v>SEJUSPPROG</v>
      </c>
      <c r="F1211" s="122" t="s">
        <v>886</v>
      </c>
      <c r="G1211" s="22" t="str">
        <f t="shared" si="84"/>
        <v>P146SEJUSP</v>
      </c>
      <c r="H1211" s="107" t="s">
        <v>2307</v>
      </c>
      <c r="I1211" s="22" t="s">
        <v>16</v>
      </c>
      <c r="J1211" s="107" t="s">
        <v>1605</v>
      </c>
      <c r="K1211" s="22" t="str">
        <f>VLOOKUP(CONCATENATE(A1211,LEFT(J1211,4)),AGRUPAMENTO!$D$2:$E$6783,2,FALSE)</f>
        <v>Serviços de saúde e medicamentos</v>
      </c>
      <c r="L1211" s="107" t="s">
        <v>44</v>
      </c>
      <c r="M1211" s="52"/>
      <c r="N1211" s="52">
        <v>10</v>
      </c>
      <c r="O1211" s="107" t="s">
        <v>3331</v>
      </c>
      <c r="P1211" s="52" t="s">
        <v>46</v>
      </c>
      <c r="Q1211" s="107" t="s">
        <v>3872</v>
      </c>
      <c r="R1211" s="107">
        <v>22</v>
      </c>
      <c r="S1211" s="107" t="s">
        <v>3909</v>
      </c>
      <c r="T1211" s="239">
        <v>18.510000000000002</v>
      </c>
      <c r="U1211" s="107">
        <v>1</v>
      </c>
      <c r="V1211" s="58">
        <f t="shared" si="82"/>
        <v>407.22</v>
      </c>
      <c r="W1211" s="52" t="s">
        <v>49</v>
      </c>
      <c r="X1211" s="107" t="s">
        <v>5054</v>
      </c>
      <c r="Y1211" s="304" t="s">
        <v>5039</v>
      </c>
      <c r="Z1211" s="304" t="s">
        <v>5040</v>
      </c>
      <c r="AA1211" s="52">
        <v>0</v>
      </c>
      <c r="AB1211" s="52">
        <v>0</v>
      </c>
      <c r="AC1211" s="52">
        <v>0</v>
      </c>
      <c r="AD1211" s="21">
        <v>0.68827656736675979</v>
      </c>
      <c r="AE1211" s="54">
        <v>0.68827656736675979</v>
      </c>
      <c r="AF1211" s="315">
        <f t="shared" si="85"/>
        <v>280.27998376309193</v>
      </c>
    </row>
    <row r="1212" spans="1:32" ht="240" x14ac:dyDescent="0.25">
      <c r="A1212" s="107" t="s">
        <v>588</v>
      </c>
      <c r="B1212" s="107" t="s">
        <v>2271</v>
      </c>
      <c r="C1212" s="52"/>
      <c r="D1212" s="107" t="s">
        <v>2302</v>
      </c>
      <c r="E1212" s="22" t="str">
        <f t="shared" si="83"/>
        <v>SEJUSPPROG</v>
      </c>
      <c r="F1212" s="122" t="s">
        <v>886</v>
      </c>
      <c r="G1212" s="22" t="str">
        <f t="shared" si="84"/>
        <v>P146SEJUSP</v>
      </c>
      <c r="H1212" s="107" t="s">
        <v>2307</v>
      </c>
      <c r="I1212" s="22" t="s">
        <v>16</v>
      </c>
      <c r="J1212" s="107" t="s">
        <v>2135</v>
      </c>
      <c r="K1212" s="22" t="str">
        <f>VLOOKUP(CONCATENATE(A1212,LEFT(J1212,4)),AGRUPAMENTO!$D$2:$E$6783,2,FALSE)</f>
        <v>Material de consumo</v>
      </c>
      <c r="L1212" s="107" t="s">
        <v>44</v>
      </c>
      <c r="M1212" s="52"/>
      <c r="N1212" s="52">
        <v>10</v>
      </c>
      <c r="O1212" s="107" t="s">
        <v>3332</v>
      </c>
      <c r="P1212" s="52" t="s">
        <v>46</v>
      </c>
      <c r="Q1212" s="107" t="s">
        <v>4119</v>
      </c>
      <c r="R1212" s="107">
        <v>10</v>
      </c>
      <c r="S1212" s="107" t="s">
        <v>3909</v>
      </c>
      <c r="T1212" s="239">
        <v>57.9</v>
      </c>
      <c r="U1212" s="107">
        <v>1</v>
      </c>
      <c r="V1212" s="58">
        <f t="shared" si="82"/>
        <v>579</v>
      </c>
      <c r="W1212" s="52" t="s">
        <v>49</v>
      </c>
      <c r="X1212" s="107" t="s">
        <v>5043</v>
      </c>
      <c r="Y1212" s="304" t="s">
        <v>5045</v>
      </c>
      <c r="Z1212" s="304" t="s">
        <v>5040</v>
      </c>
      <c r="AA1212" s="52">
        <v>0</v>
      </c>
      <c r="AB1212" s="52">
        <v>0</v>
      </c>
      <c r="AC1212" s="52">
        <v>0</v>
      </c>
      <c r="AD1212" s="21">
        <v>0.66843255889259856</v>
      </c>
      <c r="AE1212" s="54">
        <v>0.66843255889259856</v>
      </c>
      <c r="AF1212" s="315">
        <f t="shared" si="85"/>
        <v>387.02245159881454</v>
      </c>
    </row>
    <row r="1213" spans="1:32" ht="255" x14ac:dyDescent="0.25">
      <c r="A1213" s="107" t="s">
        <v>588</v>
      </c>
      <c r="B1213" s="107" t="s">
        <v>2271</v>
      </c>
      <c r="C1213" s="52"/>
      <c r="D1213" s="107" t="s">
        <v>2302</v>
      </c>
      <c r="E1213" s="22" t="str">
        <f t="shared" si="83"/>
        <v>SEJUSPPROG</v>
      </c>
      <c r="F1213" s="122" t="s">
        <v>886</v>
      </c>
      <c r="G1213" s="22" t="str">
        <f t="shared" si="84"/>
        <v>P146SEJUSP</v>
      </c>
      <c r="H1213" s="107" t="s">
        <v>2307</v>
      </c>
      <c r="I1213" s="22" t="s">
        <v>16</v>
      </c>
      <c r="J1213" s="107" t="s">
        <v>2135</v>
      </c>
      <c r="K1213" s="22" t="str">
        <f>VLOOKUP(CONCATENATE(A1213,LEFT(J1213,4)),AGRUPAMENTO!$D$2:$E$6783,2,FALSE)</f>
        <v>Material de consumo</v>
      </c>
      <c r="L1213" s="107" t="s">
        <v>44</v>
      </c>
      <c r="M1213" s="52"/>
      <c r="N1213" s="52">
        <v>10</v>
      </c>
      <c r="O1213" s="107" t="s">
        <v>3333</v>
      </c>
      <c r="P1213" s="52" t="s">
        <v>46</v>
      </c>
      <c r="Q1213" s="107" t="s">
        <v>4107</v>
      </c>
      <c r="R1213" s="107">
        <v>37</v>
      </c>
      <c r="S1213" s="107" t="s">
        <v>3909</v>
      </c>
      <c r="T1213" s="239">
        <v>10.9</v>
      </c>
      <c r="U1213" s="107">
        <v>1</v>
      </c>
      <c r="V1213" s="58">
        <f t="shared" si="82"/>
        <v>403.3</v>
      </c>
      <c r="W1213" s="52" t="s">
        <v>49</v>
      </c>
      <c r="X1213" s="107" t="s">
        <v>5043</v>
      </c>
      <c r="Y1213" s="304" t="s">
        <v>5045</v>
      </c>
      <c r="Z1213" s="304" t="s">
        <v>5040</v>
      </c>
      <c r="AA1213" s="52">
        <v>0</v>
      </c>
      <c r="AB1213" s="52">
        <v>0</v>
      </c>
      <c r="AC1213" s="52">
        <v>0</v>
      </c>
      <c r="AD1213" s="21">
        <v>0.66843255889259856</v>
      </c>
      <c r="AE1213" s="54">
        <v>0.66843255889259856</v>
      </c>
      <c r="AF1213" s="315">
        <f t="shared" si="85"/>
        <v>269.57885100138503</v>
      </c>
    </row>
    <row r="1214" spans="1:32" ht="150" x14ac:dyDescent="0.25">
      <c r="A1214" s="107" t="s">
        <v>588</v>
      </c>
      <c r="B1214" s="107" t="s">
        <v>2271</v>
      </c>
      <c r="C1214" s="52"/>
      <c r="D1214" s="107" t="s">
        <v>2302</v>
      </c>
      <c r="E1214" s="22" t="str">
        <f t="shared" si="83"/>
        <v>SEJUSPPROG</v>
      </c>
      <c r="F1214" s="122" t="s">
        <v>886</v>
      </c>
      <c r="G1214" s="22" t="str">
        <f t="shared" si="84"/>
        <v>P146SEJUSP</v>
      </c>
      <c r="H1214" s="107" t="s">
        <v>2307</v>
      </c>
      <c r="I1214" s="22" t="s">
        <v>16</v>
      </c>
      <c r="J1214" s="92" t="s">
        <v>1713</v>
      </c>
      <c r="K1214" s="22" t="str">
        <f>VLOOKUP(CONCATENATE(A1214,LEFT(J1214,4)),AGRUPAMENTO!$D$2:$E$6783,2,FALSE)</f>
        <v>Serviços de saúde e medicamentos</v>
      </c>
      <c r="L1214" s="52" t="s">
        <v>94</v>
      </c>
      <c r="M1214" s="52"/>
      <c r="N1214" s="52">
        <v>10</v>
      </c>
      <c r="O1214" s="107" t="s">
        <v>3334</v>
      </c>
      <c r="P1214" s="52" t="s">
        <v>46</v>
      </c>
      <c r="Q1214" s="107" t="s">
        <v>3812</v>
      </c>
      <c r="R1214" s="107">
        <v>2</v>
      </c>
      <c r="S1214" s="107" t="s">
        <v>3909</v>
      </c>
      <c r="T1214" s="239">
        <v>189.91</v>
      </c>
      <c r="U1214" s="107">
        <v>1</v>
      </c>
      <c r="V1214" s="58">
        <f t="shared" si="82"/>
        <v>379.82</v>
      </c>
      <c r="W1214" s="52" t="s">
        <v>49</v>
      </c>
      <c r="X1214" s="107" t="s">
        <v>5060</v>
      </c>
      <c r="Y1214" s="304" t="s">
        <v>5048</v>
      </c>
      <c r="Z1214" s="304" t="s">
        <v>5061</v>
      </c>
      <c r="AA1214" s="52">
        <v>0</v>
      </c>
      <c r="AB1214" s="52">
        <v>0</v>
      </c>
      <c r="AC1214" s="52">
        <v>0</v>
      </c>
      <c r="AD1214" s="21">
        <v>1</v>
      </c>
      <c r="AE1214" s="54">
        <v>1</v>
      </c>
      <c r="AF1214" s="315">
        <f t="shared" si="85"/>
        <v>379.82</v>
      </c>
    </row>
    <row r="1215" spans="1:32" ht="240" x14ac:dyDescent="0.25">
      <c r="A1215" s="107" t="s">
        <v>588</v>
      </c>
      <c r="B1215" s="107" t="s">
        <v>2271</v>
      </c>
      <c r="C1215" s="52"/>
      <c r="D1215" s="107" t="s">
        <v>2302</v>
      </c>
      <c r="E1215" s="22" t="str">
        <f t="shared" si="83"/>
        <v>SEJUSPPROG</v>
      </c>
      <c r="F1215" s="122" t="s">
        <v>886</v>
      </c>
      <c r="G1215" s="22" t="str">
        <f t="shared" si="84"/>
        <v>P146SEJUSP</v>
      </c>
      <c r="H1215" s="107" t="s">
        <v>2307</v>
      </c>
      <c r="I1215" s="22" t="s">
        <v>16</v>
      </c>
      <c r="J1215" s="107" t="s">
        <v>405</v>
      </c>
      <c r="K1215" s="22" t="str">
        <f>VLOOKUP(CONCATENATE(A1215,LEFT(J1215,4)),AGRUPAMENTO!$D$2:$E$6783,2,FALSE)</f>
        <v>Material de consumo</v>
      </c>
      <c r="L1215" s="107" t="s">
        <v>44</v>
      </c>
      <c r="M1215" s="52"/>
      <c r="N1215" s="52">
        <v>10</v>
      </c>
      <c r="O1215" s="107" t="s">
        <v>3335</v>
      </c>
      <c r="P1215" s="52" t="s">
        <v>46</v>
      </c>
      <c r="Q1215" s="107" t="s">
        <v>4120</v>
      </c>
      <c r="R1215" s="107">
        <v>19</v>
      </c>
      <c r="S1215" s="107" t="s">
        <v>3909</v>
      </c>
      <c r="T1215" s="239">
        <v>6.4</v>
      </c>
      <c r="U1215" s="107">
        <v>1</v>
      </c>
      <c r="V1215" s="58">
        <f t="shared" si="82"/>
        <v>121.60000000000001</v>
      </c>
      <c r="W1215" s="52" t="s">
        <v>49</v>
      </c>
      <c r="X1215" s="107" t="s">
        <v>5047</v>
      </c>
      <c r="Y1215" s="304" t="s">
        <v>5062</v>
      </c>
      <c r="Z1215" s="304" t="s">
        <v>5040</v>
      </c>
      <c r="AA1215" s="52">
        <v>0</v>
      </c>
      <c r="AB1215" s="52">
        <v>0</v>
      </c>
      <c r="AC1215" s="52">
        <v>0</v>
      </c>
      <c r="AD1215" s="21">
        <v>0.66843255889259856</v>
      </c>
      <c r="AE1215" s="54">
        <v>0.66843255889259856</v>
      </c>
      <c r="AF1215" s="315">
        <f t="shared" si="85"/>
        <v>81.281399161339991</v>
      </c>
    </row>
    <row r="1216" spans="1:32" ht="240" x14ac:dyDescent="0.25">
      <c r="A1216" s="107" t="s">
        <v>588</v>
      </c>
      <c r="B1216" s="107" t="s">
        <v>2271</v>
      </c>
      <c r="C1216" s="52"/>
      <c r="D1216" s="107" t="s">
        <v>2302</v>
      </c>
      <c r="E1216" s="22" t="str">
        <f t="shared" si="83"/>
        <v>SEJUSPPROG</v>
      </c>
      <c r="F1216" s="122" t="s">
        <v>886</v>
      </c>
      <c r="G1216" s="22" t="str">
        <f t="shared" si="84"/>
        <v>P146SEJUSP</v>
      </c>
      <c r="H1216" s="107" t="s">
        <v>2307</v>
      </c>
      <c r="I1216" s="22" t="s">
        <v>16</v>
      </c>
      <c r="J1216" s="107" t="s">
        <v>2135</v>
      </c>
      <c r="K1216" s="22" t="str">
        <f>VLOOKUP(CONCATENATE(A1216,LEFT(J1216,4)),AGRUPAMENTO!$D$2:$E$6783,2,FALSE)</f>
        <v>Material de consumo</v>
      </c>
      <c r="L1216" s="107" t="s">
        <v>44</v>
      </c>
      <c r="M1216" s="52"/>
      <c r="N1216" s="52">
        <v>10</v>
      </c>
      <c r="O1216" s="107" t="s">
        <v>3336</v>
      </c>
      <c r="P1216" s="52" t="s">
        <v>46</v>
      </c>
      <c r="Q1216" s="107" t="s">
        <v>4121</v>
      </c>
      <c r="R1216" s="107">
        <v>136</v>
      </c>
      <c r="S1216" s="107" t="s">
        <v>3909</v>
      </c>
      <c r="T1216" s="239">
        <v>45</v>
      </c>
      <c r="U1216" s="107">
        <v>1</v>
      </c>
      <c r="V1216" s="58">
        <f t="shared" si="82"/>
        <v>6120</v>
      </c>
      <c r="W1216" s="52" t="s">
        <v>49</v>
      </c>
      <c r="X1216" s="107" t="s">
        <v>5043</v>
      </c>
      <c r="Y1216" s="304" t="s">
        <v>5045</v>
      </c>
      <c r="Z1216" s="304" t="s">
        <v>5040</v>
      </c>
      <c r="AA1216" s="52">
        <v>0</v>
      </c>
      <c r="AB1216" s="52">
        <v>0</v>
      </c>
      <c r="AC1216" s="52">
        <v>0</v>
      </c>
      <c r="AD1216" s="21">
        <v>0.66843255889259856</v>
      </c>
      <c r="AE1216" s="54">
        <v>0.66843255889259856</v>
      </c>
      <c r="AF1216" s="315">
        <f t="shared" si="85"/>
        <v>4090.8072604227032</v>
      </c>
    </row>
    <row r="1217" spans="1:32" ht="240" x14ac:dyDescent="0.25">
      <c r="A1217" s="107" t="s">
        <v>588</v>
      </c>
      <c r="B1217" s="107" t="s">
        <v>2271</v>
      </c>
      <c r="C1217" s="52"/>
      <c r="D1217" s="107" t="s">
        <v>2302</v>
      </c>
      <c r="E1217" s="22" t="str">
        <f t="shared" si="83"/>
        <v>SEJUSPPROG</v>
      </c>
      <c r="F1217" s="122" t="s">
        <v>886</v>
      </c>
      <c r="G1217" s="22" t="str">
        <f t="shared" si="84"/>
        <v>P146SEJUSP</v>
      </c>
      <c r="H1217" s="107" t="s">
        <v>2307</v>
      </c>
      <c r="I1217" s="22" t="s">
        <v>16</v>
      </c>
      <c r="J1217" s="107" t="s">
        <v>2135</v>
      </c>
      <c r="K1217" s="22" t="str">
        <f>VLOOKUP(CONCATENATE(A1217,LEFT(J1217,4)),AGRUPAMENTO!$D$2:$E$6783,2,FALSE)</f>
        <v>Material de consumo</v>
      </c>
      <c r="L1217" s="107" t="s">
        <v>44</v>
      </c>
      <c r="M1217" s="52"/>
      <c r="N1217" s="52">
        <v>10</v>
      </c>
      <c r="O1217" s="107" t="s">
        <v>3337</v>
      </c>
      <c r="P1217" s="52" t="s">
        <v>46</v>
      </c>
      <c r="Q1217" s="107" t="s">
        <v>4122</v>
      </c>
      <c r="R1217" s="107">
        <v>136</v>
      </c>
      <c r="S1217" s="107" t="s">
        <v>3909</v>
      </c>
      <c r="T1217" s="239">
        <v>77.900000000000006</v>
      </c>
      <c r="U1217" s="107">
        <v>1</v>
      </c>
      <c r="V1217" s="58">
        <f t="shared" si="82"/>
        <v>10594.400000000001</v>
      </c>
      <c r="W1217" s="52" t="s">
        <v>49</v>
      </c>
      <c r="X1217" s="107" t="s">
        <v>5043</v>
      </c>
      <c r="Y1217" s="304" t="s">
        <v>5045</v>
      </c>
      <c r="Z1217" s="304" t="s">
        <v>5040</v>
      </c>
      <c r="AA1217" s="52">
        <v>0</v>
      </c>
      <c r="AB1217" s="52">
        <v>0</v>
      </c>
      <c r="AC1217" s="52">
        <v>0</v>
      </c>
      <c r="AD1217" s="21">
        <v>0.66843255889259856</v>
      </c>
      <c r="AE1217" s="54">
        <v>0.66843255889259856</v>
      </c>
      <c r="AF1217" s="315">
        <f t="shared" si="85"/>
        <v>7081.6419019317473</v>
      </c>
    </row>
    <row r="1218" spans="1:32" ht="240" x14ac:dyDescent="0.25">
      <c r="A1218" s="107" t="s">
        <v>588</v>
      </c>
      <c r="B1218" s="107" t="s">
        <v>2271</v>
      </c>
      <c r="C1218" s="52"/>
      <c r="D1218" s="107" t="s">
        <v>2302</v>
      </c>
      <c r="E1218" s="22" t="str">
        <f t="shared" si="83"/>
        <v>SEJUSPPROG</v>
      </c>
      <c r="F1218" s="122" t="s">
        <v>886</v>
      </c>
      <c r="G1218" s="22" t="str">
        <f t="shared" si="84"/>
        <v>P146SEJUSP</v>
      </c>
      <c r="H1218" s="107" t="s">
        <v>2307</v>
      </c>
      <c r="I1218" s="22" t="s">
        <v>16</v>
      </c>
      <c r="J1218" s="107" t="s">
        <v>2135</v>
      </c>
      <c r="K1218" s="22" t="str">
        <f>VLOOKUP(CONCATENATE(A1218,LEFT(J1218,4)),AGRUPAMENTO!$D$2:$E$6783,2,FALSE)</f>
        <v>Material de consumo</v>
      </c>
      <c r="L1218" s="107" t="s">
        <v>44</v>
      </c>
      <c r="M1218" s="52"/>
      <c r="N1218" s="52">
        <v>10</v>
      </c>
      <c r="O1218" s="107" t="s">
        <v>3338</v>
      </c>
      <c r="P1218" s="52" t="s">
        <v>46</v>
      </c>
      <c r="Q1218" s="107" t="s">
        <v>4107</v>
      </c>
      <c r="R1218" s="107">
        <v>8</v>
      </c>
      <c r="S1218" s="107" t="s">
        <v>3909</v>
      </c>
      <c r="T1218" s="239">
        <v>61.9</v>
      </c>
      <c r="U1218" s="107">
        <v>1</v>
      </c>
      <c r="V1218" s="58">
        <f t="shared" ref="V1218:V1281" si="86">R1218*T1218*U1218</f>
        <v>495.2</v>
      </c>
      <c r="W1218" s="52" t="s">
        <v>49</v>
      </c>
      <c r="X1218" s="107" t="s">
        <v>5043</v>
      </c>
      <c r="Y1218" s="304" t="s">
        <v>5045</v>
      </c>
      <c r="Z1218" s="304" t="s">
        <v>5040</v>
      </c>
      <c r="AA1218" s="52">
        <v>0</v>
      </c>
      <c r="AB1218" s="52">
        <v>0</v>
      </c>
      <c r="AC1218" s="52">
        <v>0</v>
      </c>
      <c r="AD1218" s="21">
        <v>0.66843255889259856</v>
      </c>
      <c r="AE1218" s="54">
        <v>0.66843255889259856</v>
      </c>
      <c r="AF1218" s="315">
        <f t="shared" si="85"/>
        <v>331.00780316361482</v>
      </c>
    </row>
    <row r="1219" spans="1:32" ht="240" x14ac:dyDescent="0.25">
      <c r="A1219" s="107" t="s">
        <v>588</v>
      </c>
      <c r="B1219" s="107" t="s">
        <v>2271</v>
      </c>
      <c r="C1219" s="52"/>
      <c r="D1219" s="107" t="s">
        <v>2302</v>
      </c>
      <c r="E1219" s="22" t="str">
        <f t="shared" ref="E1219:E1282" si="87">CONCATENATE(A1219,"PROG")</f>
        <v>SEJUSPPROG</v>
      </c>
      <c r="F1219" s="122" t="s">
        <v>886</v>
      </c>
      <c r="G1219" s="22" t="str">
        <f t="shared" si="84"/>
        <v>P146SEJUSP</v>
      </c>
      <c r="H1219" s="107" t="s">
        <v>2307</v>
      </c>
      <c r="I1219" s="22" t="s">
        <v>16</v>
      </c>
      <c r="J1219" s="107" t="s">
        <v>1605</v>
      </c>
      <c r="K1219" s="22" t="str">
        <f>VLOOKUP(CONCATENATE(A1219,LEFT(J1219,4)),AGRUPAMENTO!$D$2:$E$6783,2,FALSE)</f>
        <v>Serviços de saúde e medicamentos</v>
      </c>
      <c r="L1219" s="107" t="s">
        <v>44</v>
      </c>
      <c r="M1219" s="52"/>
      <c r="N1219" s="52">
        <v>10</v>
      </c>
      <c r="O1219" s="107" t="s">
        <v>3339</v>
      </c>
      <c r="P1219" s="52" t="s">
        <v>46</v>
      </c>
      <c r="Q1219" s="107" t="s">
        <v>4123</v>
      </c>
      <c r="R1219" s="107">
        <v>6</v>
      </c>
      <c r="S1219" s="107" t="s">
        <v>3909</v>
      </c>
      <c r="T1219" s="239">
        <v>46.9</v>
      </c>
      <c r="U1219" s="107">
        <v>1</v>
      </c>
      <c r="V1219" s="58">
        <f t="shared" si="86"/>
        <v>281.39999999999998</v>
      </c>
      <c r="W1219" s="52" t="s">
        <v>49</v>
      </c>
      <c r="X1219" s="107" t="s">
        <v>5055</v>
      </c>
      <c r="Y1219" s="304" t="s">
        <v>5063</v>
      </c>
      <c r="Z1219" s="304" t="s">
        <v>5040</v>
      </c>
      <c r="AA1219" s="52">
        <v>0</v>
      </c>
      <c r="AB1219" s="52">
        <v>0</v>
      </c>
      <c r="AC1219" s="52">
        <v>0</v>
      </c>
      <c r="AD1219" s="21">
        <v>0.68827656736675979</v>
      </c>
      <c r="AE1219" s="54">
        <v>0.68827656736675979</v>
      </c>
      <c r="AF1219" s="315">
        <f t="shared" si="85"/>
        <v>193.68102605700619</v>
      </c>
    </row>
    <row r="1220" spans="1:32" ht="240" x14ac:dyDescent="0.25">
      <c r="A1220" s="107" t="s">
        <v>588</v>
      </c>
      <c r="B1220" s="107" t="s">
        <v>2271</v>
      </c>
      <c r="C1220" s="52"/>
      <c r="D1220" s="107" t="s">
        <v>2302</v>
      </c>
      <c r="E1220" s="22" t="str">
        <f t="shared" si="87"/>
        <v>SEJUSPPROG</v>
      </c>
      <c r="F1220" s="122" t="s">
        <v>886</v>
      </c>
      <c r="G1220" s="22" t="str">
        <f t="shared" ref="G1220:G1283" si="88">CONCATENATE("P",(LEFT(F1220,3)),A1220)</f>
        <v>P146SEJUSP</v>
      </c>
      <c r="H1220" s="107" t="s">
        <v>2307</v>
      </c>
      <c r="I1220" s="22" t="s">
        <v>16</v>
      </c>
      <c r="J1220" s="107" t="s">
        <v>1605</v>
      </c>
      <c r="K1220" s="22" t="str">
        <f>VLOOKUP(CONCATENATE(A1220,LEFT(J1220,4)),AGRUPAMENTO!$D$2:$E$6783,2,FALSE)</f>
        <v>Serviços de saúde e medicamentos</v>
      </c>
      <c r="L1220" s="107" t="s">
        <v>44</v>
      </c>
      <c r="M1220" s="52"/>
      <c r="N1220" s="52">
        <v>10</v>
      </c>
      <c r="O1220" s="107" t="s">
        <v>3340</v>
      </c>
      <c r="P1220" s="52" t="s">
        <v>46</v>
      </c>
      <c r="Q1220" s="107" t="s">
        <v>3872</v>
      </c>
      <c r="R1220" s="107">
        <v>52</v>
      </c>
      <c r="S1220" s="107" t="s">
        <v>3909</v>
      </c>
      <c r="T1220" s="239">
        <v>0.15</v>
      </c>
      <c r="U1220" s="107">
        <v>1</v>
      </c>
      <c r="V1220" s="58">
        <f t="shared" si="86"/>
        <v>7.8</v>
      </c>
      <c r="W1220" s="52" t="s">
        <v>49</v>
      </c>
      <c r="X1220" s="107" t="s">
        <v>5054</v>
      </c>
      <c r="Y1220" s="304" t="s">
        <v>5039</v>
      </c>
      <c r="Z1220" s="304" t="s">
        <v>5040</v>
      </c>
      <c r="AA1220" s="52">
        <v>0</v>
      </c>
      <c r="AB1220" s="52">
        <v>0</v>
      </c>
      <c r="AC1220" s="52">
        <v>0</v>
      </c>
      <c r="AD1220" s="21">
        <v>0.68827656736675979</v>
      </c>
      <c r="AE1220" s="54">
        <v>0.68827656736675979</v>
      </c>
      <c r="AF1220" s="315">
        <f t="shared" ref="AF1220:AF1283" si="89">AE1220*V1220</f>
        <v>5.3685572254607266</v>
      </c>
    </row>
    <row r="1221" spans="1:32" ht="240" x14ac:dyDescent="0.25">
      <c r="A1221" s="107" t="s">
        <v>588</v>
      </c>
      <c r="B1221" s="107" t="s">
        <v>2271</v>
      </c>
      <c r="C1221" s="52"/>
      <c r="D1221" s="107" t="s">
        <v>2302</v>
      </c>
      <c r="E1221" s="22" t="str">
        <f t="shared" si="87"/>
        <v>SEJUSPPROG</v>
      </c>
      <c r="F1221" s="122" t="s">
        <v>886</v>
      </c>
      <c r="G1221" s="22" t="str">
        <f t="shared" si="88"/>
        <v>P146SEJUSP</v>
      </c>
      <c r="H1221" s="107" t="s">
        <v>2307</v>
      </c>
      <c r="I1221" s="22" t="s">
        <v>16</v>
      </c>
      <c r="J1221" s="107" t="s">
        <v>1605</v>
      </c>
      <c r="K1221" s="22" t="str">
        <f>VLOOKUP(CONCATENATE(A1221,LEFT(J1221,4)),AGRUPAMENTO!$D$2:$E$6783,2,FALSE)</f>
        <v>Serviços de saúde e medicamentos</v>
      </c>
      <c r="L1221" s="107" t="s">
        <v>44</v>
      </c>
      <c r="M1221" s="52"/>
      <c r="N1221" s="52">
        <v>10</v>
      </c>
      <c r="O1221" s="107" t="s">
        <v>3341</v>
      </c>
      <c r="P1221" s="52" t="s">
        <v>46</v>
      </c>
      <c r="Q1221" s="107" t="s">
        <v>3872</v>
      </c>
      <c r="R1221" s="107">
        <v>88</v>
      </c>
      <c r="S1221" s="107" t="s">
        <v>3909</v>
      </c>
      <c r="T1221" s="239">
        <v>19.989999999999998</v>
      </c>
      <c r="U1221" s="107">
        <v>1</v>
      </c>
      <c r="V1221" s="58">
        <f t="shared" si="86"/>
        <v>1759.12</v>
      </c>
      <c r="W1221" s="52" t="s">
        <v>49</v>
      </c>
      <c r="X1221" s="107" t="s">
        <v>5055</v>
      </c>
      <c r="Y1221" s="304" t="s">
        <v>5039</v>
      </c>
      <c r="Z1221" s="304" t="s">
        <v>5040</v>
      </c>
      <c r="AA1221" s="52">
        <v>0</v>
      </c>
      <c r="AB1221" s="52">
        <v>0</v>
      </c>
      <c r="AC1221" s="52">
        <v>0</v>
      </c>
      <c r="AD1221" s="21">
        <v>0.68827656736675979</v>
      </c>
      <c r="AE1221" s="54">
        <v>0.68827656736675979</v>
      </c>
      <c r="AF1221" s="315">
        <f t="shared" si="89"/>
        <v>1210.7610751862144</v>
      </c>
    </row>
    <row r="1222" spans="1:32" ht="240" x14ac:dyDescent="0.25">
      <c r="A1222" s="107" t="s">
        <v>588</v>
      </c>
      <c r="B1222" s="107" t="s">
        <v>2271</v>
      </c>
      <c r="C1222" s="52"/>
      <c r="D1222" s="107" t="s">
        <v>2302</v>
      </c>
      <c r="E1222" s="22" t="str">
        <f t="shared" si="87"/>
        <v>SEJUSPPROG</v>
      </c>
      <c r="F1222" s="122" t="s">
        <v>886</v>
      </c>
      <c r="G1222" s="22" t="str">
        <f t="shared" si="88"/>
        <v>P146SEJUSP</v>
      </c>
      <c r="H1222" s="107" t="s">
        <v>2307</v>
      </c>
      <c r="I1222" s="22" t="s">
        <v>16</v>
      </c>
      <c r="J1222" s="107" t="s">
        <v>2135</v>
      </c>
      <c r="K1222" s="22" t="str">
        <f>VLOOKUP(CONCATENATE(A1222,LEFT(J1222,4)),AGRUPAMENTO!$D$2:$E$6783,2,FALSE)</f>
        <v>Material de consumo</v>
      </c>
      <c r="L1222" s="107" t="s">
        <v>44</v>
      </c>
      <c r="M1222" s="52"/>
      <c r="N1222" s="52">
        <v>10</v>
      </c>
      <c r="O1222" s="107" t="s">
        <v>3342</v>
      </c>
      <c r="P1222" s="52" t="s">
        <v>46</v>
      </c>
      <c r="Q1222" s="107" t="s">
        <v>4109</v>
      </c>
      <c r="R1222" s="107">
        <v>136</v>
      </c>
      <c r="S1222" s="107" t="s">
        <v>3909</v>
      </c>
      <c r="T1222" s="239">
        <v>126.9</v>
      </c>
      <c r="U1222" s="107">
        <v>1</v>
      </c>
      <c r="V1222" s="58">
        <f t="shared" si="86"/>
        <v>17258.400000000001</v>
      </c>
      <c r="W1222" s="52" t="s">
        <v>49</v>
      </c>
      <c r="X1222" s="107" t="s">
        <v>5043</v>
      </c>
      <c r="Y1222" s="304" t="s">
        <v>5045</v>
      </c>
      <c r="Z1222" s="304" t="s">
        <v>5040</v>
      </c>
      <c r="AA1222" s="52">
        <v>0</v>
      </c>
      <c r="AB1222" s="52">
        <v>0</v>
      </c>
      <c r="AC1222" s="52">
        <v>0</v>
      </c>
      <c r="AD1222" s="21">
        <v>0.66843255889259856</v>
      </c>
      <c r="AE1222" s="54">
        <v>0.66843255889259856</v>
      </c>
      <c r="AF1222" s="315">
        <f t="shared" si="89"/>
        <v>11536.076474392024</v>
      </c>
    </row>
    <row r="1223" spans="1:32" ht="240" x14ac:dyDescent="0.25">
      <c r="A1223" s="107" t="s">
        <v>588</v>
      </c>
      <c r="B1223" s="107" t="s">
        <v>2271</v>
      </c>
      <c r="C1223" s="52"/>
      <c r="D1223" s="107" t="s">
        <v>2302</v>
      </c>
      <c r="E1223" s="22" t="str">
        <f t="shared" si="87"/>
        <v>SEJUSPPROG</v>
      </c>
      <c r="F1223" s="122" t="s">
        <v>886</v>
      </c>
      <c r="G1223" s="22" t="str">
        <f t="shared" si="88"/>
        <v>P146SEJUSP</v>
      </c>
      <c r="H1223" s="107" t="s">
        <v>2307</v>
      </c>
      <c r="I1223" s="22" t="s">
        <v>16</v>
      </c>
      <c r="J1223" s="107" t="s">
        <v>2135</v>
      </c>
      <c r="K1223" s="22" t="str">
        <f>VLOOKUP(CONCATENATE(A1223,LEFT(J1223,4)),AGRUPAMENTO!$D$2:$E$6783,2,FALSE)</f>
        <v>Material de consumo</v>
      </c>
      <c r="L1223" s="107" t="s">
        <v>44</v>
      </c>
      <c r="M1223" s="52"/>
      <c r="N1223" s="52">
        <v>10</v>
      </c>
      <c r="O1223" s="107" t="s">
        <v>3343</v>
      </c>
      <c r="P1223" s="52" t="s">
        <v>46</v>
      </c>
      <c r="Q1223" s="107" t="s">
        <v>4124</v>
      </c>
      <c r="R1223" s="107">
        <v>136</v>
      </c>
      <c r="S1223" s="107" t="s">
        <v>3909</v>
      </c>
      <c r="T1223" s="239">
        <v>24.9</v>
      </c>
      <c r="U1223" s="107">
        <v>1</v>
      </c>
      <c r="V1223" s="58">
        <f t="shared" si="86"/>
        <v>3386.3999999999996</v>
      </c>
      <c r="W1223" s="52" t="s">
        <v>49</v>
      </c>
      <c r="X1223" s="107" t="s">
        <v>5043</v>
      </c>
      <c r="Y1223" s="304" t="s">
        <v>5045</v>
      </c>
      <c r="Z1223" s="304" t="s">
        <v>5040</v>
      </c>
      <c r="AA1223" s="52">
        <v>0</v>
      </c>
      <c r="AB1223" s="52">
        <v>0</v>
      </c>
      <c r="AC1223" s="52">
        <v>0</v>
      </c>
      <c r="AD1223" s="21">
        <v>0.66843255889259856</v>
      </c>
      <c r="AE1223" s="54">
        <v>0.66843255889259856</v>
      </c>
      <c r="AF1223" s="315">
        <f t="shared" si="89"/>
        <v>2263.5800174338956</v>
      </c>
    </row>
    <row r="1224" spans="1:32" ht="240" x14ac:dyDescent="0.25">
      <c r="A1224" s="107" t="s">
        <v>588</v>
      </c>
      <c r="B1224" s="107" t="s">
        <v>2271</v>
      </c>
      <c r="C1224" s="52"/>
      <c r="D1224" s="107" t="s">
        <v>2302</v>
      </c>
      <c r="E1224" s="22" t="str">
        <f t="shared" si="87"/>
        <v>SEJUSPPROG</v>
      </c>
      <c r="F1224" s="122" t="s">
        <v>886</v>
      </c>
      <c r="G1224" s="22" t="str">
        <f t="shared" si="88"/>
        <v>P146SEJUSP</v>
      </c>
      <c r="H1224" s="107" t="s">
        <v>2307</v>
      </c>
      <c r="I1224" s="22" t="s">
        <v>16</v>
      </c>
      <c r="J1224" s="107" t="s">
        <v>2135</v>
      </c>
      <c r="K1224" s="22" t="str">
        <f>VLOOKUP(CONCATENATE(A1224,LEFT(J1224,4)),AGRUPAMENTO!$D$2:$E$6783,2,FALSE)</f>
        <v>Material de consumo</v>
      </c>
      <c r="L1224" s="107" t="s">
        <v>44</v>
      </c>
      <c r="M1224" s="52"/>
      <c r="N1224" s="52">
        <v>10</v>
      </c>
      <c r="O1224" s="107" t="s">
        <v>3344</v>
      </c>
      <c r="P1224" s="52" t="s">
        <v>46</v>
      </c>
      <c r="Q1224" s="107" t="s">
        <v>4124</v>
      </c>
      <c r="R1224" s="107">
        <v>136</v>
      </c>
      <c r="S1224" s="107" t="s">
        <v>3909</v>
      </c>
      <c r="T1224" s="239">
        <v>19.02</v>
      </c>
      <c r="U1224" s="107">
        <v>1</v>
      </c>
      <c r="V1224" s="58">
        <f t="shared" si="86"/>
        <v>2586.7199999999998</v>
      </c>
      <c r="W1224" s="52" t="s">
        <v>49</v>
      </c>
      <c r="X1224" s="107" t="s">
        <v>5043</v>
      </c>
      <c r="Y1224" s="304" t="s">
        <v>5045</v>
      </c>
      <c r="Z1224" s="304" t="s">
        <v>5040</v>
      </c>
      <c r="AA1224" s="52">
        <v>0</v>
      </c>
      <c r="AB1224" s="52">
        <v>0</v>
      </c>
      <c r="AC1224" s="52">
        <v>0</v>
      </c>
      <c r="AD1224" s="21">
        <v>0.66843255889259856</v>
      </c>
      <c r="AE1224" s="54">
        <v>0.66843255889259856</v>
      </c>
      <c r="AF1224" s="315">
        <f t="shared" si="89"/>
        <v>1729.0478687386624</v>
      </c>
    </row>
    <row r="1225" spans="1:32" ht="240" x14ac:dyDescent="0.25">
      <c r="A1225" s="107" t="s">
        <v>588</v>
      </c>
      <c r="B1225" s="107" t="s">
        <v>2271</v>
      </c>
      <c r="C1225" s="52"/>
      <c r="D1225" s="107" t="s">
        <v>2302</v>
      </c>
      <c r="E1225" s="22" t="str">
        <f t="shared" si="87"/>
        <v>SEJUSPPROG</v>
      </c>
      <c r="F1225" s="122" t="s">
        <v>886</v>
      </c>
      <c r="G1225" s="22" t="str">
        <f t="shared" si="88"/>
        <v>P146SEJUSP</v>
      </c>
      <c r="H1225" s="107" t="s">
        <v>2307</v>
      </c>
      <c r="I1225" s="22" t="s">
        <v>16</v>
      </c>
      <c r="J1225" s="107" t="s">
        <v>2135</v>
      </c>
      <c r="K1225" s="22" t="str">
        <f>VLOOKUP(CONCATENATE(A1225,LEFT(J1225,4)),AGRUPAMENTO!$D$2:$E$6783,2,FALSE)</f>
        <v>Material de consumo</v>
      </c>
      <c r="L1225" s="107" t="s">
        <v>44</v>
      </c>
      <c r="M1225" s="52"/>
      <c r="N1225" s="52">
        <v>10</v>
      </c>
      <c r="O1225" s="107" t="s">
        <v>3345</v>
      </c>
      <c r="P1225" s="52" t="s">
        <v>46</v>
      </c>
      <c r="Q1225" s="107" t="s">
        <v>4124</v>
      </c>
      <c r="R1225" s="107">
        <v>136</v>
      </c>
      <c r="S1225" s="107" t="s">
        <v>3909</v>
      </c>
      <c r="T1225" s="239">
        <v>19.899999999999999</v>
      </c>
      <c r="U1225" s="107">
        <v>1</v>
      </c>
      <c r="V1225" s="58">
        <f t="shared" si="86"/>
        <v>2706.3999999999996</v>
      </c>
      <c r="W1225" s="52" t="s">
        <v>49</v>
      </c>
      <c r="X1225" s="107" t="s">
        <v>5043</v>
      </c>
      <c r="Y1225" s="304" t="s">
        <v>5045</v>
      </c>
      <c r="Z1225" s="304" t="s">
        <v>5040</v>
      </c>
      <c r="AA1225" s="52">
        <v>0</v>
      </c>
      <c r="AB1225" s="52">
        <v>0</v>
      </c>
      <c r="AC1225" s="52">
        <v>0</v>
      </c>
      <c r="AD1225" s="21">
        <v>0.66843255889259856</v>
      </c>
      <c r="AE1225" s="54">
        <v>0.66843255889259856</v>
      </c>
      <c r="AF1225" s="315">
        <f t="shared" si="89"/>
        <v>1809.0458773869284</v>
      </c>
    </row>
    <row r="1226" spans="1:32" ht="240" x14ac:dyDescent="0.25">
      <c r="A1226" s="107" t="s">
        <v>588</v>
      </c>
      <c r="B1226" s="107" t="s">
        <v>2271</v>
      </c>
      <c r="C1226" s="52"/>
      <c r="D1226" s="107" t="s">
        <v>2302</v>
      </c>
      <c r="E1226" s="22" t="str">
        <f t="shared" si="87"/>
        <v>SEJUSPPROG</v>
      </c>
      <c r="F1226" s="122" t="s">
        <v>886</v>
      </c>
      <c r="G1226" s="22" t="str">
        <f t="shared" si="88"/>
        <v>P146SEJUSP</v>
      </c>
      <c r="H1226" s="107" t="s">
        <v>2307</v>
      </c>
      <c r="I1226" s="22" t="s">
        <v>16</v>
      </c>
      <c r="J1226" s="107" t="s">
        <v>2135</v>
      </c>
      <c r="K1226" s="22" t="str">
        <f>VLOOKUP(CONCATENATE(A1226,LEFT(J1226,4)),AGRUPAMENTO!$D$2:$E$6783,2,FALSE)</f>
        <v>Material de consumo</v>
      </c>
      <c r="L1226" s="107" t="s">
        <v>44</v>
      </c>
      <c r="M1226" s="52"/>
      <c r="N1226" s="52">
        <v>10</v>
      </c>
      <c r="O1226" s="107" t="s">
        <v>3346</v>
      </c>
      <c r="P1226" s="52" t="s">
        <v>46</v>
      </c>
      <c r="Q1226" s="107" t="s">
        <v>4125</v>
      </c>
      <c r="R1226" s="107">
        <v>136</v>
      </c>
      <c r="S1226" s="107" t="s">
        <v>3909</v>
      </c>
      <c r="T1226" s="239">
        <v>37.380000000000003</v>
      </c>
      <c r="U1226" s="107">
        <v>1</v>
      </c>
      <c r="V1226" s="58">
        <f t="shared" si="86"/>
        <v>5083.68</v>
      </c>
      <c r="W1226" s="52" t="s">
        <v>49</v>
      </c>
      <c r="X1226" s="107" t="s">
        <v>5043</v>
      </c>
      <c r="Y1226" s="304" t="s">
        <v>5045</v>
      </c>
      <c r="Z1226" s="304" t="s">
        <v>5040</v>
      </c>
      <c r="AA1226" s="52">
        <v>0</v>
      </c>
      <c r="AB1226" s="52">
        <v>0</v>
      </c>
      <c r="AC1226" s="52">
        <v>0</v>
      </c>
      <c r="AD1226" s="21">
        <v>0.66843255889259856</v>
      </c>
      <c r="AE1226" s="54">
        <v>0.66843255889259856</v>
      </c>
      <c r="AF1226" s="315">
        <f t="shared" si="89"/>
        <v>3398.0972309911258</v>
      </c>
    </row>
    <row r="1227" spans="1:32" ht="240" x14ac:dyDescent="0.25">
      <c r="A1227" s="107" t="s">
        <v>588</v>
      </c>
      <c r="B1227" s="107" t="s">
        <v>2271</v>
      </c>
      <c r="C1227" s="52"/>
      <c r="D1227" s="107" t="s">
        <v>2302</v>
      </c>
      <c r="E1227" s="22" t="str">
        <f t="shared" si="87"/>
        <v>SEJUSPPROG</v>
      </c>
      <c r="F1227" s="122" t="s">
        <v>886</v>
      </c>
      <c r="G1227" s="22" t="str">
        <f t="shared" si="88"/>
        <v>P146SEJUSP</v>
      </c>
      <c r="H1227" s="107" t="s">
        <v>2307</v>
      </c>
      <c r="I1227" s="22" t="s">
        <v>16</v>
      </c>
      <c r="J1227" s="107" t="s">
        <v>2135</v>
      </c>
      <c r="K1227" s="22" t="str">
        <f>VLOOKUP(CONCATENATE(A1227,LEFT(J1227,4)),AGRUPAMENTO!$D$2:$E$6783,2,FALSE)</f>
        <v>Material de consumo</v>
      </c>
      <c r="L1227" s="107" t="s">
        <v>44</v>
      </c>
      <c r="M1227" s="52"/>
      <c r="N1227" s="52">
        <v>10</v>
      </c>
      <c r="O1227" s="107" t="s">
        <v>3347</v>
      </c>
      <c r="P1227" s="52" t="s">
        <v>46</v>
      </c>
      <c r="Q1227" s="107" t="s">
        <v>4124</v>
      </c>
      <c r="R1227" s="107">
        <v>136</v>
      </c>
      <c r="S1227" s="107" t="s">
        <v>3909</v>
      </c>
      <c r="T1227" s="239">
        <v>28.9</v>
      </c>
      <c r="U1227" s="107">
        <v>1</v>
      </c>
      <c r="V1227" s="58">
        <f t="shared" si="86"/>
        <v>3930.3999999999996</v>
      </c>
      <c r="W1227" s="52" t="s">
        <v>49</v>
      </c>
      <c r="X1227" s="107" t="s">
        <v>5043</v>
      </c>
      <c r="Y1227" s="304" t="s">
        <v>5045</v>
      </c>
      <c r="Z1227" s="304" t="s">
        <v>5040</v>
      </c>
      <c r="AA1227" s="52">
        <v>0</v>
      </c>
      <c r="AB1227" s="52">
        <v>0</v>
      </c>
      <c r="AC1227" s="52">
        <v>0</v>
      </c>
      <c r="AD1227" s="21">
        <v>0.66843255889259856</v>
      </c>
      <c r="AE1227" s="54">
        <v>0.66843255889259856</v>
      </c>
      <c r="AF1227" s="315">
        <f t="shared" si="89"/>
        <v>2627.2073294714692</v>
      </c>
    </row>
    <row r="1228" spans="1:32" ht="240" x14ac:dyDescent="0.25">
      <c r="A1228" s="107" t="s">
        <v>588</v>
      </c>
      <c r="B1228" s="107" t="s">
        <v>2271</v>
      </c>
      <c r="C1228" s="52"/>
      <c r="D1228" s="107" t="s">
        <v>2302</v>
      </c>
      <c r="E1228" s="22" t="str">
        <f t="shared" si="87"/>
        <v>SEJUSPPROG</v>
      </c>
      <c r="F1228" s="122" t="s">
        <v>886</v>
      </c>
      <c r="G1228" s="22" t="str">
        <f t="shared" si="88"/>
        <v>P146SEJUSP</v>
      </c>
      <c r="H1228" s="107" t="s">
        <v>2307</v>
      </c>
      <c r="I1228" s="22" t="s">
        <v>16</v>
      </c>
      <c r="J1228" s="107" t="s">
        <v>2135</v>
      </c>
      <c r="K1228" s="22" t="str">
        <f>VLOOKUP(CONCATENATE(A1228,LEFT(J1228,4)),AGRUPAMENTO!$D$2:$E$6783,2,FALSE)</f>
        <v>Material de consumo</v>
      </c>
      <c r="L1228" s="107" t="s">
        <v>44</v>
      </c>
      <c r="M1228" s="52"/>
      <c r="N1228" s="52">
        <v>10</v>
      </c>
      <c r="O1228" s="107" t="s">
        <v>3348</v>
      </c>
      <c r="P1228" s="52" t="s">
        <v>46</v>
      </c>
      <c r="Q1228" s="107" t="s">
        <v>4124</v>
      </c>
      <c r="R1228" s="107">
        <v>136</v>
      </c>
      <c r="S1228" s="107" t="s">
        <v>3909</v>
      </c>
      <c r="T1228" s="239">
        <v>28.9</v>
      </c>
      <c r="U1228" s="107">
        <v>1</v>
      </c>
      <c r="V1228" s="58">
        <f t="shared" si="86"/>
        <v>3930.3999999999996</v>
      </c>
      <c r="W1228" s="52" t="s">
        <v>49</v>
      </c>
      <c r="X1228" s="107" t="s">
        <v>5043</v>
      </c>
      <c r="Y1228" s="304" t="s">
        <v>5045</v>
      </c>
      <c r="Z1228" s="304" t="s">
        <v>5040</v>
      </c>
      <c r="AA1228" s="52">
        <v>0</v>
      </c>
      <c r="AB1228" s="52">
        <v>0</v>
      </c>
      <c r="AC1228" s="52">
        <v>0</v>
      </c>
      <c r="AD1228" s="21">
        <v>0.66843255889259856</v>
      </c>
      <c r="AE1228" s="54">
        <v>0.66843255889259856</v>
      </c>
      <c r="AF1228" s="315">
        <f t="shared" si="89"/>
        <v>2627.2073294714692</v>
      </c>
    </row>
    <row r="1229" spans="1:32" ht="180" x14ac:dyDescent="0.25">
      <c r="A1229" s="107" t="s">
        <v>588</v>
      </c>
      <c r="B1229" s="107" t="s">
        <v>2271</v>
      </c>
      <c r="C1229" s="52"/>
      <c r="D1229" s="107" t="s">
        <v>2302</v>
      </c>
      <c r="E1229" s="22" t="str">
        <f t="shared" si="87"/>
        <v>SEJUSPPROG</v>
      </c>
      <c r="F1229" s="122" t="s">
        <v>886</v>
      </c>
      <c r="G1229" s="22" t="str">
        <f t="shared" si="88"/>
        <v>P146SEJUSP</v>
      </c>
      <c r="H1229" s="107" t="s">
        <v>2307</v>
      </c>
      <c r="I1229" s="22" t="s">
        <v>16</v>
      </c>
      <c r="J1229" s="107" t="s">
        <v>1605</v>
      </c>
      <c r="K1229" s="22" t="str">
        <f>VLOOKUP(CONCATENATE(A1229,LEFT(J1229,4)),AGRUPAMENTO!$D$2:$E$6783,2,FALSE)</f>
        <v>Serviços de saúde e medicamentos</v>
      </c>
      <c r="L1229" s="107" t="s">
        <v>44</v>
      </c>
      <c r="M1229" s="52"/>
      <c r="N1229" s="52">
        <v>10</v>
      </c>
      <c r="O1229" s="107" t="s">
        <v>3349</v>
      </c>
      <c r="P1229" s="52" t="s">
        <v>46</v>
      </c>
      <c r="Q1229" s="107" t="s">
        <v>4126</v>
      </c>
      <c r="R1229" s="107">
        <v>155</v>
      </c>
      <c r="S1229" s="107" t="s">
        <v>3909</v>
      </c>
      <c r="T1229" s="239">
        <v>2.6</v>
      </c>
      <c r="U1229" s="107">
        <v>1</v>
      </c>
      <c r="V1229" s="58">
        <f t="shared" si="86"/>
        <v>403</v>
      </c>
      <c r="W1229" s="52" t="s">
        <v>49</v>
      </c>
      <c r="X1229" s="107" t="s">
        <v>5051</v>
      </c>
      <c r="Y1229" s="304" t="s">
        <v>5064</v>
      </c>
      <c r="Z1229" s="304" t="s">
        <v>5061</v>
      </c>
      <c r="AA1229" s="52">
        <v>0</v>
      </c>
      <c r="AB1229" s="52">
        <v>0</v>
      </c>
      <c r="AC1229" s="52">
        <v>0</v>
      </c>
      <c r="AD1229" s="21">
        <v>0.68827656736675979</v>
      </c>
      <c r="AE1229" s="54">
        <v>0.68827656736675979</v>
      </c>
      <c r="AF1229" s="315">
        <f t="shared" si="89"/>
        <v>277.37545664880417</v>
      </c>
    </row>
    <row r="1230" spans="1:32" ht="180" x14ac:dyDescent="0.25">
      <c r="A1230" s="107" t="s">
        <v>588</v>
      </c>
      <c r="B1230" s="107" t="s">
        <v>2271</v>
      </c>
      <c r="C1230" s="52"/>
      <c r="D1230" s="107" t="s">
        <v>2302</v>
      </c>
      <c r="E1230" s="22" t="str">
        <f t="shared" si="87"/>
        <v>SEJUSPPROG</v>
      </c>
      <c r="F1230" s="122" t="s">
        <v>886</v>
      </c>
      <c r="G1230" s="22" t="str">
        <f t="shared" si="88"/>
        <v>P146SEJUSP</v>
      </c>
      <c r="H1230" s="107" t="s">
        <v>2307</v>
      </c>
      <c r="I1230" s="22" t="s">
        <v>16</v>
      </c>
      <c r="J1230" s="107" t="s">
        <v>1605</v>
      </c>
      <c r="K1230" s="22" t="str">
        <f>VLOOKUP(CONCATENATE(A1230,LEFT(J1230,4)),AGRUPAMENTO!$D$2:$E$6783,2,FALSE)</f>
        <v>Serviços de saúde e medicamentos</v>
      </c>
      <c r="L1230" s="107" t="s">
        <v>44</v>
      </c>
      <c r="M1230" s="52"/>
      <c r="N1230" s="52">
        <v>10</v>
      </c>
      <c r="O1230" s="107" t="s">
        <v>3350</v>
      </c>
      <c r="P1230" s="52" t="s">
        <v>46</v>
      </c>
      <c r="Q1230" s="107" t="s">
        <v>3872</v>
      </c>
      <c r="R1230" s="107">
        <v>155</v>
      </c>
      <c r="S1230" s="107" t="s">
        <v>3909</v>
      </c>
      <c r="T1230" s="239">
        <v>2.74</v>
      </c>
      <c r="U1230" s="107">
        <v>1</v>
      </c>
      <c r="V1230" s="58">
        <f t="shared" si="86"/>
        <v>424.70000000000005</v>
      </c>
      <c r="W1230" s="52" t="s">
        <v>49</v>
      </c>
      <c r="X1230" s="107" t="s">
        <v>5051</v>
      </c>
      <c r="Y1230" s="304" t="s">
        <v>5064</v>
      </c>
      <c r="Z1230" s="304" t="s">
        <v>5061</v>
      </c>
      <c r="AA1230" s="52">
        <v>0</v>
      </c>
      <c r="AB1230" s="52">
        <v>0</v>
      </c>
      <c r="AC1230" s="52">
        <v>0</v>
      </c>
      <c r="AD1230" s="21">
        <v>0.68827656736675979</v>
      </c>
      <c r="AE1230" s="54">
        <v>0.68827656736675979</v>
      </c>
      <c r="AF1230" s="315">
        <f t="shared" si="89"/>
        <v>292.31105816066292</v>
      </c>
    </row>
    <row r="1231" spans="1:32" ht="180" x14ac:dyDescent="0.25">
      <c r="A1231" s="107" t="s">
        <v>588</v>
      </c>
      <c r="B1231" s="107" t="s">
        <v>2271</v>
      </c>
      <c r="C1231" s="52"/>
      <c r="D1231" s="107" t="s">
        <v>2302</v>
      </c>
      <c r="E1231" s="22" t="str">
        <f t="shared" si="87"/>
        <v>SEJUSPPROG</v>
      </c>
      <c r="F1231" s="122" t="s">
        <v>886</v>
      </c>
      <c r="G1231" s="22" t="str">
        <f t="shared" si="88"/>
        <v>P146SEJUSP</v>
      </c>
      <c r="H1231" s="107" t="s">
        <v>2307</v>
      </c>
      <c r="I1231" s="22" t="s">
        <v>16</v>
      </c>
      <c r="J1231" s="107" t="s">
        <v>1605</v>
      </c>
      <c r="K1231" s="22" t="str">
        <f>VLOOKUP(CONCATENATE(A1231,LEFT(J1231,4)),AGRUPAMENTO!$D$2:$E$6783,2,FALSE)</f>
        <v>Serviços de saúde e medicamentos</v>
      </c>
      <c r="L1231" s="107" t="s">
        <v>44</v>
      </c>
      <c r="M1231" s="52"/>
      <c r="N1231" s="52">
        <v>10</v>
      </c>
      <c r="O1231" s="107" t="s">
        <v>3351</v>
      </c>
      <c r="P1231" s="52" t="s">
        <v>46</v>
      </c>
      <c r="Q1231" s="107" t="s">
        <v>4127</v>
      </c>
      <c r="R1231" s="107">
        <v>155</v>
      </c>
      <c r="S1231" s="107" t="s">
        <v>3909</v>
      </c>
      <c r="T1231" s="239">
        <v>32.42</v>
      </c>
      <c r="U1231" s="107">
        <v>1</v>
      </c>
      <c r="V1231" s="58">
        <f t="shared" si="86"/>
        <v>5025.1000000000004</v>
      </c>
      <c r="W1231" s="52" t="s">
        <v>49</v>
      </c>
      <c r="X1231" s="107" t="s">
        <v>5051</v>
      </c>
      <c r="Y1231" s="304" t="s">
        <v>5064</v>
      </c>
      <c r="Z1231" s="304" t="s">
        <v>5061</v>
      </c>
      <c r="AA1231" s="52">
        <v>0</v>
      </c>
      <c r="AB1231" s="52">
        <v>0</v>
      </c>
      <c r="AC1231" s="52">
        <v>0</v>
      </c>
      <c r="AD1231" s="21">
        <v>0.68827656736675979</v>
      </c>
      <c r="AE1231" s="54">
        <v>0.68827656736675979</v>
      </c>
      <c r="AF1231" s="315">
        <f t="shared" si="89"/>
        <v>3458.658578674705</v>
      </c>
    </row>
    <row r="1232" spans="1:32" ht="165" x14ac:dyDescent="0.25">
      <c r="A1232" s="107" t="s">
        <v>588</v>
      </c>
      <c r="B1232" s="107" t="s">
        <v>2271</v>
      </c>
      <c r="C1232" s="52"/>
      <c r="D1232" s="107" t="s">
        <v>2302</v>
      </c>
      <c r="E1232" s="22" t="str">
        <f t="shared" si="87"/>
        <v>SEJUSPPROG</v>
      </c>
      <c r="F1232" s="122" t="s">
        <v>886</v>
      </c>
      <c r="G1232" s="22" t="str">
        <f t="shared" si="88"/>
        <v>P146SEJUSP</v>
      </c>
      <c r="H1232" s="107" t="s">
        <v>2307</v>
      </c>
      <c r="I1232" s="22" t="s">
        <v>16</v>
      </c>
      <c r="J1232" s="107" t="s">
        <v>1605</v>
      </c>
      <c r="K1232" s="22" t="str">
        <f>VLOOKUP(CONCATENATE(A1232,LEFT(J1232,4)),AGRUPAMENTO!$D$2:$E$6783,2,FALSE)</f>
        <v>Serviços de saúde e medicamentos</v>
      </c>
      <c r="L1232" s="107" t="s">
        <v>44</v>
      </c>
      <c r="M1232" s="52"/>
      <c r="N1232" s="52">
        <v>10</v>
      </c>
      <c r="O1232" s="107" t="s">
        <v>3352</v>
      </c>
      <c r="P1232" s="52" t="s">
        <v>46</v>
      </c>
      <c r="Q1232" s="107" t="s">
        <v>4127</v>
      </c>
      <c r="R1232" s="107">
        <v>2375</v>
      </c>
      <c r="S1232" s="107" t="s">
        <v>3909</v>
      </c>
      <c r="T1232" s="239">
        <v>27.9</v>
      </c>
      <c r="U1232" s="107">
        <v>1</v>
      </c>
      <c r="V1232" s="58">
        <f t="shared" si="86"/>
        <v>66262.5</v>
      </c>
      <c r="W1232" s="52" t="s">
        <v>49</v>
      </c>
      <c r="X1232" s="107" t="s">
        <v>5051</v>
      </c>
      <c r="Y1232" s="304" t="s">
        <v>5064</v>
      </c>
      <c r="Z1232" s="304" t="s">
        <v>5061</v>
      </c>
      <c r="AA1232" s="52">
        <v>0</v>
      </c>
      <c r="AB1232" s="52">
        <v>0</v>
      </c>
      <c r="AC1232" s="52">
        <v>0</v>
      </c>
      <c r="AD1232" s="21">
        <v>0.68827656736675979</v>
      </c>
      <c r="AE1232" s="54">
        <v>0.68827656736675979</v>
      </c>
      <c r="AF1232" s="315">
        <f t="shared" si="89"/>
        <v>45606.926045139924</v>
      </c>
    </row>
    <row r="1233" spans="1:32" ht="180" x14ac:dyDescent="0.25">
      <c r="A1233" s="107" t="s">
        <v>588</v>
      </c>
      <c r="B1233" s="107" t="s">
        <v>2271</v>
      </c>
      <c r="C1233" s="52"/>
      <c r="D1233" s="107" t="s">
        <v>2302</v>
      </c>
      <c r="E1233" s="22" t="str">
        <f t="shared" si="87"/>
        <v>SEJUSPPROG</v>
      </c>
      <c r="F1233" s="122" t="s">
        <v>886</v>
      </c>
      <c r="G1233" s="22" t="str">
        <f t="shared" si="88"/>
        <v>P146SEJUSP</v>
      </c>
      <c r="H1233" s="107" t="s">
        <v>2307</v>
      </c>
      <c r="I1233" s="22" t="s">
        <v>16</v>
      </c>
      <c r="J1233" s="107" t="s">
        <v>1605</v>
      </c>
      <c r="K1233" s="22" t="str">
        <f>VLOOKUP(CONCATENATE(A1233,LEFT(J1233,4)),AGRUPAMENTO!$D$2:$E$6783,2,FALSE)</f>
        <v>Serviços de saúde e medicamentos</v>
      </c>
      <c r="L1233" s="107" t="s">
        <v>44</v>
      </c>
      <c r="M1233" s="52"/>
      <c r="N1233" s="52">
        <v>10</v>
      </c>
      <c r="O1233" s="107" t="s">
        <v>3353</v>
      </c>
      <c r="P1233" s="52" t="s">
        <v>46</v>
      </c>
      <c r="Q1233" s="107" t="s">
        <v>4127</v>
      </c>
      <c r="R1233" s="107">
        <v>1900</v>
      </c>
      <c r="S1233" s="107" t="s">
        <v>3909</v>
      </c>
      <c r="T1233" s="239">
        <v>27.9</v>
      </c>
      <c r="U1233" s="107">
        <v>1</v>
      </c>
      <c r="V1233" s="58">
        <f t="shared" si="86"/>
        <v>53010</v>
      </c>
      <c r="W1233" s="52" t="s">
        <v>49</v>
      </c>
      <c r="X1233" s="107" t="s">
        <v>5051</v>
      </c>
      <c r="Y1233" s="304" t="s">
        <v>5064</v>
      </c>
      <c r="Z1233" s="304" t="s">
        <v>5061</v>
      </c>
      <c r="AA1233" s="52">
        <v>0</v>
      </c>
      <c r="AB1233" s="52">
        <v>0</v>
      </c>
      <c r="AC1233" s="52">
        <v>0</v>
      </c>
      <c r="AD1233" s="21">
        <v>0.68827656736675979</v>
      </c>
      <c r="AE1233" s="54">
        <v>0.68827656736675979</v>
      </c>
      <c r="AF1233" s="315">
        <f t="shared" si="89"/>
        <v>36485.540836111933</v>
      </c>
    </row>
    <row r="1234" spans="1:32" ht="180" x14ac:dyDescent="0.25">
      <c r="A1234" s="107" t="s">
        <v>588</v>
      </c>
      <c r="B1234" s="107" t="s">
        <v>2271</v>
      </c>
      <c r="C1234" s="52"/>
      <c r="D1234" s="107" t="s">
        <v>2302</v>
      </c>
      <c r="E1234" s="22" t="str">
        <f t="shared" si="87"/>
        <v>SEJUSPPROG</v>
      </c>
      <c r="F1234" s="122" t="s">
        <v>886</v>
      </c>
      <c r="G1234" s="22" t="str">
        <f t="shared" si="88"/>
        <v>P146SEJUSP</v>
      </c>
      <c r="H1234" s="107" t="s">
        <v>2307</v>
      </c>
      <c r="I1234" s="22" t="s">
        <v>16</v>
      </c>
      <c r="J1234" s="107" t="s">
        <v>1605</v>
      </c>
      <c r="K1234" s="22" t="str">
        <f>VLOOKUP(CONCATENATE(A1234,LEFT(J1234,4)),AGRUPAMENTO!$D$2:$E$6783,2,FALSE)</f>
        <v>Serviços de saúde e medicamentos</v>
      </c>
      <c r="L1234" s="107" t="s">
        <v>44</v>
      </c>
      <c r="M1234" s="52"/>
      <c r="N1234" s="52">
        <v>10</v>
      </c>
      <c r="O1234" s="107" t="s">
        <v>3354</v>
      </c>
      <c r="P1234" s="52" t="s">
        <v>46</v>
      </c>
      <c r="Q1234" s="107" t="s">
        <v>4127</v>
      </c>
      <c r="R1234" s="107">
        <v>150</v>
      </c>
      <c r="S1234" s="107" t="s">
        <v>3909</v>
      </c>
      <c r="T1234" s="239">
        <v>32.270000000000003</v>
      </c>
      <c r="U1234" s="107">
        <v>1</v>
      </c>
      <c r="V1234" s="58">
        <f t="shared" si="86"/>
        <v>4840.5000000000009</v>
      </c>
      <c r="W1234" s="52" t="s">
        <v>49</v>
      </c>
      <c r="X1234" s="107" t="s">
        <v>5051</v>
      </c>
      <c r="Y1234" s="304" t="s">
        <v>5064</v>
      </c>
      <c r="Z1234" s="304" t="s">
        <v>5061</v>
      </c>
      <c r="AA1234" s="52">
        <v>0</v>
      </c>
      <c r="AB1234" s="52">
        <v>0</v>
      </c>
      <c r="AC1234" s="52">
        <v>0</v>
      </c>
      <c r="AD1234" s="21">
        <v>0.68827656736675979</v>
      </c>
      <c r="AE1234" s="54">
        <v>0.68827656736675979</v>
      </c>
      <c r="AF1234" s="315">
        <f t="shared" si="89"/>
        <v>3331.6027243388016</v>
      </c>
    </row>
    <row r="1235" spans="1:32" ht="120" x14ac:dyDescent="0.25">
      <c r="A1235" s="107" t="s">
        <v>588</v>
      </c>
      <c r="B1235" s="107" t="s">
        <v>2271</v>
      </c>
      <c r="C1235" s="52"/>
      <c r="D1235" s="107" t="s">
        <v>2302</v>
      </c>
      <c r="E1235" s="22" t="str">
        <f t="shared" si="87"/>
        <v>SEJUSPPROG</v>
      </c>
      <c r="F1235" s="122" t="s">
        <v>886</v>
      </c>
      <c r="G1235" s="22" t="str">
        <f t="shared" si="88"/>
        <v>P146SEJUSP</v>
      </c>
      <c r="H1235" s="107" t="s">
        <v>2307</v>
      </c>
      <c r="I1235" s="22" t="s">
        <v>16</v>
      </c>
      <c r="J1235" s="107" t="s">
        <v>1605</v>
      </c>
      <c r="K1235" s="22" t="str">
        <f>VLOOKUP(CONCATENATE(A1235,LEFT(J1235,4)),AGRUPAMENTO!$D$2:$E$6783,2,FALSE)</f>
        <v>Serviços de saúde e medicamentos</v>
      </c>
      <c r="L1235" s="107" t="s">
        <v>44</v>
      </c>
      <c r="M1235" s="52"/>
      <c r="N1235" s="52">
        <v>10</v>
      </c>
      <c r="O1235" s="107" t="s">
        <v>3355</v>
      </c>
      <c r="P1235" s="52" t="s">
        <v>46</v>
      </c>
      <c r="Q1235" s="107" t="s">
        <v>3872</v>
      </c>
      <c r="R1235" s="107">
        <v>168</v>
      </c>
      <c r="S1235" s="107" t="s">
        <v>3909</v>
      </c>
      <c r="T1235" s="239">
        <v>5.99</v>
      </c>
      <c r="U1235" s="107">
        <v>1</v>
      </c>
      <c r="V1235" s="58">
        <f t="shared" si="86"/>
        <v>1006.32</v>
      </c>
      <c r="W1235" s="52" t="s">
        <v>49</v>
      </c>
      <c r="X1235" s="107" t="s">
        <v>5051</v>
      </c>
      <c r="Y1235" s="304" t="s">
        <v>5064</v>
      </c>
      <c r="Z1235" s="304" t="s">
        <v>5061</v>
      </c>
      <c r="AA1235" s="52">
        <v>0</v>
      </c>
      <c r="AB1235" s="52">
        <v>0</v>
      </c>
      <c r="AC1235" s="52">
        <v>0</v>
      </c>
      <c r="AD1235" s="21">
        <v>0.68827656736675979</v>
      </c>
      <c r="AE1235" s="54">
        <v>0.68827656736675979</v>
      </c>
      <c r="AF1235" s="315">
        <f t="shared" si="89"/>
        <v>692.62647527251772</v>
      </c>
    </row>
    <row r="1236" spans="1:32" ht="165" x14ac:dyDescent="0.25">
      <c r="A1236" s="107" t="s">
        <v>588</v>
      </c>
      <c r="B1236" s="107" t="s">
        <v>2271</v>
      </c>
      <c r="C1236" s="52"/>
      <c r="D1236" s="107" t="s">
        <v>2302</v>
      </c>
      <c r="E1236" s="22" t="str">
        <f t="shared" si="87"/>
        <v>SEJUSPPROG</v>
      </c>
      <c r="F1236" s="122" t="s">
        <v>886</v>
      </c>
      <c r="G1236" s="22" t="str">
        <f t="shared" si="88"/>
        <v>P146SEJUSP</v>
      </c>
      <c r="H1236" s="107" t="s">
        <v>2307</v>
      </c>
      <c r="I1236" s="22" t="s">
        <v>16</v>
      </c>
      <c r="J1236" s="92" t="s">
        <v>2229</v>
      </c>
      <c r="K1236" s="22" t="str">
        <f>VLOOKUP(CONCATENATE(A1236,LEFT(J1236,4)),AGRUPAMENTO!$D$2:$E$6783,2,FALSE)</f>
        <v>Demais despesas de capital</v>
      </c>
      <c r="L1236" s="52" t="s">
        <v>94</v>
      </c>
      <c r="M1236" s="52"/>
      <c r="N1236" s="52">
        <v>10</v>
      </c>
      <c r="O1236" s="107" t="s">
        <v>3356</v>
      </c>
      <c r="P1236" s="52" t="s">
        <v>46</v>
      </c>
      <c r="Q1236" s="107" t="s">
        <v>3872</v>
      </c>
      <c r="R1236" s="107">
        <v>2</v>
      </c>
      <c r="S1236" s="107" t="s">
        <v>3909</v>
      </c>
      <c r="T1236" s="239">
        <v>28.11</v>
      </c>
      <c r="U1236" s="107">
        <v>1</v>
      </c>
      <c r="V1236" s="58">
        <f t="shared" si="86"/>
        <v>56.22</v>
      </c>
      <c r="W1236" s="52" t="s">
        <v>49</v>
      </c>
      <c r="X1236" s="107" t="s">
        <v>5065</v>
      </c>
      <c r="Y1236" s="304" t="s">
        <v>5066</v>
      </c>
      <c r="Z1236" s="304" t="s">
        <v>5061</v>
      </c>
      <c r="AA1236" s="52">
        <v>0</v>
      </c>
      <c r="AB1236" s="52">
        <v>0</v>
      </c>
      <c r="AC1236" s="52">
        <v>0</v>
      </c>
      <c r="AD1236" s="21">
        <v>1</v>
      </c>
      <c r="AE1236" s="54">
        <v>1</v>
      </c>
      <c r="AF1236" s="315">
        <f t="shared" si="89"/>
        <v>56.22</v>
      </c>
    </row>
    <row r="1237" spans="1:32" ht="165" x14ac:dyDescent="0.25">
      <c r="A1237" s="107" t="s">
        <v>588</v>
      </c>
      <c r="B1237" s="107" t="s">
        <v>2271</v>
      </c>
      <c r="C1237" s="52"/>
      <c r="D1237" s="107" t="s">
        <v>2302</v>
      </c>
      <c r="E1237" s="22" t="str">
        <f t="shared" si="87"/>
        <v>SEJUSPPROG</v>
      </c>
      <c r="F1237" s="122" t="s">
        <v>886</v>
      </c>
      <c r="G1237" s="22" t="str">
        <f t="shared" si="88"/>
        <v>P146SEJUSP</v>
      </c>
      <c r="H1237" s="107" t="s">
        <v>2307</v>
      </c>
      <c r="I1237" s="22" t="s">
        <v>16</v>
      </c>
      <c r="J1237" s="107" t="s">
        <v>1605</v>
      </c>
      <c r="K1237" s="22" t="str">
        <f>VLOOKUP(CONCATENATE(A1237,LEFT(J1237,4)),AGRUPAMENTO!$D$2:$E$6783,2,FALSE)</f>
        <v>Serviços de saúde e medicamentos</v>
      </c>
      <c r="L1237" s="107" t="s">
        <v>44</v>
      </c>
      <c r="M1237" s="52"/>
      <c r="N1237" s="52">
        <v>10</v>
      </c>
      <c r="O1237" s="107" t="s">
        <v>3357</v>
      </c>
      <c r="P1237" s="52" t="s">
        <v>46</v>
      </c>
      <c r="Q1237" s="107" t="s">
        <v>4128</v>
      </c>
      <c r="R1237" s="107">
        <v>225</v>
      </c>
      <c r="S1237" s="107" t="s">
        <v>3909</v>
      </c>
      <c r="T1237" s="239">
        <v>24.99</v>
      </c>
      <c r="U1237" s="107">
        <v>1</v>
      </c>
      <c r="V1237" s="58">
        <f t="shared" si="86"/>
        <v>5622.75</v>
      </c>
      <c r="W1237" s="52" t="s">
        <v>49</v>
      </c>
      <c r="X1237" s="107" t="s">
        <v>5051</v>
      </c>
      <c r="Y1237" s="304" t="s">
        <v>5064</v>
      </c>
      <c r="Z1237" s="304" t="s">
        <v>5061</v>
      </c>
      <c r="AA1237" s="52">
        <v>0</v>
      </c>
      <c r="AB1237" s="52">
        <v>0</v>
      </c>
      <c r="AC1237" s="52">
        <v>0</v>
      </c>
      <c r="AD1237" s="21">
        <v>0.68827656736675979</v>
      </c>
      <c r="AE1237" s="54">
        <v>0.68827656736675979</v>
      </c>
      <c r="AF1237" s="315">
        <f t="shared" si="89"/>
        <v>3870.0070691614487</v>
      </c>
    </row>
    <row r="1238" spans="1:32" ht="165" x14ac:dyDescent="0.25">
      <c r="A1238" s="107" t="s">
        <v>588</v>
      </c>
      <c r="B1238" s="107" t="s">
        <v>2271</v>
      </c>
      <c r="C1238" s="52"/>
      <c r="D1238" s="107" t="s">
        <v>2302</v>
      </c>
      <c r="E1238" s="22" t="str">
        <f t="shared" si="87"/>
        <v>SEJUSPPROG</v>
      </c>
      <c r="F1238" s="122" t="s">
        <v>886</v>
      </c>
      <c r="G1238" s="22" t="str">
        <f t="shared" si="88"/>
        <v>P146SEJUSP</v>
      </c>
      <c r="H1238" s="107" t="s">
        <v>2307</v>
      </c>
      <c r="I1238" s="22" t="s">
        <v>16</v>
      </c>
      <c r="J1238" s="107" t="s">
        <v>1605</v>
      </c>
      <c r="K1238" s="22" t="str">
        <f>VLOOKUP(CONCATENATE(A1238,LEFT(J1238,4)),AGRUPAMENTO!$D$2:$E$6783,2,FALSE)</f>
        <v>Serviços de saúde e medicamentos</v>
      </c>
      <c r="L1238" s="107" t="s">
        <v>44</v>
      </c>
      <c r="M1238" s="52"/>
      <c r="N1238" s="52">
        <v>10</v>
      </c>
      <c r="O1238" s="107" t="s">
        <v>3358</v>
      </c>
      <c r="P1238" s="52" t="s">
        <v>46</v>
      </c>
      <c r="Q1238" s="107" t="s">
        <v>3872</v>
      </c>
      <c r="R1238" s="107">
        <v>1850</v>
      </c>
      <c r="S1238" s="107" t="s">
        <v>3909</v>
      </c>
      <c r="T1238" s="239">
        <v>4.58</v>
      </c>
      <c r="U1238" s="107">
        <v>1</v>
      </c>
      <c r="V1238" s="58">
        <f t="shared" si="86"/>
        <v>8473</v>
      </c>
      <c r="W1238" s="52" t="s">
        <v>49</v>
      </c>
      <c r="X1238" s="107" t="s">
        <v>5051</v>
      </c>
      <c r="Y1238" s="304" t="s">
        <v>5064</v>
      </c>
      <c r="Z1238" s="304" t="s">
        <v>5061</v>
      </c>
      <c r="AA1238" s="52">
        <v>0</v>
      </c>
      <c r="AB1238" s="52">
        <v>0</v>
      </c>
      <c r="AC1238" s="52">
        <v>0</v>
      </c>
      <c r="AD1238" s="21">
        <v>0.68827656736675979</v>
      </c>
      <c r="AE1238" s="54">
        <v>0.68827656736675979</v>
      </c>
      <c r="AF1238" s="315">
        <f t="shared" si="89"/>
        <v>5831.7673552985561</v>
      </c>
    </row>
    <row r="1239" spans="1:32" ht="240" x14ac:dyDescent="0.25">
      <c r="A1239" s="107" t="s">
        <v>588</v>
      </c>
      <c r="B1239" s="107" t="s">
        <v>2271</v>
      </c>
      <c r="C1239" s="52"/>
      <c r="D1239" s="107" t="s">
        <v>2302</v>
      </c>
      <c r="E1239" s="22" t="str">
        <f t="shared" si="87"/>
        <v>SEJUSPPROG</v>
      </c>
      <c r="F1239" s="122" t="s">
        <v>886</v>
      </c>
      <c r="G1239" s="22" t="str">
        <f t="shared" si="88"/>
        <v>P146SEJUSP</v>
      </c>
      <c r="H1239" s="107" t="s">
        <v>2307</v>
      </c>
      <c r="I1239" s="22" t="s">
        <v>16</v>
      </c>
      <c r="J1239" s="107" t="s">
        <v>1605</v>
      </c>
      <c r="K1239" s="22" t="str">
        <f>VLOOKUP(CONCATENATE(A1239,LEFT(J1239,4)),AGRUPAMENTO!$D$2:$E$6783,2,FALSE)</f>
        <v>Serviços de saúde e medicamentos</v>
      </c>
      <c r="L1239" s="107" t="s">
        <v>44</v>
      </c>
      <c r="M1239" s="52"/>
      <c r="N1239" s="52">
        <v>10</v>
      </c>
      <c r="O1239" s="107" t="s">
        <v>3359</v>
      </c>
      <c r="P1239" s="52" t="s">
        <v>46</v>
      </c>
      <c r="Q1239" s="107" t="s">
        <v>3872</v>
      </c>
      <c r="R1239" s="107">
        <v>11</v>
      </c>
      <c r="S1239" s="107" t="s">
        <v>3909</v>
      </c>
      <c r="T1239" s="239">
        <v>53.74</v>
      </c>
      <c r="U1239" s="107">
        <v>1</v>
      </c>
      <c r="V1239" s="58">
        <f t="shared" si="86"/>
        <v>591.14</v>
      </c>
      <c r="W1239" s="52" t="s">
        <v>49</v>
      </c>
      <c r="X1239" s="107" t="s">
        <v>5065</v>
      </c>
      <c r="Y1239" s="304" t="s">
        <v>5064</v>
      </c>
      <c r="Z1239" s="304" t="s">
        <v>5040</v>
      </c>
      <c r="AA1239" s="52">
        <v>0</v>
      </c>
      <c r="AB1239" s="52">
        <v>0</v>
      </c>
      <c r="AC1239" s="52">
        <v>0</v>
      </c>
      <c r="AD1239" s="21">
        <v>0.68827656736675979</v>
      </c>
      <c r="AE1239" s="54">
        <v>0.68827656736675979</v>
      </c>
      <c r="AF1239" s="315">
        <f t="shared" si="89"/>
        <v>406.8678100331864</v>
      </c>
    </row>
    <row r="1240" spans="1:32" ht="240" x14ac:dyDescent="0.25">
      <c r="A1240" s="107" t="s">
        <v>588</v>
      </c>
      <c r="B1240" s="107" t="s">
        <v>2271</v>
      </c>
      <c r="C1240" s="52"/>
      <c r="D1240" s="107" t="s">
        <v>2302</v>
      </c>
      <c r="E1240" s="22" t="str">
        <f t="shared" si="87"/>
        <v>SEJUSPPROG</v>
      </c>
      <c r="F1240" s="122" t="s">
        <v>886</v>
      </c>
      <c r="G1240" s="22" t="str">
        <f t="shared" si="88"/>
        <v>P146SEJUSP</v>
      </c>
      <c r="H1240" s="107" t="s">
        <v>2307</v>
      </c>
      <c r="I1240" s="22" t="s">
        <v>16</v>
      </c>
      <c r="J1240" s="107" t="s">
        <v>2135</v>
      </c>
      <c r="K1240" s="22" t="str">
        <f>VLOOKUP(CONCATENATE(A1240,LEFT(J1240,4)),AGRUPAMENTO!$D$2:$E$6783,2,FALSE)</f>
        <v>Material de consumo</v>
      </c>
      <c r="L1240" s="107" t="s">
        <v>44</v>
      </c>
      <c r="M1240" s="52"/>
      <c r="N1240" s="52">
        <v>10</v>
      </c>
      <c r="O1240" s="107" t="s">
        <v>3360</v>
      </c>
      <c r="P1240" s="52" t="s">
        <v>46</v>
      </c>
      <c r="Q1240" s="107" t="s">
        <v>3872</v>
      </c>
      <c r="R1240" s="107">
        <v>48</v>
      </c>
      <c r="S1240" s="107" t="s">
        <v>3909</v>
      </c>
      <c r="T1240" s="239">
        <v>5.09</v>
      </c>
      <c r="U1240" s="107">
        <v>1</v>
      </c>
      <c r="V1240" s="58">
        <f t="shared" si="86"/>
        <v>244.32</v>
      </c>
      <c r="W1240" s="52" t="s">
        <v>49</v>
      </c>
      <c r="X1240" s="107" t="s">
        <v>5043</v>
      </c>
      <c r="Y1240" s="304" t="s">
        <v>5045</v>
      </c>
      <c r="Z1240" s="304" t="s">
        <v>5040</v>
      </c>
      <c r="AA1240" s="52">
        <v>0</v>
      </c>
      <c r="AB1240" s="52">
        <v>0</v>
      </c>
      <c r="AC1240" s="52">
        <v>0</v>
      </c>
      <c r="AD1240" s="21">
        <v>0.66843255889259856</v>
      </c>
      <c r="AE1240" s="54">
        <v>0.66843255889259856</v>
      </c>
      <c r="AF1240" s="315">
        <f t="shared" si="89"/>
        <v>163.31144278863968</v>
      </c>
    </row>
    <row r="1241" spans="1:32" ht="240" x14ac:dyDescent="0.25">
      <c r="A1241" s="107" t="s">
        <v>588</v>
      </c>
      <c r="B1241" s="107" t="s">
        <v>2271</v>
      </c>
      <c r="C1241" s="52"/>
      <c r="D1241" s="107" t="s">
        <v>2302</v>
      </c>
      <c r="E1241" s="22" t="str">
        <f t="shared" si="87"/>
        <v>SEJUSPPROG</v>
      </c>
      <c r="F1241" s="122" t="s">
        <v>886</v>
      </c>
      <c r="G1241" s="22" t="str">
        <f t="shared" si="88"/>
        <v>P146SEJUSP</v>
      </c>
      <c r="H1241" s="107" t="s">
        <v>2307</v>
      </c>
      <c r="I1241" s="22" t="s">
        <v>16</v>
      </c>
      <c r="J1241" s="107" t="s">
        <v>2135</v>
      </c>
      <c r="K1241" s="22" t="str">
        <f>VLOOKUP(CONCATENATE(A1241,LEFT(J1241,4)),AGRUPAMENTO!$D$2:$E$6783,2,FALSE)</f>
        <v>Material de consumo</v>
      </c>
      <c r="L1241" s="107" t="s">
        <v>44</v>
      </c>
      <c r="M1241" s="52"/>
      <c r="N1241" s="52">
        <v>10</v>
      </c>
      <c r="O1241" s="107" t="s">
        <v>3361</v>
      </c>
      <c r="P1241" s="52" t="s">
        <v>46</v>
      </c>
      <c r="Q1241" s="107" t="s">
        <v>3872</v>
      </c>
      <c r="R1241" s="107">
        <v>48</v>
      </c>
      <c r="S1241" s="107" t="s">
        <v>3909</v>
      </c>
      <c r="T1241" s="239">
        <v>4.9000000000000004</v>
      </c>
      <c r="U1241" s="107">
        <v>1</v>
      </c>
      <c r="V1241" s="58">
        <f t="shared" si="86"/>
        <v>235.20000000000002</v>
      </c>
      <c r="W1241" s="52" t="s">
        <v>49</v>
      </c>
      <c r="X1241" s="107" t="s">
        <v>5043</v>
      </c>
      <c r="Y1241" s="304" t="s">
        <v>5045</v>
      </c>
      <c r="Z1241" s="304" t="s">
        <v>5040</v>
      </c>
      <c r="AA1241" s="52">
        <v>0</v>
      </c>
      <c r="AB1241" s="52">
        <v>0</v>
      </c>
      <c r="AC1241" s="52">
        <v>0</v>
      </c>
      <c r="AD1241" s="21">
        <v>0.66843255889259856</v>
      </c>
      <c r="AE1241" s="54">
        <v>0.66843255889259856</v>
      </c>
      <c r="AF1241" s="315">
        <f t="shared" si="89"/>
        <v>157.2153378515392</v>
      </c>
    </row>
    <row r="1242" spans="1:32" ht="240" x14ac:dyDescent="0.25">
      <c r="A1242" s="107" t="s">
        <v>588</v>
      </c>
      <c r="B1242" s="107" t="s">
        <v>2271</v>
      </c>
      <c r="C1242" s="52"/>
      <c r="D1242" s="107" t="s">
        <v>2302</v>
      </c>
      <c r="E1242" s="22" t="str">
        <f t="shared" si="87"/>
        <v>SEJUSPPROG</v>
      </c>
      <c r="F1242" s="122" t="s">
        <v>886</v>
      </c>
      <c r="G1242" s="22" t="str">
        <f t="shared" si="88"/>
        <v>P146SEJUSP</v>
      </c>
      <c r="H1242" s="107" t="s">
        <v>2307</v>
      </c>
      <c r="I1242" s="22" t="s">
        <v>16</v>
      </c>
      <c r="J1242" s="107" t="s">
        <v>137</v>
      </c>
      <c r="K1242" s="22" t="str">
        <f>VLOOKUP(CONCATENATE(A1242,LEFT(J1242,4)),AGRUPAMENTO!$D$2:$E$6783,2,FALSE)</f>
        <v>Serviços de saúde e medicamentos</v>
      </c>
      <c r="L1242" s="107" t="s">
        <v>44</v>
      </c>
      <c r="M1242" s="52"/>
      <c r="N1242" s="52">
        <v>10</v>
      </c>
      <c r="O1242" s="107" t="s">
        <v>3362</v>
      </c>
      <c r="P1242" s="52" t="s">
        <v>46</v>
      </c>
      <c r="Q1242" s="107" t="s">
        <v>4129</v>
      </c>
      <c r="R1242" s="107">
        <v>840</v>
      </c>
      <c r="S1242" s="107" t="s">
        <v>3909</v>
      </c>
      <c r="T1242" s="239">
        <v>6.48</v>
      </c>
      <c r="U1242" s="107">
        <v>1</v>
      </c>
      <c r="V1242" s="58">
        <f t="shared" si="86"/>
        <v>5443.2000000000007</v>
      </c>
      <c r="W1242" s="52" t="s">
        <v>49</v>
      </c>
      <c r="X1242" s="107" t="s">
        <v>5038</v>
      </c>
      <c r="Y1242" s="304" t="s">
        <v>5039</v>
      </c>
      <c r="Z1242" s="304" t="s">
        <v>5040</v>
      </c>
      <c r="AA1242" s="52">
        <v>0</v>
      </c>
      <c r="AB1242" s="52">
        <v>0</v>
      </c>
      <c r="AC1242" s="52">
        <v>0</v>
      </c>
      <c r="AD1242" s="21">
        <v>0.68827656736675979</v>
      </c>
      <c r="AE1242" s="54">
        <v>0.68827656736675979</v>
      </c>
      <c r="AF1242" s="315">
        <f t="shared" si="89"/>
        <v>3746.4270114907472</v>
      </c>
    </row>
    <row r="1243" spans="1:32" ht="240" x14ac:dyDescent="0.25">
      <c r="A1243" s="107" t="s">
        <v>588</v>
      </c>
      <c r="B1243" s="107" t="s">
        <v>2271</v>
      </c>
      <c r="C1243" s="52"/>
      <c r="D1243" s="107" t="s">
        <v>2302</v>
      </c>
      <c r="E1243" s="22" t="str">
        <f t="shared" si="87"/>
        <v>SEJUSPPROG</v>
      </c>
      <c r="F1243" s="122" t="s">
        <v>886</v>
      </c>
      <c r="G1243" s="22" t="str">
        <f t="shared" si="88"/>
        <v>P146SEJUSP</v>
      </c>
      <c r="H1243" s="107" t="s">
        <v>2307</v>
      </c>
      <c r="I1243" s="22" t="s">
        <v>16</v>
      </c>
      <c r="J1243" s="107" t="s">
        <v>1605</v>
      </c>
      <c r="K1243" s="22" t="str">
        <f>VLOOKUP(CONCATENATE(A1243,LEFT(J1243,4)),AGRUPAMENTO!$D$2:$E$6783,2,FALSE)</f>
        <v>Serviços de saúde e medicamentos</v>
      </c>
      <c r="L1243" s="107" t="s">
        <v>44</v>
      </c>
      <c r="M1243" s="52"/>
      <c r="N1243" s="52">
        <v>10</v>
      </c>
      <c r="O1243" s="107" t="s">
        <v>3363</v>
      </c>
      <c r="P1243" s="52" t="s">
        <v>46</v>
      </c>
      <c r="Q1243" s="107" t="s">
        <v>3872</v>
      </c>
      <c r="R1243" s="107">
        <v>100</v>
      </c>
      <c r="S1243" s="107" t="s">
        <v>3909</v>
      </c>
      <c r="T1243" s="239">
        <v>7.39</v>
      </c>
      <c r="U1243" s="107">
        <v>1</v>
      </c>
      <c r="V1243" s="58">
        <f t="shared" si="86"/>
        <v>739</v>
      </c>
      <c r="W1243" s="52" t="s">
        <v>49</v>
      </c>
      <c r="X1243" s="107" t="s">
        <v>5051</v>
      </c>
      <c r="Y1243" s="304" t="s">
        <v>5064</v>
      </c>
      <c r="Z1243" s="304" t="s">
        <v>5040</v>
      </c>
      <c r="AA1243" s="52">
        <v>0</v>
      </c>
      <c r="AB1243" s="52">
        <v>0</v>
      </c>
      <c r="AC1243" s="52">
        <v>0</v>
      </c>
      <c r="AD1243" s="21">
        <v>0.68827656736675979</v>
      </c>
      <c r="AE1243" s="54">
        <v>0.68827656736675979</v>
      </c>
      <c r="AF1243" s="315">
        <f t="shared" si="89"/>
        <v>508.6363832840355</v>
      </c>
    </row>
    <row r="1244" spans="1:32" ht="240" x14ac:dyDescent="0.25">
      <c r="A1244" s="107" t="s">
        <v>588</v>
      </c>
      <c r="B1244" s="107" t="s">
        <v>2271</v>
      </c>
      <c r="C1244" s="52"/>
      <c r="D1244" s="107" t="s">
        <v>2302</v>
      </c>
      <c r="E1244" s="22" t="str">
        <f t="shared" si="87"/>
        <v>SEJUSPPROG</v>
      </c>
      <c r="F1244" s="122" t="s">
        <v>886</v>
      </c>
      <c r="G1244" s="22" t="str">
        <f t="shared" si="88"/>
        <v>P146SEJUSP</v>
      </c>
      <c r="H1244" s="107" t="s">
        <v>2307</v>
      </c>
      <c r="I1244" s="22" t="s">
        <v>16</v>
      </c>
      <c r="J1244" s="107" t="s">
        <v>2135</v>
      </c>
      <c r="K1244" s="22" t="str">
        <f>VLOOKUP(CONCATENATE(A1244,LEFT(J1244,4)),AGRUPAMENTO!$D$2:$E$6783,2,FALSE)</f>
        <v>Material de consumo</v>
      </c>
      <c r="L1244" s="107" t="s">
        <v>44</v>
      </c>
      <c r="M1244" s="52"/>
      <c r="N1244" s="52">
        <v>10</v>
      </c>
      <c r="O1244" s="107" t="s">
        <v>3364</v>
      </c>
      <c r="P1244" s="52" t="s">
        <v>46</v>
      </c>
      <c r="Q1244" s="107" t="s">
        <v>4118</v>
      </c>
      <c r="R1244" s="107">
        <v>20</v>
      </c>
      <c r="S1244" s="107" t="s">
        <v>3909</v>
      </c>
      <c r="T1244" s="239">
        <v>25.9</v>
      </c>
      <c r="U1244" s="107">
        <v>1</v>
      </c>
      <c r="V1244" s="58">
        <f t="shared" si="86"/>
        <v>518</v>
      </c>
      <c r="W1244" s="52" t="s">
        <v>49</v>
      </c>
      <c r="X1244" s="107" t="s">
        <v>5043</v>
      </c>
      <c r="Y1244" s="304" t="s">
        <v>5045</v>
      </c>
      <c r="Z1244" s="304" t="s">
        <v>5040</v>
      </c>
      <c r="AA1244" s="52">
        <v>0</v>
      </c>
      <c r="AB1244" s="52">
        <v>0</v>
      </c>
      <c r="AC1244" s="52">
        <v>0</v>
      </c>
      <c r="AD1244" s="21">
        <v>0.66843255889259856</v>
      </c>
      <c r="AE1244" s="54">
        <v>0.66843255889259856</v>
      </c>
      <c r="AF1244" s="315">
        <f t="shared" si="89"/>
        <v>346.24806550636606</v>
      </c>
    </row>
    <row r="1245" spans="1:32" ht="240" x14ac:dyDescent="0.25">
      <c r="A1245" s="107" t="s">
        <v>588</v>
      </c>
      <c r="B1245" s="107" t="s">
        <v>2271</v>
      </c>
      <c r="C1245" s="52"/>
      <c r="D1245" s="107" t="s">
        <v>2302</v>
      </c>
      <c r="E1245" s="22" t="str">
        <f t="shared" si="87"/>
        <v>SEJUSPPROG</v>
      </c>
      <c r="F1245" s="122" t="s">
        <v>886</v>
      </c>
      <c r="G1245" s="22" t="str">
        <f t="shared" si="88"/>
        <v>P146SEJUSP</v>
      </c>
      <c r="H1245" s="107" t="s">
        <v>2307</v>
      </c>
      <c r="I1245" s="22" t="s">
        <v>16</v>
      </c>
      <c r="J1245" s="107" t="s">
        <v>2135</v>
      </c>
      <c r="K1245" s="22" t="str">
        <f>VLOOKUP(CONCATENATE(A1245,LEFT(J1245,4)),AGRUPAMENTO!$D$2:$E$6783,2,FALSE)</f>
        <v>Material de consumo</v>
      </c>
      <c r="L1245" s="107" t="s">
        <v>44</v>
      </c>
      <c r="M1245" s="52"/>
      <c r="N1245" s="52">
        <v>10</v>
      </c>
      <c r="O1245" s="107" t="s">
        <v>3365</v>
      </c>
      <c r="P1245" s="52" t="s">
        <v>46</v>
      </c>
      <c r="Q1245" s="107" t="s">
        <v>4130</v>
      </c>
      <c r="R1245" s="107">
        <v>48</v>
      </c>
      <c r="S1245" s="107" t="s">
        <v>3909</v>
      </c>
      <c r="T1245" s="239">
        <v>4.29</v>
      </c>
      <c r="U1245" s="107">
        <v>1</v>
      </c>
      <c r="V1245" s="58">
        <f t="shared" si="86"/>
        <v>205.92000000000002</v>
      </c>
      <c r="W1245" s="52" t="s">
        <v>49</v>
      </c>
      <c r="X1245" s="107" t="s">
        <v>5043</v>
      </c>
      <c r="Y1245" s="304" t="s">
        <v>5045</v>
      </c>
      <c r="Z1245" s="304" t="s">
        <v>5040</v>
      </c>
      <c r="AA1245" s="52">
        <v>0</v>
      </c>
      <c r="AB1245" s="52">
        <v>0</v>
      </c>
      <c r="AC1245" s="52">
        <v>0</v>
      </c>
      <c r="AD1245" s="21">
        <v>0.66843255889259856</v>
      </c>
      <c r="AE1245" s="54">
        <v>0.66843255889259856</v>
      </c>
      <c r="AF1245" s="315">
        <f t="shared" si="89"/>
        <v>137.6436325271639</v>
      </c>
    </row>
    <row r="1246" spans="1:32" ht="240" x14ac:dyDescent="0.25">
      <c r="A1246" s="107" t="s">
        <v>588</v>
      </c>
      <c r="B1246" s="107" t="s">
        <v>2271</v>
      </c>
      <c r="C1246" s="52"/>
      <c r="D1246" s="107" t="s">
        <v>2302</v>
      </c>
      <c r="E1246" s="22" t="str">
        <f t="shared" si="87"/>
        <v>SEJUSPPROG</v>
      </c>
      <c r="F1246" s="122" t="s">
        <v>886</v>
      </c>
      <c r="G1246" s="22" t="str">
        <f t="shared" si="88"/>
        <v>P146SEJUSP</v>
      </c>
      <c r="H1246" s="107" t="s">
        <v>2307</v>
      </c>
      <c r="I1246" s="22" t="s">
        <v>16</v>
      </c>
      <c r="J1246" s="107" t="s">
        <v>2135</v>
      </c>
      <c r="K1246" s="22" t="str">
        <f>VLOOKUP(CONCATENATE(A1246,LEFT(J1246,4)),AGRUPAMENTO!$D$2:$E$6783,2,FALSE)</f>
        <v>Material de consumo</v>
      </c>
      <c r="L1246" s="107" t="s">
        <v>44</v>
      </c>
      <c r="M1246" s="52"/>
      <c r="N1246" s="52">
        <v>10</v>
      </c>
      <c r="O1246" s="107" t="s">
        <v>3366</v>
      </c>
      <c r="P1246" s="52" t="s">
        <v>46</v>
      </c>
      <c r="Q1246" s="107" t="s">
        <v>4131</v>
      </c>
      <c r="R1246" s="107">
        <v>38</v>
      </c>
      <c r="S1246" s="107" t="s">
        <v>3909</v>
      </c>
      <c r="T1246" s="239">
        <v>15.9</v>
      </c>
      <c r="U1246" s="107">
        <v>1</v>
      </c>
      <c r="V1246" s="58">
        <f t="shared" si="86"/>
        <v>604.20000000000005</v>
      </c>
      <c r="W1246" s="52" t="s">
        <v>49</v>
      </c>
      <c r="X1246" s="107" t="s">
        <v>5043</v>
      </c>
      <c r="Y1246" s="304" t="s">
        <v>5045</v>
      </c>
      <c r="Z1246" s="304" t="s">
        <v>5040</v>
      </c>
      <c r="AA1246" s="52">
        <v>0</v>
      </c>
      <c r="AB1246" s="52">
        <v>0</v>
      </c>
      <c r="AC1246" s="52">
        <v>0</v>
      </c>
      <c r="AD1246" s="21">
        <v>0.66843255889259856</v>
      </c>
      <c r="AE1246" s="54">
        <v>0.66843255889259856</v>
      </c>
      <c r="AF1246" s="315">
        <f t="shared" si="89"/>
        <v>403.86695208290809</v>
      </c>
    </row>
    <row r="1247" spans="1:32" ht="240" x14ac:dyDescent="0.25">
      <c r="A1247" s="107" t="s">
        <v>588</v>
      </c>
      <c r="B1247" s="107" t="s">
        <v>2271</v>
      </c>
      <c r="C1247" s="52"/>
      <c r="D1247" s="107" t="s">
        <v>2302</v>
      </c>
      <c r="E1247" s="22" t="str">
        <f t="shared" si="87"/>
        <v>SEJUSPPROG</v>
      </c>
      <c r="F1247" s="122" t="s">
        <v>886</v>
      </c>
      <c r="G1247" s="22" t="str">
        <f t="shared" si="88"/>
        <v>P146SEJUSP</v>
      </c>
      <c r="H1247" s="107" t="s">
        <v>2307</v>
      </c>
      <c r="I1247" s="22" t="s">
        <v>16</v>
      </c>
      <c r="J1247" s="107" t="s">
        <v>2135</v>
      </c>
      <c r="K1247" s="22" t="str">
        <f>VLOOKUP(CONCATENATE(A1247,LEFT(J1247,4)),AGRUPAMENTO!$D$2:$E$6783,2,FALSE)</f>
        <v>Material de consumo</v>
      </c>
      <c r="L1247" s="107" t="s">
        <v>44</v>
      </c>
      <c r="M1247" s="52"/>
      <c r="N1247" s="52">
        <v>10</v>
      </c>
      <c r="O1247" s="107" t="s">
        <v>3367</v>
      </c>
      <c r="P1247" s="52" t="s">
        <v>46</v>
      </c>
      <c r="Q1247" s="107" t="s">
        <v>4132</v>
      </c>
      <c r="R1247" s="107">
        <v>28</v>
      </c>
      <c r="S1247" s="107" t="s">
        <v>3909</v>
      </c>
      <c r="T1247" s="239">
        <v>20.9</v>
      </c>
      <c r="U1247" s="107">
        <v>1</v>
      </c>
      <c r="V1247" s="58">
        <f t="shared" si="86"/>
        <v>585.19999999999993</v>
      </c>
      <c r="W1247" s="52" t="s">
        <v>49</v>
      </c>
      <c r="X1247" s="107" t="s">
        <v>5043</v>
      </c>
      <c r="Y1247" s="304" t="s">
        <v>5045</v>
      </c>
      <c r="Z1247" s="304" t="s">
        <v>5040</v>
      </c>
      <c r="AA1247" s="52">
        <v>0</v>
      </c>
      <c r="AB1247" s="52">
        <v>0</v>
      </c>
      <c r="AC1247" s="52">
        <v>0</v>
      </c>
      <c r="AD1247" s="21">
        <v>0.66843255889259856</v>
      </c>
      <c r="AE1247" s="54">
        <v>0.66843255889259856</v>
      </c>
      <c r="AF1247" s="315">
        <f t="shared" si="89"/>
        <v>391.16673346394862</v>
      </c>
    </row>
    <row r="1248" spans="1:32" ht="240" x14ac:dyDescent="0.25">
      <c r="A1248" s="107" t="s">
        <v>588</v>
      </c>
      <c r="B1248" s="107" t="s">
        <v>2271</v>
      </c>
      <c r="C1248" s="52"/>
      <c r="D1248" s="107" t="s">
        <v>2302</v>
      </c>
      <c r="E1248" s="22" t="str">
        <f t="shared" si="87"/>
        <v>SEJUSPPROG</v>
      </c>
      <c r="F1248" s="122" t="s">
        <v>886</v>
      </c>
      <c r="G1248" s="22" t="str">
        <f t="shared" si="88"/>
        <v>P146SEJUSP</v>
      </c>
      <c r="H1248" s="107" t="s">
        <v>2307</v>
      </c>
      <c r="I1248" s="22" t="s">
        <v>16</v>
      </c>
      <c r="J1248" s="107" t="s">
        <v>137</v>
      </c>
      <c r="K1248" s="22" t="str">
        <f>VLOOKUP(CONCATENATE(A1248,LEFT(J1248,4)),AGRUPAMENTO!$D$2:$E$6783,2,FALSE)</f>
        <v>Serviços de saúde e medicamentos</v>
      </c>
      <c r="L1248" s="107" t="s">
        <v>44</v>
      </c>
      <c r="M1248" s="52"/>
      <c r="N1248" s="52">
        <v>10</v>
      </c>
      <c r="O1248" s="107" t="s">
        <v>3368</v>
      </c>
      <c r="P1248" s="52" t="s">
        <v>46</v>
      </c>
      <c r="Q1248" s="107" t="s">
        <v>4133</v>
      </c>
      <c r="R1248" s="107">
        <v>430</v>
      </c>
      <c r="S1248" s="107" t="s">
        <v>3909</v>
      </c>
      <c r="T1248" s="239">
        <v>8.32</v>
      </c>
      <c r="U1248" s="107">
        <v>1</v>
      </c>
      <c r="V1248" s="58">
        <f t="shared" si="86"/>
        <v>3577.6</v>
      </c>
      <c r="W1248" s="52" t="s">
        <v>49</v>
      </c>
      <c r="X1248" s="107" t="s">
        <v>5038</v>
      </c>
      <c r="Y1248" s="304" t="s">
        <v>5039</v>
      </c>
      <c r="Z1248" s="304" t="s">
        <v>5040</v>
      </c>
      <c r="AA1248" s="52">
        <v>0</v>
      </c>
      <c r="AB1248" s="52">
        <v>0</v>
      </c>
      <c r="AC1248" s="52">
        <v>0</v>
      </c>
      <c r="AD1248" s="21">
        <v>0.68827656736675979</v>
      </c>
      <c r="AE1248" s="54">
        <v>0.68827656736675979</v>
      </c>
      <c r="AF1248" s="315">
        <f t="shared" si="89"/>
        <v>2462.37824741132</v>
      </c>
    </row>
    <row r="1249" spans="1:32" ht="240" x14ac:dyDescent="0.25">
      <c r="A1249" s="107" t="s">
        <v>588</v>
      </c>
      <c r="B1249" s="107" t="s">
        <v>2271</v>
      </c>
      <c r="C1249" s="52"/>
      <c r="D1249" s="107" t="s">
        <v>2302</v>
      </c>
      <c r="E1249" s="22" t="str">
        <f t="shared" si="87"/>
        <v>SEJUSPPROG</v>
      </c>
      <c r="F1249" s="122" t="s">
        <v>886</v>
      </c>
      <c r="G1249" s="22" t="str">
        <f t="shared" si="88"/>
        <v>P146SEJUSP</v>
      </c>
      <c r="H1249" s="107" t="s">
        <v>2307</v>
      </c>
      <c r="I1249" s="22" t="s">
        <v>16</v>
      </c>
      <c r="J1249" s="107" t="s">
        <v>137</v>
      </c>
      <c r="K1249" s="22" t="str">
        <f>VLOOKUP(CONCATENATE(A1249,LEFT(J1249,4)),AGRUPAMENTO!$D$2:$E$6783,2,FALSE)</f>
        <v>Serviços de saúde e medicamentos</v>
      </c>
      <c r="L1249" s="107" t="s">
        <v>44</v>
      </c>
      <c r="M1249" s="52"/>
      <c r="N1249" s="52">
        <v>10</v>
      </c>
      <c r="O1249" s="107" t="s">
        <v>3369</v>
      </c>
      <c r="P1249" s="52" t="s">
        <v>46</v>
      </c>
      <c r="Q1249" s="107" t="s">
        <v>4134</v>
      </c>
      <c r="R1249" s="107">
        <v>58</v>
      </c>
      <c r="S1249" s="107" t="s">
        <v>3909</v>
      </c>
      <c r="T1249" s="239">
        <v>4.49</v>
      </c>
      <c r="U1249" s="107">
        <v>1</v>
      </c>
      <c r="V1249" s="58">
        <f t="shared" si="86"/>
        <v>260.42</v>
      </c>
      <c r="W1249" s="52" t="s">
        <v>49</v>
      </c>
      <c r="X1249" s="107" t="s">
        <v>5043</v>
      </c>
      <c r="Y1249" s="304" t="s">
        <v>5045</v>
      </c>
      <c r="Z1249" s="304" t="s">
        <v>5040</v>
      </c>
      <c r="AA1249" s="52">
        <v>0</v>
      </c>
      <c r="AB1249" s="52">
        <v>0</v>
      </c>
      <c r="AC1249" s="52">
        <v>0</v>
      </c>
      <c r="AD1249" s="21">
        <v>0.68827656736675979</v>
      </c>
      <c r="AE1249" s="54">
        <v>0.68827656736675979</v>
      </c>
      <c r="AF1249" s="315">
        <f t="shared" si="89"/>
        <v>179.24098367365158</v>
      </c>
    </row>
    <row r="1250" spans="1:32" ht="240" x14ac:dyDescent="0.25">
      <c r="A1250" s="107" t="s">
        <v>588</v>
      </c>
      <c r="B1250" s="107" t="s">
        <v>2271</v>
      </c>
      <c r="C1250" s="52"/>
      <c r="D1250" s="107" t="s">
        <v>2302</v>
      </c>
      <c r="E1250" s="22" t="str">
        <f t="shared" si="87"/>
        <v>SEJUSPPROG</v>
      </c>
      <c r="F1250" s="122" t="s">
        <v>886</v>
      </c>
      <c r="G1250" s="22" t="str">
        <f t="shared" si="88"/>
        <v>P146SEJUSP</v>
      </c>
      <c r="H1250" s="107" t="s">
        <v>2307</v>
      </c>
      <c r="I1250" s="22" t="s">
        <v>16</v>
      </c>
      <c r="J1250" s="107" t="s">
        <v>2135</v>
      </c>
      <c r="K1250" s="22" t="str">
        <f>VLOOKUP(CONCATENATE(A1250,LEFT(J1250,4)),AGRUPAMENTO!$D$2:$E$6783,2,FALSE)</f>
        <v>Material de consumo</v>
      </c>
      <c r="L1250" s="107" t="s">
        <v>44</v>
      </c>
      <c r="M1250" s="52"/>
      <c r="N1250" s="52">
        <v>10</v>
      </c>
      <c r="O1250" s="107" t="s">
        <v>3370</v>
      </c>
      <c r="P1250" s="52" t="s">
        <v>46</v>
      </c>
      <c r="Q1250" s="107" t="s">
        <v>3872</v>
      </c>
      <c r="R1250" s="107">
        <v>38</v>
      </c>
      <c r="S1250" s="107" t="s">
        <v>3909</v>
      </c>
      <c r="T1250" s="239">
        <v>7.38</v>
      </c>
      <c r="U1250" s="107">
        <v>1</v>
      </c>
      <c r="V1250" s="58">
        <f t="shared" si="86"/>
        <v>280.44</v>
      </c>
      <c r="W1250" s="52" t="s">
        <v>49</v>
      </c>
      <c r="X1250" s="107" t="s">
        <v>5043</v>
      </c>
      <c r="Y1250" s="304" t="s">
        <v>5045</v>
      </c>
      <c r="Z1250" s="304" t="s">
        <v>5040</v>
      </c>
      <c r="AA1250" s="52">
        <v>0</v>
      </c>
      <c r="AB1250" s="52">
        <v>0</v>
      </c>
      <c r="AC1250" s="52">
        <v>0</v>
      </c>
      <c r="AD1250" s="21">
        <v>0.66843255889259856</v>
      </c>
      <c r="AE1250" s="54">
        <v>0.66843255889259856</v>
      </c>
      <c r="AF1250" s="315">
        <f t="shared" si="89"/>
        <v>187.45522681584035</v>
      </c>
    </row>
    <row r="1251" spans="1:32" ht="240" x14ac:dyDescent="0.25">
      <c r="A1251" s="107" t="s">
        <v>588</v>
      </c>
      <c r="B1251" s="107" t="s">
        <v>2271</v>
      </c>
      <c r="C1251" s="52"/>
      <c r="D1251" s="107" t="s">
        <v>2302</v>
      </c>
      <c r="E1251" s="22" t="str">
        <f t="shared" si="87"/>
        <v>SEJUSPPROG</v>
      </c>
      <c r="F1251" s="122" t="s">
        <v>886</v>
      </c>
      <c r="G1251" s="22" t="str">
        <f t="shared" si="88"/>
        <v>P146SEJUSP</v>
      </c>
      <c r="H1251" s="107" t="s">
        <v>2307</v>
      </c>
      <c r="I1251" s="22" t="s">
        <v>16</v>
      </c>
      <c r="J1251" s="107" t="s">
        <v>2135</v>
      </c>
      <c r="K1251" s="22" t="str">
        <f>VLOOKUP(CONCATENATE(A1251,LEFT(J1251,4)),AGRUPAMENTO!$D$2:$E$6783,2,FALSE)</f>
        <v>Material de consumo</v>
      </c>
      <c r="L1251" s="107" t="s">
        <v>44</v>
      </c>
      <c r="M1251" s="52"/>
      <c r="N1251" s="52">
        <v>10</v>
      </c>
      <c r="O1251" s="107" t="s">
        <v>3371</v>
      </c>
      <c r="P1251" s="52" t="s">
        <v>46</v>
      </c>
      <c r="Q1251" s="107" t="s">
        <v>3872</v>
      </c>
      <c r="R1251" s="107">
        <v>29</v>
      </c>
      <c r="S1251" s="107" t="s">
        <v>3909</v>
      </c>
      <c r="T1251" s="239">
        <v>14.45</v>
      </c>
      <c r="U1251" s="107">
        <v>1</v>
      </c>
      <c r="V1251" s="58">
        <f t="shared" si="86"/>
        <v>419.04999999999995</v>
      </c>
      <c r="W1251" s="52" t="s">
        <v>49</v>
      </c>
      <c r="X1251" s="107" t="s">
        <v>5043</v>
      </c>
      <c r="Y1251" s="304" t="s">
        <v>5045</v>
      </c>
      <c r="Z1251" s="304" t="s">
        <v>5040</v>
      </c>
      <c r="AA1251" s="52">
        <v>0</v>
      </c>
      <c r="AB1251" s="52">
        <v>0</v>
      </c>
      <c r="AC1251" s="52">
        <v>0</v>
      </c>
      <c r="AD1251" s="21">
        <v>0.66843255889259856</v>
      </c>
      <c r="AE1251" s="54">
        <v>0.66843255889259856</v>
      </c>
      <c r="AF1251" s="315">
        <f t="shared" si="89"/>
        <v>280.10666380394338</v>
      </c>
    </row>
    <row r="1252" spans="1:32" ht="240" x14ac:dyDescent="0.25">
      <c r="A1252" s="107" t="s">
        <v>588</v>
      </c>
      <c r="B1252" s="107" t="s">
        <v>2271</v>
      </c>
      <c r="C1252" s="52"/>
      <c r="D1252" s="107" t="s">
        <v>2302</v>
      </c>
      <c r="E1252" s="22" t="str">
        <f t="shared" si="87"/>
        <v>SEJUSPPROG</v>
      </c>
      <c r="F1252" s="122" t="s">
        <v>886</v>
      </c>
      <c r="G1252" s="22" t="str">
        <f t="shared" si="88"/>
        <v>P146SEJUSP</v>
      </c>
      <c r="H1252" s="107" t="s">
        <v>2307</v>
      </c>
      <c r="I1252" s="22" t="s">
        <v>16</v>
      </c>
      <c r="J1252" s="107" t="s">
        <v>2135</v>
      </c>
      <c r="K1252" s="22" t="str">
        <f>VLOOKUP(CONCATENATE(A1252,LEFT(J1252,4)),AGRUPAMENTO!$D$2:$E$6783,2,FALSE)</f>
        <v>Material de consumo</v>
      </c>
      <c r="L1252" s="107" t="s">
        <v>44</v>
      </c>
      <c r="M1252" s="52"/>
      <c r="N1252" s="52">
        <v>10</v>
      </c>
      <c r="O1252" s="107" t="s">
        <v>3372</v>
      </c>
      <c r="P1252" s="52" t="s">
        <v>46</v>
      </c>
      <c r="Q1252" s="107" t="s">
        <v>3872</v>
      </c>
      <c r="R1252" s="107">
        <v>38</v>
      </c>
      <c r="S1252" s="107" t="s">
        <v>3909</v>
      </c>
      <c r="T1252" s="239">
        <v>12.97</v>
      </c>
      <c r="U1252" s="107">
        <v>1</v>
      </c>
      <c r="V1252" s="58">
        <f t="shared" si="86"/>
        <v>492.86</v>
      </c>
      <c r="W1252" s="52" t="s">
        <v>49</v>
      </c>
      <c r="X1252" s="107" t="s">
        <v>5043</v>
      </c>
      <c r="Y1252" s="304" t="s">
        <v>5045</v>
      </c>
      <c r="Z1252" s="304" t="s">
        <v>5040</v>
      </c>
      <c r="AA1252" s="52">
        <v>0</v>
      </c>
      <c r="AB1252" s="52">
        <v>0</v>
      </c>
      <c r="AC1252" s="52">
        <v>0</v>
      </c>
      <c r="AD1252" s="21">
        <v>0.66843255889259856</v>
      </c>
      <c r="AE1252" s="54">
        <v>0.66843255889259856</v>
      </c>
      <c r="AF1252" s="315">
        <f t="shared" si="89"/>
        <v>329.44367097580613</v>
      </c>
    </row>
    <row r="1253" spans="1:32" ht="240" x14ac:dyDescent="0.25">
      <c r="A1253" s="107" t="s">
        <v>588</v>
      </c>
      <c r="B1253" s="107" t="s">
        <v>2271</v>
      </c>
      <c r="C1253" s="52"/>
      <c r="D1253" s="107" t="s">
        <v>2302</v>
      </c>
      <c r="E1253" s="22" t="str">
        <f t="shared" si="87"/>
        <v>SEJUSPPROG</v>
      </c>
      <c r="F1253" s="122" t="s">
        <v>886</v>
      </c>
      <c r="G1253" s="22" t="str">
        <f t="shared" si="88"/>
        <v>P146SEJUSP</v>
      </c>
      <c r="H1253" s="107" t="s">
        <v>2307</v>
      </c>
      <c r="I1253" s="22" t="s">
        <v>16</v>
      </c>
      <c r="J1253" s="107" t="s">
        <v>2135</v>
      </c>
      <c r="K1253" s="22" t="str">
        <f>VLOOKUP(CONCATENATE(A1253,LEFT(J1253,4)),AGRUPAMENTO!$D$2:$E$6783,2,FALSE)</f>
        <v>Material de consumo</v>
      </c>
      <c r="L1253" s="107" t="s">
        <v>44</v>
      </c>
      <c r="M1253" s="52"/>
      <c r="N1253" s="52">
        <v>10</v>
      </c>
      <c r="O1253" s="107" t="s">
        <v>3373</v>
      </c>
      <c r="P1253" s="52" t="s">
        <v>46</v>
      </c>
      <c r="Q1253" s="107" t="s">
        <v>3872</v>
      </c>
      <c r="R1253" s="107">
        <v>38</v>
      </c>
      <c r="S1253" s="107" t="s">
        <v>3909</v>
      </c>
      <c r="T1253" s="239">
        <v>16.989999999999998</v>
      </c>
      <c r="U1253" s="107">
        <v>1</v>
      </c>
      <c r="V1253" s="58">
        <f t="shared" si="86"/>
        <v>645.61999999999989</v>
      </c>
      <c r="W1253" s="52" t="s">
        <v>49</v>
      </c>
      <c r="X1253" s="107" t="s">
        <v>5043</v>
      </c>
      <c r="Y1253" s="304" t="s">
        <v>5045</v>
      </c>
      <c r="Z1253" s="304" t="s">
        <v>5040</v>
      </c>
      <c r="AA1253" s="52">
        <v>0</v>
      </c>
      <c r="AB1253" s="52">
        <v>0</v>
      </c>
      <c r="AC1253" s="52">
        <v>0</v>
      </c>
      <c r="AD1253" s="21">
        <v>0.66843255889259856</v>
      </c>
      <c r="AE1253" s="54">
        <v>0.66843255889259856</v>
      </c>
      <c r="AF1253" s="315">
        <f t="shared" si="89"/>
        <v>431.55342867223942</v>
      </c>
    </row>
    <row r="1254" spans="1:32" ht="240" x14ac:dyDescent="0.25">
      <c r="A1254" s="107" t="s">
        <v>588</v>
      </c>
      <c r="B1254" s="107" t="s">
        <v>2271</v>
      </c>
      <c r="C1254" s="52"/>
      <c r="D1254" s="107" t="s">
        <v>2302</v>
      </c>
      <c r="E1254" s="22" t="str">
        <f t="shared" si="87"/>
        <v>SEJUSPPROG</v>
      </c>
      <c r="F1254" s="122" t="s">
        <v>886</v>
      </c>
      <c r="G1254" s="22" t="str">
        <f t="shared" si="88"/>
        <v>P146SEJUSP</v>
      </c>
      <c r="H1254" s="107" t="s">
        <v>2307</v>
      </c>
      <c r="I1254" s="22" t="s">
        <v>16</v>
      </c>
      <c r="J1254" s="107" t="s">
        <v>2135</v>
      </c>
      <c r="K1254" s="22" t="str">
        <f>VLOOKUP(CONCATENATE(A1254,LEFT(J1254,4)),AGRUPAMENTO!$D$2:$E$6783,2,FALSE)</f>
        <v>Material de consumo</v>
      </c>
      <c r="L1254" s="107" t="s">
        <v>44</v>
      </c>
      <c r="M1254" s="52"/>
      <c r="N1254" s="52">
        <v>10</v>
      </c>
      <c r="O1254" s="107" t="s">
        <v>3374</v>
      </c>
      <c r="P1254" s="52" t="s">
        <v>46</v>
      </c>
      <c r="Q1254" s="107" t="s">
        <v>3872</v>
      </c>
      <c r="R1254" s="107">
        <v>38</v>
      </c>
      <c r="S1254" s="107" t="s">
        <v>3909</v>
      </c>
      <c r="T1254" s="239">
        <v>1.99</v>
      </c>
      <c r="U1254" s="107">
        <v>1</v>
      </c>
      <c r="V1254" s="58">
        <f t="shared" si="86"/>
        <v>75.62</v>
      </c>
      <c r="W1254" s="52" t="s">
        <v>49</v>
      </c>
      <c r="X1254" s="107" t="s">
        <v>5043</v>
      </c>
      <c r="Y1254" s="304" t="s">
        <v>5045</v>
      </c>
      <c r="Z1254" s="304" t="s">
        <v>5040</v>
      </c>
      <c r="AA1254" s="52">
        <v>0</v>
      </c>
      <c r="AB1254" s="52">
        <v>0</v>
      </c>
      <c r="AC1254" s="52">
        <v>0</v>
      </c>
      <c r="AD1254" s="21">
        <v>0.66843255889259856</v>
      </c>
      <c r="AE1254" s="54">
        <v>0.66843255889259856</v>
      </c>
      <c r="AF1254" s="315">
        <f t="shared" si="89"/>
        <v>50.546870103458303</v>
      </c>
    </row>
    <row r="1255" spans="1:32" ht="240" x14ac:dyDescent="0.25">
      <c r="A1255" s="107" t="s">
        <v>588</v>
      </c>
      <c r="B1255" s="107" t="s">
        <v>2271</v>
      </c>
      <c r="C1255" s="52"/>
      <c r="D1255" s="107" t="s">
        <v>2302</v>
      </c>
      <c r="E1255" s="22" t="str">
        <f t="shared" si="87"/>
        <v>SEJUSPPROG</v>
      </c>
      <c r="F1255" s="122" t="s">
        <v>886</v>
      </c>
      <c r="G1255" s="22" t="str">
        <f t="shared" si="88"/>
        <v>P146SEJUSP</v>
      </c>
      <c r="H1255" s="107" t="s">
        <v>2307</v>
      </c>
      <c r="I1255" s="22" t="s">
        <v>16</v>
      </c>
      <c r="J1255" s="107" t="s">
        <v>2135</v>
      </c>
      <c r="K1255" s="22" t="str">
        <f>VLOOKUP(CONCATENATE(A1255,LEFT(J1255,4)),AGRUPAMENTO!$D$2:$E$6783,2,FALSE)</f>
        <v>Material de consumo</v>
      </c>
      <c r="L1255" s="107" t="s">
        <v>44</v>
      </c>
      <c r="M1255" s="52"/>
      <c r="N1255" s="52">
        <v>10</v>
      </c>
      <c r="O1255" s="107" t="s">
        <v>3375</v>
      </c>
      <c r="P1255" s="52" t="s">
        <v>46</v>
      </c>
      <c r="Q1255" s="107" t="s">
        <v>3872</v>
      </c>
      <c r="R1255" s="107">
        <v>47</v>
      </c>
      <c r="S1255" s="107" t="s">
        <v>3909</v>
      </c>
      <c r="T1255" s="239">
        <v>16.5</v>
      </c>
      <c r="U1255" s="107">
        <v>1</v>
      </c>
      <c r="V1255" s="58">
        <f t="shared" si="86"/>
        <v>775.5</v>
      </c>
      <c r="W1255" s="52" t="s">
        <v>49</v>
      </c>
      <c r="X1255" s="107" t="s">
        <v>5043</v>
      </c>
      <c r="Y1255" s="304" t="s">
        <v>5045</v>
      </c>
      <c r="Z1255" s="304" t="s">
        <v>5040</v>
      </c>
      <c r="AA1255" s="52">
        <v>0</v>
      </c>
      <c r="AB1255" s="52">
        <v>0</v>
      </c>
      <c r="AC1255" s="52">
        <v>0</v>
      </c>
      <c r="AD1255" s="21">
        <v>0.66843255889259856</v>
      </c>
      <c r="AE1255" s="54">
        <v>0.66843255889259856</v>
      </c>
      <c r="AF1255" s="315">
        <f t="shared" si="89"/>
        <v>518.36944942121022</v>
      </c>
    </row>
    <row r="1256" spans="1:32" ht="240" x14ac:dyDescent="0.25">
      <c r="A1256" s="107" t="s">
        <v>588</v>
      </c>
      <c r="B1256" s="107" t="s">
        <v>2271</v>
      </c>
      <c r="C1256" s="52"/>
      <c r="D1256" s="107" t="s">
        <v>2302</v>
      </c>
      <c r="E1256" s="22" t="str">
        <f t="shared" si="87"/>
        <v>SEJUSPPROG</v>
      </c>
      <c r="F1256" s="122" t="s">
        <v>886</v>
      </c>
      <c r="G1256" s="22" t="str">
        <f t="shared" si="88"/>
        <v>P146SEJUSP</v>
      </c>
      <c r="H1256" s="107" t="s">
        <v>2307</v>
      </c>
      <c r="I1256" s="22" t="s">
        <v>16</v>
      </c>
      <c r="J1256" s="107" t="s">
        <v>2135</v>
      </c>
      <c r="K1256" s="22" t="str">
        <f>VLOOKUP(CONCATENATE(A1256,LEFT(J1256,4)),AGRUPAMENTO!$D$2:$E$6783,2,FALSE)</f>
        <v>Material de consumo</v>
      </c>
      <c r="L1256" s="107" t="s">
        <v>44</v>
      </c>
      <c r="M1256" s="52"/>
      <c r="N1256" s="52">
        <v>10</v>
      </c>
      <c r="O1256" s="107" t="s">
        <v>3376</v>
      </c>
      <c r="P1256" s="52" t="s">
        <v>46</v>
      </c>
      <c r="Q1256" s="107" t="s">
        <v>4135</v>
      </c>
      <c r="R1256" s="107">
        <v>216</v>
      </c>
      <c r="S1256" s="107" t="s">
        <v>3909</v>
      </c>
      <c r="T1256" s="239">
        <v>15.99</v>
      </c>
      <c r="U1256" s="107">
        <v>1</v>
      </c>
      <c r="V1256" s="58">
        <f t="shared" si="86"/>
        <v>3453.84</v>
      </c>
      <c r="W1256" s="52" t="s">
        <v>49</v>
      </c>
      <c r="X1256" s="107" t="s">
        <v>5043</v>
      </c>
      <c r="Y1256" s="304" t="s">
        <v>5045</v>
      </c>
      <c r="Z1256" s="304" t="s">
        <v>5040</v>
      </c>
      <c r="AA1256" s="52">
        <v>0</v>
      </c>
      <c r="AB1256" s="52">
        <v>0</v>
      </c>
      <c r="AC1256" s="52">
        <v>0</v>
      </c>
      <c r="AD1256" s="21">
        <v>0.66843255889259856</v>
      </c>
      <c r="AE1256" s="54">
        <v>0.66843255889259856</v>
      </c>
      <c r="AF1256" s="315">
        <f t="shared" si="89"/>
        <v>2308.6591092056128</v>
      </c>
    </row>
    <row r="1257" spans="1:32" ht="240" x14ac:dyDescent="0.25">
      <c r="A1257" s="107" t="s">
        <v>588</v>
      </c>
      <c r="B1257" s="107" t="s">
        <v>2271</v>
      </c>
      <c r="C1257" s="52"/>
      <c r="D1257" s="107" t="s">
        <v>2302</v>
      </c>
      <c r="E1257" s="22" t="str">
        <f t="shared" si="87"/>
        <v>SEJUSPPROG</v>
      </c>
      <c r="F1257" s="122" t="s">
        <v>886</v>
      </c>
      <c r="G1257" s="22" t="str">
        <f t="shared" si="88"/>
        <v>P146SEJUSP</v>
      </c>
      <c r="H1257" s="107" t="s">
        <v>2307</v>
      </c>
      <c r="I1257" s="22" t="s">
        <v>16</v>
      </c>
      <c r="J1257" s="107" t="s">
        <v>490</v>
      </c>
      <c r="K1257" s="22" t="str">
        <f>VLOOKUP(CONCATENATE(A1257,LEFT(J1257,4)),AGRUPAMENTO!$D$2:$E$6783,2,FALSE)</f>
        <v>Material de consumo</v>
      </c>
      <c r="L1257" s="107" t="s">
        <v>44</v>
      </c>
      <c r="M1257" s="52"/>
      <c r="N1257" s="52">
        <v>10</v>
      </c>
      <c r="O1257" s="107" t="s">
        <v>3377</v>
      </c>
      <c r="P1257" s="52" t="s">
        <v>46</v>
      </c>
      <c r="Q1257" s="107" t="s">
        <v>3872</v>
      </c>
      <c r="R1257" s="107">
        <v>22</v>
      </c>
      <c r="S1257" s="107" t="s">
        <v>3909</v>
      </c>
      <c r="T1257" s="239">
        <v>27.9</v>
      </c>
      <c r="U1257" s="107">
        <v>1</v>
      </c>
      <c r="V1257" s="58">
        <f t="shared" si="86"/>
        <v>613.79999999999995</v>
      </c>
      <c r="W1257" s="52" t="s">
        <v>49</v>
      </c>
      <c r="X1257" s="107" t="s">
        <v>5067</v>
      </c>
      <c r="Y1257" s="304" t="s">
        <v>5045</v>
      </c>
      <c r="Z1257" s="304" t="s">
        <v>5040</v>
      </c>
      <c r="AA1257" s="52">
        <v>0</v>
      </c>
      <c r="AB1257" s="52">
        <v>0</v>
      </c>
      <c r="AC1257" s="52">
        <v>0</v>
      </c>
      <c r="AD1257" s="21">
        <v>0.66843255889259856</v>
      </c>
      <c r="AE1257" s="54">
        <v>0.66843255889259856</v>
      </c>
      <c r="AF1257" s="315">
        <f t="shared" si="89"/>
        <v>410.28390464827697</v>
      </c>
    </row>
    <row r="1258" spans="1:32" ht="240" x14ac:dyDescent="0.25">
      <c r="A1258" s="107" t="s">
        <v>588</v>
      </c>
      <c r="B1258" s="107" t="s">
        <v>2271</v>
      </c>
      <c r="C1258" s="52"/>
      <c r="D1258" s="107" t="s">
        <v>2302</v>
      </c>
      <c r="E1258" s="22" t="str">
        <f t="shared" si="87"/>
        <v>SEJUSPPROG</v>
      </c>
      <c r="F1258" s="122" t="s">
        <v>886</v>
      </c>
      <c r="G1258" s="22" t="str">
        <f t="shared" si="88"/>
        <v>P146SEJUSP</v>
      </c>
      <c r="H1258" s="107" t="s">
        <v>2307</v>
      </c>
      <c r="I1258" s="22" t="s">
        <v>16</v>
      </c>
      <c r="J1258" s="107" t="s">
        <v>2135</v>
      </c>
      <c r="K1258" s="22" t="str">
        <f>VLOOKUP(CONCATENATE(A1258,LEFT(J1258,4)),AGRUPAMENTO!$D$2:$E$6783,2,FALSE)</f>
        <v>Material de consumo</v>
      </c>
      <c r="L1258" s="107" t="s">
        <v>44</v>
      </c>
      <c r="M1258" s="52"/>
      <c r="N1258" s="52">
        <v>10</v>
      </c>
      <c r="O1258" s="107" t="s">
        <v>3378</v>
      </c>
      <c r="P1258" s="52" t="s">
        <v>46</v>
      </c>
      <c r="Q1258" s="107" t="s">
        <v>3872</v>
      </c>
      <c r="R1258" s="107">
        <v>30</v>
      </c>
      <c r="S1258" s="107" t="s">
        <v>3909</v>
      </c>
      <c r="T1258" s="239">
        <v>2.9</v>
      </c>
      <c r="U1258" s="107">
        <v>1</v>
      </c>
      <c r="V1258" s="58">
        <f t="shared" si="86"/>
        <v>87</v>
      </c>
      <c r="W1258" s="52" t="s">
        <v>49</v>
      </c>
      <c r="X1258" s="107" t="s">
        <v>5043</v>
      </c>
      <c r="Y1258" s="304" t="s">
        <v>5045</v>
      </c>
      <c r="Z1258" s="304" t="s">
        <v>5040</v>
      </c>
      <c r="AA1258" s="52">
        <v>0</v>
      </c>
      <c r="AB1258" s="52">
        <v>0</v>
      </c>
      <c r="AC1258" s="52">
        <v>0</v>
      </c>
      <c r="AD1258" s="21">
        <v>0.66843255889259856</v>
      </c>
      <c r="AE1258" s="54">
        <v>0.66843255889259856</v>
      </c>
      <c r="AF1258" s="315">
        <f t="shared" si="89"/>
        <v>58.153632623656073</v>
      </c>
    </row>
    <row r="1259" spans="1:32" ht="240" x14ac:dyDescent="0.25">
      <c r="A1259" s="107" t="s">
        <v>588</v>
      </c>
      <c r="B1259" s="107" t="s">
        <v>2271</v>
      </c>
      <c r="C1259" s="52"/>
      <c r="D1259" s="107" t="s">
        <v>2302</v>
      </c>
      <c r="E1259" s="22" t="str">
        <f t="shared" si="87"/>
        <v>SEJUSPPROG</v>
      </c>
      <c r="F1259" s="122" t="s">
        <v>886</v>
      </c>
      <c r="G1259" s="22" t="str">
        <f t="shared" si="88"/>
        <v>P146SEJUSP</v>
      </c>
      <c r="H1259" s="107" t="s">
        <v>2307</v>
      </c>
      <c r="I1259" s="22" t="s">
        <v>16</v>
      </c>
      <c r="J1259" s="107" t="s">
        <v>2135</v>
      </c>
      <c r="K1259" s="22" t="str">
        <f>VLOOKUP(CONCATENATE(A1259,LEFT(J1259,4)),AGRUPAMENTO!$D$2:$E$6783,2,FALSE)</f>
        <v>Material de consumo</v>
      </c>
      <c r="L1259" s="107" t="s">
        <v>44</v>
      </c>
      <c r="M1259" s="52"/>
      <c r="N1259" s="52">
        <v>10</v>
      </c>
      <c r="O1259" s="107" t="s">
        <v>3379</v>
      </c>
      <c r="P1259" s="52" t="s">
        <v>46</v>
      </c>
      <c r="Q1259" s="107" t="s">
        <v>4136</v>
      </c>
      <c r="R1259" s="107">
        <v>10</v>
      </c>
      <c r="S1259" s="107" t="s">
        <v>3909</v>
      </c>
      <c r="T1259" s="239">
        <v>193.76</v>
      </c>
      <c r="U1259" s="107">
        <v>1</v>
      </c>
      <c r="V1259" s="58">
        <f t="shared" si="86"/>
        <v>1937.6</v>
      </c>
      <c r="W1259" s="52" t="s">
        <v>49</v>
      </c>
      <c r="X1259" s="107" t="s">
        <v>5043</v>
      </c>
      <c r="Y1259" s="304" t="s">
        <v>5045</v>
      </c>
      <c r="Z1259" s="304" t="s">
        <v>5040</v>
      </c>
      <c r="AA1259" s="52">
        <v>0</v>
      </c>
      <c r="AB1259" s="52">
        <v>0</v>
      </c>
      <c r="AC1259" s="52">
        <v>0</v>
      </c>
      <c r="AD1259" s="21">
        <v>0.66843255889259856</v>
      </c>
      <c r="AE1259" s="54">
        <v>0.66843255889259856</v>
      </c>
      <c r="AF1259" s="315">
        <f t="shared" si="89"/>
        <v>1295.1549261102989</v>
      </c>
    </row>
    <row r="1260" spans="1:32" ht="240" x14ac:dyDescent="0.25">
      <c r="A1260" s="107" t="s">
        <v>588</v>
      </c>
      <c r="B1260" s="107" t="s">
        <v>2271</v>
      </c>
      <c r="C1260" s="52"/>
      <c r="D1260" s="107" t="s">
        <v>2302</v>
      </c>
      <c r="E1260" s="22" t="str">
        <f t="shared" si="87"/>
        <v>SEJUSPPROG</v>
      </c>
      <c r="F1260" s="122" t="s">
        <v>886</v>
      </c>
      <c r="G1260" s="22" t="str">
        <f t="shared" si="88"/>
        <v>P146SEJUSP</v>
      </c>
      <c r="H1260" s="107" t="s">
        <v>2307</v>
      </c>
      <c r="I1260" s="22" t="s">
        <v>16</v>
      </c>
      <c r="J1260" s="107" t="s">
        <v>2135</v>
      </c>
      <c r="K1260" s="22" t="str">
        <f>VLOOKUP(CONCATENATE(A1260,LEFT(J1260,4)),AGRUPAMENTO!$D$2:$E$6783,2,FALSE)</f>
        <v>Material de consumo</v>
      </c>
      <c r="L1260" s="107" t="s">
        <v>44</v>
      </c>
      <c r="M1260" s="52"/>
      <c r="N1260" s="52">
        <v>10</v>
      </c>
      <c r="O1260" s="107" t="s">
        <v>3380</v>
      </c>
      <c r="P1260" s="52" t="s">
        <v>46</v>
      </c>
      <c r="Q1260" s="107" t="s">
        <v>3872</v>
      </c>
      <c r="R1260" s="107">
        <v>10</v>
      </c>
      <c r="S1260" s="107" t="s">
        <v>3909</v>
      </c>
      <c r="T1260" s="239">
        <v>165.9</v>
      </c>
      <c r="U1260" s="107">
        <v>1</v>
      </c>
      <c r="V1260" s="58">
        <f t="shared" si="86"/>
        <v>1659</v>
      </c>
      <c r="W1260" s="52" t="s">
        <v>49</v>
      </c>
      <c r="X1260" s="107" t="s">
        <v>5043</v>
      </c>
      <c r="Y1260" s="304" t="s">
        <v>5045</v>
      </c>
      <c r="Z1260" s="304" t="s">
        <v>5040</v>
      </c>
      <c r="AA1260" s="52">
        <v>0</v>
      </c>
      <c r="AB1260" s="52">
        <v>0</v>
      </c>
      <c r="AC1260" s="52">
        <v>0</v>
      </c>
      <c r="AD1260" s="21">
        <v>0.66843255889259856</v>
      </c>
      <c r="AE1260" s="54">
        <v>0.66843255889259856</v>
      </c>
      <c r="AF1260" s="315">
        <f t="shared" si="89"/>
        <v>1108.929615202821</v>
      </c>
    </row>
    <row r="1261" spans="1:32" ht="255" x14ac:dyDescent="0.25">
      <c r="A1261" s="107" t="s">
        <v>588</v>
      </c>
      <c r="B1261" s="107" t="s">
        <v>2271</v>
      </c>
      <c r="C1261" s="52"/>
      <c r="D1261" s="107" t="s">
        <v>2302</v>
      </c>
      <c r="E1261" s="22" t="str">
        <f t="shared" si="87"/>
        <v>SEJUSPPROG</v>
      </c>
      <c r="F1261" s="122" t="s">
        <v>886</v>
      </c>
      <c r="G1261" s="22" t="str">
        <f t="shared" si="88"/>
        <v>P146SEJUSP</v>
      </c>
      <c r="H1261" s="107" t="s">
        <v>2307</v>
      </c>
      <c r="I1261" s="22" t="s">
        <v>16</v>
      </c>
      <c r="J1261" s="107" t="s">
        <v>2135</v>
      </c>
      <c r="K1261" s="22" t="str">
        <f>VLOOKUP(CONCATENATE(A1261,LEFT(J1261,4)),AGRUPAMENTO!$D$2:$E$6783,2,FALSE)</f>
        <v>Material de consumo</v>
      </c>
      <c r="L1261" s="107" t="s">
        <v>44</v>
      </c>
      <c r="M1261" s="52"/>
      <c r="N1261" s="52">
        <v>10</v>
      </c>
      <c r="O1261" s="107" t="s">
        <v>3381</v>
      </c>
      <c r="P1261" s="52" t="s">
        <v>46</v>
      </c>
      <c r="Q1261" s="107" t="s">
        <v>3872</v>
      </c>
      <c r="R1261" s="107">
        <v>37</v>
      </c>
      <c r="S1261" s="107" t="s">
        <v>3909</v>
      </c>
      <c r="T1261" s="239">
        <v>54.9</v>
      </c>
      <c r="U1261" s="107">
        <v>1</v>
      </c>
      <c r="V1261" s="58">
        <f t="shared" si="86"/>
        <v>2031.3</v>
      </c>
      <c r="W1261" s="52" t="s">
        <v>49</v>
      </c>
      <c r="X1261" s="107" t="s">
        <v>5043</v>
      </c>
      <c r="Y1261" s="304" t="s">
        <v>5045</v>
      </c>
      <c r="Z1261" s="304" t="s">
        <v>5040</v>
      </c>
      <c r="AA1261" s="52">
        <v>0</v>
      </c>
      <c r="AB1261" s="52">
        <v>0</v>
      </c>
      <c r="AC1261" s="52">
        <v>0</v>
      </c>
      <c r="AD1261" s="21">
        <v>0.66843255889259856</v>
      </c>
      <c r="AE1261" s="54">
        <v>0.66843255889259856</v>
      </c>
      <c r="AF1261" s="315">
        <f t="shared" si="89"/>
        <v>1357.7870568785354</v>
      </c>
    </row>
    <row r="1262" spans="1:32" ht="240" x14ac:dyDescent="0.25">
      <c r="A1262" s="107" t="s">
        <v>588</v>
      </c>
      <c r="B1262" s="107" t="s">
        <v>2271</v>
      </c>
      <c r="C1262" s="52"/>
      <c r="D1262" s="107" t="s">
        <v>2302</v>
      </c>
      <c r="E1262" s="22" t="str">
        <f t="shared" si="87"/>
        <v>SEJUSPPROG</v>
      </c>
      <c r="F1262" s="122" t="s">
        <v>886</v>
      </c>
      <c r="G1262" s="22" t="str">
        <f t="shared" si="88"/>
        <v>P146SEJUSP</v>
      </c>
      <c r="H1262" s="107" t="s">
        <v>2307</v>
      </c>
      <c r="I1262" s="22" t="s">
        <v>16</v>
      </c>
      <c r="J1262" s="107" t="s">
        <v>2135</v>
      </c>
      <c r="K1262" s="22" t="str">
        <f>VLOOKUP(CONCATENATE(A1262,LEFT(J1262,4)),AGRUPAMENTO!$D$2:$E$6783,2,FALSE)</f>
        <v>Material de consumo</v>
      </c>
      <c r="L1262" s="107" t="s">
        <v>44</v>
      </c>
      <c r="M1262" s="52"/>
      <c r="N1262" s="52">
        <v>10</v>
      </c>
      <c r="O1262" s="107" t="s">
        <v>3382</v>
      </c>
      <c r="P1262" s="52" t="s">
        <v>46</v>
      </c>
      <c r="Q1262" s="107" t="s">
        <v>3872</v>
      </c>
      <c r="R1262" s="107">
        <v>46</v>
      </c>
      <c r="S1262" s="107" t="s">
        <v>3909</v>
      </c>
      <c r="T1262" s="239">
        <v>54.9</v>
      </c>
      <c r="U1262" s="107">
        <v>1</v>
      </c>
      <c r="V1262" s="58">
        <f t="shared" si="86"/>
        <v>2525.4</v>
      </c>
      <c r="W1262" s="52" t="s">
        <v>49</v>
      </c>
      <c r="X1262" s="107" t="s">
        <v>5043</v>
      </c>
      <c r="Y1262" s="304" t="s">
        <v>5045</v>
      </c>
      <c r="Z1262" s="304" t="s">
        <v>5040</v>
      </c>
      <c r="AA1262" s="52">
        <v>0</v>
      </c>
      <c r="AB1262" s="52">
        <v>0</v>
      </c>
      <c r="AC1262" s="52">
        <v>0</v>
      </c>
      <c r="AD1262" s="21">
        <v>0.66843255889259856</v>
      </c>
      <c r="AE1262" s="54">
        <v>0.66843255889259856</v>
      </c>
      <c r="AF1262" s="315">
        <f t="shared" si="89"/>
        <v>1688.0595842273685</v>
      </c>
    </row>
    <row r="1263" spans="1:32" ht="240" x14ac:dyDescent="0.25">
      <c r="A1263" s="107" t="s">
        <v>588</v>
      </c>
      <c r="B1263" s="107" t="s">
        <v>2271</v>
      </c>
      <c r="C1263" s="52"/>
      <c r="D1263" s="107" t="s">
        <v>2302</v>
      </c>
      <c r="E1263" s="22" t="str">
        <f t="shared" si="87"/>
        <v>SEJUSPPROG</v>
      </c>
      <c r="F1263" s="122" t="s">
        <v>886</v>
      </c>
      <c r="G1263" s="22" t="str">
        <f t="shared" si="88"/>
        <v>P146SEJUSP</v>
      </c>
      <c r="H1263" s="107" t="s">
        <v>2307</v>
      </c>
      <c r="I1263" s="22" t="s">
        <v>16</v>
      </c>
      <c r="J1263" s="107" t="s">
        <v>2135</v>
      </c>
      <c r="K1263" s="22" t="str">
        <f>VLOOKUP(CONCATENATE(A1263,LEFT(J1263,4)),AGRUPAMENTO!$D$2:$E$6783,2,FALSE)</f>
        <v>Material de consumo</v>
      </c>
      <c r="L1263" s="107" t="s">
        <v>44</v>
      </c>
      <c r="M1263" s="52"/>
      <c r="N1263" s="52">
        <v>10</v>
      </c>
      <c r="O1263" s="107" t="s">
        <v>3383</v>
      </c>
      <c r="P1263" s="52" t="s">
        <v>46</v>
      </c>
      <c r="Q1263" s="107" t="s">
        <v>3872</v>
      </c>
      <c r="R1263" s="107">
        <v>46</v>
      </c>
      <c r="S1263" s="107" t="s">
        <v>3909</v>
      </c>
      <c r="T1263" s="239">
        <v>54.9</v>
      </c>
      <c r="U1263" s="107">
        <v>1</v>
      </c>
      <c r="V1263" s="58">
        <f t="shared" si="86"/>
        <v>2525.4</v>
      </c>
      <c r="W1263" s="52" t="s">
        <v>49</v>
      </c>
      <c r="X1263" s="107" t="s">
        <v>5043</v>
      </c>
      <c r="Y1263" s="304" t="s">
        <v>5045</v>
      </c>
      <c r="Z1263" s="304" t="s">
        <v>5040</v>
      </c>
      <c r="AA1263" s="52">
        <v>0</v>
      </c>
      <c r="AB1263" s="52">
        <v>0</v>
      </c>
      <c r="AC1263" s="52">
        <v>0</v>
      </c>
      <c r="AD1263" s="21">
        <v>0.66843255889259856</v>
      </c>
      <c r="AE1263" s="54">
        <v>0.66843255889259856</v>
      </c>
      <c r="AF1263" s="315">
        <f t="shared" si="89"/>
        <v>1688.0595842273685</v>
      </c>
    </row>
    <row r="1264" spans="1:32" ht="285" x14ac:dyDescent="0.25">
      <c r="A1264" s="107" t="s">
        <v>588</v>
      </c>
      <c r="B1264" s="107" t="s">
        <v>2271</v>
      </c>
      <c r="C1264" s="52"/>
      <c r="D1264" s="107" t="s">
        <v>2302</v>
      </c>
      <c r="E1264" s="22" t="str">
        <f t="shared" si="87"/>
        <v>SEJUSPPROG</v>
      </c>
      <c r="F1264" s="122" t="s">
        <v>886</v>
      </c>
      <c r="G1264" s="22" t="str">
        <f t="shared" si="88"/>
        <v>P146SEJUSP</v>
      </c>
      <c r="H1264" s="107" t="s">
        <v>2307</v>
      </c>
      <c r="I1264" s="22" t="s">
        <v>16</v>
      </c>
      <c r="J1264" s="107" t="s">
        <v>2135</v>
      </c>
      <c r="K1264" s="22" t="str">
        <f>VLOOKUP(CONCATENATE(A1264,LEFT(J1264,4)),AGRUPAMENTO!$D$2:$E$6783,2,FALSE)</f>
        <v>Material de consumo</v>
      </c>
      <c r="L1264" s="107" t="s">
        <v>44</v>
      </c>
      <c r="M1264" s="52"/>
      <c r="N1264" s="52">
        <v>10</v>
      </c>
      <c r="O1264" s="107" t="s">
        <v>3384</v>
      </c>
      <c r="P1264" s="52" t="s">
        <v>46</v>
      </c>
      <c r="Q1264" s="107" t="s">
        <v>3872</v>
      </c>
      <c r="R1264" s="107">
        <v>46</v>
      </c>
      <c r="S1264" s="107" t="s">
        <v>3909</v>
      </c>
      <c r="T1264" s="239">
        <v>54.9</v>
      </c>
      <c r="U1264" s="107">
        <v>1</v>
      </c>
      <c r="V1264" s="58">
        <f t="shared" si="86"/>
        <v>2525.4</v>
      </c>
      <c r="W1264" s="52" t="s">
        <v>49</v>
      </c>
      <c r="X1264" s="107" t="s">
        <v>5043</v>
      </c>
      <c r="Y1264" s="304" t="s">
        <v>5045</v>
      </c>
      <c r="Z1264" s="304" t="s">
        <v>5040</v>
      </c>
      <c r="AA1264" s="52">
        <v>0</v>
      </c>
      <c r="AB1264" s="52">
        <v>0</v>
      </c>
      <c r="AC1264" s="52">
        <v>0</v>
      </c>
      <c r="AD1264" s="21">
        <v>0.66843255889259856</v>
      </c>
      <c r="AE1264" s="54">
        <v>0.66843255889259856</v>
      </c>
      <c r="AF1264" s="315">
        <f t="shared" si="89"/>
        <v>1688.0595842273685</v>
      </c>
    </row>
    <row r="1265" spans="1:32" ht="240" x14ac:dyDescent="0.25">
      <c r="A1265" s="107" t="s">
        <v>588</v>
      </c>
      <c r="B1265" s="107" t="s">
        <v>2271</v>
      </c>
      <c r="C1265" s="52"/>
      <c r="D1265" s="107" t="s">
        <v>2302</v>
      </c>
      <c r="E1265" s="22" t="str">
        <f t="shared" si="87"/>
        <v>SEJUSPPROG</v>
      </c>
      <c r="F1265" s="122" t="s">
        <v>886</v>
      </c>
      <c r="G1265" s="22" t="str">
        <f t="shared" si="88"/>
        <v>P146SEJUSP</v>
      </c>
      <c r="H1265" s="107" t="s">
        <v>2307</v>
      </c>
      <c r="I1265" s="22" t="s">
        <v>16</v>
      </c>
      <c r="J1265" s="107" t="s">
        <v>2135</v>
      </c>
      <c r="K1265" s="22" t="str">
        <f>VLOOKUP(CONCATENATE(A1265,LEFT(J1265,4)),AGRUPAMENTO!$D$2:$E$6783,2,FALSE)</f>
        <v>Material de consumo</v>
      </c>
      <c r="L1265" s="107" t="s">
        <v>44</v>
      </c>
      <c r="M1265" s="52"/>
      <c r="N1265" s="52">
        <v>10</v>
      </c>
      <c r="O1265" s="107" t="s">
        <v>3385</v>
      </c>
      <c r="P1265" s="52" t="s">
        <v>46</v>
      </c>
      <c r="Q1265" s="107" t="s">
        <v>3872</v>
      </c>
      <c r="R1265" s="107">
        <v>28</v>
      </c>
      <c r="S1265" s="107" t="s">
        <v>3909</v>
      </c>
      <c r="T1265" s="239">
        <v>62.9</v>
      </c>
      <c r="U1265" s="107">
        <v>1</v>
      </c>
      <c r="V1265" s="58">
        <f t="shared" si="86"/>
        <v>1761.2</v>
      </c>
      <c r="W1265" s="52" t="s">
        <v>49</v>
      </c>
      <c r="X1265" s="107" t="s">
        <v>5043</v>
      </c>
      <c r="Y1265" s="304" t="s">
        <v>5045</v>
      </c>
      <c r="Z1265" s="304" t="s">
        <v>5040</v>
      </c>
      <c r="AA1265" s="52">
        <v>0</v>
      </c>
      <c r="AB1265" s="52">
        <v>0</v>
      </c>
      <c r="AC1265" s="52">
        <v>0</v>
      </c>
      <c r="AD1265" s="21">
        <v>0.66843255889259856</v>
      </c>
      <c r="AE1265" s="54">
        <v>0.66843255889259856</v>
      </c>
      <c r="AF1265" s="315">
        <f t="shared" si="89"/>
        <v>1177.2434227216447</v>
      </c>
    </row>
    <row r="1266" spans="1:32" ht="240" x14ac:dyDescent="0.25">
      <c r="A1266" s="107" t="s">
        <v>588</v>
      </c>
      <c r="B1266" s="107" t="s">
        <v>2271</v>
      </c>
      <c r="C1266" s="52"/>
      <c r="D1266" s="107" t="s">
        <v>2302</v>
      </c>
      <c r="E1266" s="22" t="str">
        <f t="shared" si="87"/>
        <v>SEJUSPPROG</v>
      </c>
      <c r="F1266" s="122" t="s">
        <v>886</v>
      </c>
      <c r="G1266" s="22" t="str">
        <f t="shared" si="88"/>
        <v>P146SEJUSP</v>
      </c>
      <c r="H1266" s="107" t="s">
        <v>2307</v>
      </c>
      <c r="I1266" s="22" t="s">
        <v>16</v>
      </c>
      <c r="J1266" s="107" t="s">
        <v>2135</v>
      </c>
      <c r="K1266" s="22" t="str">
        <f>VLOOKUP(CONCATENATE(A1266,LEFT(J1266,4)),AGRUPAMENTO!$D$2:$E$6783,2,FALSE)</f>
        <v>Material de consumo</v>
      </c>
      <c r="L1266" s="107" t="s">
        <v>44</v>
      </c>
      <c r="M1266" s="52"/>
      <c r="N1266" s="52">
        <v>10</v>
      </c>
      <c r="O1266" s="107" t="s">
        <v>3386</v>
      </c>
      <c r="P1266" s="52" t="s">
        <v>46</v>
      </c>
      <c r="Q1266" s="107" t="s">
        <v>3872</v>
      </c>
      <c r="R1266" s="107">
        <v>46</v>
      </c>
      <c r="S1266" s="107" t="s">
        <v>3909</v>
      </c>
      <c r="T1266" s="239">
        <v>62.9</v>
      </c>
      <c r="U1266" s="107">
        <v>1</v>
      </c>
      <c r="V1266" s="58">
        <f t="shared" si="86"/>
        <v>2893.4</v>
      </c>
      <c r="W1266" s="52" t="s">
        <v>49</v>
      </c>
      <c r="X1266" s="107" t="s">
        <v>5043</v>
      </c>
      <c r="Y1266" s="304" t="s">
        <v>5045</v>
      </c>
      <c r="Z1266" s="304" t="s">
        <v>5040</v>
      </c>
      <c r="AA1266" s="52">
        <v>0</v>
      </c>
      <c r="AB1266" s="52">
        <v>0</v>
      </c>
      <c r="AC1266" s="52">
        <v>0</v>
      </c>
      <c r="AD1266" s="21">
        <v>0.66843255889259856</v>
      </c>
      <c r="AE1266" s="54">
        <v>0.66843255889259856</v>
      </c>
      <c r="AF1266" s="315">
        <f t="shared" si="89"/>
        <v>1934.0427658998447</v>
      </c>
    </row>
    <row r="1267" spans="1:32" ht="240" x14ac:dyDescent="0.25">
      <c r="A1267" s="107" t="s">
        <v>588</v>
      </c>
      <c r="B1267" s="107" t="s">
        <v>2271</v>
      </c>
      <c r="C1267" s="52"/>
      <c r="D1267" s="107" t="s">
        <v>2302</v>
      </c>
      <c r="E1267" s="22" t="str">
        <f t="shared" si="87"/>
        <v>SEJUSPPROG</v>
      </c>
      <c r="F1267" s="122" t="s">
        <v>886</v>
      </c>
      <c r="G1267" s="22" t="str">
        <f t="shared" si="88"/>
        <v>P146SEJUSP</v>
      </c>
      <c r="H1267" s="107" t="s">
        <v>2307</v>
      </c>
      <c r="I1267" s="22" t="s">
        <v>16</v>
      </c>
      <c r="J1267" s="107" t="s">
        <v>2135</v>
      </c>
      <c r="K1267" s="22" t="str">
        <f>VLOOKUP(CONCATENATE(A1267,LEFT(J1267,4)),AGRUPAMENTO!$D$2:$E$6783,2,FALSE)</f>
        <v>Material de consumo</v>
      </c>
      <c r="L1267" s="107" t="s">
        <v>44</v>
      </c>
      <c r="M1267" s="52"/>
      <c r="N1267" s="52">
        <v>10</v>
      </c>
      <c r="O1267" s="107" t="s">
        <v>3387</v>
      </c>
      <c r="P1267" s="52" t="s">
        <v>46</v>
      </c>
      <c r="Q1267" s="107" t="s">
        <v>3872</v>
      </c>
      <c r="R1267" s="107">
        <v>46</v>
      </c>
      <c r="S1267" s="107" t="s">
        <v>3909</v>
      </c>
      <c r="T1267" s="239">
        <v>62.9</v>
      </c>
      <c r="U1267" s="107">
        <v>1</v>
      </c>
      <c r="V1267" s="58">
        <f t="shared" si="86"/>
        <v>2893.4</v>
      </c>
      <c r="W1267" s="52" t="s">
        <v>49</v>
      </c>
      <c r="X1267" s="107" t="s">
        <v>5043</v>
      </c>
      <c r="Y1267" s="304" t="s">
        <v>5045</v>
      </c>
      <c r="Z1267" s="304" t="s">
        <v>5040</v>
      </c>
      <c r="AA1267" s="52">
        <v>0</v>
      </c>
      <c r="AB1267" s="52">
        <v>0</v>
      </c>
      <c r="AC1267" s="52">
        <v>0</v>
      </c>
      <c r="AD1267" s="21">
        <v>0.66843255889259856</v>
      </c>
      <c r="AE1267" s="54">
        <v>0.66843255889259856</v>
      </c>
      <c r="AF1267" s="315">
        <f t="shared" si="89"/>
        <v>1934.0427658998447</v>
      </c>
    </row>
    <row r="1268" spans="1:32" ht="240" x14ac:dyDescent="0.25">
      <c r="A1268" s="107" t="s">
        <v>588</v>
      </c>
      <c r="B1268" s="107" t="s">
        <v>2271</v>
      </c>
      <c r="C1268" s="52"/>
      <c r="D1268" s="107" t="s">
        <v>2302</v>
      </c>
      <c r="E1268" s="22" t="str">
        <f t="shared" si="87"/>
        <v>SEJUSPPROG</v>
      </c>
      <c r="F1268" s="122" t="s">
        <v>886</v>
      </c>
      <c r="G1268" s="22" t="str">
        <f t="shared" si="88"/>
        <v>P146SEJUSP</v>
      </c>
      <c r="H1268" s="107" t="s">
        <v>2307</v>
      </c>
      <c r="I1268" s="22" t="s">
        <v>16</v>
      </c>
      <c r="J1268" s="107" t="s">
        <v>2135</v>
      </c>
      <c r="K1268" s="22" t="str">
        <f>VLOOKUP(CONCATENATE(A1268,LEFT(J1268,4)),AGRUPAMENTO!$D$2:$E$6783,2,FALSE)</f>
        <v>Material de consumo</v>
      </c>
      <c r="L1268" s="107" t="s">
        <v>44</v>
      </c>
      <c r="M1268" s="52"/>
      <c r="N1268" s="52">
        <v>10</v>
      </c>
      <c r="O1268" s="107" t="s">
        <v>3388</v>
      </c>
      <c r="P1268" s="52" t="s">
        <v>46</v>
      </c>
      <c r="Q1268" s="107" t="s">
        <v>3872</v>
      </c>
      <c r="R1268" s="107">
        <v>46</v>
      </c>
      <c r="S1268" s="107" t="s">
        <v>3909</v>
      </c>
      <c r="T1268" s="239">
        <v>62.9</v>
      </c>
      <c r="U1268" s="107">
        <v>1</v>
      </c>
      <c r="V1268" s="58">
        <f t="shared" si="86"/>
        <v>2893.4</v>
      </c>
      <c r="W1268" s="52" t="s">
        <v>49</v>
      </c>
      <c r="X1268" s="107" t="s">
        <v>5043</v>
      </c>
      <c r="Y1268" s="304" t="s">
        <v>5045</v>
      </c>
      <c r="Z1268" s="304" t="s">
        <v>5040</v>
      </c>
      <c r="AA1268" s="52">
        <v>0</v>
      </c>
      <c r="AB1268" s="52">
        <v>0</v>
      </c>
      <c r="AC1268" s="52">
        <v>0</v>
      </c>
      <c r="AD1268" s="21">
        <v>0.66843255889259856</v>
      </c>
      <c r="AE1268" s="54">
        <v>0.66843255889259856</v>
      </c>
      <c r="AF1268" s="315">
        <f t="shared" si="89"/>
        <v>1934.0427658998447</v>
      </c>
    </row>
    <row r="1269" spans="1:32" ht="240" x14ac:dyDescent="0.25">
      <c r="A1269" s="107" t="s">
        <v>588</v>
      </c>
      <c r="B1269" s="107" t="s">
        <v>2271</v>
      </c>
      <c r="C1269" s="52"/>
      <c r="D1269" s="107" t="s">
        <v>2302</v>
      </c>
      <c r="E1269" s="22" t="str">
        <f t="shared" si="87"/>
        <v>SEJUSPPROG</v>
      </c>
      <c r="F1269" s="122" t="s">
        <v>886</v>
      </c>
      <c r="G1269" s="22" t="str">
        <f t="shared" si="88"/>
        <v>P146SEJUSP</v>
      </c>
      <c r="H1269" s="107" t="s">
        <v>2307</v>
      </c>
      <c r="I1269" s="22" t="s">
        <v>16</v>
      </c>
      <c r="J1269" s="107" t="s">
        <v>2135</v>
      </c>
      <c r="K1269" s="22" t="str">
        <f>VLOOKUP(CONCATENATE(A1269,LEFT(J1269,4)),AGRUPAMENTO!$D$2:$E$6783,2,FALSE)</f>
        <v>Material de consumo</v>
      </c>
      <c r="L1269" s="107" t="s">
        <v>44</v>
      </c>
      <c r="M1269" s="52"/>
      <c r="N1269" s="52">
        <v>10</v>
      </c>
      <c r="O1269" s="107" t="s">
        <v>3389</v>
      </c>
      <c r="P1269" s="52" t="s">
        <v>46</v>
      </c>
      <c r="Q1269" s="107" t="s">
        <v>3872</v>
      </c>
      <c r="R1269" s="107">
        <v>46</v>
      </c>
      <c r="S1269" s="107" t="s">
        <v>3909</v>
      </c>
      <c r="T1269" s="239">
        <v>62.9</v>
      </c>
      <c r="U1269" s="107">
        <v>1</v>
      </c>
      <c r="V1269" s="58">
        <f t="shared" si="86"/>
        <v>2893.4</v>
      </c>
      <c r="W1269" s="52" t="s">
        <v>49</v>
      </c>
      <c r="X1269" s="107" t="s">
        <v>5043</v>
      </c>
      <c r="Y1269" s="304" t="s">
        <v>5045</v>
      </c>
      <c r="Z1269" s="304" t="s">
        <v>5040</v>
      </c>
      <c r="AA1269" s="52">
        <v>0</v>
      </c>
      <c r="AB1269" s="52">
        <v>0</v>
      </c>
      <c r="AC1269" s="52">
        <v>0</v>
      </c>
      <c r="AD1269" s="21">
        <v>0.66843255889259856</v>
      </c>
      <c r="AE1269" s="54">
        <v>0.66843255889259856</v>
      </c>
      <c r="AF1269" s="315">
        <f t="shared" si="89"/>
        <v>1934.0427658998447</v>
      </c>
    </row>
    <row r="1270" spans="1:32" ht="195" x14ac:dyDescent="0.25">
      <c r="A1270" s="107" t="s">
        <v>588</v>
      </c>
      <c r="B1270" s="107" t="s">
        <v>2271</v>
      </c>
      <c r="C1270" s="52"/>
      <c r="D1270" s="107" t="s">
        <v>2302</v>
      </c>
      <c r="E1270" s="22" t="str">
        <f t="shared" si="87"/>
        <v>SEJUSPPROG</v>
      </c>
      <c r="F1270" s="122" t="s">
        <v>886</v>
      </c>
      <c r="G1270" s="22" t="str">
        <f t="shared" si="88"/>
        <v>P146SEJUSP</v>
      </c>
      <c r="H1270" s="107" t="s">
        <v>2307</v>
      </c>
      <c r="I1270" s="22" t="s">
        <v>16</v>
      </c>
      <c r="J1270" s="107" t="s">
        <v>405</v>
      </c>
      <c r="K1270" s="22" t="str">
        <f>VLOOKUP(CONCATENATE(A1270,LEFT(J1270,4)),AGRUPAMENTO!$D$2:$E$6783,2,FALSE)</f>
        <v>Material de consumo</v>
      </c>
      <c r="L1270" s="107" t="s">
        <v>44</v>
      </c>
      <c r="M1270" s="52"/>
      <c r="N1270" s="52">
        <v>10</v>
      </c>
      <c r="O1270" s="107" t="s">
        <v>3390</v>
      </c>
      <c r="P1270" s="52" t="s">
        <v>46</v>
      </c>
      <c r="Q1270" s="107" t="s">
        <v>4137</v>
      </c>
      <c r="R1270" s="107">
        <v>1018</v>
      </c>
      <c r="S1270" s="107" t="s">
        <v>3909</v>
      </c>
      <c r="T1270" s="239">
        <v>8.8000000000000007</v>
      </c>
      <c r="U1270" s="107">
        <v>1</v>
      </c>
      <c r="V1270" s="58">
        <f t="shared" si="86"/>
        <v>8958.4000000000015</v>
      </c>
      <c r="W1270" s="52" t="s">
        <v>49</v>
      </c>
      <c r="X1270" s="107" t="s">
        <v>5060</v>
      </c>
      <c r="Y1270" s="304" t="s">
        <v>5048</v>
      </c>
      <c r="Z1270" s="304" t="s">
        <v>5061</v>
      </c>
      <c r="AA1270" s="52">
        <v>0</v>
      </c>
      <c r="AB1270" s="52">
        <v>0</v>
      </c>
      <c r="AC1270" s="52">
        <v>0</v>
      </c>
      <c r="AD1270" s="21">
        <v>0.66843255889259856</v>
      </c>
      <c r="AE1270" s="54">
        <v>0.66843255889259856</v>
      </c>
      <c r="AF1270" s="315">
        <f t="shared" si="89"/>
        <v>5988.0862355834561</v>
      </c>
    </row>
    <row r="1271" spans="1:32" ht="240" x14ac:dyDescent="0.25">
      <c r="A1271" s="107" t="s">
        <v>588</v>
      </c>
      <c r="B1271" s="107" t="s">
        <v>2271</v>
      </c>
      <c r="C1271" s="52"/>
      <c r="D1271" s="107" t="s">
        <v>2302</v>
      </c>
      <c r="E1271" s="22" t="str">
        <f t="shared" si="87"/>
        <v>SEJUSPPROG</v>
      </c>
      <c r="F1271" s="122" t="s">
        <v>886</v>
      </c>
      <c r="G1271" s="22" t="str">
        <f t="shared" si="88"/>
        <v>P146SEJUSP</v>
      </c>
      <c r="H1271" s="107" t="s">
        <v>2307</v>
      </c>
      <c r="I1271" s="22" t="s">
        <v>16</v>
      </c>
      <c r="J1271" s="107" t="s">
        <v>405</v>
      </c>
      <c r="K1271" s="22" t="str">
        <f>VLOOKUP(CONCATENATE(A1271,LEFT(J1271,4)),AGRUPAMENTO!$D$2:$E$6783,2,FALSE)</f>
        <v>Material de consumo</v>
      </c>
      <c r="L1271" s="107" t="s">
        <v>44</v>
      </c>
      <c r="M1271" s="52"/>
      <c r="N1271" s="52">
        <v>10</v>
      </c>
      <c r="O1271" s="107" t="s">
        <v>3391</v>
      </c>
      <c r="P1271" s="52" t="s">
        <v>46</v>
      </c>
      <c r="Q1271" s="107" t="s">
        <v>4138</v>
      </c>
      <c r="R1271" s="107">
        <v>20</v>
      </c>
      <c r="S1271" s="107" t="s">
        <v>3909</v>
      </c>
      <c r="T1271" s="239">
        <v>40.81</v>
      </c>
      <c r="U1271" s="107">
        <v>1</v>
      </c>
      <c r="V1271" s="58">
        <f t="shared" si="86"/>
        <v>816.2</v>
      </c>
      <c r="W1271" s="52" t="s">
        <v>49</v>
      </c>
      <c r="X1271" s="107" t="s">
        <v>5068</v>
      </c>
      <c r="Y1271" s="304" t="s">
        <v>5069</v>
      </c>
      <c r="Z1271" s="304" t="s">
        <v>5040</v>
      </c>
      <c r="AA1271" s="52">
        <v>0</v>
      </c>
      <c r="AB1271" s="52">
        <v>0</v>
      </c>
      <c r="AC1271" s="52">
        <v>0</v>
      </c>
      <c r="AD1271" s="21">
        <v>0.66843255889259856</v>
      </c>
      <c r="AE1271" s="54">
        <v>0.66843255889259856</v>
      </c>
      <c r="AF1271" s="315">
        <f t="shared" si="89"/>
        <v>545.57465456813895</v>
      </c>
    </row>
    <row r="1272" spans="1:32" ht="240" x14ac:dyDescent="0.25">
      <c r="A1272" s="107" t="s">
        <v>588</v>
      </c>
      <c r="B1272" s="107" t="s">
        <v>2271</v>
      </c>
      <c r="C1272" s="52"/>
      <c r="D1272" s="107" t="s">
        <v>2302</v>
      </c>
      <c r="E1272" s="22" t="str">
        <f t="shared" si="87"/>
        <v>SEJUSPPROG</v>
      </c>
      <c r="F1272" s="122" t="s">
        <v>886</v>
      </c>
      <c r="G1272" s="22" t="str">
        <f t="shared" si="88"/>
        <v>P146SEJUSP</v>
      </c>
      <c r="H1272" s="107" t="s">
        <v>2307</v>
      </c>
      <c r="I1272" s="22" t="s">
        <v>16</v>
      </c>
      <c r="J1272" s="107" t="s">
        <v>137</v>
      </c>
      <c r="K1272" s="22" t="str">
        <f>VLOOKUP(CONCATENATE(A1272,LEFT(J1272,4)),AGRUPAMENTO!$D$2:$E$6783,2,FALSE)</f>
        <v>Serviços de saúde e medicamentos</v>
      </c>
      <c r="L1272" s="107" t="s">
        <v>44</v>
      </c>
      <c r="M1272" s="52"/>
      <c r="N1272" s="52">
        <v>10</v>
      </c>
      <c r="O1272" s="107" t="s">
        <v>3392</v>
      </c>
      <c r="P1272" s="52" t="s">
        <v>46</v>
      </c>
      <c r="Q1272" s="107" t="s">
        <v>4139</v>
      </c>
      <c r="R1272" s="107">
        <v>220</v>
      </c>
      <c r="S1272" s="107" t="s">
        <v>3909</v>
      </c>
      <c r="T1272" s="239">
        <v>2.89</v>
      </c>
      <c r="U1272" s="107">
        <v>1</v>
      </c>
      <c r="V1272" s="58">
        <f t="shared" si="86"/>
        <v>635.80000000000007</v>
      </c>
      <c r="W1272" s="52" t="s">
        <v>49</v>
      </c>
      <c r="X1272" s="107" t="s">
        <v>5070</v>
      </c>
      <c r="Y1272" s="304" t="s">
        <v>5071</v>
      </c>
      <c r="Z1272" s="304" t="s">
        <v>5040</v>
      </c>
      <c r="AA1272" s="52">
        <v>0</v>
      </c>
      <c r="AB1272" s="52">
        <v>0</v>
      </c>
      <c r="AC1272" s="52">
        <v>0</v>
      </c>
      <c r="AD1272" s="21">
        <v>0.68827656736675979</v>
      </c>
      <c r="AE1272" s="54">
        <v>0.68827656736675979</v>
      </c>
      <c r="AF1272" s="315">
        <f t="shared" si="89"/>
        <v>437.60624153178594</v>
      </c>
    </row>
    <row r="1273" spans="1:32" ht="240" x14ac:dyDescent="0.25">
      <c r="A1273" s="107" t="s">
        <v>588</v>
      </c>
      <c r="B1273" s="107" t="s">
        <v>2271</v>
      </c>
      <c r="C1273" s="52"/>
      <c r="D1273" s="107" t="s">
        <v>2302</v>
      </c>
      <c r="E1273" s="22" t="str">
        <f t="shared" si="87"/>
        <v>SEJUSPPROG</v>
      </c>
      <c r="F1273" s="122" t="s">
        <v>886</v>
      </c>
      <c r="G1273" s="22" t="str">
        <f t="shared" si="88"/>
        <v>P146SEJUSP</v>
      </c>
      <c r="H1273" s="107" t="s">
        <v>2307</v>
      </c>
      <c r="I1273" s="22" t="s">
        <v>16</v>
      </c>
      <c r="J1273" s="107" t="s">
        <v>1605</v>
      </c>
      <c r="K1273" s="22" t="str">
        <f>VLOOKUP(CONCATENATE(A1273,LEFT(J1273,4)),AGRUPAMENTO!$D$2:$E$6783,2,FALSE)</f>
        <v>Serviços de saúde e medicamentos</v>
      </c>
      <c r="L1273" s="107" t="s">
        <v>44</v>
      </c>
      <c r="M1273" s="52"/>
      <c r="N1273" s="52">
        <v>10</v>
      </c>
      <c r="O1273" s="107" t="s">
        <v>3393</v>
      </c>
      <c r="P1273" s="52" t="s">
        <v>46</v>
      </c>
      <c r="Q1273" s="107" t="s">
        <v>3872</v>
      </c>
      <c r="R1273" s="107">
        <v>300</v>
      </c>
      <c r="S1273" s="107" t="s">
        <v>3909</v>
      </c>
      <c r="T1273" s="239">
        <v>0.24</v>
      </c>
      <c r="U1273" s="107">
        <v>1</v>
      </c>
      <c r="V1273" s="58">
        <f t="shared" si="86"/>
        <v>72</v>
      </c>
      <c r="W1273" s="52" t="s">
        <v>49</v>
      </c>
      <c r="X1273" s="107" t="s">
        <v>5043</v>
      </c>
      <c r="Y1273" s="304" t="s">
        <v>5045</v>
      </c>
      <c r="Z1273" s="304" t="s">
        <v>5040</v>
      </c>
      <c r="AA1273" s="52">
        <v>0</v>
      </c>
      <c r="AB1273" s="52">
        <v>0</v>
      </c>
      <c r="AC1273" s="52">
        <v>0</v>
      </c>
      <c r="AD1273" s="21">
        <v>0.68827656736675979</v>
      </c>
      <c r="AE1273" s="54">
        <v>0.68827656736675979</v>
      </c>
      <c r="AF1273" s="315">
        <f t="shared" si="89"/>
        <v>49.555912850406706</v>
      </c>
    </row>
    <row r="1274" spans="1:32" ht="240" x14ac:dyDescent="0.25">
      <c r="A1274" s="107" t="s">
        <v>588</v>
      </c>
      <c r="B1274" s="107" t="s">
        <v>2271</v>
      </c>
      <c r="C1274" s="52"/>
      <c r="D1274" s="107" t="s">
        <v>2302</v>
      </c>
      <c r="E1274" s="22" t="str">
        <f t="shared" si="87"/>
        <v>SEJUSPPROG</v>
      </c>
      <c r="F1274" s="122" t="s">
        <v>886</v>
      </c>
      <c r="G1274" s="22" t="str">
        <f t="shared" si="88"/>
        <v>P146SEJUSP</v>
      </c>
      <c r="H1274" s="107" t="s">
        <v>2307</v>
      </c>
      <c r="I1274" s="22" t="s">
        <v>16</v>
      </c>
      <c r="J1274" s="107" t="s">
        <v>1605</v>
      </c>
      <c r="K1274" s="22" t="str">
        <f>VLOOKUP(CONCATENATE(A1274,LEFT(J1274,4)),AGRUPAMENTO!$D$2:$E$6783,2,FALSE)</f>
        <v>Serviços de saúde e medicamentos</v>
      </c>
      <c r="L1274" s="107" t="s">
        <v>44</v>
      </c>
      <c r="M1274" s="52"/>
      <c r="N1274" s="52">
        <v>10</v>
      </c>
      <c r="O1274" s="107" t="s">
        <v>3394</v>
      </c>
      <c r="P1274" s="52" t="s">
        <v>46</v>
      </c>
      <c r="Q1274" s="107" t="s">
        <v>3872</v>
      </c>
      <c r="R1274" s="107">
        <v>20</v>
      </c>
      <c r="S1274" s="107" t="s">
        <v>3909</v>
      </c>
      <c r="T1274" s="239">
        <v>18.399999999999999</v>
      </c>
      <c r="U1274" s="107">
        <v>1</v>
      </c>
      <c r="V1274" s="58">
        <f t="shared" si="86"/>
        <v>368</v>
      </c>
      <c r="W1274" s="52" t="s">
        <v>49</v>
      </c>
      <c r="X1274" s="107" t="s">
        <v>5043</v>
      </c>
      <c r="Y1274" s="304" t="s">
        <v>5045</v>
      </c>
      <c r="Z1274" s="304" t="s">
        <v>5040</v>
      </c>
      <c r="AA1274" s="52">
        <v>0</v>
      </c>
      <c r="AB1274" s="52">
        <v>0</v>
      </c>
      <c r="AC1274" s="52">
        <v>0</v>
      </c>
      <c r="AD1274" s="21">
        <v>0.68827656736675979</v>
      </c>
      <c r="AE1274" s="54">
        <v>0.68827656736675979</v>
      </c>
      <c r="AF1274" s="315">
        <f t="shared" si="89"/>
        <v>253.28577679096762</v>
      </c>
    </row>
    <row r="1275" spans="1:32" ht="240" x14ac:dyDescent="0.25">
      <c r="A1275" s="107" t="s">
        <v>588</v>
      </c>
      <c r="B1275" s="107" t="s">
        <v>2271</v>
      </c>
      <c r="C1275" s="52"/>
      <c r="D1275" s="107" t="s">
        <v>2302</v>
      </c>
      <c r="E1275" s="22" t="str">
        <f t="shared" si="87"/>
        <v>SEJUSPPROG</v>
      </c>
      <c r="F1275" s="122" t="s">
        <v>886</v>
      </c>
      <c r="G1275" s="22" t="str">
        <f t="shared" si="88"/>
        <v>P146SEJUSP</v>
      </c>
      <c r="H1275" s="107" t="s">
        <v>2307</v>
      </c>
      <c r="I1275" s="22" t="s">
        <v>16</v>
      </c>
      <c r="J1275" s="107" t="s">
        <v>2135</v>
      </c>
      <c r="K1275" s="22" t="str">
        <f>VLOOKUP(CONCATENATE(A1275,LEFT(J1275,4)),AGRUPAMENTO!$D$2:$E$6783,2,FALSE)</f>
        <v>Material de consumo</v>
      </c>
      <c r="L1275" s="107" t="s">
        <v>44</v>
      </c>
      <c r="M1275" s="52"/>
      <c r="N1275" s="52">
        <v>10</v>
      </c>
      <c r="O1275" s="107" t="s">
        <v>3395</v>
      </c>
      <c r="P1275" s="52" t="s">
        <v>46</v>
      </c>
      <c r="Q1275" s="107" t="s">
        <v>4140</v>
      </c>
      <c r="R1275" s="107">
        <v>37</v>
      </c>
      <c r="S1275" s="107" t="s">
        <v>3909</v>
      </c>
      <c r="T1275" s="239">
        <v>10.9</v>
      </c>
      <c r="U1275" s="107">
        <v>1</v>
      </c>
      <c r="V1275" s="58">
        <f t="shared" si="86"/>
        <v>403.3</v>
      </c>
      <c r="W1275" s="52" t="s">
        <v>49</v>
      </c>
      <c r="X1275" s="107" t="s">
        <v>5043</v>
      </c>
      <c r="Y1275" s="304" t="s">
        <v>5045</v>
      </c>
      <c r="Z1275" s="304" t="s">
        <v>5040</v>
      </c>
      <c r="AA1275" s="52">
        <v>0</v>
      </c>
      <c r="AB1275" s="52">
        <v>0</v>
      </c>
      <c r="AC1275" s="52">
        <v>0</v>
      </c>
      <c r="AD1275" s="21">
        <v>0.66843255889259856</v>
      </c>
      <c r="AE1275" s="54">
        <v>0.66843255889259856</v>
      </c>
      <c r="AF1275" s="315">
        <f t="shared" si="89"/>
        <v>269.57885100138503</v>
      </c>
    </row>
    <row r="1276" spans="1:32" ht="240" x14ac:dyDescent="0.25">
      <c r="A1276" s="107" t="s">
        <v>588</v>
      </c>
      <c r="B1276" s="107" t="s">
        <v>2271</v>
      </c>
      <c r="C1276" s="52"/>
      <c r="D1276" s="107" t="s">
        <v>2302</v>
      </c>
      <c r="E1276" s="22" t="str">
        <f t="shared" si="87"/>
        <v>SEJUSPPROG</v>
      </c>
      <c r="F1276" s="122" t="s">
        <v>886</v>
      </c>
      <c r="G1276" s="22" t="str">
        <f t="shared" si="88"/>
        <v>P146SEJUSP</v>
      </c>
      <c r="H1276" s="107" t="s">
        <v>2307</v>
      </c>
      <c r="I1276" s="22" t="s">
        <v>16</v>
      </c>
      <c r="J1276" s="107" t="s">
        <v>2135</v>
      </c>
      <c r="K1276" s="22" t="str">
        <f>VLOOKUP(CONCATENATE(A1276,LEFT(J1276,4)),AGRUPAMENTO!$D$2:$E$6783,2,FALSE)</f>
        <v>Material de consumo</v>
      </c>
      <c r="L1276" s="107" t="s">
        <v>44</v>
      </c>
      <c r="M1276" s="52"/>
      <c r="N1276" s="52">
        <v>10</v>
      </c>
      <c r="O1276" s="107" t="s">
        <v>3396</v>
      </c>
      <c r="P1276" s="52" t="s">
        <v>46</v>
      </c>
      <c r="Q1276" s="107" t="s">
        <v>4141</v>
      </c>
      <c r="R1276" s="107">
        <v>38</v>
      </c>
      <c r="S1276" s="107" t="s">
        <v>3909</v>
      </c>
      <c r="T1276" s="239">
        <v>19.899999999999999</v>
      </c>
      <c r="U1276" s="107">
        <v>1</v>
      </c>
      <c r="V1276" s="58">
        <f t="shared" si="86"/>
        <v>756.19999999999993</v>
      </c>
      <c r="W1276" s="52" t="s">
        <v>49</v>
      </c>
      <c r="X1276" s="107" t="s">
        <v>5043</v>
      </c>
      <c r="Y1276" s="304" t="s">
        <v>5045</v>
      </c>
      <c r="Z1276" s="304" t="s">
        <v>5040</v>
      </c>
      <c r="AA1276" s="52">
        <v>0</v>
      </c>
      <c r="AB1276" s="52">
        <v>0</v>
      </c>
      <c r="AC1276" s="52">
        <v>0</v>
      </c>
      <c r="AD1276" s="21">
        <v>0.66843255889259856</v>
      </c>
      <c r="AE1276" s="54">
        <v>0.66843255889259856</v>
      </c>
      <c r="AF1276" s="315">
        <f t="shared" si="89"/>
        <v>505.46870103458298</v>
      </c>
    </row>
    <row r="1277" spans="1:32" ht="240" x14ac:dyDescent="0.25">
      <c r="A1277" s="107" t="s">
        <v>588</v>
      </c>
      <c r="B1277" s="107" t="s">
        <v>2271</v>
      </c>
      <c r="C1277" s="52"/>
      <c r="D1277" s="107" t="s">
        <v>2302</v>
      </c>
      <c r="E1277" s="22" t="str">
        <f t="shared" si="87"/>
        <v>SEJUSPPROG</v>
      </c>
      <c r="F1277" s="122" t="s">
        <v>886</v>
      </c>
      <c r="G1277" s="22" t="str">
        <f t="shared" si="88"/>
        <v>P146SEJUSP</v>
      </c>
      <c r="H1277" s="107" t="s">
        <v>2307</v>
      </c>
      <c r="I1277" s="22" t="s">
        <v>16</v>
      </c>
      <c r="J1277" s="107" t="s">
        <v>2135</v>
      </c>
      <c r="K1277" s="22" t="str">
        <f>VLOOKUP(CONCATENATE(A1277,LEFT(J1277,4)),AGRUPAMENTO!$D$2:$E$6783,2,FALSE)</f>
        <v>Material de consumo</v>
      </c>
      <c r="L1277" s="107" t="s">
        <v>44</v>
      </c>
      <c r="M1277" s="52"/>
      <c r="N1277" s="52">
        <v>10</v>
      </c>
      <c r="O1277" s="107" t="s">
        <v>3397</v>
      </c>
      <c r="P1277" s="52" t="s">
        <v>46</v>
      </c>
      <c r="Q1277" s="107" t="s">
        <v>4142</v>
      </c>
      <c r="R1277" s="107">
        <v>38</v>
      </c>
      <c r="S1277" s="107" t="s">
        <v>3909</v>
      </c>
      <c r="T1277" s="239">
        <v>2.4900000000000002</v>
      </c>
      <c r="U1277" s="107">
        <v>1</v>
      </c>
      <c r="V1277" s="58">
        <f t="shared" si="86"/>
        <v>94.62</v>
      </c>
      <c r="W1277" s="52" t="s">
        <v>49</v>
      </c>
      <c r="X1277" s="107" t="s">
        <v>5043</v>
      </c>
      <c r="Y1277" s="304" t="s">
        <v>5045</v>
      </c>
      <c r="Z1277" s="304" t="s">
        <v>5040</v>
      </c>
      <c r="AA1277" s="52">
        <v>0</v>
      </c>
      <c r="AB1277" s="52">
        <v>0</v>
      </c>
      <c r="AC1277" s="52">
        <v>0</v>
      </c>
      <c r="AD1277" s="21">
        <v>0.66843255889259856</v>
      </c>
      <c r="AE1277" s="54">
        <v>0.66843255889259856</v>
      </c>
      <c r="AF1277" s="315">
        <f t="shared" si="89"/>
        <v>63.247088722417679</v>
      </c>
    </row>
    <row r="1278" spans="1:32" ht="240" x14ac:dyDescent="0.25">
      <c r="A1278" s="107" t="s">
        <v>588</v>
      </c>
      <c r="B1278" s="107" t="s">
        <v>2271</v>
      </c>
      <c r="C1278" s="52"/>
      <c r="D1278" s="107" t="s">
        <v>2302</v>
      </c>
      <c r="E1278" s="22" t="str">
        <f t="shared" si="87"/>
        <v>SEJUSPPROG</v>
      </c>
      <c r="F1278" s="122" t="s">
        <v>886</v>
      </c>
      <c r="G1278" s="22" t="str">
        <f t="shared" si="88"/>
        <v>P146SEJUSP</v>
      </c>
      <c r="H1278" s="107" t="s">
        <v>2307</v>
      </c>
      <c r="I1278" s="22" t="s">
        <v>16</v>
      </c>
      <c r="J1278" s="107" t="s">
        <v>1605</v>
      </c>
      <c r="K1278" s="22" t="str">
        <f>VLOOKUP(CONCATENATE(A1278,LEFT(J1278,4)),AGRUPAMENTO!$D$2:$E$6783,2,FALSE)</f>
        <v>Serviços de saúde e medicamentos</v>
      </c>
      <c r="L1278" s="107" t="s">
        <v>44</v>
      </c>
      <c r="M1278" s="52"/>
      <c r="N1278" s="52">
        <v>10</v>
      </c>
      <c r="O1278" s="107" t="s">
        <v>3398</v>
      </c>
      <c r="P1278" s="52" t="s">
        <v>46</v>
      </c>
      <c r="Q1278" s="107" t="s">
        <v>4143</v>
      </c>
      <c r="R1278" s="107">
        <v>65</v>
      </c>
      <c r="S1278" s="107" t="s">
        <v>3909</v>
      </c>
      <c r="T1278" s="239">
        <v>69.900000000000006</v>
      </c>
      <c r="U1278" s="107">
        <v>1</v>
      </c>
      <c r="V1278" s="58">
        <f t="shared" si="86"/>
        <v>4543.5</v>
      </c>
      <c r="W1278" s="52" t="s">
        <v>49</v>
      </c>
      <c r="X1278" s="107" t="s">
        <v>5054</v>
      </c>
      <c r="Y1278" s="304" t="s">
        <v>5071</v>
      </c>
      <c r="Z1278" s="304" t="s">
        <v>5040</v>
      </c>
      <c r="AA1278" s="52">
        <v>0</v>
      </c>
      <c r="AB1278" s="52">
        <v>0</v>
      </c>
      <c r="AC1278" s="52">
        <v>0</v>
      </c>
      <c r="AD1278" s="21">
        <v>0.68827656736675979</v>
      </c>
      <c r="AE1278" s="54">
        <v>0.68827656736675979</v>
      </c>
      <c r="AF1278" s="315">
        <f t="shared" si="89"/>
        <v>3127.1845838308732</v>
      </c>
    </row>
    <row r="1279" spans="1:32" ht="135" x14ac:dyDescent="0.25">
      <c r="A1279" s="107" t="s">
        <v>588</v>
      </c>
      <c r="B1279" s="107" t="s">
        <v>2271</v>
      </c>
      <c r="C1279" s="52"/>
      <c r="D1279" s="107" t="s">
        <v>2302</v>
      </c>
      <c r="E1279" s="22" t="str">
        <f t="shared" si="87"/>
        <v>SEJUSPPROG</v>
      </c>
      <c r="F1279" s="122" t="s">
        <v>886</v>
      </c>
      <c r="G1279" s="22" t="str">
        <f t="shared" si="88"/>
        <v>P146SEJUSP</v>
      </c>
      <c r="H1279" s="107" t="s">
        <v>2307</v>
      </c>
      <c r="I1279" s="22" t="s">
        <v>16</v>
      </c>
      <c r="J1279" s="107" t="s">
        <v>1605</v>
      </c>
      <c r="K1279" s="22" t="str">
        <f>VLOOKUP(CONCATENATE(A1279,LEFT(J1279,4)),AGRUPAMENTO!$D$2:$E$6783,2,FALSE)</f>
        <v>Serviços de saúde e medicamentos</v>
      </c>
      <c r="L1279" s="107" t="s">
        <v>44</v>
      </c>
      <c r="M1279" s="52"/>
      <c r="N1279" s="52">
        <v>10</v>
      </c>
      <c r="O1279" s="107" t="s">
        <v>3399</v>
      </c>
      <c r="P1279" s="52" t="s">
        <v>46</v>
      </c>
      <c r="Q1279" s="107" t="s">
        <v>4080</v>
      </c>
      <c r="R1279" s="107">
        <v>80</v>
      </c>
      <c r="S1279" s="107" t="s">
        <v>3909</v>
      </c>
      <c r="T1279" s="239" t="s">
        <v>4144</v>
      </c>
      <c r="U1279" s="107">
        <v>1</v>
      </c>
      <c r="V1279" s="58">
        <f t="shared" si="86"/>
        <v>576</v>
      </c>
      <c r="W1279" s="52" t="s">
        <v>49</v>
      </c>
      <c r="X1279" s="107" t="s">
        <v>5051</v>
      </c>
      <c r="Y1279" s="304" t="s">
        <v>5072</v>
      </c>
      <c r="Z1279" s="304" t="s">
        <v>5073</v>
      </c>
      <c r="AA1279" s="52">
        <v>0</v>
      </c>
      <c r="AB1279" s="52">
        <v>0</v>
      </c>
      <c r="AC1279" s="52">
        <v>0</v>
      </c>
      <c r="AD1279" s="21">
        <v>0.68827656736675979</v>
      </c>
      <c r="AE1279" s="54">
        <v>0.68827656736675979</v>
      </c>
      <c r="AF1279" s="315">
        <f t="shared" si="89"/>
        <v>396.44730280325365</v>
      </c>
    </row>
    <row r="1280" spans="1:32" ht="240" x14ac:dyDescent="0.25">
      <c r="A1280" s="107" t="s">
        <v>588</v>
      </c>
      <c r="B1280" s="107" t="s">
        <v>2271</v>
      </c>
      <c r="C1280" s="52"/>
      <c r="D1280" s="107" t="s">
        <v>2302</v>
      </c>
      <c r="E1280" s="22" t="str">
        <f t="shared" si="87"/>
        <v>SEJUSPPROG</v>
      </c>
      <c r="F1280" s="122" t="s">
        <v>886</v>
      </c>
      <c r="G1280" s="22" t="str">
        <f t="shared" si="88"/>
        <v>P146SEJUSP</v>
      </c>
      <c r="H1280" s="107" t="s">
        <v>2307</v>
      </c>
      <c r="I1280" s="22" t="s">
        <v>16</v>
      </c>
      <c r="J1280" s="92" t="s">
        <v>2229</v>
      </c>
      <c r="K1280" s="22" t="str">
        <f>VLOOKUP(CONCATENATE(A1280,LEFT(J1280,4)),AGRUPAMENTO!$D$2:$E$6783,2,FALSE)</f>
        <v>Demais despesas de capital</v>
      </c>
      <c r="L1280" s="52" t="s">
        <v>94</v>
      </c>
      <c r="M1280" s="52"/>
      <c r="N1280" s="52">
        <v>10</v>
      </c>
      <c r="O1280" s="107" t="s">
        <v>3400</v>
      </c>
      <c r="P1280" s="52" t="s">
        <v>46</v>
      </c>
      <c r="Q1280" s="107" t="s">
        <v>3872</v>
      </c>
      <c r="R1280" s="107">
        <v>2</v>
      </c>
      <c r="S1280" s="107" t="s">
        <v>3909</v>
      </c>
      <c r="T1280" s="239" t="s">
        <v>4145</v>
      </c>
      <c r="U1280" s="107">
        <v>1</v>
      </c>
      <c r="V1280" s="58">
        <f t="shared" si="86"/>
        <v>31.8</v>
      </c>
      <c r="W1280" s="52" t="s">
        <v>49</v>
      </c>
      <c r="X1280" s="107" t="s">
        <v>5054</v>
      </c>
      <c r="Y1280" s="304" t="s">
        <v>5071</v>
      </c>
      <c r="Z1280" s="304" t="s">
        <v>5040</v>
      </c>
      <c r="AA1280" s="52">
        <v>0</v>
      </c>
      <c r="AB1280" s="52">
        <v>0</v>
      </c>
      <c r="AC1280" s="52">
        <v>0</v>
      </c>
      <c r="AD1280" s="21">
        <v>1</v>
      </c>
      <c r="AE1280" s="54">
        <v>1</v>
      </c>
      <c r="AF1280" s="315">
        <f t="shared" si="89"/>
        <v>31.8</v>
      </c>
    </row>
    <row r="1281" spans="1:32" ht="240" x14ac:dyDescent="0.25">
      <c r="A1281" s="107" t="s">
        <v>588</v>
      </c>
      <c r="B1281" s="107" t="s">
        <v>2271</v>
      </c>
      <c r="C1281" s="52"/>
      <c r="D1281" s="107" t="s">
        <v>2302</v>
      </c>
      <c r="E1281" s="22" t="str">
        <f t="shared" si="87"/>
        <v>SEJUSPPROG</v>
      </c>
      <c r="F1281" s="122" t="s">
        <v>886</v>
      </c>
      <c r="G1281" s="22" t="str">
        <f t="shared" si="88"/>
        <v>P146SEJUSP</v>
      </c>
      <c r="H1281" s="107" t="s">
        <v>2307</v>
      </c>
      <c r="I1281" s="22" t="s">
        <v>16</v>
      </c>
      <c r="J1281" s="107" t="s">
        <v>1605</v>
      </c>
      <c r="K1281" s="22" t="str">
        <f>VLOOKUP(CONCATENATE(A1281,LEFT(J1281,4)),AGRUPAMENTO!$D$2:$E$6783,2,FALSE)</f>
        <v>Serviços de saúde e medicamentos</v>
      </c>
      <c r="L1281" s="107" t="s">
        <v>44</v>
      </c>
      <c r="M1281" s="52"/>
      <c r="N1281" s="52">
        <v>10</v>
      </c>
      <c r="O1281" s="107" t="s">
        <v>3401</v>
      </c>
      <c r="P1281" s="52" t="s">
        <v>46</v>
      </c>
      <c r="Q1281" s="107" t="s">
        <v>4146</v>
      </c>
      <c r="R1281" s="107">
        <v>19</v>
      </c>
      <c r="S1281" s="107" t="s">
        <v>3909</v>
      </c>
      <c r="T1281" s="239">
        <v>6.69</v>
      </c>
      <c r="U1281" s="107">
        <v>1</v>
      </c>
      <c r="V1281" s="58">
        <f t="shared" si="86"/>
        <v>127.11000000000001</v>
      </c>
      <c r="W1281" s="52" t="s">
        <v>49</v>
      </c>
      <c r="X1281" s="107" t="s">
        <v>5054</v>
      </c>
      <c r="Y1281" s="304" t="s">
        <v>5071</v>
      </c>
      <c r="Z1281" s="304" t="s">
        <v>5040</v>
      </c>
      <c r="AA1281" s="52">
        <v>0</v>
      </c>
      <c r="AB1281" s="52">
        <v>0</v>
      </c>
      <c r="AC1281" s="52">
        <v>0</v>
      </c>
      <c r="AD1281" s="21">
        <v>0.68827656736675979</v>
      </c>
      <c r="AE1281" s="54">
        <v>0.68827656736675979</v>
      </c>
      <c r="AF1281" s="315">
        <f t="shared" si="89"/>
        <v>87.48683447798885</v>
      </c>
    </row>
    <row r="1282" spans="1:32" ht="240" x14ac:dyDescent="0.25">
      <c r="A1282" s="107" t="s">
        <v>588</v>
      </c>
      <c r="B1282" s="107" t="s">
        <v>2271</v>
      </c>
      <c r="C1282" s="52"/>
      <c r="D1282" s="107" t="s">
        <v>2302</v>
      </c>
      <c r="E1282" s="22" t="str">
        <f t="shared" si="87"/>
        <v>SEJUSPPROG</v>
      </c>
      <c r="F1282" s="122" t="s">
        <v>886</v>
      </c>
      <c r="G1282" s="22" t="str">
        <f t="shared" si="88"/>
        <v>P146SEJUSP</v>
      </c>
      <c r="H1282" s="107" t="s">
        <v>2307</v>
      </c>
      <c r="I1282" s="22" t="s">
        <v>16</v>
      </c>
      <c r="J1282" s="107" t="s">
        <v>1605</v>
      </c>
      <c r="K1282" s="22" t="str">
        <f>VLOOKUP(CONCATENATE(A1282,LEFT(J1282,4)),AGRUPAMENTO!$D$2:$E$6783,2,FALSE)</f>
        <v>Serviços de saúde e medicamentos</v>
      </c>
      <c r="L1282" s="107" t="s">
        <v>44</v>
      </c>
      <c r="M1282" s="52"/>
      <c r="N1282" s="52">
        <v>10</v>
      </c>
      <c r="O1282" s="107" t="s">
        <v>3402</v>
      </c>
      <c r="P1282" s="52" t="s">
        <v>46</v>
      </c>
      <c r="Q1282" s="107" t="s">
        <v>4147</v>
      </c>
      <c r="R1282" s="107">
        <v>16</v>
      </c>
      <c r="S1282" s="107" t="s">
        <v>3909</v>
      </c>
      <c r="T1282" s="239">
        <v>25.29</v>
      </c>
      <c r="U1282" s="107">
        <v>1</v>
      </c>
      <c r="V1282" s="58">
        <f t="shared" ref="V1282:V1345" si="90">R1282*T1282*U1282</f>
        <v>404.64</v>
      </c>
      <c r="W1282" s="52" t="s">
        <v>49</v>
      </c>
      <c r="X1282" s="107" t="s">
        <v>5054</v>
      </c>
      <c r="Y1282" s="304" t="s">
        <v>5071</v>
      </c>
      <c r="Z1282" s="304" t="s">
        <v>5040</v>
      </c>
      <c r="AA1282" s="52">
        <v>0</v>
      </c>
      <c r="AB1282" s="52">
        <v>0</v>
      </c>
      <c r="AC1282" s="52">
        <v>0</v>
      </c>
      <c r="AD1282" s="21">
        <v>0.68827656736675979</v>
      </c>
      <c r="AE1282" s="54">
        <v>0.68827656736675979</v>
      </c>
      <c r="AF1282" s="315">
        <f t="shared" si="89"/>
        <v>278.50423021928566</v>
      </c>
    </row>
    <row r="1283" spans="1:32" ht="240" x14ac:dyDescent="0.25">
      <c r="A1283" s="107" t="s">
        <v>588</v>
      </c>
      <c r="B1283" s="107" t="s">
        <v>2271</v>
      </c>
      <c r="C1283" s="52"/>
      <c r="D1283" s="107" t="s">
        <v>2302</v>
      </c>
      <c r="E1283" s="22" t="str">
        <f t="shared" ref="E1283:E1346" si="91">CONCATENATE(A1283,"PROG")</f>
        <v>SEJUSPPROG</v>
      </c>
      <c r="F1283" s="122" t="s">
        <v>886</v>
      </c>
      <c r="G1283" s="22" t="str">
        <f t="shared" si="88"/>
        <v>P146SEJUSP</v>
      </c>
      <c r="H1283" s="107" t="s">
        <v>2307</v>
      </c>
      <c r="I1283" s="22" t="s">
        <v>16</v>
      </c>
      <c r="J1283" s="107" t="s">
        <v>2135</v>
      </c>
      <c r="K1283" s="22" t="str">
        <f>VLOOKUP(CONCATENATE(A1283,LEFT(J1283,4)),AGRUPAMENTO!$D$2:$E$6783,2,FALSE)</f>
        <v>Material de consumo</v>
      </c>
      <c r="L1283" s="107" t="s">
        <v>44</v>
      </c>
      <c r="M1283" s="52"/>
      <c r="N1283" s="52">
        <v>10</v>
      </c>
      <c r="O1283" s="107" t="s">
        <v>3403</v>
      </c>
      <c r="P1283" s="52" t="s">
        <v>46</v>
      </c>
      <c r="Q1283" s="107" t="s">
        <v>3872</v>
      </c>
      <c r="R1283" s="107">
        <v>19</v>
      </c>
      <c r="S1283" s="107" t="s">
        <v>3909</v>
      </c>
      <c r="T1283" s="239" t="s">
        <v>4148</v>
      </c>
      <c r="U1283" s="107">
        <v>1</v>
      </c>
      <c r="V1283" s="58">
        <f t="shared" si="90"/>
        <v>644.1</v>
      </c>
      <c r="W1283" s="52" t="s">
        <v>49</v>
      </c>
      <c r="X1283" s="107" t="s">
        <v>5043</v>
      </c>
      <c r="Y1283" s="304" t="s">
        <v>5045</v>
      </c>
      <c r="Z1283" s="304" t="s">
        <v>5040</v>
      </c>
      <c r="AA1283" s="52">
        <v>0</v>
      </c>
      <c r="AB1283" s="52">
        <v>0</v>
      </c>
      <c r="AC1283" s="52">
        <v>0</v>
      </c>
      <c r="AD1283" s="21">
        <v>0.66843255889259856</v>
      </c>
      <c r="AE1283" s="54">
        <v>0.66843255889259856</v>
      </c>
      <c r="AF1283" s="315">
        <f t="shared" si="89"/>
        <v>430.53741118272274</v>
      </c>
    </row>
    <row r="1284" spans="1:32" ht="195" x14ac:dyDescent="0.25">
      <c r="A1284" s="107" t="s">
        <v>588</v>
      </c>
      <c r="B1284" s="107" t="s">
        <v>2271</v>
      </c>
      <c r="C1284" s="52"/>
      <c r="D1284" s="107" t="s">
        <v>2302</v>
      </c>
      <c r="E1284" s="22" t="str">
        <f t="shared" si="91"/>
        <v>SEJUSPPROG</v>
      </c>
      <c r="F1284" s="122" t="s">
        <v>886</v>
      </c>
      <c r="G1284" s="22" t="str">
        <f t="shared" ref="G1284:G1347" si="92">CONCATENATE("P",(LEFT(F1284,3)),A1284)</f>
        <v>P146SEJUSP</v>
      </c>
      <c r="H1284" s="107" t="s">
        <v>2307</v>
      </c>
      <c r="I1284" s="22" t="s">
        <v>16</v>
      </c>
      <c r="J1284" s="92" t="s">
        <v>1713</v>
      </c>
      <c r="K1284" s="22" t="str">
        <f>VLOOKUP(CONCATENATE(A1284,LEFT(J1284,4)),AGRUPAMENTO!$D$2:$E$6783,2,FALSE)</f>
        <v>Serviços de saúde e medicamentos</v>
      </c>
      <c r="L1284" s="52" t="s">
        <v>94</v>
      </c>
      <c r="M1284" s="52"/>
      <c r="N1284" s="52">
        <v>10</v>
      </c>
      <c r="O1284" s="107" t="s">
        <v>3404</v>
      </c>
      <c r="P1284" s="52" t="s">
        <v>46</v>
      </c>
      <c r="Q1284" s="107" t="s">
        <v>3872</v>
      </c>
      <c r="R1284" s="107">
        <v>9</v>
      </c>
      <c r="S1284" s="107" t="s">
        <v>3909</v>
      </c>
      <c r="T1284" s="239" t="s">
        <v>4149</v>
      </c>
      <c r="U1284" s="107">
        <v>1</v>
      </c>
      <c r="V1284" s="58">
        <f t="shared" si="90"/>
        <v>98.100000000000009</v>
      </c>
      <c r="W1284" s="52" t="s">
        <v>49</v>
      </c>
      <c r="X1284" s="107" t="s">
        <v>5074</v>
      </c>
      <c r="Y1284" s="304" t="s">
        <v>5075</v>
      </c>
      <c r="Z1284" s="304" t="s">
        <v>5076</v>
      </c>
      <c r="AA1284" s="52">
        <v>0</v>
      </c>
      <c r="AB1284" s="52">
        <v>0</v>
      </c>
      <c r="AC1284" s="52">
        <v>0</v>
      </c>
      <c r="AD1284" s="21">
        <v>1</v>
      </c>
      <c r="AE1284" s="54">
        <v>1</v>
      </c>
      <c r="AF1284" s="315">
        <f t="shared" ref="AF1284:AF1347" si="93">AE1284*V1284</f>
        <v>98.100000000000009</v>
      </c>
    </row>
    <row r="1285" spans="1:32" ht="195" x14ac:dyDescent="0.25">
      <c r="A1285" s="107" t="s">
        <v>588</v>
      </c>
      <c r="B1285" s="107" t="s">
        <v>2271</v>
      </c>
      <c r="C1285" s="52"/>
      <c r="D1285" s="107" t="s">
        <v>2302</v>
      </c>
      <c r="E1285" s="22" t="str">
        <f t="shared" si="91"/>
        <v>SEJUSPPROG</v>
      </c>
      <c r="F1285" s="122" t="s">
        <v>886</v>
      </c>
      <c r="G1285" s="22" t="str">
        <f t="shared" si="92"/>
        <v>P146SEJUSP</v>
      </c>
      <c r="H1285" s="107" t="s">
        <v>2307</v>
      </c>
      <c r="I1285" s="22" t="s">
        <v>16</v>
      </c>
      <c r="J1285" s="92" t="s">
        <v>1713</v>
      </c>
      <c r="K1285" s="22" t="str">
        <f>VLOOKUP(CONCATENATE(A1285,LEFT(J1285,4)),AGRUPAMENTO!$D$2:$E$6783,2,FALSE)</f>
        <v>Serviços de saúde e medicamentos</v>
      </c>
      <c r="L1285" s="52" t="s">
        <v>94</v>
      </c>
      <c r="M1285" s="52"/>
      <c r="N1285" s="52">
        <v>10</v>
      </c>
      <c r="O1285" s="107" t="s">
        <v>3405</v>
      </c>
      <c r="P1285" s="52" t="s">
        <v>46</v>
      </c>
      <c r="Q1285" s="107" t="s">
        <v>3872</v>
      </c>
      <c r="R1285" s="107">
        <v>1</v>
      </c>
      <c r="S1285" s="107" t="s">
        <v>3909</v>
      </c>
      <c r="T1285" s="239">
        <v>4.84</v>
      </c>
      <c r="U1285" s="107">
        <v>1</v>
      </c>
      <c r="V1285" s="58">
        <f t="shared" si="90"/>
        <v>4.84</v>
      </c>
      <c r="W1285" s="52" t="s">
        <v>49</v>
      </c>
      <c r="X1285" s="107" t="s">
        <v>5074</v>
      </c>
      <c r="Y1285" s="304" t="s">
        <v>5075</v>
      </c>
      <c r="Z1285" s="304" t="s">
        <v>5076</v>
      </c>
      <c r="AA1285" s="52">
        <v>0</v>
      </c>
      <c r="AB1285" s="52">
        <v>0</v>
      </c>
      <c r="AC1285" s="52">
        <v>0</v>
      </c>
      <c r="AD1285" s="21">
        <v>1</v>
      </c>
      <c r="AE1285" s="54">
        <v>1</v>
      </c>
      <c r="AF1285" s="315">
        <f t="shared" si="93"/>
        <v>4.84</v>
      </c>
    </row>
    <row r="1286" spans="1:32" ht="195" x14ac:dyDescent="0.25">
      <c r="A1286" s="107" t="s">
        <v>588</v>
      </c>
      <c r="B1286" s="107" t="s">
        <v>2271</v>
      </c>
      <c r="C1286" s="52"/>
      <c r="D1286" s="107" t="s">
        <v>2302</v>
      </c>
      <c r="E1286" s="22" t="str">
        <f t="shared" si="91"/>
        <v>SEJUSPPROG</v>
      </c>
      <c r="F1286" s="122" t="s">
        <v>886</v>
      </c>
      <c r="G1286" s="22" t="str">
        <f t="shared" si="92"/>
        <v>P146SEJUSP</v>
      </c>
      <c r="H1286" s="107" t="s">
        <v>2307</v>
      </c>
      <c r="I1286" s="22" t="s">
        <v>16</v>
      </c>
      <c r="J1286" s="92" t="s">
        <v>1713</v>
      </c>
      <c r="K1286" s="22" t="str">
        <f>VLOOKUP(CONCATENATE(A1286,LEFT(J1286,4)),AGRUPAMENTO!$D$2:$E$6783,2,FALSE)</f>
        <v>Serviços de saúde e medicamentos</v>
      </c>
      <c r="L1286" s="52" t="s">
        <v>94</v>
      </c>
      <c r="M1286" s="52"/>
      <c r="N1286" s="52">
        <v>10</v>
      </c>
      <c r="O1286" s="107" t="s">
        <v>3406</v>
      </c>
      <c r="P1286" s="52" t="s">
        <v>46</v>
      </c>
      <c r="Q1286" s="107" t="s">
        <v>3872</v>
      </c>
      <c r="R1286" s="107">
        <v>3</v>
      </c>
      <c r="S1286" s="107" t="s">
        <v>3909</v>
      </c>
      <c r="T1286" s="239">
        <v>7.2</v>
      </c>
      <c r="U1286" s="107">
        <v>1</v>
      </c>
      <c r="V1286" s="58">
        <f t="shared" si="90"/>
        <v>21.6</v>
      </c>
      <c r="W1286" s="52" t="s">
        <v>49</v>
      </c>
      <c r="X1286" s="107" t="s">
        <v>5074</v>
      </c>
      <c r="Y1286" s="304" t="s">
        <v>5075</v>
      </c>
      <c r="Z1286" s="304" t="s">
        <v>5076</v>
      </c>
      <c r="AA1286" s="52">
        <v>0</v>
      </c>
      <c r="AB1286" s="52">
        <v>0</v>
      </c>
      <c r="AC1286" s="52">
        <v>0</v>
      </c>
      <c r="AD1286" s="21">
        <v>1</v>
      </c>
      <c r="AE1286" s="54">
        <v>1</v>
      </c>
      <c r="AF1286" s="315">
        <f t="shared" si="93"/>
        <v>21.6</v>
      </c>
    </row>
    <row r="1287" spans="1:32" ht="195" x14ac:dyDescent="0.25">
      <c r="A1287" s="107" t="s">
        <v>588</v>
      </c>
      <c r="B1287" s="107" t="s">
        <v>2271</v>
      </c>
      <c r="C1287" s="52"/>
      <c r="D1287" s="107" t="s">
        <v>2302</v>
      </c>
      <c r="E1287" s="22" t="str">
        <f t="shared" si="91"/>
        <v>SEJUSPPROG</v>
      </c>
      <c r="F1287" s="122" t="s">
        <v>886</v>
      </c>
      <c r="G1287" s="22" t="str">
        <f t="shared" si="92"/>
        <v>P146SEJUSP</v>
      </c>
      <c r="H1287" s="107" t="s">
        <v>2307</v>
      </c>
      <c r="I1287" s="22" t="s">
        <v>16</v>
      </c>
      <c r="J1287" s="92" t="s">
        <v>1713</v>
      </c>
      <c r="K1287" s="22" t="str">
        <f>VLOOKUP(CONCATENATE(A1287,LEFT(J1287,4)),AGRUPAMENTO!$D$2:$E$6783,2,FALSE)</f>
        <v>Serviços de saúde e medicamentos</v>
      </c>
      <c r="L1287" s="52" t="s">
        <v>94</v>
      </c>
      <c r="M1287" s="52"/>
      <c r="N1287" s="52">
        <v>10</v>
      </c>
      <c r="O1287" s="107" t="s">
        <v>3407</v>
      </c>
      <c r="P1287" s="52" t="s">
        <v>46</v>
      </c>
      <c r="Q1287" s="107" t="s">
        <v>3872</v>
      </c>
      <c r="R1287" s="107">
        <v>2</v>
      </c>
      <c r="S1287" s="107" t="s">
        <v>3909</v>
      </c>
      <c r="T1287" s="239">
        <v>15.9</v>
      </c>
      <c r="U1287" s="107">
        <v>1</v>
      </c>
      <c r="V1287" s="58">
        <f t="shared" si="90"/>
        <v>31.8</v>
      </c>
      <c r="W1287" s="52" t="s">
        <v>49</v>
      </c>
      <c r="X1287" s="107" t="s">
        <v>5074</v>
      </c>
      <c r="Y1287" s="304" t="s">
        <v>5075</v>
      </c>
      <c r="Z1287" s="304" t="s">
        <v>5076</v>
      </c>
      <c r="AA1287" s="52">
        <v>0</v>
      </c>
      <c r="AB1287" s="52">
        <v>0</v>
      </c>
      <c r="AC1287" s="52">
        <v>0</v>
      </c>
      <c r="AD1287" s="21">
        <v>1</v>
      </c>
      <c r="AE1287" s="54">
        <v>1</v>
      </c>
      <c r="AF1287" s="315">
        <f t="shared" si="93"/>
        <v>31.8</v>
      </c>
    </row>
    <row r="1288" spans="1:32" ht="195" x14ac:dyDescent="0.25">
      <c r="A1288" s="107" t="s">
        <v>588</v>
      </c>
      <c r="B1288" s="107" t="s">
        <v>2271</v>
      </c>
      <c r="C1288" s="52"/>
      <c r="D1288" s="107" t="s">
        <v>2302</v>
      </c>
      <c r="E1288" s="22" t="str">
        <f t="shared" si="91"/>
        <v>SEJUSPPROG</v>
      </c>
      <c r="F1288" s="122" t="s">
        <v>886</v>
      </c>
      <c r="G1288" s="22" t="str">
        <f t="shared" si="92"/>
        <v>P146SEJUSP</v>
      </c>
      <c r="H1288" s="107" t="s">
        <v>2307</v>
      </c>
      <c r="I1288" s="22" t="s">
        <v>16</v>
      </c>
      <c r="J1288" s="92" t="s">
        <v>1713</v>
      </c>
      <c r="K1288" s="22" t="str">
        <f>VLOOKUP(CONCATENATE(A1288,LEFT(J1288,4)),AGRUPAMENTO!$D$2:$E$6783,2,FALSE)</f>
        <v>Serviços de saúde e medicamentos</v>
      </c>
      <c r="L1288" s="52" t="s">
        <v>94</v>
      </c>
      <c r="M1288" s="52"/>
      <c r="N1288" s="52">
        <v>10</v>
      </c>
      <c r="O1288" s="107" t="s">
        <v>3408</v>
      </c>
      <c r="P1288" s="52" t="s">
        <v>46</v>
      </c>
      <c r="Q1288" s="107" t="s">
        <v>3872</v>
      </c>
      <c r="R1288" s="107">
        <v>2</v>
      </c>
      <c r="S1288" s="107" t="s">
        <v>3909</v>
      </c>
      <c r="T1288" s="239">
        <v>43.8</v>
      </c>
      <c r="U1288" s="107">
        <v>1</v>
      </c>
      <c r="V1288" s="58">
        <f t="shared" si="90"/>
        <v>87.6</v>
      </c>
      <c r="W1288" s="52" t="s">
        <v>49</v>
      </c>
      <c r="X1288" s="107" t="s">
        <v>5074</v>
      </c>
      <c r="Y1288" s="304" t="s">
        <v>5075</v>
      </c>
      <c r="Z1288" s="304" t="s">
        <v>5076</v>
      </c>
      <c r="AA1288" s="52">
        <v>0</v>
      </c>
      <c r="AB1288" s="52">
        <v>0</v>
      </c>
      <c r="AC1288" s="52">
        <v>0</v>
      </c>
      <c r="AD1288" s="21">
        <v>1</v>
      </c>
      <c r="AE1288" s="54">
        <v>1</v>
      </c>
      <c r="AF1288" s="315">
        <f t="shared" si="93"/>
        <v>87.6</v>
      </c>
    </row>
    <row r="1289" spans="1:32" ht="195" x14ac:dyDescent="0.25">
      <c r="A1289" s="107" t="s">
        <v>588</v>
      </c>
      <c r="B1289" s="107" t="s">
        <v>2271</v>
      </c>
      <c r="C1289" s="52"/>
      <c r="D1289" s="107" t="s">
        <v>2302</v>
      </c>
      <c r="E1289" s="22" t="str">
        <f t="shared" si="91"/>
        <v>SEJUSPPROG</v>
      </c>
      <c r="F1289" s="122" t="s">
        <v>886</v>
      </c>
      <c r="G1289" s="22" t="str">
        <f t="shared" si="92"/>
        <v>P146SEJUSP</v>
      </c>
      <c r="H1289" s="107" t="s">
        <v>2307</v>
      </c>
      <c r="I1289" s="22" t="s">
        <v>16</v>
      </c>
      <c r="J1289" s="92" t="s">
        <v>1713</v>
      </c>
      <c r="K1289" s="22" t="str">
        <f>VLOOKUP(CONCATENATE(A1289,LEFT(J1289,4)),AGRUPAMENTO!$D$2:$E$6783,2,FALSE)</f>
        <v>Serviços de saúde e medicamentos</v>
      </c>
      <c r="L1289" s="52" t="s">
        <v>94</v>
      </c>
      <c r="M1289" s="52"/>
      <c r="N1289" s="52">
        <v>10</v>
      </c>
      <c r="O1289" s="107" t="s">
        <v>3409</v>
      </c>
      <c r="P1289" s="52" t="s">
        <v>46</v>
      </c>
      <c r="Q1289" s="107" t="s">
        <v>3872</v>
      </c>
      <c r="R1289" s="107">
        <v>2</v>
      </c>
      <c r="S1289" s="107" t="s">
        <v>3909</v>
      </c>
      <c r="T1289" s="239">
        <v>44.9</v>
      </c>
      <c r="U1289" s="107">
        <v>1</v>
      </c>
      <c r="V1289" s="58">
        <f t="shared" si="90"/>
        <v>89.8</v>
      </c>
      <c r="W1289" s="52" t="s">
        <v>49</v>
      </c>
      <c r="X1289" s="107" t="s">
        <v>5074</v>
      </c>
      <c r="Y1289" s="304" t="s">
        <v>5075</v>
      </c>
      <c r="Z1289" s="304" t="s">
        <v>5076</v>
      </c>
      <c r="AA1289" s="52">
        <v>0</v>
      </c>
      <c r="AB1289" s="52">
        <v>0</v>
      </c>
      <c r="AC1289" s="52">
        <v>0</v>
      </c>
      <c r="AD1289" s="21">
        <v>1</v>
      </c>
      <c r="AE1289" s="54">
        <v>1</v>
      </c>
      <c r="AF1289" s="315">
        <f t="shared" si="93"/>
        <v>89.8</v>
      </c>
    </row>
    <row r="1290" spans="1:32" ht="195" x14ac:dyDescent="0.25">
      <c r="A1290" s="107" t="s">
        <v>588</v>
      </c>
      <c r="B1290" s="107" t="s">
        <v>2271</v>
      </c>
      <c r="C1290" s="52"/>
      <c r="D1290" s="107" t="s">
        <v>2302</v>
      </c>
      <c r="E1290" s="22" t="str">
        <f t="shared" si="91"/>
        <v>SEJUSPPROG</v>
      </c>
      <c r="F1290" s="122" t="s">
        <v>886</v>
      </c>
      <c r="G1290" s="22" t="str">
        <f t="shared" si="92"/>
        <v>P146SEJUSP</v>
      </c>
      <c r="H1290" s="107" t="s">
        <v>2307</v>
      </c>
      <c r="I1290" s="22" t="s">
        <v>16</v>
      </c>
      <c r="J1290" s="107" t="s">
        <v>2135</v>
      </c>
      <c r="K1290" s="22" t="str">
        <f>VLOOKUP(CONCATENATE(A1290,LEFT(J1290,4)),AGRUPAMENTO!$D$2:$E$6783,2,FALSE)</f>
        <v>Material de consumo</v>
      </c>
      <c r="L1290" s="107" t="s">
        <v>44</v>
      </c>
      <c r="M1290" s="52"/>
      <c r="N1290" s="52">
        <v>10</v>
      </c>
      <c r="O1290" s="107" t="s">
        <v>3410</v>
      </c>
      <c r="P1290" s="52" t="s">
        <v>46</v>
      </c>
      <c r="Q1290" s="107" t="s">
        <v>3872</v>
      </c>
      <c r="R1290" s="107">
        <v>2</v>
      </c>
      <c r="S1290" s="107" t="s">
        <v>3909</v>
      </c>
      <c r="T1290" s="239">
        <v>44.9</v>
      </c>
      <c r="U1290" s="107">
        <v>1</v>
      </c>
      <c r="V1290" s="58">
        <f t="shared" si="90"/>
        <v>89.8</v>
      </c>
      <c r="W1290" s="52" t="s">
        <v>49</v>
      </c>
      <c r="X1290" s="107" t="s">
        <v>5074</v>
      </c>
      <c r="Y1290" s="304" t="s">
        <v>5075</v>
      </c>
      <c r="Z1290" s="304" t="s">
        <v>5076</v>
      </c>
      <c r="AA1290" s="52">
        <v>0</v>
      </c>
      <c r="AB1290" s="52">
        <v>0</v>
      </c>
      <c r="AC1290" s="52">
        <v>0</v>
      </c>
      <c r="AD1290" s="21">
        <v>0.66843255889259856</v>
      </c>
      <c r="AE1290" s="54">
        <v>0.66843255889259856</v>
      </c>
      <c r="AF1290" s="315">
        <f t="shared" si="93"/>
        <v>60.02524378855535</v>
      </c>
    </row>
    <row r="1291" spans="1:32" ht="195" x14ac:dyDescent="0.25">
      <c r="A1291" s="107" t="s">
        <v>588</v>
      </c>
      <c r="B1291" s="107" t="s">
        <v>2271</v>
      </c>
      <c r="C1291" s="52"/>
      <c r="D1291" s="107" t="s">
        <v>2302</v>
      </c>
      <c r="E1291" s="22" t="str">
        <f t="shared" si="91"/>
        <v>SEJUSPPROG</v>
      </c>
      <c r="F1291" s="122" t="s">
        <v>886</v>
      </c>
      <c r="G1291" s="22" t="str">
        <f t="shared" si="92"/>
        <v>P146SEJUSP</v>
      </c>
      <c r="H1291" s="107" t="s">
        <v>2307</v>
      </c>
      <c r="I1291" s="22" t="s">
        <v>16</v>
      </c>
      <c r="J1291" s="92" t="s">
        <v>1713</v>
      </c>
      <c r="K1291" s="22" t="str">
        <f>VLOOKUP(CONCATENATE(A1291,LEFT(J1291,4)),AGRUPAMENTO!$D$2:$E$6783,2,FALSE)</f>
        <v>Serviços de saúde e medicamentos</v>
      </c>
      <c r="L1291" s="52" t="s">
        <v>94</v>
      </c>
      <c r="M1291" s="52"/>
      <c r="N1291" s="52">
        <v>10</v>
      </c>
      <c r="O1291" s="107" t="s">
        <v>3411</v>
      </c>
      <c r="P1291" s="52" t="s">
        <v>46</v>
      </c>
      <c r="Q1291" s="107" t="s">
        <v>3872</v>
      </c>
      <c r="R1291" s="107">
        <v>1</v>
      </c>
      <c r="S1291" s="107" t="s">
        <v>3909</v>
      </c>
      <c r="T1291" s="239">
        <v>108.9</v>
      </c>
      <c r="U1291" s="107">
        <v>1</v>
      </c>
      <c r="V1291" s="58">
        <f t="shared" si="90"/>
        <v>108.9</v>
      </c>
      <c r="W1291" s="52" t="s">
        <v>49</v>
      </c>
      <c r="X1291" s="107" t="s">
        <v>5074</v>
      </c>
      <c r="Y1291" s="304" t="s">
        <v>5075</v>
      </c>
      <c r="Z1291" s="304" t="s">
        <v>5076</v>
      </c>
      <c r="AA1291" s="52">
        <v>0</v>
      </c>
      <c r="AB1291" s="52">
        <v>0</v>
      </c>
      <c r="AC1291" s="52">
        <v>0</v>
      </c>
      <c r="AD1291" s="21">
        <v>1</v>
      </c>
      <c r="AE1291" s="54">
        <v>1</v>
      </c>
      <c r="AF1291" s="315">
        <f t="shared" si="93"/>
        <v>108.9</v>
      </c>
    </row>
    <row r="1292" spans="1:32" ht="195" x14ac:dyDescent="0.25">
      <c r="A1292" s="107" t="s">
        <v>588</v>
      </c>
      <c r="B1292" s="107" t="s">
        <v>2271</v>
      </c>
      <c r="C1292" s="52"/>
      <c r="D1292" s="107" t="s">
        <v>2302</v>
      </c>
      <c r="E1292" s="22" t="str">
        <f t="shared" si="91"/>
        <v>SEJUSPPROG</v>
      </c>
      <c r="F1292" s="122" t="s">
        <v>886</v>
      </c>
      <c r="G1292" s="22" t="str">
        <f t="shared" si="92"/>
        <v>P146SEJUSP</v>
      </c>
      <c r="H1292" s="107" t="s">
        <v>2307</v>
      </c>
      <c r="I1292" s="22" t="s">
        <v>16</v>
      </c>
      <c r="J1292" s="92" t="s">
        <v>1713</v>
      </c>
      <c r="K1292" s="22" t="str">
        <f>VLOOKUP(CONCATENATE(A1292,LEFT(J1292,4)),AGRUPAMENTO!$D$2:$E$6783,2,FALSE)</f>
        <v>Serviços de saúde e medicamentos</v>
      </c>
      <c r="L1292" s="52" t="s">
        <v>94</v>
      </c>
      <c r="M1292" s="52"/>
      <c r="N1292" s="52">
        <v>10</v>
      </c>
      <c r="O1292" s="107" t="s">
        <v>3412</v>
      </c>
      <c r="P1292" s="52" t="s">
        <v>46</v>
      </c>
      <c r="Q1292" s="107" t="s">
        <v>3872</v>
      </c>
      <c r="R1292" s="107">
        <v>2</v>
      </c>
      <c r="S1292" s="107" t="s">
        <v>3909</v>
      </c>
      <c r="T1292" s="239">
        <v>107.5</v>
      </c>
      <c r="U1292" s="107">
        <v>1</v>
      </c>
      <c r="V1292" s="58">
        <f t="shared" si="90"/>
        <v>215</v>
      </c>
      <c r="W1292" s="52" t="s">
        <v>49</v>
      </c>
      <c r="X1292" s="107" t="s">
        <v>5074</v>
      </c>
      <c r="Y1292" s="304" t="s">
        <v>5075</v>
      </c>
      <c r="Z1292" s="304" t="s">
        <v>5076</v>
      </c>
      <c r="AA1292" s="52">
        <v>0</v>
      </c>
      <c r="AB1292" s="52">
        <v>0</v>
      </c>
      <c r="AC1292" s="52">
        <v>0</v>
      </c>
      <c r="AD1292" s="21">
        <v>1</v>
      </c>
      <c r="AE1292" s="54">
        <v>1</v>
      </c>
      <c r="AF1292" s="315">
        <f t="shared" si="93"/>
        <v>215</v>
      </c>
    </row>
    <row r="1293" spans="1:32" ht="195" x14ac:dyDescent="0.25">
      <c r="A1293" s="107" t="s">
        <v>588</v>
      </c>
      <c r="B1293" s="107" t="s">
        <v>2271</v>
      </c>
      <c r="C1293" s="52"/>
      <c r="D1293" s="107" t="s">
        <v>2302</v>
      </c>
      <c r="E1293" s="22" t="str">
        <f t="shared" si="91"/>
        <v>SEJUSPPROG</v>
      </c>
      <c r="F1293" s="122" t="s">
        <v>886</v>
      </c>
      <c r="G1293" s="22" t="str">
        <f t="shared" si="92"/>
        <v>P146SEJUSP</v>
      </c>
      <c r="H1293" s="107" t="s">
        <v>2307</v>
      </c>
      <c r="I1293" s="22" t="s">
        <v>16</v>
      </c>
      <c r="J1293" s="92" t="s">
        <v>1713</v>
      </c>
      <c r="K1293" s="22" t="str">
        <f>VLOOKUP(CONCATENATE(A1293,LEFT(J1293,4)),AGRUPAMENTO!$D$2:$E$6783,2,FALSE)</f>
        <v>Serviços de saúde e medicamentos</v>
      </c>
      <c r="L1293" s="52" t="s">
        <v>94</v>
      </c>
      <c r="M1293" s="52"/>
      <c r="N1293" s="52">
        <v>10</v>
      </c>
      <c r="O1293" s="107" t="s">
        <v>3413</v>
      </c>
      <c r="P1293" s="52" t="s">
        <v>46</v>
      </c>
      <c r="Q1293" s="107" t="s">
        <v>3872</v>
      </c>
      <c r="R1293" s="107">
        <v>7</v>
      </c>
      <c r="S1293" s="107" t="s">
        <v>3909</v>
      </c>
      <c r="T1293" s="239">
        <v>164.9</v>
      </c>
      <c r="U1293" s="107">
        <v>1</v>
      </c>
      <c r="V1293" s="58">
        <f t="shared" si="90"/>
        <v>1154.3</v>
      </c>
      <c r="W1293" s="52" t="s">
        <v>49</v>
      </c>
      <c r="X1293" s="107" t="s">
        <v>5074</v>
      </c>
      <c r="Y1293" s="304" t="s">
        <v>5075</v>
      </c>
      <c r="Z1293" s="304" t="s">
        <v>5076</v>
      </c>
      <c r="AA1293" s="52">
        <v>0</v>
      </c>
      <c r="AB1293" s="52">
        <v>0</v>
      </c>
      <c r="AC1293" s="52">
        <v>0</v>
      </c>
      <c r="AD1293" s="21">
        <v>1</v>
      </c>
      <c r="AE1293" s="54">
        <v>1</v>
      </c>
      <c r="AF1293" s="315">
        <f t="shared" si="93"/>
        <v>1154.3</v>
      </c>
    </row>
    <row r="1294" spans="1:32" ht="195" x14ac:dyDescent="0.25">
      <c r="A1294" s="107" t="s">
        <v>588</v>
      </c>
      <c r="B1294" s="107" t="s">
        <v>2271</v>
      </c>
      <c r="C1294" s="52"/>
      <c r="D1294" s="107" t="s">
        <v>2302</v>
      </c>
      <c r="E1294" s="22" t="str">
        <f t="shared" si="91"/>
        <v>SEJUSPPROG</v>
      </c>
      <c r="F1294" s="122" t="s">
        <v>886</v>
      </c>
      <c r="G1294" s="22" t="str">
        <f t="shared" si="92"/>
        <v>P146SEJUSP</v>
      </c>
      <c r="H1294" s="107" t="s">
        <v>2307</v>
      </c>
      <c r="I1294" s="22" t="s">
        <v>16</v>
      </c>
      <c r="J1294" s="92" t="s">
        <v>1713</v>
      </c>
      <c r="K1294" s="22" t="str">
        <f>VLOOKUP(CONCATENATE(A1294,LEFT(J1294,4)),AGRUPAMENTO!$D$2:$E$6783,2,FALSE)</f>
        <v>Serviços de saúde e medicamentos</v>
      </c>
      <c r="L1294" s="52" t="s">
        <v>94</v>
      </c>
      <c r="M1294" s="52"/>
      <c r="N1294" s="52">
        <v>10</v>
      </c>
      <c r="O1294" s="107" t="s">
        <v>3414</v>
      </c>
      <c r="P1294" s="52" t="s">
        <v>46</v>
      </c>
      <c r="Q1294" s="107" t="s">
        <v>3872</v>
      </c>
      <c r="R1294" s="107">
        <v>2</v>
      </c>
      <c r="S1294" s="107" t="s">
        <v>3909</v>
      </c>
      <c r="T1294" s="239">
        <v>759.9</v>
      </c>
      <c r="U1294" s="107">
        <v>1</v>
      </c>
      <c r="V1294" s="58">
        <f t="shared" si="90"/>
        <v>1519.8</v>
      </c>
      <c r="W1294" s="52" t="s">
        <v>49</v>
      </c>
      <c r="X1294" s="107" t="s">
        <v>5074</v>
      </c>
      <c r="Y1294" s="304" t="s">
        <v>5075</v>
      </c>
      <c r="Z1294" s="304" t="s">
        <v>5076</v>
      </c>
      <c r="AA1294" s="52">
        <v>0</v>
      </c>
      <c r="AB1294" s="52">
        <v>0</v>
      </c>
      <c r="AC1294" s="52">
        <v>0</v>
      </c>
      <c r="AD1294" s="21">
        <v>1</v>
      </c>
      <c r="AE1294" s="54">
        <v>1</v>
      </c>
      <c r="AF1294" s="315">
        <f t="shared" si="93"/>
        <v>1519.8</v>
      </c>
    </row>
    <row r="1295" spans="1:32" ht="195" x14ac:dyDescent="0.25">
      <c r="A1295" s="107" t="s">
        <v>588</v>
      </c>
      <c r="B1295" s="107" t="s">
        <v>2271</v>
      </c>
      <c r="C1295" s="52"/>
      <c r="D1295" s="107" t="s">
        <v>2302</v>
      </c>
      <c r="E1295" s="22" t="str">
        <f t="shared" si="91"/>
        <v>SEJUSPPROG</v>
      </c>
      <c r="F1295" s="122" t="s">
        <v>886</v>
      </c>
      <c r="G1295" s="22" t="str">
        <f t="shared" si="92"/>
        <v>P146SEJUSP</v>
      </c>
      <c r="H1295" s="107" t="s">
        <v>2307</v>
      </c>
      <c r="I1295" s="22" t="s">
        <v>16</v>
      </c>
      <c r="J1295" s="92" t="s">
        <v>1713</v>
      </c>
      <c r="K1295" s="22" t="str">
        <f>VLOOKUP(CONCATENATE(A1295,LEFT(J1295,4)),AGRUPAMENTO!$D$2:$E$6783,2,FALSE)</f>
        <v>Serviços de saúde e medicamentos</v>
      </c>
      <c r="L1295" s="52" t="s">
        <v>94</v>
      </c>
      <c r="M1295" s="52"/>
      <c r="N1295" s="52">
        <v>10</v>
      </c>
      <c r="O1295" s="107" t="s">
        <v>3415</v>
      </c>
      <c r="P1295" s="52" t="s">
        <v>46</v>
      </c>
      <c r="Q1295" s="107" t="s">
        <v>3872</v>
      </c>
      <c r="R1295" s="107">
        <v>1</v>
      </c>
      <c r="S1295" s="107" t="s">
        <v>3909</v>
      </c>
      <c r="T1295" s="239">
        <v>3790.5</v>
      </c>
      <c r="U1295" s="107">
        <v>1</v>
      </c>
      <c r="V1295" s="58">
        <f t="shared" si="90"/>
        <v>3790.5</v>
      </c>
      <c r="W1295" s="52" t="s">
        <v>49</v>
      </c>
      <c r="X1295" s="107" t="s">
        <v>5074</v>
      </c>
      <c r="Y1295" s="304" t="s">
        <v>5075</v>
      </c>
      <c r="Z1295" s="304" t="s">
        <v>5076</v>
      </c>
      <c r="AA1295" s="52">
        <v>0</v>
      </c>
      <c r="AB1295" s="52">
        <v>0</v>
      </c>
      <c r="AC1295" s="52">
        <v>0</v>
      </c>
      <c r="AD1295" s="21">
        <v>1</v>
      </c>
      <c r="AE1295" s="54">
        <v>1</v>
      </c>
      <c r="AF1295" s="315">
        <f t="shared" si="93"/>
        <v>3790.5</v>
      </c>
    </row>
    <row r="1296" spans="1:32" ht="195" x14ac:dyDescent="0.25">
      <c r="A1296" s="107" t="s">
        <v>588</v>
      </c>
      <c r="B1296" s="107" t="s">
        <v>2271</v>
      </c>
      <c r="C1296" s="52"/>
      <c r="D1296" s="107" t="s">
        <v>2302</v>
      </c>
      <c r="E1296" s="22" t="str">
        <f t="shared" si="91"/>
        <v>SEJUSPPROG</v>
      </c>
      <c r="F1296" s="122" t="s">
        <v>886</v>
      </c>
      <c r="G1296" s="22" t="str">
        <f t="shared" si="92"/>
        <v>P146SEJUSP</v>
      </c>
      <c r="H1296" s="107" t="s">
        <v>2307</v>
      </c>
      <c r="I1296" s="22" t="s">
        <v>16</v>
      </c>
      <c r="J1296" s="92" t="s">
        <v>1713</v>
      </c>
      <c r="K1296" s="22" t="str">
        <f>VLOOKUP(CONCATENATE(A1296,LEFT(J1296,4)),AGRUPAMENTO!$D$2:$E$6783,2,FALSE)</f>
        <v>Serviços de saúde e medicamentos</v>
      </c>
      <c r="L1296" s="52" t="s">
        <v>94</v>
      </c>
      <c r="M1296" s="52"/>
      <c r="N1296" s="52">
        <v>10</v>
      </c>
      <c r="O1296" s="107" t="s">
        <v>3416</v>
      </c>
      <c r="P1296" s="52" t="s">
        <v>46</v>
      </c>
      <c r="Q1296" s="107" t="s">
        <v>3872</v>
      </c>
      <c r="R1296" s="107">
        <v>4</v>
      </c>
      <c r="S1296" s="107" t="s">
        <v>3909</v>
      </c>
      <c r="T1296" s="239">
        <v>29.9</v>
      </c>
      <c r="U1296" s="107">
        <v>1</v>
      </c>
      <c r="V1296" s="58">
        <f t="shared" si="90"/>
        <v>119.6</v>
      </c>
      <c r="W1296" s="52" t="s">
        <v>49</v>
      </c>
      <c r="X1296" s="107" t="s">
        <v>5074</v>
      </c>
      <c r="Y1296" s="304" t="s">
        <v>5075</v>
      </c>
      <c r="Z1296" s="304" t="s">
        <v>5076</v>
      </c>
      <c r="AA1296" s="52">
        <v>0</v>
      </c>
      <c r="AB1296" s="52">
        <v>0</v>
      </c>
      <c r="AC1296" s="52">
        <v>0</v>
      </c>
      <c r="AD1296" s="21">
        <v>1</v>
      </c>
      <c r="AE1296" s="54">
        <v>1</v>
      </c>
      <c r="AF1296" s="315">
        <f t="shared" si="93"/>
        <v>119.6</v>
      </c>
    </row>
    <row r="1297" spans="1:32" ht="409.5" x14ac:dyDescent="0.25">
      <c r="A1297" s="107" t="s">
        <v>588</v>
      </c>
      <c r="B1297" s="107" t="s">
        <v>2271</v>
      </c>
      <c r="C1297" s="52"/>
      <c r="D1297" s="107" t="s">
        <v>2302</v>
      </c>
      <c r="E1297" s="22" t="str">
        <f t="shared" si="91"/>
        <v>SEJUSPPROG</v>
      </c>
      <c r="F1297" s="122" t="s">
        <v>886</v>
      </c>
      <c r="G1297" s="22" t="str">
        <f t="shared" si="92"/>
        <v>P146SEJUSP</v>
      </c>
      <c r="H1297" s="107" t="s">
        <v>2307</v>
      </c>
      <c r="I1297" s="22" t="s">
        <v>16</v>
      </c>
      <c r="J1297" s="92" t="s">
        <v>1713</v>
      </c>
      <c r="K1297" s="22" t="str">
        <f>VLOOKUP(CONCATENATE(A1297,LEFT(J1297,4)),AGRUPAMENTO!$D$2:$E$6783,2,FALSE)</f>
        <v>Serviços de saúde e medicamentos</v>
      </c>
      <c r="L1297" s="52" t="s">
        <v>94</v>
      </c>
      <c r="M1297" s="52"/>
      <c r="N1297" s="52">
        <v>10</v>
      </c>
      <c r="O1297" s="107" t="s">
        <v>3417</v>
      </c>
      <c r="P1297" s="52" t="s">
        <v>46</v>
      </c>
      <c r="Q1297" s="107" t="s">
        <v>3872</v>
      </c>
      <c r="R1297" s="107">
        <v>6</v>
      </c>
      <c r="S1297" s="107" t="s">
        <v>3909</v>
      </c>
      <c r="T1297" s="239">
        <v>2639.12</v>
      </c>
      <c r="U1297" s="107">
        <v>1</v>
      </c>
      <c r="V1297" s="58">
        <f t="shared" si="90"/>
        <v>15834.72</v>
      </c>
      <c r="W1297" s="52" t="s">
        <v>49</v>
      </c>
      <c r="X1297" s="107" t="s">
        <v>5074</v>
      </c>
      <c r="Y1297" s="304" t="s">
        <v>5075</v>
      </c>
      <c r="Z1297" s="304" t="s">
        <v>5076</v>
      </c>
      <c r="AA1297" s="52">
        <v>0</v>
      </c>
      <c r="AB1297" s="52">
        <v>0</v>
      </c>
      <c r="AC1297" s="52">
        <v>0</v>
      </c>
      <c r="AD1297" s="21">
        <v>1</v>
      </c>
      <c r="AE1297" s="54">
        <v>1</v>
      </c>
      <c r="AF1297" s="315">
        <f t="shared" si="93"/>
        <v>15834.72</v>
      </c>
    </row>
    <row r="1298" spans="1:32" ht="240" x14ac:dyDescent="0.25">
      <c r="A1298" s="107" t="s">
        <v>588</v>
      </c>
      <c r="B1298" s="107" t="s">
        <v>2271</v>
      </c>
      <c r="C1298" s="52"/>
      <c r="D1298" s="107" t="s">
        <v>2302</v>
      </c>
      <c r="E1298" s="22" t="str">
        <f t="shared" si="91"/>
        <v>SEJUSPPROG</v>
      </c>
      <c r="F1298" s="122" t="s">
        <v>886</v>
      </c>
      <c r="G1298" s="22" t="str">
        <f t="shared" si="92"/>
        <v>P146SEJUSP</v>
      </c>
      <c r="H1298" s="107" t="s">
        <v>2307</v>
      </c>
      <c r="I1298" s="22" t="s">
        <v>16</v>
      </c>
      <c r="J1298" s="92" t="s">
        <v>1713</v>
      </c>
      <c r="K1298" s="22" t="str">
        <f>VLOOKUP(CONCATENATE(A1298,LEFT(J1298,4)),AGRUPAMENTO!$D$2:$E$6783,2,FALSE)</f>
        <v>Serviços de saúde e medicamentos</v>
      </c>
      <c r="L1298" s="52" t="s">
        <v>94</v>
      </c>
      <c r="M1298" s="52"/>
      <c r="N1298" s="52">
        <v>10</v>
      </c>
      <c r="O1298" s="107" t="s">
        <v>3418</v>
      </c>
      <c r="P1298" s="52" t="s">
        <v>46</v>
      </c>
      <c r="Q1298" s="107" t="s">
        <v>3872</v>
      </c>
      <c r="R1298" s="107">
        <v>4</v>
      </c>
      <c r="S1298" s="107" t="s">
        <v>3909</v>
      </c>
      <c r="T1298" s="239">
        <v>601.4</v>
      </c>
      <c r="U1298" s="107">
        <v>1</v>
      </c>
      <c r="V1298" s="58">
        <f t="shared" si="90"/>
        <v>2405.6</v>
      </c>
      <c r="W1298" s="52" t="s">
        <v>49</v>
      </c>
      <c r="X1298" s="107" t="s">
        <v>5074</v>
      </c>
      <c r="Y1298" s="304" t="s">
        <v>5075</v>
      </c>
      <c r="Z1298" s="304" t="s">
        <v>5076</v>
      </c>
      <c r="AA1298" s="52">
        <v>0</v>
      </c>
      <c r="AB1298" s="52">
        <v>0</v>
      </c>
      <c r="AC1298" s="52">
        <v>0</v>
      </c>
      <c r="AD1298" s="21">
        <v>1</v>
      </c>
      <c r="AE1298" s="54">
        <v>1</v>
      </c>
      <c r="AF1298" s="315">
        <f t="shared" si="93"/>
        <v>2405.6</v>
      </c>
    </row>
    <row r="1299" spans="1:32" ht="195" x14ac:dyDescent="0.25">
      <c r="A1299" s="107" t="s">
        <v>588</v>
      </c>
      <c r="B1299" s="107" t="s">
        <v>2271</v>
      </c>
      <c r="C1299" s="52"/>
      <c r="D1299" s="107" t="s">
        <v>2302</v>
      </c>
      <c r="E1299" s="22" t="str">
        <f t="shared" si="91"/>
        <v>SEJUSPPROG</v>
      </c>
      <c r="F1299" s="122" t="s">
        <v>886</v>
      </c>
      <c r="G1299" s="22" t="str">
        <f t="shared" si="92"/>
        <v>P146SEJUSP</v>
      </c>
      <c r="H1299" s="107" t="s">
        <v>2307</v>
      </c>
      <c r="I1299" s="22" t="s">
        <v>16</v>
      </c>
      <c r="J1299" s="92" t="s">
        <v>1713</v>
      </c>
      <c r="K1299" s="22" t="str">
        <f>VLOOKUP(CONCATENATE(A1299,LEFT(J1299,4)),AGRUPAMENTO!$D$2:$E$6783,2,FALSE)</f>
        <v>Serviços de saúde e medicamentos</v>
      </c>
      <c r="L1299" s="52" t="s">
        <v>94</v>
      </c>
      <c r="M1299" s="52"/>
      <c r="N1299" s="52">
        <v>10</v>
      </c>
      <c r="O1299" s="107" t="s">
        <v>3419</v>
      </c>
      <c r="P1299" s="52" t="s">
        <v>46</v>
      </c>
      <c r="Q1299" s="107" t="s">
        <v>3872</v>
      </c>
      <c r="R1299" s="107">
        <v>6</v>
      </c>
      <c r="S1299" s="107" t="s">
        <v>3909</v>
      </c>
      <c r="T1299" s="239">
        <v>1323</v>
      </c>
      <c r="U1299" s="107">
        <v>1</v>
      </c>
      <c r="V1299" s="58">
        <f t="shared" si="90"/>
        <v>7938</v>
      </c>
      <c r="W1299" s="52" t="s">
        <v>49</v>
      </c>
      <c r="X1299" s="107" t="s">
        <v>5074</v>
      </c>
      <c r="Y1299" s="304" t="s">
        <v>5075</v>
      </c>
      <c r="Z1299" s="304" t="s">
        <v>5076</v>
      </c>
      <c r="AA1299" s="52">
        <v>0</v>
      </c>
      <c r="AB1299" s="52">
        <v>0</v>
      </c>
      <c r="AC1299" s="52">
        <v>0</v>
      </c>
      <c r="AD1299" s="21">
        <v>1</v>
      </c>
      <c r="AE1299" s="54">
        <v>1</v>
      </c>
      <c r="AF1299" s="315">
        <f t="shared" si="93"/>
        <v>7938</v>
      </c>
    </row>
    <row r="1300" spans="1:32" ht="195" x14ac:dyDescent="0.25">
      <c r="A1300" s="107" t="s">
        <v>588</v>
      </c>
      <c r="B1300" s="107" t="s">
        <v>2271</v>
      </c>
      <c r="C1300" s="52"/>
      <c r="D1300" s="107" t="s">
        <v>2302</v>
      </c>
      <c r="E1300" s="22" t="str">
        <f t="shared" si="91"/>
        <v>SEJUSPPROG</v>
      </c>
      <c r="F1300" s="122" t="s">
        <v>886</v>
      </c>
      <c r="G1300" s="22" t="str">
        <f t="shared" si="92"/>
        <v>P146SEJUSP</v>
      </c>
      <c r="H1300" s="107" t="s">
        <v>2307</v>
      </c>
      <c r="I1300" s="22" t="s">
        <v>16</v>
      </c>
      <c r="J1300" s="92" t="s">
        <v>1713</v>
      </c>
      <c r="K1300" s="22" t="str">
        <f>VLOOKUP(CONCATENATE(A1300,LEFT(J1300,4)),AGRUPAMENTO!$D$2:$E$6783,2,FALSE)</f>
        <v>Serviços de saúde e medicamentos</v>
      </c>
      <c r="L1300" s="52" t="s">
        <v>94</v>
      </c>
      <c r="M1300" s="52"/>
      <c r="N1300" s="52">
        <v>10</v>
      </c>
      <c r="O1300" s="107" t="s">
        <v>3420</v>
      </c>
      <c r="P1300" s="52" t="s">
        <v>46</v>
      </c>
      <c r="Q1300" s="107" t="s">
        <v>3872</v>
      </c>
      <c r="R1300" s="107">
        <v>4</v>
      </c>
      <c r="S1300" s="107" t="s">
        <v>3909</v>
      </c>
      <c r="T1300" s="239">
        <v>562</v>
      </c>
      <c r="U1300" s="107">
        <v>1</v>
      </c>
      <c r="V1300" s="58">
        <f t="shared" si="90"/>
        <v>2248</v>
      </c>
      <c r="W1300" s="52" t="s">
        <v>49</v>
      </c>
      <c r="X1300" s="107" t="s">
        <v>5074</v>
      </c>
      <c r="Y1300" s="304" t="s">
        <v>5075</v>
      </c>
      <c r="Z1300" s="304" t="s">
        <v>5076</v>
      </c>
      <c r="AA1300" s="52">
        <v>0</v>
      </c>
      <c r="AB1300" s="52">
        <v>0</v>
      </c>
      <c r="AC1300" s="52">
        <v>0</v>
      </c>
      <c r="AD1300" s="21">
        <v>1</v>
      </c>
      <c r="AE1300" s="54">
        <v>1</v>
      </c>
      <c r="AF1300" s="315">
        <f t="shared" si="93"/>
        <v>2248</v>
      </c>
    </row>
    <row r="1301" spans="1:32" ht="195" x14ac:dyDescent="0.25">
      <c r="A1301" s="107" t="s">
        <v>588</v>
      </c>
      <c r="B1301" s="107" t="s">
        <v>2271</v>
      </c>
      <c r="C1301" s="52"/>
      <c r="D1301" s="107" t="s">
        <v>2302</v>
      </c>
      <c r="E1301" s="22" t="str">
        <f t="shared" si="91"/>
        <v>SEJUSPPROG</v>
      </c>
      <c r="F1301" s="122" t="s">
        <v>886</v>
      </c>
      <c r="G1301" s="22" t="str">
        <f t="shared" si="92"/>
        <v>P146SEJUSP</v>
      </c>
      <c r="H1301" s="107" t="s">
        <v>2307</v>
      </c>
      <c r="I1301" s="22" t="s">
        <v>16</v>
      </c>
      <c r="J1301" s="92" t="s">
        <v>1713</v>
      </c>
      <c r="K1301" s="22" t="str">
        <f>VLOOKUP(CONCATENATE(A1301,LEFT(J1301,4)),AGRUPAMENTO!$D$2:$E$6783,2,FALSE)</f>
        <v>Serviços de saúde e medicamentos</v>
      </c>
      <c r="L1301" s="52" t="s">
        <v>94</v>
      </c>
      <c r="M1301" s="52"/>
      <c r="N1301" s="52">
        <v>10</v>
      </c>
      <c r="O1301" s="107" t="s">
        <v>3421</v>
      </c>
      <c r="P1301" s="52" t="s">
        <v>46</v>
      </c>
      <c r="Q1301" s="107" t="s">
        <v>3872</v>
      </c>
      <c r="R1301" s="107">
        <v>4</v>
      </c>
      <c r="S1301" s="107" t="s">
        <v>3909</v>
      </c>
      <c r="T1301" s="239">
        <v>2392</v>
      </c>
      <c r="U1301" s="107">
        <v>1</v>
      </c>
      <c r="V1301" s="58">
        <f t="shared" si="90"/>
        <v>9568</v>
      </c>
      <c r="W1301" s="52" t="s">
        <v>49</v>
      </c>
      <c r="X1301" s="107" t="s">
        <v>5074</v>
      </c>
      <c r="Y1301" s="304" t="s">
        <v>5075</v>
      </c>
      <c r="Z1301" s="304" t="s">
        <v>5076</v>
      </c>
      <c r="AA1301" s="52">
        <v>0</v>
      </c>
      <c r="AB1301" s="52">
        <v>0</v>
      </c>
      <c r="AC1301" s="52">
        <v>0</v>
      </c>
      <c r="AD1301" s="21">
        <v>1</v>
      </c>
      <c r="AE1301" s="54">
        <v>1</v>
      </c>
      <c r="AF1301" s="315">
        <f t="shared" si="93"/>
        <v>9568</v>
      </c>
    </row>
    <row r="1302" spans="1:32" ht="345" x14ac:dyDescent="0.25">
      <c r="A1302" s="107" t="s">
        <v>588</v>
      </c>
      <c r="B1302" s="107" t="s">
        <v>2271</v>
      </c>
      <c r="C1302" s="52"/>
      <c r="D1302" s="107" t="s">
        <v>2302</v>
      </c>
      <c r="E1302" s="22" t="str">
        <f t="shared" si="91"/>
        <v>SEJUSPPROG</v>
      </c>
      <c r="F1302" s="122" t="s">
        <v>886</v>
      </c>
      <c r="G1302" s="22" t="str">
        <f t="shared" si="92"/>
        <v>P146SEJUSP</v>
      </c>
      <c r="H1302" s="107" t="s">
        <v>2307</v>
      </c>
      <c r="I1302" s="22" t="s">
        <v>16</v>
      </c>
      <c r="J1302" s="92" t="s">
        <v>1713</v>
      </c>
      <c r="K1302" s="22" t="str">
        <f>VLOOKUP(CONCATENATE(A1302,LEFT(J1302,4)),AGRUPAMENTO!$D$2:$E$6783,2,FALSE)</f>
        <v>Serviços de saúde e medicamentos</v>
      </c>
      <c r="L1302" s="52" t="s">
        <v>94</v>
      </c>
      <c r="M1302" s="52"/>
      <c r="N1302" s="52">
        <v>10</v>
      </c>
      <c r="O1302" s="107" t="s">
        <v>3422</v>
      </c>
      <c r="P1302" s="52" t="s">
        <v>46</v>
      </c>
      <c r="Q1302" s="107" t="s">
        <v>3872</v>
      </c>
      <c r="R1302" s="107">
        <v>4</v>
      </c>
      <c r="S1302" s="107" t="s">
        <v>3909</v>
      </c>
      <c r="T1302" s="239">
        <v>1211</v>
      </c>
      <c r="U1302" s="107">
        <v>1</v>
      </c>
      <c r="V1302" s="58">
        <f t="shared" si="90"/>
        <v>4844</v>
      </c>
      <c r="W1302" s="52" t="s">
        <v>49</v>
      </c>
      <c r="X1302" s="107" t="s">
        <v>5074</v>
      </c>
      <c r="Y1302" s="304" t="s">
        <v>5075</v>
      </c>
      <c r="Z1302" s="304" t="s">
        <v>5076</v>
      </c>
      <c r="AA1302" s="52">
        <v>0</v>
      </c>
      <c r="AB1302" s="52">
        <v>0</v>
      </c>
      <c r="AC1302" s="52">
        <v>0</v>
      </c>
      <c r="AD1302" s="21">
        <v>1</v>
      </c>
      <c r="AE1302" s="54">
        <v>1</v>
      </c>
      <c r="AF1302" s="315">
        <f t="shared" si="93"/>
        <v>4844</v>
      </c>
    </row>
    <row r="1303" spans="1:32" ht="360" x14ac:dyDescent="0.25">
      <c r="A1303" s="107" t="s">
        <v>588</v>
      </c>
      <c r="B1303" s="107" t="s">
        <v>2271</v>
      </c>
      <c r="C1303" s="52"/>
      <c r="D1303" s="107" t="s">
        <v>2302</v>
      </c>
      <c r="E1303" s="22" t="str">
        <f t="shared" si="91"/>
        <v>SEJUSPPROG</v>
      </c>
      <c r="F1303" s="122" t="s">
        <v>886</v>
      </c>
      <c r="G1303" s="22" t="str">
        <f t="shared" si="92"/>
        <v>P146SEJUSP</v>
      </c>
      <c r="H1303" s="107" t="s">
        <v>2307</v>
      </c>
      <c r="I1303" s="22" t="s">
        <v>16</v>
      </c>
      <c r="J1303" s="92" t="s">
        <v>1713</v>
      </c>
      <c r="K1303" s="22" t="str">
        <f>VLOOKUP(CONCATENATE(A1303,LEFT(J1303,4)),AGRUPAMENTO!$D$2:$E$6783,2,FALSE)</f>
        <v>Serviços de saúde e medicamentos</v>
      </c>
      <c r="L1303" s="52" t="s">
        <v>94</v>
      </c>
      <c r="M1303" s="52"/>
      <c r="N1303" s="52">
        <v>10</v>
      </c>
      <c r="O1303" s="107" t="s">
        <v>3423</v>
      </c>
      <c r="P1303" s="52" t="s">
        <v>46</v>
      </c>
      <c r="Q1303" s="107" t="s">
        <v>3872</v>
      </c>
      <c r="R1303" s="107">
        <v>2</v>
      </c>
      <c r="S1303" s="107" t="s">
        <v>3909</v>
      </c>
      <c r="T1303" s="239">
        <v>24800</v>
      </c>
      <c r="U1303" s="107">
        <v>1</v>
      </c>
      <c r="V1303" s="58">
        <f t="shared" si="90"/>
        <v>49600</v>
      </c>
      <c r="W1303" s="52" t="s">
        <v>49</v>
      </c>
      <c r="X1303" s="107" t="s">
        <v>5074</v>
      </c>
      <c r="Y1303" s="304" t="s">
        <v>5075</v>
      </c>
      <c r="Z1303" s="304" t="s">
        <v>5076</v>
      </c>
      <c r="AA1303" s="52">
        <v>0</v>
      </c>
      <c r="AB1303" s="52">
        <v>0</v>
      </c>
      <c r="AC1303" s="52">
        <v>0</v>
      </c>
      <c r="AD1303" s="21">
        <v>1</v>
      </c>
      <c r="AE1303" s="54">
        <v>1</v>
      </c>
      <c r="AF1303" s="315">
        <f t="shared" si="93"/>
        <v>49600</v>
      </c>
    </row>
    <row r="1304" spans="1:32" ht="315" x14ac:dyDescent="0.25">
      <c r="A1304" s="107" t="s">
        <v>588</v>
      </c>
      <c r="B1304" s="107" t="s">
        <v>2271</v>
      </c>
      <c r="C1304" s="52"/>
      <c r="D1304" s="107" t="s">
        <v>2302</v>
      </c>
      <c r="E1304" s="22" t="str">
        <f t="shared" si="91"/>
        <v>SEJUSPPROG</v>
      </c>
      <c r="F1304" s="122" t="s">
        <v>886</v>
      </c>
      <c r="G1304" s="22" t="str">
        <f t="shared" si="92"/>
        <v>P146SEJUSP</v>
      </c>
      <c r="H1304" s="107" t="s">
        <v>2307</v>
      </c>
      <c r="I1304" s="22" t="s">
        <v>16</v>
      </c>
      <c r="J1304" s="92" t="s">
        <v>1713</v>
      </c>
      <c r="K1304" s="22" t="str">
        <f>VLOOKUP(CONCATENATE(A1304,LEFT(J1304,4)),AGRUPAMENTO!$D$2:$E$6783,2,FALSE)</f>
        <v>Serviços de saúde e medicamentos</v>
      </c>
      <c r="L1304" s="52" t="s">
        <v>94</v>
      </c>
      <c r="M1304" s="52"/>
      <c r="N1304" s="52">
        <v>10</v>
      </c>
      <c r="O1304" s="107" t="s">
        <v>3424</v>
      </c>
      <c r="P1304" s="52" t="s">
        <v>46</v>
      </c>
      <c r="Q1304" s="107" t="s">
        <v>3872</v>
      </c>
      <c r="R1304" s="107">
        <v>41</v>
      </c>
      <c r="S1304" s="107" t="s">
        <v>3909</v>
      </c>
      <c r="T1304" s="239">
        <v>197.59</v>
      </c>
      <c r="U1304" s="107">
        <v>1</v>
      </c>
      <c r="V1304" s="58">
        <f t="shared" si="90"/>
        <v>8101.1900000000005</v>
      </c>
      <c r="W1304" s="52" t="s">
        <v>49</v>
      </c>
      <c r="X1304" s="107" t="s">
        <v>5074</v>
      </c>
      <c r="Y1304" s="304" t="s">
        <v>5075</v>
      </c>
      <c r="Z1304" s="304" t="s">
        <v>5076</v>
      </c>
      <c r="AA1304" s="52">
        <v>0</v>
      </c>
      <c r="AB1304" s="52">
        <v>0</v>
      </c>
      <c r="AC1304" s="52">
        <v>0</v>
      </c>
      <c r="AD1304" s="21">
        <v>1</v>
      </c>
      <c r="AE1304" s="54">
        <v>1</v>
      </c>
      <c r="AF1304" s="315">
        <f t="shared" si="93"/>
        <v>8101.1900000000005</v>
      </c>
    </row>
    <row r="1305" spans="1:32" ht="285" x14ac:dyDescent="0.25">
      <c r="A1305" s="107" t="s">
        <v>588</v>
      </c>
      <c r="B1305" s="107" t="s">
        <v>2271</v>
      </c>
      <c r="C1305" s="52"/>
      <c r="D1305" s="107" t="s">
        <v>2302</v>
      </c>
      <c r="E1305" s="22" t="str">
        <f t="shared" si="91"/>
        <v>SEJUSPPROG</v>
      </c>
      <c r="F1305" s="122" t="s">
        <v>886</v>
      </c>
      <c r="G1305" s="22" t="str">
        <f t="shared" si="92"/>
        <v>P146SEJUSP</v>
      </c>
      <c r="H1305" s="107" t="s">
        <v>2307</v>
      </c>
      <c r="I1305" s="22" t="s">
        <v>16</v>
      </c>
      <c r="J1305" s="92" t="s">
        <v>1713</v>
      </c>
      <c r="K1305" s="22" t="str">
        <f>VLOOKUP(CONCATENATE(A1305,LEFT(J1305,4)),AGRUPAMENTO!$D$2:$E$6783,2,FALSE)</f>
        <v>Serviços de saúde e medicamentos</v>
      </c>
      <c r="L1305" s="52" t="s">
        <v>94</v>
      </c>
      <c r="M1305" s="52"/>
      <c r="N1305" s="52">
        <v>10</v>
      </c>
      <c r="O1305" s="107" t="s">
        <v>3425</v>
      </c>
      <c r="P1305" s="52" t="s">
        <v>46</v>
      </c>
      <c r="Q1305" s="107" t="s">
        <v>3872</v>
      </c>
      <c r="R1305" s="107">
        <v>9</v>
      </c>
      <c r="S1305" s="107" t="s">
        <v>3909</v>
      </c>
      <c r="T1305" s="239">
        <v>239.9</v>
      </c>
      <c r="U1305" s="107">
        <v>1</v>
      </c>
      <c r="V1305" s="58">
        <f t="shared" si="90"/>
        <v>2159.1</v>
      </c>
      <c r="W1305" s="52" t="s">
        <v>49</v>
      </c>
      <c r="X1305" s="107" t="s">
        <v>5074</v>
      </c>
      <c r="Y1305" s="304" t="s">
        <v>5075</v>
      </c>
      <c r="Z1305" s="304" t="s">
        <v>5076</v>
      </c>
      <c r="AA1305" s="52">
        <v>0</v>
      </c>
      <c r="AB1305" s="52">
        <v>0</v>
      </c>
      <c r="AC1305" s="52">
        <v>0</v>
      </c>
      <c r="AD1305" s="21">
        <v>1</v>
      </c>
      <c r="AE1305" s="54">
        <v>1</v>
      </c>
      <c r="AF1305" s="315">
        <f t="shared" si="93"/>
        <v>2159.1</v>
      </c>
    </row>
    <row r="1306" spans="1:32" ht="195" x14ac:dyDescent="0.25">
      <c r="A1306" s="107" t="s">
        <v>588</v>
      </c>
      <c r="B1306" s="107" t="s">
        <v>2271</v>
      </c>
      <c r="C1306" s="52"/>
      <c r="D1306" s="107" t="s">
        <v>2302</v>
      </c>
      <c r="E1306" s="22" t="str">
        <f t="shared" si="91"/>
        <v>SEJUSPPROG</v>
      </c>
      <c r="F1306" s="122" t="s">
        <v>886</v>
      </c>
      <c r="G1306" s="22" t="str">
        <f t="shared" si="92"/>
        <v>P146SEJUSP</v>
      </c>
      <c r="H1306" s="107" t="s">
        <v>2307</v>
      </c>
      <c r="I1306" s="22" t="s">
        <v>16</v>
      </c>
      <c r="J1306" s="92" t="s">
        <v>1713</v>
      </c>
      <c r="K1306" s="22" t="str">
        <f>VLOOKUP(CONCATENATE(A1306,LEFT(J1306,4)),AGRUPAMENTO!$D$2:$E$6783,2,FALSE)</f>
        <v>Serviços de saúde e medicamentos</v>
      </c>
      <c r="L1306" s="52" t="s">
        <v>94</v>
      </c>
      <c r="M1306" s="52"/>
      <c r="N1306" s="52">
        <v>10</v>
      </c>
      <c r="O1306" s="107" t="s">
        <v>3426</v>
      </c>
      <c r="P1306" s="52" t="s">
        <v>46</v>
      </c>
      <c r="Q1306" s="107" t="s">
        <v>3872</v>
      </c>
      <c r="R1306" s="107">
        <v>14</v>
      </c>
      <c r="S1306" s="107" t="s">
        <v>3909</v>
      </c>
      <c r="T1306" s="239">
        <v>1945</v>
      </c>
      <c r="U1306" s="107">
        <v>1</v>
      </c>
      <c r="V1306" s="58">
        <f t="shared" si="90"/>
        <v>27230</v>
      </c>
      <c r="W1306" s="52" t="s">
        <v>49</v>
      </c>
      <c r="X1306" s="107" t="s">
        <v>5074</v>
      </c>
      <c r="Y1306" s="304" t="s">
        <v>5075</v>
      </c>
      <c r="Z1306" s="304" t="s">
        <v>5076</v>
      </c>
      <c r="AA1306" s="52">
        <v>0</v>
      </c>
      <c r="AB1306" s="52">
        <v>0</v>
      </c>
      <c r="AC1306" s="52">
        <v>0</v>
      </c>
      <c r="AD1306" s="21">
        <v>1</v>
      </c>
      <c r="AE1306" s="54">
        <v>1</v>
      </c>
      <c r="AF1306" s="315">
        <f t="shared" si="93"/>
        <v>27230</v>
      </c>
    </row>
    <row r="1307" spans="1:32" ht="195" x14ac:dyDescent="0.25">
      <c r="A1307" s="107" t="s">
        <v>588</v>
      </c>
      <c r="B1307" s="107" t="s">
        <v>2271</v>
      </c>
      <c r="C1307" s="52"/>
      <c r="D1307" s="107" t="s">
        <v>2302</v>
      </c>
      <c r="E1307" s="22" t="str">
        <f t="shared" si="91"/>
        <v>SEJUSPPROG</v>
      </c>
      <c r="F1307" s="122" t="s">
        <v>886</v>
      </c>
      <c r="G1307" s="22" t="str">
        <f t="shared" si="92"/>
        <v>P146SEJUSP</v>
      </c>
      <c r="H1307" s="107" t="s">
        <v>2307</v>
      </c>
      <c r="I1307" s="22" t="s">
        <v>16</v>
      </c>
      <c r="J1307" s="92" t="s">
        <v>1713</v>
      </c>
      <c r="K1307" s="22" t="str">
        <f>VLOOKUP(CONCATENATE(A1307,LEFT(J1307,4)),AGRUPAMENTO!$D$2:$E$6783,2,FALSE)</f>
        <v>Serviços de saúde e medicamentos</v>
      </c>
      <c r="L1307" s="52" t="s">
        <v>94</v>
      </c>
      <c r="M1307" s="52"/>
      <c r="N1307" s="52">
        <v>10</v>
      </c>
      <c r="O1307" s="107" t="s">
        <v>3427</v>
      </c>
      <c r="P1307" s="52" t="s">
        <v>46</v>
      </c>
      <c r="Q1307" s="107" t="s">
        <v>3872</v>
      </c>
      <c r="R1307" s="107">
        <v>3</v>
      </c>
      <c r="S1307" s="107" t="s">
        <v>3909</v>
      </c>
      <c r="T1307" s="239">
        <v>239</v>
      </c>
      <c r="U1307" s="107">
        <v>1</v>
      </c>
      <c r="V1307" s="58">
        <f t="shared" si="90"/>
        <v>717</v>
      </c>
      <c r="W1307" s="52" t="s">
        <v>49</v>
      </c>
      <c r="X1307" s="107" t="s">
        <v>5074</v>
      </c>
      <c r="Y1307" s="304" t="s">
        <v>5075</v>
      </c>
      <c r="Z1307" s="304" t="s">
        <v>5076</v>
      </c>
      <c r="AA1307" s="52">
        <v>0</v>
      </c>
      <c r="AB1307" s="52">
        <v>0</v>
      </c>
      <c r="AC1307" s="52">
        <v>0</v>
      </c>
      <c r="AD1307" s="21">
        <v>1</v>
      </c>
      <c r="AE1307" s="54">
        <v>1</v>
      </c>
      <c r="AF1307" s="315">
        <f t="shared" si="93"/>
        <v>717</v>
      </c>
    </row>
    <row r="1308" spans="1:32" ht="195" x14ac:dyDescent="0.25">
      <c r="A1308" s="107" t="s">
        <v>588</v>
      </c>
      <c r="B1308" s="107" t="s">
        <v>2271</v>
      </c>
      <c r="C1308" s="52"/>
      <c r="D1308" s="107" t="s">
        <v>2302</v>
      </c>
      <c r="E1308" s="22" t="str">
        <f t="shared" si="91"/>
        <v>SEJUSPPROG</v>
      </c>
      <c r="F1308" s="122" t="s">
        <v>886</v>
      </c>
      <c r="G1308" s="22" t="str">
        <f t="shared" si="92"/>
        <v>P146SEJUSP</v>
      </c>
      <c r="H1308" s="107" t="s">
        <v>2307</v>
      </c>
      <c r="I1308" s="22" t="s">
        <v>16</v>
      </c>
      <c r="J1308" s="92" t="s">
        <v>1713</v>
      </c>
      <c r="K1308" s="22" t="str">
        <f>VLOOKUP(CONCATENATE(A1308,LEFT(J1308,4)),AGRUPAMENTO!$D$2:$E$6783,2,FALSE)</f>
        <v>Serviços de saúde e medicamentos</v>
      </c>
      <c r="L1308" s="52" t="s">
        <v>94</v>
      </c>
      <c r="M1308" s="52"/>
      <c r="N1308" s="52">
        <v>10</v>
      </c>
      <c r="O1308" s="107" t="s">
        <v>3428</v>
      </c>
      <c r="P1308" s="52" t="s">
        <v>46</v>
      </c>
      <c r="Q1308" s="107" t="s">
        <v>3872</v>
      </c>
      <c r="R1308" s="107">
        <v>2</v>
      </c>
      <c r="S1308" s="107" t="s">
        <v>3909</v>
      </c>
      <c r="T1308" s="239">
        <v>18.899999999999999</v>
      </c>
      <c r="U1308" s="107">
        <v>1</v>
      </c>
      <c r="V1308" s="58">
        <f t="shared" si="90"/>
        <v>37.799999999999997</v>
      </c>
      <c r="W1308" s="52" t="s">
        <v>49</v>
      </c>
      <c r="X1308" s="107" t="s">
        <v>5074</v>
      </c>
      <c r="Y1308" s="304" t="s">
        <v>5075</v>
      </c>
      <c r="Z1308" s="304" t="s">
        <v>5076</v>
      </c>
      <c r="AA1308" s="52">
        <v>0</v>
      </c>
      <c r="AB1308" s="52">
        <v>0</v>
      </c>
      <c r="AC1308" s="52">
        <v>0</v>
      </c>
      <c r="AD1308" s="21">
        <v>1</v>
      </c>
      <c r="AE1308" s="54">
        <v>1</v>
      </c>
      <c r="AF1308" s="315">
        <f t="shared" si="93"/>
        <v>37.799999999999997</v>
      </c>
    </row>
    <row r="1309" spans="1:32" ht="195" x14ac:dyDescent="0.25">
      <c r="A1309" s="107" t="s">
        <v>588</v>
      </c>
      <c r="B1309" s="107" t="s">
        <v>2271</v>
      </c>
      <c r="C1309" s="52"/>
      <c r="D1309" s="107" t="s">
        <v>2302</v>
      </c>
      <c r="E1309" s="22" t="str">
        <f t="shared" si="91"/>
        <v>SEJUSPPROG</v>
      </c>
      <c r="F1309" s="122" t="s">
        <v>886</v>
      </c>
      <c r="G1309" s="22" t="str">
        <f t="shared" si="92"/>
        <v>P146SEJUSP</v>
      </c>
      <c r="H1309" s="107" t="s">
        <v>2307</v>
      </c>
      <c r="I1309" s="22" t="s">
        <v>16</v>
      </c>
      <c r="J1309" s="92" t="s">
        <v>1713</v>
      </c>
      <c r="K1309" s="22" t="str">
        <f>VLOOKUP(CONCATENATE(A1309,LEFT(J1309,4)),AGRUPAMENTO!$D$2:$E$6783,2,FALSE)</f>
        <v>Serviços de saúde e medicamentos</v>
      </c>
      <c r="L1309" s="52" t="s">
        <v>94</v>
      </c>
      <c r="M1309" s="52"/>
      <c r="N1309" s="52">
        <v>10</v>
      </c>
      <c r="O1309" s="107" t="s">
        <v>3429</v>
      </c>
      <c r="P1309" s="52" t="s">
        <v>46</v>
      </c>
      <c r="Q1309" s="107" t="s">
        <v>3812</v>
      </c>
      <c r="R1309" s="107">
        <v>2</v>
      </c>
      <c r="S1309" s="107" t="s">
        <v>3909</v>
      </c>
      <c r="T1309" s="239">
        <v>13.82</v>
      </c>
      <c r="U1309" s="107">
        <v>1</v>
      </c>
      <c r="V1309" s="58">
        <f t="shared" si="90"/>
        <v>27.64</v>
      </c>
      <c r="W1309" s="52" t="s">
        <v>49</v>
      </c>
      <c r="X1309" s="107" t="s">
        <v>5074</v>
      </c>
      <c r="Y1309" s="304" t="s">
        <v>5075</v>
      </c>
      <c r="Z1309" s="304" t="s">
        <v>5076</v>
      </c>
      <c r="AA1309" s="52">
        <v>0</v>
      </c>
      <c r="AB1309" s="52">
        <v>0</v>
      </c>
      <c r="AC1309" s="52">
        <v>0</v>
      </c>
      <c r="AD1309" s="21">
        <v>1</v>
      </c>
      <c r="AE1309" s="54">
        <v>1</v>
      </c>
      <c r="AF1309" s="315">
        <f t="shared" si="93"/>
        <v>27.64</v>
      </c>
    </row>
    <row r="1310" spans="1:32" ht="195" x14ac:dyDescent="0.25">
      <c r="A1310" s="107" t="s">
        <v>588</v>
      </c>
      <c r="B1310" s="107" t="s">
        <v>2271</v>
      </c>
      <c r="C1310" s="52"/>
      <c r="D1310" s="107" t="s">
        <v>2302</v>
      </c>
      <c r="E1310" s="22" t="str">
        <f t="shared" si="91"/>
        <v>SEJUSPPROG</v>
      </c>
      <c r="F1310" s="122" t="s">
        <v>886</v>
      </c>
      <c r="G1310" s="22" t="str">
        <f t="shared" si="92"/>
        <v>P146SEJUSP</v>
      </c>
      <c r="H1310" s="107" t="s">
        <v>2307</v>
      </c>
      <c r="I1310" s="22" t="s">
        <v>16</v>
      </c>
      <c r="J1310" s="92" t="s">
        <v>1713</v>
      </c>
      <c r="K1310" s="22" t="str">
        <f>VLOOKUP(CONCATENATE(A1310,LEFT(J1310,4)),AGRUPAMENTO!$D$2:$E$6783,2,FALSE)</f>
        <v>Serviços de saúde e medicamentos</v>
      </c>
      <c r="L1310" s="52" t="s">
        <v>94</v>
      </c>
      <c r="M1310" s="52"/>
      <c r="N1310" s="52">
        <v>10</v>
      </c>
      <c r="O1310" s="107" t="s">
        <v>3430</v>
      </c>
      <c r="P1310" s="52" t="s">
        <v>46</v>
      </c>
      <c r="Q1310" s="107" t="s">
        <v>3812</v>
      </c>
      <c r="R1310" s="107">
        <v>4</v>
      </c>
      <c r="S1310" s="107" t="s">
        <v>3909</v>
      </c>
      <c r="T1310" s="239">
        <v>18.899999999999999</v>
      </c>
      <c r="U1310" s="107">
        <v>1</v>
      </c>
      <c r="V1310" s="58">
        <f t="shared" si="90"/>
        <v>75.599999999999994</v>
      </c>
      <c r="W1310" s="52" t="s">
        <v>49</v>
      </c>
      <c r="X1310" s="107" t="s">
        <v>5074</v>
      </c>
      <c r="Y1310" s="304" t="s">
        <v>5075</v>
      </c>
      <c r="Z1310" s="304" t="s">
        <v>5076</v>
      </c>
      <c r="AA1310" s="52">
        <v>0</v>
      </c>
      <c r="AB1310" s="52">
        <v>0</v>
      </c>
      <c r="AC1310" s="52">
        <v>0</v>
      </c>
      <c r="AD1310" s="21">
        <v>1</v>
      </c>
      <c r="AE1310" s="54">
        <v>1</v>
      </c>
      <c r="AF1310" s="315">
        <f t="shared" si="93"/>
        <v>75.599999999999994</v>
      </c>
    </row>
    <row r="1311" spans="1:32" ht="195" x14ac:dyDescent="0.25">
      <c r="A1311" s="107" t="s">
        <v>588</v>
      </c>
      <c r="B1311" s="107" t="s">
        <v>2271</v>
      </c>
      <c r="C1311" s="52"/>
      <c r="D1311" s="107" t="s">
        <v>2302</v>
      </c>
      <c r="E1311" s="22" t="str">
        <f t="shared" si="91"/>
        <v>SEJUSPPROG</v>
      </c>
      <c r="F1311" s="122" t="s">
        <v>886</v>
      </c>
      <c r="G1311" s="22" t="str">
        <f t="shared" si="92"/>
        <v>P146SEJUSP</v>
      </c>
      <c r="H1311" s="107" t="s">
        <v>2307</v>
      </c>
      <c r="I1311" s="22" t="s">
        <v>16</v>
      </c>
      <c r="J1311" s="92" t="s">
        <v>1713</v>
      </c>
      <c r="K1311" s="22" t="str">
        <f>VLOOKUP(CONCATENATE(A1311,LEFT(J1311,4)),AGRUPAMENTO!$D$2:$E$6783,2,FALSE)</f>
        <v>Serviços de saúde e medicamentos</v>
      </c>
      <c r="L1311" s="52" t="s">
        <v>94</v>
      </c>
      <c r="M1311" s="52"/>
      <c r="N1311" s="52">
        <v>10</v>
      </c>
      <c r="O1311" s="107" t="s">
        <v>3431</v>
      </c>
      <c r="P1311" s="52" t="s">
        <v>46</v>
      </c>
      <c r="Q1311" s="107" t="s">
        <v>3812</v>
      </c>
      <c r="R1311" s="107">
        <v>31</v>
      </c>
      <c r="S1311" s="107" t="s">
        <v>3909</v>
      </c>
      <c r="T1311" s="239">
        <v>15.5</v>
      </c>
      <c r="U1311" s="107">
        <v>1</v>
      </c>
      <c r="V1311" s="58">
        <f t="shared" si="90"/>
        <v>480.5</v>
      </c>
      <c r="W1311" s="52" t="s">
        <v>49</v>
      </c>
      <c r="X1311" s="107" t="s">
        <v>5074</v>
      </c>
      <c r="Y1311" s="304" t="s">
        <v>5075</v>
      </c>
      <c r="Z1311" s="304" t="s">
        <v>5076</v>
      </c>
      <c r="AA1311" s="52">
        <v>0</v>
      </c>
      <c r="AB1311" s="52">
        <v>0</v>
      </c>
      <c r="AC1311" s="52">
        <v>0</v>
      </c>
      <c r="AD1311" s="21">
        <v>1</v>
      </c>
      <c r="AE1311" s="54">
        <v>1</v>
      </c>
      <c r="AF1311" s="315">
        <f t="shared" si="93"/>
        <v>480.5</v>
      </c>
    </row>
    <row r="1312" spans="1:32" ht="195" x14ac:dyDescent="0.25">
      <c r="A1312" s="107" t="s">
        <v>588</v>
      </c>
      <c r="B1312" s="107" t="s">
        <v>2271</v>
      </c>
      <c r="C1312" s="52"/>
      <c r="D1312" s="107" t="s">
        <v>2302</v>
      </c>
      <c r="E1312" s="22" t="str">
        <f t="shared" si="91"/>
        <v>SEJUSPPROG</v>
      </c>
      <c r="F1312" s="122" t="s">
        <v>886</v>
      </c>
      <c r="G1312" s="22" t="str">
        <f t="shared" si="92"/>
        <v>P146SEJUSP</v>
      </c>
      <c r="H1312" s="107" t="s">
        <v>2307</v>
      </c>
      <c r="I1312" s="22" t="s">
        <v>16</v>
      </c>
      <c r="J1312" s="92" t="s">
        <v>1713</v>
      </c>
      <c r="K1312" s="22" t="str">
        <f>VLOOKUP(CONCATENATE(A1312,LEFT(J1312,4)),AGRUPAMENTO!$D$2:$E$6783,2,FALSE)</f>
        <v>Serviços de saúde e medicamentos</v>
      </c>
      <c r="L1312" s="52" t="s">
        <v>94</v>
      </c>
      <c r="M1312" s="52"/>
      <c r="N1312" s="52">
        <v>10</v>
      </c>
      <c r="O1312" s="107" t="s">
        <v>3432</v>
      </c>
      <c r="P1312" s="52" t="s">
        <v>46</v>
      </c>
      <c r="Q1312" s="107" t="s">
        <v>3812</v>
      </c>
      <c r="R1312" s="107">
        <v>22</v>
      </c>
      <c r="S1312" s="107" t="s">
        <v>3909</v>
      </c>
      <c r="T1312" s="239">
        <v>69.900000000000006</v>
      </c>
      <c r="U1312" s="107">
        <v>1</v>
      </c>
      <c r="V1312" s="58">
        <f t="shared" si="90"/>
        <v>1537.8000000000002</v>
      </c>
      <c r="W1312" s="52" t="s">
        <v>49</v>
      </c>
      <c r="X1312" s="107" t="s">
        <v>5074</v>
      </c>
      <c r="Y1312" s="304" t="s">
        <v>5075</v>
      </c>
      <c r="Z1312" s="304" t="s">
        <v>5076</v>
      </c>
      <c r="AA1312" s="52">
        <v>0</v>
      </c>
      <c r="AB1312" s="52">
        <v>0</v>
      </c>
      <c r="AC1312" s="52">
        <v>0</v>
      </c>
      <c r="AD1312" s="21">
        <v>1</v>
      </c>
      <c r="AE1312" s="54">
        <v>1</v>
      </c>
      <c r="AF1312" s="315">
        <f t="shared" si="93"/>
        <v>1537.8000000000002</v>
      </c>
    </row>
    <row r="1313" spans="1:32" ht="195" x14ac:dyDescent="0.25">
      <c r="A1313" s="107" t="s">
        <v>588</v>
      </c>
      <c r="B1313" s="107" t="s">
        <v>2271</v>
      </c>
      <c r="C1313" s="52"/>
      <c r="D1313" s="107" t="s">
        <v>2302</v>
      </c>
      <c r="E1313" s="22" t="str">
        <f t="shared" si="91"/>
        <v>SEJUSPPROG</v>
      </c>
      <c r="F1313" s="122" t="s">
        <v>886</v>
      </c>
      <c r="G1313" s="22" t="str">
        <f t="shared" si="92"/>
        <v>P146SEJUSP</v>
      </c>
      <c r="H1313" s="107" t="s">
        <v>2307</v>
      </c>
      <c r="I1313" s="22" t="s">
        <v>16</v>
      </c>
      <c r="J1313" s="92" t="s">
        <v>1713</v>
      </c>
      <c r="K1313" s="22" t="str">
        <f>VLOOKUP(CONCATENATE(A1313,LEFT(J1313,4)),AGRUPAMENTO!$D$2:$E$6783,2,FALSE)</f>
        <v>Serviços de saúde e medicamentos</v>
      </c>
      <c r="L1313" s="52" t="s">
        <v>94</v>
      </c>
      <c r="M1313" s="52"/>
      <c r="N1313" s="52">
        <v>10</v>
      </c>
      <c r="O1313" s="107" t="s">
        <v>3433</v>
      </c>
      <c r="P1313" s="52" t="s">
        <v>46</v>
      </c>
      <c r="Q1313" s="107" t="s">
        <v>3872</v>
      </c>
      <c r="R1313" s="107">
        <v>3</v>
      </c>
      <c r="S1313" s="107" t="s">
        <v>3909</v>
      </c>
      <c r="T1313" s="239">
        <v>19.899999999999999</v>
      </c>
      <c r="U1313" s="107">
        <v>1</v>
      </c>
      <c r="V1313" s="58">
        <f t="shared" si="90"/>
        <v>59.699999999999996</v>
      </c>
      <c r="W1313" s="52" t="s">
        <v>49</v>
      </c>
      <c r="X1313" s="107" t="s">
        <v>5074</v>
      </c>
      <c r="Y1313" s="304" t="s">
        <v>5075</v>
      </c>
      <c r="Z1313" s="304" t="s">
        <v>5076</v>
      </c>
      <c r="AA1313" s="52">
        <v>0</v>
      </c>
      <c r="AB1313" s="52">
        <v>0</v>
      </c>
      <c r="AC1313" s="52">
        <v>0</v>
      </c>
      <c r="AD1313" s="21">
        <v>1</v>
      </c>
      <c r="AE1313" s="54">
        <v>1</v>
      </c>
      <c r="AF1313" s="315">
        <f t="shared" si="93"/>
        <v>59.699999999999996</v>
      </c>
    </row>
    <row r="1314" spans="1:32" ht="195" x14ac:dyDescent="0.25">
      <c r="A1314" s="107" t="s">
        <v>588</v>
      </c>
      <c r="B1314" s="107" t="s">
        <v>2271</v>
      </c>
      <c r="C1314" s="52"/>
      <c r="D1314" s="107" t="s">
        <v>2302</v>
      </c>
      <c r="E1314" s="22" t="str">
        <f t="shared" si="91"/>
        <v>SEJUSPPROG</v>
      </c>
      <c r="F1314" s="122" t="s">
        <v>886</v>
      </c>
      <c r="G1314" s="22" t="str">
        <f t="shared" si="92"/>
        <v>P146SEJUSP</v>
      </c>
      <c r="H1314" s="107" t="s">
        <v>2307</v>
      </c>
      <c r="I1314" s="22" t="s">
        <v>16</v>
      </c>
      <c r="J1314" s="92" t="s">
        <v>1713</v>
      </c>
      <c r="K1314" s="22" t="str">
        <f>VLOOKUP(CONCATENATE(A1314,LEFT(J1314,4)),AGRUPAMENTO!$D$2:$E$6783,2,FALSE)</f>
        <v>Serviços de saúde e medicamentos</v>
      </c>
      <c r="L1314" s="52" t="s">
        <v>94</v>
      </c>
      <c r="M1314" s="52"/>
      <c r="N1314" s="52">
        <v>10</v>
      </c>
      <c r="O1314" s="107" t="s">
        <v>3434</v>
      </c>
      <c r="P1314" s="52" t="s">
        <v>46</v>
      </c>
      <c r="Q1314" s="107" t="s">
        <v>3872</v>
      </c>
      <c r="R1314" s="107">
        <v>11</v>
      </c>
      <c r="S1314" s="107" t="s">
        <v>3909</v>
      </c>
      <c r="T1314" s="239">
        <v>17.489999999999998</v>
      </c>
      <c r="U1314" s="107">
        <v>1</v>
      </c>
      <c r="V1314" s="58">
        <f t="shared" si="90"/>
        <v>192.39</v>
      </c>
      <c r="W1314" s="52" t="s">
        <v>49</v>
      </c>
      <c r="X1314" s="107" t="s">
        <v>5074</v>
      </c>
      <c r="Y1314" s="304" t="s">
        <v>5075</v>
      </c>
      <c r="Z1314" s="304" t="s">
        <v>5076</v>
      </c>
      <c r="AA1314" s="52">
        <v>0</v>
      </c>
      <c r="AB1314" s="52">
        <v>0</v>
      </c>
      <c r="AC1314" s="52">
        <v>0</v>
      </c>
      <c r="AD1314" s="21">
        <v>1</v>
      </c>
      <c r="AE1314" s="54">
        <v>1</v>
      </c>
      <c r="AF1314" s="315">
        <f t="shared" si="93"/>
        <v>192.39</v>
      </c>
    </row>
    <row r="1315" spans="1:32" ht="195" x14ac:dyDescent="0.25">
      <c r="A1315" s="107" t="s">
        <v>588</v>
      </c>
      <c r="B1315" s="107" t="s">
        <v>2271</v>
      </c>
      <c r="C1315" s="52"/>
      <c r="D1315" s="107" t="s">
        <v>2302</v>
      </c>
      <c r="E1315" s="22" t="str">
        <f t="shared" si="91"/>
        <v>SEJUSPPROG</v>
      </c>
      <c r="F1315" s="122" t="s">
        <v>886</v>
      </c>
      <c r="G1315" s="22" t="str">
        <f t="shared" si="92"/>
        <v>P146SEJUSP</v>
      </c>
      <c r="H1315" s="107" t="s">
        <v>2307</v>
      </c>
      <c r="I1315" s="22" t="s">
        <v>16</v>
      </c>
      <c r="J1315" s="92" t="s">
        <v>1713</v>
      </c>
      <c r="K1315" s="22" t="str">
        <f>VLOOKUP(CONCATENATE(A1315,LEFT(J1315,4)),AGRUPAMENTO!$D$2:$E$6783,2,FALSE)</f>
        <v>Serviços de saúde e medicamentos</v>
      </c>
      <c r="L1315" s="52" t="s">
        <v>94</v>
      </c>
      <c r="M1315" s="52"/>
      <c r="N1315" s="52">
        <v>10</v>
      </c>
      <c r="O1315" s="107" t="s">
        <v>3435</v>
      </c>
      <c r="P1315" s="52" t="s">
        <v>46</v>
      </c>
      <c r="Q1315" s="107" t="s">
        <v>3872</v>
      </c>
      <c r="R1315" s="107">
        <v>100</v>
      </c>
      <c r="S1315" s="107" t="s">
        <v>3909</v>
      </c>
      <c r="T1315" s="239">
        <v>5.5</v>
      </c>
      <c r="U1315" s="107">
        <v>1</v>
      </c>
      <c r="V1315" s="58">
        <f t="shared" si="90"/>
        <v>550</v>
      </c>
      <c r="W1315" s="52" t="s">
        <v>49</v>
      </c>
      <c r="X1315" s="107" t="s">
        <v>5074</v>
      </c>
      <c r="Y1315" s="304" t="s">
        <v>5075</v>
      </c>
      <c r="Z1315" s="304" t="s">
        <v>5076</v>
      </c>
      <c r="AA1315" s="52">
        <v>0</v>
      </c>
      <c r="AB1315" s="52">
        <v>0</v>
      </c>
      <c r="AC1315" s="52">
        <v>0</v>
      </c>
      <c r="AD1315" s="21">
        <v>1</v>
      </c>
      <c r="AE1315" s="54">
        <v>1</v>
      </c>
      <c r="AF1315" s="315">
        <f t="shared" si="93"/>
        <v>550</v>
      </c>
    </row>
    <row r="1316" spans="1:32" ht="195" x14ac:dyDescent="0.25">
      <c r="A1316" s="107" t="s">
        <v>588</v>
      </c>
      <c r="B1316" s="107" t="s">
        <v>2271</v>
      </c>
      <c r="C1316" s="52"/>
      <c r="D1316" s="107" t="s">
        <v>2302</v>
      </c>
      <c r="E1316" s="22" t="str">
        <f t="shared" si="91"/>
        <v>SEJUSPPROG</v>
      </c>
      <c r="F1316" s="122" t="s">
        <v>886</v>
      </c>
      <c r="G1316" s="22" t="str">
        <f t="shared" si="92"/>
        <v>P146SEJUSP</v>
      </c>
      <c r="H1316" s="107" t="s">
        <v>2307</v>
      </c>
      <c r="I1316" s="22" t="s">
        <v>16</v>
      </c>
      <c r="J1316" s="92" t="s">
        <v>1713</v>
      </c>
      <c r="K1316" s="22" t="str">
        <f>VLOOKUP(CONCATENATE(A1316,LEFT(J1316,4)),AGRUPAMENTO!$D$2:$E$6783,2,FALSE)</f>
        <v>Serviços de saúde e medicamentos</v>
      </c>
      <c r="L1316" s="52" t="s">
        <v>94</v>
      </c>
      <c r="M1316" s="52"/>
      <c r="N1316" s="52">
        <v>10</v>
      </c>
      <c r="O1316" s="107" t="s">
        <v>3436</v>
      </c>
      <c r="P1316" s="52" t="s">
        <v>46</v>
      </c>
      <c r="Q1316" s="107" t="s">
        <v>3872</v>
      </c>
      <c r="R1316" s="107">
        <v>17</v>
      </c>
      <c r="S1316" s="107" t="s">
        <v>3909</v>
      </c>
      <c r="T1316" s="239">
        <v>25.92</v>
      </c>
      <c r="U1316" s="107">
        <v>1</v>
      </c>
      <c r="V1316" s="58">
        <f t="shared" si="90"/>
        <v>440.64000000000004</v>
      </c>
      <c r="W1316" s="52" t="s">
        <v>49</v>
      </c>
      <c r="X1316" s="107" t="s">
        <v>5074</v>
      </c>
      <c r="Y1316" s="304" t="s">
        <v>5075</v>
      </c>
      <c r="Z1316" s="304" t="s">
        <v>5076</v>
      </c>
      <c r="AA1316" s="52">
        <v>0</v>
      </c>
      <c r="AB1316" s="52">
        <v>0</v>
      </c>
      <c r="AC1316" s="52">
        <v>0</v>
      </c>
      <c r="AD1316" s="21">
        <v>1</v>
      </c>
      <c r="AE1316" s="54">
        <v>1</v>
      </c>
      <c r="AF1316" s="315">
        <f t="shared" si="93"/>
        <v>440.64000000000004</v>
      </c>
    </row>
    <row r="1317" spans="1:32" ht="195" x14ac:dyDescent="0.25">
      <c r="A1317" s="107" t="s">
        <v>588</v>
      </c>
      <c r="B1317" s="107" t="s">
        <v>2271</v>
      </c>
      <c r="C1317" s="52"/>
      <c r="D1317" s="107" t="s">
        <v>2302</v>
      </c>
      <c r="E1317" s="22" t="str">
        <f t="shared" si="91"/>
        <v>SEJUSPPROG</v>
      </c>
      <c r="F1317" s="122" t="s">
        <v>886</v>
      </c>
      <c r="G1317" s="22" t="str">
        <f t="shared" si="92"/>
        <v>P146SEJUSP</v>
      </c>
      <c r="H1317" s="107" t="s">
        <v>2307</v>
      </c>
      <c r="I1317" s="22" t="s">
        <v>16</v>
      </c>
      <c r="J1317" s="92" t="s">
        <v>2229</v>
      </c>
      <c r="K1317" s="22" t="str">
        <f>VLOOKUP(CONCATENATE(A1317,LEFT(J1317,4)),AGRUPAMENTO!$D$2:$E$6783,2,FALSE)</f>
        <v>Demais despesas de capital</v>
      </c>
      <c r="L1317" s="52" t="s">
        <v>94</v>
      </c>
      <c r="M1317" s="52"/>
      <c r="N1317" s="52">
        <v>10</v>
      </c>
      <c r="O1317" s="107" t="s">
        <v>3437</v>
      </c>
      <c r="P1317" s="52" t="s">
        <v>46</v>
      </c>
      <c r="Q1317" s="107" t="s">
        <v>3872</v>
      </c>
      <c r="R1317" s="107">
        <v>3</v>
      </c>
      <c r="S1317" s="107" t="s">
        <v>3909</v>
      </c>
      <c r="T1317" s="239">
        <v>597</v>
      </c>
      <c r="U1317" s="107">
        <v>1</v>
      </c>
      <c r="V1317" s="58">
        <f t="shared" si="90"/>
        <v>1791</v>
      </c>
      <c r="W1317" s="52" t="s">
        <v>49</v>
      </c>
      <c r="X1317" s="107" t="s">
        <v>5074</v>
      </c>
      <c r="Y1317" s="304" t="s">
        <v>5075</v>
      </c>
      <c r="Z1317" s="304" t="s">
        <v>5076</v>
      </c>
      <c r="AA1317" s="52">
        <v>0</v>
      </c>
      <c r="AB1317" s="52">
        <v>0</v>
      </c>
      <c r="AC1317" s="52">
        <v>0</v>
      </c>
      <c r="AD1317" s="21">
        <v>1</v>
      </c>
      <c r="AE1317" s="54">
        <v>1</v>
      </c>
      <c r="AF1317" s="315">
        <f t="shared" si="93"/>
        <v>1791</v>
      </c>
    </row>
    <row r="1318" spans="1:32" ht="195" x14ac:dyDescent="0.25">
      <c r="A1318" s="107" t="s">
        <v>588</v>
      </c>
      <c r="B1318" s="107" t="s">
        <v>2271</v>
      </c>
      <c r="C1318" s="52"/>
      <c r="D1318" s="107" t="s">
        <v>2302</v>
      </c>
      <c r="E1318" s="22" t="str">
        <f t="shared" si="91"/>
        <v>SEJUSPPROG</v>
      </c>
      <c r="F1318" s="122" t="s">
        <v>886</v>
      </c>
      <c r="G1318" s="22" t="str">
        <f t="shared" si="92"/>
        <v>P146SEJUSP</v>
      </c>
      <c r="H1318" s="107" t="s">
        <v>2307</v>
      </c>
      <c r="I1318" s="22" t="s">
        <v>16</v>
      </c>
      <c r="J1318" s="92" t="s">
        <v>2229</v>
      </c>
      <c r="K1318" s="22" t="str">
        <f>VLOOKUP(CONCATENATE(A1318,LEFT(J1318,4)),AGRUPAMENTO!$D$2:$E$6783,2,FALSE)</f>
        <v>Demais despesas de capital</v>
      </c>
      <c r="L1318" s="52" t="s">
        <v>94</v>
      </c>
      <c r="M1318" s="52"/>
      <c r="N1318" s="52">
        <v>10</v>
      </c>
      <c r="O1318" s="107" t="s">
        <v>3438</v>
      </c>
      <c r="P1318" s="52" t="s">
        <v>46</v>
      </c>
      <c r="Q1318" s="107" t="s">
        <v>3872</v>
      </c>
      <c r="R1318" s="107">
        <v>1</v>
      </c>
      <c r="S1318" s="107" t="s">
        <v>3909</v>
      </c>
      <c r="T1318" s="239">
        <v>179.9</v>
      </c>
      <c r="U1318" s="107">
        <v>1</v>
      </c>
      <c r="V1318" s="58">
        <f t="shared" si="90"/>
        <v>179.9</v>
      </c>
      <c r="W1318" s="52" t="s">
        <v>49</v>
      </c>
      <c r="X1318" s="107" t="s">
        <v>5074</v>
      </c>
      <c r="Y1318" s="304" t="s">
        <v>5075</v>
      </c>
      <c r="Z1318" s="304" t="s">
        <v>5076</v>
      </c>
      <c r="AA1318" s="52">
        <v>0</v>
      </c>
      <c r="AB1318" s="52">
        <v>0</v>
      </c>
      <c r="AC1318" s="52">
        <v>0</v>
      </c>
      <c r="AD1318" s="21">
        <v>1</v>
      </c>
      <c r="AE1318" s="54">
        <v>1</v>
      </c>
      <c r="AF1318" s="315">
        <f t="shared" si="93"/>
        <v>179.9</v>
      </c>
    </row>
    <row r="1319" spans="1:32" ht="195" x14ac:dyDescent="0.25">
      <c r="A1319" s="107" t="s">
        <v>588</v>
      </c>
      <c r="B1319" s="107" t="s">
        <v>2271</v>
      </c>
      <c r="C1319" s="52"/>
      <c r="D1319" s="107" t="s">
        <v>2302</v>
      </c>
      <c r="E1319" s="22" t="str">
        <f t="shared" si="91"/>
        <v>SEJUSPPROG</v>
      </c>
      <c r="F1319" s="122" t="s">
        <v>886</v>
      </c>
      <c r="G1319" s="22" t="str">
        <f t="shared" si="92"/>
        <v>P146SEJUSP</v>
      </c>
      <c r="H1319" s="107" t="s">
        <v>2307</v>
      </c>
      <c r="I1319" s="22" t="s">
        <v>16</v>
      </c>
      <c r="J1319" s="92" t="s">
        <v>2229</v>
      </c>
      <c r="K1319" s="22" t="str">
        <f>VLOOKUP(CONCATENATE(A1319,LEFT(J1319,4)),AGRUPAMENTO!$D$2:$E$6783,2,FALSE)</f>
        <v>Demais despesas de capital</v>
      </c>
      <c r="L1319" s="52" t="s">
        <v>94</v>
      </c>
      <c r="M1319" s="52"/>
      <c r="N1319" s="52">
        <v>10</v>
      </c>
      <c r="O1319" s="107" t="s">
        <v>3439</v>
      </c>
      <c r="P1319" s="52" t="s">
        <v>46</v>
      </c>
      <c r="Q1319" s="107" t="s">
        <v>3872</v>
      </c>
      <c r="R1319" s="107">
        <v>1</v>
      </c>
      <c r="S1319" s="107" t="s">
        <v>3909</v>
      </c>
      <c r="T1319" s="239">
        <v>628</v>
      </c>
      <c r="U1319" s="107">
        <v>1</v>
      </c>
      <c r="V1319" s="58">
        <f t="shared" si="90"/>
        <v>628</v>
      </c>
      <c r="W1319" s="52" t="s">
        <v>49</v>
      </c>
      <c r="X1319" s="107" t="s">
        <v>5074</v>
      </c>
      <c r="Y1319" s="304" t="s">
        <v>5075</v>
      </c>
      <c r="Z1319" s="304" t="s">
        <v>5076</v>
      </c>
      <c r="AA1319" s="52">
        <v>0</v>
      </c>
      <c r="AB1319" s="52">
        <v>0</v>
      </c>
      <c r="AC1319" s="52">
        <v>0</v>
      </c>
      <c r="AD1319" s="21">
        <v>1</v>
      </c>
      <c r="AE1319" s="54">
        <v>1</v>
      </c>
      <c r="AF1319" s="315">
        <f t="shared" si="93"/>
        <v>628</v>
      </c>
    </row>
    <row r="1320" spans="1:32" ht="195" x14ac:dyDescent="0.25">
      <c r="A1320" s="107" t="s">
        <v>588</v>
      </c>
      <c r="B1320" s="107" t="s">
        <v>2271</v>
      </c>
      <c r="C1320" s="52"/>
      <c r="D1320" s="107" t="s">
        <v>2302</v>
      </c>
      <c r="E1320" s="22" t="str">
        <f t="shared" si="91"/>
        <v>SEJUSPPROG</v>
      </c>
      <c r="F1320" s="122" t="s">
        <v>886</v>
      </c>
      <c r="G1320" s="22" t="str">
        <f t="shared" si="92"/>
        <v>P146SEJUSP</v>
      </c>
      <c r="H1320" s="107" t="s">
        <v>2307</v>
      </c>
      <c r="I1320" s="22" t="s">
        <v>16</v>
      </c>
      <c r="J1320" s="92" t="s">
        <v>2229</v>
      </c>
      <c r="K1320" s="22" t="str">
        <f>VLOOKUP(CONCATENATE(A1320,LEFT(J1320,4)),AGRUPAMENTO!$D$2:$E$6783,2,FALSE)</f>
        <v>Demais despesas de capital</v>
      </c>
      <c r="L1320" s="52" t="s">
        <v>94</v>
      </c>
      <c r="M1320" s="52"/>
      <c r="N1320" s="52">
        <v>10</v>
      </c>
      <c r="O1320" s="107" t="s">
        <v>3440</v>
      </c>
      <c r="P1320" s="52" t="s">
        <v>46</v>
      </c>
      <c r="Q1320" s="107" t="s">
        <v>3872</v>
      </c>
      <c r="R1320" s="107">
        <v>2</v>
      </c>
      <c r="S1320" s="107" t="s">
        <v>3909</v>
      </c>
      <c r="T1320" s="239">
        <v>93.09</v>
      </c>
      <c r="U1320" s="107">
        <v>1</v>
      </c>
      <c r="V1320" s="58">
        <f t="shared" si="90"/>
        <v>186.18</v>
      </c>
      <c r="W1320" s="52" t="s">
        <v>49</v>
      </c>
      <c r="X1320" s="107" t="s">
        <v>5074</v>
      </c>
      <c r="Y1320" s="304" t="s">
        <v>5075</v>
      </c>
      <c r="Z1320" s="304" t="s">
        <v>5076</v>
      </c>
      <c r="AA1320" s="52">
        <v>0</v>
      </c>
      <c r="AB1320" s="52">
        <v>0</v>
      </c>
      <c r="AC1320" s="52">
        <v>0</v>
      </c>
      <c r="AD1320" s="21">
        <v>1</v>
      </c>
      <c r="AE1320" s="54">
        <v>1</v>
      </c>
      <c r="AF1320" s="315">
        <f t="shared" si="93"/>
        <v>186.18</v>
      </c>
    </row>
    <row r="1321" spans="1:32" ht="195" x14ac:dyDescent="0.25">
      <c r="A1321" s="107" t="s">
        <v>588</v>
      </c>
      <c r="B1321" s="107" t="s">
        <v>2271</v>
      </c>
      <c r="C1321" s="52"/>
      <c r="D1321" s="107" t="s">
        <v>2302</v>
      </c>
      <c r="E1321" s="22" t="str">
        <f t="shared" si="91"/>
        <v>SEJUSPPROG</v>
      </c>
      <c r="F1321" s="122" t="s">
        <v>886</v>
      </c>
      <c r="G1321" s="22" t="str">
        <f t="shared" si="92"/>
        <v>P146SEJUSP</v>
      </c>
      <c r="H1321" s="107" t="s">
        <v>2307</v>
      </c>
      <c r="I1321" s="22" t="s">
        <v>16</v>
      </c>
      <c r="J1321" s="92" t="s">
        <v>2229</v>
      </c>
      <c r="K1321" s="22" t="str">
        <f>VLOOKUP(CONCATENATE(A1321,LEFT(J1321,4)),AGRUPAMENTO!$D$2:$E$6783,2,FALSE)</f>
        <v>Demais despesas de capital</v>
      </c>
      <c r="L1321" s="52" t="s">
        <v>94</v>
      </c>
      <c r="M1321" s="52"/>
      <c r="N1321" s="52">
        <v>10</v>
      </c>
      <c r="O1321" s="107" t="s">
        <v>3441</v>
      </c>
      <c r="P1321" s="52" t="s">
        <v>46</v>
      </c>
      <c r="Q1321" s="107" t="s">
        <v>3812</v>
      </c>
      <c r="R1321" s="107">
        <v>2</v>
      </c>
      <c r="S1321" s="107" t="s">
        <v>3909</v>
      </c>
      <c r="T1321" s="239">
        <v>375</v>
      </c>
      <c r="U1321" s="107">
        <v>1</v>
      </c>
      <c r="V1321" s="58">
        <f t="shared" si="90"/>
        <v>750</v>
      </c>
      <c r="W1321" s="52" t="s">
        <v>49</v>
      </c>
      <c r="X1321" s="107" t="s">
        <v>5074</v>
      </c>
      <c r="Y1321" s="304" t="s">
        <v>5075</v>
      </c>
      <c r="Z1321" s="304" t="s">
        <v>5076</v>
      </c>
      <c r="AA1321" s="52">
        <v>0</v>
      </c>
      <c r="AB1321" s="52">
        <v>0</v>
      </c>
      <c r="AC1321" s="52">
        <v>0</v>
      </c>
      <c r="AD1321" s="21">
        <v>1</v>
      </c>
      <c r="AE1321" s="54">
        <v>1</v>
      </c>
      <c r="AF1321" s="315">
        <f t="shared" si="93"/>
        <v>750</v>
      </c>
    </row>
    <row r="1322" spans="1:32" ht="195" x14ac:dyDescent="0.25">
      <c r="A1322" s="107" t="s">
        <v>588</v>
      </c>
      <c r="B1322" s="107" t="s">
        <v>2271</v>
      </c>
      <c r="C1322" s="52"/>
      <c r="D1322" s="107" t="s">
        <v>2302</v>
      </c>
      <c r="E1322" s="22" t="str">
        <f t="shared" si="91"/>
        <v>SEJUSPPROG</v>
      </c>
      <c r="F1322" s="122" t="s">
        <v>886</v>
      </c>
      <c r="G1322" s="22" t="str">
        <f t="shared" si="92"/>
        <v>P146SEJUSP</v>
      </c>
      <c r="H1322" s="107" t="s">
        <v>2307</v>
      </c>
      <c r="I1322" s="22" t="s">
        <v>16</v>
      </c>
      <c r="J1322" s="92" t="s">
        <v>2229</v>
      </c>
      <c r="K1322" s="22" t="str">
        <f>VLOOKUP(CONCATENATE(A1322,LEFT(J1322,4)),AGRUPAMENTO!$D$2:$E$6783,2,FALSE)</f>
        <v>Demais despesas de capital</v>
      </c>
      <c r="L1322" s="52" t="s">
        <v>94</v>
      </c>
      <c r="M1322" s="52"/>
      <c r="N1322" s="52">
        <v>10</v>
      </c>
      <c r="O1322" s="107" t="s">
        <v>3442</v>
      </c>
      <c r="P1322" s="52" t="s">
        <v>46</v>
      </c>
      <c r="Q1322" s="107" t="s">
        <v>3872</v>
      </c>
      <c r="R1322" s="107">
        <v>1</v>
      </c>
      <c r="S1322" s="107" t="s">
        <v>3909</v>
      </c>
      <c r="T1322" s="239">
        <v>98.9</v>
      </c>
      <c r="U1322" s="107">
        <v>1</v>
      </c>
      <c r="V1322" s="58">
        <f t="shared" si="90"/>
        <v>98.9</v>
      </c>
      <c r="W1322" s="52" t="s">
        <v>49</v>
      </c>
      <c r="X1322" s="107" t="s">
        <v>5074</v>
      </c>
      <c r="Y1322" s="304" t="s">
        <v>5075</v>
      </c>
      <c r="Z1322" s="304" t="s">
        <v>5076</v>
      </c>
      <c r="AA1322" s="52">
        <v>0</v>
      </c>
      <c r="AB1322" s="52">
        <v>0</v>
      </c>
      <c r="AC1322" s="52">
        <v>0</v>
      </c>
      <c r="AD1322" s="21">
        <v>1</v>
      </c>
      <c r="AE1322" s="54">
        <v>1</v>
      </c>
      <c r="AF1322" s="315">
        <f t="shared" si="93"/>
        <v>98.9</v>
      </c>
    </row>
    <row r="1323" spans="1:32" ht="195" x14ac:dyDescent="0.25">
      <c r="A1323" s="107" t="s">
        <v>588</v>
      </c>
      <c r="B1323" s="107" t="s">
        <v>2271</v>
      </c>
      <c r="C1323" s="52"/>
      <c r="D1323" s="107" t="s">
        <v>2302</v>
      </c>
      <c r="E1323" s="22" t="str">
        <f t="shared" si="91"/>
        <v>SEJUSPPROG</v>
      </c>
      <c r="F1323" s="122" t="s">
        <v>886</v>
      </c>
      <c r="G1323" s="22" t="str">
        <f t="shared" si="92"/>
        <v>P146SEJUSP</v>
      </c>
      <c r="H1323" s="107" t="s">
        <v>2307</v>
      </c>
      <c r="I1323" s="22" t="s">
        <v>16</v>
      </c>
      <c r="J1323" s="92" t="s">
        <v>2229</v>
      </c>
      <c r="K1323" s="22" t="str">
        <f>VLOOKUP(CONCATENATE(A1323,LEFT(J1323,4)),AGRUPAMENTO!$D$2:$E$6783,2,FALSE)</f>
        <v>Demais despesas de capital</v>
      </c>
      <c r="L1323" s="52" t="s">
        <v>94</v>
      </c>
      <c r="M1323" s="52"/>
      <c r="N1323" s="52">
        <v>10</v>
      </c>
      <c r="O1323" s="107" t="s">
        <v>3443</v>
      </c>
      <c r="P1323" s="52" t="s">
        <v>46</v>
      </c>
      <c r="Q1323" s="107" t="s">
        <v>3872</v>
      </c>
      <c r="R1323" s="107">
        <v>1</v>
      </c>
      <c r="S1323" s="107" t="s">
        <v>3909</v>
      </c>
      <c r="T1323" s="239">
        <v>99.9</v>
      </c>
      <c r="U1323" s="107">
        <v>1</v>
      </c>
      <c r="V1323" s="58">
        <f t="shared" si="90"/>
        <v>99.9</v>
      </c>
      <c r="W1323" s="52" t="s">
        <v>49</v>
      </c>
      <c r="X1323" s="107" t="s">
        <v>5074</v>
      </c>
      <c r="Y1323" s="304" t="s">
        <v>5075</v>
      </c>
      <c r="Z1323" s="304" t="s">
        <v>5076</v>
      </c>
      <c r="AA1323" s="52">
        <v>0</v>
      </c>
      <c r="AB1323" s="52">
        <v>0</v>
      </c>
      <c r="AC1323" s="52">
        <v>0</v>
      </c>
      <c r="AD1323" s="21">
        <v>1</v>
      </c>
      <c r="AE1323" s="54">
        <v>1</v>
      </c>
      <c r="AF1323" s="315">
        <f t="shared" si="93"/>
        <v>99.9</v>
      </c>
    </row>
    <row r="1324" spans="1:32" ht="195" x14ac:dyDescent="0.25">
      <c r="A1324" s="107" t="s">
        <v>588</v>
      </c>
      <c r="B1324" s="107" t="s">
        <v>2271</v>
      </c>
      <c r="C1324" s="52"/>
      <c r="D1324" s="107" t="s">
        <v>2302</v>
      </c>
      <c r="E1324" s="22" t="str">
        <f t="shared" si="91"/>
        <v>SEJUSPPROG</v>
      </c>
      <c r="F1324" s="122" t="s">
        <v>886</v>
      </c>
      <c r="G1324" s="22" t="str">
        <f t="shared" si="92"/>
        <v>P146SEJUSP</v>
      </c>
      <c r="H1324" s="107" t="s">
        <v>2307</v>
      </c>
      <c r="I1324" s="22" t="s">
        <v>16</v>
      </c>
      <c r="J1324" s="92" t="s">
        <v>2229</v>
      </c>
      <c r="K1324" s="22" t="str">
        <f>VLOOKUP(CONCATENATE(A1324,LEFT(J1324,4)),AGRUPAMENTO!$D$2:$E$6783,2,FALSE)</f>
        <v>Demais despesas de capital</v>
      </c>
      <c r="L1324" s="52" t="s">
        <v>94</v>
      </c>
      <c r="M1324" s="52"/>
      <c r="N1324" s="52">
        <v>10</v>
      </c>
      <c r="O1324" s="107" t="s">
        <v>3444</v>
      </c>
      <c r="P1324" s="52" t="s">
        <v>46</v>
      </c>
      <c r="Q1324" s="107" t="s">
        <v>3872</v>
      </c>
      <c r="R1324" s="107">
        <v>2</v>
      </c>
      <c r="S1324" s="107" t="s">
        <v>3909</v>
      </c>
      <c r="T1324" s="239">
        <v>919</v>
      </c>
      <c r="U1324" s="107">
        <v>1</v>
      </c>
      <c r="V1324" s="58">
        <f t="shared" si="90"/>
        <v>1838</v>
      </c>
      <c r="W1324" s="52" t="s">
        <v>49</v>
      </c>
      <c r="X1324" s="107" t="s">
        <v>5074</v>
      </c>
      <c r="Y1324" s="304" t="s">
        <v>5075</v>
      </c>
      <c r="Z1324" s="304" t="s">
        <v>5076</v>
      </c>
      <c r="AA1324" s="52">
        <v>0</v>
      </c>
      <c r="AB1324" s="52">
        <v>0</v>
      </c>
      <c r="AC1324" s="52">
        <v>0</v>
      </c>
      <c r="AD1324" s="21">
        <v>1</v>
      </c>
      <c r="AE1324" s="54">
        <v>1</v>
      </c>
      <c r="AF1324" s="315">
        <f t="shared" si="93"/>
        <v>1838</v>
      </c>
    </row>
    <row r="1325" spans="1:32" ht="195" x14ac:dyDescent="0.25">
      <c r="A1325" s="107" t="s">
        <v>588</v>
      </c>
      <c r="B1325" s="107" t="s">
        <v>2271</v>
      </c>
      <c r="C1325" s="52"/>
      <c r="D1325" s="107" t="s">
        <v>2302</v>
      </c>
      <c r="E1325" s="22" t="str">
        <f t="shared" si="91"/>
        <v>SEJUSPPROG</v>
      </c>
      <c r="F1325" s="122" t="s">
        <v>886</v>
      </c>
      <c r="G1325" s="22" t="str">
        <f t="shared" si="92"/>
        <v>P146SEJUSP</v>
      </c>
      <c r="H1325" s="107" t="s">
        <v>2307</v>
      </c>
      <c r="I1325" s="22" t="s">
        <v>16</v>
      </c>
      <c r="J1325" s="92" t="s">
        <v>2229</v>
      </c>
      <c r="K1325" s="22" t="str">
        <f>VLOOKUP(CONCATENATE(A1325,LEFT(J1325,4)),AGRUPAMENTO!$D$2:$E$6783,2,FALSE)</f>
        <v>Demais despesas de capital</v>
      </c>
      <c r="L1325" s="52" t="s">
        <v>94</v>
      </c>
      <c r="M1325" s="52"/>
      <c r="N1325" s="52">
        <v>10</v>
      </c>
      <c r="O1325" s="107" t="s">
        <v>3445</v>
      </c>
      <c r="P1325" s="52" t="s">
        <v>46</v>
      </c>
      <c r="Q1325" s="107" t="s">
        <v>3812</v>
      </c>
      <c r="R1325" s="107">
        <v>12</v>
      </c>
      <c r="S1325" s="107" t="s">
        <v>3909</v>
      </c>
      <c r="T1325" s="239">
        <v>65.989999999999995</v>
      </c>
      <c r="U1325" s="107">
        <v>1</v>
      </c>
      <c r="V1325" s="58">
        <f t="shared" si="90"/>
        <v>791.87999999999988</v>
      </c>
      <c r="W1325" s="52" t="s">
        <v>49</v>
      </c>
      <c r="X1325" s="107" t="s">
        <v>5074</v>
      </c>
      <c r="Y1325" s="304" t="s">
        <v>5075</v>
      </c>
      <c r="Z1325" s="304" t="s">
        <v>5076</v>
      </c>
      <c r="AA1325" s="52">
        <v>0</v>
      </c>
      <c r="AB1325" s="52">
        <v>0</v>
      </c>
      <c r="AC1325" s="52">
        <v>0</v>
      </c>
      <c r="AD1325" s="21">
        <v>1</v>
      </c>
      <c r="AE1325" s="54">
        <v>1</v>
      </c>
      <c r="AF1325" s="315">
        <f t="shared" si="93"/>
        <v>791.87999999999988</v>
      </c>
    </row>
    <row r="1326" spans="1:32" ht="195" x14ac:dyDescent="0.25">
      <c r="A1326" s="107" t="s">
        <v>588</v>
      </c>
      <c r="B1326" s="107" t="s">
        <v>2271</v>
      </c>
      <c r="C1326" s="52"/>
      <c r="D1326" s="107" t="s">
        <v>2302</v>
      </c>
      <c r="E1326" s="22" t="str">
        <f t="shared" si="91"/>
        <v>SEJUSPPROG</v>
      </c>
      <c r="F1326" s="122" t="s">
        <v>886</v>
      </c>
      <c r="G1326" s="22" t="str">
        <f t="shared" si="92"/>
        <v>P146SEJUSP</v>
      </c>
      <c r="H1326" s="107" t="s">
        <v>2307</v>
      </c>
      <c r="I1326" s="22" t="s">
        <v>16</v>
      </c>
      <c r="J1326" s="92" t="s">
        <v>2229</v>
      </c>
      <c r="K1326" s="22" t="str">
        <f>VLOOKUP(CONCATENATE(A1326,LEFT(J1326,4)),AGRUPAMENTO!$D$2:$E$6783,2,FALSE)</f>
        <v>Demais despesas de capital</v>
      </c>
      <c r="L1326" s="52" t="s">
        <v>94</v>
      </c>
      <c r="M1326" s="52"/>
      <c r="N1326" s="52">
        <v>10</v>
      </c>
      <c r="O1326" s="107" t="s">
        <v>3446</v>
      </c>
      <c r="P1326" s="52" t="s">
        <v>46</v>
      </c>
      <c r="Q1326" s="107" t="s">
        <v>3872</v>
      </c>
      <c r="R1326" s="107">
        <v>1</v>
      </c>
      <c r="S1326" s="107" t="s">
        <v>3909</v>
      </c>
      <c r="T1326" s="239">
        <v>317.89999999999998</v>
      </c>
      <c r="U1326" s="107">
        <v>1</v>
      </c>
      <c r="V1326" s="58">
        <f t="shared" si="90"/>
        <v>317.89999999999998</v>
      </c>
      <c r="W1326" s="52" t="s">
        <v>49</v>
      </c>
      <c r="X1326" s="107" t="s">
        <v>5074</v>
      </c>
      <c r="Y1326" s="304" t="s">
        <v>5075</v>
      </c>
      <c r="Z1326" s="304" t="s">
        <v>5076</v>
      </c>
      <c r="AA1326" s="52">
        <v>0</v>
      </c>
      <c r="AB1326" s="52">
        <v>0</v>
      </c>
      <c r="AC1326" s="52">
        <v>0</v>
      </c>
      <c r="AD1326" s="21">
        <v>1</v>
      </c>
      <c r="AE1326" s="54">
        <v>1</v>
      </c>
      <c r="AF1326" s="315">
        <f t="shared" si="93"/>
        <v>317.89999999999998</v>
      </c>
    </row>
    <row r="1327" spans="1:32" ht="195" x14ac:dyDescent="0.25">
      <c r="A1327" s="107" t="s">
        <v>588</v>
      </c>
      <c r="B1327" s="107" t="s">
        <v>2271</v>
      </c>
      <c r="C1327" s="52"/>
      <c r="D1327" s="107" t="s">
        <v>2302</v>
      </c>
      <c r="E1327" s="22" t="str">
        <f t="shared" si="91"/>
        <v>SEJUSPPROG</v>
      </c>
      <c r="F1327" s="122" t="s">
        <v>886</v>
      </c>
      <c r="G1327" s="22" t="str">
        <f t="shared" si="92"/>
        <v>P146SEJUSP</v>
      </c>
      <c r="H1327" s="107" t="s">
        <v>2307</v>
      </c>
      <c r="I1327" s="22" t="s">
        <v>16</v>
      </c>
      <c r="J1327" s="92" t="s">
        <v>2229</v>
      </c>
      <c r="K1327" s="22" t="str">
        <f>VLOOKUP(CONCATENATE(A1327,LEFT(J1327,4)),AGRUPAMENTO!$D$2:$E$6783,2,FALSE)</f>
        <v>Demais despesas de capital</v>
      </c>
      <c r="L1327" s="52" t="s">
        <v>94</v>
      </c>
      <c r="M1327" s="52"/>
      <c r="N1327" s="52">
        <v>10</v>
      </c>
      <c r="O1327" s="107" t="s">
        <v>3447</v>
      </c>
      <c r="P1327" s="52" t="s">
        <v>46</v>
      </c>
      <c r="Q1327" s="107" t="s">
        <v>3872</v>
      </c>
      <c r="R1327" s="107">
        <v>2</v>
      </c>
      <c r="S1327" s="107" t="s">
        <v>3909</v>
      </c>
      <c r="T1327" s="239">
        <v>930.47</v>
      </c>
      <c r="U1327" s="107">
        <v>1</v>
      </c>
      <c r="V1327" s="58">
        <f t="shared" si="90"/>
        <v>1860.94</v>
      </c>
      <c r="W1327" s="52" t="s">
        <v>49</v>
      </c>
      <c r="X1327" s="107" t="s">
        <v>5074</v>
      </c>
      <c r="Y1327" s="304" t="s">
        <v>5075</v>
      </c>
      <c r="Z1327" s="304" t="s">
        <v>5076</v>
      </c>
      <c r="AA1327" s="52">
        <v>0</v>
      </c>
      <c r="AB1327" s="52">
        <v>0</v>
      </c>
      <c r="AC1327" s="52">
        <v>0</v>
      </c>
      <c r="AD1327" s="21">
        <v>1</v>
      </c>
      <c r="AE1327" s="54">
        <v>1</v>
      </c>
      <c r="AF1327" s="315">
        <f t="shared" si="93"/>
        <v>1860.94</v>
      </c>
    </row>
    <row r="1328" spans="1:32" ht="195" x14ac:dyDescent="0.25">
      <c r="A1328" s="107" t="s">
        <v>588</v>
      </c>
      <c r="B1328" s="107" t="s">
        <v>2271</v>
      </c>
      <c r="C1328" s="52"/>
      <c r="D1328" s="107" t="s">
        <v>2302</v>
      </c>
      <c r="E1328" s="22" t="str">
        <f t="shared" si="91"/>
        <v>SEJUSPPROG</v>
      </c>
      <c r="F1328" s="122" t="s">
        <v>886</v>
      </c>
      <c r="G1328" s="22" t="str">
        <f t="shared" si="92"/>
        <v>P146SEJUSP</v>
      </c>
      <c r="H1328" s="107" t="s">
        <v>2307</v>
      </c>
      <c r="I1328" s="22" t="s">
        <v>16</v>
      </c>
      <c r="J1328" s="92" t="s">
        <v>2229</v>
      </c>
      <c r="K1328" s="22" t="str">
        <f>VLOOKUP(CONCATENATE(A1328,LEFT(J1328,4)),AGRUPAMENTO!$D$2:$E$6783,2,FALSE)</f>
        <v>Demais despesas de capital</v>
      </c>
      <c r="L1328" s="52" t="s">
        <v>94</v>
      </c>
      <c r="M1328" s="52"/>
      <c r="N1328" s="52">
        <v>10</v>
      </c>
      <c r="O1328" s="107" t="s">
        <v>3448</v>
      </c>
      <c r="P1328" s="52" t="s">
        <v>46</v>
      </c>
      <c r="Q1328" s="107" t="s">
        <v>3812</v>
      </c>
      <c r="R1328" s="107">
        <v>8</v>
      </c>
      <c r="S1328" s="107" t="s">
        <v>3909</v>
      </c>
      <c r="T1328" s="239">
        <v>59.3</v>
      </c>
      <c r="U1328" s="107">
        <v>1</v>
      </c>
      <c r="V1328" s="58">
        <f t="shared" si="90"/>
        <v>474.4</v>
      </c>
      <c r="W1328" s="52" t="s">
        <v>49</v>
      </c>
      <c r="X1328" s="107" t="s">
        <v>5074</v>
      </c>
      <c r="Y1328" s="304" t="s">
        <v>5075</v>
      </c>
      <c r="Z1328" s="304" t="s">
        <v>5076</v>
      </c>
      <c r="AA1328" s="52">
        <v>0</v>
      </c>
      <c r="AB1328" s="52">
        <v>0</v>
      </c>
      <c r="AC1328" s="52">
        <v>0</v>
      </c>
      <c r="AD1328" s="21">
        <v>1</v>
      </c>
      <c r="AE1328" s="54">
        <v>1</v>
      </c>
      <c r="AF1328" s="315">
        <f t="shared" si="93"/>
        <v>474.4</v>
      </c>
    </row>
    <row r="1329" spans="1:32" ht="195" x14ac:dyDescent="0.25">
      <c r="A1329" s="107" t="s">
        <v>588</v>
      </c>
      <c r="B1329" s="107" t="s">
        <v>2271</v>
      </c>
      <c r="C1329" s="52"/>
      <c r="D1329" s="107" t="s">
        <v>2302</v>
      </c>
      <c r="E1329" s="22" t="str">
        <f t="shared" si="91"/>
        <v>SEJUSPPROG</v>
      </c>
      <c r="F1329" s="122" t="s">
        <v>886</v>
      </c>
      <c r="G1329" s="22" t="str">
        <f t="shared" si="92"/>
        <v>P146SEJUSP</v>
      </c>
      <c r="H1329" s="107" t="s">
        <v>2307</v>
      </c>
      <c r="I1329" s="22" t="s">
        <v>16</v>
      </c>
      <c r="J1329" s="92" t="s">
        <v>2229</v>
      </c>
      <c r="K1329" s="22" t="str">
        <f>VLOOKUP(CONCATENATE(A1329,LEFT(J1329,4)),AGRUPAMENTO!$D$2:$E$6783,2,FALSE)</f>
        <v>Demais despesas de capital</v>
      </c>
      <c r="L1329" s="52" t="s">
        <v>94</v>
      </c>
      <c r="M1329" s="52"/>
      <c r="N1329" s="52">
        <v>10</v>
      </c>
      <c r="O1329" s="107" t="s">
        <v>3449</v>
      </c>
      <c r="P1329" s="52" t="s">
        <v>46</v>
      </c>
      <c r="Q1329" s="107" t="s">
        <v>3872</v>
      </c>
      <c r="R1329" s="107">
        <v>9</v>
      </c>
      <c r="S1329" s="107" t="s">
        <v>3909</v>
      </c>
      <c r="T1329" s="239">
        <v>46.97</v>
      </c>
      <c r="U1329" s="107">
        <v>1</v>
      </c>
      <c r="V1329" s="58">
        <f t="shared" si="90"/>
        <v>422.73</v>
      </c>
      <c r="W1329" s="52" t="s">
        <v>49</v>
      </c>
      <c r="X1329" s="107" t="s">
        <v>5074</v>
      </c>
      <c r="Y1329" s="304" t="s">
        <v>5075</v>
      </c>
      <c r="Z1329" s="304" t="s">
        <v>5076</v>
      </c>
      <c r="AA1329" s="52">
        <v>0</v>
      </c>
      <c r="AB1329" s="52">
        <v>0</v>
      </c>
      <c r="AC1329" s="52">
        <v>0</v>
      </c>
      <c r="AD1329" s="21">
        <v>1</v>
      </c>
      <c r="AE1329" s="54">
        <v>1</v>
      </c>
      <c r="AF1329" s="315">
        <f t="shared" si="93"/>
        <v>422.73</v>
      </c>
    </row>
    <row r="1330" spans="1:32" ht="405" x14ac:dyDescent="0.25">
      <c r="A1330" s="107" t="s">
        <v>588</v>
      </c>
      <c r="B1330" s="107" t="s">
        <v>2271</v>
      </c>
      <c r="C1330" s="52"/>
      <c r="D1330" s="107" t="s">
        <v>2302</v>
      </c>
      <c r="E1330" s="22" t="str">
        <f t="shared" si="91"/>
        <v>SEJUSPPROG</v>
      </c>
      <c r="F1330" s="122" t="s">
        <v>886</v>
      </c>
      <c r="G1330" s="22" t="str">
        <f t="shared" si="92"/>
        <v>P146SEJUSP</v>
      </c>
      <c r="H1330" s="107" t="s">
        <v>2307</v>
      </c>
      <c r="I1330" s="22" t="s">
        <v>16</v>
      </c>
      <c r="J1330" s="92" t="s">
        <v>2229</v>
      </c>
      <c r="K1330" s="22" t="str">
        <f>VLOOKUP(CONCATENATE(A1330,LEFT(J1330,4)),AGRUPAMENTO!$D$2:$E$6783,2,FALSE)</f>
        <v>Demais despesas de capital</v>
      </c>
      <c r="L1330" s="52" t="s">
        <v>94</v>
      </c>
      <c r="M1330" s="52"/>
      <c r="N1330" s="52">
        <v>10</v>
      </c>
      <c r="O1330" s="107" t="s">
        <v>3450</v>
      </c>
      <c r="P1330" s="52" t="s">
        <v>46</v>
      </c>
      <c r="Q1330" s="107" t="s">
        <v>3872</v>
      </c>
      <c r="R1330" s="107">
        <v>35</v>
      </c>
      <c r="S1330" s="107" t="s">
        <v>3909</v>
      </c>
      <c r="T1330" s="239">
        <v>76.7</v>
      </c>
      <c r="U1330" s="107">
        <v>1</v>
      </c>
      <c r="V1330" s="58">
        <f t="shared" si="90"/>
        <v>2684.5</v>
      </c>
      <c r="W1330" s="52" t="s">
        <v>49</v>
      </c>
      <c r="X1330" s="107" t="s">
        <v>5074</v>
      </c>
      <c r="Y1330" s="304" t="s">
        <v>5075</v>
      </c>
      <c r="Z1330" s="304" t="s">
        <v>5076</v>
      </c>
      <c r="AA1330" s="52">
        <v>0</v>
      </c>
      <c r="AB1330" s="52">
        <v>0</v>
      </c>
      <c r="AC1330" s="52">
        <v>0</v>
      </c>
      <c r="AD1330" s="21">
        <v>1</v>
      </c>
      <c r="AE1330" s="54">
        <v>1</v>
      </c>
      <c r="AF1330" s="315">
        <f t="shared" si="93"/>
        <v>2684.5</v>
      </c>
    </row>
    <row r="1331" spans="1:32" ht="240" x14ac:dyDescent="0.25">
      <c r="A1331" s="107" t="s">
        <v>588</v>
      </c>
      <c r="B1331" s="107" t="s">
        <v>2271</v>
      </c>
      <c r="C1331" s="52"/>
      <c r="D1331" s="107" t="s">
        <v>2302</v>
      </c>
      <c r="E1331" s="22" t="str">
        <f t="shared" si="91"/>
        <v>SEJUSPPROG</v>
      </c>
      <c r="F1331" s="122" t="s">
        <v>886</v>
      </c>
      <c r="G1331" s="22" t="str">
        <f t="shared" si="92"/>
        <v>P146SEJUSP</v>
      </c>
      <c r="H1331" s="107" t="s">
        <v>2307</v>
      </c>
      <c r="I1331" s="22" t="s">
        <v>16</v>
      </c>
      <c r="J1331" s="92" t="s">
        <v>2229</v>
      </c>
      <c r="K1331" s="22" t="str">
        <f>VLOOKUP(CONCATENATE(A1331,LEFT(J1331,4)),AGRUPAMENTO!$D$2:$E$6783,2,FALSE)</f>
        <v>Demais despesas de capital</v>
      </c>
      <c r="L1331" s="52" t="s">
        <v>94</v>
      </c>
      <c r="M1331" s="52"/>
      <c r="N1331" s="52">
        <v>10</v>
      </c>
      <c r="O1331" s="107" t="s">
        <v>3451</v>
      </c>
      <c r="P1331" s="52" t="s">
        <v>46</v>
      </c>
      <c r="Q1331" s="107" t="s">
        <v>3872</v>
      </c>
      <c r="R1331" s="107">
        <v>19</v>
      </c>
      <c r="S1331" s="107" t="s">
        <v>3909</v>
      </c>
      <c r="T1331" s="239">
        <v>417.05</v>
      </c>
      <c r="U1331" s="107">
        <v>1</v>
      </c>
      <c r="V1331" s="58">
        <f t="shared" si="90"/>
        <v>7923.95</v>
      </c>
      <c r="W1331" s="52" t="s">
        <v>49</v>
      </c>
      <c r="X1331" s="107" t="s">
        <v>5074</v>
      </c>
      <c r="Y1331" s="304" t="s">
        <v>5075</v>
      </c>
      <c r="Z1331" s="304" t="s">
        <v>5076</v>
      </c>
      <c r="AA1331" s="52">
        <v>0</v>
      </c>
      <c r="AB1331" s="52">
        <v>0</v>
      </c>
      <c r="AC1331" s="52">
        <v>0</v>
      </c>
      <c r="AD1331" s="21">
        <v>1</v>
      </c>
      <c r="AE1331" s="54">
        <v>1</v>
      </c>
      <c r="AF1331" s="315">
        <f t="shared" si="93"/>
        <v>7923.95</v>
      </c>
    </row>
    <row r="1332" spans="1:32" ht="195" x14ac:dyDescent="0.25">
      <c r="A1332" s="107" t="s">
        <v>588</v>
      </c>
      <c r="B1332" s="107" t="s">
        <v>2271</v>
      </c>
      <c r="C1332" s="52"/>
      <c r="D1332" s="107" t="s">
        <v>2302</v>
      </c>
      <c r="E1332" s="22" t="str">
        <f t="shared" si="91"/>
        <v>SEJUSPPROG</v>
      </c>
      <c r="F1332" s="122" t="s">
        <v>886</v>
      </c>
      <c r="G1332" s="22" t="str">
        <f t="shared" si="92"/>
        <v>P146SEJUSP</v>
      </c>
      <c r="H1332" s="107" t="s">
        <v>2307</v>
      </c>
      <c r="I1332" s="22" t="s">
        <v>16</v>
      </c>
      <c r="J1332" s="92" t="s">
        <v>2229</v>
      </c>
      <c r="K1332" s="22" t="str">
        <f>VLOOKUP(CONCATENATE(A1332,LEFT(J1332,4)),AGRUPAMENTO!$D$2:$E$6783,2,FALSE)</f>
        <v>Demais despesas de capital</v>
      </c>
      <c r="L1332" s="52" t="s">
        <v>94</v>
      </c>
      <c r="M1332" s="52"/>
      <c r="N1332" s="52">
        <v>10</v>
      </c>
      <c r="O1332" s="107" t="s">
        <v>3452</v>
      </c>
      <c r="P1332" s="52" t="s">
        <v>46</v>
      </c>
      <c r="Q1332" s="107" t="s">
        <v>3872</v>
      </c>
      <c r="R1332" s="107">
        <v>2</v>
      </c>
      <c r="S1332" s="107" t="s">
        <v>3909</v>
      </c>
      <c r="T1332" s="239">
        <v>555</v>
      </c>
      <c r="U1332" s="107">
        <v>1</v>
      </c>
      <c r="V1332" s="58">
        <f t="shared" si="90"/>
        <v>1110</v>
      </c>
      <c r="W1332" s="52" t="s">
        <v>49</v>
      </c>
      <c r="X1332" s="107" t="s">
        <v>5074</v>
      </c>
      <c r="Y1332" s="304" t="s">
        <v>5075</v>
      </c>
      <c r="Z1332" s="304" t="s">
        <v>5076</v>
      </c>
      <c r="AA1332" s="52">
        <v>0</v>
      </c>
      <c r="AB1332" s="52">
        <v>0</v>
      </c>
      <c r="AC1332" s="52">
        <v>0</v>
      </c>
      <c r="AD1332" s="21">
        <v>1</v>
      </c>
      <c r="AE1332" s="54">
        <v>1</v>
      </c>
      <c r="AF1332" s="315">
        <f t="shared" si="93"/>
        <v>1110</v>
      </c>
    </row>
    <row r="1333" spans="1:32" ht="195" x14ac:dyDescent="0.25">
      <c r="A1333" s="107" t="s">
        <v>588</v>
      </c>
      <c r="B1333" s="107" t="s">
        <v>2271</v>
      </c>
      <c r="C1333" s="52"/>
      <c r="D1333" s="107" t="s">
        <v>2302</v>
      </c>
      <c r="E1333" s="22" t="str">
        <f t="shared" si="91"/>
        <v>SEJUSPPROG</v>
      </c>
      <c r="F1333" s="122" t="s">
        <v>886</v>
      </c>
      <c r="G1333" s="22" t="str">
        <f t="shared" si="92"/>
        <v>P146SEJUSP</v>
      </c>
      <c r="H1333" s="107" t="s">
        <v>2307</v>
      </c>
      <c r="I1333" s="22" t="s">
        <v>16</v>
      </c>
      <c r="J1333" s="92" t="s">
        <v>2229</v>
      </c>
      <c r="K1333" s="22" t="str">
        <f>VLOOKUP(CONCATENATE(A1333,LEFT(J1333,4)),AGRUPAMENTO!$D$2:$E$6783,2,FALSE)</f>
        <v>Demais despesas de capital</v>
      </c>
      <c r="L1333" s="52" t="s">
        <v>94</v>
      </c>
      <c r="M1333" s="52"/>
      <c r="N1333" s="52">
        <v>10</v>
      </c>
      <c r="O1333" s="107" t="s">
        <v>3453</v>
      </c>
      <c r="P1333" s="52" t="s">
        <v>46</v>
      </c>
      <c r="Q1333" s="107" t="s">
        <v>3872</v>
      </c>
      <c r="R1333" s="107">
        <v>1</v>
      </c>
      <c r="S1333" s="107" t="s">
        <v>3909</v>
      </c>
      <c r="T1333" s="239">
        <v>58.99</v>
      </c>
      <c r="U1333" s="107">
        <v>1</v>
      </c>
      <c r="V1333" s="58">
        <f t="shared" si="90"/>
        <v>58.99</v>
      </c>
      <c r="W1333" s="52" t="s">
        <v>49</v>
      </c>
      <c r="X1333" s="107" t="s">
        <v>5074</v>
      </c>
      <c r="Y1333" s="304" t="s">
        <v>5075</v>
      </c>
      <c r="Z1333" s="304" t="s">
        <v>5076</v>
      </c>
      <c r="AA1333" s="52">
        <v>0</v>
      </c>
      <c r="AB1333" s="52">
        <v>0</v>
      </c>
      <c r="AC1333" s="52">
        <v>0</v>
      </c>
      <c r="AD1333" s="21">
        <v>1</v>
      </c>
      <c r="AE1333" s="54">
        <v>1</v>
      </c>
      <c r="AF1333" s="315">
        <f t="shared" si="93"/>
        <v>58.99</v>
      </c>
    </row>
    <row r="1334" spans="1:32" ht="300" x14ac:dyDescent="0.25">
      <c r="A1334" s="107" t="s">
        <v>588</v>
      </c>
      <c r="B1334" s="107" t="s">
        <v>2271</v>
      </c>
      <c r="C1334" s="52"/>
      <c r="D1334" s="107" t="s">
        <v>2302</v>
      </c>
      <c r="E1334" s="22" t="str">
        <f t="shared" si="91"/>
        <v>SEJUSPPROG</v>
      </c>
      <c r="F1334" s="122" t="s">
        <v>886</v>
      </c>
      <c r="G1334" s="22" t="str">
        <f t="shared" si="92"/>
        <v>P146SEJUSP</v>
      </c>
      <c r="H1334" s="107" t="s">
        <v>2307</v>
      </c>
      <c r="I1334" s="22" t="s">
        <v>16</v>
      </c>
      <c r="J1334" s="107" t="s">
        <v>1605</v>
      </c>
      <c r="K1334" s="22" t="str">
        <f>VLOOKUP(CONCATENATE(A1334,LEFT(J1334,4)),AGRUPAMENTO!$D$2:$E$6783,2,FALSE)</f>
        <v>Serviços de saúde e medicamentos</v>
      </c>
      <c r="L1334" s="107" t="s">
        <v>44</v>
      </c>
      <c r="M1334" s="52"/>
      <c r="N1334" s="52">
        <v>10</v>
      </c>
      <c r="O1334" s="107" t="s">
        <v>3454</v>
      </c>
      <c r="P1334" s="52" t="s">
        <v>46</v>
      </c>
      <c r="Q1334" s="107" t="s">
        <v>3872</v>
      </c>
      <c r="R1334" s="107">
        <v>6</v>
      </c>
      <c r="S1334" s="107" t="s">
        <v>3909</v>
      </c>
      <c r="T1334" s="239">
        <v>208.9</v>
      </c>
      <c r="U1334" s="107">
        <v>1</v>
      </c>
      <c r="V1334" s="58">
        <f t="shared" si="90"/>
        <v>1253.4000000000001</v>
      </c>
      <c r="W1334" s="52" t="s">
        <v>49</v>
      </c>
      <c r="X1334" s="107" t="s">
        <v>5074</v>
      </c>
      <c r="Y1334" s="304" t="s">
        <v>5075</v>
      </c>
      <c r="Z1334" s="304" t="s">
        <v>5076</v>
      </c>
      <c r="AA1334" s="52">
        <v>0</v>
      </c>
      <c r="AB1334" s="52">
        <v>0</v>
      </c>
      <c r="AC1334" s="52">
        <v>0</v>
      </c>
      <c r="AD1334" s="21">
        <v>0.68827656736675979</v>
      </c>
      <c r="AE1334" s="54">
        <v>0.68827656736675979</v>
      </c>
      <c r="AF1334" s="315">
        <f t="shared" si="93"/>
        <v>862.68584953749678</v>
      </c>
    </row>
    <row r="1335" spans="1:32" ht="195" x14ac:dyDescent="0.25">
      <c r="A1335" s="107" t="s">
        <v>588</v>
      </c>
      <c r="B1335" s="107" t="s">
        <v>2271</v>
      </c>
      <c r="C1335" s="52"/>
      <c r="D1335" s="107" t="s">
        <v>2302</v>
      </c>
      <c r="E1335" s="22" t="str">
        <f t="shared" si="91"/>
        <v>SEJUSPPROG</v>
      </c>
      <c r="F1335" s="122" t="s">
        <v>886</v>
      </c>
      <c r="G1335" s="22" t="str">
        <f t="shared" si="92"/>
        <v>P146SEJUSP</v>
      </c>
      <c r="H1335" s="107" t="s">
        <v>2307</v>
      </c>
      <c r="I1335" s="22" t="s">
        <v>16</v>
      </c>
      <c r="J1335" s="92" t="s">
        <v>1713</v>
      </c>
      <c r="K1335" s="22" t="str">
        <f>VLOOKUP(CONCATENATE(A1335,LEFT(J1335,4)),AGRUPAMENTO!$D$2:$E$6783,2,FALSE)</f>
        <v>Serviços de saúde e medicamentos</v>
      </c>
      <c r="L1335" s="52" t="s">
        <v>94</v>
      </c>
      <c r="M1335" s="52"/>
      <c r="N1335" s="52">
        <v>10</v>
      </c>
      <c r="O1335" s="107" t="s">
        <v>3455</v>
      </c>
      <c r="P1335" s="52" t="s">
        <v>46</v>
      </c>
      <c r="Q1335" s="107" t="s">
        <v>3872</v>
      </c>
      <c r="R1335" s="107">
        <v>11</v>
      </c>
      <c r="S1335" s="107" t="s">
        <v>3909</v>
      </c>
      <c r="T1335" s="239">
        <v>25.22</v>
      </c>
      <c r="U1335" s="107">
        <v>1</v>
      </c>
      <c r="V1335" s="58">
        <f t="shared" si="90"/>
        <v>277.41999999999996</v>
      </c>
      <c r="W1335" s="52" t="s">
        <v>49</v>
      </c>
      <c r="X1335" s="107" t="s">
        <v>5074</v>
      </c>
      <c r="Y1335" s="304" t="s">
        <v>5075</v>
      </c>
      <c r="Z1335" s="304" t="s">
        <v>5076</v>
      </c>
      <c r="AA1335" s="52">
        <v>0</v>
      </c>
      <c r="AB1335" s="52">
        <v>0</v>
      </c>
      <c r="AC1335" s="52">
        <v>0</v>
      </c>
      <c r="AD1335" s="21">
        <v>1</v>
      </c>
      <c r="AE1335" s="54">
        <v>1</v>
      </c>
      <c r="AF1335" s="315">
        <f t="shared" si="93"/>
        <v>277.41999999999996</v>
      </c>
    </row>
    <row r="1336" spans="1:32" ht="195" x14ac:dyDescent="0.25">
      <c r="A1336" s="107" t="s">
        <v>588</v>
      </c>
      <c r="B1336" s="107" t="s">
        <v>2271</v>
      </c>
      <c r="C1336" s="52"/>
      <c r="D1336" s="107" t="s">
        <v>2302</v>
      </c>
      <c r="E1336" s="22" t="str">
        <f t="shared" si="91"/>
        <v>SEJUSPPROG</v>
      </c>
      <c r="F1336" s="122" t="s">
        <v>886</v>
      </c>
      <c r="G1336" s="22" t="str">
        <f t="shared" si="92"/>
        <v>P146SEJUSP</v>
      </c>
      <c r="H1336" s="107" t="s">
        <v>2307</v>
      </c>
      <c r="I1336" s="22" t="s">
        <v>16</v>
      </c>
      <c r="J1336" s="92" t="s">
        <v>1713</v>
      </c>
      <c r="K1336" s="22" t="str">
        <f>VLOOKUP(CONCATENATE(A1336,LEFT(J1336,4)),AGRUPAMENTO!$D$2:$E$6783,2,FALSE)</f>
        <v>Serviços de saúde e medicamentos</v>
      </c>
      <c r="L1336" s="52" t="s">
        <v>94</v>
      </c>
      <c r="M1336" s="52"/>
      <c r="N1336" s="52">
        <v>10</v>
      </c>
      <c r="O1336" s="107" t="s">
        <v>3456</v>
      </c>
      <c r="P1336" s="52" t="s">
        <v>46</v>
      </c>
      <c r="Q1336" s="107" t="s">
        <v>3872</v>
      </c>
      <c r="R1336" s="107">
        <v>13</v>
      </c>
      <c r="S1336" s="107" t="s">
        <v>3909</v>
      </c>
      <c r="T1336" s="239">
        <v>27.46</v>
      </c>
      <c r="U1336" s="107">
        <v>1</v>
      </c>
      <c r="V1336" s="58">
        <f t="shared" si="90"/>
        <v>356.98</v>
      </c>
      <c r="W1336" s="52" t="s">
        <v>49</v>
      </c>
      <c r="X1336" s="107" t="s">
        <v>5074</v>
      </c>
      <c r="Y1336" s="304" t="s">
        <v>5075</v>
      </c>
      <c r="Z1336" s="304" t="s">
        <v>5076</v>
      </c>
      <c r="AA1336" s="52">
        <v>0</v>
      </c>
      <c r="AB1336" s="52">
        <v>0</v>
      </c>
      <c r="AC1336" s="52">
        <v>0</v>
      </c>
      <c r="AD1336" s="21">
        <v>1</v>
      </c>
      <c r="AE1336" s="54">
        <v>1</v>
      </c>
      <c r="AF1336" s="315">
        <f t="shared" si="93"/>
        <v>356.98</v>
      </c>
    </row>
    <row r="1337" spans="1:32" ht="195" x14ac:dyDescent="0.25">
      <c r="A1337" s="107" t="s">
        <v>588</v>
      </c>
      <c r="B1337" s="107" t="s">
        <v>2271</v>
      </c>
      <c r="C1337" s="52"/>
      <c r="D1337" s="107" t="s">
        <v>2302</v>
      </c>
      <c r="E1337" s="22" t="str">
        <f t="shared" si="91"/>
        <v>SEJUSPPROG</v>
      </c>
      <c r="F1337" s="122" t="s">
        <v>886</v>
      </c>
      <c r="G1337" s="22" t="str">
        <f t="shared" si="92"/>
        <v>P146SEJUSP</v>
      </c>
      <c r="H1337" s="107" t="s">
        <v>2307</v>
      </c>
      <c r="I1337" s="22" t="s">
        <v>16</v>
      </c>
      <c r="J1337" s="92" t="s">
        <v>1713</v>
      </c>
      <c r="K1337" s="22" t="str">
        <f>VLOOKUP(CONCATENATE(A1337,LEFT(J1337,4)),AGRUPAMENTO!$D$2:$E$6783,2,FALSE)</f>
        <v>Serviços de saúde e medicamentos</v>
      </c>
      <c r="L1337" s="52" t="s">
        <v>94</v>
      </c>
      <c r="M1337" s="52"/>
      <c r="N1337" s="52">
        <v>10</v>
      </c>
      <c r="O1337" s="107" t="s">
        <v>3457</v>
      </c>
      <c r="P1337" s="52" t="s">
        <v>46</v>
      </c>
      <c r="Q1337" s="107" t="s">
        <v>3872</v>
      </c>
      <c r="R1337" s="107">
        <v>13</v>
      </c>
      <c r="S1337" s="107" t="s">
        <v>3909</v>
      </c>
      <c r="T1337" s="239">
        <v>12.51</v>
      </c>
      <c r="U1337" s="107">
        <v>1</v>
      </c>
      <c r="V1337" s="58">
        <f t="shared" si="90"/>
        <v>162.63</v>
      </c>
      <c r="W1337" s="52" t="s">
        <v>49</v>
      </c>
      <c r="X1337" s="107" t="s">
        <v>5074</v>
      </c>
      <c r="Y1337" s="304" t="s">
        <v>5075</v>
      </c>
      <c r="Z1337" s="304" t="s">
        <v>5076</v>
      </c>
      <c r="AA1337" s="52">
        <v>0</v>
      </c>
      <c r="AB1337" s="52">
        <v>0</v>
      </c>
      <c r="AC1337" s="52">
        <v>0</v>
      </c>
      <c r="AD1337" s="21">
        <v>1</v>
      </c>
      <c r="AE1337" s="54">
        <v>1</v>
      </c>
      <c r="AF1337" s="315">
        <f t="shared" si="93"/>
        <v>162.63</v>
      </c>
    </row>
    <row r="1338" spans="1:32" ht="195" x14ac:dyDescent="0.25">
      <c r="A1338" s="107" t="s">
        <v>588</v>
      </c>
      <c r="B1338" s="107" t="s">
        <v>2271</v>
      </c>
      <c r="C1338" s="52"/>
      <c r="D1338" s="107" t="s">
        <v>2302</v>
      </c>
      <c r="E1338" s="22" t="str">
        <f t="shared" si="91"/>
        <v>SEJUSPPROG</v>
      </c>
      <c r="F1338" s="122" t="s">
        <v>886</v>
      </c>
      <c r="G1338" s="22" t="str">
        <f t="shared" si="92"/>
        <v>P146SEJUSP</v>
      </c>
      <c r="H1338" s="107" t="s">
        <v>2307</v>
      </c>
      <c r="I1338" s="22" t="s">
        <v>16</v>
      </c>
      <c r="J1338" s="92" t="s">
        <v>2229</v>
      </c>
      <c r="K1338" s="22" t="str">
        <f>VLOOKUP(CONCATENATE(A1338,LEFT(J1338,4)),AGRUPAMENTO!$D$2:$E$6783,2,FALSE)</f>
        <v>Demais despesas de capital</v>
      </c>
      <c r="L1338" s="52" t="s">
        <v>94</v>
      </c>
      <c r="M1338" s="52"/>
      <c r="N1338" s="52">
        <v>10</v>
      </c>
      <c r="O1338" s="107" t="s">
        <v>3458</v>
      </c>
      <c r="P1338" s="52" t="s">
        <v>46</v>
      </c>
      <c r="Q1338" s="107" t="s">
        <v>3872</v>
      </c>
      <c r="R1338" s="107">
        <v>7</v>
      </c>
      <c r="S1338" s="107" t="s">
        <v>3909</v>
      </c>
      <c r="T1338" s="239">
        <v>12.51</v>
      </c>
      <c r="U1338" s="107">
        <v>1</v>
      </c>
      <c r="V1338" s="58">
        <f t="shared" si="90"/>
        <v>87.57</v>
      </c>
      <c r="W1338" s="52" t="s">
        <v>49</v>
      </c>
      <c r="X1338" s="107" t="s">
        <v>5074</v>
      </c>
      <c r="Y1338" s="304" t="s">
        <v>5075</v>
      </c>
      <c r="Z1338" s="304" t="s">
        <v>5076</v>
      </c>
      <c r="AA1338" s="52">
        <v>0</v>
      </c>
      <c r="AB1338" s="52">
        <v>0</v>
      </c>
      <c r="AC1338" s="52">
        <v>0</v>
      </c>
      <c r="AD1338" s="21">
        <v>1</v>
      </c>
      <c r="AE1338" s="54">
        <v>1</v>
      </c>
      <c r="AF1338" s="315">
        <f t="shared" si="93"/>
        <v>87.57</v>
      </c>
    </row>
    <row r="1339" spans="1:32" ht="195" x14ac:dyDescent="0.25">
      <c r="A1339" s="107" t="s">
        <v>588</v>
      </c>
      <c r="B1339" s="107" t="s">
        <v>2271</v>
      </c>
      <c r="C1339" s="52"/>
      <c r="D1339" s="107" t="s">
        <v>2302</v>
      </c>
      <c r="E1339" s="22" t="str">
        <f t="shared" si="91"/>
        <v>SEJUSPPROG</v>
      </c>
      <c r="F1339" s="122" t="s">
        <v>886</v>
      </c>
      <c r="G1339" s="22" t="str">
        <f t="shared" si="92"/>
        <v>P146SEJUSP</v>
      </c>
      <c r="H1339" s="107" t="s">
        <v>2307</v>
      </c>
      <c r="I1339" s="22" t="s">
        <v>16</v>
      </c>
      <c r="J1339" s="92" t="s">
        <v>1713</v>
      </c>
      <c r="K1339" s="22" t="str">
        <f>VLOOKUP(CONCATENATE(A1339,LEFT(J1339,4)),AGRUPAMENTO!$D$2:$E$6783,2,FALSE)</f>
        <v>Serviços de saúde e medicamentos</v>
      </c>
      <c r="L1339" s="52" t="s">
        <v>94</v>
      </c>
      <c r="M1339" s="52"/>
      <c r="N1339" s="52">
        <v>10</v>
      </c>
      <c r="O1339" s="107" t="s">
        <v>3459</v>
      </c>
      <c r="P1339" s="52" t="s">
        <v>46</v>
      </c>
      <c r="Q1339" s="107" t="s">
        <v>3872</v>
      </c>
      <c r="R1339" s="107">
        <v>10</v>
      </c>
      <c r="S1339" s="107" t="s">
        <v>3909</v>
      </c>
      <c r="T1339" s="239">
        <v>24.6</v>
      </c>
      <c r="U1339" s="107">
        <v>1</v>
      </c>
      <c r="V1339" s="58">
        <f t="shared" si="90"/>
        <v>246</v>
      </c>
      <c r="W1339" s="52" t="s">
        <v>49</v>
      </c>
      <c r="X1339" s="107" t="s">
        <v>5074</v>
      </c>
      <c r="Y1339" s="304" t="s">
        <v>5075</v>
      </c>
      <c r="Z1339" s="304" t="s">
        <v>5076</v>
      </c>
      <c r="AA1339" s="52">
        <v>0</v>
      </c>
      <c r="AB1339" s="52">
        <v>0</v>
      </c>
      <c r="AC1339" s="52">
        <v>0</v>
      </c>
      <c r="AD1339" s="21">
        <v>1</v>
      </c>
      <c r="AE1339" s="54">
        <v>1</v>
      </c>
      <c r="AF1339" s="315">
        <f t="shared" si="93"/>
        <v>246</v>
      </c>
    </row>
    <row r="1340" spans="1:32" ht="195" x14ac:dyDescent="0.25">
      <c r="A1340" s="107" t="s">
        <v>588</v>
      </c>
      <c r="B1340" s="107" t="s">
        <v>2271</v>
      </c>
      <c r="C1340" s="52"/>
      <c r="D1340" s="107" t="s">
        <v>2302</v>
      </c>
      <c r="E1340" s="22" t="str">
        <f t="shared" si="91"/>
        <v>SEJUSPPROG</v>
      </c>
      <c r="F1340" s="122" t="s">
        <v>886</v>
      </c>
      <c r="G1340" s="22" t="str">
        <f t="shared" si="92"/>
        <v>P146SEJUSP</v>
      </c>
      <c r="H1340" s="107" t="s">
        <v>2307</v>
      </c>
      <c r="I1340" s="22" t="s">
        <v>16</v>
      </c>
      <c r="J1340" s="92" t="s">
        <v>1713</v>
      </c>
      <c r="K1340" s="22" t="str">
        <f>VLOOKUP(CONCATENATE(A1340,LEFT(J1340,4)),AGRUPAMENTO!$D$2:$E$6783,2,FALSE)</f>
        <v>Serviços de saúde e medicamentos</v>
      </c>
      <c r="L1340" s="52" t="s">
        <v>94</v>
      </c>
      <c r="M1340" s="52"/>
      <c r="N1340" s="52">
        <v>10</v>
      </c>
      <c r="O1340" s="107" t="s">
        <v>3460</v>
      </c>
      <c r="P1340" s="52" t="s">
        <v>46</v>
      </c>
      <c r="Q1340" s="107" t="s">
        <v>3872</v>
      </c>
      <c r="R1340" s="107">
        <v>6</v>
      </c>
      <c r="S1340" s="107" t="s">
        <v>3909</v>
      </c>
      <c r="T1340" s="239">
        <v>33.5</v>
      </c>
      <c r="U1340" s="107">
        <v>1</v>
      </c>
      <c r="V1340" s="58">
        <f t="shared" si="90"/>
        <v>201</v>
      </c>
      <c r="W1340" s="52" t="s">
        <v>49</v>
      </c>
      <c r="X1340" s="107" t="s">
        <v>5074</v>
      </c>
      <c r="Y1340" s="304" t="s">
        <v>5075</v>
      </c>
      <c r="Z1340" s="304" t="s">
        <v>5076</v>
      </c>
      <c r="AA1340" s="52">
        <v>0</v>
      </c>
      <c r="AB1340" s="52">
        <v>0</v>
      </c>
      <c r="AC1340" s="52">
        <v>0</v>
      </c>
      <c r="AD1340" s="21">
        <v>1</v>
      </c>
      <c r="AE1340" s="54">
        <v>1</v>
      </c>
      <c r="AF1340" s="315">
        <f t="shared" si="93"/>
        <v>201</v>
      </c>
    </row>
    <row r="1341" spans="1:32" ht="195" x14ac:dyDescent="0.25">
      <c r="A1341" s="107" t="s">
        <v>588</v>
      </c>
      <c r="B1341" s="107" t="s">
        <v>2271</v>
      </c>
      <c r="C1341" s="52"/>
      <c r="D1341" s="107" t="s">
        <v>2302</v>
      </c>
      <c r="E1341" s="22" t="str">
        <f t="shared" si="91"/>
        <v>SEJUSPPROG</v>
      </c>
      <c r="F1341" s="122" t="s">
        <v>886</v>
      </c>
      <c r="G1341" s="22" t="str">
        <f t="shared" si="92"/>
        <v>P146SEJUSP</v>
      </c>
      <c r="H1341" s="107" t="s">
        <v>2307</v>
      </c>
      <c r="I1341" s="22" t="s">
        <v>16</v>
      </c>
      <c r="J1341" s="92" t="s">
        <v>2229</v>
      </c>
      <c r="K1341" s="22" t="str">
        <f>VLOOKUP(CONCATENATE(A1341,LEFT(J1341,4)),AGRUPAMENTO!$D$2:$E$6783,2,FALSE)</f>
        <v>Demais despesas de capital</v>
      </c>
      <c r="L1341" s="52" t="s">
        <v>94</v>
      </c>
      <c r="M1341" s="52"/>
      <c r="N1341" s="52">
        <v>10</v>
      </c>
      <c r="O1341" s="107" t="s">
        <v>3461</v>
      </c>
      <c r="P1341" s="52" t="s">
        <v>46</v>
      </c>
      <c r="Q1341" s="107" t="s">
        <v>3872</v>
      </c>
      <c r="R1341" s="107">
        <v>8</v>
      </c>
      <c r="S1341" s="107" t="s">
        <v>3909</v>
      </c>
      <c r="T1341" s="239">
        <v>18.989999999999998</v>
      </c>
      <c r="U1341" s="107">
        <v>1</v>
      </c>
      <c r="V1341" s="58">
        <f t="shared" si="90"/>
        <v>151.91999999999999</v>
      </c>
      <c r="W1341" s="52" t="s">
        <v>49</v>
      </c>
      <c r="X1341" s="107" t="s">
        <v>5074</v>
      </c>
      <c r="Y1341" s="304" t="s">
        <v>5075</v>
      </c>
      <c r="Z1341" s="304" t="s">
        <v>5076</v>
      </c>
      <c r="AA1341" s="52">
        <v>0</v>
      </c>
      <c r="AB1341" s="52">
        <v>0</v>
      </c>
      <c r="AC1341" s="52">
        <v>0</v>
      </c>
      <c r="AD1341" s="21">
        <v>1</v>
      </c>
      <c r="AE1341" s="54">
        <v>1</v>
      </c>
      <c r="AF1341" s="315">
        <f t="shared" si="93"/>
        <v>151.91999999999999</v>
      </c>
    </row>
    <row r="1342" spans="1:32" ht="195" x14ac:dyDescent="0.25">
      <c r="A1342" s="107" t="s">
        <v>588</v>
      </c>
      <c r="B1342" s="107" t="s">
        <v>2271</v>
      </c>
      <c r="C1342" s="52"/>
      <c r="D1342" s="107" t="s">
        <v>2302</v>
      </c>
      <c r="E1342" s="22" t="str">
        <f t="shared" si="91"/>
        <v>SEJUSPPROG</v>
      </c>
      <c r="F1342" s="122" t="s">
        <v>886</v>
      </c>
      <c r="G1342" s="22" t="str">
        <f t="shared" si="92"/>
        <v>P146SEJUSP</v>
      </c>
      <c r="H1342" s="107" t="s">
        <v>2307</v>
      </c>
      <c r="I1342" s="22" t="s">
        <v>16</v>
      </c>
      <c r="J1342" s="92" t="s">
        <v>1713</v>
      </c>
      <c r="K1342" s="22" t="str">
        <f>VLOOKUP(CONCATENATE(A1342,LEFT(J1342,4)),AGRUPAMENTO!$D$2:$E$6783,2,FALSE)</f>
        <v>Serviços de saúde e medicamentos</v>
      </c>
      <c r="L1342" s="52" t="s">
        <v>94</v>
      </c>
      <c r="M1342" s="52"/>
      <c r="N1342" s="52">
        <v>10</v>
      </c>
      <c r="O1342" s="107" t="s">
        <v>3462</v>
      </c>
      <c r="P1342" s="52" t="s">
        <v>46</v>
      </c>
      <c r="Q1342" s="107" t="s">
        <v>3872</v>
      </c>
      <c r="R1342" s="107">
        <v>14</v>
      </c>
      <c r="S1342" s="107" t="s">
        <v>3909</v>
      </c>
      <c r="T1342" s="239">
        <v>18.989999999999998</v>
      </c>
      <c r="U1342" s="107">
        <v>1</v>
      </c>
      <c r="V1342" s="58">
        <f t="shared" si="90"/>
        <v>265.85999999999996</v>
      </c>
      <c r="W1342" s="52" t="s">
        <v>49</v>
      </c>
      <c r="X1342" s="107" t="s">
        <v>5074</v>
      </c>
      <c r="Y1342" s="304" t="s">
        <v>5075</v>
      </c>
      <c r="Z1342" s="304" t="s">
        <v>5076</v>
      </c>
      <c r="AA1342" s="52">
        <v>0</v>
      </c>
      <c r="AB1342" s="52">
        <v>0</v>
      </c>
      <c r="AC1342" s="52">
        <v>0</v>
      </c>
      <c r="AD1342" s="21">
        <v>1</v>
      </c>
      <c r="AE1342" s="54">
        <v>1</v>
      </c>
      <c r="AF1342" s="315">
        <f t="shared" si="93"/>
        <v>265.85999999999996</v>
      </c>
    </row>
    <row r="1343" spans="1:32" ht="195" x14ac:dyDescent="0.25">
      <c r="A1343" s="107" t="s">
        <v>588</v>
      </c>
      <c r="B1343" s="107" t="s">
        <v>2271</v>
      </c>
      <c r="C1343" s="52"/>
      <c r="D1343" s="107" t="s">
        <v>2302</v>
      </c>
      <c r="E1343" s="22" t="str">
        <f t="shared" si="91"/>
        <v>SEJUSPPROG</v>
      </c>
      <c r="F1343" s="122" t="s">
        <v>886</v>
      </c>
      <c r="G1343" s="22" t="str">
        <f t="shared" si="92"/>
        <v>P146SEJUSP</v>
      </c>
      <c r="H1343" s="107" t="s">
        <v>2307</v>
      </c>
      <c r="I1343" s="22" t="s">
        <v>16</v>
      </c>
      <c r="J1343" s="92" t="s">
        <v>1713</v>
      </c>
      <c r="K1343" s="22" t="str">
        <f>VLOOKUP(CONCATENATE(A1343,LEFT(J1343,4)),AGRUPAMENTO!$D$2:$E$6783,2,FALSE)</f>
        <v>Serviços de saúde e medicamentos</v>
      </c>
      <c r="L1343" s="52" t="s">
        <v>94</v>
      </c>
      <c r="M1343" s="52"/>
      <c r="N1343" s="52">
        <v>10</v>
      </c>
      <c r="O1343" s="107" t="s">
        <v>3463</v>
      </c>
      <c r="P1343" s="52" t="s">
        <v>46</v>
      </c>
      <c r="Q1343" s="107" t="s">
        <v>3872</v>
      </c>
      <c r="R1343" s="107">
        <v>23</v>
      </c>
      <c r="S1343" s="107" t="s">
        <v>3909</v>
      </c>
      <c r="T1343" s="239">
        <v>76</v>
      </c>
      <c r="U1343" s="107">
        <v>1</v>
      </c>
      <c r="V1343" s="58">
        <f t="shared" si="90"/>
        <v>1748</v>
      </c>
      <c r="W1343" s="52" t="s">
        <v>49</v>
      </c>
      <c r="X1343" s="107" t="s">
        <v>5074</v>
      </c>
      <c r="Y1343" s="304" t="s">
        <v>5075</v>
      </c>
      <c r="Z1343" s="304" t="s">
        <v>5076</v>
      </c>
      <c r="AA1343" s="52">
        <v>0</v>
      </c>
      <c r="AB1343" s="52">
        <v>0</v>
      </c>
      <c r="AC1343" s="52">
        <v>0</v>
      </c>
      <c r="AD1343" s="21">
        <v>1</v>
      </c>
      <c r="AE1343" s="54">
        <v>1</v>
      </c>
      <c r="AF1343" s="315">
        <f t="shared" si="93"/>
        <v>1748</v>
      </c>
    </row>
    <row r="1344" spans="1:32" ht="195" x14ac:dyDescent="0.25">
      <c r="A1344" s="107" t="s">
        <v>588</v>
      </c>
      <c r="B1344" s="107" t="s">
        <v>2271</v>
      </c>
      <c r="C1344" s="52"/>
      <c r="D1344" s="107" t="s">
        <v>2302</v>
      </c>
      <c r="E1344" s="22" t="str">
        <f t="shared" si="91"/>
        <v>SEJUSPPROG</v>
      </c>
      <c r="F1344" s="122" t="s">
        <v>886</v>
      </c>
      <c r="G1344" s="22" t="str">
        <f t="shared" si="92"/>
        <v>P146SEJUSP</v>
      </c>
      <c r="H1344" s="107" t="s">
        <v>2307</v>
      </c>
      <c r="I1344" s="22" t="s">
        <v>16</v>
      </c>
      <c r="J1344" s="92" t="s">
        <v>1713</v>
      </c>
      <c r="K1344" s="22" t="str">
        <f>VLOOKUP(CONCATENATE(A1344,LEFT(J1344,4)),AGRUPAMENTO!$D$2:$E$6783,2,FALSE)</f>
        <v>Serviços de saúde e medicamentos</v>
      </c>
      <c r="L1344" s="52" t="s">
        <v>94</v>
      </c>
      <c r="M1344" s="52"/>
      <c r="N1344" s="52">
        <v>10</v>
      </c>
      <c r="O1344" s="107" t="s">
        <v>3464</v>
      </c>
      <c r="P1344" s="52" t="s">
        <v>46</v>
      </c>
      <c r="Q1344" s="107" t="s">
        <v>3872</v>
      </c>
      <c r="R1344" s="107">
        <v>2</v>
      </c>
      <c r="S1344" s="107" t="s">
        <v>3909</v>
      </c>
      <c r="T1344" s="239">
        <v>11.78</v>
      </c>
      <c r="U1344" s="107">
        <v>1</v>
      </c>
      <c r="V1344" s="58">
        <f t="shared" si="90"/>
        <v>23.56</v>
      </c>
      <c r="W1344" s="52" t="s">
        <v>49</v>
      </c>
      <c r="X1344" s="107" t="s">
        <v>5074</v>
      </c>
      <c r="Y1344" s="304" t="s">
        <v>5075</v>
      </c>
      <c r="Z1344" s="304" t="s">
        <v>5076</v>
      </c>
      <c r="AA1344" s="52">
        <v>0</v>
      </c>
      <c r="AB1344" s="52">
        <v>0</v>
      </c>
      <c r="AC1344" s="52">
        <v>0</v>
      </c>
      <c r="AD1344" s="21">
        <v>1</v>
      </c>
      <c r="AE1344" s="54">
        <v>1</v>
      </c>
      <c r="AF1344" s="315">
        <f t="shared" si="93"/>
        <v>23.56</v>
      </c>
    </row>
    <row r="1345" spans="1:32" ht="195" x14ac:dyDescent="0.25">
      <c r="A1345" s="107" t="s">
        <v>588</v>
      </c>
      <c r="B1345" s="107" t="s">
        <v>2271</v>
      </c>
      <c r="C1345" s="52"/>
      <c r="D1345" s="107" t="s">
        <v>2302</v>
      </c>
      <c r="E1345" s="22" t="str">
        <f t="shared" si="91"/>
        <v>SEJUSPPROG</v>
      </c>
      <c r="F1345" s="122" t="s">
        <v>886</v>
      </c>
      <c r="G1345" s="22" t="str">
        <f t="shared" si="92"/>
        <v>P146SEJUSP</v>
      </c>
      <c r="H1345" s="107" t="s">
        <v>2307</v>
      </c>
      <c r="I1345" s="22" t="s">
        <v>16</v>
      </c>
      <c r="J1345" s="92" t="s">
        <v>1713</v>
      </c>
      <c r="K1345" s="22" t="str">
        <f>VLOOKUP(CONCATENATE(A1345,LEFT(J1345,4)),AGRUPAMENTO!$D$2:$E$6783,2,FALSE)</f>
        <v>Serviços de saúde e medicamentos</v>
      </c>
      <c r="L1345" s="52" t="s">
        <v>94</v>
      </c>
      <c r="M1345" s="52"/>
      <c r="N1345" s="52">
        <v>10</v>
      </c>
      <c r="O1345" s="107" t="s">
        <v>3465</v>
      </c>
      <c r="P1345" s="52" t="s">
        <v>46</v>
      </c>
      <c r="Q1345" s="107" t="s">
        <v>3872</v>
      </c>
      <c r="R1345" s="107">
        <v>3</v>
      </c>
      <c r="S1345" s="107" t="s">
        <v>3909</v>
      </c>
      <c r="T1345" s="239">
        <v>11.78</v>
      </c>
      <c r="U1345" s="107">
        <v>1</v>
      </c>
      <c r="V1345" s="58">
        <f t="shared" si="90"/>
        <v>35.339999999999996</v>
      </c>
      <c r="W1345" s="52" t="s">
        <v>49</v>
      </c>
      <c r="X1345" s="107" t="s">
        <v>5074</v>
      </c>
      <c r="Y1345" s="304" t="s">
        <v>5075</v>
      </c>
      <c r="Z1345" s="304" t="s">
        <v>5076</v>
      </c>
      <c r="AA1345" s="52">
        <v>0</v>
      </c>
      <c r="AB1345" s="52">
        <v>0</v>
      </c>
      <c r="AC1345" s="52">
        <v>0</v>
      </c>
      <c r="AD1345" s="21">
        <v>1</v>
      </c>
      <c r="AE1345" s="54">
        <v>1</v>
      </c>
      <c r="AF1345" s="315">
        <f t="shared" si="93"/>
        <v>35.339999999999996</v>
      </c>
    </row>
    <row r="1346" spans="1:32" ht="195" x14ac:dyDescent="0.25">
      <c r="A1346" s="107" t="s">
        <v>588</v>
      </c>
      <c r="B1346" s="107" t="s">
        <v>2271</v>
      </c>
      <c r="C1346" s="52"/>
      <c r="D1346" s="107" t="s">
        <v>2302</v>
      </c>
      <c r="E1346" s="22" t="str">
        <f t="shared" si="91"/>
        <v>SEJUSPPROG</v>
      </c>
      <c r="F1346" s="122" t="s">
        <v>886</v>
      </c>
      <c r="G1346" s="22" t="str">
        <f t="shared" si="92"/>
        <v>P146SEJUSP</v>
      </c>
      <c r="H1346" s="107" t="s">
        <v>2307</v>
      </c>
      <c r="I1346" s="22" t="s">
        <v>16</v>
      </c>
      <c r="J1346" s="92" t="s">
        <v>1713</v>
      </c>
      <c r="K1346" s="22" t="str">
        <f>VLOOKUP(CONCATENATE(A1346,LEFT(J1346,4)),AGRUPAMENTO!$D$2:$E$6783,2,FALSE)</f>
        <v>Serviços de saúde e medicamentos</v>
      </c>
      <c r="L1346" s="52" t="s">
        <v>94</v>
      </c>
      <c r="M1346" s="52"/>
      <c r="N1346" s="52">
        <v>10</v>
      </c>
      <c r="O1346" s="107" t="s">
        <v>3466</v>
      </c>
      <c r="P1346" s="52" t="s">
        <v>46</v>
      </c>
      <c r="Q1346" s="107" t="s">
        <v>3872</v>
      </c>
      <c r="R1346" s="107">
        <v>20</v>
      </c>
      <c r="S1346" s="107" t="s">
        <v>3909</v>
      </c>
      <c r="T1346" s="239">
        <v>16.5</v>
      </c>
      <c r="U1346" s="107">
        <v>1</v>
      </c>
      <c r="V1346" s="58">
        <f t="shared" ref="V1346:V1409" si="94">R1346*T1346*U1346</f>
        <v>330</v>
      </c>
      <c r="W1346" s="52" t="s">
        <v>49</v>
      </c>
      <c r="X1346" s="107" t="s">
        <v>5074</v>
      </c>
      <c r="Y1346" s="304" t="s">
        <v>5075</v>
      </c>
      <c r="Z1346" s="304" t="s">
        <v>5076</v>
      </c>
      <c r="AA1346" s="52">
        <v>0</v>
      </c>
      <c r="AB1346" s="52">
        <v>0</v>
      </c>
      <c r="AC1346" s="52">
        <v>0</v>
      </c>
      <c r="AD1346" s="21">
        <v>1</v>
      </c>
      <c r="AE1346" s="54">
        <v>1</v>
      </c>
      <c r="AF1346" s="315">
        <f t="shared" si="93"/>
        <v>330</v>
      </c>
    </row>
    <row r="1347" spans="1:32" ht="195" x14ac:dyDescent="0.25">
      <c r="A1347" s="107" t="s">
        <v>588</v>
      </c>
      <c r="B1347" s="107" t="s">
        <v>2271</v>
      </c>
      <c r="C1347" s="52"/>
      <c r="D1347" s="107" t="s">
        <v>2302</v>
      </c>
      <c r="E1347" s="22" t="str">
        <f t="shared" ref="E1347:E1410" si="95">CONCATENATE(A1347,"PROG")</f>
        <v>SEJUSPPROG</v>
      </c>
      <c r="F1347" s="122" t="s">
        <v>886</v>
      </c>
      <c r="G1347" s="22" t="str">
        <f t="shared" si="92"/>
        <v>P146SEJUSP</v>
      </c>
      <c r="H1347" s="107" t="s">
        <v>2307</v>
      </c>
      <c r="I1347" s="22" t="s">
        <v>16</v>
      </c>
      <c r="J1347" s="92" t="s">
        <v>1713</v>
      </c>
      <c r="K1347" s="22" t="str">
        <f>VLOOKUP(CONCATENATE(A1347,LEFT(J1347,4)),AGRUPAMENTO!$D$2:$E$6783,2,FALSE)</f>
        <v>Serviços de saúde e medicamentos</v>
      </c>
      <c r="L1347" s="52" t="s">
        <v>94</v>
      </c>
      <c r="M1347" s="52"/>
      <c r="N1347" s="52">
        <v>10</v>
      </c>
      <c r="O1347" s="107" t="s">
        <v>3467</v>
      </c>
      <c r="P1347" s="52" t="s">
        <v>46</v>
      </c>
      <c r="Q1347" s="107" t="s">
        <v>3872</v>
      </c>
      <c r="R1347" s="107">
        <v>3</v>
      </c>
      <c r="S1347" s="107" t="s">
        <v>3909</v>
      </c>
      <c r="T1347" s="239">
        <v>29.9</v>
      </c>
      <c r="U1347" s="107">
        <v>1</v>
      </c>
      <c r="V1347" s="58">
        <f t="shared" si="94"/>
        <v>89.699999999999989</v>
      </c>
      <c r="W1347" s="52" t="s">
        <v>49</v>
      </c>
      <c r="X1347" s="107" t="s">
        <v>5074</v>
      </c>
      <c r="Y1347" s="304" t="s">
        <v>5075</v>
      </c>
      <c r="Z1347" s="304" t="s">
        <v>5076</v>
      </c>
      <c r="AA1347" s="52">
        <v>0</v>
      </c>
      <c r="AB1347" s="52">
        <v>0</v>
      </c>
      <c r="AC1347" s="52">
        <v>0</v>
      </c>
      <c r="AD1347" s="21">
        <v>1</v>
      </c>
      <c r="AE1347" s="54">
        <v>1</v>
      </c>
      <c r="AF1347" s="315">
        <f t="shared" si="93"/>
        <v>89.699999999999989</v>
      </c>
    </row>
    <row r="1348" spans="1:32" ht="195" x14ac:dyDescent="0.25">
      <c r="A1348" s="107" t="s">
        <v>588</v>
      </c>
      <c r="B1348" s="107" t="s">
        <v>2271</v>
      </c>
      <c r="C1348" s="52"/>
      <c r="D1348" s="107" t="s">
        <v>2302</v>
      </c>
      <c r="E1348" s="22" t="str">
        <f t="shared" si="95"/>
        <v>SEJUSPPROG</v>
      </c>
      <c r="F1348" s="122" t="s">
        <v>886</v>
      </c>
      <c r="G1348" s="22" t="str">
        <f t="shared" ref="G1348:G1411" si="96">CONCATENATE("P",(LEFT(F1348,3)),A1348)</f>
        <v>P146SEJUSP</v>
      </c>
      <c r="H1348" s="107" t="s">
        <v>2307</v>
      </c>
      <c r="I1348" s="22" t="s">
        <v>16</v>
      </c>
      <c r="J1348" s="92" t="s">
        <v>1713</v>
      </c>
      <c r="K1348" s="22" t="str">
        <f>VLOOKUP(CONCATENATE(A1348,LEFT(J1348,4)),AGRUPAMENTO!$D$2:$E$6783,2,FALSE)</f>
        <v>Serviços de saúde e medicamentos</v>
      </c>
      <c r="L1348" s="52" t="s">
        <v>94</v>
      </c>
      <c r="M1348" s="52"/>
      <c r="N1348" s="52">
        <v>10</v>
      </c>
      <c r="O1348" s="107" t="s">
        <v>3468</v>
      </c>
      <c r="P1348" s="52" t="s">
        <v>46</v>
      </c>
      <c r="Q1348" s="107" t="s">
        <v>3872</v>
      </c>
      <c r="R1348" s="107">
        <v>18</v>
      </c>
      <c r="S1348" s="107" t="s">
        <v>3909</v>
      </c>
      <c r="T1348" s="239">
        <v>9</v>
      </c>
      <c r="U1348" s="107">
        <v>1</v>
      </c>
      <c r="V1348" s="58">
        <f t="shared" si="94"/>
        <v>162</v>
      </c>
      <c r="W1348" s="52" t="s">
        <v>49</v>
      </c>
      <c r="X1348" s="107" t="s">
        <v>5074</v>
      </c>
      <c r="Y1348" s="304" t="s">
        <v>5075</v>
      </c>
      <c r="Z1348" s="304" t="s">
        <v>5076</v>
      </c>
      <c r="AA1348" s="52">
        <v>0</v>
      </c>
      <c r="AB1348" s="52">
        <v>0</v>
      </c>
      <c r="AC1348" s="52">
        <v>0</v>
      </c>
      <c r="AD1348" s="21">
        <v>1</v>
      </c>
      <c r="AE1348" s="54">
        <v>1</v>
      </c>
      <c r="AF1348" s="315">
        <f t="shared" ref="AF1348:AF1411" si="97">AE1348*V1348</f>
        <v>162</v>
      </c>
    </row>
    <row r="1349" spans="1:32" ht="195" x14ac:dyDescent="0.25">
      <c r="A1349" s="107" t="s">
        <v>588</v>
      </c>
      <c r="B1349" s="107" t="s">
        <v>2271</v>
      </c>
      <c r="C1349" s="52"/>
      <c r="D1349" s="107" t="s">
        <v>2302</v>
      </c>
      <c r="E1349" s="22" t="str">
        <f t="shared" si="95"/>
        <v>SEJUSPPROG</v>
      </c>
      <c r="F1349" s="122" t="s">
        <v>886</v>
      </c>
      <c r="G1349" s="22" t="str">
        <f t="shared" si="96"/>
        <v>P146SEJUSP</v>
      </c>
      <c r="H1349" s="107" t="s">
        <v>2307</v>
      </c>
      <c r="I1349" s="22" t="s">
        <v>16</v>
      </c>
      <c r="J1349" s="92" t="s">
        <v>1713</v>
      </c>
      <c r="K1349" s="22" t="str">
        <f>VLOOKUP(CONCATENATE(A1349,LEFT(J1349,4)),AGRUPAMENTO!$D$2:$E$6783,2,FALSE)</f>
        <v>Serviços de saúde e medicamentos</v>
      </c>
      <c r="L1349" s="52" t="s">
        <v>94</v>
      </c>
      <c r="M1349" s="52"/>
      <c r="N1349" s="52">
        <v>10</v>
      </c>
      <c r="O1349" s="107" t="s">
        <v>3469</v>
      </c>
      <c r="P1349" s="52" t="s">
        <v>46</v>
      </c>
      <c r="Q1349" s="107" t="s">
        <v>3872</v>
      </c>
      <c r="R1349" s="107">
        <v>11</v>
      </c>
      <c r="S1349" s="107" t="s">
        <v>3909</v>
      </c>
      <c r="T1349" s="239">
        <v>23.9</v>
      </c>
      <c r="U1349" s="107">
        <v>1</v>
      </c>
      <c r="V1349" s="58">
        <f t="shared" si="94"/>
        <v>262.89999999999998</v>
      </c>
      <c r="W1349" s="52" t="s">
        <v>49</v>
      </c>
      <c r="X1349" s="107" t="s">
        <v>5074</v>
      </c>
      <c r="Y1349" s="304" t="s">
        <v>5075</v>
      </c>
      <c r="Z1349" s="304" t="s">
        <v>5076</v>
      </c>
      <c r="AA1349" s="52">
        <v>0</v>
      </c>
      <c r="AB1349" s="52">
        <v>0</v>
      </c>
      <c r="AC1349" s="52">
        <v>0</v>
      </c>
      <c r="AD1349" s="21">
        <v>1</v>
      </c>
      <c r="AE1349" s="54">
        <v>1</v>
      </c>
      <c r="AF1349" s="315">
        <f t="shared" si="97"/>
        <v>262.89999999999998</v>
      </c>
    </row>
    <row r="1350" spans="1:32" ht="195" x14ac:dyDescent="0.25">
      <c r="A1350" s="107" t="s">
        <v>588</v>
      </c>
      <c r="B1350" s="107" t="s">
        <v>2271</v>
      </c>
      <c r="C1350" s="52"/>
      <c r="D1350" s="107" t="s">
        <v>2302</v>
      </c>
      <c r="E1350" s="22" t="str">
        <f t="shared" si="95"/>
        <v>SEJUSPPROG</v>
      </c>
      <c r="F1350" s="122" t="s">
        <v>886</v>
      </c>
      <c r="G1350" s="22" t="str">
        <f t="shared" si="96"/>
        <v>P146SEJUSP</v>
      </c>
      <c r="H1350" s="107" t="s">
        <v>2307</v>
      </c>
      <c r="I1350" s="22" t="s">
        <v>16</v>
      </c>
      <c r="J1350" s="92" t="s">
        <v>1713</v>
      </c>
      <c r="K1350" s="22" t="str">
        <f>VLOOKUP(CONCATENATE(A1350,LEFT(J1350,4)),AGRUPAMENTO!$D$2:$E$6783,2,FALSE)</f>
        <v>Serviços de saúde e medicamentos</v>
      </c>
      <c r="L1350" s="52" t="s">
        <v>94</v>
      </c>
      <c r="M1350" s="52"/>
      <c r="N1350" s="52">
        <v>10</v>
      </c>
      <c r="O1350" s="107" t="s">
        <v>3470</v>
      </c>
      <c r="P1350" s="52" t="s">
        <v>46</v>
      </c>
      <c r="Q1350" s="107" t="s">
        <v>3872</v>
      </c>
      <c r="R1350" s="107">
        <v>12</v>
      </c>
      <c r="S1350" s="107" t="s">
        <v>3909</v>
      </c>
      <c r="T1350" s="239">
        <v>40</v>
      </c>
      <c r="U1350" s="107">
        <v>1</v>
      </c>
      <c r="V1350" s="58">
        <f t="shared" si="94"/>
        <v>480</v>
      </c>
      <c r="W1350" s="52" t="s">
        <v>49</v>
      </c>
      <c r="X1350" s="107" t="s">
        <v>5074</v>
      </c>
      <c r="Y1350" s="304" t="s">
        <v>5075</v>
      </c>
      <c r="Z1350" s="304" t="s">
        <v>5076</v>
      </c>
      <c r="AA1350" s="52">
        <v>0</v>
      </c>
      <c r="AB1350" s="52">
        <v>0</v>
      </c>
      <c r="AC1350" s="52">
        <v>0</v>
      </c>
      <c r="AD1350" s="21">
        <v>1</v>
      </c>
      <c r="AE1350" s="54">
        <v>1</v>
      </c>
      <c r="AF1350" s="315">
        <f t="shared" si="97"/>
        <v>480</v>
      </c>
    </row>
    <row r="1351" spans="1:32" ht="195" x14ac:dyDescent="0.25">
      <c r="A1351" s="107" t="s">
        <v>588</v>
      </c>
      <c r="B1351" s="107" t="s">
        <v>2271</v>
      </c>
      <c r="C1351" s="52"/>
      <c r="D1351" s="107" t="s">
        <v>2302</v>
      </c>
      <c r="E1351" s="22" t="str">
        <f t="shared" si="95"/>
        <v>SEJUSPPROG</v>
      </c>
      <c r="F1351" s="122" t="s">
        <v>886</v>
      </c>
      <c r="G1351" s="22" t="str">
        <f t="shared" si="96"/>
        <v>P146SEJUSP</v>
      </c>
      <c r="H1351" s="107" t="s">
        <v>2307</v>
      </c>
      <c r="I1351" s="22" t="s">
        <v>16</v>
      </c>
      <c r="J1351" s="92" t="s">
        <v>1713</v>
      </c>
      <c r="K1351" s="22" t="str">
        <f>VLOOKUP(CONCATENATE(A1351,LEFT(J1351,4)),AGRUPAMENTO!$D$2:$E$6783,2,FALSE)</f>
        <v>Serviços de saúde e medicamentos</v>
      </c>
      <c r="L1351" s="52" t="s">
        <v>94</v>
      </c>
      <c r="M1351" s="52"/>
      <c r="N1351" s="52">
        <v>10</v>
      </c>
      <c r="O1351" s="107" t="s">
        <v>3471</v>
      </c>
      <c r="P1351" s="52" t="s">
        <v>46</v>
      </c>
      <c r="Q1351" s="107" t="s">
        <v>3872</v>
      </c>
      <c r="R1351" s="107">
        <v>12</v>
      </c>
      <c r="S1351" s="107" t="s">
        <v>3909</v>
      </c>
      <c r="T1351" s="239">
        <v>30.4</v>
      </c>
      <c r="U1351" s="107">
        <v>1</v>
      </c>
      <c r="V1351" s="58">
        <f t="shared" si="94"/>
        <v>364.79999999999995</v>
      </c>
      <c r="W1351" s="52" t="s">
        <v>49</v>
      </c>
      <c r="X1351" s="107" t="s">
        <v>5074</v>
      </c>
      <c r="Y1351" s="304" t="s">
        <v>5075</v>
      </c>
      <c r="Z1351" s="304" t="s">
        <v>5076</v>
      </c>
      <c r="AA1351" s="52">
        <v>0</v>
      </c>
      <c r="AB1351" s="52">
        <v>0</v>
      </c>
      <c r="AC1351" s="52">
        <v>0</v>
      </c>
      <c r="AD1351" s="21">
        <v>1</v>
      </c>
      <c r="AE1351" s="54">
        <v>1</v>
      </c>
      <c r="AF1351" s="315">
        <f t="shared" si="97"/>
        <v>364.79999999999995</v>
      </c>
    </row>
    <row r="1352" spans="1:32" ht="195" x14ac:dyDescent="0.25">
      <c r="A1352" s="107" t="s">
        <v>588</v>
      </c>
      <c r="B1352" s="107" t="s">
        <v>2271</v>
      </c>
      <c r="C1352" s="52"/>
      <c r="D1352" s="107" t="s">
        <v>2302</v>
      </c>
      <c r="E1352" s="22" t="str">
        <f t="shared" si="95"/>
        <v>SEJUSPPROG</v>
      </c>
      <c r="F1352" s="122" t="s">
        <v>886</v>
      </c>
      <c r="G1352" s="22" t="str">
        <f t="shared" si="96"/>
        <v>P146SEJUSP</v>
      </c>
      <c r="H1352" s="107" t="s">
        <v>2307</v>
      </c>
      <c r="I1352" s="22" t="s">
        <v>16</v>
      </c>
      <c r="J1352" s="92" t="s">
        <v>1713</v>
      </c>
      <c r="K1352" s="22" t="str">
        <f>VLOOKUP(CONCATENATE(A1352,LEFT(J1352,4)),AGRUPAMENTO!$D$2:$E$6783,2,FALSE)</f>
        <v>Serviços de saúde e medicamentos</v>
      </c>
      <c r="L1352" s="52" t="s">
        <v>94</v>
      </c>
      <c r="M1352" s="52"/>
      <c r="N1352" s="52">
        <v>10</v>
      </c>
      <c r="O1352" s="107" t="s">
        <v>3472</v>
      </c>
      <c r="P1352" s="52" t="s">
        <v>46</v>
      </c>
      <c r="Q1352" s="107" t="s">
        <v>3872</v>
      </c>
      <c r="R1352" s="107">
        <v>12</v>
      </c>
      <c r="S1352" s="107" t="s">
        <v>3909</v>
      </c>
      <c r="T1352" s="239">
        <v>31.6</v>
      </c>
      <c r="U1352" s="107">
        <v>1</v>
      </c>
      <c r="V1352" s="58">
        <f t="shared" si="94"/>
        <v>379.20000000000005</v>
      </c>
      <c r="W1352" s="52" t="s">
        <v>49</v>
      </c>
      <c r="X1352" s="107" t="s">
        <v>5074</v>
      </c>
      <c r="Y1352" s="304" t="s">
        <v>5075</v>
      </c>
      <c r="Z1352" s="304" t="s">
        <v>5076</v>
      </c>
      <c r="AA1352" s="52">
        <v>0</v>
      </c>
      <c r="AB1352" s="52">
        <v>0</v>
      </c>
      <c r="AC1352" s="52">
        <v>0</v>
      </c>
      <c r="AD1352" s="21">
        <v>1</v>
      </c>
      <c r="AE1352" s="54">
        <v>1</v>
      </c>
      <c r="AF1352" s="315">
        <f t="shared" si="97"/>
        <v>379.20000000000005</v>
      </c>
    </row>
    <row r="1353" spans="1:32" ht="195" x14ac:dyDescent="0.25">
      <c r="A1353" s="107" t="s">
        <v>588</v>
      </c>
      <c r="B1353" s="107" t="s">
        <v>2271</v>
      </c>
      <c r="C1353" s="52"/>
      <c r="D1353" s="107" t="s">
        <v>2302</v>
      </c>
      <c r="E1353" s="22" t="str">
        <f t="shared" si="95"/>
        <v>SEJUSPPROG</v>
      </c>
      <c r="F1353" s="122" t="s">
        <v>886</v>
      </c>
      <c r="G1353" s="22" t="str">
        <f t="shared" si="96"/>
        <v>P146SEJUSP</v>
      </c>
      <c r="H1353" s="107" t="s">
        <v>2307</v>
      </c>
      <c r="I1353" s="22" t="s">
        <v>16</v>
      </c>
      <c r="J1353" s="92" t="s">
        <v>1713</v>
      </c>
      <c r="K1353" s="22" t="str">
        <f>VLOOKUP(CONCATENATE(A1353,LEFT(J1353,4)),AGRUPAMENTO!$D$2:$E$6783,2,FALSE)</f>
        <v>Serviços de saúde e medicamentos</v>
      </c>
      <c r="L1353" s="52" t="s">
        <v>94</v>
      </c>
      <c r="M1353" s="52"/>
      <c r="N1353" s="52">
        <v>10</v>
      </c>
      <c r="O1353" s="107" t="s">
        <v>3473</v>
      </c>
      <c r="P1353" s="52" t="s">
        <v>46</v>
      </c>
      <c r="Q1353" s="107" t="s">
        <v>3872</v>
      </c>
      <c r="R1353" s="107">
        <v>11</v>
      </c>
      <c r="S1353" s="107" t="s">
        <v>3909</v>
      </c>
      <c r="T1353" s="239">
        <v>39.99</v>
      </c>
      <c r="U1353" s="107">
        <v>1</v>
      </c>
      <c r="V1353" s="58">
        <f t="shared" si="94"/>
        <v>439.89000000000004</v>
      </c>
      <c r="W1353" s="52" t="s">
        <v>49</v>
      </c>
      <c r="X1353" s="107" t="s">
        <v>5074</v>
      </c>
      <c r="Y1353" s="304" t="s">
        <v>5075</v>
      </c>
      <c r="Z1353" s="304" t="s">
        <v>5076</v>
      </c>
      <c r="AA1353" s="52">
        <v>0</v>
      </c>
      <c r="AB1353" s="52">
        <v>0</v>
      </c>
      <c r="AC1353" s="52">
        <v>0</v>
      </c>
      <c r="AD1353" s="21">
        <v>1</v>
      </c>
      <c r="AE1353" s="54">
        <v>1</v>
      </c>
      <c r="AF1353" s="315">
        <f t="shared" si="97"/>
        <v>439.89000000000004</v>
      </c>
    </row>
    <row r="1354" spans="1:32" ht="195" x14ac:dyDescent="0.25">
      <c r="A1354" s="107" t="s">
        <v>588</v>
      </c>
      <c r="B1354" s="107" t="s">
        <v>2271</v>
      </c>
      <c r="C1354" s="52"/>
      <c r="D1354" s="107" t="s">
        <v>2302</v>
      </c>
      <c r="E1354" s="22" t="str">
        <f t="shared" si="95"/>
        <v>SEJUSPPROG</v>
      </c>
      <c r="F1354" s="122" t="s">
        <v>886</v>
      </c>
      <c r="G1354" s="22" t="str">
        <f t="shared" si="96"/>
        <v>P146SEJUSP</v>
      </c>
      <c r="H1354" s="107" t="s">
        <v>2307</v>
      </c>
      <c r="I1354" s="22" t="s">
        <v>16</v>
      </c>
      <c r="J1354" s="92" t="s">
        <v>1713</v>
      </c>
      <c r="K1354" s="22" t="str">
        <f>VLOOKUP(CONCATENATE(A1354,LEFT(J1354,4)),AGRUPAMENTO!$D$2:$E$6783,2,FALSE)</f>
        <v>Serviços de saúde e medicamentos</v>
      </c>
      <c r="L1354" s="52" t="s">
        <v>94</v>
      </c>
      <c r="M1354" s="52"/>
      <c r="N1354" s="52">
        <v>10</v>
      </c>
      <c r="O1354" s="107" t="s">
        <v>3474</v>
      </c>
      <c r="P1354" s="52" t="s">
        <v>46</v>
      </c>
      <c r="Q1354" s="107" t="s">
        <v>3872</v>
      </c>
      <c r="R1354" s="107">
        <v>11</v>
      </c>
      <c r="S1354" s="107" t="s">
        <v>3909</v>
      </c>
      <c r="T1354" s="239">
        <v>73.92</v>
      </c>
      <c r="U1354" s="107">
        <v>1</v>
      </c>
      <c r="V1354" s="58">
        <f t="shared" si="94"/>
        <v>813.12</v>
      </c>
      <c r="W1354" s="52" t="s">
        <v>49</v>
      </c>
      <c r="X1354" s="107" t="s">
        <v>5074</v>
      </c>
      <c r="Y1354" s="304" t="s">
        <v>5075</v>
      </c>
      <c r="Z1354" s="304" t="s">
        <v>5076</v>
      </c>
      <c r="AA1354" s="52">
        <v>0</v>
      </c>
      <c r="AB1354" s="52">
        <v>0</v>
      </c>
      <c r="AC1354" s="52">
        <v>0</v>
      </c>
      <c r="AD1354" s="21">
        <v>1</v>
      </c>
      <c r="AE1354" s="54">
        <v>1</v>
      </c>
      <c r="AF1354" s="315">
        <f t="shared" si="97"/>
        <v>813.12</v>
      </c>
    </row>
    <row r="1355" spans="1:32" ht="195" x14ac:dyDescent="0.25">
      <c r="A1355" s="107" t="s">
        <v>588</v>
      </c>
      <c r="B1355" s="107" t="s">
        <v>2271</v>
      </c>
      <c r="C1355" s="52"/>
      <c r="D1355" s="107" t="s">
        <v>2302</v>
      </c>
      <c r="E1355" s="22" t="str">
        <f t="shared" si="95"/>
        <v>SEJUSPPROG</v>
      </c>
      <c r="F1355" s="122" t="s">
        <v>886</v>
      </c>
      <c r="G1355" s="22" t="str">
        <f t="shared" si="96"/>
        <v>P146SEJUSP</v>
      </c>
      <c r="H1355" s="107" t="s">
        <v>2307</v>
      </c>
      <c r="I1355" s="22" t="s">
        <v>16</v>
      </c>
      <c r="J1355" s="92" t="s">
        <v>1713</v>
      </c>
      <c r="K1355" s="22" t="str">
        <f>VLOOKUP(CONCATENATE(A1355,LEFT(J1355,4)),AGRUPAMENTO!$D$2:$E$6783,2,FALSE)</f>
        <v>Serviços de saúde e medicamentos</v>
      </c>
      <c r="L1355" s="52" t="s">
        <v>94</v>
      </c>
      <c r="M1355" s="52"/>
      <c r="N1355" s="52">
        <v>10</v>
      </c>
      <c r="O1355" s="107" t="s">
        <v>3475</v>
      </c>
      <c r="P1355" s="52" t="s">
        <v>46</v>
      </c>
      <c r="Q1355" s="107" t="s">
        <v>3872</v>
      </c>
      <c r="R1355" s="107">
        <v>7</v>
      </c>
      <c r="S1355" s="107" t="s">
        <v>3909</v>
      </c>
      <c r="T1355" s="239">
        <v>125.1</v>
      </c>
      <c r="U1355" s="107">
        <v>1</v>
      </c>
      <c r="V1355" s="58">
        <f t="shared" si="94"/>
        <v>875.69999999999993</v>
      </c>
      <c r="W1355" s="52" t="s">
        <v>49</v>
      </c>
      <c r="X1355" s="107" t="s">
        <v>5074</v>
      </c>
      <c r="Y1355" s="304" t="s">
        <v>5075</v>
      </c>
      <c r="Z1355" s="304" t="s">
        <v>5076</v>
      </c>
      <c r="AA1355" s="52">
        <v>0</v>
      </c>
      <c r="AB1355" s="52">
        <v>0</v>
      </c>
      <c r="AC1355" s="52">
        <v>0</v>
      </c>
      <c r="AD1355" s="21">
        <v>1</v>
      </c>
      <c r="AE1355" s="54">
        <v>1</v>
      </c>
      <c r="AF1355" s="315">
        <f t="shared" si="97"/>
        <v>875.69999999999993</v>
      </c>
    </row>
    <row r="1356" spans="1:32" ht="195" x14ac:dyDescent="0.25">
      <c r="A1356" s="107" t="s">
        <v>588</v>
      </c>
      <c r="B1356" s="107" t="s">
        <v>2271</v>
      </c>
      <c r="C1356" s="52"/>
      <c r="D1356" s="107" t="s">
        <v>2302</v>
      </c>
      <c r="E1356" s="22" t="str">
        <f t="shared" si="95"/>
        <v>SEJUSPPROG</v>
      </c>
      <c r="F1356" s="122" t="s">
        <v>886</v>
      </c>
      <c r="G1356" s="22" t="str">
        <f t="shared" si="96"/>
        <v>P146SEJUSP</v>
      </c>
      <c r="H1356" s="107" t="s">
        <v>2307</v>
      </c>
      <c r="I1356" s="22" t="s">
        <v>16</v>
      </c>
      <c r="J1356" s="92" t="s">
        <v>1713</v>
      </c>
      <c r="K1356" s="22" t="str">
        <f>VLOOKUP(CONCATENATE(A1356,LEFT(J1356,4)),AGRUPAMENTO!$D$2:$E$6783,2,FALSE)</f>
        <v>Serviços de saúde e medicamentos</v>
      </c>
      <c r="L1356" s="52" t="s">
        <v>94</v>
      </c>
      <c r="M1356" s="52"/>
      <c r="N1356" s="52">
        <v>10</v>
      </c>
      <c r="O1356" s="107" t="s">
        <v>3476</v>
      </c>
      <c r="P1356" s="52" t="s">
        <v>46</v>
      </c>
      <c r="Q1356" s="107" t="s">
        <v>3872</v>
      </c>
      <c r="R1356" s="107">
        <v>6</v>
      </c>
      <c r="S1356" s="107" t="s">
        <v>3909</v>
      </c>
      <c r="T1356" s="239">
        <v>169.9</v>
      </c>
      <c r="U1356" s="107">
        <v>1</v>
      </c>
      <c r="V1356" s="58">
        <f t="shared" si="94"/>
        <v>1019.4000000000001</v>
      </c>
      <c r="W1356" s="52" t="s">
        <v>49</v>
      </c>
      <c r="X1356" s="107" t="s">
        <v>5074</v>
      </c>
      <c r="Y1356" s="304" t="s">
        <v>5075</v>
      </c>
      <c r="Z1356" s="304" t="s">
        <v>5076</v>
      </c>
      <c r="AA1356" s="52">
        <v>0</v>
      </c>
      <c r="AB1356" s="52">
        <v>0</v>
      </c>
      <c r="AC1356" s="52">
        <v>0</v>
      </c>
      <c r="AD1356" s="21">
        <v>1</v>
      </c>
      <c r="AE1356" s="54">
        <v>1</v>
      </c>
      <c r="AF1356" s="315">
        <f t="shared" si="97"/>
        <v>1019.4000000000001</v>
      </c>
    </row>
    <row r="1357" spans="1:32" ht="195" x14ac:dyDescent="0.25">
      <c r="A1357" s="107" t="s">
        <v>588</v>
      </c>
      <c r="B1357" s="107" t="s">
        <v>2271</v>
      </c>
      <c r="C1357" s="52"/>
      <c r="D1357" s="107" t="s">
        <v>2302</v>
      </c>
      <c r="E1357" s="22" t="str">
        <f t="shared" si="95"/>
        <v>SEJUSPPROG</v>
      </c>
      <c r="F1357" s="122" t="s">
        <v>886</v>
      </c>
      <c r="G1357" s="22" t="str">
        <f t="shared" si="96"/>
        <v>P146SEJUSP</v>
      </c>
      <c r="H1357" s="107" t="s">
        <v>2307</v>
      </c>
      <c r="I1357" s="22" t="s">
        <v>16</v>
      </c>
      <c r="J1357" s="92" t="s">
        <v>1713</v>
      </c>
      <c r="K1357" s="22" t="str">
        <f>VLOOKUP(CONCATENATE(A1357,LEFT(J1357,4)),AGRUPAMENTO!$D$2:$E$6783,2,FALSE)</f>
        <v>Serviços de saúde e medicamentos</v>
      </c>
      <c r="L1357" s="52" t="s">
        <v>94</v>
      </c>
      <c r="M1357" s="52"/>
      <c r="N1357" s="52">
        <v>10</v>
      </c>
      <c r="O1357" s="107" t="s">
        <v>3477</v>
      </c>
      <c r="P1357" s="52" t="s">
        <v>46</v>
      </c>
      <c r="Q1357" s="107" t="s">
        <v>3872</v>
      </c>
      <c r="R1357" s="107">
        <v>6</v>
      </c>
      <c r="S1357" s="107" t="s">
        <v>3909</v>
      </c>
      <c r="T1357" s="239">
        <v>65.540000000000006</v>
      </c>
      <c r="U1357" s="107">
        <v>1</v>
      </c>
      <c r="V1357" s="58">
        <f t="shared" si="94"/>
        <v>393.24</v>
      </c>
      <c r="W1357" s="52" t="s">
        <v>49</v>
      </c>
      <c r="X1357" s="107" t="s">
        <v>5074</v>
      </c>
      <c r="Y1357" s="304" t="s">
        <v>5075</v>
      </c>
      <c r="Z1357" s="304" t="s">
        <v>5076</v>
      </c>
      <c r="AA1357" s="52">
        <v>0</v>
      </c>
      <c r="AB1357" s="52">
        <v>0</v>
      </c>
      <c r="AC1357" s="52">
        <v>0</v>
      </c>
      <c r="AD1357" s="21">
        <v>1</v>
      </c>
      <c r="AE1357" s="54">
        <v>1</v>
      </c>
      <c r="AF1357" s="315">
        <f t="shared" si="97"/>
        <v>393.24</v>
      </c>
    </row>
    <row r="1358" spans="1:32" ht="195" x14ac:dyDescent="0.25">
      <c r="A1358" s="107" t="s">
        <v>588</v>
      </c>
      <c r="B1358" s="107" t="s">
        <v>2271</v>
      </c>
      <c r="C1358" s="52"/>
      <c r="D1358" s="107" t="s">
        <v>2302</v>
      </c>
      <c r="E1358" s="22" t="str">
        <f t="shared" si="95"/>
        <v>SEJUSPPROG</v>
      </c>
      <c r="F1358" s="122" t="s">
        <v>886</v>
      </c>
      <c r="G1358" s="22" t="str">
        <f t="shared" si="96"/>
        <v>P146SEJUSP</v>
      </c>
      <c r="H1358" s="107" t="s">
        <v>2307</v>
      </c>
      <c r="I1358" s="22" t="s">
        <v>16</v>
      </c>
      <c r="J1358" s="92" t="s">
        <v>1713</v>
      </c>
      <c r="K1358" s="22" t="str">
        <f>VLOOKUP(CONCATENATE(A1358,LEFT(J1358,4)),AGRUPAMENTO!$D$2:$E$6783,2,FALSE)</f>
        <v>Serviços de saúde e medicamentos</v>
      </c>
      <c r="L1358" s="52" t="s">
        <v>94</v>
      </c>
      <c r="M1358" s="52"/>
      <c r="N1358" s="52">
        <v>10</v>
      </c>
      <c r="O1358" s="107" t="s">
        <v>3478</v>
      </c>
      <c r="P1358" s="52" t="s">
        <v>46</v>
      </c>
      <c r="Q1358" s="107" t="s">
        <v>3872</v>
      </c>
      <c r="R1358" s="107">
        <v>4</v>
      </c>
      <c r="S1358" s="107" t="s">
        <v>3909</v>
      </c>
      <c r="T1358" s="239">
        <v>19</v>
      </c>
      <c r="U1358" s="107">
        <v>1</v>
      </c>
      <c r="V1358" s="58">
        <f t="shared" si="94"/>
        <v>76</v>
      </c>
      <c r="W1358" s="52" t="s">
        <v>49</v>
      </c>
      <c r="X1358" s="107" t="s">
        <v>5074</v>
      </c>
      <c r="Y1358" s="304" t="s">
        <v>5075</v>
      </c>
      <c r="Z1358" s="304" t="s">
        <v>5076</v>
      </c>
      <c r="AA1358" s="52">
        <v>0</v>
      </c>
      <c r="AB1358" s="52">
        <v>0</v>
      </c>
      <c r="AC1358" s="52">
        <v>0</v>
      </c>
      <c r="AD1358" s="21">
        <v>1</v>
      </c>
      <c r="AE1358" s="54">
        <v>1</v>
      </c>
      <c r="AF1358" s="315">
        <f t="shared" si="97"/>
        <v>76</v>
      </c>
    </row>
    <row r="1359" spans="1:32" ht="195" x14ac:dyDescent="0.25">
      <c r="A1359" s="107" t="s">
        <v>588</v>
      </c>
      <c r="B1359" s="107" t="s">
        <v>2271</v>
      </c>
      <c r="C1359" s="52"/>
      <c r="D1359" s="107" t="s">
        <v>2302</v>
      </c>
      <c r="E1359" s="22" t="str">
        <f t="shared" si="95"/>
        <v>SEJUSPPROG</v>
      </c>
      <c r="F1359" s="122" t="s">
        <v>886</v>
      </c>
      <c r="G1359" s="22" t="str">
        <f t="shared" si="96"/>
        <v>P146SEJUSP</v>
      </c>
      <c r="H1359" s="107" t="s">
        <v>2307</v>
      </c>
      <c r="I1359" s="22" t="s">
        <v>16</v>
      </c>
      <c r="J1359" s="92" t="s">
        <v>1713</v>
      </c>
      <c r="K1359" s="22" t="str">
        <f>VLOOKUP(CONCATENATE(A1359,LEFT(J1359,4)),AGRUPAMENTO!$D$2:$E$6783,2,FALSE)</f>
        <v>Serviços de saúde e medicamentos</v>
      </c>
      <c r="L1359" s="52" t="s">
        <v>94</v>
      </c>
      <c r="M1359" s="52"/>
      <c r="N1359" s="52">
        <v>10</v>
      </c>
      <c r="O1359" s="107" t="s">
        <v>3479</v>
      </c>
      <c r="P1359" s="52" t="s">
        <v>46</v>
      </c>
      <c r="Q1359" s="107" t="s">
        <v>3872</v>
      </c>
      <c r="R1359" s="107">
        <v>4</v>
      </c>
      <c r="S1359" s="107" t="s">
        <v>3909</v>
      </c>
      <c r="T1359" s="239">
        <v>19</v>
      </c>
      <c r="U1359" s="107">
        <v>1</v>
      </c>
      <c r="V1359" s="58">
        <f t="shared" si="94"/>
        <v>76</v>
      </c>
      <c r="W1359" s="52" t="s">
        <v>49</v>
      </c>
      <c r="X1359" s="107" t="s">
        <v>5074</v>
      </c>
      <c r="Y1359" s="304" t="s">
        <v>5075</v>
      </c>
      <c r="Z1359" s="304" t="s">
        <v>5075</v>
      </c>
      <c r="AA1359" s="52">
        <v>0</v>
      </c>
      <c r="AB1359" s="52">
        <v>0</v>
      </c>
      <c r="AC1359" s="52">
        <v>0</v>
      </c>
      <c r="AD1359" s="21">
        <v>1</v>
      </c>
      <c r="AE1359" s="54">
        <v>1</v>
      </c>
      <c r="AF1359" s="315">
        <f t="shared" si="97"/>
        <v>76</v>
      </c>
    </row>
    <row r="1360" spans="1:32" ht="195" x14ac:dyDescent="0.25">
      <c r="A1360" s="107" t="s">
        <v>588</v>
      </c>
      <c r="B1360" s="107" t="s">
        <v>2271</v>
      </c>
      <c r="C1360" s="52"/>
      <c r="D1360" s="107" t="s">
        <v>2302</v>
      </c>
      <c r="E1360" s="22" t="str">
        <f t="shared" si="95"/>
        <v>SEJUSPPROG</v>
      </c>
      <c r="F1360" s="122" t="s">
        <v>886</v>
      </c>
      <c r="G1360" s="22" t="str">
        <f t="shared" si="96"/>
        <v>P146SEJUSP</v>
      </c>
      <c r="H1360" s="107" t="s">
        <v>2307</v>
      </c>
      <c r="I1360" s="22" t="s">
        <v>16</v>
      </c>
      <c r="J1360" s="92" t="s">
        <v>1713</v>
      </c>
      <c r="K1360" s="22" t="str">
        <f>VLOOKUP(CONCATENATE(A1360,LEFT(J1360,4)),AGRUPAMENTO!$D$2:$E$6783,2,FALSE)</f>
        <v>Serviços de saúde e medicamentos</v>
      </c>
      <c r="L1360" s="52" t="s">
        <v>94</v>
      </c>
      <c r="M1360" s="52"/>
      <c r="N1360" s="52">
        <v>10</v>
      </c>
      <c r="O1360" s="107" t="s">
        <v>3480</v>
      </c>
      <c r="P1360" s="52" t="s">
        <v>46</v>
      </c>
      <c r="Q1360" s="107" t="s">
        <v>3872</v>
      </c>
      <c r="R1360" s="107">
        <v>6</v>
      </c>
      <c r="S1360" s="107" t="s">
        <v>3909</v>
      </c>
      <c r="T1360" s="239">
        <v>25</v>
      </c>
      <c r="U1360" s="107">
        <v>1</v>
      </c>
      <c r="V1360" s="58">
        <f t="shared" si="94"/>
        <v>150</v>
      </c>
      <c r="W1360" s="52" t="s">
        <v>49</v>
      </c>
      <c r="X1360" s="107" t="s">
        <v>5074</v>
      </c>
      <c r="Y1360" s="304" t="s">
        <v>5075</v>
      </c>
      <c r="Z1360" s="304" t="s">
        <v>5075</v>
      </c>
      <c r="AA1360" s="52">
        <v>0</v>
      </c>
      <c r="AB1360" s="52">
        <v>0</v>
      </c>
      <c r="AC1360" s="52">
        <v>0</v>
      </c>
      <c r="AD1360" s="21">
        <v>1</v>
      </c>
      <c r="AE1360" s="54">
        <v>1</v>
      </c>
      <c r="AF1360" s="315">
        <f t="shared" si="97"/>
        <v>150</v>
      </c>
    </row>
    <row r="1361" spans="1:32" ht="195" x14ac:dyDescent="0.25">
      <c r="A1361" s="107" t="s">
        <v>588</v>
      </c>
      <c r="B1361" s="107" t="s">
        <v>2271</v>
      </c>
      <c r="C1361" s="52"/>
      <c r="D1361" s="107" t="s">
        <v>2302</v>
      </c>
      <c r="E1361" s="22" t="str">
        <f t="shared" si="95"/>
        <v>SEJUSPPROG</v>
      </c>
      <c r="F1361" s="122" t="s">
        <v>886</v>
      </c>
      <c r="G1361" s="22" t="str">
        <f t="shared" si="96"/>
        <v>P146SEJUSP</v>
      </c>
      <c r="H1361" s="107" t="s">
        <v>2307</v>
      </c>
      <c r="I1361" s="22" t="s">
        <v>16</v>
      </c>
      <c r="J1361" s="92" t="s">
        <v>1713</v>
      </c>
      <c r="K1361" s="22" t="str">
        <f>VLOOKUP(CONCATENATE(A1361,LEFT(J1361,4)),AGRUPAMENTO!$D$2:$E$6783,2,FALSE)</f>
        <v>Serviços de saúde e medicamentos</v>
      </c>
      <c r="L1361" s="52" t="s">
        <v>94</v>
      </c>
      <c r="M1361" s="52"/>
      <c r="N1361" s="52">
        <v>10</v>
      </c>
      <c r="O1361" s="107" t="s">
        <v>3481</v>
      </c>
      <c r="P1361" s="52" t="s">
        <v>46</v>
      </c>
      <c r="Q1361" s="107" t="s">
        <v>3872</v>
      </c>
      <c r="R1361" s="107">
        <v>6</v>
      </c>
      <c r="S1361" s="107" t="s">
        <v>3909</v>
      </c>
      <c r="T1361" s="239">
        <v>19</v>
      </c>
      <c r="U1361" s="107">
        <v>1</v>
      </c>
      <c r="V1361" s="58">
        <f t="shared" si="94"/>
        <v>114</v>
      </c>
      <c r="W1361" s="52" t="s">
        <v>49</v>
      </c>
      <c r="X1361" s="107" t="s">
        <v>5074</v>
      </c>
      <c r="Y1361" s="304" t="s">
        <v>5075</v>
      </c>
      <c r="Z1361" s="304" t="s">
        <v>5075</v>
      </c>
      <c r="AA1361" s="52">
        <v>0</v>
      </c>
      <c r="AB1361" s="52">
        <v>0</v>
      </c>
      <c r="AC1361" s="52">
        <v>0</v>
      </c>
      <c r="AD1361" s="21">
        <v>1</v>
      </c>
      <c r="AE1361" s="54">
        <v>1</v>
      </c>
      <c r="AF1361" s="315">
        <f t="shared" si="97"/>
        <v>114</v>
      </c>
    </row>
    <row r="1362" spans="1:32" ht="195" x14ac:dyDescent="0.25">
      <c r="A1362" s="107" t="s">
        <v>588</v>
      </c>
      <c r="B1362" s="107" t="s">
        <v>2271</v>
      </c>
      <c r="C1362" s="52"/>
      <c r="D1362" s="107" t="s">
        <v>2302</v>
      </c>
      <c r="E1362" s="22" t="str">
        <f t="shared" si="95"/>
        <v>SEJUSPPROG</v>
      </c>
      <c r="F1362" s="122" t="s">
        <v>886</v>
      </c>
      <c r="G1362" s="22" t="str">
        <f t="shared" si="96"/>
        <v>P146SEJUSP</v>
      </c>
      <c r="H1362" s="107" t="s">
        <v>2307</v>
      </c>
      <c r="I1362" s="22" t="s">
        <v>16</v>
      </c>
      <c r="J1362" s="92" t="s">
        <v>1713</v>
      </c>
      <c r="K1362" s="22" t="str">
        <f>VLOOKUP(CONCATENATE(A1362,LEFT(J1362,4)),AGRUPAMENTO!$D$2:$E$6783,2,FALSE)</f>
        <v>Serviços de saúde e medicamentos</v>
      </c>
      <c r="L1362" s="52" t="s">
        <v>94</v>
      </c>
      <c r="M1362" s="52"/>
      <c r="N1362" s="52">
        <v>10</v>
      </c>
      <c r="O1362" s="107" t="s">
        <v>3482</v>
      </c>
      <c r="P1362" s="52" t="s">
        <v>46</v>
      </c>
      <c r="Q1362" s="107" t="s">
        <v>3872</v>
      </c>
      <c r="R1362" s="107">
        <v>4</v>
      </c>
      <c r="S1362" s="107" t="s">
        <v>3909</v>
      </c>
      <c r="T1362" s="239">
        <v>19</v>
      </c>
      <c r="U1362" s="107">
        <v>1</v>
      </c>
      <c r="V1362" s="58">
        <f t="shared" si="94"/>
        <v>76</v>
      </c>
      <c r="W1362" s="52" t="s">
        <v>49</v>
      </c>
      <c r="X1362" s="107" t="s">
        <v>5074</v>
      </c>
      <c r="Y1362" s="304" t="s">
        <v>5075</v>
      </c>
      <c r="Z1362" s="304" t="s">
        <v>5075</v>
      </c>
      <c r="AA1362" s="52">
        <v>0</v>
      </c>
      <c r="AB1362" s="52">
        <v>0</v>
      </c>
      <c r="AC1362" s="52">
        <v>0</v>
      </c>
      <c r="AD1362" s="21">
        <v>1</v>
      </c>
      <c r="AE1362" s="54">
        <v>1</v>
      </c>
      <c r="AF1362" s="315">
        <f t="shared" si="97"/>
        <v>76</v>
      </c>
    </row>
    <row r="1363" spans="1:32" ht="195" x14ac:dyDescent="0.25">
      <c r="A1363" s="107" t="s">
        <v>588</v>
      </c>
      <c r="B1363" s="107" t="s">
        <v>2271</v>
      </c>
      <c r="C1363" s="52"/>
      <c r="D1363" s="107" t="s">
        <v>2302</v>
      </c>
      <c r="E1363" s="22" t="str">
        <f t="shared" si="95"/>
        <v>SEJUSPPROG</v>
      </c>
      <c r="F1363" s="122" t="s">
        <v>886</v>
      </c>
      <c r="G1363" s="22" t="str">
        <f t="shared" si="96"/>
        <v>P146SEJUSP</v>
      </c>
      <c r="H1363" s="107" t="s">
        <v>2307</v>
      </c>
      <c r="I1363" s="22" t="s">
        <v>16</v>
      </c>
      <c r="J1363" s="92" t="s">
        <v>1713</v>
      </c>
      <c r="K1363" s="22" t="str">
        <f>VLOOKUP(CONCATENATE(A1363,LEFT(J1363,4)),AGRUPAMENTO!$D$2:$E$6783,2,FALSE)</f>
        <v>Serviços de saúde e medicamentos</v>
      </c>
      <c r="L1363" s="52" t="s">
        <v>94</v>
      </c>
      <c r="M1363" s="52"/>
      <c r="N1363" s="52">
        <v>10</v>
      </c>
      <c r="O1363" s="107" t="s">
        <v>3483</v>
      </c>
      <c r="P1363" s="52" t="s">
        <v>46</v>
      </c>
      <c r="Q1363" s="107" t="s">
        <v>3872</v>
      </c>
      <c r="R1363" s="107">
        <v>6</v>
      </c>
      <c r="S1363" s="107" t="s">
        <v>3909</v>
      </c>
      <c r="T1363" s="239">
        <v>19</v>
      </c>
      <c r="U1363" s="107">
        <v>1</v>
      </c>
      <c r="V1363" s="58">
        <f t="shared" si="94"/>
        <v>114</v>
      </c>
      <c r="W1363" s="52" t="s">
        <v>49</v>
      </c>
      <c r="X1363" s="107" t="s">
        <v>5074</v>
      </c>
      <c r="Y1363" s="304" t="s">
        <v>5075</v>
      </c>
      <c r="Z1363" s="304" t="s">
        <v>5075</v>
      </c>
      <c r="AA1363" s="52">
        <v>0</v>
      </c>
      <c r="AB1363" s="52">
        <v>0</v>
      </c>
      <c r="AC1363" s="52">
        <v>0</v>
      </c>
      <c r="AD1363" s="21">
        <v>1</v>
      </c>
      <c r="AE1363" s="54">
        <v>1</v>
      </c>
      <c r="AF1363" s="315">
        <f t="shared" si="97"/>
        <v>114</v>
      </c>
    </row>
    <row r="1364" spans="1:32" ht="195" x14ac:dyDescent="0.25">
      <c r="A1364" s="107" t="s">
        <v>588</v>
      </c>
      <c r="B1364" s="107" t="s">
        <v>2271</v>
      </c>
      <c r="C1364" s="52"/>
      <c r="D1364" s="107" t="s">
        <v>2302</v>
      </c>
      <c r="E1364" s="22" t="str">
        <f t="shared" si="95"/>
        <v>SEJUSPPROG</v>
      </c>
      <c r="F1364" s="122" t="s">
        <v>886</v>
      </c>
      <c r="G1364" s="22" t="str">
        <f t="shared" si="96"/>
        <v>P146SEJUSP</v>
      </c>
      <c r="H1364" s="107" t="s">
        <v>2307</v>
      </c>
      <c r="I1364" s="22" t="s">
        <v>16</v>
      </c>
      <c r="J1364" s="92" t="s">
        <v>1713</v>
      </c>
      <c r="K1364" s="22" t="str">
        <f>VLOOKUP(CONCATENATE(A1364,LEFT(J1364,4)),AGRUPAMENTO!$D$2:$E$6783,2,FALSE)</f>
        <v>Serviços de saúde e medicamentos</v>
      </c>
      <c r="L1364" s="52" t="s">
        <v>94</v>
      </c>
      <c r="M1364" s="52"/>
      <c r="N1364" s="52">
        <v>10</v>
      </c>
      <c r="O1364" s="107" t="s">
        <v>3484</v>
      </c>
      <c r="P1364" s="52" t="s">
        <v>46</v>
      </c>
      <c r="Q1364" s="107" t="s">
        <v>3872</v>
      </c>
      <c r="R1364" s="107">
        <v>2</v>
      </c>
      <c r="S1364" s="107" t="s">
        <v>3909</v>
      </c>
      <c r="T1364" s="239">
        <v>57.28</v>
      </c>
      <c r="U1364" s="107">
        <v>1</v>
      </c>
      <c r="V1364" s="58">
        <f t="shared" si="94"/>
        <v>114.56</v>
      </c>
      <c r="W1364" s="52" t="s">
        <v>49</v>
      </c>
      <c r="X1364" s="107" t="s">
        <v>5074</v>
      </c>
      <c r="Y1364" s="304" t="s">
        <v>5075</v>
      </c>
      <c r="Z1364" s="304" t="s">
        <v>5075</v>
      </c>
      <c r="AA1364" s="52">
        <v>0</v>
      </c>
      <c r="AB1364" s="52">
        <v>0</v>
      </c>
      <c r="AC1364" s="52">
        <v>0</v>
      </c>
      <c r="AD1364" s="21">
        <v>1</v>
      </c>
      <c r="AE1364" s="54">
        <v>1</v>
      </c>
      <c r="AF1364" s="315">
        <f t="shared" si="97"/>
        <v>114.56</v>
      </c>
    </row>
    <row r="1365" spans="1:32" ht="195" x14ac:dyDescent="0.25">
      <c r="A1365" s="107" t="s">
        <v>588</v>
      </c>
      <c r="B1365" s="107" t="s">
        <v>2271</v>
      </c>
      <c r="C1365" s="52"/>
      <c r="D1365" s="107" t="s">
        <v>2302</v>
      </c>
      <c r="E1365" s="22" t="str">
        <f t="shared" si="95"/>
        <v>SEJUSPPROG</v>
      </c>
      <c r="F1365" s="122" t="s">
        <v>886</v>
      </c>
      <c r="G1365" s="22" t="str">
        <f t="shared" si="96"/>
        <v>P146SEJUSP</v>
      </c>
      <c r="H1365" s="107" t="s">
        <v>2307</v>
      </c>
      <c r="I1365" s="22" t="s">
        <v>16</v>
      </c>
      <c r="J1365" s="92" t="s">
        <v>1713</v>
      </c>
      <c r="K1365" s="22" t="str">
        <f>VLOOKUP(CONCATENATE(A1365,LEFT(J1365,4)),AGRUPAMENTO!$D$2:$E$6783,2,FALSE)</f>
        <v>Serviços de saúde e medicamentos</v>
      </c>
      <c r="L1365" s="52" t="s">
        <v>94</v>
      </c>
      <c r="M1365" s="52"/>
      <c r="N1365" s="52">
        <v>10</v>
      </c>
      <c r="O1365" s="107" t="s">
        <v>3485</v>
      </c>
      <c r="P1365" s="52" t="s">
        <v>46</v>
      </c>
      <c r="Q1365" s="107" t="s">
        <v>3872</v>
      </c>
      <c r="R1365" s="107">
        <v>5</v>
      </c>
      <c r="S1365" s="107" t="s">
        <v>3909</v>
      </c>
      <c r="T1365" s="239">
        <v>65.03</v>
      </c>
      <c r="U1365" s="107">
        <v>1</v>
      </c>
      <c r="V1365" s="58">
        <f t="shared" si="94"/>
        <v>325.14999999999998</v>
      </c>
      <c r="W1365" s="52" t="s">
        <v>49</v>
      </c>
      <c r="X1365" s="107" t="s">
        <v>5074</v>
      </c>
      <c r="Y1365" s="304" t="s">
        <v>5075</v>
      </c>
      <c r="Z1365" s="304" t="s">
        <v>5075</v>
      </c>
      <c r="AA1365" s="52">
        <v>0</v>
      </c>
      <c r="AB1365" s="52">
        <v>0</v>
      </c>
      <c r="AC1365" s="52">
        <v>0</v>
      </c>
      <c r="AD1365" s="21">
        <v>1</v>
      </c>
      <c r="AE1365" s="54">
        <v>1</v>
      </c>
      <c r="AF1365" s="315">
        <f t="shared" si="97"/>
        <v>325.14999999999998</v>
      </c>
    </row>
    <row r="1366" spans="1:32" ht="225" x14ac:dyDescent="0.25">
      <c r="A1366" s="107" t="s">
        <v>588</v>
      </c>
      <c r="B1366" s="107" t="s">
        <v>2271</v>
      </c>
      <c r="C1366" s="52"/>
      <c r="D1366" s="107" t="s">
        <v>2302</v>
      </c>
      <c r="E1366" s="22" t="str">
        <f t="shared" si="95"/>
        <v>SEJUSPPROG</v>
      </c>
      <c r="F1366" s="122" t="s">
        <v>886</v>
      </c>
      <c r="G1366" s="22" t="str">
        <f t="shared" si="96"/>
        <v>P146SEJUSP</v>
      </c>
      <c r="H1366" s="107" t="s">
        <v>2307</v>
      </c>
      <c r="I1366" s="22" t="s">
        <v>16</v>
      </c>
      <c r="J1366" s="92" t="s">
        <v>1713</v>
      </c>
      <c r="K1366" s="22" t="str">
        <f>VLOOKUP(CONCATENATE(A1366,LEFT(J1366,4)),AGRUPAMENTO!$D$2:$E$6783,2,FALSE)</f>
        <v>Serviços de saúde e medicamentos</v>
      </c>
      <c r="L1366" s="52" t="s">
        <v>94</v>
      </c>
      <c r="M1366" s="52"/>
      <c r="N1366" s="52">
        <v>10</v>
      </c>
      <c r="O1366" s="107" t="s">
        <v>3486</v>
      </c>
      <c r="P1366" s="52" t="s">
        <v>46</v>
      </c>
      <c r="Q1366" s="107" t="s">
        <v>3872</v>
      </c>
      <c r="R1366" s="107">
        <v>2</v>
      </c>
      <c r="S1366" s="107" t="s">
        <v>3909</v>
      </c>
      <c r="T1366" s="239">
        <v>4738</v>
      </c>
      <c r="U1366" s="107">
        <v>1</v>
      </c>
      <c r="V1366" s="58">
        <f t="shared" si="94"/>
        <v>9476</v>
      </c>
      <c r="W1366" s="52" t="s">
        <v>49</v>
      </c>
      <c r="X1366" s="107" t="s">
        <v>5074</v>
      </c>
      <c r="Y1366" s="304" t="s">
        <v>5075</v>
      </c>
      <c r="Z1366" s="304" t="s">
        <v>5075</v>
      </c>
      <c r="AA1366" s="52">
        <v>0</v>
      </c>
      <c r="AB1366" s="52">
        <v>0</v>
      </c>
      <c r="AC1366" s="52">
        <v>0</v>
      </c>
      <c r="AD1366" s="21">
        <v>1</v>
      </c>
      <c r="AE1366" s="54">
        <v>1</v>
      </c>
      <c r="AF1366" s="315">
        <f t="shared" si="97"/>
        <v>9476</v>
      </c>
    </row>
    <row r="1367" spans="1:32" ht="195" x14ac:dyDescent="0.25">
      <c r="A1367" s="107" t="s">
        <v>588</v>
      </c>
      <c r="B1367" s="107" t="s">
        <v>2271</v>
      </c>
      <c r="C1367" s="52"/>
      <c r="D1367" s="107" t="s">
        <v>2302</v>
      </c>
      <c r="E1367" s="22" t="str">
        <f t="shared" si="95"/>
        <v>SEJUSPPROG</v>
      </c>
      <c r="F1367" s="122" t="s">
        <v>886</v>
      </c>
      <c r="G1367" s="22" t="str">
        <f t="shared" si="96"/>
        <v>P146SEJUSP</v>
      </c>
      <c r="H1367" s="107" t="s">
        <v>2307</v>
      </c>
      <c r="I1367" s="22" t="s">
        <v>16</v>
      </c>
      <c r="J1367" s="92" t="s">
        <v>1713</v>
      </c>
      <c r="K1367" s="22" t="str">
        <f>VLOOKUP(CONCATENATE(A1367,LEFT(J1367,4)),AGRUPAMENTO!$D$2:$E$6783,2,FALSE)</f>
        <v>Serviços de saúde e medicamentos</v>
      </c>
      <c r="L1367" s="52" t="s">
        <v>94</v>
      </c>
      <c r="M1367" s="52"/>
      <c r="N1367" s="52">
        <v>10</v>
      </c>
      <c r="O1367" s="107" t="s">
        <v>3487</v>
      </c>
      <c r="P1367" s="52" t="s">
        <v>46</v>
      </c>
      <c r="Q1367" s="107" t="s">
        <v>3872</v>
      </c>
      <c r="R1367" s="107">
        <v>4</v>
      </c>
      <c r="S1367" s="107" t="s">
        <v>3909</v>
      </c>
      <c r="T1367" s="239">
        <v>949</v>
      </c>
      <c r="U1367" s="107">
        <v>1</v>
      </c>
      <c r="V1367" s="58">
        <f t="shared" si="94"/>
        <v>3796</v>
      </c>
      <c r="W1367" s="52" t="s">
        <v>49</v>
      </c>
      <c r="X1367" s="107" t="s">
        <v>5074</v>
      </c>
      <c r="Y1367" s="304" t="s">
        <v>5075</v>
      </c>
      <c r="Z1367" s="304" t="s">
        <v>5075</v>
      </c>
      <c r="AA1367" s="52">
        <v>0</v>
      </c>
      <c r="AB1367" s="52">
        <v>0</v>
      </c>
      <c r="AC1367" s="52">
        <v>0</v>
      </c>
      <c r="AD1367" s="21">
        <v>1</v>
      </c>
      <c r="AE1367" s="54">
        <v>1</v>
      </c>
      <c r="AF1367" s="315">
        <f t="shared" si="97"/>
        <v>3796</v>
      </c>
    </row>
    <row r="1368" spans="1:32" ht="195" x14ac:dyDescent="0.25">
      <c r="A1368" s="107" t="s">
        <v>588</v>
      </c>
      <c r="B1368" s="107" t="s">
        <v>2271</v>
      </c>
      <c r="C1368" s="52"/>
      <c r="D1368" s="107" t="s">
        <v>2302</v>
      </c>
      <c r="E1368" s="22" t="str">
        <f t="shared" si="95"/>
        <v>SEJUSPPROG</v>
      </c>
      <c r="F1368" s="122" t="s">
        <v>886</v>
      </c>
      <c r="G1368" s="22" t="str">
        <f t="shared" si="96"/>
        <v>P146SEJUSP</v>
      </c>
      <c r="H1368" s="107" t="s">
        <v>2307</v>
      </c>
      <c r="I1368" s="22" t="s">
        <v>16</v>
      </c>
      <c r="J1368" s="92" t="s">
        <v>1713</v>
      </c>
      <c r="K1368" s="22" t="str">
        <f>VLOOKUP(CONCATENATE(A1368,LEFT(J1368,4)),AGRUPAMENTO!$D$2:$E$6783,2,FALSE)</f>
        <v>Serviços de saúde e medicamentos</v>
      </c>
      <c r="L1368" s="52" t="s">
        <v>94</v>
      </c>
      <c r="M1368" s="52"/>
      <c r="N1368" s="52">
        <v>10</v>
      </c>
      <c r="O1368" s="107" t="s">
        <v>3488</v>
      </c>
      <c r="P1368" s="52" t="s">
        <v>46</v>
      </c>
      <c r="Q1368" s="107" t="s">
        <v>3872</v>
      </c>
      <c r="R1368" s="107">
        <v>7</v>
      </c>
      <c r="S1368" s="107" t="s">
        <v>3909</v>
      </c>
      <c r="T1368" s="239">
        <v>1999</v>
      </c>
      <c r="U1368" s="107">
        <v>1</v>
      </c>
      <c r="V1368" s="58">
        <f t="shared" si="94"/>
        <v>13993</v>
      </c>
      <c r="W1368" s="52" t="s">
        <v>49</v>
      </c>
      <c r="X1368" s="107" t="s">
        <v>5074</v>
      </c>
      <c r="Y1368" s="304" t="s">
        <v>5075</v>
      </c>
      <c r="Z1368" s="304" t="s">
        <v>5075</v>
      </c>
      <c r="AA1368" s="52">
        <v>0</v>
      </c>
      <c r="AB1368" s="52">
        <v>0</v>
      </c>
      <c r="AC1368" s="52">
        <v>0</v>
      </c>
      <c r="AD1368" s="21">
        <v>1</v>
      </c>
      <c r="AE1368" s="54">
        <v>1</v>
      </c>
      <c r="AF1368" s="315">
        <f t="shared" si="97"/>
        <v>13993</v>
      </c>
    </row>
    <row r="1369" spans="1:32" ht="195" x14ac:dyDescent="0.25">
      <c r="A1369" s="107" t="s">
        <v>588</v>
      </c>
      <c r="B1369" s="107" t="s">
        <v>2271</v>
      </c>
      <c r="C1369" s="52"/>
      <c r="D1369" s="107" t="s">
        <v>2302</v>
      </c>
      <c r="E1369" s="22" t="str">
        <f t="shared" si="95"/>
        <v>SEJUSPPROG</v>
      </c>
      <c r="F1369" s="122" t="s">
        <v>886</v>
      </c>
      <c r="G1369" s="22" t="str">
        <f t="shared" si="96"/>
        <v>P146SEJUSP</v>
      </c>
      <c r="H1369" s="107" t="s">
        <v>2307</v>
      </c>
      <c r="I1369" s="22" t="s">
        <v>16</v>
      </c>
      <c r="J1369" s="92" t="s">
        <v>1713</v>
      </c>
      <c r="K1369" s="22" t="str">
        <f>VLOOKUP(CONCATENATE(A1369,LEFT(J1369,4)),AGRUPAMENTO!$D$2:$E$6783,2,FALSE)</f>
        <v>Serviços de saúde e medicamentos</v>
      </c>
      <c r="L1369" s="52" t="s">
        <v>94</v>
      </c>
      <c r="M1369" s="52"/>
      <c r="N1369" s="52">
        <v>10</v>
      </c>
      <c r="O1369" s="107" t="s">
        <v>3489</v>
      </c>
      <c r="P1369" s="52" t="s">
        <v>46</v>
      </c>
      <c r="Q1369" s="107" t="s">
        <v>3872</v>
      </c>
      <c r="R1369" s="107">
        <v>2</v>
      </c>
      <c r="S1369" s="107" t="s">
        <v>3909</v>
      </c>
      <c r="T1369" s="239">
        <v>342</v>
      </c>
      <c r="U1369" s="107">
        <v>1</v>
      </c>
      <c r="V1369" s="58">
        <f t="shared" si="94"/>
        <v>684</v>
      </c>
      <c r="W1369" s="52" t="s">
        <v>49</v>
      </c>
      <c r="X1369" s="107" t="s">
        <v>5074</v>
      </c>
      <c r="Y1369" s="304" t="s">
        <v>5075</v>
      </c>
      <c r="Z1369" s="304" t="s">
        <v>5075</v>
      </c>
      <c r="AA1369" s="52">
        <v>0</v>
      </c>
      <c r="AB1369" s="52">
        <v>0</v>
      </c>
      <c r="AC1369" s="52">
        <v>0</v>
      </c>
      <c r="AD1369" s="21">
        <v>1</v>
      </c>
      <c r="AE1369" s="54">
        <v>1</v>
      </c>
      <c r="AF1369" s="315">
        <f t="shared" si="97"/>
        <v>684</v>
      </c>
    </row>
    <row r="1370" spans="1:32" ht="135" x14ac:dyDescent="0.25">
      <c r="A1370" s="107" t="s">
        <v>588</v>
      </c>
      <c r="B1370" s="107" t="s">
        <v>2271</v>
      </c>
      <c r="C1370" s="52"/>
      <c r="D1370" s="107" t="s">
        <v>2302</v>
      </c>
      <c r="E1370" s="22" t="str">
        <f t="shared" si="95"/>
        <v>SEJUSPPROG</v>
      </c>
      <c r="F1370" s="122" t="s">
        <v>886</v>
      </c>
      <c r="G1370" s="22" t="str">
        <f t="shared" si="96"/>
        <v>P146SEJUSP</v>
      </c>
      <c r="H1370" s="107" t="s">
        <v>2307</v>
      </c>
      <c r="I1370" s="22" t="s">
        <v>16</v>
      </c>
      <c r="J1370" s="52" t="s">
        <v>2131</v>
      </c>
      <c r="K1370" s="22" t="str">
        <f>VLOOKUP(CONCATENATE(A1370,LEFT(J1370,4)),AGRUPAMENTO!$D$2:$E$6783,2,FALSE)</f>
        <v>Diárias e viagens</v>
      </c>
      <c r="L1370" s="107" t="s">
        <v>44</v>
      </c>
      <c r="M1370" s="52"/>
      <c r="N1370" s="52">
        <v>10</v>
      </c>
      <c r="O1370" s="107" t="s">
        <v>3490</v>
      </c>
      <c r="P1370" s="52" t="s">
        <v>46</v>
      </c>
      <c r="Q1370" s="107" t="s">
        <v>3872</v>
      </c>
      <c r="R1370" s="107">
        <v>48</v>
      </c>
      <c r="S1370" s="107" t="s">
        <v>4150</v>
      </c>
      <c r="T1370" s="239">
        <v>258</v>
      </c>
      <c r="U1370" s="107">
        <v>1</v>
      </c>
      <c r="V1370" s="58">
        <f t="shared" si="94"/>
        <v>12384</v>
      </c>
      <c r="W1370" s="52" t="s">
        <v>49</v>
      </c>
      <c r="X1370" s="107" t="s">
        <v>5077</v>
      </c>
      <c r="Y1370" s="304" t="s">
        <v>5078</v>
      </c>
      <c r="Z1370" s="304" t="s">
        <v>5077</v>
      </c>
      <c r="AA1370" s="52">
        <v>0</v>
      </c>
      <c r="AB1370" s="52">
        <v>0</v>
      </c>
      <c r="AC1370" s="52">
        <v>0</v>
      </c>
      <c r="AD1370" s="21">
        <v>0.86749884668513244</v>
      </c>
      <c r="AE1370" s="54">
        <v>0.86749884668513244</v>
      </c>
      <c r="AF1370" s="315">
        <f t="shared" si="97"/>
        <v>10743.105717348681</v>
      </c>
    </row>
    <row r="1371" spans="1:32" ht="105" x14ac:dyDescent="0.25">
      <c r="A1371" s="107" t="s">
        <v>588</v>
      </c>
      <c r="B1371" s="107" t="s">
        <v>2271</v>
      </c>
      <c r="C1371" s="52"/>
      <c r="D1371" s="107" t="s">
        <v>2302</v>
      </c>
      <c r="E1371" s="22" t="str">
        <f t="shared" si="95"/>
        <v>SEJUSPPROG</v>
      </c>
      <c r="F1371" s="122" t="s">
        <v>886</v>
      </c>
      <c r="G1371" s="22" t="str">
        <f t="shared" si="96"/>
        <v>P146SEJUSP</v>
      </c>
      <c r="H1371" s="52" t="s">
        <v>2306</v>
      </c>
      <c r="I1371" s="22" t="s">
        <v>16</v>
      </c>
      <c r="J1371" s="52" t="s">
        <v>2131</v>
      </c>
      <c r="K1371" s="22" t="str">
        <f>VLOOKUP(CONCATENATE(A1371,LEFT(J1371,4)),AGRUPAMENTO!$D$2:$E$6783,2,FALSE)</f>
        <v>Diárias e viagens</v>
      </c>
      <c r="L1371" s="107" t="s">
        <v>44</v>
      </c>
      <c r="M1371" s="52"/>
      <c r="N1371" s="107">
        <v>10</v>
      </c>
      <c r="O1371" s="107" t="s">
        <v>3491</v>
      </c>
      <c r="P1371" s="52" t="s">
        <v>46</v>
      </c>
      <c r="Q1371" s="107" t="s">
        <v>4151</v>
      </c>
      <c r="R1371" s="107">
        <v>26</v>
      </c>
      <c r="S1371" s="107" t="s">
        <v>4152</v>
      </c>
      <c r="T1371" s="239">
        <v>362</v>
      </c>
      <c r="U1371" s="107">
        <v>1</v>
      </c>
      <c r="V1371" s="58">
        <f t="shared" si="94"/>
        <v>9412</v>
      </c>
      <c r="W1371" s="52" t="s">
        <v>49</v>
      </c>
      <c r="X1371" s="107" t="s">
        <v>5079</v>
      </c>
      <c r="Y1371" s="304" t="s">
        <v>5080</v>
      </c>
      <c r="Z1371" s="304" t="s">
        <v>5081</v>
      </c>
      <c r="AA1371" s="52">
        <v>0</v>
      </c>
      <c r="AB1371" s="52">
        <v>0</v>
      </c>
      <c r="AC1371" s="52">
        <v>0</v>
      </c>
      <c r="AD1371" s="21">
        <v>0.86749884668513244</v>
      </c>
      <c r="AE1371" s="54">
        <v>0.86749884668513244</v>
      </c>
      <c r="AF1371" s="315">
        <f t="shared" si="97"/>
        <v>8164.8991450004669</v>
      </c>
    </row>
    <row r="1372" spans="1:32" ht="75" x14ac:dyDescent="0.25">
      <c r="A1372" s="107" t="s">
        <v>588</v>
      </c>
      <c r="B1372" s="107" t="s">
        <v>2271</v>
      </c>
      <c r="C1372" s="52"/>
      <c r="D1372" s="107" t="s">
        <v>2302</v>
      </c>
      <c r="E1372" s="22" t="str">
        <f t="shared" si="95"/>
        <v>SEJUSPPROG</v>
      </c>
      <c r="F1372" s="122" t="s">
        <v>886</v>
      </c>
      <c r="G1372" s="22" t="str">
        <f t="shared" si="96"/>
        <v>P146SEJUSP</v>
      </c>
      <c r="H1372" s="52" t="s">
        <v>2306</v>
      </c>
      <c r="I1372" s="22" t="s">
        <v>16</v>
      </c>
      <c r="J1372" s="107" t="s">
        <v>1603</v>
      </c>
      <c r="K1372" s="22" t="str">
        <f>VLOOKUP(CONCATENATE(A1372,LEFT(J1372,4)),AGRUPAMENTO!$D$2:$E$6783,2,FALSE)</f>
        <v>Material de consumo</v>
      </c>
      <c r="L1372" s="107" t="s">
        <v>44</v>
      </c>
      <c r="M1372" s="52"/>
      <c r="N1372" s="107">
        <v>10</v>
      </c>
      <c r="O1372" s="107" t="s">
        <v>3492</v>
      </c>
      <c r="P1372" s="52" t="s">
        <v>46</v>
      </c>
      <c r="Q1372" s="107" t="s">
        <v>4153</v>
      </c>
      <c r="R1372" s="107">
        <v>60</v>
      </c>
      <c r="S1372" s="107" t="s">
        <v>4154</v>
      </c>
      <c r="T1372" s="239">
        <v>130</v>
      </c>
      <c r="U1372" s="107">
        <v>1</v>
      </c>
      <c r="V1372" s="58">
        <f t="shared" si="94"/>
        <v>7800</v>
      </c>
      <c r="W1372" s="52" t="s">
        <v>49</v>
      </c>
      <c r="X1372" s="107" t="s">
        <v>5082</v>
      </c>
      <c r="Y1372" s="304" t="s">
        <v>5083</v>
      </c>
      <c r="Z1372" s="304" t="s">
        <v>5084</v>
      </c>
      <c r="AA1372" s="52">
        <v>0</v>
      </c>
      <c r="AB1372" s="52">
        <v>0</v>
      </c>
      <c r="AC1372" s="52">
        <v>0</v>
      </c>
      <c r="AD1372" s="21">
        <v>0.66843255889259856</v>
      </c>
      <c r="AE1372" s="54">
        <v>0.66843255889259856</v>
      </c>
      <c r="AF1372" s="315">
        <f t="shared" si="97"/>
        <v>5213.7739593622691</v>
      </c>
    </row>
    <row r="1373" spans="1:32" ht="105" x14ac:dyDescent="0.25">
      <c r="A1373" s="107" t="s">
        <v>588</v>
      </c>
      <c r="B1373" s="107" t="s">
        <v>2271</v>
      </c>
      <c r="C1373" s="52"/>
      <c r="D1373" s="107" t="s">
        <v>2302</v>
      </c>
      <c r="E1373" s="22" t="str">
        <f t="shared" si="95"/>
        <v>SEJUSPPROG</v>
      </c>
      <c r="F1373" s="122" t="s">
        <v>886</v>
      </c>
      <c r="G1373" s="22" t="str">
        <f t="shared" si="96"/>
        <v>P146SEJUSP</v>
      </c>
      <c r="H1373" s="52" t="s">
        <v>2306</v>
      </c>
      <c r="I1373" s="22" t="s">
        <v>16</v>
      </c>
      <c r="J1373" s="107" t="s">
        <v>2149</v>
      </c>
      <c r="K1373" s="22" t="str">
        <f>VLOOKUP(CONCATENATE(A1373,LEFT(J1373,4)),AGRUPAMENTO!$D$2:$E$6783,2,FALSE)</f>
        <v>Diárias e viagens</v>
      </c>
      <c r="L1373" s="107" t="s">
        <v>44</v>
      </c>
      <c r="M1373" s="52"/>
      <c r="N1373" s="107">
        <v>10</v>
      </c>
      <c r="O1373" s="107" t="s">
        <v>3493</v>
      </c>
      <c r="P1373" s="52" t="s">
        <v>46</v>
      </c>
      <c r="Q1373" s="107" t="s">
        <v>4155</v>
      </c>
      <c r="R1373" s="107">
        <v>3600</v>
      </c>
      <c r="S1373" s="107" t="s">
        <v>4156</v>
      </c>
      <c r="T1373" s="239">
        <v>5.75</v>
      </c>
      <c r="U1373" s="107">
        <v>1</v>
      </c>
      <c r="V1373" s="58">
        <f t="shared" si="94"/>
        <v>20700</v>
      </c>
      <c r="W1373" s="52" t="s">
        <v>49</v>
      </c>
      <c r="X1373" s="107" t="s">
        <v>5085</v>
      </c>
      <c r="Y1373" s="304" t="s">
        <v>5086</v>
      </c>
      <c r="Z1373" s="304" t="s">
        <v>5087</v>
      </c>
      <c r="AA1373" s="52">
        <v>0</v>
      </c>
      <c r="AB1373" s="52">
        <v>0</v>
      </c>
      <c r="AC1373" s="52">
        <v>0</v>
      </c>
      <c r="AD1373" s="21">
        <v>0.86749884668513244</v>
      </c>
      <c r="AE1373" s="54">
        <v>0.86749884668513244</v>
      </c>
      <c r="AF1373" s="315">
        <f t="shared" si="97"/>
        <v>17957.22612638224</v>
      </c>
    </row>
    <row r="1374" spans="1:32" ht="90" x14ac:dyDescent="0.25">
      <c r="A1374" s="107" t="s">
        <v>588</v>
      </c>
      <c r="B1374" s="107" t="s">
        <v>2271</v>
      </c>
      <c r="C1374" s="52"/>
      <c r="D1374" s="107" t="s">
        <v>2302</v>
      </c>
      <c r="E1374" s="22" t="str">
        <f t="shared" si="95"/>
        <v>SEJUSPPROG</v>
      </c>
      <c r="F1374" s="122" t="s">
        <v>886</v>
      </c>
      <c r="G1374" s="22" t="str">
        <f t="shared" si="96"/>
        <v>P146SEJUSP</v>
      </c>
      <c r="H1374" s="52" t="s">
        <v>2306</v>
      </c>
      <c r="I1374" s="22" t="s">
        <v>16</v>
      </c>
      <c r="J1374" s="107" t="s">
        <v>332</v>
      </c>
      <c r="K1374" s="22" t="str">
        <f>VLOOKUP(CONCATENATE(A1374,LEFT(J1374,4)),AGRUPAMENTO!$D$2:$E$6783,2,FALSE)</f>
        <v>Material de consumo</v>
      </c>
      <c r="L1374" s="107" t="s">
        <v>44</v>
      </c>
      <c r="M1374" s="52"/>
      <c r="N1374" s="107">
        <v>10</v>
      </c>
      <c r="O1374" s="107" t="s">
        <v>3494</v>
      </c>
      <c r="P1374" s="52" t="s">
        <v>46</v>
      </c>
      <c r="Q1374" s="107" t="s">
        <v>4157</v>
      </c>
      <c r="R1374" s="107">
        <v>1258</v>
      </c>
      <c r="S1374" s="107" t="s">
        <v>4154</v>
      </c>
      <c r="T1374" s="239">
        <v>20.64</v>
      </c>
      <c r="U1374" s="107">
        <v>1</v>
      </c>
      <c r="V1374" s="58">
        <f t="shared" si="94"/>
        <v>25965.119999999999</v>
      </c>
      <c r="W1374" s="52" t="s">
        <v>49</v>
      </c>
      <c r="X1374" s="107" t="s">
        <v>5088</v>
      </c>
      <c r="Y1374" s="304" t="s">
        <v>5089</v>
      </c>
      <c r="Z1374" s="304" t="s">
        <v>5090</v>
      </c>
      <c r="AA1374" s="52">
        <v>0</v>
      </c>
      <c r="AB1374" s="52">
        <v>0</v>
      </c>
      <c r="AC1374" s="52">
        <v>0</v>
      </c>
      <c r="AD1374" s="21">
        <v>0.66843255889259856</v>
      </c>
      <c r="AE1374" s="54">
        <v>0.66843255889259856</v>
      </c>
      <c r="AF1374" s="315">
        <f t="shared" si="97"/>
        <v>17355.931603553388</v>
      </c>
    </row>
    <row r="1375" spans="1:32" ht="150" x14ac:dyDescent="0.25">
      <c r="A1375" s="107" t="s">
        <v>588</v>
      </c>
      <c r="B1375" s="107" t="s">
        <v>2271</v>
      </c>
      <c r="C1375" s="52"/>
      <c r="D1375" s="107" t="s">
        <v>2302</v>
      </c>
      <c r="E1375" s="22" t="str">
        <f t="shared" si="95"/>
        <v>SEJUSPPROG</v>
      </c>
      <c r="F1375" s="122" t="s">
        <v>886</v>
      </c>
      <c r="G1375" s="22" t="str">
        <f t="shared" si="96"/>
        <v>P146SEJUSP</v>
      </c>
      <c r="H1375" s="52" t="s">
        <v>2306</v>
      </c>
      <c r="I1375" s="22" t="s">
        <v>16</v>
      </c>
      <c r="J1375" s="52" t="s">
        <v>2131</v>
      </c>
      <c r="K1375" s="22" t="str">
        <f>VLOOKUP(CONCATENATE(A1375,LEFT(J1375,4)),AGRUPAMENTO!$D$2:$E$6783,2,FALSE)</f>
        <v>Diárias e viagens</v>
      </c>
      <c r="L1375" s="107" t="s">
        <v>44</v>
      </c>
      <c r="M1375" s="52"/>
      <c r="N1375" s="107">
        <v>10</v>
      </c>
      <c r="O1375" s="107" t="s">
        <v>43</v>
      </c>
      <c r="P1375" s="52" t="s">
        <v>46</v>
      </c>
      <c r="Q1375" s="107" t="s">
        <v>3491</v>
      </c>
      <c r="R1375" s="107">
        <v>36</v>
      </c>
      <c r="S1375" s="107" t="s">
        <v>4152</v>
      </c>
      <c r="T1375" s="239">
        <v>258</v>
      </c>
      <c r="U1375" s="107">
        <v>1</v>
      </c>
      <c r="V1375" s="58">
        <f t="shared" si="94"/>
        <v>9288</v>
      </c>
      <c r="W1375" s="52" t="s">
        <v>49</v>
      </c>
      <c r="X1375" s="107" t="s">
        <v>5079</v>
      </c>
      <c r="Y1375" s="304" t="s">
        <v>5091</v>
      </c>
      <c r="Z1375" s="304" t="s">
        <v>5092</v>
      </c>
      <c r="AA1375" s="52">
        <v>0</v>
      </c>
      <c r="AB1375" s="52">
        <v>0</v>
      </c>
      <c r="AC1375" s="52">
        <v>0</v>
      </c>
      <c r="AD1375" s="21">
        <v>0.86749884668513244</v>
      </c>
      <c r="AE1375" s="54">
        <v>0.86749884668513244</v>
      </c>
      <c r="AF1375" s="315">
        <f t="shared" si="97"/>
        <v>8057.3292880115105</v>
      </c>
    </row>
    <row r="1376" spans="1:32" ht="90" x14ac:dyDescent="0.25">
      <c r="A1376" s="107" t="s">
        <v>588</v>
      </c>
      <c r="B1376" s="107" t="s">
        <v>2271</v>
      </c>
      <c r="C1376" s="52"/>
      <c r="D1376" s="107" t="s">
        <v>2302</v>
      </c>
      <c r="E1376" s="22" t="str">
        <f t="shared" si="95"/>
        <v>SEJUSPPROG</v>
      </c>
      <c r="F1376" s="122" t="s">
        <v>886</v>
      </c>
      <c r="G1376" s="22" t="str">
        <f t="shared" si="96"/>
        <v>P146SEJUSP</v>
      </c>
      <c r="H1376" s="52" t="s">
        <v>2306</v>
      </c>
      <c r="I1376" s="22" t="s">
        <v>16</v>
      </c>
      <c r="J1376" s="52" t="s">
        <v>2131</v>
      </c>
      <c r="K1376" s="22" t="str">
        <f>VLOOKUP(CONCATENATE(A1376,LEFT(J1376,4)),AGRUPAMENTO!$D$2:$E$6783,2,FALSE)</f>
        <v>Diárias e viagens</v>
      </c>
      <c r="L1376" s="107" t="s">
        <v>44</v>
      </c>
      <c r="M1376" s="52"/>
      <c r="N1376" s="107">
        <v>10</v>
      </c>
      <c r="O1376" s="107" t="s">
        <v>3495</v>
      </c>
      <c r="P1376" s="52" t="s">
        <v>46</v>
      </c>
      <c r="Q1376" s="107" t="s">
        <v>4158</v>
      </c>
      <c r="R1376" s="107">
        <v>260</v>
      </c>
      <c r="S1376" s="107" t="s">
        <v>4152</v>
      </c>
      <c r="T1376" s="239">
        <v>470</v>
      </c>
      <c r="U1376" s="107">
        <v>1</v>
      </c>
      <c r="V1376" s="58">
        <f t="shared" si="94"/>
        <v>122200</v>
      </c>
      <c r="W1376" s="52" t="s">
        <v>49</v>
      </c>
      <c r="X1376" s="107" t="s">
        <v>5093</v>
      </c>
      <c r="Y1376" s="304" t="s">
        <v>5094</v>
      </c>
      <c r="Z1376" s="304" t="s">
        <v>5095</v>
      </c>
      <c r="AA1376" s="52">
        <v>0</v>
      </c>
      <c r="AB1376" s="52">
        <v>0</v>
      </c>
      <c r="AC1376" s="52">
        <v>0</v>
      </c>
      <c r="AD1376" s="21">
        <v>0.86749884668513244</v>
      </c>
      <c r="AE1376" s="54">
        <v>0.86749884668513244</v>
      </c>
      <c r="AF1376" s="315">
        <f t="shared" si="97"/>
        <v>106008.35906492318</v>
      </c>
    </row>
    <row r="1377" spans="1:32" ht="75" x14ac:dyDescent="0.25">
      <c r="A1377" s="107" t="s">
        <v>588</v>
      </c>
      <c r="B1377" s="107" t="s">
        <v>2271</v>
      </c>
      <c r="C1377" s="52"/>
      <c r="D1377" s="107" t="s">
        <v>2302</v>
      </c>
      <c r="E1377" s="22" t="str">
        <f t="shared" si="95"/>
        <v>SEJUSPPROG</v>
      </c>
      <c r="F1377" s="122" t="s">
        <v>886</v>
      </c>
      <c r="G1377" s="22" t="str">
        <f t="shared" si="96"/>
        <v>P146SEJUSP</v>
      </c>
      <c r="H1377" s="52" t="s">
        <v>2306</v>
      </c>
      <c r="I1377" s="22" t="s">
        <v>16</v>
      </c>
      <c r="J1377" s="107" t="s">
        <v>490</v>
      </c>
      <c r="K1377" s="22" t="str">
        <f>VLOOKUP(CONCATENATE(A1377,LEFT(J1377,4)),AGRUPAMENTO!$D$2:$E$6783,2,FALSE)</f>
        <v>Material de consumo</v>
      </c>
      <c r="L1377" s="107" t="s">
        <v>44</v>
      </c>
      <c r="M1377" s="52"/>
      <c r="N1377" s="107">
        <v>10</v>
      </c>
      <c r="O1377" s="107" t="s">
        <v>3496</v>
      </c>
      <c r="P1377" s="52" t="s">
        <v>46</v>
      </c>
      <c r="Q1377" s="107" t="s">
        <v>4153</v>
      </c>
      <c r="R1377" s="107">
        <v>65</v>
      </c>
      <c r="S1377" s="107" t="s">
        <v>4154</v>
      </c>
      <c r="T1377" s="239">
        <v>110</v>
      </c>
      <c r="U1377" s="107">
        <v>1</v>
      </c>
      <c r="V1377" s="58">
        <f t="shared" si="94"/>
        <v>7150</v>
      </c>
      <c r="W1377" s="52" t="s">
        <v>49</v>
      </c>
      <c r="X1377" s="107" t="s">
        <v>5096</v>
      </c>
      <c r="Y1377" s="304" t="s">
        <v>5097</v>
      </c>
      <c r="Z1377" s="304" t="s">
        <v>5098</v>
      </c>
      <c r="AA1377" s="52">
        <v>0</v>
      </c>
      <c r="AB1377" s="52">
        <v>0</v>
      </c>
      <c r="AC1377" s="52">
        <v>0</v>
      </c>
      <c r="AD1377" s="21">
        <v>0.66843255889259856</v>
      </c>
      <c r="AE1377" s="54">
        <v>0.66843255889259856</v>
      </c>
      <c r="AF1377" s="315">
        <f t="shared" si="97"/>
        <v>4779.2927960820798</v>
      </c>
    </row>
    <row r="1378" spans="1:32" ht="270" x14ac:dyDescent="0.25">
      <c r="A1378" s="107" t="s">
        <v>588</v>
      </c>
      <c r="B1378" s="107" t="s">
        <v>2271</v>
      </c>
      <c r="C1378" s="52"/>
      <c r="D1378" s="107" t="s">
        <v>2302</v>
      </c>
      <c r="E1378" s="22" t="str">
        <f t="shared" si="95"/>
        <v>SEJUSPPROG</v>
      </c>
      <c r="F1378" s="122" t="s">
        <v>886</v>
      </c>
      <c r="G1378" s="22" t="str">
        <f t="shared" si="96"/>
        <v>P146SEJUSP</v>
      </c>
      <c r="H1378" s="52" t="s">
        <v>1424</v>
      </c>
      <c r="I1378" s="22" t="s">
        <v>16</v>
      </c>
      <c r="J1378" s="107" t="s">
        <v>2149</v>
      </c>
      <c r="K1378" s="22" t="str">
        <f>VLOOKUP(CONCATENATE(A1378,LEFT(J1378,4)),AGRUPAMENTO!$D$2:$E$6783,2,FALSE)</f>
        <v>Diárias e viagens</v>
      </c>
      <c r="L1378" s="107" t="s">
        <v>44</v>
      </c>
      <c r="M1378" s="52"/>
      <c r="N1378" s="52">
        <v>10</v>
      </c>
      <c r="O1378" s="107" t="s">
        <v>3497</v>
      </c>
      <c r="P1378" s="52" t="s">
        <v>46</v>
      </c>
      <c r="Q1378" s="107" t="s">
        <v>4159</v>
      </c>
      <c r="R1378" s="107">
        <v>75</v>
      </c>
      <c r="S1378" s="107" t="s">
        <v>4160</v>
      </c>
      <c r="T1378" s="239">
        <v>362</v>
      </c>
      <c r="U1378" s="107">
        <v>1</v>
      </c>
      <c r="V1378" s="58">
        <f t="shared" si="94"/>
        <v>27150</v>
      </c>
      <c r="W1378" s="52" t="s">
        <v>49</v>
      </c>
      <c r="X1378" s="107" t="s">
        <v>5099</v>
      </c>
      <c r="Y1378" s="304" t="s">
        <v>5100</v>
      </c>
      <c r="Z1378" s="304" t="s">
        <v>5101</v>
      </c>
      <c r="AA1378" s="52">
        <v>0</v>
      </c>
      <c r="AB1378" s="52">
        <v>0</v>
      </c>
      <c r="AC1378" s="52">
        <v>0</v>
      </c>
      <c r="AD1378" s="21">
        <v>0.86749884668513244</v>
      </c>
      <c r="AE1378" s="54">
        <v>0.86749884668513244</v>
      </c>
      <c r="AF1378" s="315">
        <f t="shared" si="97"/>
        <v>23552.593687501347</v>
      </c>
    </row>
    <row r="1379" spans="1:32" ht="255" x14ac:dyDescent="0.25">
      <c r="A1379" s="109" t="s">
        <v>588</v>
      </c>
      <c r="B1379" s="110" t="s">
        <v>2270</v>
      </c>
      <c r="C1379" s="52"/>
      <c r="D1379" s="110" t="s">
        <v>2276</v>
      </c>
      <c r="E1379" s="22" t="str">
        <f t="shared" si="95"/>
        <v>SEJUSPPROG</v>
      </c>
      <c r="F1379" s="108" t="s">
        <v>729</v>
      </c>
      <c r="G1379" s="22" t="str">
        <f t="shared" si="96"/>
        <v>P130SEJUSP</v>
      </c>
      <c r="H1379" s="124" t="s">
        <v>1259</v>
      </c>
      <c r="I1379" s="22" t="s">
        <v>16</v>
      </c>
      <c r="J1379" s="109" t="s">
        <v>450</v>
      </c>
      <c r="K1379" s="22" t="str">
        <f>VLOOKUP(CONCATENATE(A1379,LEFT(J1379,4)),AGRUPAMENTO!$D$2:$E$6783,2,FALSE)</f>
        <v>Frota</v>
      </c>
      <c r="L1379" s="137" t="s">
        <v>44</v>
      </c>
      <c r="M1379" s="52"/>
      <c r="N1379" s="52">
        <v>10</v>
      </c>
      <c r="O1379" s="109" t="s">
        <v>3498</v>
      </c>
      <c r="P1379" s="52" t="s">
        <v>58</v>
      </c>
      <c r="Q1379" s="109" t="s">
        <v>4070</v>
      </c>
      <c r="R1379" s="242">
        <f>((5000*5%)+5000)/12</f>
        <v>437.5</v>
      </c>
      <c r="S1379" s="109" t="s">
        <v>4071</v>
      </c>
      <c r="T1379" s="243">
        <v>3.6304799999999999</v>
      </c>
      <c r="U1379" s="109">
        <v>12</v>
      </c>
      <c r="V1379" s="58">
        <f t="shared" si="94"/>
        <v>19060.02</v>
      </c>
      <c r="W1379" s="109" t="s">
        <v>5025</v>
      </c>
      <c r="X1379" s="109" t="s">
        <v>5026</v>
      </c>
      <c r="Y1379" s="109" t="s">
        <v>5027</v>
      </c>
      <c r="Z1379" s="109" t="s">
        <v>5028</v>
      </c>
      <c r="AA1379" s="110">
        <v>13</v>
      </c>
      <c r="AB1379" s="110">
        <v>19</v>
      </c>
      <c r="AC1379" s="110">
        <v>48</v>
      </c>
      <c r="AD1379" s="21">
        <v>0</v>
      </c>
      <c r="AE1379" s="54">
        <v>0</v>
      </c>
      <c r="AF1379" s="315">
        <f t="shared" si="97"/>
        <v>0</v>
      </c>
    </row>
    <row r="1380" spans="1:32" ht="409.5" x14ac:dyDescent="0.25">
      <c r="A1380" s="107" t="s">
        <v>588</v>
      </c>
      <c r="B1380" s="107" t="s">
        <v>2271</v>
      </c>
      <c r="C1380" s="52"/>
      <c r="D1380" s="107" t="s">
        <v>2302</v>
      </c>
      <c r="E1380" s="22" t="str">
        <f t="shared" si="95"/>
        <v>SEJUSPPROG</v>
      </c>
      <c r="F1380" s="122" t="s">
        <v>886</v>
      </c>
      <c r="G1380" s="22" t="str">
        <f t="shared" si="96"/>
        <v>P146SEJUSP</v>
      </c>
      <c r="H1380" s="52" t="s">
        <v>1424</v>
      </c>
      <c r="I1380" s="22" t="s">
        <v>16</v>
      </c>
      <c r="J1380" s="107" t="s">
        <v>2149</v>
      </c>
      <c r="K1380" s="22" t="str">
        <f>VLOOKUP(CONCATENATE(A1380,LEFT(J1380,4)),AGRUPAMENTO!$D$2:$E$6783,2,FALSE)</f>
        <v>Diárias e viagens</v>
      </c>
      <c r="L1380" s="107" t="s">
        <v>44</v>
      </c>
      <c r="M1380" s="52"/>
      <c r="N1380" s="52">
        <v>10</v>
      </c>
      <c r="O1380" s="107" t="s">
        <v>3499</v>
      </c>
      <c r="P1380" s="52" t="s">
        <v>46</v>
      </c>
      <c r="Q1380" s="107" t="s">
        <v>4161</v>
      </c>
      <c r="R1380" s="107">
        <v>70</v>
      </c>
      <c r="S1380" s="107" t="s">
        <v>3909</v>
      </c>
      <c r="T1380" s="239">
        <v>250</v>
      </c>
      <c r="U1380" s="107">
        <v>1</v>
      </c>
      <c r="V1380" s="58">
        <f t="shared" si="94"/>
        <v>17500</v>
      </c>
      <c r="W1380" s="52" t="s">
        <v>49</v>
      </c>
      <c r="X1380" s="107" t="s">
        <v>5102</v>
      </c>
      <c r="Y1380" s="304" t="s">
        <v>5103</v>
      </c>
      <c r="Z1380" s="304" t="s">
        <v>5104</v>
      </c>
      <c r="AA1380" s="52">
        <v>0</v>
      </c>
      <c r="AB1380" s="52">
        <v>0</v>
      </c>
      <c r="AC1380" s="52">
        <v>0</v>
      </c>
      <c r="AD1380" s="21">
        <v>0.86749884668513244</v>
      </c>
      <c r="AE1380" s="54">
        <v>0.86749884668513244</v>
      </c>
      <c r="AF1380" s="315">
        <f t="shared" si="97"/>
        <v>15181.229816989819</v>
      </c>
    </row>
    <row r="1381" spans="1:32" ht="120" x14ac:dyDescent="0.25">
      <c r="A1381" s="107" t="s">
        <v>588</v>
      </c>
      <c r="B1381" s="107" t="s">
        <v>2271</v>
      </c>
      <c r="C1381" s="52"/>
      <c r="D1381" s="107" t="s">
        <v>2302</v>
      </c>
      <c r="E1381" s="22" t="str">
        <f t="shared" si="95"/>
        <v>SEJUSPPROG</v>
      </c>
      <c r="F1381" s="122" t="s">
        <v>886</v>
      </c>
      <c r="G1381" s="22" t="str">
        <f t="shared" si="96"/>
        <v>P146SEJUSP</v>
      </c>
      <c r="H1381" s="52" t="s">
        <v>1424</v>
      </c>
      <c r="I1381" s="22" t="s">
        <v>16</v>
      </c>
      <c r="J1381" s="52" t="s">
        <v>2131</v>
      </c>
      <c r="K1381" s="22" t="str">
        <f>VLOOKUP(CONCATENATE(A1381,LEFT(J1381,4)),AGRUPAMENTO!$D$2:$E$6783,2,FALSE)</f>
        <v>Diárias e viagens</v>
      </c>
      <c r="L1381" s="107" t="s">
        <v>44</v>
      </c>
      <c r="M1381" s="52"/>
      <c r="N1381" s="52">
        <v>10</v>
      </c>
      <c r="O1381" s="107" t="s">
        <v>3500</v>
      </c>
      <c r="P1381" s="52" t="s">
        <v>46</v>
      </c>
      <c r="Q1381" s="107" t="s">
        <v>3812</v>
      </c>
      <c r="R1381" s="107">
        <v>150</v>
      </c>
      <c r="S1381" s="107" t="s">
        <v>4162</v>
      </c>
      <c r="T1381" s="239">
        <v>470</v>
      </c>
      <c r="U1381" s="107">
        <v>1</v>
      </c>
      <c r="V1381" s="58">
        <f t="shared" si="94"/>
        <v>70500</v>
      </c>
      <c r="W1381" s="52" t="s">
        <v>49</v>
      </c>
      <c r="X1381" s="107" t="s">
        <v>5105</v>
      </c>
      <c r="Y1381" s="304" t="s">
        <v>5106</v>
      </c>
      <c r="Z1381" s="304" t="s">
        <v>5107</v>
      </c>
      <c r="AA1381" s="52">
        <v>0</v>
      </c>
      <c r="AB1381" s="52">
        <v>0</v>
      </c>
      <c r="AC1381" s="52">
        <v>0</v>
      </c>
      <c r="AD1381" s="21">
        <v>0.86749884668513244</v>
      </c>
      <c r="AE1381" s="54">
        <v>0.86749884668513244</v>
      </c>
      <c r="AF1381" s="315">
        <f t="shared" si="97"/>
        <v>61158.668691301835</v>
      </c>
    </row>
    <row r="1382" spans="1:32" ht="120" x14ac:dyDescent="0.25">
      <c r="A1382" s="107" t="s">
        <v>588</v>
      </c>
      <c r="B1382" s="107" t="s">
        <v>2271</v>
      </c>
      <c r="C1382" s="52"/>
      <c r="D1382" s="107" t="s">
        <v>2302</v>
      </c>
      <c r="E1382" s="22" t="str">
        <f t="shared" si="95"/>
        <v>SEJUSPPROG</v>
      </c>
      <c r="F1382" s="122" t="s">
        <v>886</v>
      </c>
      <c r="G1382" s="22" t="str">
        <f t="shared" si="96"/>
        <v>P146SEJUSP</v>
      </c>
      <c r="H1382" s="52" t="s">
        <v>1424</v>
      </c>
      <c r="I1382" s="22" t="s">
        <v>16</v>
      </c>
      <c r="J1382" s="107" t="s">
        <v>2149</v>
      </c>
      <c r="K1382" s="22" t="str">
        <f>VLOOKUP(CONCATENATE(A1382,LEFT(J1382,4)),AGRUPAMENTO!$D$2:$E$6783,2,FALSE)</f>
        <v>Diárias e viagens</v>
      </c>
      <c r="L1382" s="107" t="s">
        <v>44</v>
      </c>
      <c r="M1382" s="52"/>
      <c r="N1382" s="52">
        <v>10</v>
      </c>
      <c r="O1382" s="107" t="s">
        <v>3501</v>
      </c>
      <c r="P1382" s="52" t="s">
        <v>46</v>
      </c>
      <c r="Q1382" s="107" t="s">
        <v>4159</v>
      </c>
      <c r="R1382" s="107">
        <v>75</v>
      </c>
      <c r="S1382" s="107" t="s">
        <v>4160</v>
      </c>
      <c r="T1382" s="239">
        <v>362</v>
      </c>
      <c r="U1382" s="107">
        <v>1</v>
      </c>
      <c r="V1382" s="58">
        <f t="shared" si="94"/>
        <v>27150</v>
      </c>
      <c r="W1382" s="52" t="s">
        <v>49</v>
      </c>
      <c r="X1382" s="107" t="s">
        <v>5105</v>
      </c>
      <c r="Y1382" s="304" t="s">
        <v>5106</v>
      </c>
      <c r="Z1382" s="304" t="s">
        <v>5107</v>
      </c>
      <c r="AA1382" s="52">
        <v>0</v>
      </c>
      <c r="AB1382" s="52">
        <v>0</v>
      </c>
      <c r="AC1382" s="52">
        <v>0</v>
      </c>
      <c r="AD1382" s="21">
        <v>0.86749884668513244</v>
      </c>
      <c r="AE1382" s="54">
        <v>0.86749884668513244</v>
      </c>
      <c r="AF1382" s="315">
        <f t="shared" si="97"/>
        <v>23552.593687501347</v>
      </c>
    </row>
    <row r="1383" spans="1:32" ht="409.5" x14ac:dyDescent="0.25">
      <c r="A1383" s="107" t="s">
        <v>588</v>
      </c>
      <c r="B1383" s="107" t="s">
        <v>2271</v>
      </c>
      <c r="C1383" s="52"/>
      <c r="D1383" s="107" t="s">
        <v>2302</v>
      </c>
      <c r="E1383" s="22" t="str">
        <f t="shared" si="95"/>
        <v>SEJUSPPROG</v>
      </c>
      <c r="F1383" s="122" t="s">
        <v>886</v>
      </c>
      <c r="G1383" s="22" t="str">
        <f t="shared" si="96"/>
        <v>P146SEJUSP</v>
      </c>
      <c r="H1383" s="52" t="s">
        <v>1424</v>
      </c>
      <c r="I1383" s="22" t="s">
        <v>16</v>
      </c>
      <c r="J1383" s="107" t="s">
        <v>490</v>
      </c>
      <c r="K1383" s="22" t="str">
        <f>VLOOKUP(CONCATENATE(A1383,LEFT(J1383,4)),AGRUPAMENTO!$D$2:$E$6783,2,FALSE)</f>
        <v>Material de consumo</v>
      </c>
      <c r="L1383" s="107" t="s">
        <v>44</v>
      </c>
      <c r="M1383" s="52"/>
      <c r="N1383" s="52">
        <v>10</v>
      </c>
      <c r="O1383" s="107" t="s">
        <v>3502</v>
      </c>
      <c r="P1383" s="52" t="s">
        <v>46</v>
      </c>
      <c r="Q1383" s="107" t="s">
        <v>4163</v>
      </c>
      <c r="R1383" s="107">
        <v>48</v>
      </c>
      <c r="S1383" s="107" t="s">
        <v>4164</v>
      </c>
      <c r="T1383" s="239">
        <v>58.3</v>
      </c>
      <c r="U1383" s="107">
        <v>1</v>
      </c>
      <c r="V1383" s="58">
        <f t="shared" si="94"/>
        <v>2798.3999999999996</v>
      </c>
      <c r="W1383" s="52" t="s">
        <v>49</v>
      </c>
      <c r="X1383" s="107" t="s">
        <v>5051</v>
      </c>
      <c r="Y1383" s="304" t="s">
        <v>4686</v>
      </c>
      <c r="Z1383" s="304" t="s">
        <v>5108</v>
      </c>
      <c r="AA1383" s="52">
        <v>0</v>
      </c>
      <c r="AB1383" s="52">
        <v>0</v>
      </c>
      <c r="AC1383" s="52">
        <v>0</v>
      </c>
      <c r="AD1383" s="21">
        <v>0.66843255889259856</v>
      </c>
      <c r="AE1383" s="54">
        <v>0.66843255889259856</v>
      </c>
      <c r="AF1383" s="315">
        <f t="shared" si="97"/>
        <v>1870.5416728050475</v>
      </c>
    </row>
    <row r="1384" spans="1:32" ht="409.5" x14ac:dyDescent="0.25">
      <c r="A1384" s="107" t="s">
        <v>588</v>
      </c>
      <c r="B1384" s="107" t="s">
        <v>2271</v>
      </c>
      <c r="C1384" s="52"/>
      <c r="D1384" s="107" t="s">
        <v>2302</v>
      </c>
      <c r="E1384" s="22" t="str">
        <f t="shared" si="95"/>
        <v>SEJUSPPROG</v>
      </c>
      <c r="F1384" s="122" t="s">
        <v>886</v>
      </c>
      <c r="G1384" s="22" t="str">
        <f t="shared" si="96"/>
        <v>P146SEJUSP</v>
      </c>
      <c r="H1384" s="52" t="s">
        <v>1424</v>
      </c>
      <c r="I1384" s="22" t="s">
        <v>16</v>
      </c>
      <c r="J1384" s="107" t="s">
        <v>490</v>
      </c>
      <c r="K1384" s="22" t="str">
        <f>VLOOKUP(CONCATENATE(A1384,LEFT(J1384,4)),AGRUPAMENTO!$D$2:$E$6783,2,FALSE)</f>
        <v>Material de consumo</v>
      </c>
      <c r="L1384" s="107" t="s">
        <v>44</v>
      </c>
      <c r="M1384" s="52"/>
      <c r="N1384" s="52">
        <v>10</v>
      </c>
      <c r="O1384" s="107" t="s">
        <v>3503</v>
      </c>
      <c r="P1384" s="52" t="s">
        <v>46</v>
      </c>
      <c r="Q1384" s="107" t="s">
        <v>4165</v>
      </c>
      <c r="R1384" s="107">
        <v>70</v>
      </c>
      <c r="S1384" s="107" t="s">
        <v>4164</v>
      </c>
      <c r="T1384" s="239">
        <v>142.59</v>
      </c>
      <c r="U1384" s="107">
        <v>1</v>
      </c>
      <c r="V1384" s="58">
        <f t="shared" si="94"/>
        <v>9981.3000000000011</v>
      </c>
      <c r="W1384" s="52" t="s">
        <v>49</v>
      </c>
      <c r="X1384" s="107" t="s">
        <v>5051</v>
      </c>
      <c r="Y1384" s="304" t="s">
        <v>4686</v>
      </c>
      <c r="Z1384" s="304" t="s">
        <v>5109</v>
      </c>
      <c r="AA1384" s="52">
        <v>0</v>
      </c>
      <c r="AB1384" s="52">
        <v>0</v>
      </c>
      <c r="AC1384" s="52">
        <v>0</v>
      </c>
      <c r="AD1384" s="21">
        <v>0.66843255889259856</v>
      </c>
      <c r="AE1384" s="54">
        <v>0.66843255889259856</v>
      </c>
      <c r="AF1384" s="315">
        <f t="shared" si="97"/>
        <v>6671.8259000746948</v>
      </c>
    </row>
    <row r="1385" spans="1:32" ht="409.5" x14ac:dyDescent="0.25">
      <c r="A1385" s="107" t="s">
        <v>588</v>
      </c>
      <c r="B1385" s="107" t="s">
        <v>2271</v>
      </c>
      <c r="C1385" s="52"/>
      <c r="D1385" s="107" t="s">
        <v>2302</v>
      </c>
      <c r="E1385" s="22" t="str">
        <f t="shared" si="95"/>
        <v>SEJUSPPROG</v>
      </c>
      <c r="F1385" s="122" t="s">
        <v>886</v>
      </c>
      <c r="G1385" s="22" t="str">
        <f t="shared" si="96"/>
        <v>P146SEJUSP</v>
      </c>
      <c r="H1385" s="52" t="s">
        <v>1424</v>
      </c>
      <c r="I1385" s="22" t="s">
        <v>16</v>
      </c>
      <c r="J1385" s="107" t="s">
        <v>490</v>
      </c>
      <c r="K1385" s="22" t="str">
        <f>VLOOKUP(CONCATENATE(A1385,LEFT(J1385,4)),AGRUPAMENTO!$D$2:$E$6783,2,FALSE)</f>
        <v>Material de consumo</v>
      </c>
      <c r="L1385" s="107" t="s">
        <v>44</v>
      </c>
      <c r="M1385" s="52"/>
      <c r="N1385" s="52">
        <v>10</v>
      </c>
      <c r="O1385" s="107" t="s">
        <v>3504</v>
      </c>
      <c r="P1385" s="52" t="s">
        <v>46</v>
      </c>
      <c r="Q1385" s="107" t="s">
        <v>4166</v>
      </c>
      <c r="R1385" s="107">
        <v>24</v>
      </c>
      <c r="S1385" s="107" t="s">
        <v>4164</v>
      </c>
      <c r="T1385" s="239">
        <v>291.62</v>
      </c>
      <c r="U1385" s="107">
        <v>1</v>
      </c>
      <c r="V1385" s="58">
        <f t="shared" si="94"/>
        <v>6998.88</v>
      </c>
      <c r="W1385" s="52" t="s">
        <v>49</v>
      </c>
      <c r="X1385" s="107" t="s">
        <v>5051</v>
      </c>
      <c r="Y1385" s="304" t="s">
        <v>4686</v>
      </c>
      <c r="Z1385" s="304" t="s">
        <v>5109</v>
      </c>
      <c r="AA1385" s="52">
        <v>0</v>
      </c>
      <c r="AB1385" s="52">
        <v>0</v>
      </c>
      <c r="AC1385" s="52">
        <v>0</v>
      </c>
      <c r="AD1385" s="21">
        <v>0.66843255889259856</v>
      </c>
      <c r="AE1385" s="54">
        <v>0.66843255889259856</v>
      </c>
      <c r="AF1385" s="315">
        <f t="shared" si="97"/>
        <v>4678.2792677822299</v>
      </c>
    </row>
    <row r="1386" spans="1:32" ht="409.5" x14ac:dyDescent="0.25">
      <c r="A1386" s="107" t="s">
        <v>588</v>
      </c>
      <c r="B1386" s="107" t="s">
        <v>2271</v>
      </c>
      <c r="C1386" s="52"/>
      <c r="D1386" s="107" t="s">
        <v>2302</v>
      </c>
      <c r="E1386" s="22" t="str">
        <f t="shared" si="95"/>
        <v>SEJUSPPROG</v>
      </c>
      <c r="F1386" s="122" t="s">
        <v>886</v>
      </c>
      <c r="G1386" s="22" t="str">
        <f t="shared" si="96"/>
        <v>P146SEJUSP</v>
      </c>
      <c r="H1386" s="52" t="s">
        <v>1424</v>
      </c>
      <c r="I1386" s="22" t="s">
        <v>16</v>
      </c>
      <c r="J1386" s="107" t="s">
        <v>490</v>
      </c>
      <c r="K1386" s="22" t="str">
        <f>VLOOKUP(CONCATENATE(A1386,LEFT(J1386,4)),AGRUPAMENTO!$D$2:$E$6783,2,FALSE)</f>
        <v>Material de consumo</v>
      </c>
      <c r="L1386" s="107" t="s">
        <v>44</v>
      </c>
      <c r="M1386" s="52"/>
      <c r="N1386" s="52">
        <v>10</v>
      </c>
      <c r="O1386" s="107" t="s">
        <v>3505</v>
      </c>
      <c r="P1386" s="52" t="s">
        <v>46</v>
      </c>
      <c r="Q1386" s="107" t="s">
        <v>4167</v>
      </c>
      <c r="R1386" s="107">
        <v>156</v>
      </c>
      <c r="S1386" s="107" t="s">
        <v>4164</v>
      </c>
      <c r="T1386" s="239">
        <v>148.58000000000001</v>
      </c>
      <c r="U1386" s="107">
        <v>1</v>
      </c>
      <c r="V1386" s="58">
        <f t="shared" si="94"/>
        <v>23178.480000000003</v>
      </c>
      <c r="W1386" s="52" t="s">
        <v>49</v>
      </c>
      <c r="X1386" s="107" t="s">
        <v>5051</v>
      </c>
      <c r="Y1386" s="304" t="s">
        <v>4686</v>
      </c>
      <c r="Z1386" s="304" t="s">
        <v>5109</v>
      </c>
      <c r="AA1386" s="52">
        <v>0</v>
      </c>
      <c r="AB1386" s="52">
        <v>0</v>
      </c>
      <c r="AC1386" s="52">
        <v>0</v>
      </c>
      <c r="AD1386" s="21">
        <v>0.66843255889259856</v>
      </c>
      <c r="AE1386" s="54">
        <v>0.66843255889259856</v>
      </c>
      <c r="AF1386" s="315">
        <f t="shared" si="97"/>
        <v>15493.25069764092</v>
      </c>
    </row>
    <row r="1387" spans="1:32" ht="300" x14ac:dyDescent="0.25">
      <c r="A1387" s="107" t="s">
        <v>588</v>
      </c>
      <c r="B1387" s="107" t="s">
        <v>2271</v>
      </c>
      <c r="C1387" s="52"/>
      <c r="D1387" s="107" t="s">
        <v>2302</v>
      </c>
      <c r="E1387" s="22" t="str">
        <f t="shared" si="95"/>
        <v>SEJUSPPROG</v>
      </c>
      <c r="F1387" s="122" t="s">
        <v>886</v>
      </c>
      <c r="G1387" s="22" t="str">
        <f t="shared" si="96"/>
        <v>P146SEJUSP</v>
      </c>
      <c r="H1387" s="52" t="s">
        <v>1424</v>
      </c>
      <c r="I1387" s="22" t="s">
        <v>16</v>
      </c>
      <c r="J1387" s="107" t="s">
        <v>490</v>
      </c>
      <c r="K1387" s="22" t="str">
        <f>VLOOKUP(CONCATENATE(A1387,LEFT(J1387,4)),AGRUPAMENTO!$D$2:$E$6783,2,FALSE)</f>
        <v>Material de consumo</v>
      </c>
      <c r="L1387" s="107" t="s">
        <v>44</v>
      </c>
      <c r="M1387" s="52"/>
      <c r="N1387" s="52">
        <v>10</v>
      </c>
      <c r="O1387" s="107" t="s">
        <v>3506</v>
      </c>
      <c r="P1387" s="52" t="s">
        <v>46</v>
      </c>
      <c r="Q1387" s="107" t="s">
        <v>4168</v>
      </c>
      <c r="R1387" s="107">
        <v>100</v>
      </c>
      <c r="S1387" s="107" t="s">
        <v>4164</v>
      </c>
      <c r="T1387" s="239">
        <v>567</v>
      </c>
      <c r="U1387" s="107">
        <v>1</v>
      </c>
      <c r="V1387" s="58">
        <f t="shared" si="94"/>
        <v>56700</v>
      </c>
      <c r="W1387" s="52" t="s">
        <v>49</v>
      </c>
      <c r="X1387" s="107" t="s">
        <v>5110</v>
      </c>
      <c r="Y1387" s="304" t="s">
        <v>5111</v>
      </c>
      <c r="Z1387" s="304" t="s">
        <v>5112</v>
      </c>
      <c r="AA1387" s="52">
        <v>0</v>
      </c>
      <c r="AB1387" s="52">
        <v>0</v>
      </c>
      <c r="AC1387" s="52">
        <v>0</v>
      </c>
      <c r="AD1387" s="21">
        <v>0.66843255889259856</v>
      </c>
      <c r="AE1387" s="54">
        <v>0.66843255889259856</v>
      </c>
      <c r="AF1387" s="315">
        <f t="shared" si="97"/>
        <v>37900.126089210338</v>
      </c>
    </row>
    <row r="1388" spans="1:32" ht="409.5" x14ac:dyDescent="0.25">
      <c r="A1388" s="107" t="s">
        <v>588</v>
      </c>
      <c r="B1388" s="107" t="s">
        <v>2271</v>
      </c>
      <c r="C1388" s="52"/>
      <c r="D1388" s="107" t="s">
        <v>2302</v>
      </c>
      <c r="E1388" s="22" t="str">
        <f t="shared" si="95"/>
        <v>SEJUSPPROG</v>
      </c>
      <c r="F1388" s="122" t="s">
        <v>886</v>
      </c>
      <c r="G1388" s="22" t="str">
        <f t="shared" si="96"/>
        <v>P146SEJUSP</v>
      </c>
      <c r="H1388" s="52" t="s">
        <v>1424</v>
      </c>
      <c r="I1388" s="22" t="s">
        <v>16</v>
      </c>
      <c r="J1388" s="107" t="s">
        <v>490</v>
      </c>
      <c r="K1388" s="22" t="str">
        <f>VLOOKUP(CONCATENATE(A1388,LEFT(J1388,4)),AGRUPAMENTO!$D$2:$E$6783,2,FALSE)</f>
        <v>Material de consumo</v>
      </c>
      <c r="L1388" s="107" t="s">
        <v>44</v>
      </c>
      <c r="M1388" s="52"/>
      <c r="N1388" s="52">
        <v>10</v>
      </c>
      <c r="O1388" s="107" t="s">
        <v>3507</v>
      </c>
      <c r="P1388" s="52" t="s">
        <v>46</v>
      </c>
      <c r="Q1388" s="107" t="s">
        <v>4169</v>
      </c>
      <c r="R1388" s="107">
        <v>67</v>
      </c>
      <c r="S1388" s="107" t="s">
        <v>4164</v>
      </c>
      <c r="T1388" s="239">
        <v>7560</v>
      </c>
      <c r="U1388" s="107">
        <v>1</v>
      </c>
      <c r="V1388" s="58">
        <f t="shared" si="94"/>
        <v>506520</v>
      </c>
      <c r="W1388" s="52" t="s">
        <v>49</v>
      </c>
      <c r="X1388" s="107" t="s">
        <v>5110</v>
      </c>
      <c r="Y1388" s="304" t="s">
        <v>5111</v>
      </c>
      <c r="Z1388" s="304" t="s">
        <v>4687</v>
      </c>
      <c r="AA1388" s="52">
        <v>0</v>
      </c>
      <c r="AB1388" s="52">
        <v>0</v>
      </c>
      <c r="AC1388" s="52">
        <v>0</v>
      </c>
      <c r="AD1388" s="21">
        <v>0.66843255889259856</v>
      </c>
      <c r="AE1388" s="54">
        <v>0.66843255889259856</v>
      </c>
      <c r="AF1388" s="315">
        <f t="shared" si="97"/>
        <v>338574.45973027905</v>
      </c>
    </row>
    <row r="1389" spans="1:32" ht="409.5" x14ac:dyDescent="0.25">
      <c r="A1389" s="107" t="s">
        <v>588</v>
      </c>
      <c r="B1389" s="107" t="s">
        <v>2271</v>
      </c>
      <c r="C1389" s="52"/>
      <c r="D1389" s="107" t="s">
        <v>2302</v>
      </c>
      <c r="E1389" s="22" t="str">
        <f t="shared" si="95"/>
        <v>SEJUSPPROG</v>
      </c>
      <c r="F1389" s="122" t="s">
        <v>886</v>
      </c>
      <c r="G1389" s="22" t="str">
        <f t="shared" si="96"/>
        <v>P146SEJUSP</v>
      </c>
      <c r="H1389" s="52" t="s">
        <v>1424</v>
      </c>
      <c r="I1389" s="22" t="s">
        <v>16</v>
      </c>
      <c r="J1389" s="107" t="s">
        <v>490</v>
      </c>
      <c r="K1389" s="22" t="str">
        <f>VLOOKUP(CONCATENATE(A1389,LEFT(J1389,4)),AGRUPAMENTO!$D$2:$E$6783,2,FALSE)</f>
        <v>Material de consumo</v>
      </c>
      <c r="L1389" s="107" t="s">
        <v>44</v>
      </c>
      <c r="M1389" s="52"/>
      <c r="N1389" s="52">
        <v>10</v>
      </c>
      <c r="O1389" s="107" t="s">
        <v>3508</v>
      </c>
      <c r="P1389" s="52" t="s">
        <v>46</v>
      </c>
      <c r="Q1389" s="107" t="s">
        <v>4170</v>
      </c>
      <c r="R1389" s="107">
        <v>65</v>
      </c>
      <c r="S1389" s="107" t="s">
        <v>4171</v>
      </c>
      <c r="T1389" s="239">
        <v>198</v>
      </c>
      <c r="U1389" s="107">
        <v>1</v>
      </c>
      <c r="V1389" s="58">
        <f t="shared" si="94"/>
        <v>12870</v>
      </c>
      <c r="W1389" s="52" t="s">
        <v>49</v>
      </c>
      <c r="X1389" s="107" t="s">
        <v>5051</v>
      </c>
      <c r="Y1389" s="304" t="s">
        <v>5113</v>
      </c>
      <c r="Z1389" s="304" t="s">
        <v>4687</v>
      </c>
      <c r="AA1389" s="52">
        <v>0</v>
      </c>
      <c r="AB1389" s="52">
        <v>0</v>
      </c>
      <c r="AC1389" s="52">
        <v>0</v>
      </c>
      <c r="AD1389" s="21">
        <v>0.66843255889259856</v>
      </c>
      <c r="AE1389" s="54">
        <v>0.66843255889259856</v>
      </c>
      <c r="AF1389" s="315">
        <f t="shared" si="97"/>
        <v>8602.7270329477433</v>
      </c>
    </row>
    <row r="1390" spans="1:32" ht="409.5" x14ac:dyDescent="0.25">
      <c r="A1390" s="107" t="s">
        <v>588</v>
      </c>
      <c r="B1390" s="107" t="s">
        <v>2271</v>
      </c>
      <c r="C1390" s="52"/>
      <c r="D1390" s="107" t="s">
        <v>2302</v>
      </c>
      <c r="E1390" s="22" t="str">
        <f t="shared" si="95"/>
        <v>SEJUSPPROG</v>
      </c>
      <c r="F1390" s="122" t="s">
        <v>886</v>
      </c>
      <c r="G1390" s="22" t="str">
        <f t="shared" si="96"/>
        <v>P146SEJUSP</v>
      </c>
      <c r="H1390" s="52" t="s">
        <v>1424</v>
      </c>
      <c r="I1390" s="22" t="s">
        <v>16</v>
      </c>
      <c r="J1390" s="107" t="s">
        <v>490</v>
      </c>
      <c r="K1390" s="22" t="str">
        <f>VLOOKUP(CONCATENATE(A1390,LEFT(J1390,4)),AGRUPAMENTO!$D$2:$E$6783,2,FALSE)</f>
        <v>Material de consumo</v>
      </c>
      <c r="L1390" s="107" t="s">
        <v>44</v>
      </c>
      <c r="M1390" s="52"/>
      <c r="N1390" s="52">
        <v>10</v>
      </c>
      <c r="O1390" s="107" t="s">
        <v>3509</v>
      </c>
      <c r="P1390" s="52" t="s">
        <v>46</v>
      </c>
      <c r="Q1390" s="107" t="s">
        <v>4172</v>
      </c>
      <c r="R1390" s="107">
        <v>165</v>
      </c>
      <c r="S1390" s="107" t="s">
        <v>4164</v>
      </c>
      <c r="T1390" s="239">
        <v>1650</v>
      </c>
      <c r="U1390" s="107">
        <v>1</v>
      </c>
      <c r="V1390" s="58">
        <f t="shared" si="94"/>
        <v>272250</v>
      </c>
      <c r="W1390" s="52" t="s">
        <v>49</v>
      </c>
      <c r="X1390" s="107" t="s">
        <v>5051</v>
      </c>
      <c r="Y1390" s="304" t="s">
        <v>5113</v>
      </c>
      <c r="Z1390" s="304" t="s">
        <v>4687</v>
      </c>
      <c r="AA1390" s="52">
        <v>0</v>
      </c>
      <c r="AB1390" s="52">
        <v>0</v>
      </c>
      <c r="AC1390" s="52">
        <v>0</v>
      </c>
      <c r="AD1390" s="21">
        <v>0.66843255889259856</v>
      </c>
      <c r="AE1390" s="54">
        <v>0.66843255889259856</v>
      </c>
      <c r="AF1390" s="315">
        <f t="shared" si="97"/>
        <v>181980.76415850996</v>
      </c>
    </row>
    <row r="1391" spans="1:32" ht="409.5" x14ac:dyDescent="0.25">
      <c r="A1391" s="107" t="s">
        <v>588</v>
      </c>
      <c r="B1391" s="107" t="s">
        <v>2271</v>
      </c>
      <c r="C1391" s="52"/>
      <c r="D1391" s="107" t="s">
        <v>2302</v>
      </c>
      <c r="E1391" s="22" t="str">
        <f t="shared" si="95"/>
        <v>SEJUSPPROG</v>
      </c>
      <c r="F1391" s="122" t="s">
        <v>886</v>
      </c>
      <c r="G1391" s="22" t="str">
        <f t="shared" si="96"/>
        <v>P146SEJUSP</v>
      </c>
      <c r="H1391" s="52" t="s">
        <v>1424</v>
      </c>
      <c r="I1391" s="22" t="s">
        <v>16</v>
      </c>
      <c r="J1391" s="107" t="s">
        <v>490</v>
      </c>
      <c r="K1391" s="22" t="str">
        <f>VLOOKUP(CONCATENATE(A1391,LEFT(J1391,4)),AGRUPAMENTO!$D$2:$E$6783,2,FALSE)</f>
        <v>Material de consumo</v>
      </c>
      <c r="L1391" s="107" t="s">
        <v>44</v>
      </c>
      <c r="M1391" s="52"/>
      <c r="N1391" s="52">
        <v>10</v>
      </c>
      <c r="O1391" s="107" t="s">
        <v>3510</v>
      </c>
      <c r="P1391" s="52" t="s">
        <v>46</v>
      </c>
      <c r="Q1391" s="107" t="s">
        <v>4173</v>
      </c>
      <c r="R1391" s="107">
        <v>13</v>
      </c>
      <c r="S1391" s="107" t="s">
        <v>4164</v>
      </c>
      <c r="T1391" s="239">
        <v>353.05</v>
      </c>
      <c r="U1391" s="107">
        <v>1</v>
      </c>
      <c r="V1391" s="58">
        <f t="shared" si="94"/>
        <v>4589.6500000000005</v>
      </c>
      <c r="W1391" s="52" t="s">
        <v>49</v>
      </c>
      <c r="X1391" s="107" t="s">
        <v>5051</v>
      </c>
      <c r="Y1391" s="304" t="s">
        <v>4686</v>
      </c>
      <c r="Z1391" s="304" t="s">
        <v>4687</v>
      </c>
      <c r="AA1391" s="52">
        <v>0</v>
      </c>
      <c r="AB1391" s="52">
        <v>0</v>
      </c>
      <c r="AC1391" s="52">
        <v>0</v>
      </c>
      <c r="AD1391" s="21">
        <v>0.66843255889259856</v>
      </c>
      <c r="AE1391" s="54">
        <v>0.66843255889259856</v>
      </c>
      <c r="AF1391" s="315">
        <f t="shared" si="97"/>
        <v>3067.8714939214155</v>
      </c>
    </row>
    <row r="1392" spans="1:32" ht="409.5" x14ac:dyDescent="0.25">
      <c r="A1392" s="107" t="s">
        <v>588</v>
      </c>
      <c r="B1392" s="107" t="s">
        <v>2271</v>
      </c>
      <c r="C1392" s="52"/>
      <c r="D1392" s="107" t="s">
        <v>2302</v>
      </c>
      <c r="E1392" s="22" t="str">
        <f t="shared" si="95"/>
        <v>SEJUSPPROG</v>
      </c>
      <c r="F1392" s="122" t="s">
        <v>886</v>
      </c>
      <c r="G1392" s="22" t="str">
        <f t="shared" si="96"/>
        <v>P146SEJUSP</v>
      </c>
      <c r="H1392" s="52" t="s">
        <v>1424</v>
      </c>
      <c r="I1392" s="22" t="s">
        <v>16</v>
      </c>
      <c r="J1392" s="107" t="s">
        <v>490</v>
      </c>
      <c r="K1392" s="22" t="str">
        <f>VLOOKUP(CONCATENATE(A1392,LEFT(J1392,4)),AGRUPAMENTO!$D$2:$E$6783,2,FALSE)</f>
        <v>Material de consumo</v>
      </c>
      <c r="L1392" s="107" t="s">
        <v>44</v>
      </c>
      <c r="M1392" s="52"/>
      <c r="N1392" s="52">
        <v>10</v>
      </c>
      <c r="O1392" s="107" t="s">
        <v>3511</v>
      </c>
      <c r="P1392" s="52" t="s">
        <v>46</v>
      </c>
      <c r="Q1392" s="107" t="s">
        <v>4174</v>
      </c>
      <c r="R1392" s="107">
        <v>15</v>
      </c>
      <c r="S1392" s="107" t="s">
        <v>4164</v>
      </c>
      <c r="T1392" s="239">
        <v>900</v>
      </c>
      <c r="U1392" s="107">
        <v>1</v>
      </c>
      <c r="V1392" s="58">
        <f t="shared" si="94"/>
        <v>13500</v>
      </c>
      <c r="W1392" s="52" t="s">
        <v>49</v>
      </c>
      <c r="X1392" s="107" t="s">
        <v>5051</v>
      </c>
      <c r="Y1392" s="304" t="s">
        <v>4686</v>
      </c>
      <c r="Z1392" s="304" t="s">
        <v>4687</v>
      </c>
      <c r="AA1392" s="52">
        <v>0</v>
      </c>
      <c r="AB1392" s="52">
        <v>0</v>
      </c>
      <c r="AC1392" s="52">
        <v>0</v>
      </c>
      <c r="AD1392" s="21">
        <v>0.66843255889259856</v>
      </c>
      <c r="AE1392" s="54">
        <v>0.66843255889259856</v>
      </c>
      <c r="AF1392" s="315">
        <f t="shared" si="97"/>
        <v>9023.8395450500811</v>
      </c>
    </row>
    <row r="1393" spans="1:32" ht="409.5" x14ac:dyDescent="0.25">
      <c r="A1393" s="107" t="s">
        <v>588</v>
      </c>
      <c r="B1393" s="107" t="s">
        <v>2271</v>
      </c>
      <c r="C1393" s="52"/>
      <c r="D1393" s="107" t="s">
        <v>2302</v>
      </c>
      <c r="E1393" s="22" t="str">
        <f t="shared" si="95"/>
        <v>SEJUSPPROG</v>
      </c>
      <c r="F1393" s="122" t="s">
        <v>886</v>
      </c>
      <c r="G1393" s="22" t="str">
        <f t="shared" si="96"/>
        <v>P146SEJUSP</v>
      </c>
      <c r="H1393" s="52" t="s">
        <v>1424</v>
      </c>
      <c r="I1393" s="22" t="s">
        <v>16</v>
      </c>
      <c r="J1393" s="107" t="s">
        <v>490</v>
      </c>
      <c r="K1393" s="22" t="str">
        <f>VLOOKUP(CONCATENATE(A1393,LEFT(J1393,4)),AGRUPAMENTO!$D$2:$E$6783,2,FALSE)</f>
        <v>Material de consumo</v>
      </c>
      <c r="L1393" s="107" t="s">
        <v>44</v>
      </c>
      <c r="M1393" s="52"/>
      <c r="N1393" s="52">
        <v>10</v>
      </c>
      <c r="O1393" s="107" t="s">
        <v>3512</v>
      </c>
      <c r="P1393" s="52" t="s">
        <v>46</v>
      </c>
      <c r="Q1393" s="107" t="s">
        <v>4174</v>
      </c>
      <c r="R1393" s="107">
        <v>30</v>
      </c>
      <c r="S1393" s="107" t="s">
        <v>3939</v>
      </c>
      <c r="T1393" s="239">
        <v>960.3</v>
      </c>
      <c r="U1393" s="107">
        <v>1</v>
      </c>
      <c r="V1393" s="58">
        <f t="shared" si="94"/>
        <v>28809</v>
      </c>
      <c r="W1393" s="52" t="s">
        <v>49</v>
      </c>
      <c r="X1393" s="107" t="s">
        <v>5051</v>
      </c>
      <c r="Y1393" s="304" t="s">
        <v>4686</v>
      </c>
      <c r="Z1393" s="304" t="s">
        <v>4687</v>
      </c>
      <c r="AA1393" s="52">
        <v>0</v>
      </c>
      <c r="AB1393" s="52">
        <v>0</v>
      </c>
      <c r="AC1393" s="52">
        <v>0</v>
      </c>
      <c r="AD1393" s="21">
        <v>0.66843255889259856</v>
      </c>
      <c r="AE1393" s="54">
        <v>0.66843255889259856</v>
      </c>
      <c r="AF1393" s="315">
        <f t="shared" si="97"/>
        <v>19256.873589136871</v>
      </c>
    </row>
    <row r="1394" spans="1:32" ht="409.5" x14ac:dyDescent="0.25">
      <c r="A1394" s="107" t="s">
        <v>588</v>
      </c>
      <c r="B1394" s="107" t="s">
        <v>2271</v>
      </c>
      <c r="C1394" s="52"/>
      <c r="D1394" s="107" t="s">
        <v>2302</v>
      </c>
      <c r="E1394" s="22" t="str">
        <f t="shared" si="95"/>
        <v>SEJUSPPROG</v>
      </c>
      <c r="F1394" s="122" t="s">
        <v>886</v>
      </c>
      <c r="G1394" s="22" t="str">
        <f t="shared" si="96"/>
        <v>P146SEJUSP</v>
      </c>
      <c r="H1394" s="52" t="s">
        <v>1424</v>
      </c>
      <c r="I1394" s="22" t="s">
        <v>16</v>
      </c>
      <c r="J1394" s="107" t="s">
        <v>490</v>
      </c>
      <c r="K1394" s="22" t="str">
        <f>VLOOKUP(CONCATENATE(A1394,LEFT(J1394,4)),AGRUPAMENTO!$D$2:$E$6783,2,FALSE)</f>
        <v>Material de consumo</v>
      </c>
      <c r="L1394" s="107" t="s">
        <v>44</v>
      </c>
      <c r="M1394" s="52"/>
      <c r="N1394" s="52">
        <v>10</v>
      </c>
      <c r="O1394" s="107" t="s">
        <v>3513</v>
      </c>
      <c r="P1394" s="52" t="s">
        <v>46</v>
      </c>
      <c r="Q1394" s="107" t="s">
        <v>4174</v>
      </c>
      <c r="R1394" s="107">
        <v>10</v>
      </c>
      <c r="S1394" s="107" t="s">
        <v>3939</v>
      </c>
      <c r="T1394" s="239">
        <v>605</v>
      </c>
      <c r="U1394" s="107">
        <v>1</v>
      </c>
      <c r="V1394" s="58">
        <f t="shared" si="94"/>
        <v>6050</v>
      </c>
      <c r="W1394" s="52" t="s">
        <v>49</v>
      </c>
      <c r="X1394" s="107" t="s">
        <v>5051</v>
      </c>
      <c r="Y1394" s="304" t="s">
        <v>4686</v>
      </c>
      <c r="Z1394" s="304" t="s">
        <v>4687</v>
      </c>
      <c r="AA1394" s="52">
        <v>0</v>
      </c>
      <c r="AB1394" s="52">
        <v>0</v>
      </c>
      <c r="AC1394" s="52">
        <v>0</v>
      </c>
      <c r="AD1394" s="21">
        <v>0.66843255889259856</v>
      </c>
      <c r="AE1394" s="54">
        <v>0.66843255889259856</v>
      </c>
      <c r="AF1394" s="315">
        <f t="shared" si="97"/>
        <v>4044.0169813002212</v>
      </c>
    </row>
    <row r="1395" spans="1:32" ht="409.5" x14ac:dyDescent="0.25">
      <c r="A1395" s="107" t="s">
        <v>588</v>
      </c>
      <c r="B1395" s="107" t="s">
        <v>2271</v>
      </c>
      <c r="C1395" s="52"/>
      <c r="D1395" s="107" t="s">
        <v>2302</v>
      </c>
      <c r="E1395" s="22" t="str">
        <f t="shared" si="95"/>
        <v>SEJUSPPROG</v>
      </c>
      <c r="F1395" s="122" t="s">
        <v>886</v>
      </c>
      <c r="G1395" s="22" t="str">
        <f t="shared" si="96"/>
        <v>P146SEJUSP</v>
      </c>
      <c r="H1395" s="52" t="s">
        <v>1424</v>
      </c>
      <c r="I1395" s="22" t="s">
        <v>16</v>
      </c>
      <c r="J1395" s="107" t="s">
        <v>490</v>
      </c>
      <c r="K1395" s="22" t="str">
        <f>VLOOKUP(CONCATENATE(A1395,LEFT(J1395,4)),AGRUPAMENTO!$D$2:$E$6783,2,FALSE)</f>
        <v>Material de consumo</v>
      </c>
      <c r="L1395" s="107" t="s">
        <v>44</v>
      </c>
      <c r="M1395" s="52"/>
      <c r="N1395" s="52">
        <v>10</v>
      </c>
      <c r="O1395" s="107" t="s">
        <v>3514</v>
      </c>
      <c r="P1395" s="52" t="s">
        <v>46</v>
      </c>
      <c r="Q1395" s="107" t="s">
        <v>4174</v>
      </c>
      <c r="R1395" s="107">
        <v>30</v>
      </c>
      <c r="S1395" s="107" t="s">
        <v>3939</v>
      </c>
      <c r="T1395" s="239">
        <v>960.3</v>
      </c>
      <c r="U1395" s="107">
        <v>1</v>
      </c>
      <c r="V1395" s="58">
        <f t="shared" si="94"/>
        <v>28809</v>
      </c>
      <c r="W1395" s="52" t="s">
        <v>49</v>
      </c>
      <c r="X1395" s="107" t="s">
        <v>5051</v>
      </c>
      <c r="Y1395" s="304" t="s">
        <v>4686</v>
      </c>
      <c r="Z1395" s="304" t="s">
        <v>4687</v>
      </c>
      <c r="AA1395" s="52">
        <v>0</v>
      </c>
      <c r="AB1395" s="52">
        <v>0</v>
      </c>
      <c r="AC1395" s="52">
        <v>0</v>
      </c>
      <c r="AD1395" s="21">
        <v>0.66843255889259856</v>
      </c>
      <c r="AE1395" s="54">
        <v>0.66843255889259856</v>
      </c>
      <c r="AF1395" s="315">
        <f t="shared" si="97"/>
        <v>19256.873589136871</v>
      </c>
    </row>
    <row r="1396" spans="1:32" ht="409.5" x14ac:dyDescent="0.25">
      <c r="A1396" s="107" t="s">
        <v>588</v>
      </c>
      <c r="B1396" s="107" t="s">
        <v>2271</v>
      </c>
      <c r="C1396" s="52"/>
      <c r="D1396" s="107" t="s">
        <v>2302</v>
      </c>
      <c r="E1396" s="22" t="str">
        <f t="shared" si="95"/>
        <v>SEJUSPPROG</v>
      </c>
      <c r="F1396" s="122" t="s">
        <v>886</v>
      </c>
      <c r="G1396" s="22" t="str">
        <f t="shared" si="96"/>
        <v>P146SEJUSP</v>
      </c>
      <c r="H1396" s="52" t="s">
        <v>1424</v>
      </c>
      <c r="I1396" s="22" t="s">
        <v>16</v>
      </c>
      <c r="J1396" s="107" t="s">
        <v>490</v>
      </c>
      <c r="K1396" s="22" t="str">
        <f>VLOOKUP(CONCATENATE(A1396,LEFT(J1396,4)),AGRUPAMENTO!$D$2:$E$6783,2,FALSE)</f>
        <v>Material de consumo</v>
      </c>
      <c r="L1396" s="107" t="s">
        <v>44</v>
      </c>
      <c r="M1396" s="52"/>
      <c r="N1396" s="52">
        <v>10</v>
      </c>
      <c r="O1396" s="107" t="s">
        <v>3515</v>
      </c>
      <c r="P1396" s="52" t="s">
        <v>46</v>
      </c>
      <c r="Q1396" s="107" t="s">
        <v>4174</v>
      </c>
      <c r="R1396" s="107">
        <v>15</v>
      </c>
      <c r="S1396" s="107" t="s">
        <v>3939</v>
      </c>
      <c r="T1396" s="239">
        <v>264</v>
      </c>
      <c r="U1396" s="107">
        <v>1</v>
      </c>
      <c r="V1396" s="58">
        <f t="shared" si="94"/>
        <v>3960</v>
      </c>
      <c r="W1396" s="52" t="s">
        <v>49</v>
      </c>
      <c r="X1396" s="107" t="s">
        <v>5051</v>
      </c>
      <c r="Y1396" s="304" t="s">
        <v>4686</v>
      </c>
      <c r="Z1396" s="304" t="s">
        <v>4687</v>
      </c>
      <c r="AA1396" s="52">
        <v>0</v>
      </c>
      <c r="AB1396" s="52">
        <v>0</v>
      </c>
      <c r="AC1396" s="52">
        <v>0</v>
      </c>
      <c r="AD1396" s="21">
        <v>0.66843255889259856</v>
      </c>
      <c r="AE1396" s="54">
        <v>0.66843255889259856</v>
      </c>
      <c r="AF1396" s="315">
        <f t="shared" si="97"/>
        <v>2646.9929332146903</v>
      </c>
    </row>
    <row r="1397" spans="1:32" ht="255" x14ac:dyDescent="0.25">
      <c r="A1397" s="109" t="s">
        <v>588</v>
      </c>
      <c r="B1397" s="110" t="s">
        <v>2270</v>
      </c>
      <c r="C1397" s="52"/>
      <c r="D1397" s="110" t="s">
        <v>2276</v>
      </c>
      <c r="E1397" s="22" t="str">
        <f t="shared" si="95"/>
        <v>SEJUSPPROG</v>
      </c>
      <c r="F1397" s="108" t="s">
        <v>699</v>
      </c>
      <c r="G1397" s="22" t="str">
        <f t="shared" si="96"/>
        <v>P141SEJUSP</v>
      </c>
      <c r="H1397" s="108" t="s">
        <v>1403</v>
      </c>
      <c r="I1397" s="22" t="s">
        <v>16</v>
      </c>
      <c r="J1397" s="124" t="s">
        <v>450</v>
      </c>
      <c r="K1397" s="22" t="str">
        <f>VLOOKUP(CONCATENATE(A1397,LEFT(J1397,4)),AGRUPAMENTO!$D$2:$E$6783,2,FALSE)</f>
        <v>Frota</v>
      </c>
      <c r="L1397" s="137" t="s">
        <v>44</v>
      </c>
      <c r="M1397" s="52"/>
      <c r="N1397" s="52">
        <v>10</v>
      </c>
      <c r="O1397" s="109" t="s">
        <v>3516</v>
      </c>
      <c r="P1397" s="52" t="s">
        <v>58</v>
      </c>
      <c r="Q1397" s="109" t="s">
        <v>4070</v>
      </c>
      <c r="R1397" s="242">
        <f>((5000*5%)+5000)/12</f>
        <v>437.5</v>
      </c>
      <c r="S1397" s="109" t="s">
        <v>4071</v>
      </c>
      <c r="T1397" s="243">
        <v>3.6304799999999999</v>
      </c>
      <c r="U1397" s="109">
        <v>12</v>
      </c>
      <c r="V1397" s="58">
        <f t="shared" si="94"/>
        <v>19060.02</v>
      </c>
      <c r="W1397" s="109" t="s">
        <v>5025</v>
      </c>
      <c r="X1397" s="109" t="s">
        <v>5026</v>
      </c>
      <c r="Y1397" s="109" t="s">
        <v>5027</v>
      </c>
      <c r="Z1397" s="109" t="s">
        <v>5028</v>
      </c>
      <c r="AA1397" s="110">
        <v>13</v>
      </c>
      <c r="AB1397" s="110">
        <v>19</v>
      </c>
      <c r="AC1397" s="110">
        <v>48</v>
      </c>
      <c r="AD1397" s="21">
        <v>0</v>
      </c>
      <c r="AE1397" s="54">
        <v>0</v>
      </c>
      <c r="AF1397" s="315">
        <f t="shared" si="97"/>
        <v>0</v>
      </c>
    </row>
    <row r="1398" spans="1:32" ht="150" x14ac:dyDescent="0.25">
      <c r="A1398" s="107" t="s">
        <v>588</v>
      </c>
      <c r="B1398" s="107" t="s">
        <v>2271</v>
      </c>
      <c r="C1398" s="52"/>
      <c r="D1398" s="107" t="s">
        <v>2302</v>
      </c>
      <c r="E1398" s="22" t="str">
        <f t="shared" si="95"/>
        <v>SEJUSPPROG</v>
      </c>
      <c r="F1398" s="122" t="s">
        <v>886</v>
      </c>
      <c r="G1398" s="22" t="str">
        <f t="shared" si="96"/>
        <v>P146SEJUSP</v>
      </c>
      <c r="H1398" s="52" t="s">
        <v>1424</v>
      </c>
      <c r="I1398" s="22" t="s">
        <v>16</v>
      </c>
      <c r="J1398" s="52" t="s">
        <v>2131</v>
      </c>
      <c r="K1398" s="22" t="str">
        <f>VLOOKUP(CONCATENATE(A1398,LEFT(J1398,4)),AGRUPAMENTO!$D$2:$E$6783,2,FALSE)</f>
        <v>Diárias e viagens</v>
      </c>
      <c r="L1398" s="107" t="s">
        <v>44</v>
      </c>
      <c r="M1398" s="52"/>
      <c r="N1398" s="52">
        <v>10</v>
      </c>
      <c r="O1398" s="107" t="s">
        <v>3517</v>
      </c>
      <c r="P1398" s="52" t="s">
        <v>46</v>
      </c>
      <c r="Q1398" s="107" t="s">
        <v>4175</v>
      </c>
      <c r="R1398" s="107">
        <v>192</v>
      </c>
      <c r="S1398" s="107" t="s">
        <v>4176</v>
      </c>
      <c r="T1398" s="239">
        <v>470</v>
      </c>
      <c r="U1398" s="107">
        <v>1</v>
      </c>
      <c r="V1398" s="58">
        <f t="shared" si="94"/>
        <v>90240</v>
      </c>
      <c r="W1398" s="52" t="s">
        <v>49</v>
      </c>
      <c r="X1398" s="107" t="s">
        <v>5114</v>
      </c>
      <c r="Y1398" s="304" t="s">
        <v>5115</v>
      </c>
      <c r="Z1398" s="304" t="s">
        <v>5116</v>
      </c>
      <c r="AA1398" s="52">
        <v>0</v>
      </c>
      <c r="AB1398" s="52">
        <v>0</v>
      </c>
      <c r="AC1398" s="52">
        <v>0</v>
      </c>
      <c r="AD1398" s="21">
        <v>0.86749884668513244</v>
      </c>
      <c r="AE1398" s="54">
        <v>0.86749884668513244</v>
      </c>
      <c r="AF1398" s="315">
        <f t="shared" si="97"/>
        <v>78283.095924866357</v>
      </c>
    </row>
    <row r="1399" spans="1:32" ht="105" x14ac:dyDescent="0.25">
      <c r="A1399" s="110" t="s">
        <v>588</v>
      </c>
      <c r="B1399" s="110" t="s">
        <v>2270</v>
      </c>
      <c r="C1399" s="52"/>
      <c r="D1399" s="110" t="s">
        <v>2276</v>
      </c>
      <c r="E1399" s="22" t="str">
        <f t="shared" si="95"/>
        <v>SEJUSPPROG</v>
      </c>
      <c r="F1399" s="108" t="s">
        <v>705</v>
      </c>
      <c r="G1399" s="22" t="str">
        <f t="shared" si="96"/>
        <v>P134SEJUSP</v>
      </c>
      <c r="H1399" s="52" t="s">
        <v>1356</v>
      </c>
      <c r="I1399" s="22" t="s">
        <v>16</v>
      </c>
      <c r="J1399" s="110" t="s">
        <v>1642</v>
      </c>
      <c r="K1399" s="22" t="str">
        <f>VLOOKUP(CONCATENATE(A1399,LEFT(J1399,4)),AGRUPAMENTO!$D$2:$E$6783,2,FALSE)</f>
        <v>Gestão de equipamentos</v>
      </c>
      <c r="L1399" s="137" t="s">
        <v>44</v>
      </c>
      <c r="M1399" s="52"/>
      <c r="N1399" s="52">
        <v>10</v>
      </c>
      <c r="O1399" s="110" t="s">
        <v>3518</v>
      </c>
      <c r="P1399" s="52" t="s">
        <v>58</v>
      </c>
      <c r="Q1399" s="110" t="s">
        <v>3812</v>
      </c>
      <c r="R1399" s="110">
        <v>1</v>
      </c>
      <c r="S1399" s="110" t="s">
        <v>4177</v>
      </c>
      <c r="T1399" s="240">
        <v>18220.045578056801</v>
      </c>
      <c r="U1399" s="110">
        <v>12</v>
      </c>
      <c r="V1399" s="58">
        <f t="shared" si="94"/>
        <v>218640.54693668161</v>
      </c>
      <c r="W1399" s="110" t="s">
        <v>68</v>
      </c>
      <c r="X1399" s="110" t="s">
        <v>5117</v>
      </c>
      <c r="Y1399" s="110" t="s">
        <v>5020</v>
      </c>
      <c r="Z1399" s="110" t="s">
        <v>5021</v>
      </c>
      <c r="AA1399" s="122">
        <v>14</v>
      </c>
      <c r="AB1399" s="122">
        <v>20</v>
      </c>
      <c r="AC1399" s="122">
        <v>49</v>
      </c>
      <c r="AD1399" s="21">
        <v>0</v>
      </c>
      <c r="AE1399" s="54">
        <v>0</v>
      </c>
      <c r="AF1399" s="315">
        <f t="shared" si="97"/>
        <v>0</v>
      </c>
    </row>
    <row r="1400" spans="1:32" ht="300" x14ac:dyDescent="0.25">
      <c r="A1400" s="107" t="s">
        <v>588</v>
      </c>
      <c r="B1400" s="107" t="s">
        <v>2270</v>
      </c>
      <c r="C1400" s="52"/>
      <c r="D1400" s="52" t="s">
        <v>2286</v>
      </c>
      <c r="E1400" s="22" t="str">
        <f t="shared" si="95"/>
        <v>SEJUSPPROG</v>
      </c>
      <c r="F1400" s="52" t="s">
        <v>705</v>
      </c>
      <c r="G1400" s="22" t="str">
        <f t="shared" si="96"/>
        <v>P134SEJUSP</v>
      </c>
      <c r="H1400" s="52" t="s">
        <v>1309</v>
      </c>
      <c r="I1400" s="22" t="s">
        <v>16</v>
      </c>
      <c r="J1400" s="52" t="s">
        <v>2131</v>
      </c>
      <c r="K1400" s="22" t="str">
        <f>VLOOKUP(CONCATENATE(A1400,LEFT(J1400,4)),AGRUPAMENTO!$D$2:$E$6783,2,FALSE)</f>
        <v>Diárias e viagens</v>
      </c>
      <c r="L1400" s="52" t="s">
        <v>44</v>
      </c>
      <c r="M1400" s="52"/>
      <c r="N1400" s="52">
        <v>10</v>
      </c>
      <c r="O1400" s="52" t="s">
        <v>3519</v>
      </c>
      <c r="P1400" s="52" t="s">
        <v>46</v>
      </c>
      <c r="Q1400" s="52" t="s">
        <v>4178</v>
      </c>
      <c r="R1400" s="52">
        <v>20</v>
      </c>
      <c r="S1400" s="244" t="s">
        <v>4179</v>
      </c>
      <c r="T1400" s="88">
        <v>470</v>
      </c>
      <c r="U1400" s="53">
        <v>12</v>
      </c>
      <c r="V1400" s="58">
        <f t="shared" si="94"/>
        <v>112800</v>
      </c>
      <c r="W1400" s="52" t="s">
        <v>49</v>
      </c>
      <c r="X1400" s="52" t="s">
        <v>5118</v>
      </c>
      <c r="Y1400" s="52" t="s">
        <v>5119</v>
      </c>
      <c r="Z1400" s="52" t="s">
        <v>5120</v>
      </c>
      <c r="AA1400" s="52">
        <v>0</v>
      </c>
      <c r="AB1400" s="52">
        <v>0</v>
      </c>
      <c r="AC1400" s="52">
        <v>0</v>
      </c>
      <c r="AD1400" s="21">
        <v>0.86749884668513244</v>
      </c>
      <c r="AE1400" s="54">
        <v>0.86749884668513244</v>
      </c>
      <c r="AF1400" s="315">
        <f t="shared" si="97"/>
        <v>97853.869906082939</v>
      </c>
    </row>
    <row r="1401" spans="1:32" ht="300" x14ac:dyDescent="0.25">
      <c r="A1401" s="107" t="s">
        <v>588</v>
      </c>
      <c r="B1401" s="107" t="s">
        <v>2270</v>
      </c>
      <c r="C1401" s="52"/>
      <c r="D1401" s="52" t="s">
        <v>2286</v>
      </c>
      <c r="E1401" s="22" t="str">
        <f t="shared" si="95"/>
        <v>SEJUSPPROG</v>
      </c>
      <c r="F1401" s="52" t="s">
        <v>705</v>
      </c>
      <c r="G1401" s="22" t="str">
        <f t="shared" si="96"/>
        <v>P134SEJUSP</v>
      </c>
      <c r="H1401" s="52" t="s">
        <v>1309</v>
      </c>
      <c r="I1401" s="22" t="s">
        <v>16</v>
      </c>
      <c r="J1401" s="52" t="s">
        <v>2131</v>
      </c>
      <c r="K1401" s="22" t="str">
        <f>VLOOKUP(CONCATENATE(A1401,LEFT(J1401,4)),AGRUPAMENTO!$D$2:$E$6783,2,FALSE)</f>
        <v>Diárias e viagens</v>
      </c>
      <c r="L1401" s="52" t="s">
        <v>44</v>
      </c>
      <c r="M1401" s="52"/>
      <c r="N1401" s="52">
        <v>10</v>
      </c>
      <c r="O1401" s="52" t="s">
        <v>3519</v>
      </c>
      <c r="P1401" s="52" t="s">
        <v>46</v>
      </c>
      <c r="Q1401" s="52" t="s">
        <v>4180</v>
      </c>
      <c r="R1401" s="52">
        <v>10</v>
      </c>
      <c r="S1401" s="244" t="s">
        <v>4179</v>
      </c>
      <c r="T1401" s="88">
        <v>470</v>
      </c>
      <c r="U1401" s="53">
        <v>4</v>
      </c>
      <c r="V1401" s="58">
        <f t="shared" si="94"/>
        <v>18800</v>
      </c>
      <c r="W1401" s="52" t="s">
        <v>49</v>
      </c>
      <c r="X1401" s="52" t="s">
        <v>5118</v>
      </c>
      <c r="Y1401" s="52" t="s">
        <v>5121</v>
      </c>
      <c r="Z1401" s="52" t="s">
        <v>5122</v>
      </c>
      <c r="AA1401" s="52">
        <v>0</v>
      </c>
      <c r="AB1401" s="52">
        <v>0</v>
      </c>
      <c r="AC1401" s="52">
        <v>0</v>
      </c>
      <c r="AD1401" s="21">
        <v>0.86749884668513244</v>
      </c>
      <c r="AE1401" s="54">
        <v>0.86749884668513244</v>
      </c>
      <c r="AF1401" s="315">
        <f t="shared" si="97"/>
        <v>16308.97831768049</v>
      </c>
    </row>
    <row r="1402" spans="1:32" ht="120" x14ac:dyDescent="0.25">
      <c r="A1402" s="107" t="s">
        <v>588</v>
      </c>
      <c r="B1402" s="107" t="s">
        <v>2270</v>
      </c>
      <c r="C1402" s="52"/>
      <c r="D1402" s="52" t="s">
        <v>2286</v>
      </c>
      <c r="E1402" s="22" t="str">
        <f t="shared" si="95"/>
        <v>SEJUSPPROG</v>
      </c>
      <c r="F1402" s="52" t="s">
        <v>705</v>
      </c>
      <c r="G1402" s="22" t="str">
        <f t="shared" si="96"/>
        <v>P134SEJUSP</v>
      </c>
      <c r="H1402" s="52" t="s">
        <v>1309</v>
      </c>
      <c r="I1402" s="22" t="s">
        <v>16</v>
      </c>
      <c r="J1402" s="52" t="s">
        <v>1628</v>
      </c>
      <c r="K1402" s="22" t="str">
        <f>VLOOKUP(CONCATENATE(A1402,LEFT(J1402,4)),AGRUPAMENTO!$D$2:$E$6783,2,FALSE)</f>
        <v>Pronto Pagamento</v>
      </c>
      <c r="L1402" s="52" t="s">
        <v>44</v>
      </c>
      <c r="M1402" s="52"/>
      <c r="N1402" s="52">
        <v>10</v>
      </c>
      <c r="O1402" s="52" t="s">
        <v>3519</v>
      </c>
      <c r="P1402" s="52" t="s">
        <v>46</v>
      </c>
      <c r="Q1402" s="52">
        <v>1</v>
      </c>
      <c r="R1402" s="52">
        <v>1</v>
      </c>
      <c r="S1402" s="55" t="s">
        <v>4181</v>
      </c>
      <c r="T1402" s="88">
        <v>4000</v>
      </c>
      <c r="U1402" s="53">
        <v>4</v>
      </c>
      <c r="V1402" s="58">
        <f t="shared" si="94"/>
        <v>16000</v>
      </c>
      <c r="W1402" s="52" t="s">
        <v>49</v>
      </c>
      <c r="X1402" s="52" t="s">
        <v>5123</v>
      </c>
      <c r="Y1402" s="52" t="s">
        <v>5124</v>
      </c>
      <c r="Z1402" s="52" t="s">
        <v>5125</v>
      </c>
      <c r="AA1402" s="52">
        <v>0</v>
      </c>
      <c r="AB1402" s="52">
        <v>0</v>
      </c>
      <c r="AC1402" s="52">
        <v>0</v>
      </c>
      <c r="AD1402" s="21">
        <v>1</v>
      </c>
      <c r="AE1402" s="54">
        <v>1</v>
      </c>
      <c r="AF1402" s="315">
        <f t="shared" si="97"/>
        <v>16000</v>
      </c>
    </row>
    <row r="1403" spans="1:32" ht="195" x14ac:dyDescent="0.25">
      <c r="A1403" s="107" t="s">
        <v>588</v>
      </c>
      <c r="B1403" s="107" t="s">
        <v>2270</v>
      </c>
      <c r="C1403" s="52"/>
      <c r="D1403" s="52" t="s">
        <v>2301</v>
      </c>
      <c r="E1403" s="22" t="str">
        <f t="shared" si="95"/>
        <v>SEJUSPPROG</v>
      </c>
      <c r="F1403" s="52" t="s">
        <v>729</v>
      </c>
      <c r="G1403" s="22" t="str">
        <f t="shared" si="96"/>
        <v>P130SEJUSP</v>
      </c>
      <c r="H1403" s="52" t="s">
        <v>1183</v>
      </c>
      <c r="I1403" s="22" t="s">
        <v>16</v>
      </c>
      <c r="J1403" s="52" t="s">
        <v>1642</v>
      </c>
      <c r="K1403" s="22" t="str">
        <f>VLOOKUP(CONCATENATE(A1403,LEFT(J1403,4)),AGRUPAMENTO!$D$2:$E$6783,2,FALSE)</f>
        <v>Gestão de equipamentos</v>
      </c>
      <c r="L1403" s="52" t="s">
        <v>44</v>
      </c>
      <c r="M1403" s="52"/>
      <c r="N1403" s="52">
        <v>60</v>
      </c>
      <c r="O1403" s="52" t="s">
        <v>3520</v>
      </c>
      <c r="P1403" s="52" t="s">
        <v>58</v>
      </c>
      <c r="Q1403" s="52" t="s">
        <v>4012</v>
      </c>
      <c r="R1403" s="52">
        <v>1</v>
      </c>
      <c r="S1403" s="52" t="s">
        <v>4012</v>
      </c>
      <c r="T1403" s="88">
        <v>1663281</v>
      </c>
      <c r="U1403" s="53">
        <v>1</v>
      </c>
      <c r="V1403" s="58">
        <f t="shared" si="94"/>
        <v>1663281</v>
      </c>
      <c r="W1403" s="52" t="s">
        <v>68</v>
      </c>
      <c r="X1403" s="52" t="s">
        <v>4849</v>
      </c>
      <c r="Y1403" s="52" t="s">
        <v>5126</v>
      </c>
      <c r="Z1403" s="52" t="s">
        <v>5127</v>
      </c>
      <c r="AA1403" s="52">
        <v>2</v>
      </c>
      <c r="AB1403" s="52">
        <v>21</v>
      </c>
      <c r="AC1403" s="108">
        <v>50</v>
      </c>
      <c r="AD1403" s="21">
        <v>0</v>
      </c>
      <c r="AE1403" s="54">
        <v>0</v>
      </c>
      <c r="AF1403" s="315">
        <f t="shared" si="97"/>
        <v>0</v>
      </c>
    </row>
    <row r="1404" spans="1:32" ht="195" x14ac:dyDescent="0.25">
      <c r="A1404" s="107" t="s">
        <v>588</v>
      </c>
      <c r="B1404" s="107" t="s">
        <v>2270</v>
      </c>
      <c r="C1404" s="52"/>
      <c r="D1404" s="52" t="s">
        <v>2301</v>
      </c>
      <c r="E1404" s="22" t="str">
        <f t="shared" si="95"/>
        <v>SEJUSPPROG</v>
      </c>
      <c r="F1404" s="52" t="s">
        <v>729</v>
      </c>
      <c r="G1404" s="22" t="str">
        <f t="shared" si="96"/>
        <v>P130SEJUSP</v>
      </c>
      <c r="H1404" s="52" t="s">
        <v>1148</v>
      </c>
      <c r="I1404" s="22" t="s">
        <v>16</v>
      </c>
      <c r="J1404" s="52" t="s">
        <v>1681</v>
      </c>
      <c r="K1404" s="22" t="str">
        <f>VLOOKUP(CONCATENATE(A1404,LEFT(J1404,4)),AGRUPAMENTO!$D$2:$E$6783,2,FALSE)</f>
        <v>Aquisições de itens de TIC</v>
      </c>
      <c r="L1404" s="52" t="s">
        <v>94</v>
      </c>
      <c r="M1404" s="52"/>
      <c r="N1404" s="52">
        <v>60</v>
      </c>
      <c r="O1404" s="52" t="s">
        <v>3521</v>
      </c>
      <c r="P1404" s="52" t="s">
        <v>58</v>
      </c>
      <c r="Q1404" s="52" t="s">
        <v>4182</v>
      </c>
      <c r="R1404" s="52">
        <v>1</v>
      </c>
      <c r="S1404" s="52" t="s">
        <v>4183</v>
      </c>
      <c r="T1404" s="88">
        <v>2791864.87</v>
      </c>
      <c r="U1404" s="53">
        <v>1</v>
      </c>
      <c r="V1404" s="58">
        <f t="shared" si="94"/>
        <v>2791864.87</v>
      </c>
      <c r="W1404" s="52" t="s">
        <v>68</v>
      </c>
      <c r="X1404" s="52" t="s">
        <v>4849</v>
      </c>
      <c r="Y1404" s="52" t="s">
        <v>4850</v>
      </c>
      <c r="Z1404" s="52" t="s">
        <v>4850</v>
      </c>
      <c r="AA1404" s="52">
        <v>6</v>
      </c>
      <c r="AB1404" s="52">
        <v>21</v>
      </c>
      <c r="AC1404" s="108">
        <v>50</v>
      </c>
      <c r="AD1404" s="21">
        <v>0</v>
      </c>
      <c r="AE1404" s="54">
        <v>0</v>
      </c>
      <c r="AF1404" s="315">
        <f t="shared" si="97"/>
        <v>0</v>
      </c>
    </row>
    <row r="1405" spans="1:32" ht="150" x14ac:dyDescent="0.25">
      <c r="A1405" s="111" t="s">
        <v>588</v>
      </c>
      <c r="B1405" s="110" t="s">
        <v>2270</v>
      </c>
      <c r="C1405" s="52"/>
      <c r="D1405" s="110" t="s">
        <v>2276</v>
      </c>
      <c r="E1405" s="22" t="str">
        <f t="shared" si="95"/>
        <v>SEJUSPPROG</v>
      </c>
      <c r="F1405" s="122" t="s">
        <v>886</v>
      </c>
      <c r="G1405" s="22" t="str">
        <f t="shared" si="96"/>
        <v>P146SEJUSP</v>
      </c>
      <c r="H1405" s="107" t="s">
        <v>2307</v>
      </c>
      <c r="I1405" s="22" t="s">
        <v>16</v>
      </c>
      <c r="J1405" s="110" t="s">
        <v>1642</v>
      </c>
      <c r="K1405" s="22" t="str">
        <f>VLOOKUP(CONCATENATE(A1405,LEFT(J1405,4)),AGRUPAMENTO!$D$2:$E$6783,2,FALSE)</f>
        <v>Gestão de equipamentos</v>
      </c>
      <c r="L1405" s="137" t="s">
        <v>44</v>
      </c>
      <c r="M1405" s="52"/>
      <c r="N1405" s="52">
        <v>10</v>
      </c>
      <c r="O1405" s="141" t="s">
        <v>3522</v>
      </c>
      <c r="P1405" s="52" t="s">
        <v>46</v>
      </c>
      <c r="Q1405" s="110" t="s">
        <v>3812</v>
      </c>
      <c r="R1405" s="110">
        <v>1</v>
      </c>
      <c r="S1405" s="110" t="s">
        <v>4184</v>
      </c>
      <c r="T1405" s="240">
        <v>41404.166666666599</v>
      </c>
      <c r="U1405" s="133">
        <v>12</v>
      </c>
      <c r="V1405" s="58">
        <f t="shared" si="94"/>
        <v>496849.99999999919</v>
      </c>
      <c r="W1405" s="52" t="s">
        <v>49</v>
      </c>
      <c r="X1405" s="110" t="s">
        <v>5128</v>
      </c>
      <c r="Y1405" s="110" t="s">
        <v>5020</v>
      </c>
      <c r="Z1405" s="110" t="s">
        <v>5021</v>
      </c>
      <c r="AA1405" s="52">
        <v>0</v>
      </c>
      <c r="AB1405" s="52">
        <v>0</v>
      </c>
      <c r="AC1405" s="52">
        <v>0</v>
      </c>
      <c r="AD1405" s="21">
        <v>0.88454016594970364</v>
      </c>
      <c r="AE1405" s="54">
        <v>0.88454016594970364</v>
      </c>
      <c r="AF1405" s="315">
        <f t="shared" si="97"/>
        <v>439483.78145210951</v>
      </c>
    </row>
    <row r="1406" spans="1:32" ht="195" x14ac:dyDescent="0.25">
      <c r="A1406" s="112" t="s">
        <v>588</v>
      </c>
      <c r="B1406" s="107" t="s">
        <v>2270</v>
      </c>
      <c r="C1406" s="52"/>
      <c r="D1406" s="108" t="s">
        <v>2301</v>
      </c>
      <c r="E1406" s="22" t="str">
        <f t="shared" si="95"/>
        <v>SEJUSPPROG</v>
      </c>
      <c r="F1406" s="52" t="s">
        <v>729</v>
      </c>
      <c r="G1406" s="22" t="str">
        <f t="shared" si="96"/>
        <v>P130SEJUSP</v>
      </c>
      <c r="H1406" s="108" t="s">
        <v>1148</v>
      </c>
      <c r="I1406" s="22" t="s">
        <v>16</v>
      </c>
      <c r="J1406" s="108" t="s">
        <v>1681</v>
      </c>
      <c r="K1406" s="22" t="str">
        <f>VLOOKUP(CONCATENATE(A1406,LEFT(J1406,4)),AGRUPAMENTO!$D$2:$E$6783,2,FALSE)</f>
        <v>Aquisições de itens de TIC</v>
      </c>
      <c r="L1406" s="52" t="s">
        <v>94</v>
      </c>
      <c r="M1406" s="52"/>
      <c r="N1406" s="52">
        <v>60</v>
      </c>
      <c r="O1406" s="108" t="s">
        <v>3523</v>
      </c>
      <c r="P1406" s="52" t="s">
        <v>58</v>
      </c>
      <c r="Q1406" s="108" t="s">
        <v>4182</v>
      </c>
      <c r="R1406" s="108">
        <v>1</v>
      </c>
      <c r="S1406" s="108" t="s">
        <v>4183</v>
      </c>
      <c r="T1406" s="241">
        <v>1976530.35</v>
      </c>
      <c r="U1406" s="245">
        <v>1</v>
      </c>
      <c r="V1406" s="58">
        <f t="shared" si="94"/>
        <v>1976530.35</v>
      </c>
      <c r="W1406" s="108" t="s">
        <v>68</v>
      </c>
      <c r="X1406" s="108" t="s">
        <v>4849</v>
      </c>
      <c r="Y1406" s="108" t="s">
        <v>4850</v>
      </c>
      <c r="Z1406" s="108" t="s">
        <v>4850</v>
      </c>
      <c r="AA1406" s="108">
        <v>7</v>
      </c>
      <c r="AB1406" s="108">
        <v>21</v>
      </c>
      <c r="AC1406" s="108">
        <v>50</v>
      </c>
      <c r="AD1406" s="21">
        <v>0</v>
      </c>
      <c r="AE1406" s="54">
        <v>0</v>
      </c>
      <c r="AF1406" s="315">
        <f t="shared" si="97"/>
        <v>0</v>
      </c>
    </row>
    <row r="1407" spans="1:32" ht="195" x14ac:dyDescent="0.25">
      <c r="A1407" s="111" t="s">
        <v>588</v>
      </c>
      <c r="B1407" s="110" t="s">
        <v>2270</v>
      </c>
      <c r="C1407" s="52"/>
      <c r="D1407" s="110" t="s">
        <v>2276</v>
      </c>
      <c r="E1407" s="22" t="str">
        <f t="shared" si="95"/>
        <v>SEJUSPPROG</v>
      </c>
      <c r="F1407" s="52" t="s">
        <v>729</v>
      </c>
      <c r="G1407" s="22" t="str">
        <f t="shared" si="96"/>
        <v>P130SEJUSP</v>
      </c>
      <c r="H1407" s="110" t="s">
        <v>1183</v>
      </c>
      <c r="I1407" s="22" t="s">
        <v>16</v>
      </c>
      <c r="J1407" s="110" t="s">
        <v>1658</v>
      </c>
      <c r="K1407" s="22" t="str">
        <f>VLOOKUP(CONCATENATE(A1407,LEFT(J1407,4)),AGRUPAMENTO!$D$2:$E$6783,2,FALSE)</f>
        <v>Utilidade Pública</v>
      </c>
      <c r="L1407" s="137" t="s">
        <v>44</v>
      </c>
      <c r="M1407" s="52"/>
      <c r="N1407" s="52">
        <v>60</v>
      </c>
      <c r="O1407" s="110" t="s">
        <v>3524</v>
      </c>
      <c r="P1407" s="52" t="s">
        <v>46</v>
      </c>
      <c r="Q1407" s="110" t="s">
        <v>3812</v>
      </c>
      <c r="R1407" s="110">
        <v>1</v>
      </c>
      <c r="S1407" s="110" t="s">
        <v>4185</v>
      </c>
      <c r="T1407" s="240">
        <v>43259.5789</v>
      </c>
      <c r="U1407" s="133">
        <v>12</v>
      </c>
      <c r="V1407" s="58">
        <f t="shared" si="94"/>
        <v>519114.94680000003</v>
      </c>
      <c r="W1407" s="52" t="s">
        <v>49</v>
      </c>
      <c r="X1407" s="110" t="s">
        <v>5129</v>
      </c>
      <c r="Y1407" s="110" t="s">
        <v>5130</v>
      </c>
      <c r="Z1407" s="110" t="s">
        <v>5131</v>
      </c>
      <c r="AA1407" s="52">
        <v>0</v>
      </c>
      <c r="AB1407" s="52">
        <v>0</v>
      </c>
      <c r="AC1407" s="52">
        <v>0</v>
      </c>
      <c r="AD1407" s="21">
        <v>0.96957830030776992</v>
      </c>
      <c r="AE1407" s="54">
        <v>0.96957830030776992</v>
      </c>
      <c r="AF1407" s="315">
        <f t="shared" si="97"/>
        <v>503322.58778270247</v>
      </c>
    </row>
    <row r="1408" spans="1:32" ht="195" x14ac:dyDescent="0.25">
      <c r="A1408" s="111" t="s">
        <v>588</v>
      </c>
      <c r="B1408" s="110" t="s">
        <v>2270</v>
      </c>
      <c r="C1408" s="52"/>
      <c r="D1408" s="110" t="s">
        <v>2276</v>
      </c>
      <c r="E1408" s="22" t="str">
        <f t="shared" si="95"/>
        <v>SEJUSPPROG</v>
      </c>
      <c r="F1408" s="52" t="s">
        <v>729</v>
      </c>
      <c r="G1408" s="22" t="str">
        <f t="shared" si="96"/>
        <v>P130SEJUSP</v>
      </c>
      <c r="H1408" s="110" t="s">
        <v>1183</v>
      </c>
      <c r="I1408" s="22" t="s">
        <v>16</v>
      </c>
      <c r="J1408" s="110" t="s">
        <v>1658</v>
      </c>
      <c r="K1408" s="22" t="str">
        <f>VLOOKUP(CONCATENATE(A1408,LEFT(J1408,4)),AGRUPAMENTO!$D$2:$E$6783,2,FALSE)</f>
        <v>Utilidade Pública</v>
      </c>
      <c r="L1408" s="137" t="s">
        <v>44</v>
      </c>
      <c r="M1408" s="52"/>
      <c r="N1408" s="52">
        <v>60</v>
      </c>
      <c r="O1408" s="110" t="s">
        <v>3525</v>
      </c>
      <c r="P1408" s="52" t="s">
        <v>46</v>
      </c>
      <c r="Q1408" s="110" t="s">
        <v>3812</v>
      </c>
      <c r="R1408" s="110">
        <v>1</v>
      </c>
      <c r="S1408" s="110" t="s">
        <v>4186</v>
      </c>
      <c r="T1408" s="240">
        <v>51123.25</v>
      </c>
      <c r="U1408" s="133">
        <v>12</v>
      </c>
      <c r="V1408" s="58">
        <f t="shared" si="94"/>
        <v>613479</v>
      </c>
      <c r="W1408" s="52" t="s">
        <v>49</v>
      </c>
      <c r="X1408" s="110" t="s">
        <v>5129</v>
      </c>
      <c r="Y1408" s="110" t="s">
        <v>5130</v>
      </c>
      <c r="Z1408" s="110" t="s">
        <v>5131</v>
      </c>
      <c r="AA1408" s="52">
        <v>0</v>
      </c>
      <c r="AB1408" s="52">
        <v>0</v>
      </c>
      <c r="AC1408" s="52">
        <v>0</v>
      </c>
      <c r="AD1408" s="21">
        <v>0.96957830030776992</v>
      </c>
      <c r="AE1408" s="54">
        <v>0.96957830030776992</v>
      </c>
      <c r="AF1408" s="315">
        <f t="shared" si="97"/>
        <v>594815.92609451036</v>
      </c>
    </row>
    <row r="1409" spans="1:32" ht="195" x14ac:dyDescent="0.25">
      <c r="A1409" s="111" t="s">
        <v>588</v>
      </c>
      <c r="B1409" s="110" t="s">
        <v>2270</v>
      </c>
      <c r="C1409" s="52"/>
      <c r="D1409" s="110" t="s">
        <v>2276</v>
      </c>
      <c r="E1409" s="22" t="str">
        <f t="shared" si="95"/>
        <v>SEJUSPPROG</v>
      </c>
      <c r="F1409" s="52" t="s">
        <v>729</v>
      </c>
      <c r="G1409" s="22" t="str">
        <f t="shared" si="96"/>
        <v>P130SEJUSP</v>
      </c>
      <c r="H1409" s="110" t="s">
        <v>1183</v>
      </c>
      <c r="I1409" s="22" t="s">
        <v>16</v>
      </c>
      <c r="J1409" s="110" t="s">
        <v>1658</v>
      </c>
      <c r="K1409" s="22" t="str">
        <f>VLOOKUP(CONCATENATE(A1409,LEFT(J1409,4)),AGRUPAMENTO!$D$2:$E$6783,2,FALSE)</f>
        <v>Utilidade Pública</v>
      </c>
      <c r="L1409" s="137" t="s">
        <v>44</v>
      </c>
      <c r="M1409" s="52"/>
      <c r="N1409" s="52">
        <v>60</v>
      </c>
      <c r="O1409" s="110" t="s">
        <v>3526</v>
      </c>
      <c r="P1409" s="52" t="s">
        <v>46</v>
      </c>
      <c r="Q1409" s="110" t="s">
        <v>3812</v>
      </c>
      <c r="R1409" s="110">
        <v>1</v>
      </c>
      <c r="S1409" s="110" t="s">
        <v>4185</v>
      </c>
      <c r="T1409" s="240">
        <v>247902</v>
      </c>
      <c r="U1409" s="133">
        <v>12</v>
      </c>
      <c r="V1409" s="58">
        <f t="shared" si="94"/>
        <v>2974824</v>
      </c>
      <c r="W1409" s="52" t="s">
        <v>49</v>
      </c>
      <c r="X1409" s="110" t="s">
        <v>5129</v>
      </c>
      <c r="Y1409" s="110" t="s">
        <v>5130</v>
      </c>
      <c r="Z1409" s="110" t="s">
        <v>5131</v>
      </c>
      <c r="AA1409" s="52">
        <v>0</v>
      </c>
      <c r="AB1409" s="52">
        <v>0</v>
      </c>
      <c r="AC1409" s="52">
        <v>0</v>
      </c>
      <c r="AD1409" s="21">
        <v>0.96957830030776992</v>
      </c>
      <c r="AE1409" s="54">
        <v>0.96957830030776992</v>
      </c>
      <c r="AF1409" s="315">
        <f t="shared" si="97"/>
        <v>2884324.7976347613</v>
      </c>
    </row>
    <row r="1410" spans="1:32" ht="195" x14ac:dyDescent="0.25">
      <c r="A1410" s="111" t="s">
        <v>588</v>
      </c>
      <c r="B1410" s="110" t="s">
        <v>2270</v>
      </c>
      <c r="C1410" s="52"/>
      <c r="D1410" s="110" t="s">
        <v>2276</v>
      </c>
      <c r="E1410" s="22" t="str">
        <f t="shared" si="95"/>
        <v>SEJUSPPROG</v>
      </c>
      <c r="F1410" s="52" t="s">
        <v>729</v>
      </c>
      <c r="G1410" s="22" t="str">
        <f t="shared" si="96"/>
        <v>P130SEJUSP</v>
      </c>
      <c r="H1410" s="110" t="s">
        <v>1183</v>
      </c>
      <c r="I1410" s="22" t="s">
        <v>16</v>
      </c>
      <c r="J1410" s="110" t="s">
        <v>1658</v>
      </c>
      <c r="K1410" s="22" t="str">
        <f>VLOOKUP(CONCATENATE(A1410,LEFT(J1410,4)),AGRUPAMENTO!$D$2:$E$6783,2,FALSE)</f>
        <v>Utilidade Pública</v>
      </c>
      <c r="L1410" s="137" t="s">
        <v>44</v>
      </c>
      <c r="M1410" s="52"/>
      <c r="N1410" s="52">
        <v>60</v>
      </c>
      <c r="O1410" s="110" t="s">
        <v>3527</v>
      </c>
      <c r="P1410" s="52" t="s">
        <v>46</v>
      </c>
      <c r="Q1410" s="110" t="s">
        <v>3812</v>
      </c>
      <c r="R1410" s="110">
        <v>1</v>
      </c>
      <c r="S1410" s="110" t="s">
        <v>4185</v>
      </c>
      <c r="T1410" s="240">
        <v>36421.933558333301</v>
      </c>
      <c r="U1410" s="133">
        <v>12</v>
      </c>
      <c r="V1410" s="58">
        <f t="shared" ref="V1410:V1473" si="98">R1410*T1410*U1410</f>
        <v>437063.20269999962</v>
      </c>
      <c r="W1410" s="52" t="s">
        <v>49</v>
      </c>
      <c r="X1410" s="110" t="s">
        <v>5129</v>
      </c>
      <c r="Y1410" s="110" t="s">
        <v>5130</v>
      </c>
      <c r="Z1410" s="110" t="s">
        <v>5131</v>
      </c>
      <c r="AA1410" s="52">
        <v>0</v>
      </c>
      <c r="AB1410" s="52">
        <v>0</v>
      </c>
      <c r="AC1410" s="52">
        <v>0</v>
      </c>
      <c r="AD1410" s="21">
        <v>0.96957830030776992</v>
      </c>
      <c r="AE1410" s="54">
        <v>0.96957830030776992</v>
      </c>
      <c r="AF1410" s="315">
        <f t="shared" si="97"/>
        <v>423766.99720093596</v>
      </c>
    </row>
    <row r="1411" spans="1:32" ht="195" x14ac:dyDescent="0.25">
      <c r="A1411" s="111" t="s">
        <v>588</v>
      </c>
      <c r="B1411" s="110" t="s">
        <v>2270</v>
      </c>
      <c r="C1411" s="52"/>
      <c r="D1411" s="110" t="s">
        <v>2276</v>
      </c>
      <c r="E1411" s="22" t="str">
        <f t="shared" ref="E1411:E1474" si="99">CONCATENATE(A1411,"PROG")</f>
        <v>SEJUSPPROG</v>
      </c>
      <c r="F1411" s="52" t="s">
        <v>729</v>
      </c>
      <c r="G1411" s="22" t="str">
        <f t="shared" si="96"/>
        <v>P130SEJUSP</v>
      </c>
      <c r="H1411" s="110" t="s">
        <v>1183</v>
      </c>
      <c r="I1411" s="22" t="s">
        <v>16</v>
      </c>
      <c r="J1411" s="110" t="s">
        <v>1658</v>
      </c>
      <c r="K1411" s="22" t="str">
        <f>VLOOKUP(CONCATENATE(A1411,LEFT(J1411,4)),AGRUPAMENTO!$D$2:$E$6783,2,FALSE)</f>
        <v>Utilidade Pública</v>
      </c>
      <c r="L1411" s="137" t="s">
        <v>44</v>
      </c>
      <c r="M1411" s="52"/>
      <c r="N1411" s="52">
        <v>60</v>
      </c>
      <c r="O1411" s="110" t="s">
        <v>3528</v>
      </c>
      <c r="P1411" s="52" t="s">
        <v>46</v>
      </c>
      <c r="Q1411" s="110" t="s">
        <v>3812</v>
      </c>
      <c r="R1411" s="110">
        <v>1</v>
      </c>
      <c r="S1411" s="110" t="s">
        <v>4185</v>
      </c>
      <c r="T1411" s="240">
        <v>67313.499500000005</v>
      </c>
      <c r="U1411" s="133">
        <v>12</v>
      </c>
      <c r="V1411" s="58">
        <f t="shared" si="98"/>
        <v>807761.99400000006</v>
      </c>
      <c r="W1411" s="52" t="s">
        <v>49</v>
      </c>
      <c r="X1411" s="110" t="s">
        <v>5129</v>
      </c>
      <c r="Y1411" s="110" t="s">
        <v>5130</v>
      </c>
      <c r="Z1411" s="110" t="s">
        <v>5131</v>
      </c>
      <c r="AA1411" s="52">
        <v>0</v>
      </c>
      <c r="AB1411" s="52">
        <v>0</v>
      </c>
      <c r="AC1411" s="52">
        <v>0</v>
      </c>
      <c r="AD1411" s="21">
        <v>0.96957830030776992</v>
      </c>
      <c r="AE1411" s="54">
        <v>0.96957830030776992</v>
      </c>
      <c r="AF1411" s="315">
        <f t="shared" si="97"/>
        <v>783188.50119573507</v>
      </c>
    </row>
    <row r="1412" spans="1:32" ht="90" x14ac:dyDescent="0.25">
      <c r="A1412" s="111" t="s">
        <v>588</v>
      </c>
      <c r="B1412" s="110" t="s">
        <v>2270</v>
      </c>
      <c r="C1412" s="52"/>
      <c r="D1412" s="110" t="s">
        <v>2276</v>
      </c>
      <c r="E1412" s="22" t="str">
        <f t="shared" si="99"/>
        <v>SEJUSPPROG</v>
      </c>
      <c r="F1412" s="52" t="s">
        <v>729</v>
      </c>
      <c r="G1412" s="22" t="str">
        <f t="shared" ref="G1412:G1475" si="100">CONCATENATE("P",(LEFT(F1412,3)),A1412)</f>
        <v>P130SEJUSP</v>
      </c>
      <c r="H1412" s="110" t="s">
        <v>1183</v>
      </c>
      <c r="I1412" s="22" t="s">
        <v>16</v>
      </c>
      <c r="J1412" s="110" t="s">
        <v>1656</v>
      </c>
      <c r="K1412" s="22" t="str">
        <f>VLOOKUP(CONCATENATE(A1412,LEFT(J1412,4)),AGRUPAMENTO!$D$2:$E$6783,2,FALSE)</f>
        <v>Demais despesas de custeio</v>
      </c>
      <c r="L1412" s="137" t="s">
        <v>44</v>
      </c>
      <c r="M1412" s="52"/>
      <c r="N1412" s="52">
        <v>60</v>
      </c>
      <c r="O1412" s="141" t="s">
        <v>3529</v>
      </c>
      <c r="P1412" s="52" t="s">
        <v>46</v>
      </c>
      <c r="Q1412" s="110" t="s">
        <v>3812</v>
      </c>
      <c r="R1412" s="110">
        <v>1</v>
      </c>
      <c r="S1412" s="110" t="s">
        <v>4187</v>
      </c>
      <c r="T1412" s="240">
        <v>31247.7838566666</v>
      </c>
      <c r="U1412" s="133">
        <v>12</v>
      </c>
      <c r="V1412" s="58">
        <f t="shared" si="98"/>
        <v>374973.40627999918</v>
      </c>
      <c r="W1412" s="52" t="s">
        <v>49</v>
      </c>
      <c r="X1412" s="110" t="s">
        <v>5132</v>
      </c>
      <c r="Y1412" s="110" t="s">
        <v>5014</v>
      </c>
      <c r="Z1412" s="110" t="s">
        <v>5015</v>
      </c>
      <c r="AA1412" s="52">
        <v>0</v>
      </c>
      <c r="AB1412" s="52">
        <v>0</v>
      </c>
      <c r="AC1412" s="52">
        <v>0</v>
      </c>
      <c r="AD1412" s="21">
        <v>0.29138261490145073</v>
      </c>
      <c r="AE1412" s="54">
        <v>0.29138261490145073</v>
      </c>
      <c r="AF1412" s="315">
        <f t="shared" ref="AF1412:AF1475" si="101">AE1412*V1412</f>
        <v>109260.73164037023</v>
      </c>
    </row>
    <row r="1413" spans="1:32" ht="90" x14ac:dyDescent="0.25">
      <c r="A1413" s="111" t="s">
        <v>588</v>
      </c>
      <c r="B1413" s="110" t="s">
        <v>2270</v>
      </c>
      <c r="C1413" s="52"/>
      <c r="D1413" s="110" t="s">
        <v>2276</v>
      </c>
      <c r="E1413" s="22" t="str">
        <f t="shared" si="99"/>
        <v>SEJUSPPROG</v>
      </c>
      <c r="F1413" s="122" t="s">
        <v>886</v>
      </c>
      <c r="G1413" s="22" t="str">
        <f t="shared" si="100"/>
        <v>P146SEJUSP</v>
      </c>
      <c r="H1413" s="52" t="s">
        <v>1424</v>
      </c>
      <c r="I1413" s="22" t="s">
        <v>16</v>
      </c>
      <c r="J1413" s="110" t="s">
        <v>1656</v>
      </c>
      <c r="K1413" s="22" t="str">
        <f>VLOOKUP(CONCATENATE(A1413,LEFT(J1413,4)),AGRUPAMENTO!$D$2:$E$6783,2,FALSE)</f>
        <v>Demais despesas de custeio</v>
      </c>
      <c r="L1413" s="137" t="s">
        <v>44</v>
      </c>
      <c r="M1413" s="52"/>
      <c r="N1413" s="52">
        <v>10</v>
      </c>
      <c r="O1413" s="110" t="s">
        <v>3530</v>
      </c>
      <c r="P1413" s="52" t="s">
        <v>46</v>
      </c>
      <c r="Q1413" s="110" t="s">
        <v>3812</v>
      </c>
      <c r="R1413" s="110">
        <v>1</v>
      </c>
      <c r="S1413" s="110" t="s">
        <v>4188</v>
      </c>
      <c r="T1413" s="240">
        <v>9780.1076706666609</v>
      </c>
      <c r="U1413" s="133">
        <v>12</v>
      </c>
      <c r="V1413" s="58">
        <f t="shared" si="98"/>
        <v>117361.29204799993</v>
      </c>
      <c r="W1413" s="52" t="s">
        <v>49</v>
      </c>
      <c r="X1413" s="110" t="s">
        <v>5132</v>
      </c>
      <c r="Y1413" s="110" t="s">
        <v>5014</v>
      </c>
      <c r="Z1413" s="110" t="s">
        <v>5015</v>
      </c>
      <c r="AA1413" s="52">
        <v>0</v>
      </c>
      <c r="AB1413" s="52">
        <v>0</v>
      </c>
      <c r="AC1413" s="52">
        <v>0</v>
      </c>
      <c r="AD1413" s="21">
        <v>0.29138261490145073</v>
      </c>
      <c r="AE1413" s="54">
        <v>0.29138261490145073</v>
      </c>
      <c r="AF1413" s="315">
        <f t="shared" si="101"/>
        <v>34197.040165159058</v>
      </c>
    </row>
    <row r="1414" spans="1:32" ht="150" x14ac:dyDescent="0.25">
      <c r="A1414" s="111" t="s">
        <v>588</v>
      </c>
      <c r="B1414" s="110" t="s">
        <v>2270</v>
      </c>
      <c r="C1414" s="52"/>
      <c r="D1414" s="110" t="s">
        <v>2276</v>
      </c>
      <c r="E1414" s="22" t="str">
        <f t="shared" si="99"/>
        <v>SEJUSPPROG</v>
      </c>
      <c r="F1414" s="52" t="s">
        <v>729</v>
      </c>
      <c r="G1414" s="22" t="str">
        <f t="shared" si="100"/>
        <v>P130SEJUSP</v>
      </c>
      <c r="H1414" s="110" t="s">
        <v>1183</v>
      </c>
      <c r="I1414" s="22" t="s">
        <v>16</v>
      </c>
      <c r="J1414" s="110" t="s">
        <v>1656</v>
      </c>
      <c r="K1414" s="22" t="str">
        <f>VLOOKUP(CONCATENATE(A1414,LEFT(J1414,4)),AGRUPAMENTO!$D$2:$E$6783,2,FALSE)</f>
        <v>Demais despesas de custeio</v>
      </c>
      <c r="L1414" s="137" t="s">
        <v>44</v>
      </c>
      <c r="M1414" s="52"/>
      <c r="N1414" s="52">
        <v>60</v>
      </c>
      <c r="O1414" s="141" t="s">
        <v>3531</v>
      </c>
      <c r="P1414" s="52" t="s">
        <v>46</v>
      </c>
      <c r="Q1414" s="110" t="s">
        <v>3812</v>
      </c>
      <c r="R1414" s="110">
        <v>1</v>
      </c>
      <c r="S1414" s="110" t="s">
        <v>4189</v>
      </c>
      <c r="T1414" s="240">
        <v>29128.5</v>
      </c>
      <c r="U1414" s="133">
        <v>12</v>
      </c>
      <c r="V1414" s="58">
        <f t="shared" si="98"/>
        <v>349542</v>
      </c>
      <c r="W1414" s="52" t="s">
        <v>49</v>
      </c>
      <c r="X1414" s="110" t="s">
        <v>4888</v>
      </c>
      <c r="Y1414" s="110" t="s">
        <v>4889</v>
      </c>
      <c r="Z1414" s="110" t="s">
        <v>4890</v>
      </c>
      <c r="AA1414" s="52">
        <v>0</v>
      </c>
      <c r="AB1414" s="52">
        <v>0</v>
      </c>
      <c r="AC1414" s="52">
        <v>0</v>
      </c>
      <c r="AD1414" s="21">
        <v>0.29138261490145073</v>
      </c>
      <c r="AE1414" s="54">
        <v>0.29138261490145073</v>
      </c>
      <c r="AF1414" s="315">
        <f t="shared" si="101"/>
        <v>101850.46197788289</v>
      </c>
    </row>
    <row r="1415" spans="1:32" ht="195" x14ac:dyDescent="0.25">
      <c r="A1415" s="112" t="s">
        <v>588</v>
      </c>
      <c r="B1415" s="107" t="s">
        <v>2270</v>
      </c>
      <c r="C1415" s="52"/>
      <c r="D1415" s="108" t="s">
        <v>2301</v>
      </c>
      <c r="E1415" s="22" t="str">
        <f t="shared" si="99"/>
        <v>SEJUSPPROG</v>
      </c>
      <c r="F1415" s="52" t="s">
        <v>729</v>
      </c>
      <c r="G1415" s="22" t="str">
        <f t="shared" si="100"/>
        <v>P130SEJUSP</v>
      </c>
      <c r="H1415" s="108" t="s">
        <v>1148</v>
      </c>
      <c r="I1415" s="22" t="s">
        <v>16</v>
      </c>
      <c r="J1415" s="108" t="s">
        <v>1681</v>
      </c>
      <c r="K1415" s="22" t="str">
        <f>VLOOKUP(CONCATENATE(A1415,LEFT(J1415,4)),AGRUPAMENTO!$D$2:$E$6783,2,FALSE)</f>
        <v>Aquisições de itens de TIC</v>
      </c>
      <c r="L1415" s="52" t="s">
        <v>94</v>
      </c>
      <c r="M1415" s="52"/>
      <c r="N1415" s="52">
        <v>60</v>
      </c>
      <c r="O1415" s="108" t="s">
        <v>3532</v>
      </c>
      <c r="P1415" s="52" t="s">
        <v>58</v>
      </c>
      <c r="Q1415" s="108" t="s">
        <v>4182</v>
      </c>
      <c r="R1415" s="108">
        <v>1</v>
      </c>
      <c r="S1415" s="108" t="s">
        <v>4183</v>
      </c>
      <c r="T1415" s="241">
        <v>1976530.35</v>
      </c>
      <c r="U1415" s="245">
        <v>1</v>
      </c>
      <c r="V1415" s="58">
        <f t="shared" si="98"/>
        <v>1976530.35</v>
      </c>
      <c r="W1415" s="108" t="s">
        <v>68</v>
      </c>
      <c r="X1415" s="108" t="s">
        <v>4849</v>
      </c>
      <c r="Y1415" s="108" t="s">
        <v>4850</v>
      </c>
      <c r="Z1415" s="108" t="s">
        <v>4850</v>
      </c>
      <c r="AA1415" s="108">
        <v>8</v>
      </c>
      <c r="AB1415" s="108">
        <v>21</v>
      </c>
      <c r="AC1415" s="108">
        <v>50</v>
      </c>
      <c r="AD1415" s="21">
        <v>0</v>
      </c>
      <c r="AE1415" s="54">
        <v>0</v>
      </c>
      <c r="AF1415" s="315">
        <f t="shared" si="101"/>
        <v>0</v>
      </c>
    </row>
    <row r="1416" spans="1:32" ht="90" x14ac:dyDescent="0.25">
      <c r="A1416" s="111" t="s">
        <v>588</v>
      </c>
      <c r="B1416" s="110" t="s">
        <v>2270</v>
      </c>
      <c r="C1416" s="52"/>
      <c r="D1416" s="110" t="s">
        <v>2276</v>
      </c>
      <c r="E1416" s="22" t="str">
        <f t="shared" si="99"/>
        <v>SEJUSPPROG</v>
      </c>
      <c r="F1416" s="122" t="s">
        <v>886</v>
      </c>
      <c r="G1416" s="22" t="str">
        <f t="shared" si="100"/>
        <v>P146SEJUSP</v>
      </c>
      <c r="H1416" s="107" t="s">
        <v>2307</v>
      </c>
      <c r="I1416" s="22" t="s">
        <v>16</v>
      </c>
      <c r="J1416" s="110" t="s">
        <v>1656</v>
      </c>
      <c r="K1416" s="22" t="str">
        <f>VLOOKUP(CONCATENATE(A1416,LEFT(J1416,4)),AGRUPAMENTO!$D$2:$E$6783,2,FALSE)</f>
        <v>Demais despesas de custeio</v>
      </c>
      <c r="L1416" s="137" t="s">
        <v>44</v>
      </c>
      <c r="M1416" s="52"/>
      <c r="N1416" s="52">
        <v>10</v>
      </c>
      <c r="O1416" s="110" t="s">
        <v>3533</v>
      </c>
      <c r="P1416" s="52" t="s">
        <v>46</v>
      </c>
      <c r="Q1416" s="110" t="s">
        <v>3812</v>
      </c>
      <c r="R1416" s="110">
        <v>1</v>
      </c>
      <c r="S1416" s="110" t="s">
        <v>4190</v>
      </c>
      <c r="T1416" s="240">
        <v>10644.5875</v>
      </c>
      <c r="U1416" s="133">
        <v>12</v>
      </c>
      <c r="V1416" s="58">
        <f t="shared" si="98"/>
        <v>127735.04999999999</v>
      </c>
      <c r="W1416" s="52" t="s">
        <v>49</v>
      </c>
      <c r="X1416" s="110" t="s">
        <v>5133</v>
      </c>
      <c r="Y1416" s="110" t="s">
        <v>4889</v>
      </c>
      <c r="Z1416" s="110" t="s">
        <v>5134</v>
      </c>
      <c r="AA1416" s="52">
        <v>0</v>
      </c>
      <c r="AB1416" s="52">
        <v>0</v>
      </c>
      <c r="AC1416" s="52">
        <v>0</v>
      </c>
      <c r="AD1416" s="21">
        <v>0.29138261490145073</v>
      </c>
      <c r="AE1416" s="54">
        <v>0.29138261490145073</v>
      </c>
      <c r="AF1416" s="315">
        <f t="shared" si="101"/>
        <v>37219.772883567552</v>
      </c>
    </row>
    <row r="1417" spans="1:32" ht="90" x14ac:dyDescent="0.25">
      <c r="A1417" s="111" t="s">
        <v>588</v>
      </c>
      <c r="B1417" s="110" t="s">
        <v>2270</v>
      </c>
      <c r="C1417" s="52"/>
      <c r="D1417" s="110" t="s">
        <v>2276</v>
      </c>
      <c r="E1417" s="22" t="str">
        <f t="shared" si="99"/>
        <v>SEJUSPPROG</v>
      </c>
      <c r="F1417" s="52" t="s">
        <v>729</v>
      </c>
      <c r="G1417" s="22" t="str">
        <f t="shared" si="100"/>
        <v>P130SEJUSP</v>
      </c>
      <c r="H1417" s="110" t="s">
        <v>1259</v>
      </c>
      <c r="I1417" s="22" t="s">
        <v>16</v>
      </c>
      <c r="J1417" s="110" t="s">
        <v>1656</v>
      </c>
      <c r="K1417" s="22" t="str">
        <f>VLOOKUP(CONCATENATE(A1417,LEFT(J1417,4)),AGRUPAMENTO!$D$2:$E$6783,2,FALSE)</f>
        <v>Demais despesas de custeio</v>
      </c>
      <c r="L1417" s="137" t="s">
        <v>44</v>
      </c>
      <c r="M1417" s="52"/>
      <c r="N1417" s="52">
        <v>10</v>
      </c>
      <c r="O1417" s="110" t="s">
        <v>3534</v>
      </c>
      <c r="P1417" s="52" t="s">
        <v>46</v>
      </c>
      <c r="Q1417" s="110" t="s">
        <v>3812</v>
      </c>
      <c r="R1417" s="110">
        <v>1</v>
      </c>
      <c r="S1417" s="110" t="s">
        <v>4191</v>
      </c>
      <c r="T1417" s="240">
        <v>131850.212</v>
      </c>
      <c r="U1417" s="133">
        <v>12</v>
      </c>
      <c r="V1417" s="58">
        <f t="shared" si="98"/>
        <v>1582202.544</v>
      </c>
      <c r="W1417" s="52" t="s">
        <v>49</v>
      </c>
      <c r="X1417" s="110" t="s">
        <v>5133</v>
      </c>
      <c r="Y1417" s="110" t="s">
        <v>4889</v>
      </c>
      <c r="Z1417" s="110" t="s">
        <v>5134</v>
      </c>
      <c r="AA1417" s="52">
        <v>0</v>
      </c>
      <c r="AB1417" s="52">
        <v>0</v>
      </c>
      <c r="AC1417" s="52">
        <v>0</v>
      </c>
      <c r="AD1417" s="21">
        <v>0.29138261490145073</v>
      </c>
      <c r="AE1417" s="54">
        <v>0.29138261490145073</v>
      </c>
      <c r="AF1417" s="315">
        <f t="shared" si="101"/>
        <v>461026.31457444764</v>
      </c>
    </row>
    <row r="1418" spans="1:32" ht="195" x14ac:dyDescent="0.25">
      <c r="A1418" s="112" t="s">
        <v>588</v>
      </c>
      <c r="B1418" s="107" t="s">
        <v>2270</v>
      </c>
      <c r="C1418" s="52"/>
      <c r="D1418" s="108" t="s">
        <v>2301</v>
      </c>
      <c r="E1418" s="22" t="str">
        <f t="shared" si="99"/>
        <v>SEJUSPPROG</v>
      </c>
      <c r="F1418" s="52" t="s">
        <v>729</v>
      </c>
      <c r="G1418" s="22" t="str">
        <f t="shared" si="100"/>
        <v>P130SEJUSP</v>
      </c>
      <c r="H1418" s="108" t="s">
        <v>1183</v>
      </c>
      <c r="I1418" s="22" t="s">
        <v>16</v>
      </c>
      <c r="J1418" s="108" t="s">
        <v>1641</v>
      </c>
      <c r="K1418" s="22" t="str">
        <f>VLOOKUP(CONCATENATE(A1418,LEFT(J1418,4)),AGRUPAMENTO!$D$2:$E$6783,2,FALSE)</f>
        <v xml:space="preserve">Locação de Máquinas e Equipamentos </v>
      </c>
      <c r="L1418" s="108" t="s">
        <v>44</v>
      </c>
      <c r="M1418" s="52"/>
      <c r="N1418" s="52">
        <v>60</v>
      </c>
      <c r="O1418" s="108" t="s">
        <v>3535</v>
      </c>
      <c r="P1418" s="52" t="s">
        <v>58</v>
      </c>
      <c r="Q1418" s="108" t="s">
        <v>4192</v>
      </c>
      <c r="R1418" s="108">
        <v>150</v>
      </c>
      <c r="S1418" s="108" t="s">
        <v>4193</v>
      </c>
      <c r="T1418" s="241">
        <v>15000</v>
      </c>
      <c r="U1418" s="245">
        <v>12</v>
      </c>
      <c r="V1418" s="58">
        <f t="shared" si="98"/>
        <v>27000000</v>
      </c>
      <c r="W1418" s="108" t="s">
        <v>68</v>
      </c>
      <c r="X1418" s="108" t="s">
        <v>4849</v>
      </c>
      <c r="Y1418" s="108" t="s">
        <v>4850</v>
      </c>
      <c r="Z1418" s="108" t="s">
        <v>4851</v>
      </c>
      <c r="AA1418" s="108">
        <v>9</v>
      </c>
      <c r="AB1418" s="108">
        <v>21</v>
      </c>
      <c r="AC1418" s="108">
        <v>50</v>
      </c>
      <c r="AD1418" s="21">
        <v>0</v>
      </c>
      <c r="AE1418" s="54">
        <v>0</v>
      </c>
      <c r="AF1418" s="315">
        <f t="shared" si="101"/>
        <v>0</v>
      </c>
    </row>
    <row r="1419" spans="1:32" ht="75" x14ac:dyDescent="0.25">
      <c r="A1419" s="111" t="s">
        <v>588</v>
      </c>
      <c r="B1419" s="110" t="s">
        <v>2270</v>
      </c>
      <c r="C1419" s="52"/>
      <c r="D1419" s="110" t="s">
        <v>2276</v>
      </c>
      <c r="E1419" s="22" t="str">
        <f t="shared" si="99"/>
        <v>SEJUSPPROG</v>
      </c>
      <c r="F1419" s="122" t="s">
        <v>886</v>
      </c>
      <c r="G1419" s="22" t="str">
        <f t="shared" si="100"/>
        <v>P146SEJUSP</v>
      </c>
      <c r="H1419" s="52" t="s">
        <v>1424</v>
      </c>
      <c r="I1419" s="22" t="s">
        <v>16</v>
      </c>
      <c r="J1419" s="110" t="s">
        <v>298</v>
      </c>
      <c r="K1419" s="22" t="str">
        <f>VLOOKUP(CONCATENATE(A1419,LEFT(J1419,4)),AGRUPAMENTO!$D$2:$E$6783,2,FALSE)</f>
        <v>Demais despesas de custeio</v>
      </c>
      <c r="L1419" s="137" t="s">
        <v>44</v>
      </c>
      <c r="M1419" s="52"/>
      <c r="N1419" s="52">
        <v>10</v>
      </c>
      <c r="O1419" s="110" t="s">
        <v>3536</v>
      </c>
      <c r="P1419" s="52" t="s">
        <v>46</v>
      </c>
      <c r="Q1419" s="110" t="s">
        <v>3812</v>
      </c>
      <c r="R1419" s="110">
        <v>2</v>
      </c>
      <c r="S1419" s="110" t="s">
        <v>4194</v>
      </c>
      <c r="T1419" s="240">
        <v>1250</v>
      </c>
      <c r="U1419" s="133">
        <v>2.5</v>
      </c>
      <c r="V1419" s="58">
        <f t="shared" si="98"/>
        <v>6250</v>
      </c>
      <c r="W1419" s="52" t="s">
        <v>49</v>
      </c>
      <c r="X1419" s="110" t="s">
        <v>5135</v>
      </c>
      <c r="Y1419" s="110" t="s">
        <v>5136</v>
      </c>
      <c r="Z1419" s="110" t="s">
        <v>5137</v>
      </c>
      <c r="AA1419" s="52">
        <v>0</v>
      </c>
      <c r="AB1419" s="52">
        <v>0</v>
      </c>
      <c r="AC1419" s="52">
        <v>0</v>
      </c>
      <c r="AD1419" s="21">
        <v>0.29138261490145073</v>
      </c>
      <c r="AE1419" s="54">
        <v>0.29138261490145073</v>
      </c>
      <c r="AF1419" s="315">
        <f t="shared" si="101"/>
        <v>1821.141343134067</v>
      </c>
    </row>
    <row r="1420" spans="1:32" ht="75" x14ac:dyDescent="0.25">
      <c r="A1420" s="111" t="s">
        <v>588</v>
      </c>
      <c r="B1420" s="110" t="s">
        <v>2270</v>
      </c>
      <c r="C1420" s="52"/>
      <c r="D1420" s="110" t="s">
        <v>2276</v>
      </c>
      <c r="E1420" s="22" t="str">
        <f t="shared" si="99"/>
        <v>SEJUSPPROG</v>
      </c>
      <c r="F1420" s="52" t="s">
        <v>729</v>
      </c>
      <c r="G1420" s="22" t="str">
        <f t="shared" si="100"/>
        <v>P130SEJUSP</v>
      </c>
      <c r="H1420" s="110" t="s">
        <v>1183</v>
      </c>
      <c r="I1420" s="22" t="s">
        <v>16</v>
      </c>
      <c r="J1420" s="110" t="s">
        <v>298</v>
      </c>
      <c r="K1420" s="22" t="str">
        <f>VLOOKUP(CONCATENATE(A1420,LEFT(J1420,4)),AGRUPAMENTO!$D$2:$E$6783,2,FALSE)</f>
        <v>Demais despesas de custeio</v>
      </c>
      <c r="L1420" s="137" t="s">
        <v>44</v>
      </c>
      <c r="M1420" s="52"/>
      <c r="N1420" s="52">
        <v>60</v>
      </c>
      <c r="O1420" s="110" t="s">
        <v>3537</v>
      </c>
      <c r="P1420" s="52" t="s">
        <v>46</v>
      </c>
      <c r="Q1420" s="110" t="s">
        <v>3812</v>
      </c>
      <c r="R1420" s="110">
        <v>7</v>
      </c>
      <c r="S1420" s="110" t="s">
        <v>4194</v>
      </c>
      <c r="T1420" s="240">
        <v>1250</v>
      </c>
      <c r="U1420" s="133">
        <v>2</v>
      </c>
      <c r="V1420" s="58">
        <f t="shared" si="98"/>
        <v>17500</v>
      </c>
      <c r="W1420" s="52" t="s">
        <v>49</v>
      </c>
      <c r="X1420" s="110" t="s">
        <v>5135</v>
      </c>
      <c r="Y1420" s="110" t="s">
        <v>5136</v>
      </c>
      <c r="Z1420" s="110" t="s">
        <v>5137</v>
      </c>
      <c r="AA1420" s="52">
        <v>0</v>
      </c>
      <c r="AB1420" s="52">
        <v>0</v>
      </c>
      <c r="AC1420" s="52">
        <v>0</v>
      </c>
      <c r="AD1420" s="21">
        <v>0.29138261490145073</v>
      </c>
      <c r="AE1420" s="54">
        <v>0.29138261490145073</v>
      </c>
      <c r="AF1420" s="315">
        <f t="shared" si="101"/>
        <v>5099.1957607753875</v>
      </c>
    </row>
    <row r="1421" spans="1:32" ht="90" x14ac:dyDescent="0.25">
      <c r="A1421" s="111" t="s">
        <v>588</v>
      </c>
      <c r="B1421" s="110" t="s">
        <v>2270</v>
      </c>
      <c r="C1421" s="52"/>
      <c r="D1421" s="110" t="s">
        <v>2276</v>
      </c>
      <c r="E1421" s="22" t="str">
        <f t="shared" si="99"/>
        <v>SEJUSPPROG</v>
      </c>
      <c r="F1421" s="52" t="s">
        <v>729</v>
      </c>
      <c r="G1421" s="22" t="str">
        <f t="shared" si="100"/>
        <v>P130SEJUSP</v>
      </c>
      <c r="H1421" s="110" t="s">
        <v>1183</v>
      </c>
      <c r="I1421" s="22" t="s">
        <v>16</v>
      </c>
      <c r="J1421" s="110" t="s">
        <v>1694</v>
      </c>
      <c r="K1421" s="22" t="str">
        <f>VLOOKUP(CONCATENATE(A1421,LEFT(J1421,4)),AGRUPAMENTO!$D$2:$E$6783,2,FALSE)</f>
        <v>Aluguéis e condomínios</v>
      </c>
      <c r="L1421" s="137" t="s">
        <v>44</v>
      </c>
      <c r="M1421" s="52"/>
      <c r="N1421" s="52">
        <v>60</v>
      </c>
      <c r="O1421" s="110" t="s">
        <v>3538</v>
      </c>
      <c r="P1421" s="52" t="s">
        <v>46</v>
      </c>
      <c r="Q1421" s="110" t="s">
        <v>3812</v>
      </c>
      <c r="R1421" s="110">
        <v>1</v>
      </c>
      <c r="S1421" s="110" t="s">
        <v>4195</v>
      </c>
      <c r="T1421" s="240">
        <v>4450.4266600000001</v>
      </c>
      <c r="U1421" s="133">
        <v>12</v>
      </c>
      <c r="V1421" s="58">
        <f t="shared" si="98"/>
        <v>53405.119919999997</v>
      </c>
      <c r="W1421" s="52" t="s">
        <v>49</v>
      </c>
      <c r="X1421" s="110" t="s">
        <v>5138</v>
      </c>
      <c r="Y1421" s="110" t="s">
        <v>5139</v>
      </c>
      <c r="Z1421" s="110" t="s">
        <v>5140</v>
      </c>
      <c r="AA1421" s="52">
        <v>0</v>
      </c>
      <c r="AB1421" s="52">
        <v>0</v>
      </c>
      <c r="AC1421" s="52">
        <v>0</v>
      </c>
      <c r="AD1421" s="21">
        <v>1</v>
      </c>
      <c r="AE1421" s="54">
        <v>1</v>
      </c>
      <c r="AF1421" s="315">
        <f t="shared" si="101"/>
        <v>53405.119919999997</v>
      </c>
    </row>
    <row r="1422" spans="1:32" ht="90" x14ac:dyDescent="0.25">
      <c r="A1422" s="111" t="s">
        <v>588</v>
      </c>
      <c r="B1422" s="110" t="s">
        <v>2270</v>
      </c>
      <c r="C1422" s="52"/>
      <c r="D1422" s="110" t="s">
        <v>2276</v>
      </c>
      <c r="E1422" s="22" t="str">
        <f t="shared" si="99"/>
        <v>SEJUSPPROG</v>
      </c>
      <c r="F1422" s="52" t="s">
        <v>729</v>
      </c>
      <c r="G1422" s="22" t="str">
        <f t="shared" si="100"/>
        <v>P130SEJUSP</v>
      </c>
      <c r="H1422" s="110" t="s">
        <v>1183</v>
      </c>
      <c r="I1422" s="22" t="s">
        <v>16</v>
      </c>
      <c r="J1422" s="110" t="s">
        <v>1694</v>
      </c>
      <c r="K1422" s="22" t="str">
        <f>VLOOKUP(CONCATENATE(A1422,LEFT(J1422,4)),AGRUPAMENTO!$D$2:$E$6783,2,FALSE)</f>
        <v>Aluguéis e condomínios</v>
      </c>
      <c r="L1422" s="137" t="s">
        <v>44</v>
      </c>
      <c r="M1422" s="52"/>
      <c r="N1422" s="52">
        <v>60</v>
      </c>
      <c r="O1422" s="110" t="s">
        <v>3539</v>
      </c>
      <c r="P1422" s="52" t="s">
        <v>46</v>
      </c>
      <c r="Q1422" s="110" t="s">
        <v>3812</v>
      </c>
      <c r="R1422" s="110">
        <v>1</v>
      </c>
      <c r="S1422" s="110" t="s">
        <v>4196</v>
      </c>
      <c r="T1422" s="240">
        <v>36319.83</v>
      </c>
      <c r="U1422" s="133">
        <v>12</v>
      </c>
      <c r="V1422" s="58">
        <f t="shared" si="98"/>
        <v>435837.96</v>
      </c>
      <c r="W1422" s="52" t="s">
        <v>49</v>
      </c>
      <c r="X1422" s="110" t="s">
        <v>5141</v>
      </c>
      <c r="Y1422" s="110" t="s">
        <v>5139</v>
      </c>
      <c r="Z1422" s="110" t="s">
        <v>5140</v>
      </c>
      <c r="AA1422" s="52">
        <v>0</v>
      </c>
      <c r="AB1422" s="52">
        <v>0</v>
      </c>
      <c r="AC1422" s="52">
        <v>0</v>
      </c>
      <c r="AD1422" s="21">
        <v>1</v>
      </c>
      <c r="AE1422" s="54">
        <v>1</v>
      </c>
      <c r="AF1422" s="315">
        <f t="shared" si="101"/>
        <v>435837.96</v>
      </c>
    </row>
    <row r="1423" spans="1:32" ht="90" x14ac:dyDescent="0.25">
      <c r="A1423" s="111" t="s">
        <v>588</v>
      </c>
      <c r="B1423" s="110" t="s">
        <v>2270</v>
      </c>
      <c r="C1423" s="52"/>
      <c r="D1423" s="110" t="s">
        <v>2276</v>
      </c>
      <c r="E1423" s="22" t="str">
        <f t="shared" si="99"/>
        <v>SEJUSPPROG</v>
      </c>
      <c r="F1423" s="52" t="s">
        <v>729</v>
      </c>
      <c r="G1423" s="22" t="str">
        <f t="shared" si="100"/>
        <v>P130SEJUSP</v>
      </c>
      <c r="H1423" s="110" t="s">
        <v>1183</v>
      </c>
      <c r="I1423" s="22" t="s">
        <v>16</v>
      </c>
      <c r="J1423" s="110" t="s">
        <v>1694</v>
      </c>
      <c r="K1423" s="22" t="str">
        <f>VLOOKUP(CONCATENATE(A1423,LEFT(J1423,4)),AGRUPAMENTO!$D$2:$E$6783,2,FALSE)</f>
        <v>Aluguéis e condomínios</v>
      </c>
      <c r="L1423" s="137" t="s">
        <v>44</v>
      </c>
      <c r="M1423" s="52"/>
      <c r="N1423" s="52">
        <v>60</v>
      </c>
      <c r="O1423" s="110" t="s">
        <v>3540</v>
      </c>
      <c r="P1423" s="52" t="s">
        <v>46</v>
      </c>
      <c r="Q1423" s="110" t="s">
        <v>3812</v>
      </c>
      <c r="R1423" s="110">
        <v>1</v>
      </c>
      <c r="S1423" s="110" t="s">
        <v>4197</v>
      </c>
      <c r="T1423" s="240">
        <v>41000</v>
      </c>
      <c r="U1423" s="133">
        <v>12</v>
      </c>
      <c r="V1423" s="58">
        <f t="shared" si="98"/>
        <v>492000</v>
      </c>
      <c r="W1423" s="52" t="s">
        <v>49</v>
      </c>
      <c r="X1423" s="110" t="s">
        <v>5142</v>
      </c>
      <c r="Y1423" s="110" t="s">
        <v>5139</v>
      </c>
      <c r="Z1423" s="110" t="s">
        <v>5140</v>
      </c>
      <c r="AA1423" s="52">
        <v>0</v>
      </c>
      <c r="AB1423" s="52">
        <v>0</v>
      </c>
      <c r="AC1423" s="52">
        <v>0</v>
      </c>
      <c r="AD1423" s="21">
        <v>1</v>
      </c>
      <c r="AE1423" s="54">
        <v>1</v>
      </c>
      <c r="AF1423" s="315">
        <f t="shared" si="101"/>
        <v>492000</v>
      </c>
    </row>
    <row r="1424" spans="1:32" ht="105" x14ac:dyDescent="0.25">
      <c r="A1424" s="111" t="s">
        <v>588</v>
      </c>
      <c r="B1424" s="110" t="s">
        <v>2270</v>
      </c>
      <c r="C1424" s="52"/>
      <c r="D1424" s="110" t="s">
        <v>2276</v>
      </c>
      <c r="E1424" s="22" t="str">
        <f t="shared" si="99"/>
        <v>SEJUSPPROG</v>
      </c>
      <c r="F1424" s="52" t="s">
        <v>729</v>
      </c>
      <c r="G1424" s="22" t="str">
        <f t="shared" si="100"/>
        <v>P130SEJUSP</v>
      </c>
      <c r="H1424" s="110" t="s">
        <v>1183</v>
      </c>
      <c r="I1424" s="22" t="s">
        <v>16</v>
      </c>
      <c r="J1424" s="110" t="s">
        <v>1657</v>
      </c>
      <c r="K1424" s="22" t="str">
        <f>VLOOKUP(CONCATENATE(A1424,LEFT(J1424,4)),AGRUPAMENTO!$D$2:$E$6783,2,FALSE)</f>
        <v>Terceirizados - Demais empresas</v>
      </c>
      <c r="L1424" s="137" t="s">
        <v>44</v>
      </c>
      <c r="M1424" s="52"/>
      <c r="N1424" s="52">
        <v>60</v>
      </c>
      <c r="O1424" s="110" t="s">
        <v>3541</v>
      </c>
      <c r="P1424" s="52" t="s">
        <v>46</v>
      </c>
      <c r="Q1424" s="110" t="s">
        <v>3812</v>
      </c>
      <c r="R1424" s="110">
        <v>1</v>
      </c>
      <c r="S1424" s="110" t="s">
        <v>4198</v>
      </c>
      <c r="T1424" s="246">
        <v>200086.82</v>
      </c>
      <c r="U1424" s="247">
        <v>12</v>
      </c>
      <c r="V1424" s="58">
        <f t="shared" si="98"/>
        <v>2401041.84</v>
      </c>
      <c r="W1424" s="52" t="s">
        <v>49</v>
      </c>
      <c r="X1424" s="110" t="s">
        <v>5143</v>
      </c>
      <c r="Y1424" s="110" t="s">
        <v>5144</v>
      </c>
      <c r="Z1424" s="110" t="s">
        <v>5145</v>
      </c>
      <c r="AA1424" s="52">
        <v>0</v>
      </c>
      <c r="AB1424" s="52">
        <v>0</v>
      </c>
      <c r="AC1424" s="52">
        <v>0</v>
      </c>
      <c r="AD1424" s="21">
        <v>0.35233925183244275</v>
      </c>
      <c r="AE1424" s="54">
        <v>0.35233925183244275</v>
      </c>
      <c r="AF1424" s="315">
        <f t="shared" si="101"/>
        <v>845981.28552399168</v>
      </c>
    </row>
    <row r="1425" spans="1:32" ht="105" x14ac:dyDescent="0.25">
      <c r="A1425" s="111" t="s">
        <v>588</v>
      </c>
      <c r="B1425" s="110" t="s">
        <v>2270</v>
      </c>
      <c r="C1425" s="52"/>
      <c r="D1425" s="110" t="s">
        <v>2276</v>
      </c>
      <c r="E1425" s="22" t="str">
        <f t="shared" si="99"/>
        <v>SEJUSPPROG</v>
      </c>
      <c r="F1425" s="52" t="s">
        <v>729</v>
      </c>
      <c r="G1425" s="22" t="str">
        <f t="shared" si="100"/>
        <v>P130SEJUSP</v>
      </c>
      <c r="H1425" s="110" t="s">
        <v>1259</v>
      </c>
      <c r="I1425" s="22" t="s">
        <v>16</v>
      </c>
      <c r="J1425" s="110" t="s">
        <v>1657</v>
      </c>
      <c r="K1425" s="22" t="str">
        <f>VLOOKUP(CONCATENATE(A1425,LEFT(J1425,4)),AGRUPAMENTO!$D$2:$E$6783,2,FALSE)</f>
        <v>Terceirizados - Demais empresas</v>
      </c>
      <c r="L1425" s="137" t="s">
        <v>44</v>
      </c>
      <c r="M1425" s="52"/>
      <c r="N1425" s="52">
        <v>10</v>
      </c>
      <c r="O1425" s="110" t="s">
        <v>3542</v>
      </c>
      <c r="P1425" s="52" t="s">
        <v>46</v>
      </c>
      <c r="Q1425" s="110" t="s">
        <v>3812</v>
      </c>
      <c r="R1425" s="110">
        <v>1</v>
      </c>
      <c r="S1425" s="110" t="s">
        <v>4199</v>
      </c>
      <c r="T1425" s="240">
        <v>5966.1266699999996</v>
      </c>
      <c r="U1425" s="133">
        <v>12</v>
      </c>
      <c r="V1425" s="58">
        <f t="shared" si="98"/>
        <v>71593.520040000003</v>
      </c>
      <c r="W1425" s="52" t="s">
        <v>49</v>
      </c>
      <c r="X1425" s="110" t="s">
        <v>5143</v>
      </c>
      <c r="Y1425" s="110" t="s">
        <v>5144</v>
      </c>
      <c r="Z1425" s="110" t="s">
        <v>5145</v>
      </c>
      <c r="AA1425" s="52">
        <v>0</v>
      </c>
      <c r="AB1425" s="52">
        <v>0</v>
      </c>
      <c r="AC1425" s="52">
        <v>0</v>
      </c>
      <c r="AD1425" s="21">
        <v>0.35233925183244275</v>
      </c>
      <c r="AE1425" s="54">
        <v>0.35233925183244275</v>
      </c>
      <c r="AF1425" s="315">
        <f t="shared" si="101"/>
        <v>25225.207286944598</v>
      </c>
    </row>
    <row r="1426" spans="1:32" ht="105" x14ac:dyDescent="0.25">
      <c r="A1426" s="111" t="s">
        <v>588</v>
      </c>
      <c r="B1426" s="110" t="s">
        <v>2270</v>
      </c>
      <c r="C1426" s="52"/>
      <c r="D1426" s="110" t="s">
        <v>2276</v>
      </c>
      <c r="E1426" s="22" t="str">
        <f t="shared" si="99"/>
        <v>SEJUSPPROG</v>
      </c>
      <c r="F1426" s="122" t="s">
        <v>886</v>
      </c>
      <c r="G1426" s="22" t="str">
        <f t="shared" si="100"/>
        <v>P146SEJUSP</v>
      </c>
      <c r="H1426" s="52" t="s">
        <v>1424</v>
      </c>
      <c r="I1426" s="22" t="s">
        <v>16</v>
      </c>
      <c r="J1426" s="110" t="s">
        <v>1657</v>
      </c>
      <c r="K1426" s="22" t="str">
        <f>VLOOKUP(CONCATENATE(A1426,LEFT(J1426,4)),AGRUPAMENTO!$D$2:$E$6783,2,FALSE)</f>
        <v>Terceirizados - Demais empresas</v>
      </c>
      <c r="L1426" s="137" t="s">
        <v>44</v>
      </c>
      <c r="M1426" s="52"/>
      <c r="N1426" s="52">
        <v>10</v>
      </c>
      <c r="O1426" s="110" t="s">
        <v>3543</v>
      </c>
      <c r="P1426" s="52" t="s">
        <v>46</v>
      </c>
      <c r="Q1426" s="110" t="s">
        <v>3812</v>
      </c>
      <c r="R1426" s="110">
        <v>1</v>
      </c>
      <c r="S1426" s="110" t="s">
        <v>4200</v>
      </c>
      <c r="T1426" s="240">
        <v>28649.212500000001</v>
      </c>
      <c r="U1426" s="133">
        <v>12</v>
      </c>
      <c r="V1426" s="58">
        <f t="shared" si="98"/>
        <v>343790.55000000005</v>
      </c>
      <c r="W1426" s="52" t="s">
        <v>49</v>
      </c>
      <c r="X1426" s="110" t="s">
        <v>5143</v>
      </c>
      <c r="Y1426" s="110" t="s">
        <v>5144</v>
      </c>
      <c r="Z1426" s="110" t="s">
        <v>5145</v>
      </c>
      <c r="AA1426" s="52">
        <v>0</v>
      </c>
      <c r="AB1426" s="52">
        <v>0</v>
      </c>
      <c r="AC1426" s="52">
        <v>0</v>
      </c>
      <c r="AD1426" s="21">
        <v>0.35233925183244275</v>
      </c>
      <c r="AE1426" s="54">
        <v>0.35233925183244275</v>
      </c>
      <c r="AF1426" s="315">
        <f t="shared" si="101"/>
        <v>121130.90517406401</v>
      </c>
    </row>
    <row r="1427" spans="1:32" ht="105" x14ac:dyDescent="0.25">
      <c r="A1427" s="111" t="s">
        <v>588</v>
      </c>
      <c r="B1427" s="110" t="s">
        <v>2270</v>
      </c>
      <c r="C1427" s="52"/>
      <c r="D1427" s="110" t="s">
        <v>2276</v>
      </c>
      <c r="E1427" s="22" t="str">
        <f t="shared" si="99"/>
        <v>SEJUSPPROG</v>
      </c>
      <c r="F1427" s="52" t="s">
        <v>705</v>
      </c>
      <c r="G1427" s="22" t="str">
        <f t="shared" si="100"/>
        <v>P134SEJUSP</v>
      </c>
      <c r="H1427" s="52" t="s">
        <v>1356</v>
      </c>
      <c r="I1427" s="22" t="s">
        <v>16</v>
      </c>
      <c r="J1427" s="110" t="s">
        <v>1657</v>
      </c>
      <c r="K1427" s="22" t="str">
        <f>VLOOKUP(CONCATENATE(A1427,LEFT(J1427,4)),AGRUPAMENTO!$D$2:$E$6783,2,FALSE)</f>
        <v>Terceirizados - Demais empresas</v>
      </c>
      <c r="L1427" s="137" t="s">
        <v>44</v>
      </c>
      <c r="M1427" s="52"/>
      <c r="N1427" s="52">
        <v>10</v>
      </c>
      <c r="O1427" s="141" t="s">
        <v>3544</v>
      </c>
      <c r="P1427" s="52" t="s">
        <v>46</v>
      </c>
      <c r="Q1427" s="110" t="s">
        <v>3812</v>
      </c>
      <c r="R1427" s="110">
        <v>1</v>
      </c>
      <c r="S1427" s="110" t="s">
        <v>4199</v>
      </c>
      <c r="T1427" s="240">
        <v>17551.160351999999</v>
      </c>
      <c r="U1427" s="133">
        <v>12</v>
      </c>
      <c r="V1427" s="58">
        <f t="shared" si="98"/>
        <v>210613.92422399999</v>
      </c>
      <c r="W1427" s="52" t="s">
        <v>49</v>
      </c>
      <c r="X1427" s="110" t="s">
        <v>5143</v>
      </c>
      <c r="Y1427" s="110" t="s">
        <v>5144</v>
      </c>
      <c r="Z1427" s="110" t="s">
        <v>5145</v>
      </c>
      <c r="AA1427" s="52">
        <v>0</v>
      </c>
      <c r="AB1427" s="52">
        <v>0</v>
      </c>
      <c r="AC1427" s="52">
        <v>0</v>
      </c>
      <c r="AD1427" s="21">
        <v>0.35233925183244275</v>
      </c>
      <c r="AE1427" s="54">
        <v>0.35233925183244275</v>
      </c>
      <c r="AF1427" s="315">
        <f t="shared" si="101"/>
        <v>74207.552486578948</v>
      </c>
    </row>
    <row r="1428" spans="1:32" ht="75" x14ac:dyDescent="0.25">
      <c r="A1428" s="111" t="s">
        <v>588</v>
      </c>
      <c r="B1428" s="110" t="s">
        <v>2270</v>
      </c>
      <c r="C1428" s="52"/>
      <c r="D1428" s="110" t="s">
        <v>2276</v>
      </c>
      <c r="E1428" s="22" t="str">
        <f t="shared" si="99"/>
        <v>SEJUSPPROG</v>
      </c>
      <c r="F1428" s="52" t="s">
        <v>705</v>
      </c>
      <c r="G1428" s="22" t="str">
        <f t="shared" si="100"/>
        <v>P134SEJUSP</v>
      </c>
      <c r="H1428" s="52" t="s">
        <v>1356</v>
      </c>
      <c r="I1428" s="22" t="s">
        <v>16</v>
      </c>
      <c r="J1428" s="110" t="s">
        <v>1638</v>
      </c>
      <c r="K1428" s="22" t="str">
        <f>VLOOKUP(CONCATENATE(A1428,LEFT(J1428,4)),AGRUPAMENTO!$D$2:$E$6783,2,FALSE)</f>
        <v>Utilidade Pública</v>
      </c>
      <c r="L1428" s="137" t="s">
        <v>44</v>
      </c>
      <c r="M1428" s="52"/>
      <c r="N1428" s="52">
        <v>10</v>
      </c>
      <c r="O1428" s="110" t="s">
        <v>3545</v>
      </c>
      <c r="P1428" s="52" t="s">
        <v>46</v>
      </c>
      <c r="Q1428" s="110" t="s">
        <v>3812</v>
      </c>
      <c r="R1428" s="110">
        <v>1</v>
      </c>
      <c r="S1428" s="110" t="s">
        <v>4201</v>
      </c>
      <c r="T1428" s="240">
        <v>65980.400000000009</v>
      </c>
      <c r="U1428" s="133">
        <v>12</v>
      </c>
      <c r="V1428" s="58">
        <f t="shared" si="98"/>
        <v>791764.8</v>
      </c>
      <c r="W1428" s="52" t="s">
        <v>49</v>
      </c>
      <c r="X1428" s="110" t="s">
        <v>5146</v>
      </c>
      <c r="Y1428" s="110" t="s">
        <v>5147</v>
      </c>
      <c r="Z1428" s="110" t="s">
        <v>5148</v>
      </c>
      <c r="AA1428" s="52">
        <v>0</v>
      </c>
      <c r="AB1428" s="52">
        <v>0</v>
      </c>
      <c r="AC1428" s="52">
        <v>0</v>
      </c>
      <c r="AD1428" s="21">
        <v>0.96957830030776992</v>
      </c>
      <c r="AE1428" s="54">
        <v>0.96957830030776992</v>
      </c>
      <c r="AF1428" s="315">
        <f t="shared" si="101"/>
        <v>767677.96902752144</v>
      </c>
    </row>
    <row r="1429" spans="1:32" ht="135" x14ac:dyDescent="0.25">
      <c r="A1429" s="111" t="s">
        <v>588</v>
      </c>
      <c r="B1429" s="110" t="s">
        <v>2270</v>
      </c>
      <c r="C1429" s="52"/>
      <c r="D1429" s="110" t="s">
        <v>2276</v>
      </c>
      <c r="E1429" s="22" t="str">
        <f t="shared" si="99"/>
        <v>SEJUSPPROG</v>
      </c>
      <c r="F1429" s="122" t="s">
        <v>886</v>
      </c>
      <c r="G1429" s="22" t="str">
        <f t="shared" si="100"/>
        <v>P146SEJUSP</v>
      </c>
      <c r="H1429" s="52" t="s">
        <v>1424</v>
      </c>
      <c r="I1429" s="22" t="s">
        <v>16</v>
      </c>
      <c r="J1429" s="110" t="s">
        <v>1638</v>
      </c>
      <c r="K1429" s="22" t="str">
        <f>VLOOKUP(CONCATENATE(A1429,LEFT(J1429,4)),AGRUPAMENTO!$D$2:$E$6783,2,FALSE)</f>
        <v>Utilidade Pública</v>
      </c>
      <c r="L1429" s="137" t="s">
        <v>44</v>
      </c>
      <c r="M1429" s="52"/>
      <c r="N1429" s="52">
        <v>10</v>
      </c>
      <c r="O1429" s="110" t="s">
        <v>3546</v>
      </c>
      <c r="P1429" s="52" t="s">
        <v>46</v>
      </c>
      <c r="Q1429" s="110" t="s">
        <v>3812</v>
      </c>
      <c r="R1429" s="110">
        <v>1</v>
      </c>
      <c r="S1429" s="110" t="s">
        <v>4202</v>
      </c>
      <c r="T1429" s="240">
        <v>240132.2</v>
      </c>
      <c r="U1429" s="133">
        <v>12</v>
      </c>
      <c r="V1429" s="58">
        <f t="shared" si="98"/>
        <v>2881586.4000000004</v>
      </c>
      <c r="W1429" s="52" t="s">
        <v>49</v>
      </c>
      <c r="X1429" s="110" t="s">
        <v>5149</v>
      </c>
      <c r="Y1429" s="110" t="s">
        <v>5147</v>
      </c>
      <c r="Z1429" s="110" t="s">
        <v>5148</v>
      </c>
      <c r="AA1429" s="52">
        <v>0</v>
      </c>
      <c r="AB1429" s="52">
        <v>0</v>
      </c>
      <c r="AC1429" s="52">
        <v>0</v>
      </c>
      <c r="AD1429" s="21">
        <v>0.96957830030776992</v>
      </c>
      <c r="AE1429" s="54">
        <v>0.96957830030776992</v>
      </c>
      <c r="AF1429" s="315">
        <f t="shared" si="101"/>
        <v>2793923.6439019861</v>
      </c>
    </row>
    <row r="1430" spans="1:32" ht="135" x14ac:dyDescent="0.25">
      <c r="A1430" s="111" t="s">
        <v>588</v>
      </c>
      <c r="B1430" s="110" t="s">
        <v>2270</v>
      </c>
      <c r="C1430" s="52"/>
      <c r="D1430" s="110" t="s">
        <v>2276</v>
      </c>
      <c r="E1430" s="22" t="str">
        <f t="shared" si="99"/>
        <v>SEJUSPPROG</v>
      </c>
      <c r="F1430" s="52" t="s">
        <v>729</v>
      </c>
      <c r="G1430" s="22" t="str">
        <f t="shared" si="100"/>
        <v>P130SEJUSP</v>
      </c>
      <c r="H1430" s="110" t="s">
        <v>1183</v>
      </c>
      <c r="I1430" s="22" t="s">
        <v>16</v>
      </c>
      <c r="J1430" s="110" t="s">
        <v>1638</v>
      </c>
      <c r="K1430" s="22" t="str">
        <f>VLOOKUP(CONCATENATE(A1430,LEFT(J1430,4)),AGRUPAMENTO!$D$2:$E$6783,2,FALSE)</f>
        <v>Utilidade Pública</v>
      </c>
      <c r="L1430" s="137" t="s">
        <v>44</v>
      </c>
      <c r="M1430" s="52"/>
      <c r="N1430" s="52">
        <v>60</v>
      </c>
      <c r="O1430" s="110" t="s">
        <v>3547</v>
      </c>
      <c r="P1430" s="52" t="s">
        <v>46</v>
      </c>
      <c r="Q1430" s="110" t="s">
        <v>3812</v>
      </c>
      <c r="R1430" s="110">
        <v>1</v>
      </c>
      <c r="S1430" s="110" t="s">
        <v>4203</v>
      </c>
      <c r="T1430" s="248">
        <v>11539484.880000001</v>
      </c>
      <c r="U1430" s="247">
        <v>12</v>
      </c>
      <c r="V1430" s="58">
        <f t="shared" si="98"/>
        <v>138473818.56</v>
      </c>
      <c r="W1430" s="52" t="s">
        <v>49</v>
      </c>
      <c r="X1430" s="110" t="s">
        <v>5150</v>
      </c>
      <c r="Y1430" s="110" t="s">
        <v>5147</v>
      </c>
      <c r="Z1430" s="110" t="s">
        <v>5148</v>
      </c>
      <c r="AA1430" s="52">
        <v>0</v>
      </c>
      <c r="AB1430" s="52">
        <v>0</v>
      </c>
      <c r="AC1430" s="52">
        <v>0</v>
      </c>
      <c r="AD1430" s="21">
        <v>0.96957830030776992</v>
      </c>
      <c r="AE1430" s="54">
        <v>0.96957830030776992</v>
      </c>
      <c r="AF1430" s="315">
        <f t="shared" si="101"/>
        <v>134261209.63653132</v>
      </c>
    </row>
    <row r="1431" spans="1:32" ht="75" x14ac:dyDescent="0.25">
      <c r="A1431" s="111" t="s">
        <v>588</v>
      </c>
      <c r="B1431" s="110" t="s">
        <v>2270</v>
      </c>
      <c r="C1431" s="52"/>
      <c r="D1431" s="110" t="s">
        <v>2276</v>
      </c>
      <c r="E1431" s="22" t="str">
        <f t="shared" si="99"/>
        <v>SEJUSPPROG</v>
      </c>
      <c r="F1431" s="52" t="s">
        <v>729</v>
      </c>
      <c r="G1431" s="22" t="str">
        <f t="shared" si="100"/>
        <v>P130SEJUSP</v>
      </c>
      <c r="H1431" s="110" t="s">
        <v>1259</v>
      </c>
      <c r="I1431" s="22" t="s">
        <v>16</v>
      </c>
      <c r="J1431" s="110" t="s">
        <v>1638</v>
      </c>
      <c r="K1431" s="22" t="str">
        <f>VLOOKUP(CONCATENATE(A1431,LEFT(J1431,4)),AGRUPAMENTO!$D$2:$E$6783,2,FALSE)</f>
        <v>Utilidade Pública</v>
      </c>
      <c r="L1431" s="137" t="s">
        <v>44</v>
      </c>
      <c r="M1431" s="52"/>
      <c r="N1431" s="52">
        <v>10</v>
      </c>
      <c r="O1431" s="110" t="s">
        <v>3548</v>
      </c>
      <c r="P1431" s="52" t="s">
        <v>46</v>
      </c>
      <c r="Q1431" s="110" t="s">
        <v>3812</v>
      </c>
      <c r="R1431" s="110">
        <v>1</v>
      </c>
      <c r="S1431" s="110" t="s">
        <v>4204</v>
      </c>
      <c r="T1431" s="246">
        <v>166922.43</v>
      </c>
      <c r="U1431" s="247">
        <v>12</v>
      </c>
      <c r="V1431" s="58">
        <f t="shared" si="98"/>
        <v>2003069.16</v>
      </c>
      <c r="W1431" s="52" t="s">
        <v>49</v>
      </c>
      <c r="X1431" s="110" t="s">
        <v>5151</v>
      </c>
      <c r="Y1431" s="110" t="s">
        <v>5147</v>
      </c>
      <c r="Z1431" s="110" t="s">
        <v>5148</v>
      </c>
      <c r="AA1431" s="52">
        <v>0</v>
      </c>
      <c r="AB1431" s="52">
        <v>0</v>
      </c>
      <c r="AC1431" s="52">
        <v>0</v>
      </c>
      <c r="AD1431" s="21">
        <v>0.96957830030776992</v>
      </c>
      <c r="AE1431" s="54">
        <v>0.96957830030776992</v>
      </c>
      <c r="AF1431" s="315">
        <f t="shared" si="101"/>
        <v>1942132.3915517123</v>
      </c>
    </row>
    <row r="1432" spans="1:32" ht="105" x14ac:dyDescent="0.25">
      <c r="A1432" s="111" t="s">
        <v>588</v>
      </c>
      <c r="B1432" s="110" t="s">
        <v>2270</v>
      </c>
      <c r="C1432" s="52"/>
      <c r="D1432" s="110" t="s">
        <v>2276</v>
      </c>
      <c r="E1432" s="22" t="str">
        <f t="shared" si="99"/>
        <v>SEJUSPPROG</v>
      </c>
      <c r="F1432" s="122" t="s">
        <v>886</v>
      </c>
      <c r="G1432" s="22" t="str">
        <f t="shared" si="100"/>
        <v>P146SEJUSP</v>
      </c>
      <c r="H1432" s="52" t="s">
        <v>1424</v>
      </c>
      <c r="I1432" s="22" t="s">
        <v>16</v>
      </c>
      <c r="J1432" s="110" t="s">
        <v>232</v>
      </c>
      <c r="K1432" s="22" t="str">
        <f>VLOOKUP(CONCATENATE(A1432,LEFT(J1432,4)),AGRUPAMENTO!$D$2:$E$6783,2,FALSE)</f>
        <v>Auxílios diversos (transp alim funeral e etc)</v>
      </c>
      <c r="L1432" s="137" t="s">
        <v>44</v>
      </c>
      <c r="M1432" s="52"/>
      <c r="N1432" s="52">
        <v>10</v>
      </c>
      <c r="O1432" s="110" t="s">
        <v>3549</v>
      </c>
      <c r="P1432" s="52" t="s">
        <v>46</v>
      </c>
      <c r="Q1432" s="110" t="s">
        <v>3812</v>
      </c>
      <c r="R1432" s="110">
        <v>1</v>
      </c>
      <c r="S1432" s="110" t="s">
        <v>4205</v>
      </c>
      <c r="T1432" s="240">
        <v>1006.25</v>
      </c>
      <c r="U1432" s="133">
        <v>12</v>
      </c>
      <c r="V1432" s="58">
        <f t="shared" si="98"/>
        <v>12075</v>
      </c>
      <c r="W1432" s="52" t="s">
        <v>49</v>
      </c>
      <c r="X1432" s="110" t="s">
        <v>5152</v>
      </c>
      <c r="Y1432" s="110" t="s">
        <v>5153</v>
      </c>
      <c r="Z1432" s="110" t="s">
        <v>5154</v>
      </c>
      <c r="AA1432" s="52">
        <v>0</v>
      </c>
      <c r="AB1432" s="52">
        <v>0</v>
      </c>
      <c r="AC1432" s="52">
        <v>0</v>
      </c>
      <c r="AD1432" s="21">
        <v>1</v>
      </c>
      <c r="AE1432" s="54">
        <v>1</v>
      </c>
      <c r="AF1432" s="315">
        <f t="shared" si="101"/>
        <v>12075</v>
      </c>
    </row>
    <row r="1433" spans="1:32" ht="90" x14ac:dyDescent="0.25">
      <c r="A1433" s="111" t="s">
        <v>588</v>
      </c>
      <c r="B1433" s="110" t="s">
        <v>2270</v>
      </c>
      <c r="C1433" s="52"/>
      <c r="D1433" s="110" t="s">
        <v>2276</v>
      </c>
      <c r="E1433" s="22" t="str">
        <f t="shared" si="99"/>
        <v>SEJUSPPROG</v>
      </c>
      <c r="F1433" s="52" t="s">
        <v>705</v>
      </c>
      <c r="G1433" s="22" t="str">
        <f t="shared" si="100"/>
        <v>P134SEJUSP</v>
      </c>
      <c r="H1433" s="52" t="s">
        <v>1356</v>
      </c>
      <c r="I1433" s="22" t="s">
        <v>16</v>
      </c>
      <c r="J1433" s="110" t="s">
        <v>1636</v>
      </c>
      <c r="K1433" s="22" t="str">
        <f>VLOOKUP(CONCATENATE(A1433,LEFT(J1433,4)),AGRUPAMENTO!$D$2:$E$6783,2,FALSE)</f>
        <v>Utilidade Pública</v>
      </c>
      <c r="L1433" s="137" t="s">
        <v>44</v>
      </c>
      <c r="M1433" s="52"/>
      <c r="N1433" s="52">
        <v>10</v>
      </c>
      <c r="O1433" s="110" t="s">
        <v>3550</v>
      </c>
      <c r="P1433" s="52" t="s">
        <v>46</v>
      </c>
      <c r="Q1433" s="110" t="s">
        <v>3812</v>
      </c>
      <c r="R1433" s="110">
        <v>1</v>
      </c>
      <c r="S1433" s="110" t="s">
        <v>4206</v>
      </c>
      <c r="T1433" s="240">
        <v>18462.02</v>
      </c>
      <c r="U1433" s="133">
        <v>12</v>
      </c>
      <c r="V1433" s="58">
        <f t="shared" si="98"/>
        <v>221544.24</v>
      </c>
      <c r="W1433" s="52" t="s">
        <v>49</v>
      </c>
      <c r="X1433" s="110" t="s">
        <v>5155</v>
      </c>
      <c r="Y1433" s="110" t="s">
        <v>5156</v>
      </c>
      <c r="Z1433" s="110" t="s">
        <v>5148</v>
      </c>
      <c r="AA1433" s="52">
        <v>0</v>
      </c>
      <c r="AB1433" s="52">
        <v>0</v>
      </c>
      <c r="AC1433" s="52">
        <v>0</v>
      </c>
      <c r="AD1433" s="21">
        <v>0.96957830030776992</v>
      </c>
      <c r="AE1433" s="54">
        <v>0.96957830030776992</v>
      </c>
      <c r="AF1433" s="315">
        <f t="shared" si="101"/>
        <v>214804.48766217663</v>
      </c>
    </row>
    <row r="1434" spans="1:32" ht="90" x14ac:dyDescent="0.25">
      <c r="A1434" s="111" t="s">
        <v>588</v>
      </c>
      <c r="B1434" s="110" t="s">
        <v>2270</v>
      </c>
      <c r="C1434" s="52"/>
      <c r="D1434" s="110" t="s">
        <v>2276</v>
      </c>
      <c r="E1434" s="22" t="str">
        <f t="shared" si="99"/>
        <v>SEJUSPPROG</v>
      </c>
      <c r="F1434" s="116" t="s">
        <v>687</v>
      </c>
      <c r="G1434" s="22" t="str">
        <f t="shared" si="100"/>
        <v>P705SEJUSP</v>
      </c>
      <c r="H1434" s="110" t="s">
        <v>914</v>
      </c>
      <c r="I1434" s="22" t="s">
        <v>16</v>
      </c>
      <c r="J1434" s="110" t="s">
        <v>1636</v>
      </c>
      <c r="K1434" s="22" t="str">
        <f>VLOOKUP(CONCATENATE(A1434,LEFT(J1434,4)),AGRUPAMENTO!$D$2:$E$6783,2,FALSE)</f>
        <v>Utilidade Pública</v>
      </c>
      <c r="L1434" s="137" t="s">
        <v>44</v>
      </c>
      <c r="M1434" s="52"/>
      <c r="N1434" s="52">
        <v>10</v>
      </c>
      <c r="O1434" s="110" t="s">
        <v>3551</v>
      </c>
      <c r="P1434" s="52" t="s">
        <v>46</v>
      </c>
      <c r="Q1434" s="110" t="s">
        <v>3812</v>
      </c>
      <c r="R1434" s="110">
        <v>1</v>
      </c>
      <c r="S1434" s="110" t="s">
        <v>4207</v>
      </c>
      <c r="T1434" s="240">
        <v>2939.8506895999999</v>
      </c>
      <c r="U1434" s="133">
        <v>12</v>
      </c>
      <c r="V1434" s="58">
        <f t="shared" si="98"/>
        <v>35278.208275199999</v>
      </c>
      <c r="W1434" s="52" t="s">
        <v>49</v>
      </c>
      <c r="X1434" s="110" t="s">
        <v>5157</v>
      </c>
      <c r="Y1434" s="110" t="s">
        <v>5156</v>
      </c>
      <c r="Z1434" s="110" t="s">
        <v>5148</v>
      </c>
      <c r="AA1434" s="52">
        <v>0</v>
      </c>
      <c r="AB1434" s="52">
        <v>0</v>
      </c>
      <c r="AC1434" s="52">
        <v>0</v>
      </c>
      <c r="AD1434" s="21">
        <v>0.96957830030776992</v>
      </c>
      <c r="AE1434" s="54">
        <v>0.96957830030776992</v>
      </c>
      <c r="AF1434" s="315">
        <f t="shared" si="101"/>
        <v>34204.985217371919</v>
      </c>
    </row>
    <row r="1435" spans="1:32" ht="90" x14ac:dyDescent="0.25">
      <c r="A1435" s="111" t="s">
        <v>588</v>
      </c>
      <c r="B1435" s="110" t="s">
        <v>2270</v>
      </c>
      <c r="C1435" s="52"/>
      <c r="D1435" s="110" t="s">
        <v>2276</v>
      </c>
      <c r="E1435" s="22" t="str">
        <f t="shared" si="99"/>
        <v>SEJUSPPROG</v>
      </c>
      <c r="F1435" s="122" t="s">
        <v>886</v>
      </c>
      <c r="G1435" s="22" t="str">
        <f t="shared" si="100"/>
        <v>P146SEJUSP</v>
      </c>
      <c r="H1435" s="52" t="s">
        <v>1424</v>
      </c>
      <c r="I1435" s="22" t="s">
        <v>16</v>
      </c>
      <c r="J1435" s="110" t="s">
        <v>1636</v>
      </c>
      <c r="K1435" s="22" t="str">
        <f>VLOOKUP(CONCATENATE(A1435,LEFT(J1435,4)),AGRUPAMENTO!$D$2:$E$6783,2,FALSE)</f>
        <v>Utilidade Pública</v>
      </c>
      <c r="L1435" s="137" t="s">
        <v>44</v>
      </c>
      <c r="M1435" s="52"/>
      <c r="N1435" s="52">
        <v>10</v>
      </c>
      <c r="O1435" s="110" t="s">
        <v>3552</v>
      </c>
      <c r="P1435" s="52" t="s">
        <v>46</v>
      </c>
      <c r="Q1435" s="110" t="s">
        <v>3812</v>
      </c>
      <c r="R1435" s="110">
        <v>1</v>
      </c>
      <c r="S1435" s="110" t="s">
        <v>4208</v>
      </c>
      <c r="T1435" s="240">
        <v>26404.36</v>
      </c>
      <c r="U1435" s="133">
        <v>12</v>
      </c>
      <c r="V1435" s="58">
        <f t="shared" si="98"/>
        <v>316852.32</v>
      </c>
      <c r="W1435" s="52" t="s">
        <v>49</v>
      </c>
      <c r="X1435" s="110" t="s">
        <v>5158</v>
      </c>
      <c r="Y1435" s="110" t="s">
        <v>5156</v>
      </c>
      <c r="Z1435" s="110" t="s">
        <v>5148</v>
      </c>
      <c r="AA1435" s="52">
        <v>0</v>
      </c>
      <c r="AB1435" s="52">
        <v>0</v>
      </c>
      <c r="AC1435" s="52">
        <v>0</v>
      </c>
      <c r="AD1435" s="21">
        <v>0.96957830030776992</v>
      </c>
      <c r="AE1435" s="54">
        <v>0.96957830030776992</v>
      </c>
      <c r="AF1435" s="315">
        <f t="shared" si="101"/>
        <v>307213.13387417363</v>
      </c>
    </row>
    <row r="1436" spans="1:32" ht="90" x14ac:dyDescent="0.25">
      <c r="A1436" s="111" t="s">
        <v>588</v>
      </c>
      <c r="B1436" s="110" t="s">
        <v>2270</v>
      </c>
      <c r="C1436" s="52"/>
      <c r="D1436" s="110" t="s">
        <v>2276</v>
      </c>
      <c r="E1436" s="22" t="str">
        <f t="shared" si="99"/>
        <v>SEJUSPPROG</v>
      </c>
      <c r="F1436" s="52" t="s">
        <v>729</v>
      </c>
      <c r="G1436" s="22" t="str">
        <f t="shared" si="100"/>
        <v>P130SEJUSP</v>
      </c>
      <c r="H1436" s="110" t="s">
        <v>1183</v>
      </c>
      <c r="I1436" s="22" t="s">
        <v>16</v>
      </c>
      <c r="J1436" s="110" t="s">
        <v>1636</v>
      </c>
      <c r="K1436" s="22" t="str">
        <f>VLOOKUP(CONCATENATE(A1436,LEFT(J1436,4)),AGRUPAMENTO!$D$2:$E$6783,2,FALSE)</f>
        <v>Utilidade Pública</v>
      </c>
      <c r="L1436" s="137" t="s">
        <v>44</v>
      </c>
      <c r="M1436" s="52"/>
      <c r="N1436" s="52">
        <v>60</v>
      </c>
      <c r="O1436" s="110" t="s">
        <v>3553</v>
      </c>
      <c r="P1436" s="52" t="s">
        <v>46</v>
      </c>
      <c r="Q1436" s="110" t="s">
        <v>3812</v>
      </c>
      <c r="R1436" s="110">
        <v>1</v>
      </c>
      <c r="S1436" s="110" t="s">
        <v>4209</v>
      </c>
      <c r="T1436" s="246">
        <v>629727.63</v>
      </c>
      <c r="U1436" s="247">
        <v>12</v>
      </c>
      <c r="V1436" s="58">
        <f t="shared" si="98"/>
        <v>7556731.5600000005</v>
      </c>
      <c r="W1436" s="52" t="s">
        <v>49</v>
      </c>
      <c r="X1436" s="110" t="s">
        <v>5159</v>
      </c>
      <c r="Y1436" s="110" t="s">
        <v>5156</v>
      </c>
      <c r="Z1436" s="110" t="s">
        <v>5148</v>
      </c>
      <c r="AA1436" s="52">
        <v>0</v>
      </c>
      <c r="AB1436" s="52">
        <v>0</v>
      </c>
      <c r="AC1436" s="52">
        <v>0</v>
      </c>
      <c r="AD1436" s="21">
        <v>0.96957830030776992</v>
      </c>
      <c r="AE1436" s="54">
        <v>0.96957830030776992</v>
      </c>
      <c r="AF1436" s="315">
        <f t="shared" si="101"/>
        <v>7326842.9418268828</v>
      </c>
    </row>
    <row r="1437" spans="1:32" ht="90" x14ac:dyDescent="0.25">
      <c r="A1437" s="111" t="s">
        <v>588</v>
      </c>
      <c r="B1437" s="110" t="s">
        <v>2270</v>
      </c>
      <c r="C1437" s="52"/>
      <c r="D1437" s="110" t="s">
        <v>2276</v>
      </c>
      <c r="E1437" s="22" t="str">
        <f t="shared" si="99"/>
        <v>SEJUSPPROG</v>
      </c>
      <c r="F1437" s="52" t="s">
        <v>729</v>
      </c>
      <c r="G1437" s="22" t="str">
        <f t="shared" si="100"/>
        <v>P130SEJUSP</v>
      </c>
      <c r="H1437" s="110" t="s">
        <v>1259</v>
      </c>
      <c r="I1437" s="22" t="s">
        <v>16</v>
      </c>
      <c r="J1437" s="110" t="s">
        <v>1636</v>
      </c>
      <c r="K1437" s="22" t="str">
        <f>VLOOKUP(CONCATENATE(A1437,LEFT(J1437,4)),AGRUPAMENTO!$D$2:$E$6783,2,FALSE)</f>
        <v>Utilidade Pública</v>
      </c>
      <c r="L1437" s="137" t="s">
        <v>44</v>
      </c>
      <c r="M1437" s="52"/>
      <c r="N1437" s="52">
        <v>10</v>
      </c>
      <c r="O1437" s="110" t="s">
        <v>3554</v>
      </c>
      <c r="P1437" s="52" t="s">
        <v>46</v>
      </c>
      <c r="Q1437" s="110" t="s">
        <v>3812</v>
      </c>
      <c r="R1437" s="110">
        <v>1</v>
      </c>
      <c r="S1437" s="110" t="s">
        <v>4210</v>
      </c>
      <c r="T1437" s="240">
        <v>4689.0886416000003</v>
      </c>
      <c r="U1437" s="133">
        <v>12</v>
      </c>
      <c r="V1437" s="58">
        <f t="shared" si="98"/>
        <v>56269.063699200007</v>
      </c>
      <c r="W1437" s="52" t="s">
        <v>49</v>
      </c>
      <c r="X1437" s="110" t="s">
        <v>5160</v>
      </c>
      <c r="Y1437" s="110" t="s">
        <v>5156</v>
      </c>
      <c r="Z1437" s="110" t="s">
        <v>5148</v>
      </c>
      <c r="AA1437" s="52">
        <v>0</v>
      </c>
      <c r="AB1437" s="52">
        <v>0</v>
      </c>
      <c r="AC1437" s="52">
        <v>0</v>
      </c>
      <c r="AD1437" s="21">
        <v>0.96957830030776992</v>
      </c>
      <c r="AE1437" s="54">
        <v>0.96957830030776992</v>
      </c>
      <c r="AF1437" s="315">
        <f t="shared" si="101"/>
        <v>54557.263141379983</v>
      </c>
    </row>
    <row r="1438" spans="1:32" ht="75" x14ac:dyDescent="0.25">
      <c r="A1438" s="111" t="s">
        <v>588</v>
      </c>
      <c r="B1438" s="110" t="s">
        <v>2270</v>
      </c>
      <c r="C1438" s="52"/>
      <c r="D1438" s="110" t="s">
        <v>2276</v>
      </c>
      <c r="E1438" s="22" t="str">
        <f t="shared" si="99"/>
        <v>SEJUSPPROG</v>
      </c>
      <c r="F1438" s="52" t="s">
        <v>729</v>
      </c>
      <c r="G1438" s="22" t="str">
        <f t="shared" si="100"/>
        <v>P130SEJUSP</v>
      </c>
      <c r="H1438" s="110" t="s">
        <v>1183</v>
      </c>
      <c r="I1438" s="22" t="s">
        <v>16</v>
      </c>
      <c r="J1438" s="110" t="s">
        <v>1659</v>
      </c>
      <c r="K1438" s="22" t="str">
        <f>VLOOKUP(CONCATENATE(A1438,LEFT(J1438,4)),AGRUPAMENTO!$D$2:$E$6783,2,FALSE)</f>
        <v>Utilidade Pública</v>
      </c>
      <c r="L1438" s="137" t="s">
        <v>44</v>
      </c>
      <c r="M1438" s="52"/>
      <c r="N1438" s="52">
        <v>60</v>
      </c>
      <c r="O1438" s="110" t="s">
        <v>3555</v>
      </c>
      <c r="P1438" s="52" t="s">
        <v>46</v>
      </c>
      <c r="Q1438" s="110" t="s">
        <v>3812</v>
      </c>
      <c r="R1438" s="110">
        <v>1</v>
      </c>
      <c r="S1438" s="110" t="s">
        <v>4211</v>
      </c>
      <c r="T1438" s="240">
        <v>962149.9</v>
      </c>
      <c r="U1438" s="133">
        <v>12</v>
      </c>
      <c r="V1438" s="58">
        <f t="shared" si="98"/>
        <v>11545798.800000001</v>
      </c>
      <c r="W1438" s="52" t="s">
        <v>49</v>
      </c>
      <c r="X1438" s="110" t="s">
        <v>5161</v>
      </c>
      <c r="Y1438" s="110" t="s">
        <v>5156</v>
      </c>
      <c r="Z1438" s="110" t="s">
        <v>5148</v>
      </c>
      <c r="AA1438" s="52">
        <v>0</v>
      </c>
      <c r="AB1438" s="52">
        <v>0</v>
      </c>
      <c r="AC1438" s="52">
        <v>0</v>
      </c>
      <c r="AD1438" s="21">
        <v>0.96957830030776992</v>
      </c>
      <c r="AE1438" s="54">
        <v>0.96957830030776992</v>
      </c>
      <c r="AF1438" s="315">
        <f t="shared" si="101"/>
        <v>11194555.976199491</v>
      </c>
    </row>
    <row r="1439" spans="1:32" ht="75" x14ac:dyDescent="0.25">
      <c r="A1439" s="111" t="s">
        <v>588</v>
      </c>
      <c r="B1439" s="110" t="s">
        <v>2270</v>
      </c>
      <c r="C1439" s="52"/>
      <c r="D1439" s="110" t="s">
        <v>2276</v>
      </c>
      <c r="E1439" s="22" t="str">
        <f t="shared" si="99"/>
        <v>SEJUSPPROG</v>
      </c>
      <c r="F1439" s="52" t="s">
        <v>729</v>
      </c>
      <c r="G1439" s="22" t="str">
        <f t="shared" si="100"/>
        <v>P130SEJUSP</v>
      </c>
      <c r="H1439" s="110" t="s">
        <v>1259</v>
      </c>
      <c r="I1439" s="22" t="s">
        <v>16</v>
      </c>
      <c r="J1439" s="110" t="s">
        <v>1659</v>
      </c>
      <c r="K1439" s="22" t="str">
        <f>VLOOKUP(CONCATENATE(A1439,LEFT(J1439,4)),AGRUPAMENTO!$D$2:$E$6783,2,FALSE)</f>
        <v>Utilidade Pública</v>
      </c>
      <c r="L1439" s="137" t="s">
        <v>44</v>
      </c>
      <c r="M1439" s="52"/>
      <c r="N1439" s="52">
        <v>10</v>
      </c>
      <c r="O1439" s="110" t="s">
        <v>3556</v>
      </c>
      <c r="P1439" s="52" t="s">
        <v>46</v>
      </c>
      <c r="Q1439" s="110" t="s">
        <v>3812</v>
      </c>
      <c r="R1439" s="110">
        <v>1</v>
      </c>
      <c r="S1439" s="110" t="s">
        <v>4211</v>
      </c>
      <c r="T1439" s="240">
        <v>53615.390624999898</v>
      </c>
      <c r="U1439" s="133">
        <v>12</v>
      </c>
      <c r="V1439" s="58">
        <f t="shared" si="98"/>
        <v>643384.68749999884</v>
      </c>
      <c r="W1439" s="52" t="s">
        <v>49</v>
      </c>
      <c r="X1439" s="110" t="s">
        <v>5161</v>
      </c>
      <c r="Y1439" s="110" t="s">
        <v>5156</v>
      </c>
      <c r="Z1439" s="110" t="s">
        <v>5148</v>
      </c>
      <c r="AA1439" s="52">
        <v>0</v>
      </c>
      <c r="AB1439" s="52">
        <v>0</v>
      </c>
      <c r="AC1439" s="52">
        <v>0</v>
      </c>
      <c r="AD1439" s="21">
        <v>0.96957830030776992</v>
      </c>
      <c r="AE1439" s="54">
        <v>0.96957830030776992</v>
      </c>
      <c r="AF1439" s="315">
        <f t="shared" si="101"/>
        <v>623811.83175029454</v>
      </c>
    </row>
    <row r="1440" spans="1:32" ht="75" x14ac:dyDescent="0.25">
      <c r="A1440" s="111" t="s">
        <v>588</v>
      </c>
      <c r="B1440" s="110" t="s">
        <v>2270</v>
      </c>
      <c r="C1440" s="52"/>
      <c r="D1440" s="110" t="s">
        <v>2276</v>
      </c>
      <c r="E1440" s="22" t="str">
        <f t="shared" si="99"/>
        <v>SEJUSPPROG</v>
      </c>
      <c r="F1440" s="122" t="s">
        <v>886</v>
      </c>
      <c r="G1440" s="22" t="str">
        <f t="shared" si="100"/>
        <v>P146SEJUSP</v>
      </c>
      <c r="H1440" s="52" t="s">
        <v>1424</v>
      </c>
      <c r="I1440" s="22" t="s">
        <v>16</v>
      </c>
      <c r="J1440" s="110" t="s">
        <v>1659</v>
      </c>
      <c r="K1440" s="22" t="str">
        <f>VLOOKUP(CONCATENATE(A1440,LEFT(J1440,4)),AGRUPAMENTO!$D$2:$E$6783,2,FALSE)</f>
        <v>Utilidade Pública</v>
      </c>
      <c r="L1440" s="137" t="s">
        <v>44</v>
      </c>
      <c r="M1440" s="52"/>
      <c r="N1440" s="52">
        <v>10</v>
      </c>
      <c r="O1440" s="110" t="s">
        <v>3557</v>
      </c>
      <c r="P1440" s="52" t="s">
        <v>46</v>
      </c>
      <c r="Q1440" s="110" t="s">
        <v>3812</v>
      </c>
      <c r="R1440" s="110">
        <v>1</v>
      </c>
      <c r="S1440" s="110" t="s">
        <v>4211</v>
      </c>
      <c r="T1440" s="240">
        <v>65009.07</v>
      </c>
      <c r="U1440" s="133">
        <v>12</v>
      </c>
      <c r="V1440" s="58">
        <f t="shared" si="98"/>
        <v>780108.84</v>
      </c>
      <c r="W1440" s="52" t="s">
        <v>49</v>
      </c>
      <c r="X1440" s="110" t="s">
        <v>5161</v>
      </c>
      <c r="Y1440" s="110" t="s">
        <v>5156</v>
      </c>
      <c r="Z1440" s="110" t="s">
        <v>5148</v>
      </c>
      <c r="AA1440" s="52">
        <v>0</v>
      </c>
      <c r="AB1440" s="52">
        <v>0</v>
      </c>
      <c r="AC1440" s="52">
        <v>0</v>
      </c>
      <c r="AD1440" s="21">
        <v>0.96957830030776992</v>
      </c>
      <c r="AE1440" s="54">
        <v>0.96957830030776992</v>
      </c>
      <c r="AF1440" s="315">
        <f t="shared" si="101"/>
        <v>756376.60314226605</v>
      </c>
    </row>
    <row r="1441" spans="1:32" ht="75" x14ac:dyDescent="0.25">
      <c r="A1441" s="111" t="s">
        <v>588</v>
      </c>
      <c r="B1441" s="110" t="s">
        <v>2270</v>
      </c>
      <c r="C1441" s="52"/>
      <c r="D1441" s="110" t="s">
        <v>2276</v>
      </c>
      <c r="E1441" s="22" t="str">
        <f t="shared" si="99"/>
        <v>SEJUSPPROG</v>
      </c>
      <c r="F1441" s="52" t="s">
        <v>705</v>
      </c>
      <c r="G1441" s="22" t="str">
        <f t="shared" si="100"/>
        <v>P134SEJUSP</v>
      </c>
      <c r="H1441" s="52" t="s">
        <v>1356</v>
      </c>
      <c r="I1441" s="22" t="s">
        <v>16</v>
      </c>
      <c r="J1441" s="110" t="s">
        <v>1659</v>
      </c>
      <c r="K1441" s="22" t="str">
        <f>VLOOKUP(CONCATENATE(A1441,LEFT(J1441,4)),AGRUPAMENTO!$D$2:$E$6783,2,FALSE)</f>
        <v>Utilidade Pública</v>
      </c>
      <c r="L1441" s="137" t="s">
        <v>44</v>
      </c>
      <c r="M1441" s="52"/>
      <c r="N1441" s="52">
        <v>10</v>
      </c>
      <c r="O1441" s="110" t="s">
        <v>3558</v>
      </c>
      <c r="P1441" s="52" t="s">
        <v>46</v>
      </c>
      <c r="Q1441" s="110" t="s">
        <v>3812</v>
      </c>
      <c r="R1441" s="110">
        <v>1</v>
      </c>
      <c r="S1441" s="110" t="s">
        <v>4211</v>
      </c>
      <c r="T1441" s="240">
        <v>172144.75</v>
      </c>
      <c r="U1441" s="133">
        <v>12</v>
      </c>
      <c r="V1441" s="58">
        <f t="shared" si="98"/>
        <v>2065737</v>
      </c>
      <c r="W1441" s="52" t="s">
        <v>49</v>
      </c>
      <c r="X1441" s="110" t="s">
        <v>5161</v>
      </c>
      <c r="Y1441" s="110" t="s">
        <v>5156</v>
      </c>
      <c r="Z1441" s="110" t="s">
        <v>5148</v>
      </c>
      <c r="AA1441" s="52">
        <v>0</v>
      </c>
      <c r="AB1441" s="52">
        <v>0</v>
      </c>
      <c r="AC1441" s="52">
        <v>0</v>
      </c>
      <c r="AD1441" s="21">
        <v>0.96957830030776992</v>
      </c>
      <c r="AE1441" s="54">
        <v>0.96957830030776992</v>
      </c>
      <c r="AF1441" s="315">
        <f t="shared" si="101"/>
        <v>2002893.7693428716</v>
      </c>
    </row>
    <row r="1442" spans="1:32" ht="75" x14ac:dyDescent="0.25">
      <c r="A1442" s="111" t="s">
        <v>588</v>
      </c>
      <c r="B1442" s="110" t="s">
        <v>2270</v>
      </c>
      <c r="C1442" s="52"/>
      <c r="D1442" s="110" t="s">
        <v>2276</v>
      </c>
      <c r="E1442" s="22" t="str">
        <f t="shared" si="99"/>
        <v>SEJUSPPROG</v>
      </c>
      <c r="F1442" s="52" t="s">
        <v>729</v>
      </c>
      <c r="G1442" s="22" t="str">
        <f t="shared" si="100"/>
        <v>P130SEJUSP</v>
      </c>
      <c r="H1442" s="110" t="s">
        <v>1183</v>
      </c>
      <c r="I1442" s="22" t="s">
        <v>16</v>
      </c>
      <c r="J1442" s="110" t="s">
        <v>1657</v>
      </c>
      <c r="K1442" s="22" t="str">
        <f>VLOOKUP(CONCATENATE(A1442,LEFT(J1442,4)),AGRUPAMENTO!$D$2:$E$6783,2,FALSE)</f>
        <v>Terceirizados - Demais empresas</v>
      </c>
      <c r="L1442" s="137" t="s">
        <v>44</v>
      </c>
      <c r="M1442" s="52"/>
      <c r="N1442" s="52">
        <v>60</v>
      </c>
      <c r="O1442" s="141" t="s">
        <v>3559</v>
      </c>
      <c r="P1442" s="52" t="s">
        <v>46</v>
      </c>
      <c r="Q1442" s="110" t="s">
        <v>3812</v>
      </c>
      <c r="R1442" s="110">
        <v>1</v>
      </c>
      <c r="S1442" s="110" t="s">
        <v>4212</v>
      </c>
      <c r="T1442" s="240">
        <v>73500.569887499994</v>
      </c>
      <c r="U1442" s="133">
        <v>12</v>
      </c>
      <c r="V1442" s="58">
        <f t="shared" si="98"/>
        <v>882006.83864999993</v>
      </c>
      <c r="W1442" s="52" t="s">
        <v>49</v>
      </c>
      <c r="X1442" s="110" t="s">
        <v>5162</v>
      </c>
      <c r="Y1442" s="110" t="s">
        <v>5163</v>
      </c>
      <c r="Z1442" s="110" t="s">
        <v>5164</v>
      </c>
      <c r="AA1442" s="52">
        <v>0</v>
      </c>
      <c r="AB1442" s="52">
        <v>0</v>
      </c>
      <c r="AC1442" s="52">
        <v>0</v>
      </c>
      <c r="AD1442" s="21">
        <v>0.35233925183244275</v>
      </c>
      <c r="AE1442" s="54">
        <v>0.35233925183244275</v>
      </c>
      <c r="AF1442" s="315">
        <f t="shared" si="101"/>
        <v>310765.62964103901</v>
      </c>
    </row>
    <row r="1443" spans="1:32" ht="75" x14ac:dyDescent="0.25">
      <c r="A1443" s="111" t="s">
        <v>588</v>
      </c>
      <c r="B1443" s="110" t="s">
        <v>2270</v>
      </c>
      <c r="C1443" s="52"/>
      <c r="D1443" s="110" t="s">
        <v>2276</v>
      </c>
      <c r="E1443" s="22" t="str">
        <f t="shared" si="99"/>
        <v>SEJUSPPROG</v>
      </c>
      <c r="F1443" s="122" t="s">
        <v>886</v>
      </c>
      <c r="G1443" s="22" t="str">
        <f t="shared" si="100"/>
        <v>P146SEJUSP</v>
      </c>
      <c r="H1443" s="52" t="s">
        <v>1424</v>
      </c>
      <c r="I1443" s="22" t="s">
        <v>16</v>
      </c>
      <c r="J1443" s="110" t="s">
        <v>1657</v>
      </c>
      <c r="K1443" s="22" t="str">
        <f>VLOOKUP(CONCATENATE(A1443,LEFT(J1443,4)),AGRUPAMENTO!$D$2:$E$6783,2,FALSE)</f>
        <v>Terceirizados - Demais empresas</v>
      </c>
      <c r="L1443" s="137" t="s">
        <v>44</v>
      </c>
      <c r="M1443" s="52"/>
      <c r="N1443" s="52">
        <v>10</v>
      </c>
      <c r="O1443" s="141" t="s">
        <v>3560</v>
      </c>
      <c r="P1443" s="52" t="s">
        <v>46</v>
      </c>
      <c r="Q1443" s="110" t="s">
        <v>3812</v>
      </c>
      <c r="R1443" s="110">
        <v>1</v>
      </c>
      <c r="S1443" s="110" t="s">
        <v>4213</v>
      </c>
      <c r="T1443" s="240">
        <v>5930.4129316666604</v>
      </c>
      <c r="U1443" s="133">
        <v>12</v>
      </c>
      <c r="V1443" s="58">
        <f t="shared" si="98"/>
        <v>71164.955179999932</v>
      </c>
      <c r="W1443" s="52" t="s">
        <v>49</v>
      </c>
      <c r="X1443" s="110" t="s">
        <v>5162</v>
      </c>
      <c r="Y1443" s="110" t="s">
        <v>5163</v>
      </c>
      <c r="Z1443" s="110" t="s">
        <v>5164</v>
      </c>
      <c r="AA1443" s="52">
        <v>0</v>
      </c>
      <c r="AB1443" s="52">
        <v>0</v>
      </c>
      <c r="AC1443" s="52">
        <v>0</v>
      </c>
      <c r="AD1443" s="21">
        <v>0.35233925183244275</v>
      </c>
      <c r="AE1443" s="54">
        <v>0.35233925183244275</v>
      </c>
      <c r="AF1443" s="315">
        <f t="shared" si="101"/>
        <v>25074.207064810496</v>
      </c>
    </row>
    <row r="1444" spans="1:32" ht="195" x14ac:dyDescent="0.25">
      <c r="A1444" s="112" t="s">
        <v>588</v>
      </c>
      <c r="B1444" s="107" t="s">
        <v>2270</v>
      </c>
      <c r="C1444" s="52"/>
      <c r="D1444" s="108" t="s">
        <v>2301</v>
      </c>
      <c r="E1444" s="22" t="str">
        <f t="shared" si="99"/>
        <v>SEJUSPPROG</v>
      </c>
      <c r="F1444" s="52" t="s">
        <v>729</v>
      </c>
      <c r="G1444" s="22" t="str">
        <f t="shared" si="100"/>
        <v>P130SEJUSP</v>
      </c>
      <c r="H1444" s="52" t="s">
        <v>1183</v>
      </c>
      <c r="I1444" s="22" t="s">
        <v>16</v>
      </c>
      <c r="J1444" s="108" t="s">
        <v>1641</v>
      </c>
      <c r="K1444" s="22" t="str">
        <f>VLOOKUP(CONCATENATE(A1444,LEFT(J1444,4)),AGRUPAMENTO!$D$2:$E$6783,2,FALSE)</f>
        <v xml:space="preserve">Locação de Máquinas e Equipamentos </v>
      </c>
      <c r="L1444" s="108" t="s">
        <v>44</v>
      </c>
      <c r="M1444" s="52"/>
      <c r="N1444" s="52">
        <v>60</v>
      </c>
      <c r="O1444" s="108" t="s">
        <v>3561</v>
      </c>
      <c r="P1444" s="52" t="s">
        <v>58</v>
      </c>
      <c r="Q1444" s="108" t="s">
        <v>4192</v>
      </c>
      <c r="R1444" s="108">
        <v>100</v>
      </c>
      <c r="S1444" s="108" t="s">
        <v>4214</v>
      </c>
      <c r="T1444" s="241">
        <v>7000</v>
      </c>
      <c r="U1444" s="245">
        <v>12</v>
      </c>
      <c r="V1444" s="58">
        <f t="shared" si="98"/>
        <v>8400000</v>
      </c>
      <c r="W1444" s="108" t="s">
        <v>68</v>
      </c>
      <c r="X1444" s="108" t="s">
        <v>4849</v>
      </c>
      <c r="Y1444" s="108" t="s">
        <v>4850</v>
      </c>
      <c r="Z1444" s="108" t="s">
        <v>4851</v>
      </c>
      <c r="AA1444" s="108">
        <v>10</v>
      </c>
      <c r="AB1444" s="108">
        <v>21</v>
      </c>
      <c r="AC1444" s="108">
        <v>50</v>
      </c>
      <c r="AD1444" s="21">
        <v>0</v>
      </c>
      <c r="AE1444" s="54">
        <v>0</v>
      </c>
      <c r="AF1444" s="315">
        <f t="shared" si="101"/>
        <v>0</v>
      </c>
    </row>
    <row r="1445" spans="1:32" ht="75" x14ac:dyDescent="0.25">
      <c r="A1445" s="111" t="s">
        <v>588</v>
      </c>
      <c r="B1445" s="110" t="s">
        <v>2270</v>
      </c>
      <c r="C1445" s="52"/>
      <c r="D1445" s="110" t="s">
        <v>2276</v>
      </c>
      <c r="E1445" s="22" t="str">
        <f t="shared" si="99"/>
        <v>SEJUSPPROG</v>
      </c>
      <c r="F1445" s="52" t="s">
        <v>729</v>
      </c>
      <c r="G1445" s="22" t="str">
        <f t="shared" si="100"/>
        <v>P130SEJUSP</v>
      </c>
      <c r="H1445" s="110" t="s">
        <v>1259</v>
      </c>
      <c r="I1445" s="22" t="s">
        <v>16</v>
      </c>
      <c r="J1445" s="110" t="s">
        <v>264</v>
      </c>
      <c r="K1445" s="22" t="str">
        <f>VLOOKUP(CONCATENATE(A1445,LEFT(J1445,4)),AGRUPAMENTO!$D$2:$E$6783,2,FALSE)</f>
        <v>Obrigações tributárias</v>
      </c>
      <c r="L1445" s="137" t="s">
        <v>44</v>
      </c>
      <c r="M1445" s="52"/>
      <c r="N1445" s="52">
        <v>10</v>
      </c>
      <c r="O1445" s="110" t="s">
        <v>3562</v>
      </c>
      <c r="P1445" s="52" t="s">
        <v>46</v>
      </c>
      <c r="Q1445" s="110" t="s">
        <v>3812</v>
      </c>
      <c r="R1445" s="110">
        <v>1</v>
      </c>
      <c r="S1445" s="110" t="s">
        <v>4215</v>
      </c>
      <c r="T1445" s="240">
        <v>7200</v>
      </c>
      <c r="U1445" s="133">
        <v>12</v>
      </c>
      <c r="V1445" s="58">
        <f t="shared" si="98"/>
        <v>86400</v>
      </c>
      <c r="W1445" s="52" t="s">
        <v>49</v>
      </c>
      <c r="X1445" s="110" t="s">
        <v>5165</v>
      </c>
      <c r="Y1445" s="110" t="s">
        <v>5166</v>
      </c>
      <c r="Z1445" s="110" t="s">
        <v>5167</v>
      </c>
      <c r="AA1445" s="52">
        <v>0</v>
      </c>
      <c r="AB1445" s="52">
        <v>0</v>
      </c>
      <c r="AC1445" s="52">
        <v>0</v>
      </c>
      <c r="AD1445" s="21">
        <v>0.20034174244500716</v>
      </c>
      <c r="AE1445" s="54">
        <v>0.20034174244500716</v>
      </c>
      <c r="AF1445" s="315">
        <f t="shared" si="101"/>
        <v>17309.526547248617</v>
      </c>
    </row>
    <row r="1446" spans="1:32" ht="75" x14ac:dyDescent="0.25">
      <c r="A1446" s="111" t="s">
        <v>588</v>
      </c>
      <c r="B1446" s="110" t="s">
        <v>2270</v>
      </c>
      <c r="C1446" s="52"/>
      <c r="D1446" s="110" t="s">
        <v>2276</v>
      </c>
      <c r="E1446" s="22" t="str">
        <f t="shared" si="99"/>
        <v>SEJUSPPROG</v>
      </c>
      <c r="F1446" s="122" t="s">
        <v>886</v>
      </c>
      <c r="G1446" s="22" t="str">
        <f t="shared" si="100"/>
        <v>P146SEJUSP</v>
      </c>
      <c r="H1446" s="52" t="s">
        <v>1424</v>
      </c>
      <c r="I1446" s="22" t="s">
        <v>16</v>
      </c>
      <c r="J1446" s="110" t="s">
        <v>264</v>
      </c>
      <c r="K1446" s="22" t="str">
        <f>VLOOKUP(CONCATENATE(A1446,LEFT(J1446,4)),AGRUPAMENTO!$D$2:$E$6783,2,FALSE)</f>
        <v>Obrigações tributárias</v>
      </c>
      <c r="L1446" s="137" t="s">
        <v>44</v>
      </c>
      <c r="M1446" s="52"/>
      <c r="N1446" s="52">
        <v>10</v>
      </c>
      <c r="O1446" s="110" t="s">
        <v>3563</v>
      </c>
      <c r="P1446" s="52" t="s">
        <v>46</v>
      </c>
      <c r="Q1446" s="110" t="s">
        <v>3812</v>
      </c>
      <c r="R1446" s="110">
        <v>1</v>
      </c>
      <c r="S1446" s="110" t="s">
        <v>4215</v>
      </c>
      <c r="T1446" s="240">
        <v>22800</v>
      </c>
      <c r="U1446" s="133">
        <v>12</v>
      </c>
      <c r="V1446" s="58">
        <f t="shared" si="98"/>
        <v>273600</v>
      </c>
      <c r="W1446" s="52" t="s">
        <v>49</v>
      </c>
      <c r="X1446" s="110" t="s">
        <v>5168</v>
      </c>
      <c r="Y1446" s="110" t="s">
        <v>5166</v>
      </c>
      <c r="Z1446" s="110" t="s">
        <v>5167</v>
      </c>
      <c r="AA1446" s="52">
        <v>0</v>
      </c>
      <c r="AB1446" s="52">
        <v>0</v>
      </c>
      <c r="AC1446" s="52">
        <v>0</v>
      </c>
      <c r="AD1446" s="21">
        <v>0.20034174244500716</v>
      </c>
      <c r="AE1446" s="54">
        <v>0.20034174244500716</v>
      </c>
      <c r="AF1446" s="315">
        <f t="shared" si="101"/>
        <v>54813.500732953959</v>
      </c>
    </row>
    <row r="1447" spans="1:32" ht="105" x14ac:dyDescent="0.25">
      <c r="A1447" s="111" t="s">
        <v>588</v>
      </c>
      <c r="B1447" s="110" t="s">
        <v>2270</v>
      </c>
      <c r="C1447" s="52"/>
      <c r="D1447" s="110" t="s">
        <v>2276</v>
      </c>
      <c r="E1447" s="22" t="str">
        <f t="shared" si="99"/>
        <v>SEJUSPPROG</v>
      </c>
      <c r="F1447" s="52" t="s">
        <v>729</v>
      </c>
      <c r="G1447" s="22" t="str">
        <f t="shared" si="100"/>
        <v>P130SEJUSP</v>
      </c>
      <c r="H1447" s="110" t="s">
        <v>1183</v>
      </c>
      <c r="I1447" s="22" t="s">
        <v>16</v>
      </c>
      <c r="J1447" s="110" t="s">
        <v>264</v>
      </c>
      <c r="K1447" s="22" t="str">
        <f>VLOOKUP(CONCATENATE(A1447,LEFT(J1447,4)),AGRUPAMENTO!$D$2:$E$6783,2,FALSE)</f>
        <v>Obrigações tributárias</v>
      </c>
      <c r="L1447" s="137" t="s">
        <v>44</v>
      </c>
      <c r="M1447" s="52"/>
      <c r="N1447" s="52">
        <v>60</v>
      </c>
      <c r="O1447" s="110" t="s">
        <v>3564</v>
      </c>
      <c r="P1447" s="52" t="s">
        <v>46</v>
      </c>
      <c r="Q1447" s="110" t="s">
        <v>3812</v>
      </c>
      <c r="R1447" s="110">
        <v>1</v>
      </c>
      <c r="S1447" s="110" t="s">
        <v>4216</v>
      </c>
      <c r="T1447" s="240">
        <v>34200</v>
      </c>
      <c r="U1447" s="133">
        <v>12</v>
      </c>
      <c r="V1447" s="58">
        <f t="shared" si="98"/>
        <v>410400</v>
      </c>
      <c r="W1447" s="52" t="s">
        <v>49</v>
      </c>
      <c r="X1447" s="110" t="s">
        <v>5165</v>
      </c>
      <c r="Y1447" s="110" t="s">
        <v>5169</v>
      </c>
      <c r="Z1447" s="110" t="s">
        <v>5167</v>
      </c>
      <c r="AA1447" s="52">
        <v>0</v>
      </c>
      <c r="AB1447" s="52">
        <v>0</v>
      </c>
      <c r="AC1447" s="52">
        <v>0</v>
      </c>
      <c r="AD1447" s="21">
        <v>0.20034174244500716</v>
      </c>
      <c r="AE1447" s="54">
        <v>0.20034174244500716</v>
      </c>
      <c r="AF1447" s="315">
        <f t="shared" si="101"/>
        <v>82220.251099430941</v>
      </c>
    </row>
    <row r="1448" spans="1:32" ht="195" x14ac:dyDescent="0.25">
      <c r="A1448" s="112" t="s">
        <v>588</v>
      </c>
      <c r="B1448" s="107" t="s">
        <v>2270</v>
      </c>
      <c r="C1448" s="52"/>
      <c r="D1448" s="108" t="s">
        <v>2301</v>
      </c>
      <c r="E1448" s="22" t="str">
        <f t="shared" si="99"/>
        <v>SEJUSPPROG</v>
      </c>
      <c r="F1448" s="52" t="s">
        <v>729</v>
      </c>
      <c r="G1448" s="22" t="str">
        <f t="shared" si="100"/>
        <v>P130SEJUSP</v>
      </c>
      <c r="H1448" s="108" t="s">
        <v>1148</v>
      </c>
      <c r="I1448" s="22" t="s">
        <v>16</v>
      </c>
      <c r="J1448" s="108" t="s">
        <v>1681</v>
      </c>
      <c r="K1448" s="22" t="str">
        <f>VLOOKUP(CONCATENATE(A1448,LEFT(J1448,4)),AGRUPAMENTO!$D$2:$E$6783,2,FALSE)</f>
        <v>Aquisições de itens de TIC</v>
      </c>
      <c r="L1448" s="52" t="s">
        <v>94</v>
      </c>
      <c r="M1448" s="52"/>
      <c r="N1448" s="52">
        <v>60</v>
      </c>
      <c r="O1448" s="108" t="s">
        <v>3565</v>
      </c>
      <c r="P1448" s="52" t="s">
        <v>58</v>
      </c>
      <c r="Q1448" s="108" t="s">
        <v>4217</v>
      </c>
      <c r="R1448" s="108">
        <v>1279</v>
      </c>
      <c r="S1448" s="108" t="s">
        <v>4183</v>
      </c>
      <c r="T1448" s="241">
        <v>2105</v>
      </c>
      <c r="U1448" s="245">
        <v>1</v>
      </c>
      <c r="V1448" s="58">
        <f t="shared" si="98"/>
        <v>2692295</v>
      </c>
      <c r="W1448" s="108" t="s">
        <v>68</v>
      </c>
      <c r="X1448" s="108" t="s">
        <v>4849</v>
      </c>
      <c r="Y1448" s="108" t="s">
        <v>4850</v>
      </c>
      <c r="Z1448" s="108" t="s">
        <v>4851</v>
      </c>
      <c r="AA1448" s="108">
        <v>11</v>
      </c>
      <c r="AB1448" s="108">
        <v>21</v>
      </c>
      <c r="AC1448" s="108">
        <v>50</v>
      </c>
      <c r="AD1448" s="21">
        <v>0</v>
      </c>
      <c r="AE1448" s="54">
        <v>0</v>
      </c>
      <c r="AF1448" s="315">
        <f t="shared" si="101"/>
        <v>0</v>
      </c>
    </row>
    <row r="1449" spans="1:32" ht="195" x14ac:dyDescent="0.25">
      <c r="A1449" s="112" t="s">
        <v>588</v>
      </c>
      <c r="B1449" s="107" t="s">
        <v>2270</v>
      </c>
      <c r="C1449" s="52"/>
      <c r="D1449" s="108" t="s">
        <v>2301</v>
      </c>
      <c r="E1449" s="22" t="str">
        <f t="shared" si="99"/>
        <v>SEJUSPPROG</v>
      </c>
      <c r="F1449" s="108" t="s">
        <v>729</v>
      </c>
      <c r="G1449" s="22" t="str">
        <f t="shared" si="100"/>
        <v>P130SEJUSP</v>
      </c>
      <c r="H1449" s="52" t="s">
        <v>1148</v>
      </c>
      <c r="I1449" s="22" t="s">
        <v>16</v>
      </c>
      <c r="J1449" s="108" t="s">
        <v>1681</v>
      </c>
      <c r="K1449" s="22" t="str">
        <f>VLOOKUP(CONCATENATE(A1449,LEFT(J1449,4)),AGRUPAMENTO!$D$2:$E$6783,2,FALSE)</f>
        <v>Aquisições de itens de TIC</v>
      </c>
      <c r="L1449" s="52" t="s">
        <v>94</v>
      </c>
      <c r="M1449" s="52"/>
      <c r="N1449" s="52">
        <v>60</v>
      </c>
      <c r="O1449" s="108" t="s">
        <v>3566</v>
      </c>
      <c r="P1449" s="52" t="s">
        <v>58</v>
      </c>
      <c r="Q1449" s="108" t="s">
        <v>4217</v>
      </c>
      <c r="R1449" s="108">
        <v>245</v>
      </c>
      <c r="S1449" s="108" t="s">
        <v>4183</v>
      </c>
      <c r="T1449" s="241">
        <v>75000</v>
      </c>
      <c r="U1449" s="245">
        <v>1</v>
      </c>
      <c r="V1449" s="58">
        <f t="shared" si="98"/>
        <v>18375000</v>
      </c>
      <c r="W1449" s="108" t="s">
        <v>68</v>
      </c>
      <c r="X1449" s="108" t="s">
        <v>4849</v>
      </c>
      <c r="Y1449" s="108" t="s">
        <v>4850</v>
      </c>
      <c r="Z1449" s="108" t="s">
        <v>4851</v>
      </c>
      <c r="AA1449" s="108">
        <v>12</v>
      </c>
      <c r="AB1449" s="108">
        <v>21</v>
      </c>
      <c r="AC1449" s="108">
        <v>50</v>
      </c>
      <c r="AD1449" s="21">
        <v>0</v>
      </c>
      <c r="AE1449" s="54">
        <v>0</v>
      </c>
      <c r="AF1449" s="315">
        <f t="shared" si="101"/>
        <v>0</v>
      </c>
    </row>
    <row r="1450" spans="1:32" ht="195" x14ac:dyDescent="0.25">
      <c r="A1450" s="112" t="s">
        <v>588</v>
      </c>
      <c r="B1450" s="107" t="s">
        <v>2270</v>
      </c>
      <c r="C1450" s="52"/>
      <c r="D1450" s="108" t="s">
        <v>2301</v>
      </c>
      <c r="E1450" s="22" t="str">
        <f t="shared" si="99"/>
        <v>SEJUSPPROG</v>
      </c>
      <c r="F1450" s="52" t="s">
        <v>729</v>
      </c>
      <c r="G1450" s="22" t="str">
        <f t="shared" si="100"/>
        <v>P130SEJUSP</v>
      </c>
      <c r="H1450" s="52" t="s">
        <v>1148</v>
      </c>
      <c r="I1450" s="22" t="s">
        <v>16</v>
      </c>
      <c r="J1450" s="108" t="s">
        <v>1681</v>
      </c>
      <c r="K1450" s="22" t="str">
        <f>VLOOKUP(CONCATENATE(A1450,LEFT(J1450,4)),AGRUPAMENTO!$D$2:$E$6783,2,FALSE)</f>
        <v>Aquisições de itens de TIC</v>
      </c>
      <c r="L1450" s="52" t="s">
        <v>94</v>
      </c>
      <c r="M1450" s="52"/>
      <c r="N1450" s="52">
        <v>60</v>
      </c>
      <c r="O1450" s="108" t="s">
        <v>3567</v>
      </c>
      <c r="P1450" s="52" t="s">
        <v>58</v>
      </c>
      <c r="Q1450" s="108" t="s">
        <v>4217</v>
      </c>
      <c r="R1450" s="108">
        <v>738</v>
      </c>
      <c r="S1450" s="108" t="s">
        <v>4183</v>
      </c>
      <c r="T1450" s="241">
        <v>1917</v>
      </c>
      <c r="U1450" s="245">
        <v>1</v>
      </c>
      <c r="V1450" s="58">
        <f t="shared" si="98"/>
        <v>1414746</v>
      </c>
      <c r="W1450" s="108" t="s">
        <v>68</v>
      </c>
      <c r="X1450" s="108" t="s">
        <v>4849</v>
      </c>
      <c r="Y1450" s="108" t="s">
        <v>4850</v>
      </c>
      <c r="Z1450" s="108" t="s">
        <v>4850</v>
      </c>
      <c r="AA1450" s="108">
        <v>13</v>
      </c>
      <c r="AB1450" s="108">
        <v>21</v>
      </c>
      <c r="AC1450" s="108">
        <v>50</v>
      </c>
      <c r="AD1450" s="21">
        <v>0</v>
      </c>
      <c r="AE1450" s="54">
        <v>0</v>
      </c>
      <c r="AF1450" s="315">
        <f t="shared" si="101"/>
        <v>0</v>
      </c>
    </row>
    <row r="1451" spans="1:32" ht="105" x14ac:dyDescent="0.25">
      <c r="A1451" s="111" t="s">
        <v>588</v>
      </c>
      <c r="B1451" s="110" t="s">
        <v>2270</v>
      </c>
      <c r="C1451" s="52"/>
      <c r="D1451" s="110" t="s">
        <v>2276</v>
      </c>
      <c r="E1451" s="22" t="str">
        <f t="shared" si="99"/>
        <v>SEJUSPPROG</v>
      </c>
      <c r="F1451" s="52" t="s">
        <v>729</v>
      </c>
      <c r="G1451" s="22" t="str">
        <f t="shared" si="100"/>
        <v>P130SEJUSP</v>
      </c>
      <c r="H1451" s="110" t="s">
        <v>1183</v>
      </c>
      <c r="I1451" s="22" t="s">
        <v>16</v>
      </c>
      <c r="J1451" s="110" t="s">
        <v>1642</v>
      </c>
      <c r="K1451" s="22" t="str">
        <f>VLOOKUP(CONCATENATE(A1451,LEFT(J1451,4)),AGRUPAMENTO!$D$2:$E$6783,2,FALSE)</f>
        <v>Gestão de equipamentos</v>
      </c>
      <c r="L1451" s="137" t="s">
        <v>44</v>
      </c>
      <c r="M1451" s="52"/>
      <c r="N1451" s="52">
        <v>60</v>
      </c>
      <c r="O1451" s="110" t="s">
        <v>3568</v>
      </c>
      <c r="P1451" s="52" t="s">
        <v>46</v>
      </c>
      <c r="Q1451" s="110" t="s">
        <v>3812</v>
      </c>
      <c r="R1451" s="110">
        <v>1</v>
      </c>
      <c r="S1451" s="110" t="s">
        <v>4218</v>
      </c>
      <c r="T1451" s="240">
        <v>61966.416666666599</v>
      </c>
      <c r="U1451" s="133">
        <v>12</v>
      </c>
      <c r="V1451" s="58">
        <f t="shared" si="98"/>
        <v>743596.99999999919</v>
      </c>
      <c r="W1451" s="52" t="s">
        <v>49</v>
      </c>
      <c r="X1451" s="110" t="s">
        <v>5117</v>
      </c>
      <c r="Y1451" s="110" t="s">
        <v>5020</v>
      </c>
      <c r="Z1451" s="110" t="s">
        <v>5021</v>
      </c>
      <c r="AA1451" s="52">
        <v>0</v>
      </c>
      <c r="AB1451" s="52">
        <v>0</v>
      </c>
      <c r="AC1451" s="52">
        <v>0</v>
      </c>
      <c r="AD1451" s="21">
        <v>0.88454016594970364</v>
      </c>
      <c r="AE1451" s="54">
        <v>0.88454016594970364</v>
      </c>
      <c r="AF1451" s="315">
        <f t="shared" si="101"/>
        <v>657741.41377970111</v>
      </c>
    </row>
    <row r="1452" spans="1:32" ht="105" x14ac:dyDescent="0.25">
      <c r="A1452" s="111" t="s">
        <v>588</v>
      </c>
      <c r="B1452" s="110" t="s">
        <v>2270</v>
      </c>
      <c r="C1452" s="52"/>
      <c r="D1452" s="110" t="s">
        <v>2276</v>
      </c>
      <c r="E1452" s="22" t="str">
        <f t="shared" si="99"/>
        <v>SEJUSPPROG</v>
      </c>
      <c r="F1452" s="122" t="s">
        <v>886</v>
      </c>
      <c r="G1452" s="22" t="str">
        <f t="shared" si="100"/>
        <v>P146SEJUSP</v>
      </c>
      <c r="H1452" s="52" t="s">
        <v>1424</v>
      </c>
      <c r="I1452" s="22" t="s">
        <v>16</v>
      </c>
      <c r="J1452" s="110" t="s">
        <v>1642</v>
      </c>
      <c r="K1452" s="22" t="str">
        <f>VLOOKUP(CONCATENATE(A1452,LEFT(J1452,4)),AGRUPAMENTO!$D$2:$E$6783,2,FALSE)</f>
        <v>Gestão de equipamentos</v>
      </c>
      <c r="L1452" s="137" t="s">
        <v>44</v>
      </c>
      <c r="M1452" s="52"/>
      <c r="N1452" s="52">
        <v>10</v>
      </c>
      <c r="O1452" s="110" t="s">
        <v>3569</v>
      </c>
      <c r="P1452" s="52" t="s">
        <v>46</v>
      </c>
      <c r="Q1452" s="110" t="s">
        <v>3812</v>
      </c>
      <c r="R1452" s="110">
        <v>1</v>
      </c>
      <c r="S1452" s="110" t="s">
        <v>4219</v>
      </c>
      <c r="T1452" s="240">
        <v>13563</v>
      </c>
      <c r="U1452" s="133">
        <v>12</v>
      </c>
      <c r="V1452" s="58">
        <f t="shared" si="98"/>
        <v>162756</v>
      </c>
      <c r="W1452" s="52" t="s">
        <v>49</v>
      </c>
      <c r="X1452" s="110" t="s">
        <v>5117</v>
      </c>
      <c r="Y1452" s="110" t="s">
        <v>5020</v>
      </c>
      <c r="Z1452" s="110" t="s">
        <v>5021</v>
      </c>
      <c r="AA1452" s="52">
        <v>0</v>
      </c>
      <c r="AB1452" s="52">
        <v>0</v>
      </c>
      <c r="AC1452" s="52">
        <v>0</v>
      </c>
      <c r="AD1452" s="21">
        <v>0.88454016594970364</v>
      </c>
      <c r="AE1452" s="54">
        <v>0.88454016594970364</v>
      </c>
      <c r="AF1452" s="315">
        <f t="shared" si="101"/>
        <v>143964.21924930997</v>
      </c>
    </row>
    <row r="1453" spans="1:32" ht="105" x14ac:dyDescent="0.25">
      <c r="A1453" s="111" t="s">
        <v>588</v>
      </c>
      <c r="B1453" s="110" t="s">
        <v>2270</v>
      </c>
      <c r="C1453" s="52"/>
      <c r="D1453" s="110" t="s">
        <v>2276</v>
      </c>
      <c r="E1453" s="22" t="str">
        <f t="shared" si="99"/>
        <v>SEJUSPPROG</v>
      </c>
      <c r="F1453" s="122" t="s">
        <v>886</v>
      </c>
      <c r="G1453" s="22" t="str">
        <f t="shared" si="100"/>
        <v>P146SEJUSP</v>
      </c>
      <c r="H1453" s="52" t="s">
        <v>1424</v>
      </c>
      <c r="I1453" s="22" t="s">
        <v>16</v>
      </c>
      <c r="J1453" s="110" t="s">
        <v>1642</v>
      </c>
      <c r="K1453" s="22" t="str">
        <f>VLOOKUP(CONCATENATE(A1453,LEFT(J1453,4)),AGRUPAMENTO!$D$2:$E$6783,2,FALSE)</f>
        <v>Gestão de equipamentos</v>
      </c>
      <c r="L1453" s="137" t="s">
        <v>44</v>
      </c>
      <c r="M1453" s="52"/>
      <c r="N1453" s="52">
        <v>10</v>
      </c>
      <c r="O1453" s="110" t="s">
        <v>3570</v>
      </c>
      <c r="P1453" s="52" t="s">
        <v>46</v>
      </c>
      <c r="Q1453" s="110" t="s">
        <v>3812</v>
      </c>
      <c r="R1453" s="110">
        <v>1</v>
      </c>
      <c r="S1453" s="110" t="s">
        <v>4219</v>
      </c>
      <c r="T1453" s="240">
        <v>29564</v>
      </c>
      <c r="U1453" s="133">
        <v>12</v>
      </c>
      <c r="V1453" s="58">
        <f t="shared" si="98"/>
        <v>354768</v>
      </c>
      <c r="W1453" s="52" t="s">
        <v>49</v>
      </c>
      <c r="X1453" s="110" t="s">
        <v>5117</v>
      </c>
      <c r="Y1453" s="110" t="s">
        <v>5020</v>
      </c>
      <c r="Z1453" s="110" t="s">
        <v>5021</v>
      </c>
      <c r="AA1453" s="52">
        <v>0</v>
      </c>
      <c r="AB1453" s="52">
        <v>0</v>
      </c>
      <c r="AC1453" s="52">
        <v>0</v>
      </c>
      <c r="AD1453" s="21">
        <v>0.88454016594970364</v>
      </c>
      <c r="AE1453" s="54">
        <v>0.88454016594970364</v>
      </c>
      <c r="AF1453" s="315">
        <f t="shared" si="101"/>
        <v>313806.54559364443</v>
      </c>
    </row>
    <row r="1454" spans="1:32" ht="150" x14ac:dyDescent="0.25">
      <c r="A1454" s="111" t="s">
        <v>588</v>
      </c>
      <c r="B1454" s="110" t="s">
        <v>2270</v>
      </c>
      <c r="C1454" s="52"/>
      <c r="D1454" s="110" t="s">
        <v>2276</v>
      </c>
      <c r="E1454" s="22" t="str">
        <f t="shared" si="99"/>
        <v>SEJUSPPROG</v>
      </c>
      <c r="F1454" s="52" t="s">
        <v>729</v>
      </c>
      <c r="G1454" s="22" t="str">
        <f t="shared" si="100"/>
        <v>P130SEJUSP</v>
      </c>
      <c r="H1454" s="110" t="s">
        <v>1259</v>
      </c>
      <c r="I1454" s="22" t="s">
        <v>16</v>
      </c>
      <c r="J1454" s="110" t="s">
        <v>1642</v>
      </c>
      <c r="K1454" s="22" t="str">
        <f>VLOOKUP(CONCATENATE(A1454,LEFT(J1454,4)),AGRUPAMENTO!$D$2:$E$6783,2,FALSE)</f>
        <v>Gestão de equipamentos</v>
      </c>
      <c r="L1454" s="137" t="s">
        <v>44</v>
      </c>
      <c r="M1454" s="52"/>
      <c r="N1454" s="52">
        <v>10</v>
      </c>
      <c r="O1454" s="110" t="s">
        <v>3571</v>
      </c>
      <c r="P1454" s="52" t="s">
        <v>46</v>
      </c>
      <c r="Q1454" s="110" t="s">
        <v>3812</v>
      </c>
      <c r="R1454" s="110">
        <v>1</v>
      </c>
      <c r="S1454" s="110" t="s">
        <v>4184</v>
      </c>
      <c r="T1454" s="240">
        <v>397916.66666666599</v>
      </c>
      <c r="U1454" s="133">
        <v>12</v>
      </c>
      <c r="V1454" s="58">
        <f t="shared" si="98"/>
        <v>4774999.9999999916</v>
      </c>
      <c r="W1454" s="52" t="s">
        <v>49</v>
      </c>
      <c r="X1454" s="110" t="s">
        <v>5128</v>
      </c>
      <c r="Y1454" s="110" t="s">
        <v>5020</v>
      </c>
      <c r="Z1454" s="110" t="s">
        <v>5021</v>
      </c>
      <c r="AA1454" s="52">
        <v>0</v>
      </c>
      <c r="AB1454" s="52">
        <v>0</v>
      </c>
      <c r="AC1454" s="52">
        <v>0</v>
      </c>
      <c r="AD1454" s="21">
        <v>0.88454016594970364</v>
      </c>
      <c r="AE1454" s="54">
        <v>0.88454016594970364</v>
      </c>
      <c r="AF1454" s="315">
        <f t="shared" si="101"/>
        <v>4223679.292409827</v>
      </c>
    </row>
    <row r="1455" spans="1:32" ht="105" x14ac:dyDescent="0.25">
      <c r="A1455" s="111" t="s">
        <v>588</v>
      </c>
      <c r="B1455" s="110" t="s">
        <v>2270</v>
      </c>
      <c r="C1455" s="52"/>
      <c r="D1455" s="110" t="s">
        <v>2276</v>
      </c>
      <c r="E1455" s="22" t="str">
        <f t="shared" si="99"/>
        <v>SEJUSPPROG</v>
      </c>
      <c r="F1455" s="116" t="s">
        <v>687</v>
      </c>
      <c r="G1455" s="22" t="str">
        <f t="shared" si="100"/>
        <v>P705SEJUSP</v>
      </c>
      <c r="H1455" s="52" t="s">
        <v>914</v>
      </c>
      <c r="I1455" s="22" t="s">
        <v>16</v>
      </c>
      <c r="J1455" s="110" t="s">
        <v>1642</v>
      </c>
      <c r="K1455" s="22" t="str">
        <f>VLOOKUP(CONCATENATE(A1455,LEFT(J1455,4)),AGRUPAMENTO!$D$2:$E$6783,2,FALSE)</f>
        <v>Gestão de equipamentos</v>
      </c>
      <c r="L1455" s="137" t="s">
        <v>44</v>
      </c>
      <c r="M1455" s="52"/>
      <c r="N1455" s="52">
        <v>10</v>
      </c>
      <c r="O1455" s="110" t="s">
        <v>3572</v>
      </c>
      <c r="P1455" s="52" t="s">
        <v>46</v>
      </c>
      <c r="Q1455" s="110" t="s">
        <v>3812</v>
      </c>
      <c r="R1455" s="110">
        <v>1</v>
      </c>
      <c r="S1455" s="110" t="s">
        <v>4220</v>
      </c>
      <c r="T1455" s="240">
        <v>31569</v>
      </c>
      <c r="U1455" s="133">
        <v>12</v>
      </c>
      <c r="V1455" s="58">
        <f t="shared" si="98"/>
        <v>378828</v>
      </c>
      <c r="W1455" s="52" t="s">
        <v>49</v>
      </c>
      <c r="X1455" s="110" t="s">
        <v>5117</v>
      </c>
      <c r="Y1455" s="110" t="s">
        <v>5020</v>
      </c>
      <c r="Z1455" s="110" t="s">
        <v>5021</v>
      </c>
      <c r="AA1455" s="52">
        <v>0</v>
      </c>
      <c r="AB1455" s="52">
        <v>0</v>
      </c>
      <c r="AC1455" s="52">
        <v>0</v>
      </c>
      <c r="AD1455" s="21">
        <v>0.88454016594970364</v>
      </c>
      <c r="AE1455" s="54">
        <v>0.88454016594970364</v>
      </c>
      <c r="AF1455" s="315">
        <f t="shared" si="101"/>
        <v>335088.5819863943</v>
      </c>
    </row>
    <row r="1456" spans="1:32" ht="105" x14ac:dyDescent="0.25">
      <c r="A1456" s="111" t="s">
        <v>588</v>
      </c>
      <c r="B1456" s="110" t="s">
        <v>2270</v>
      </c>
      <c r="C1456" s="52"/>
      <c r="D1456" s="110" t="s">
        <v>2276</v>
      </c>
      <c r="E1456" s="22" t="str">
        <f t="shared" si="99"/>
        <v>SEJUSPPROG</v>
      </c>
      <c r="F1456" s="116" t="s">
        <v>687</v>
      </c>
      <c r="G1456" s="22" t="str">
        <f t="shared" si="100"/>
        <v>P705SEJUSP</v>
      </c>
      <c r="H1456" s="52" t="s">
        <v>914</v>
      </c>
      <c r="I1456" s="22" t="s">
        <v>16</v>
      </c>
      <c r="J1456" s="110" t="s">
        <v>1642</v>
      </c>
      <c r="K1456" s="22" t="str">
        <f>VLOOKUP(CONCATENATE(A1456,LEFT(J1456,4)),AGRUPAMENTO!$D$2:$E$6783,2,FALSE)</f>
        <v>Gestão de equipamentos</v>
      </c>
      <c r="L1456" s="137" t="s">
        <v>44</v>
      </c>
      <c r="M1456" s="52"/>
      <c r="N1456" s="52">
        <v>10</v>
      </c>
      <c r="O1456" s="110" t="s">
        <v>3573</v>
      </c>
      <c r="P1456" s="52" t="s">
        <v>46</v>
      </c>
      <c r="Q1456" s="110" t="s">
        <v>3812</v>
      </c>
      <c r="R1456" s="110">
        <v>1</v>
      </c>
      <c r="S1456" s="110" t="s">
        <v>4221</v>
      </c>
      <c r="T1456" s="240">
        <v>9670.2604166666697</v>
      </c>
      <c r="U1456" s="133">
        <v>12</v>
      </c>
      <c r="V1456" s="58">
        <f t="shared" si="98"/>
        <v>116043.12500000003</v>
      </c>
      <c r="W1456" s="52" t="s">
        <v>49</v>
      </c>
      <c r="X1456" s="110" t="s">
        <v>5117</v>
      </c>
      <c r="Y1456" s="110" t="s">
        <v>5020</v>
      </c>
      <c r="Z1456" s="110" t="s">
        <v>5021</v>
      </c>
      <c r="AA1456" s="52">
        <v>0</v>
      </c>
      <c r="AB1456" s="52">
        <v>0</v>
      </c>
      <c r="AC1456" s="52">
        <v>0</v>
      </c>
      <c r="AD1456" s="21">
        <v>0.88454016594970364</v>
      </c>
      <c r="AE1456" s="54">
        <v>0.88454016594970364</v>
      </c>
      <c r="AF1456" s="315">
        <f t="shared" si="101"/>
        <v>102644.80504482223</v>
      </c>
    </row>
    <row r="1457" spans="1:32" ht="150" x14ac:dyDescent="0.25">
      <c r="A1457" s="113" t="s">
        <v>588</v>
      </c>
      <c r="B1457" s="110" t="s">
        <v>2270</v>
      </c>
      <c r="C1457" s="52"/>
      <c r="D1457" s="110" t="s">
        <v>2276</v>
      </c>
      <c r="E1457" s="22" t="str">
        <f t="shared" si="99"/>
        <v>SEJUSPPROG</v>
      </c>
      <c r="F1457" s="52" t="s">
        <v>729</v>
      </c>
      <c r="G1457" s="22" t="str">
        <f t="shared" si="100"/>
        <v>P130SEJUSP</v>
      </c>
      <c r="H1457" s="122" t="s">
        <v>1183</v>
      </c>
      <c r="I1457" s="22" t="s">
        <v>16</v>
      </c>
      <c r="J1457" s="122" t="s">
        <v>287</v>
      </c>
      <c r="K1457" s="22" t="str">
        <f>VLOOKUP(CONCATENATE(A1457,LEFT(J1457,4)),AGRUPAMENTO!$D$2:$E$6783,2,FALSE)</f>
        <v>Demais despesas de capital</v>
      </c>
      <c r="L1457" s="122" t="s">
        <v>94</v>
      </c>
      <c r="M1457" s="52"/>
      <c r="N1457" s="123">
        <v>10</v>
      </c>
      <c r="O1457" s="122" t="s">
        <v>3574</v>
      </c>
      <c r="P1457" s="52" t="s">
        <v>58</v>
      </c>
      <c r="Q1457" s="122" t="s">
        <v>3964</v>
      </c>
      <c r="R1457" s="141">
        <v>100</v>
      </c>
      <c r="S1457" s="122" t="s">
        <v>3886</v>
      </c>
      <c r="T1457" s="243">
        <v>5853.46</v>
      </c>
      <c r="U1457" s="249">
        <v>1</v>
      </c>
      <c r="V1457" s="58">
        <f t="shared" si="98"/>
        <v>585346</v>
      </c>
      <c r="W1457" s="122" t="s">
        <v>68</v>
      </c>
      <c r="X1457" s="122" t="s">
        <v>5170</v>
      </c>
      <c r="Y1457" s="122" t="s">
        <v>4738</v>
      </c>
      <c r="Z1457" s="122" t="s">
        <v>4739</v>
      </c>
      <c r="AA1457" s="122">
        <v>15</v>
      </c>
      <c r="AB1457" s="122">
        <v>22</v>
      </c>
      <c r="AC1457" s="108">
        <v>51</v>
      </c>
      <c r="AD1457" s="21">
        <v>0</v>
      </c>
      <c r="AE1457" s="54">
        <v>0</v>
      </c>
      <c r="AF1457" s="315">
        <f t="shared" si="101"/>
        <v>0</v>
      </c>
    </row>
    <row r="1458" spans="1:32" ht="105" x14ac:dyDescent="0.25">
      <c r="A1458" s="111" t="s">
        <v>588</v>
      </c>
      <c r="B1458" s="110" t="s">
        <v>2270</v>
      </c>
      <c r="C1458" s="52"/>
      <c r="D1458" s="110" t="s">
        <v>2276</v>
      </c>
      <c r="E1458" s="22" t="str">
        <f t="shared" si="99"/>
        <v>SEJUSPPROG</v>
      </c>
      <c r="F1458" s="108" t="s">
        <v>729</v>
      </c>
      <c r="G1458" s="22" t="str">
        <f t="shared" si="100"/>
        <v>P130SEJUSP</v>
      </c>
      <c r="H1458" s="115" t="s">
        <v>1259</v>
      </c>
      <c r="I1458" s="22" t="s">
        <v>16</v>
      </c>
      <c r="J1458" s="110" t="s">
        <v>1642</v>
      </c>
      <c r="K1458" s="22" t="str">
        <f>VLOOKUP(CONCATENATE(A1458,LEFT(J1458,4)),AGRUPAMENTO!$D$2:$E$6783,2,FALSE)</f>
        <v>Gestão de equipamentos</v>
      </c>
      <c r="L1458" s="137" t="s">
        <v>44</v>
      </c>
      <c r="M1458" s="52"/>
      <c r="N1458" s="52">
        <v>10</v>
      </c>
      <c r="O1458" s="110" t="s">
        <v>3575</v>
      </c>
      <c r="P1458" s="52" t="s">
        <v>58</v>
      </c>
      <c r="Q1458" s="110" t="s">
        <v>3812</v>
      </c>
      <c r="R1458" s="110">
        <v>1</v>
      </c>
      <c r="S1458" s="110" t="s">
        <v>4222</v>
      </c>
      <c r="T1458" s="240">
        <v>26041.666666666701</v>
      </c>
      <c r="U1458" s="133">
        <v>12</v>
      </c>
      <c r="V1458" s="58">
        <f t="shared" si="98"/>
        <v>312500.00000000041</v>
      </c>
      <c r="W1458" s="110" t="s">
        <v>68</v>
      </c>
      <c r="X1458" s="110" t="s">
        <v>5171</v>
      </c>
      <c r="Y1458" s="110" t="s">
        <v>5020</v>
      </c>
      <c r="Z1458" s="110" t="s">
        <v>5021</v>
      </c>
      <c r="AA1458" s="122">
        <v>16</v>
      </c>
      <c r="AB1458" s="122">
        <v>23</v>
      </c>
      <c r="AC1458" s="122">
        <v>52</v>
      </c>
      <c r="AD1458" s="21">
        <v>0</v>
      </c>
      <c r="AE1458" s="54">
        <v>0</v>
      </c>
      <c r="AF1458" s="315">
        <f t="shared" si="101"/>
        <v>0</v>
      </c>
    </row>
    <row r="1459" spans="1:32" ht="105" x14ac:dyDescent="0.25">
      <c r="A1459" s="111" t="s">
        <v>588</v>
      </c>
      <c r="B1459" s="110" t="s">
        <v>2270</v>
      </c>
      <c r="C1459" s="52"/>
      <c r="D1459" s="110" t="s">
        <v>2276</v>
      </c>
      <c r="E1459" s="22" t="str">
        <f t="shared" si="99"/>
        <v>SEJUSPPROG</v>
      </c>
      <c r="F1459" s="52" t="s">
        <v>729</v>
      </c>
      <c r="G1459" s="22" t="str">
        <f t="shared" si="100"/>
        <v>P130SEJUSP</v>
      </c>
      <c r="H1459" s="115" t="s">
        <v>1259</v>
      </c>
      <c r="I1459" s="22" t="s">
        <v>16</v>
      </c>
      <c r="J1459" s="110" t="s">
        <v>1642</v>
      </c>
      <c r="K1459" s="22" t="str">
        <f>VLOOKUP(CONCATENATE(A1459,LEFT(J1459,4)),AGRUPAMENTO!$D$2:$E$6783,2,FALSE)</f>
        <v>Gestão de equipamentos</v>
      </c>
      <c r="L1459" s="137" t="s">
        <v>44</v>
      </c>
      <c r="M1459" s="52"/>
      <c r="N1459" s="52">
        <v>10</v>
      </c>
      <c r="O1459" s="110" t="s">
        <v>3576</v>
      </c>
      <c r="P1459" s="52" t="s">
        <v>58</v>
      </c>
      <c r="Q1459" s="110" t="s">
        <v>3812</v>
      </c>
      <c r="R1459" s="110">
        <v>1</v>
      </c>
      <c r="S1459" s="110" t="s">
        <v>4222</v>
      </c>
      <c r="T1459" s="240">
        <v>26041.666666666701</v>
      </c>
      <c r="U1459" s="133">
        <v>12</v>
      </c>
      <c r="V1459" s="58">
        <f t="shared" si="98"/>
        <v>312500.00000000041</v>
      </c>
      <c r="W1459" s="110" t="s">
        <v>68</v>
      </c>
      <c r="X1459" s="110" t="s">
        <v>5171</v>
      </c>
      <c r="Y1459" s="110" t="s">
        <v>5020</v>
      </c>
      <c r="Z1459" s="110" t="s">
        <v>5021</v>
      </c>
      <c r="AA1459" s="110">
        <v>16</v>
      </c>
      <c r="AB1459" s="110">
        <v>23</v>
      </c>
      <c r="AC1459" s="110">
        <v>52</v>
      </c>
      <c r="AD1459" s="21">
        <v>0</v>
      </c>
      <c r="AE1459" s="54">
        <v>0</v>
      </c>
      <c r="AF1459" s="315">
        <f t="shared" si="101"/>
        <v>0</v>
      </c>
    </row>
    <row r="1460" spans="1:32" ht="105" x14ac:dyDescent="0.25">
      <c r="A1460" s="111" t="s">
        <v>588</v>
      </c>
      <c r="B1460" s="110" t="s">
        <v>2270</v>
      </c>
      <c r="C1460" s="52"/>
      <c r="D1460" s="110" t="s">
        <v>2276</v>
      </c>
      <c r="E1460" s="22" t="str">
        <f t="shared" si="99"/>
        <v>SEJUSPPROG</v>
      </c>
      <c r="F1460" s="52" t="s">
        <v>729</v>
      </c>
      <c r="G1460" s="22" t="str">
        <f t="shared" si="100"/>
        <v>P130SEJUSP</v>
      </c>
      <c r="H1460" s="110" t="s">
        <v>1183</v>
      </c>
      <c r="I1460" s="22" t="s">
        <v>16</v>
      </c>
      <c r="J1460" s="110" t="s">
        <v>1642</v>
      </c>
      <c r="K1460" s="22" t="str">
        <f>VLOOKUP(CONCATENATE(A1460,LEFT(J1460,4)),AGRUPAMENTO!$D$2:$E$6783,2,FALSE)</f>
        <v>Gestão de equipamentos</v>
      </c>
      <c r="L1460" s="137" t="s">
        <v>44</v>
      </c>
      <c r="M1460" s="52"/>
      <c r="N1460" s="52">
        <v>60</v>
      </c>
      <c r="O1460" s="110" t="s">
        <v>3577</v>
      </c>
      <c r="P1460" s="52" t="s">
        <v>46</v>
      </c>
      <c r="Q1460" s="110" t="s">
        <v>3812</v>
      </c>
      <c r="R1460" s="110">
        <v>1</v>
      </c>
      <c r="S1460" s="110" t="s">
        <v>4223</v>
      </c>
      <c r="T1460" s="240">
        <v>170831.674</v>
      </c>
      <c r="U1460" s="133">
        <v>12</v>
      </c>
      <c r="V1460" s="58">
        <f t="shared" si="98"/>
        <v>2049980.088</v>
      </c>
      <c r="W1460" s="52" t="s">
        <v>49</v>
      </c>
      <c r="X1460" s="110" t="s">
        <v>3577</v>
      </c>
      <c r="Y1460" s="110" t="s">
        <v>5020</v>
      </c>
      <c r="Z1460" s="110" t="s">
        <v>5021</v>
      </c>
      <c r="AA1460" s="52">
        <v>0</v>
      </c>
      <c r="AB1460" s="52">
        <v>0</v>
      </c>
      <c r="AC1460" s="52">
        <v>0</v>
      </c>
      <c r="AD1460" s="21">
        <v>0.88454016594970364</v>
      </c>
      <c r="AE1460" s="54">
        <v>0.88454016594970364</v>
      </c>
      <c r="AF1460" s="315">
        <f t="shared" si="101"/>
        <v>1813289.7272331081</v>
      </c>
    </row>
    <row r="1461" spans="1:32" ht="195" x14ac:dyDescent="0.25">
      <c r="A1461" s="111" t="s">
        <v>588</v>
      </c>
      <c r="B1461" s="110" t="s">
        <v>2270</v>
      </c>
      <c r="C1461" s="52"/>
      <c r="D1461" s="110" t="s">
        <v>2276</v>
      </c>
      <c r="E1461" s="22" t="str">
        <f t="shared" si="99"/>
        <v>SEJUSPPROG</v>
      </c>
      <c r="F1461" s="52" t="s">
        <v>729</v>
      </c>
      <c r="G1461" s="22" t="str">
        <f t="shared" si="100"/>
        <v>P130SEJUSP</v>
      </c>
      <c r="H1461" s="110" t="s">
        <v>1183</v>
      </c>
      <c r="I1461" s="22" t="s">
        <v>16</v>
      </c>
      <c r="J1461" s="110" t="s">
        <v>1627</v>
      </c>
      <c r="K1461" s="22" t="str">
        <f>VLOOKUP(CONCATENATE(A1461,LEFT(J1461,4)),AGRUPAMENTO!$D$2:$E$6783,2,FALSE)</f>
        <v>Diárias e viagens</v>
      </c>
      <c r="L1461" s="137" t="s">
        <v>44</v>
      </c>
      <c r="M1461" s="52"/>
      <c r="N1461" s="52">
        <v>60</v>
      </c>
      <c r="O1461" s="110" t="s">
        <v>3578</v>
      </c>
      <c r="P1461" s="52" t="s">
        <v>46</v>
      </c>
      <c r="Q1461" s="110" t="s">
        <v>3812</v>
      </c>
      <c r="R1461" s="110">
        <v>1</v>
      </c>
      <c r="S1461" s="110" t="s">
        <v>4224</v>
      </c>
      <c r="T1461" s="240">
        <v>24512.748500000002</v>
      </c>
      <c r="U1461" s="133">
        <v>12</v>
      </c>
      <c r="V1461" s="58">
        <f t="shared" si="98"/>
        <v>294152.98200000002</v>
      </c>
      <c r="W1461" s="52" t="s">
        <v>49</v>
      </c>
      <c r="X1461" s="110" t="s">
        <v>5172</v>
      </c>
      <c r="Y1461" s="110" t="s">
        <v>5173</v>
      </c>
      <c r="Z1461" s="110" t="s">
        <v>5174</v>
      </c>
      <c r="AA1461" s="52">
        <v>0</v>
      </c>
      <c r="AB1461" s="52">
        <v>0</v>
      </c>
      <c r="AC1461" s="52">
        <v>0</v>
      </c>
      <c r="AD1461" s="21">
        <v>0.86749884668513244</v>
      </c>
      <c r="AE1461" s="54">
        <v>0.86749884668513244</v>
      </c>
      <c r="AF1461" s="315">
        <f t="shared" si="101"/>
        <v>255177.37263399255</v>
      </c>
    </row>
    <row r="1462" spans="1:32" ht="195" x14ac:dyDescent="0.25">
      <c r="A1462" s="111" t="s">
        <v>588</v>
      </c>
      <c r="B1462" s="110" t="s">
        <v>2270</v>
      </c>
      <c r="C1462" s="52"/>
      <c r="D1462" s="110" t="s">
        <v>2276</v>
      </c>
      <c r="E1462" s="22" t="str">
        <f t="shared" si="99"/>
        <v>SEJUSPPROG</v>
      </c>
      <c r="F1462" s="116" t="s">
        <v>687</v>
      </c>
      <c r="G1462" s="22" t="str">
        <f t="shared" si="100"/>
        <v>P705SEJUSP</v>
      </c>
      <c r="H1462" s="110" t="s">
        <v>914</v>
      </c>
      <c r="I1462" s="22" t="s">
        <v>16</v>
      </c>
      <c r="J1462" s="110" t="s">
        <v>1627</v>
      </c>
      <c r="K1462" s="22" t="str">
        <f>VLOOKUP(CONCATENATE(A1462,LEFT(J1462,4)),AGRUPAMENTO!$D$2:$E$6783,2,FALSE)</f>
        <v>Diárias e viagens</v>
      </c>
      <c r="L1462" s="137" t="s">
        <v>44</v>
      </c>
      <c r="M1462" s="52"/>
      <c r="N1462" s="52">
        <v>10</v>
      </c>
      <c r="O1462" s="110" t="s">
        <v>3579</v>
      </c>
      <c r="P1462" s="52" t="s">
        <v>46</v>
      </c>
      <c r="Q1462" s="110" t="s">
        <v>3812</v>
      </c>
      <c r="R1462" s="110">
        <v>1</v>
      </c>
      <c r="S1462" s="110" t="s">
        <v>4224</v>
      </c>
      <c r="T1462" s="240">
        <v>8845.9326541666596</v>
      </c>
      <c r="U1462" s="133">
        <v>12</v>
      </c>
      <c r="V1462" s="58">
        <f t="shared" si="98"/>
        <v>106151.19184999992</v>
      </c>
      <c r="W1462" s="52" t="s">
        <v>49</v>
      </c>
      <c r="X1462" s="110" t="s">
        <v>5172</v>
      </c>
      <c r="Y1462" s="110" t="s">
        <v>5173</v>
      </c>
      <c r="Z1462" s="110" t="s">
        <v>5174</v>
      </c>
      <c r="AA1462" s="52">
        <v>0</v>
      </c>
      <c r="AB1462" s="52">
        <v>0</v>
      </c>
      <c r="AC1462" s="52">
        <v>0</v>
      </c>
      <c r="AD1462" s="21">
        <v>0.86749884668513244</v>
      </c>
      <c r="AE1462" s="54">
        <v>0.86749884668513244</v>
      </c>
      <c r="AF1462" s="315">
        <f t="shared" si="101"/>
        <v>92086.036504127158</v>
      </c>
    </row>
    <row r="1463" spans="1:32" ht="195" x14ac:dyDescent="0.25">
      <c r="A1463" s="110" t="s">
        <v>588</v>
      </c>
      <c r="B1463" s="110" t="s">
        <v>2270</v>
      </c>
      <c r="C1463" s="52"/>
      <c r="D1463" s="110" t="s">
        <v>2276</v>
      </c>
      <c r="E1463" s="22" t="str">
        <f t="shared" si="99"/>
        <v>SEJUSPPROG</v>
      </c>
      <c r="F1463" s="122" t="s">
        <v>886</v>
      </c>
      <c r="G1463" s="22" t="str">
        <f t="shared" si="100"/>
        <v>P146SEJUSP</v>
      </c>
      <c r="H1463" s="52" t="s">
        <v>1424</v>
      </c>
      <c r="I1463" s="22" t="s">
        <v>16</v>
      </c>
      <c r="J1463" s="110" t="s">
        <v>1627</v>
      </c>
      <c r="K1463" s="22" t="str">
        <f>VLOOKUP(CONCATENATE(A1463,LEFT(J1463,4)),AGRUPAMENTO!$D$2:$E$6783,2,FALSE)</f>
        <v>Diárias e viagens</v>
      </c>
      <c r="L1463" s="137" t="s">
        <v>44</v>
      </c>
      <c r="M1463" s="52"/>
      <c r="N1463" s="52">
        <v>10</v>
      </c>
      <c r="O1463" s="110" t="s">
        <v>3580</v>
      </c>
      <c r="P1463" s="52" t="s">
        <v>46</v>
      </c>
      <c r="Q1463" s="110" t="s">
        <v>3812</v>
      </c>
      <c r="R1463" s="110">
        <v>1</v>
      </c>
      <c r="S1463" s="110" t="s">
        <v>4224</v>
      </c>
      <c r="T1463" s="240">
        <v>2269</v>
      </c>
      <c r="U1463" s="133">
        <v>12</v>
      </c>
      <c r="V1463" s="58">
        <f t="shared" si="98"/>
        <v>27228</v>
      </c>
      <c r="W1463" s="52" t="s">
        <v>49</v>
      </c>
      <c r="X1463" s="110" t="s">
        <v>5172</v>
      </c>
      <c r="Y1463" s="110" t="s">
        <v>5173</v>
      </c>
      <c r="Z1463" s="110" t="s">
        <v>5174</v>
      </c>
      <c r="AA1463" s="52">
        <v>0</v>
      </c>
      <c r="AB1463" s="52">
        <v>0</v>
      </c>
      <c r="AC1463" s="52">
        <v>0</v>
      </c>
      <c r="AD1463" s="21">
        <v>0.86749884668513244</v>
      </c>
      <c r="AE1463" s="54">
        <v>0.86749884668513244</v>
      </c>
      <c r="AF1463" s="315">
        <f t="shared" si="101"/>
        <v>23620.258597542786</v>
      </c>
    </row>
    <row r="1464" spans="1:32" ht="195" x14ac:dyDescent="0.25">
      <c r="A1464" s="110" t="s">
        <v>588</v>
      </c>
      <c r="B1464" s="110" t="s">
        <v>2270</v>
      </c>
      <c r="C1464" s="52"/>
      <c r="D1464" s="110" t="s">
        <v>2276</v>
      </c>
      <c r="E1464" s="22" t="str">
        <f t="shared" si="99"/>
        <v>SEJUSPPROG</v>
      </c>
      <c r="F1464" s="52" t="s">
        <v>705</v>
      </c>
      <c r="G1464" s="22" t="str">
        <f t="shared" si="100"/>
        <v>P134SEJUSP</v>
      </c>
      <c r="H1464" s="52" t="s">
        <v>1356</v>
      </c>
      <c r="I1464" s="22" t="s">
        <v>16</v>
      </c>
      <c r="J1464" s="110" t="s">
        <v>1627</v>
      </c>
      <c r="K1464" s="22" t="str">
        <f>VLOOKUP(CONCATENATE(A1464,LEFT(J1464,4)),AGRUPAMENTO!$D$2:$E$6783,2,FALSE)</f>
        <v>Diárias e viagens</v>
      </c>
      <c r="L1464" s="137" t="s">
        <v>44</v>
      </c>
      <c r="M1464" s="52"/>
      <c r="N1464" s="52">
        <v>10</v>
      </c>
      <c r="O1464" s="110" t="s">
        <v>3581</v>
      </c>
      <c r="P1464" s="52" t="s">
        <v>46</v>
      </c>
      <c r="Q1464" s="110" t="s">
        <v>3812</v>
      </c>
      <c r="R1464" s="110">
        <v>1</v>
      </c>
      <c r="S1464" s="110" t="s">
        <v>4224</v>
      </c>
      <c r="T1464" s="240">
        <v>4456</v>
      </c>
      <c r="U1464" s="133">
        <v>12</v>
      </c>
      <c r="V1464" s="58">
        <f t="shared" si="98"/>
        <v>53472</v>
      </c>
      <c r="W1464" s="52" t="s">
        <v>49</v>
      </c>
      <c r="X1464" s="110" t="s">
        <v>5172</v>
      </c>
      <c r="Y1464" s="110" t="s">
        <v>5173</v>
      </c>
      <c r="Z1464" s="110" t="s">
        <v>5174</v>
      </c>
      <c r="AA1464" s="52">
        <v>0</v>
      </c>
      <c r="AB1464" s="52">
        <v>0</v>
      </c>
      <c r="AC1464" s="52">
        <v>0</v>
      </c>
      <c r="AD1464" s="21">
        <v>0.86749884668513244</v>
      </c>
      <c r="AE1464" s="54">
        <v>0.86749884668513244</v>
      </c>
      <c r="AF1464" s="315">
        <f t="shared" si="101"/>
        <v>46386.898329947398</v>
      </c>
    </row>
    <row r="1465" spans="1:32" ht="195" x14ac:dyDescent="0.25">
      <c r="A1465" s="110" t="s">
        <v>588</v>
      </c>
      <c r="B1465" s="110" t="s">
        <v>2270</v>
      </c>
      <c r="C1465" s="52"/>
      <c r="D1465" s="110" t="s">
        <v>2276</v>
      </c>
      <c r="E1465" s="22" t="str">
        <f t="shared" si="99"/>
        <v>SEJUSPPROG</v>
      </c>
      <c r="F1465" s="120" t="s">
        <v>681</v>
      </c>
      <c r="G1465" s="22" t="str">
        <f t="shared" si="100"/>
        <v>P129SEJUSP</v>
      </c>
      <c r="H1465" s="110" t="s">
        <v>1015</v>
      </c>
      <c r="I1465" s="22" t="s">
        <v>16</v>
      </c>
      <c r="J1465" s="110" t="s">
        <v>1627</v>
      </c>
      <c r="K1465" s="22" t="str">
        <f>VLOOKUP(CONCATENATE(A1465,LEFT(J1465,4)),AGRUPAMENTO!$D$2:$E$6783,2,FALSE)</f>
        <v>Diárias e viagens</v>
      </c>
      <c r="L1465" s="137" t="s">
        <v>44</v>
      </c>
      <c r="M1465" s="52"/>
      <c r="N1465" s="52">
        <v>60</v>
      </c>
      <c r="O1465" s="110" t="s">
        <v>3582</v>
      </c>
      <c r="P1465" s="52" t="s">
        <v>46</v>
      </c>
      <c r="Q1465" s="110" t="s">
        <v>3812</v>
      </c>
      <c r="R1465" s="110">
        <v>1</v>
      </c>
      <c r="S1465" s="110" t="s">
        <v>4224</v>
      </c>
      <c r="T1465" s="240">
        <v>700</v>
      </c>
      <c r="U1465" s="133">
        <v>12</v>
      </c>
      <c r="V1465" s="58">
        <f t="shared" si="98"/>
        <v>8400</v>
      </c>
      <c r="W1465" s="52" t="s">
        <v>49</v>
      </c>
      <c r="X1465" s="110" t="s">
        <v>5172</v>
      </c>
      <c r="Y1465" s="110" t="s">
        <v>5173</v>
      </c>
      <c r="Z1465" s="110" t="s">
        <v>5174</v>
      </c>
      <c r="AA1465" s="52">
        <v>0</v>
      </c>
      <c r="AB1465" s="52">
        <v>0</v>
      </c>
      <c r="AC1465" s="52">
        <v>0</v>
      </c>
      <c r="AD1465" s="21">
        <v>0.86749884668513244</v>
      </c>
      <c r="AE1465" s="54">
        <v>0.86749884668513244</v>
      </c>
      <c r="AF1465" s="315">
        <f t="shared" si="101"/>
        <v>7286.9903121551124</v>
      </c>
    </row>
    <row r="1466" spans="1:32" ht="195" x14ac:dyDescent="0.25">
      <c r="A1466" s="110" t="s">
        <v>588</v>
      </c>
      <c r="B1466" s="110" t="s">
        <v>2270</v>
      </c>
      <c r="C1466" s="52"/>
      <c r="D1466" s="110" t="s">
        <v>2276</v>
      </c>
      <c r="E1466" s="22" t="str">
        <f t="shared" si="99"/>
        <v>SEJUSPPROG</v>
      </c>
      <c r="F1466" s="110" t="s">
        <v>699</v>
      </c>
      <c r="G1466" s="22" t="str">
        <f t="shared" si="100"/>
        <v>P141SEJUSP</v>
      </c>
      <c r="H1466" s="110" t="s">
        <v>1393</v>
      </c>
      <c r="I1466" s="22" t="s">
        <v>16</v>
      </c>
      <c r="J1466" s="110" t="s">
        <v>1627</v>
      </c>
      <c r="K1466" s="22" t="str">
        <f>VLOOKUP(CONCATENATE(A1466,LEFT(J1466,4)),AGRUPAMENTO!$D$2:$E$6783,2,FALSE)</f>
        <v>Diárias e viagens</v>
      </c>
      <c r="L1466" s="137" t="s">
        <v>44</v>
      </c>
      <c r="M1466" s="52"/>
      <c r="N1466" s="52">
        <v>10</v>
      </c>
      <c r="O1466" s="110" t="s">
        <v>3583</v>
      </c>
      <c r="P1466" s="52" t="s">
        <v>46</v>
      </c>
      <c r="Q1466" s="110" t="s">
        <v>3812</v>
      </c>
      <c r="R1466" s="110">
        <v>1</v>
      </c>
      <c r="S1466" s="110" t="s">
        <v>4224</v>
      </c>
      <c r="T1466" s="240">
        <v>700</v>
      </c>
      <c r="U1466" s="133">
        <v>12</v>
      </c>
      <c r="V1466" s="58">
        <f t="shared" si="98"/>
        <v>8400</v>
      </c>
      <c r="W1466" s="52" t="s">
        <v>49</v>
      </c>
      <c r="X1466" s="110" t="s">
        <v>5172</v>
      </c>
      <c r="Y1466" s="110" t="s">
        <v>5173</v>
      </c>
      <c r="Z1466" s="110" t="s">
        <v>5174</v>
      </c>
      <c r="AA1466" s="52">
        <v>0</v>
      </c>
      <c r="AB1466" s="52">
        <v>0</v>
      </c>
      <c r="AC1466" s="52">
        <v>0</v>
      </c>
      <c r="AD1466" s="21">
        <v>0.86749884668513244</v>
      </c>
      <c r="AE1466" s="54">
        <v>0.86749884668513244</v>
      </c>
      <c r="AF1466" s="315">
        <f t="shared" si="101"/>
        <v>7286.9903121551124</v>
      </c>
    </row>
    <row r="1467" spans="1:32" ht="90" x14ac:dyDescent="0.25">
      <c r="A1467" s="107" t="s">
        <v>588</v>
      </c>
      <c r="B1467" s="107" t="s">
        <v>2270</v>
      </c>
      <c r="C1467" s="52"/>
      <c r="D1467" s="108" t="s">
        <v>2301</v>
      </c>
      <c r="E1467" s="22" t="str">
        <f t="shared" si="99"/>
        <v>SEJUSPPROG</v>
      </c>
      <c r="F1467" s="52" t="s">
        <v>729</v>
      </c>
      <c r="G1467" s="22" t="str">
        <f t="shared" si="100"/>
        <v>P130SEJUSP</v>
      </c>
      <c r="H1467" s="108" t="s">
        <v>1148</v>
      </c>
      <c r="I1467" s="22" t="s">
        <v>16</v>
      </c>
      <c r="J1467" s="108" t="s">
        <v>1664</v>
      </c>
      <c r="K1467" s="22" t="str">
        <f>VLOOKUP(CONCATENATE(A1467,LEFT(J1467,4)),AGRUPAMENTO!$D$2:$E$6783,2,FALSE)</f>
        <v>Serviços de TIC</v>
      </c>
      <c r="L1467" s="108" t="s">
        <v>44</v>
      </c>
      <c r="M1467" s="52"/>
      <c r="N1467" s="52">
        <v>60</v>
      </c>
      <c r="O1467" s="108" t="s">
        <v>3584</v>
      </c>
      <c r="P1467" s="52" t="s">
        <v>58</v>
      </c>
      <c r="Q1467" s="108" t="s">
        <v>4000</v>
      </c>
      <c r="R1467" s="108">
        <v>1</v>
      </c>
      <c r="S1467" s="108" t="s">
        <v>3937</v>
      </c>
      <c r="T1467" s="241">
        <v>1500000</v>
      </c>
      <c r="U1467" s="245">
        <v>1</v>
      </c>
      <c r="V1467" s="58">
        <f t="shared" si="98"/>
        <v>1500000</v>
      </c>
      <c r="W1467" s="108" t="s">
        <v>68</v>
      </c>
      <c r="X1467" s="108" t="s">
        <v>5175</v>
      </c>
      <c r="Y1467" s="108" t="s">
        <v>4826</v>
      </c>
      <c r="Z1467" s="108" t="s">
        <v>5176</v>
      </c>
      <c r="AA1467" s="108">
        <v>3</v>
      </c>
      <c r="AB1467" s="108">
        <v>24</v>
      </c>
      <c r="AC1467" s="108">
        <v>53</v>
      </c>
      <c r="AD1467" s="21">
        <v>0</v>
      </c>
      <c r="AE1467" s="54">
        <v>0</v>
      </c>
      <c r="AF1467" s="315">
        <f t="shared" si="101"/>
        <v>0</v>
      </c>
    </row>
    <row r="1468" spans="1:32" ht="150" x14ac:dyDescent="0.25">
      <c r="A1468" s="109" t="s">
        <v>588</v>
      </c>
      <c r="B1468" s="110" t="s">
        <v>2270</v>
      </c>
      <c r="C1468" s="52"/>
      <c r="D1468" s="110" t="s">
        <v>2276</v>
      </c>
      <c r="E1468" s="22" t="str">
        <f t="shared" si="99"/>
        <v>SEJUSPPROG</v>
      </c>
      <c r="F1468" s="52" t="s">
        <v>729</v>
      </c>
      <c r="G1468" s="22" t="str">
        <f t="shared" si="100"/>
        <v>P130SEJUSP</v>
      </c>
      <c r="H1468" s="122" t="s">
        <v>1259</v>
      </c>
      <c r="I1468" s="22" t="s">
        <v>16</v>
      </c>
      <c r="J1468" s="122" t="s">
        <v>137</v>
      </c>
      <c r="K1468" s="22" t="str">
        <f>VLOOKUP(CONCATENATE(A1468,LEFT(J1468,4)),AGRUPAMENTO!$D$2:$E$6783,2,FALSE)</f>
        <v>Serviços de saúde e medicamentos</v>
      </c>
      <c r="L1468" s="122" t="s">
        <v>44</v>
      </c>
      <c r="M1468" s="52"/>
      <c r="N1468" s="52">
        <v>10</v>
      </c>
      <c r="O1468" s="122" t="s">
        <v>3585</v>
      </c>
      <c r="P1468" s="52" t="s">
        <v>58</v>
      </c>
      <c r="Q1468" s="122" t="s">
        <v>4020</v>
      </c>
      <c r="R1468" s="122">
        <v>70000</v>
      </c>
      <c r="S1468" s="122" t="s">
        <v>4023</v>
      </c>
      <c r="T1468" s="243">
        <v>13.27</v>
      </c>
      <c r="U1468" s="249">
        <v>4</v>
      </c>
      <c r="V1468" s="58">
        <f t="shared" si="98"/>
        <v>3715600</v>
      </c>
      <c r="W1468" s="122" t="s">
        <v>68</v>
      </c>
      <c r="X1468" s="122" t="s">
        <v>5177</v>
      </c>
      <c r="Y1468" s="122" t="s">
        <v>5178</v>
      </c>
      <c r="Z1468" s="122" t="s">
        <v>5179</v>
      </c>
      <c r="AA1468" s="122">
        <v>17</v>
      </c>
      <c r="AB1468" s="122">
        <v>25</v>
      </c>
      <c r="AC1468" s="122">
        <v>54</v>
      </c>
      <c r="AD1468" s="21">
        <v>0</v>
      </c>
      <c r="AE1468" s="54">
        <v>0</v>
      </c>
      <c r="AF1468" s="315">
        <f t="shared" si="101"/>
        <v>0</v>
      </c>
    </row>
    <row r="1469" spans="1:32" ht="105" x14ac:dyDescent="0.25">
      <c r="A1469" s="110" t="s">
        <v>588</v>
      </c>
      <c r="B1469" s="110" t="s">
        <v>2270</v>
      </c>
      <c r="C1469" s="52"/>
      <c r="D1469" s="110" t="s">
        <v>2276</v>
      </c>
      <c r="E1469" s="22" t="str">
        <f t="shared" si="99"/>
        <v>SEJUSPPROG</v>
      </c>
      <c r="F1469" s="116" t="s">
        <v>687</v>
      </c>
      <c r="G1469" s="22" t="str">
        <f t="shared" si="100"/>
        <v>P705SEJUSP</v>
      </c>
      <c r="H1469" s="110" t="s">
        <v>914</v>
      </c>
      <c r="I1469" s="22" t="s">
        <v>16</v>
      </c>
      <c r="J1469" s="110" t="s">
        <v>1642</v>
      </c>
      <c r="K1469" s="22" t="str">
        <f>VLOOKUP(CONCATENATE(A1469,LEFT(J1469,4)),AGRUPAMENTO!$D$2:$E$6783,2,FALSE)</f>
        <v>Gestão de equipamentos</v>
      </c>
      <c r="L1469" s="137" t="s">
        <v>44</v>
      </c>
      <c r="M1469" s="52"/>
      <c r="N1469" s="52">
        <v>10</v>
      </c>
      <c r="O1469" s="110" t="s">
        <v>3586</v>
      </c>
      <c r="P1469" s="52" t="s">
        <v>46</v>
      </c>
      <c r="Q1469" s="110" t="s">
        <v>3812</v>
      </c>
      <c r="R1469" s="110">
        <v>1</v>
      </c>
      <c r="S1469" s="110" t="s">
        <v>4225</v>
      </c>
      <c r="T1469" s="240">
        <v>29950</v>
      </c>
      <c r="U1469" s="133">
        <v>12</v>
      </c>
      <c r="V1469" s="58">
        <f t="shared" si="98"/>
        <v>359400</v>
      </c>
      <c r="W1469" s="52" t="s">
        <v>49</v>
      </c>
      <c r="X1469" s="110" t="s">
        <v>5117</v>
      </c>
      <c r="Y1469" s="110" t="s">
        <v>5020</v>
      </c>
      <c r="Z1469" s="110" t="s">
        <v>5021</v>
      </c>
      <c r="AA1469" s="52">
        <v>0</v>
      </c>
      <c r="AB1469" s="52">
        <v>0</v>
      </c>
      <c r="AC1469" s="52">
        <v>0</v>
      </c>
      <c r="AD1469" s="21">
        <v>0.88454016594970364</v>
      </c>
      <c r="AE1469" s="54">
        <v>0.88454016594970364</v>
      </c>
      <c r="AF1469" s="315">
        <f t="shared" si="101"/>
        <v>317903.7356423235</v>
      </c>
    </row>
    <row r="1470" spans="1:32" ht="105" x14ac:dyDescent="0.25">
      <c r="A1470" s="110" t="s">
        <v>588</v>
      </c>
      <c r="B1470" s="110" t="s">
        <v>2270</v>
      </c>
      <c r="C1470" s="52"/>
      <c r="D1470" s="110" t="s">
        <v>2276</v>
      </c>
      <c r="E1470" s="22" t="str">
        <f t="shared" si="99"/>
        <v>SEJUSPPROG</v>
      </c>
      <c r="F1470" s="116" t="s">
        <v>687</v>
      </c>
      <c r="G1470" s="22" t="str">
        <f t="shared" si="100"/>
        <v>P705SEJUSP</v>
      </c>
      <c r="H1470" s="110" t="s">
        <v>914</v>
      </c>
      <c r="I1470" s="22" t="s">
        <v>16</v>
      </c>
      <c r="J1470" s="110" t="s">
        <v>1642</v>
      </c>
      <c r="K1470" s="22" t="str">
        <f>VLOOKUP(CONCATENATE(A1470,LEFT(J1470,4)),AGRUPAMENTO!$D$2:$E$6783,2,FALSE)</f>
        <v>Gestão de equipamentos</v>
      </c>
      <c r="L1470" s="137" t="s">
        <v>44</v>
      </c>
      <c r="M1470" s="52"/>
      <c r="N1470" s="52">
        <v>10</v>
      </c>
      <c r="O1470" s="141" t="s">
        <v>3587</v>
      </c>
      <c r="P1470" s="52" t="s">
        <v>46</v>
      </c>
      <c r="Q1470" s="110" t="s">
        <v>3812</v>
      </c>
      <c r="R1470" s="110">
        <v>1</v>
      </c>
      <c r="S1470" s="110" t="s">
        <v>4226</v>
      </c>
      <c r="T1470" s="240">
        <v>3899</v>
      </c>
      <c r="U1470" s="133">
        <v>12</v>
      </c>
      <c r="V1470" s="58">
        <f t="shared" si="98"/>
        <v>46788</v>
      </c>
      <c r="W1470" s="52" t="s">
        <v>49</v>
      </c>
      <c r="X1470" s="110" t="s">
        <v>5117</v>
      </c>
      <c r="Y1470" s="110" t="s">
        <v>5020</v>
      </c>
      <c r="Z1470" s="110" t="s">
        <v>5021</v>
      </c>
      <c r="AA1470" s="52">
        <v>0</v>
      </c>
      <c r="AB1470" s="52">
        <v>0</v>
      </c>
      <c r="AC1470" s="52">
        <v>0</v>
      </c>
      <c r="AD1470" s="21">
        <v>0.88454016594970364</v>
      </c>
      <c r="AE1470" s="54">
        <v>0.88454016594970364</v>
      </c>
      <c r="AF1470" s="315">
        <f t="shared" si="101"/>
        <v>41385.865284454732</v>
      </c>
    </row>
    <row r="1471" spans="1:32" ht="90" x14ac:dyDescent="0.25">
      <c r="A1471" s="110" t="s">
        <v>588</v>
      </c>
      <c r="B1471" s="110" t="s">
        <v>2270</v>
      </c>
      <c r="C1471" s="52"/>
      <c r="D1471" s="110" t="s">
        <v>2276</v>
      </c>
      <c r="E1471" s="22" t="str">
        <f t="shared" si="99"/>
        <v>SEJUSPPROG</v>
      </c>
      <c r="F1471" s="116" t="s">
        <v>687</v>
      </c>
      <c r="G1471" s="22" t="str">
        <f t="shared" si="100"/>
        <v>P705SEJUSP</v>
      </c>
      <c r="H1471" s="110" t="s">
        <v>914</v>
      </c>
      <c r="I1471" s="22" t="s">
        <v>16</v>
      </c>
      <c r="J1471" s="139" t="s">
        <v>383</v>
      </c>
      <c r="K1471" s="22" t="str">
        <f>VLOOKUP(CONCATENATE(A1471,LEFT(J1471,4)),AGRUPAMENTO!$D$2:$E$6783,2,FALSE)</f>
        <v>Utilidade Pública</v>
      </c>
      <c r="L1471" s="137" t="s">
        <v>44</v>
      </c>
      <c r="M1471" s="52"/>
      <c r="N1471" s="52">
        <v>10</v>
      </c>
      <c r="O1471" s="110" t="s">
        <v>3588</v>
      </c>
      <c r="P1471" s="52" t="s">
        <v>46</v>
      </c>
      <c r="Q1471" s="110" t="s">
        <v>3812</v>
      </c>
      <c r="R1471" s="110">
        <v>1</v>
      </c>
      <c r="S1471" s="110" t="s">
        <v>4227</v>
      </c>
      <c r="T1471" s="240">
        <v>9852</v>
      </c>
      <c r="U1471" s="133">
        <v>12</v>
      </c>
      <c r="V1471" s="58">
        <f t="shared" si="98"/>
        <v>118224</v>
      </c>
      <c r="W1471" s="52" t="s">
        <v>49</v>
      </c>
      <c r="X1471" s="110" t="s">
        <v>5180</v>
      </c>
      <c r="Y1471" s="110" t="s">
        <v>5181</v>
      </c>
      <c r="Z1471" s="110" t="s">
        <v>5182</v>
      </c>
      <c r="AA1471" s="52">
        <v>0</v>
      </c>
      <c r="AB1471" s="52">
        <v>0</v>
      </c>
      <c r="AC1471" s="52">
        <v>0</v>
      </c>
      <c r="AD1471" s="21">
        <v>0.96957830030776992</v>
      </c>
      <c r="AE1471" s="54">
        <v>0.96957830030776992</v>
      </c>
      <c r="AF1471" s="315">
        <f t="shared" si="101"/>
        <v>114627.42497558579</v>
      </c>
    </row>
    <row r="1472" spans="1:32" ht="75" x14ac:dyDescent="0.25">
      <c r="A1472" s="110" t="s">
        <v>588</v>
      </c>
      <c r="B1472" s="110" t="s">
        <v>2270</v>
      </c>
      <c r="C1472" s="52"/>
      <c r="D1472" s="110" t="s">
        <v>2276</v>
      </c>
      <c r="E1472" s="22" t="str">
        <f t="shared" si="99"/>
        <v>SEJUSPPROG</v>
      </c>
      <c r="F1472" s="116" t="s">
        <v>687</v>
      </c>
      <c r="G1472" s="22" t="str">
        <f t="shared" si="100"/>
        <v>P705SEJUSP</v>
      </c>
      <c r="H1472" s="133" t="s">
        <v>914</v>
      </c>
      <c r="I1472" s="22" t="s">
        <v>16</v>
      </c>
      <c r="J1472" s="110" t="s">
        <v>264</v>
      </c>
      <c r="K1472" s="22" t="str">
        <f>VLOOKUP(CONCATENATE(A1472,LEFT(J1472,4)),AGRUPAMENTO!$D$2:$E$6783,2,FALSE)</f>
        <v>Obrigações tributárias</v>
      </c>
      <c r="L1472" s="137" t="s">
        <v>44</v>
      </c>
      <c r="M1472" s="52"/>
      <c r="N1472" s="52">
        <v>10</v>
      </c>
      <c r="O1472" s="110" t="s">
        <v>3589</v>
      </c>
      <c r="P1472" s="52" t="s">
        <v>46</v>
      </c>
      <c r="Q1472" s="110" t="s">
        <v>3812</v>
      </c>
      <c r="R1472" s="110">
        <v>1</v>
      </c>
      <c r="S1472" s="110" t="s">
        <v>4228</v>
      </c>
      <c r="T1472" s="240">
        <v>924</v>
      </c>
      <c r="U1472" s="133">
        <v>12</v>
      </c>
      <c r="V1472" s="58">
        <f t="shared" si="98"/>
        <v>11088</v>
      </c>
      <c r="W1472" s="52" t="s">
        <v>49</v>
      </c>
      <c r="X1472" s="110" t="s">
        <v>3589</v>
      </c>
      <c r="Y1472" s="110" t="s">
        <v>5169</v>
      </c>
      <c r="Z1472" s="110" t="s">
        <v>5167</v>
      </c>
      <c r="AA1472" s="52">
        <v>0</v>
      </c>
      <c r="AB1472" s="52">
        <v>0</v>
      </c>
      <c r="AC1472" s="52">
        <v>0</v>
      </c>
      <c r="AD1472" s="21">
        <v>0.20034174244500716</v>
      </c>
      <c r="AE1472" s="54">
        <v>0.20034174244500716</v>
      </c>
      <c r="AF1472" s="315">
        <f t="shared" si="101"/>
        <v>2221.3892402302395</v>
      </c>
    </row>
    <row r="1473" spans="1:32" ht="75" x14ac:dyDescent="0.25">
      <c r="A1473" s="111" t="s">
        <v>588</v>
      </c>
      <c r="B1473" s="110" t="s">
        <v>2270</v>
      </c>
      <c r="C1473" s="52"/>
      <c r="D1473" s="110" t="s">
        <v>2276</v>
      </c>
      <c r="E1473" s="22" t="str">
        <f t="shared" si="99"/>
        <v>SEJUSPPROG</v>
      </c>
      <c r="F1473" s="116" t="s">
        <v>687</v>
      </c>
      <c r="G1473" s="22" t="str">
        <f t="shared" si="100"/>
        <v>P705SEJUSP</v>
      </c>
      <c r="H1473" s="133" t="s">
        <v>914</v>
      </c>
      <c r="I1473" s="22" t="s">
        <v>16</v>
      </c>
      <c r="J1473" s="110" t="s">
        <v>1695</v>
      </c>
      <c r="K1473" s="22" t="str">
        <f>VLOOKUP(CONCATENATE(A1473,LEFT(J1473,4)),AGRUPAMENTO!$D$2:$E$6783,2,FALSE)</f>
        <v>Aluguéis e condomínios</v>
      </c>
      <c r="L1473" s="137" t="s">
        <v>44</v>
      </c>
      <c r="M1473" s="52"/>
      <c r="N1473" s="52">
        <v>10</v>
      </c>
      <c r="O1473" s="110" t="s">
        <v>3590</v>
      </c>
      <c r="P1473" s="52" t="s">
        <v>46</v>
      </c>
      <c r="Q1473" s="110" t="s">
        <v>3812</v>
      </c>
      <c r="R1473" s="110">
        <v>1</v>
      </c>
      <c r="S1473" s="110" t="s">
        <v>4228</v>
      </c>
      <c r="T1473" s="240">
        <v>10120</v>
      </c>
      <c r="U1473" s="133">
        <v>12</v>
      </c>
      <c r="V1473" s="58">
        <f t="shared" si="98"/>
        <v>121440</v>
      </c>
      <c r="W1473" s="52" t="s">
        <v>49</v>
      </c>
      <c r="X1473" s="110" t="s">
        <v>5183</v>
      </c>
      <c r="Y1473" s="110" t="s">
        <v>5184</v>
      </c>
      <c r="Z1473" s="110" t="s">
        <v>5185</v>
      </c>
      <c r="AA1473" s="52">
        <v>0</v>
      </c>
      <c r="AB1473" s="52">
        <v>0</v>
      </c>
      <c r="AC1473" s="52">
        <v>0</v>
      </c>
      <c r="AD1473" s="21">
        <v>1</v>
      </c>
      <c r="AE1473" s="54">
        <v>1</v>
      </c>
      <c r="AF1473" s="315">
        <f t="shared" si="101"/>
        <v>121440</v>
      </c>
    </row>
    <row r="1474" spans="1:32" ht="270" x14ac:dyDescent="0.25">
      <c r="A1474" s="109" t="s">
        <v>588</v>
      </c>
      <c r="B1474" s="110" t="s">
        <v>2270</v>
      </c>
      <c r="C1474" s="52"/>
      <c r="D1474" s="110" t="s">
        <v>2276</v>
      </c>
      <c r="E1474" s="22" t="str">
        <f t="shared" si="99"/>
        <v>SEJUSPPROG</v>
      </c>
      <c r="F1474" s="116" t="s">
        <v>687</v>
      </c>
      <c r="G1474" s="22" t="str">
        <f t="shared" si="100"/>
        <v>P705SEJUSP</v>
      </c>
      <c r="H1474" s="109" t="s">
        <v>914</v>
      </c>
      <c r="I1474" s="22" t="s">
        <v>16</v>
      </c>
      <c r="J1474" s="109" t="s">
        <v>483</v>
      </c>
      <c r="K1474" s="22" t="str">
        <f>VLOOKUP(CONCATENATE(A1474,LEFT(J1474,4)),AGRUPAMENTO!$D$2:$E$6783,2,FALSE)</f>
        <v>Frota</v>
      </c>
      <c r="L1474" s="137" t="s">
        <v>44</v>
      </c>
      <c r="M1474" s="52"/>
      <c r="N1474" s="52">
        <v>10</v>
      </c>
      <c r="O1474" s="109" t="s">
        <v>3591</v>
      </c>
      <c r="P1474" s="52" t="s">
        <v>46</v>
      </c>
      <c r="Q1474" s="109" t="s">
        <v>4229</v>
      </c>
      <c r="R1474" s="109">
        <v>50</v>
      </c>
      <c r="S1474" s="109" t="s">
        <v>4230</v>
      </c>
      <c r="T1474" s="243">
        <v>583.33000000000004</v>
      </c>
      <c r="U1474" s="109">
        <v>12</v>
      </c>
      <c r="V1474" s="58">
        <f t="shared" ref="V1474:V1537" si="102">R1474*T1474*U1474</f>
        <v>349998.00000000006</v>
      </c>
      <c r="W1474" s="52" t="s">
        <v>49</v>
      </c>
      <c r="X1474" s="109" t="s">
        <v>5186</v>
      </c>
      <c r="Y1474" s="109" t="s">
        <v>5027</v>
      </c>
      <c r="Z1474" s="109" t="s">
        <v>5028</v>
      </c>
      <c r="AA1474" s="52">
        <v>0</v>
      </c>
      <c r="AB1474" s="52">
        <v>0</v>
      </c>
      <c r="AC1474" s="52">
        <v>0</v>
      </c>
      <c r="AD1474" s="21">
        <v>0.69782350765454815</v>
      </c>
      <c r="AE1474" s="54">
        <v>0.69782350765454815</v>
      </c>
      <c r="AF1474" s="315">
        <f t="shared" si="101"/>
        <v>244236.83203207658</v>
      </c>
    </row>
    <row r="1475" spans="1:32" ht="345" x14ac:dyDescent="0.25">
      <c r="A1475" s="109" t="s">
        <v>588</v>
      </c>
      <c r="B1475" s="110" t="s">
        <v>2270</v>
      </c>
      <c r="C1475" s="52"/>
      <c r="D1475" s="110" t="s">
        <v>2276</v>
      </c>
      <c r="E1475" s="22" t="str">
        <f t="shared" ref="E1475:E1538" si="103">CONCATENATE(A1475,"PROG")</f>
        <v>SEJUSPPROG</v>
      </c>
      <c r="F1475" s="52" t="s">
        <v>705</v>
      </c>
      <c r="G1475" s="22" t="str">
        <f t="shared" si="100"/>
        <v>P134SEJUSP</v>
      </c>
      <c r="H1475" s="52" t="s">
        <v>1356</v>
      </c>
      <c r="I1475" s="22" t="s">
        <v>16</v>
      </c>
      <c r="J1475" s="109" t="s">
        <v>483</v>
      </c>
      <c r="K1475" s="22" t="str">
        <f>VLOOKUP(CONCATENATE(A1475,LEFT(J1475,4)),AGRUPAMENTO!$D$2:$E$6783,2,FALSE)</f>
        <v>Frota</v>
      </c>
      <c r="L1475" s="137" t="s">
        <v>44</v>
      </c>
      <c r="M1475" s="52"/>
      <c r="N1475" s="52">
        <v>10</v>
      </c>
      <c r="O1475" s="109" t="s">
        <v>3592</v>
      </c>
      <c r="P1475" s="52" t="s">
        <v>46</v>
      </c>
      <c r="Q1475" s="109" t="s">
        <v>4229</v>
      </c>
      <c r="R1475" s="109">
        <v>25</v>
      </c>
      <c r="S1475" s="109" t="s">
        <v>4231</v>
      </c>
      <c r="T1475" s="243">
        <v>666.67</v>
      </c>
      <c r="U1475" s="109">
        <v>12</v>
      </c>
      <c r="V1475" s="58">
        <f t="shared" si="102"/>
        <v>200001</v>
      </c>
      <c r="W1475" s="52" t="s">
        <v>49</v>
      </c>
      <c r="X1475" s="109" t="s">
        <v>5187</v>
      </c>
      <c r="Y1475" s="109" t="s">
        <v>5027</v>
      </c>
      <c r="Z1475" s="109" t="s">
        <v>5028</v>
      </c>
      <c r="AA1475" s="52">
        <v>0</v>
      </c>
      <c r="AB1475" s="52">
        <v>0</v>
      </c>
      <c r="AC1475" s="52">
        <v>0</v>
      </c>
      <c r="AD1475" s="21">
        <v>0.69782350765454815</v>
      </c>
      <c r="AE1475" s="54">
        <v>0.69782350765454815</v>
      </c>
      <c r="AF1475" s="315">
        <f t="shared" si="101"/>
        <v>139565.39935441728</v>
      </c>
    </row>
    <row r="1476" spans="1:32" ht="270" x14ac:dyDescent="0.25">
      <c r="A1476" s="109" t="s">
        <v>588</v>
      </c>
      <c r="B1476" s="110" t="s">
        <v>2270</v>
      </c>
      <c r="C1476" s="52"/>
      <c r="D1476" s="110" t="s">
        <v>2276</v>
      </c>
      <c r="E1476" s="22" t="str">
        <f t="shared" si="103"/>
        <v>SEJUSPPROG</v>
      </c>
      <c r="F1476" s="120" t="s">
        <v>681</v>
      </c>
      <c r="G1476" s="22" t="str">
        <f t="shared" ref="G1476:G1539" si="104">CONCATENATE("P",(LEFT(F1476,3)),A1476)</f>
        <v>P129SEJUSP</v>
      </c>
      <c r="H1476" s="109" t="s">
        <v>1015</v>
      </c>
      <c r="I1476" s="22" t="s">
        <v>16</v>
      </c>
      <c r="J1476" s="109" t="s">
        <v>483</v>
      </c>
      <c r="K1476" s="22" t="str">
        <f>VLOOKUP(CONCATENATE(A1476,LEFT(J1476,4)),AGRUPAMENTO!$D$2:$E$6783,2,FALSE)</f>
        <v>Frota</v>
      </c>
      <c r="L1476" s="137" t="s">
        <v>44</v>
      </c>
      <c r="M1476" s="52"/>
      <c r="N1476" s="52">
        <v>60</v>
      </c>
      <c r="O1476" s="109" t="s">
        <v>3593</v>
      </c>
      <c r="P1476" s="52" t="s">
        <v>46</v>
      </c>
      <c r="Q1476" s="109" t="s">
        <v>4229</v>
      </c>
      <c r="R1476" s="109">
        <v>55</v>
      </c>
      <c r="S1476" s="109" t="s">
        <v>4232</v>
      </c>
      <c r="T1476" s="243">
        <v>606.05999999999995</v>
      </c>
      <c r="U1476" s="109">
        <v>12</v>
      </c>
      <c r="V1476" s="58">
        <f t="shared" si="102"/>
        <v>399999.6</v>
      </c>
      <c r="W1476" s="52" t="s">
        <v>49</v>
      </c>
      <c r="X1476" s="109" t="s">
        <v>5188</v>
      </c>
      <c r="Y1476" s="109" t="s">
        <v>5027</v>
      </c>
      <c r="Z1476" s="109" t="s">
        <v>5028</v>
      </c>
      <c r="AA1476" s="52">
        <v>0</v>
      </c>
      <c r="AB1476" s="52">
        <v>0</v>
      </c>
      <c r="AC1476" s="52">
        <v>0</v>
      </c>
      <c r="AD1476" s="21">
        <v>0.69782350765454815</v>
      </c>
      <c r="AE1476" s="54">
        <v>0.69782350765454815</v>
      </c>
      <c r="AF1476" s="315">
        <f t="shared" ref="AF1476:AF1539" si="105">AE1476*V1476</f>
        <v>279129.1239324162</v>
      </c>
    </row>
    <row r="1477" spans="1:32" ht="270" x14ac:dyDescent="0.25">
      <c r="A1477" s="109" t="s">
        <v>588</v>
      </c>
      <c r="B1477" s="110" t="s">
        <v>2270</v>
      </c>
      <c r="C1477" s="52"/>
      <c r="D1477" s="110" t="s">
        <v>2276</v>
      </c>
      <c r="E1477" s="22" t="str">
        <f t="shared" si="103"/>
        <v>SEJUSPPROG</v>
      </c>
      <c r="F1477" s="122" t="s">
        <v>886</v>
      </c>
      <c r="G1477" s="22" t="str">
        <f t="shared" si="104"/>
        <v>P146SEJUSP</v>
      </c>
      <c r="H1477" s="52" t="s">
        <v>1424</v>
      </c>
      <c r="I1477" s="22" t="s">
        <v>16</v>
      </c>
      <c r="J1477" s="109" t="s">
        <v>483</v>
      </c>
      <c r="K1477" s="22" t="str">
        <f>VLOOKUP(CONCATENATE(A1477,LEFT(J1477,4)),AGRUPAMENTO!$D$2:$E$6783,2,FALSE)</f>
        <v>Frota</v>
      </c>
      <c r="L1477" s="137" t="s">
        <v>44</v>
      </c>
      <c r="M1477" s="52"/>
      <c r="N1477" s="52">
        <v>10</v>
      </c>
      <c r="O1477" s="109" t="s">
        <v>3594</v>
      </c>
      <c r="P1477" s="52" t="s">
        <v>46</v>
      </c>
      <c r="Q1477" s="109" t="s">
        <v>4229</v>
      </c>
      <c r="R1477" s="109">
        <v>130</v>
      </c>
      <c r="S1477" s="109" t="s">
        <v>4232</v>
      </c>
      <c r="T1477" s="243">
        <v>480.77</v>
      </c>
      <c r="U1477" s="109">
        <v>12</v>
      </c>
      <c r="V1477" s="58">
        <f t="shared" si="102"/>
        <v>750001.2</v>
      </c>
      <c r="W1477" s="52" t="s">
        <v>49</v>
      </c>
      <c r="X1477" s="109" t="s">
        <v>5188</v>
      </c>
      <c r="Y1477" s="109" t="s">
        <v>5027</v>
      </c>
      <c r="Z1477" s="109" t="s">
        <v>5028</v>
      </c>
      <c r="AA1477" s="52">
        <v>0</v>
      </c>
      <c r="AB1477" s="52">
        <v>0</v>
      </c>
      <c r="AC1477" s="52">
        <v>0</v>
      </c>
      <c r="AD1477" s="21">
        <v>0.69782350765454815</v>
      </c>
      <c r="AE1477" s="54">
        <v>0.69782350765454815</v>
      </c>
      <c r="AF1477" s="315">
        <f t="shared" si="105"/>
        <v>523368.46812912024</v>
      </c>
    </row>
    <row r="1478" spans="1:32" ht="270" x14ac:dyDescent="0.25">
      <c r="A1478" s="109" t="s">
        <v>588</v>
      </c>
      <c r="B1478" s="110" t="s">
        <v>2270</v>
      </c>
      <c r="C1478" s="52"/>
      <c r="D1478" s="110" t="s">
        <v>2276</v>
      </c>
      <c r="E1478" s="22" t="str">
        <f t="shared" si="103"/>
        <v>SEJUSPPROG</v>
      </c>
      <c r="F1478" s="52" t="s">
        <v>729</v>
      </c>
      <c r="G1478" s="22" t="str">
        <f t="shared" si="104"/>
        <v>P130SEJUSP</v>
      </c>
      <c r="H1478" s="109" t="s">
        <v>1183</v>
      </c>
      <c r="I1478" s="22" t="s">
        <v>16</v>
      </c>
      <c r="J1478" s="109" t="s">
        <v>483</v>
      </c>
      <c r="K1478" s="22" t="str">
        <f>VLOOKUP(CONCATENATE(A1478,LEFT(J1478,4)),AGRUPAMENTO!$D$2:$E$6783,2,FALSE)</f>
        <v>Frota</v>
      </c>
      <c r="L1478" s="137" t="s">
        <v>44</v>
      </c>
      <c r="M1478" s="52"/>
      <c r="N1478" s="52">
        <v>60</v>
      </c>
      <c r="O1478" s="109" t="s">
        <v>3595</v>
      </c>
      <c r="P1478" s="52" t="s">
        <v>46</v>
      </c>
      <c r="Q1478" s="109" t="s">
        <v>4229</v>
      </c>
      <c r="R1478" s="109">
        <v>890</v>
      </c>
      <c r="S1478" s="109" t="s">
        <v>4232</v>
      </c>
      <c r="T1478" s="243">
        <v>814.61</v>
      </c>
      <c r="U1478" s="109">
        <v>12</v>
      </c>
      <c r="V1478" s="58">
        <f t="shared" si="102"/>
        <v>8700034.8000000007</v>
      </c>
      <c r="W1478" s="52" t="s">
        <v>49</v>
      </c>
      <c r="X1478" s="109" t="s">
        <v>5188</v>
      </c>
      <c r="Y1478" s="109" t="s">
        <v>5027</v>
      </c>
      <c r="Z1478" s="109" t="s">
        <v>5028</v>
      </c>
      <c r="AA1478" s="52">
        <v>0</v>
      </c>
      <c r="AB1478" s="52">
        <v>0</v>
      </c>
      <c r="AC1478" s="52">
        <v>0</v>
      </c>
      <c r="AD1478" s="21">
        <v>0.69782350765454815</v>
      </c>
      <c r="AE1478" s="54">
        <v>0.69782350765454815</v>
      </c>
      <c r="AF1478" s="315">
        <f t="shared" si="105"/>
        <v>6071088.8008526359</v>
      </c>
    </row>
    <row r="1479" spans="1:32" ht="270" x14ac:dyDescent="0.25">
      <c r="A1479" s="109" t="s">
        <v>588</v>
      </c>
      <c r="B1479" s="110" t="s">
        <v>2270</v>
      </c>
      <c r="C1479" s="52"/>
      <c r="D1479" s="110" t="s">
        <v>2276</v>
      </c>
      <c r="E1479" s="22" t="str">
        <f t="shared" si="103"/>
        <v>SEJUSPPROG</v>
      </c>
      <c r="F1479" s="52" t="s">
        <v>729</v>
      </c>
      <c r="G1479" s="22" t="str">
        <f t="shared" si="104"/>
        <v>P130SEJUSP</v>
      </c>
      <c r="H1479" s="109" t="s">
        <v>1259</v>
      </c>
      <c r="I1479" s="22" t="s">
        <v>16</v>
      </c>
      <c r="J1479" s="109" t="s">
        <v>483</v>
      </c>
      <c r="K1479" s="22" t="str">
        <f>VLOOKUP(CONCATENATE(A1479,LEFT(J1479,4)),AGRUPAMENTO!$D$2:$E$6783,2,FALSE)</f>
        <v>Frota</v>
      </c>
      <c r="L1479" s="137" t="s">
        <v>44</v>
      </c>
      <c r="M1479" s="52"/>
      <c r="N1479" s="52">
        <v>10</v>
      </c>
      <c r="O1479" s="109" t="s">
        <v>3596</v>
      </c>
      <c r="P1479" s="52" t="s">
        <v>46</v>
      </c>
      <c r="Q1479" s="109" t="s">
        <v>4229</v>
      </c>
      <c r="R1479" s="109">
        <v>246</v>
      </c>
      <c r="S1479" s="109" t="s">
        <v>4232</v>
      </c>
      <c r="T1479" s="243">
        <v>846.88</v>
      </c>
      <c r="U1479" s="109">
        <v>12</v>
      </c>
      <c r="V1479" s="58">
        <f t="shared" si="102"/>
        <v>2499989.7600000002</v>
      </c>
      <c r="W1479" s="52" t="s">
        <v>49</v>
      </c>
      <c r="X1479" s="109" t="s">
        <v>5188</v>
      </c>
      <c r="Y1479" s="109" t="s">
        <v>5027</v>
      </c>
      <c r="Z1479" s="109" t="s">
        <v>5028</v>
      </c>
      <c r="AA1479" s="52">
        <v>0</v>
      </c>
      <c r="AB1479" s="52">
        <v>0</v>
      </c>
      <c r="AC1479" s="52">
        <v>0</v>
      </c>
      <c r="AD1479" s="21">
        <v>0.69782350765454815</v>
      </c>
      <c r="AE1479" s="54">
        <v>0.69782350765454815</v>
      </c>
      <c r="AF1479" s="315">
        <f t="shared" si="105"/>
        <v>1744551.6234236523</v>
      </c>
    </row>
    <row r="1480" spans="1:32" ht="270" x14ac:dyDescent="0.25">
      <c r="A1480" s="109" t="s">
        <v>588</v>
      </c>
      <c r="B1480" s="110" t="s">
        <v>2270</v>
      </c>
      <c r="C1480" s="52"/>
      <c r="D1480" s="110" t="s">
        <v>2276</v>
      </c>
      <c r="E1480" s="22" t="str">
        <f t="shared" si="103"/>
        <v>SEJUSPPROG</v>
      </c>
      <c r="F1480" s="52" t="s">
        <v>699</v>
      </c>
      <c r="G1480" s="22" t="str">
        <f t="shared" si="104"/>
        <v>P141SEJUSP</v>
      </c>
      <c r="H1480" s="52" t="s">
        <v>1403</v>
      </c>
      <c r="I1480" s="22" t="s">
        <v>16</v>
      </c>
      <c r="J1480" s="109" t="s">
        <v>483</v>
      </c>
      <c r="K1480" s="22" t="str">
        <f>VLOOKUP(CONCATENATE(A1480,LEFT(J1480,4)),AGRUPAMENTO!$D$2:$E$6783,2,FALSE)</f>
        <v>Frota</v>
      </c>
      <c r="L1480" s="137" t="s">
        <v>44</v>
      </c>
      <c r="M1480" s="52"/>
      <c r="N1480" s="52">
        <v>10</v>
      </c>
      <c r="O1480" s="109" t="s">
        <v>3597</v>
      </c>
      <c r="P1480" s="52" t="s">
        <v>46</v>
      </c>
      <c r="Q1480" s="109" t="s">
        <v>4229</v>
      </c>
      <c r="R1480" s="109">
        <v>5</v>
      </c>
      <c r="S1480" s="109" t="s">
        <v>4232</v>
      </c>
      <c r="T1480" s="243">
        <v>1666.67</v>
      </c>
      <c r="U1480" s="109">
        <v>12</v>
      </c>
      <c r="V1480" s="58">
        <f t="shared" si="102"/>
        <v>100000.20000000001</v>
      </c>
      <c r="W1480" s="52" t="s">
        <v>49</v>
      </c>
      <c r="X1480" s="109" t="s">
        <v>5187</v>
      </c>
      <c r="Y1480" s="109" t="s">
        <v>5027</v>
      </c>
      <c r="Z1480" s="109" t="s">
        <v>5028</v>
      </c>
      <c r="AA1480" s="52">
        <v>0</v>
      </c>
      <c r="AB1480" s="52">
        <v>0</v>
      </c>
      <c r="AC1480" s="52">
        <v>0</v>
      </c>
      <c r="AD1480" s="21">
        <v>0.69782350765454815</v>
      </c>
      <c r="AE1480" s="54">
        <v>0.69782350765454815</v>
      </c>
      <c r="AF1480" s="315">
        <f t="shared" si="105"/>
        <v>69782.490330156361</v>
      </c>
    </row>
    <row r="1481" spans="1:32" ht="285" x14ac:dyDescent="0.25">
      <c r="A1481" s="109" t="s">
        <v>588</v>
      </c>
      <c r="B1481" s="110" t="s">
        <v>2270</v>
      </c>
      <c r="C1481" s="52"/>
      <c r="D1481" s="110" t="s">
        <v>2276</v>
      </c>
      <c r="E1481" s="22" t="str">
        <f t="shared" si="103"/>
        <v>SEJUSPPROG</v>
      </c>
      <c r="F1481" s="52" t="s">
        <v>729</v>
      </c>
      <c r="G1481" s="22" t="str">
        <f t="shared" si="104"/>
        <v>P130SEJUSP</v>
      </c>
      <c r="H1481" s="109" t="s">
        <v>1183</v>
      </c>
      <c r="I1481" s="22" t="s">
        <v>16</v>
      </c>
      <c r="J1481" s="109" t="s">
        <v>483</v>
      </c>
      <c r="K1481" s="22" t="str">
        <f>VLOOKUP(CONCATENATE(A1481,LEFT(J1481,4)),AGRUPAMENTO!$D$2:$E$6783,2,FALSE)</f>
        <v>Frota</v>
      </c>
      <c r="L1481" s="137" t="s">
        <v>44</v>
      </c>
      <c r="M1481" s="52"/>
      <c r="N1481" s="52">
        <v>60</v>
      </c>
      <c r="O1481" s="109" t="s">
        <v>3598</v>
      </c>
      <c r="P1481" s="52" t="s">
        <v>46</v>
      </c>
      <c r="Q1481" s="109" t="s">
        <v>4229</v>
      </c>
      <c r="R1481" s="109">
        <v>1125</v>
      </c>
      <c r="S1481" s="109" t="s">
        <v>4233</v>
      </c>
      <c r="T1481" s="243">
        <v>38.368000000000002</v>
      </c>
      <c r="U1481" s="109">
        <v>12</v>
      </c>
      <c r="V1481" s="58">
        <f t="shared" si="102"/>
        <v>517968</v>
      </c>
      <c r="W1481" s="52" t="s">
        <v>49</v>
      </c>
      <c r="X1481" s="109" t="s">
        <v>5189</v>
      </c>
      <c r="Y1481" s="109" t="s">
        <v>5190</v>
      </c>
      <c r="Z1481" s="109" t="s">
        <v>5191</v>
      </c>
      <c r="AA1481" s="52">
        <v>0</v>
      </c>
      <c r="AB1481" s="52">
        <v>0</v>
      </c>
      <c r="AC1481" s="52">
        <v>0</v>
      </c>
      <c r="AD1481" s="21">
        <v>0.69782350765454815</v>
      </c>
      <c r="AE1481" s="54">
        <v>0.69782350765454815</v>
      </c>
      <c r="AF1481" s="315">
        <f t="shared" si="105"/>
        <v>361450.246612811</v>
      </c>
    </row>
    <row r="1482" spans="1:32" ht="285" x14ac:dyDescent="0.25">
      <c r="A1482" s="109" t="s">
        <v>588</v>
      </c>
      <c r="B1482" s="110" t="s">
        <v>2270</v>
      </c>
      <c r="C1482" s="52"/>
      <c r="D1482" s="110" t="s">
        <v>2276</v>
      </c>
      <c r="E1482" s="22" t="str">
        <f t="shared" si="103"/>
        <v>SEJUSPPROG</v>
      </c>
      <c r="F1482" s="52" t="s">
        <v>729</v>
      </c>
      <c r="G1482" s="22" t="str">
        <f t="shared" si="104"/>
        <v>P130SEJUSP</v>
      </c>
      <c r="H1482" s="109" t="s">
        <v>1259</v>
      </c>
      <c r="I1482" s="22" t="s">
        <v>16</v>
      </c>
      <c r="J1482" s="109" t="s">
        <v>483</v>
      </c>
      <c r="K1482" s="22" t="str">
        <f>VLOOKUP(CONCATENATE(A1482,LEFT(J1482,4)),AGRUPAMENTO!$D$2:$E$6783,2,FALSE)</f>
        <v>Frota</v>
      </c>
      <c r="L1482" s="137" t="s">
        <v>44</v>
      </c>
      <c r="M1482" s="52"/>
      <c r="N1482" s="52">
        <v>10</v>
      </c>
      <c r="O1482" s="109" t="s">
        <v>3599</v>
      </c>
      <c r="P1482" s="52" t="s">
        <v>46</v>
      </c>
      <c r="Q1482" s="109" t="s">
        <v>4229</v>
      </c>
      <c r="R1482" s="250">
        <v>235</v>
      </c>
      <c r="S1482" s="109" t="s">
        <v>4233</v>
      </c>
      <c r="T1482" s="243">
        <v>38.368000000000002</v>
      </c>
      <c r="U1482" s="109">
        <v>12</v>
      </c>
      <c r="V1482" s="58">
        <f t="shared" si="102"/>
        <v>108197.76000000001</v>
      </c>
      <c r="W1482" s="52" t="s">
        <v>49</v>
      </c>
      <c r="X1482" s="109" t="s">
        <v>5189</v>
      </c>
      <c r="Y1482" s="109" t="s">
        <v>5190</v>
      </c>
      <c r="Z1482" s="109" t="s">
        <v>5191</v>
      </c>
      <c r="AA1482" s="52">
        <v>0</v>
      </c>
      <c r="AB1482" s="52">
        <v>0</v>
      </c>
      <c r="AC1482" s="52">
        <v>0</v>
      </c>
      <c r="AD1482" s="21">
        <v>0.69782350765454815</v>
      </c>
      <c r="AE1482" s="54">
        <v>0.69782350765454815</v>
      </c>
      <c r="AF1482" s="315">
        <f t="shared" si="105"/>
        <v>75502.940403564964</v>
      </c>
    </row>
    <row r="1483" spans="1:32" ht="285" x14ac:dyDescent="0.25">
      <c r="A1483" s="113" t="s">
        <v>588</v>
      </c>
      <c r="B1483" s="110" t="s">
        <v>2270</v>
      </c>
      <c r="C1483" s="52"/>
      <c r="D1483" s="110" t="s">
        <v>2276</v>
      </c>
      <c r="E1483" s="22" t="str">
        <f t="shared" si="103"/>
        <v>SEJUSPPROG</v>
      </c>
      <c r="F1483" s="122" t="s">
        <v>886</v>
      </c>
      <c r="G1483" s="22" t="str">
        <f t="shared" si="104"/>
        <v>P146SEJUSP</v>
      </c>
      <c r="H1483" s="52" t="s">
        <v>1424</v>
      </c>
      <c r="I1483" s="22" t="s">
        <v>16</v>
      </c>
      <c r="J1483" s="120" t="s">
        <v>483</v>
      </c>
      <c r="K1483" s="22" t="str">
        <f>VLOOKUP(CONCATENATE(A1483,LEFT(J1483,4)),AGRUPAMENTO!$D$2:$E$6783,2,FALSE)</f>
        <v>Frota</v>
      </c>
      <c r="L1483" s="137" t="s">
        <v>44</v>
      </c>
      <c r="M1483" s="52"/>
      <c r="N1483" s="52">
        <v>10</v>
      </c>
      <c r="O1483" s="120" t="s">
        <v>3600</v>
      </c>
      <c r="P1483" s="52" t="s">
        <v>46</v>
      </c>
      <c r="Q1483" s="109" t="s">
        <v>4229</v>
      </c>
      <c r="R1483" s="251">
        <v>130</v>
      </c>
      <c r="S1483" s="109" t="s">
        <v>4233</v>
      </c>
      <c r="T1483" s="243">
        <v>38.368000000000002</v>
      </c>
      <c r="U1483" s="120">
        <v>12</v>
      </c>
      <c r="V1483" s="58">
        <f t="shared" si="102"/>
        <v>59854.080000000002</v>
      </c>
      <c r="W1483" s="52" t="s">
        <v>49</v>
      </c>
      <c r="X1483" s="120" t="s">
        <v>5189</v>
      </c>
      <c r="Y1483" s="109" t="s">
        <v>5190</v>
      </c>
      <c r="Z1483" s="120" t="s">
        <v>5191</v>
      </c>
      <c r="AA1483" s="52">
        <v>0</v>
      </c>
      <c r="AB1483" s="52">
        <v>0</v>
      </c>
      <c r="AC1483" s="52">
        <v>0</v>
      </c>
      <c r="AD1483" s="21">
        <v>0.69782350765454815</v>
      </c>
      <c r="AE1483" s="54">
        <v>0.69782350765454815</v>
      </c>
      <c r="AF1483" s="315">
        <f t="shared" si="105"/>
        <v>41767.584053035942</v>
      </c>
    </row>
    <row r="1484" spans="1:32" ht="285" x14ac:dyDescent="0.25">
      <c r="A1484" s="113" t="s">
        <v>588</v>
      </c>
      <c r="B1484" s="110" t="s">
        <v>2270</v>
      </c>
      <c r="C1484" s="52"/>
      <c r="D1484" s="110" t="s">
        <v>2276</v>
      </c>
      <c r="E1484" s="22" t="str">
        <f t="shared" si="103"/>
        <v>SEJUSPPROG</v>
      </c>
      <c r="F1484" s="120" t="s">
        <v>681</v>
      </c>
      <c r="G1484" s="22" t="str">
        <f t="shared" si="104"/>
        <v>P129SEJUSP</v>
      </c>
      <c r="H1484" s="120" t="s">
        <v>1015</v>
      </c>
      <c r="I1484" s="22" t="s">
        <v>16</v>
      </c>
      <c r="J1484" s="120" t="s">
        <v>483</v>
      </c>
      <c r="K1484" s="22" t="str">
        <f>VLOOKUP(CONCATENATE(A1484,LEFT(J1484,4)),AGRUPAMENTO!$D$2:$E$6783,2,FALSE)</f>
        <v>Frota</v>
      </c>
      <c r="L1484" s="137" t="s">
        <v>44</v>
      </c>
      <c r="M1484" s="52"/>
      <c r="N1484" s="52">
        <v>60</v>
      </c>
      <c r="O1484" s="120" t="s">
        <v>3601</v>
      </c>
      <c r="P1484" s="52" t="s">
        <v>46</v>
      </c>
      <c r="Q1484" s="109" t="s">
        <v>4229</v>
      </c>
      <c r="R1484" s="251">
        <v>55</v>
      </c>
      <c r="S1484" s="109" t="s">
        <v>4233</v>
      </c>
      <c r="T1484" s="243">
        <v>38.368000000000002</v>
      </c>
      <c r="U1484" s="120">
        <v>12</v>
      </c>
      <c r="V1484" s="58">
        <f t="shared" si="102"/>
        <v>25322.880000000005</v>
      </c>
      <c r="W1484" s="52" t="s">
        <v>49</v>
      </c>
      <c r="X1484" s="120" t="s">
        <v>5189</v>
      </c>
      <c r="Y1484" s="109" t="s">
        <v>5190</v>
      </c>
      <c r="Z1484" s="120" t="s">
        <v>5191</v>
      </c>
      <c r="AA1484" s="52">
        <v>0</v>
      </c>
      <c r="AB1484" s="52">
        <v>0</v>
      </c>
      <c r="AC1484" s="52">
        <v>0</v>
      </c>
      <c r="AD1484" s="21">
        <v>0.69782350765454815</v>
      </c>
      <c r="AE1484" s="54">
        <v>0.69782350765454815</v>
      </c>
      <c r="AF1484" s="315">
        <f t="shared" si="105"/>
        <v>17670.900945515208</v>
      </c>
    </row>
    <row r="1485" spans="1:32" ht="285" x14ac:dyDescent="0.25">
      <c r="A1485" s="113" t="s">
        <v>588</v>
      </c>
      <c r="B1485" s="110" t="s">
        <v>2270</v>
      </c>
      <c r="C1485" s="52"/>
      <c r="D1485" s="110" t="s">
        <v>2276</v>
      </c>
      <c r="E1485" s="22" t="str">
        <f t="shared" si="103"/>
        <v>SEJUSPPROG</v>
      </c>
      <c r="F1485" s="52" t="s">
        <v>705</v>
      </c>
      <c r="G1485" s="22" t="str">
        <f t="shared" si="104"/>
        <v>P134SEJUSP</v>
      </c>
      <c r="H1485" s="52" t="s">
        <v>1356</v>
      </c>
      <c r="I1485" s="22" t="s">
        <v>16</v>
      </c>
      <c r="J1485" s="120" t="s">
        <v>483</v>
      </c>
      <c r="K1485" s="22" t="str">
        <f>VLOOKUP(CONCATENATE(A1485,LEFT(J1485,4)),AGRUPAMENTO!$D$2:$E$6783,2,FALSE)</f>
        <v>Frota</v>
      </c>
      <c r="L1485" s="137" t="s">
        <v>44</v>
      </c>
      <c r="M1485" s="52"/>
      <c r="N1485" s="52">
        <v>10</v>
      </c>
      <c r="O1485" s="120" t="s">
        <v>3602</v>
      </c>
      <c r="P1485" s="52" t="s">
        <v>46</v>
      </c>
      <c r="Q1485" s="109" t="s">
        <v>4229</v>
      </c>
      <c r="R1485" s="252">
        <v>25</v>
      </c>
      <c r="S1485" s="109" t="s">
        <v>4233</v>
      </c>
      <c r="T1485" s="243">
        <v>38.368000000000002</v>
      </c>
      <c r="U1485" s="120">
        <v>12</v>
      </c>
      <c r="V1485" s="58">
        <f t="shared" si="102"/>
        <v>11510.400000000001</v>
      </c>
      <c r="W1485" s="52" t="s">
        <v>49</v>
      </c>
      <c r="X1485" s="120" t="s">
        <v>5189</v>
      </c>
      <c r="Y1485" s="109" t="s">
        <v>5190</v>
      </c>
      <c r="Z1485" s="120" t="s">
        <v>5191</v>
      </c>
      <c r="AA1485" s="52">
        <v>0</v>
      </c>
      <c r="AB1485" s="52">
        <v>0</v>
      </c>
      <c r="AC1485" s="52">
        <v>0</v>
      </c>
      <c r="AD1485" s="21">
        <v>0.69782350765454815</v>
      </c>
      <c r="AE1485" s="54">
        <v>0.69782350765454815</v>
      </c>
      <c r="AF1485" s="315">
        <f t="shared" si="105"/>
        <v>8032.2277025069125</v>
      </c>
    </row>
    <row r="1486" spans="1:32" ht="285" x14ac:dyDescent="0.25">
      <c r="A1486" s="113" t="s">
        <v>588</v>
      </c>
      <c r="B1486" s="110" t="s">
        <v>2270</v>
      </c>
      <c r="C1486" s="52"/>
      <c r="D1486" s="110" t="s">
        <v>2276</v>
      </c>
      <c r="E1486" s="22" t="str">
        <f t="shared" si="103"/>
        <v>SEJUSPPROG</v>
      </c>
      <c r="F1486" s="52" t="s">
        <v>699</v>
      </c>
      <c r="G1486" s="22" t="str">
        <f t="shared" si="104"/>
        <v>P141SEJUSP</v>
      </c>
      <c r="H1486" s="52" t="s">
        <v>1403</v>
      </c>
      <c r="I1486" s="22" t="s">
        <v>16</v>
      </c>
      <c r="J1486" s="120" t="s">
        <v>483</v>
      </c>
      <c r="K1486" s="22" t="str">
        <f>VLOOKUP(CONCATENATE(A1486,LEFT(J1486,4)),AGRUPAMENTO!$D$2:$E$6783,2,FALSE)</f>
        <v>Frota</v>
      </c>
      <c r="L1486" s="137" t="s">
        <v>44</v>
      </c>
      <c r="M1486" s="52"/>
      <c r="N1486" s="52">
        <v>10</v>
      </c>
      <c r="O1486" s="120" t="s">
        <v>3603</v>
      </c>
      <c r="P1486" s="52" t="s">
        <v>46</v>
      </c>
      <c r="Q1486" s="109" t="s">
        <v>4229</v>
      </c>
      <c r="R1486" s="251">
        <v>5</v>
      </c>
      <c r="S1486" s="109" t="s">
        <v>4233</v>
      </c>
      <c r="T1486" s="243">
        <v>38.368000000000002</v>
      </c>
      <c r="U1486" s="120">
        <v>12</v>
      </c>
      <c r="V1486" s="58">
        <f t="shared" si="102"/>
        <v>2302.08</v>
      </c>
      <c r="W1486" s="52" t="s">
        <v>49</v>
      </c>
      <c r="X1486" s="120" t="s">
        <v>5189</v>
      </c>
      <c r="Y1486" s="109" t="s">
        <v>5190</v>
      </c>
      <c r="Z1486" s="120" t="s">
        <v>5191</v>
      </c>
      <c r="AA1486" s="52">
        <v>0</v>
      </c>
      <c r="AB1486" s="52">
        <v>0</v>
      </c>
      <c r="AC1486" s="52">
        <v>0</v>
      </c>
      <c r="AD1486" s="21">
        <v>0.69782350765454815</v>
      </c>
      <c r="AE1486" s="54">
        <v>0.69782350765454815</v>
      </c>
      <c r="AF1486" s="315">
        <f t="shared" si="105"/>
        <v>1606.4455405013821</v>
      </c>
    </row>
    <row r="1487" spans="1:32" ht="285" x14ac:dyDescent="0.25">
      <c r="A1487" s="113" t="s">
        <v>588</v>
      </c>
      <c r="B1487" s="110" t="s">
        <v>2270</v>
      </c>
      <c r="C1487" s="52"/>
      <c r="D1487" s="110" t="s">
        <v>2276</v>
      </c>
      <c r="E1487" s="22" t="str">
        <f t="shared" si="103"/>
        <v>SEJUSPPROG</v>
      </c>
      <c r="F1487" s="116" t="s">
        <v>687</v>
      </c>
      <c r="G1487" s="22" t="str">
        <f t="shared" si="104"/>
        <v>P705SEJUSP</v>
      </c>
      <c r="H1487" s="120" t="s">
        <v>914</v>
      </c>
      <c r="I1487" s="22" t="s">
        <v>16</v>
      </c>
      <c r="J1487" s="120" t="s">
        <v>483</v>
      </c>
      <c r="K1487" s="22" t="str">
        <f>VLOOKUP(CONCATENATE(A1487,LEFT(J1487,4)),AGRUPAMENTO!$D$2:$E$6783,2,FALSE)</f>
        <v>Frota</v>
      </c>
      <c r="L1487" s="137" t="s">
        <v>44</v>
      </c>
      <c r="M1487" s="52"/>
      <c r="N1487" s="52">
        <v>10</v>
      </c>
      <c r="O1487" s="120" t="s">
        <v>3604</v>
      </c>
      <c r="P1487" s="52" t="s">
        <v>46</v>
      </c>
      <c r="Q1487" s="109" t="s">
        <v>4229</v>
      </c>
      <c r="R1487" s="251">
        <v>50</v>
      </c>
      <c r="S1487" s="109" t="s">
        <v>4233</v>
      </c>
      <c r="T1487" s="243">
        <v>38.368000000000002</v>
      </c>
      <c r="U1487" s="120">
        <v>12</v>
      </c>
      <c r="V1487" s="58">
        <f t="shared" si="102"/>
        <v>23020.800000000003</v>
      </c>
      <c r="W1487" s="52" t="s">
        <v>49</v>
      </c>
      <c r="X1487" s="120" t="s">
        <v>5189</v>
      </c>
      <c r="Y1487" s="109" t="s">
        <v>5190</v>
      </c>
      <c r="Z1487" s="120" t="s">
        <v>5191</v>
      </c>
      <c r="AA1487" s="52">
        <v>0</v>
      </c>
      <c r="AB1487" s="52">
        <v>0</v>
      </c>
      <c r="AC1487" s="52">
        <v>0</v>
      </c>
      <c r="AD1487" s="21">
        <v>0.69782350765454815</v>
      </c>
      <c r="AE1487" s="54">
        <v>0.69782350765454815</v>
      </c>
      <c r="AF1487" s="315">
        <f t="shared" si="105"/>
        <v>16064.455405013825</v>
      </c>
    </row>
    <row r="1488" spans="1:32" ht="255" x14ac:dyDescent="0.25">
      <c r="A1488" s="113" t="s">
        <v>588</v>
      </c>
      <c r="B1488" s="110" t="s">
        <v>2270</v>
      </c>
      <c r="C1488" s="52"/>
      <c r="D1488" s="110" t="s">
        <v>2276</v>
      </c>
      <c r="E1488" s="22" t="str">
        <f t="shared" si="103"/>
        <v>SEJUSPPROG</v>
      </c>
      <c r="F1488" s="116" t="s">
        <v>687</v>
      </c>
      <c r="G1488" s="22" t="str">
        <f t="shared" si="104"/>
        <v>P705SEJUSP</v>
      </c>
      <c r="H1488" s="120" t="s">
        <v>914</v>
      </c>
      <c r="I1488" s="22" t="s">
        <v>16</v>
      </c>
      <c r="J1488" s="120" t="s">
        <v>450</v>
      </c>
      <c r="K1488" s="22" t="str">
        <f>VLOOKUP(CONCATENATE(A1488,LEFT(J1488,4)),AGRUPAMENTO!$D$2:$E$6783,2,FALSE)</f>
        <v>Frota</v>
      </c>
      <c r="L1488" s="137" t="s">
        <v>44</v>
      </c>
      <c r="M1488" s="52"/>
      <c r="N1488" s="52">
        <v>10</v>
      </c>
      <c r="O1488" s="120" t="s">
        <v>3235</v>
      </c>
      <c r="P1488" s="52" t="s">
        <v>46</v>
      </c>
      <c r="Q1488" s="120" t="s">
        <v>4234</v>
      </c>
      <c r="R1488" s="120">
        <f>((10000*5%)+10000)/12</f>
        <v>875</v>
      </c>
      <c r="S1488" s="120" t="s">
        <v>4071</v>
      </c>
      <c r="T1488" s="243">
        <v>4.5449250000000001</v>
      </c>
      <c r="U1488" s="120">
        <v>12</v>
      </c>
      <c r="V1488" s="58">
        <f t="shared" si="102"/>
        <v>47721.712500000001</v>
      </c>
      <c r="W1488" s="52" t="s">
        <v>49</v>
      </c>
      <c r="X1488" s="120" t="s">
        <v>5026</v>
      </c>
      <c r="Y1488" s="120" t="s">
        <v>5027</v>
      </c>
      <c r="Z1488" s="120" t="s">
        <v>5028</v>
      </c>
      <c r="AA1488" s="52">
        <v>0</v>
      </c>
      <c r="AB1488" s="52">
        <v>0</v>
      </c>
      <c r="AC1488" s="52">
        <v>0</v>
      </c>
      <c r="AD1488" s="21">
        <v>0.69782350765454815</v>
      </c>
      <c r="AE1488" s="54">
        <v>0.69782350765454815</v>
      </c>
      <c r="AF1488" s="315">
        <f t="shared" si="105"/>
        <v>33301.332808031897</v>
      </c>
    </row>
    <row r="1489" spans="1:32" ht="255" x14ac:dyDescent="0.25">
      <c r="A1489" s="113" t="s">
        <v>588</v>
      </c>
      <c r="B1489" s="110" t="s">
        <v>2270</v>
      </c>
      <c r="C1489" s="52"/>
      <c r="D1489" s="110" t="s">
        <v>2276</v>
      </c>
      <c r="E1489" s="22" t="str">
        <f t="shared" si="103"/>
        <v>SEJUSPPROG</v>
      </c>
      <c r="F1489" s="116" t="s">
        <v>687</v>
      </c>
      <c r="G1489" s="22" t="str">
        <f t="shared" si="104"/>
        <v>P705SEJUSP</v>
      </c>
      <c r="H1489" s="120" t="s">
        <v>914</v>
      </c>
      <c r="I1489" s="22" t="s">
        <v>16</v>
      </c>
      <c r="J1489" s="120" t="s">
        <v>450</v>
      </c>
      <c r="K1489" s="22" t="str">
        <f>VLOOKUP(CONCATENATE(A1489,LEFT(J1489,4)),AGRUPAMENTO!$D$2:$E$6783,2,FALSE)</f>
        <v>Frota</v>
      </c>
      <c r="L1489" s="137" t="s">
        <v>44</v>
      </c>
      <c r="M1489" s="52"/>
      <c r="N1489" s="52">
        <v>10</v>
      </c>
      <c r="O1489" s="120" t="s">
        <v>3235</v>
      </c>
      <c r="P1489" s="52" t="s">
        <v>46</v>
      </c>
      <c r="Q1489" s="120" t="s">
        <v>4235</v>
      </c>
      <c r="R1489" s="120">
        <f>((12000*5%)+12000)/12</f>
        <v>1050</v>
      </c>
      <c r="S1489" s="120" t="s">
        <v>4071</v>
      </c>
      <c r="T1489" s="243">
        <v>4.8067949999999993</v>
      </c>
      <c r="U1489" s="120">
        <v>12</v>
      </c>
      <c r="V1489" s="58">
        <f t="shared" si="102"/>
        <v>60565.616999999991</v>
      </c>
      <c r="W1489" s="52" t="s">
        <v>49</v>
      </c>
      <c r="X1489" s="120" t="s">
        <v>5026</v>
      </c>
      <c r="Y1489" s="120" t="s">
        <v>5027</v>
      </c>
      <c r="Z1489" s="120" t="s">
        <v>5028</v>
      </c>
      <c r="AA1489" s="52">
        <v>0</v>
      </c>
      <c r="AB1489" s="52">
        <v>0</v>
      </c>
      <c r="AC1489" s="52">
        <v>0</v>
      </c>
      <c r="AD1489" s="21">
        <v>0.69782350765454815</v>
      </c>
      <c r="AE1489" s="54">
        <v>0.69782350765454815</v>
      </c>
      <c r="AF1489" s="315">
        <f t="shared" si="105"/>
        <v>42264.111298201926</v>
      </c>
    </row>
    <row r="1490" spans="1:32" ht="255" x14ac:dyDescent="0.25">
      <c r="A1490" s="113" t="s">
        <v>588</v>
      </c>
      <c r="B1490" s="110" t="s">
        <v>2270</v>
      </c>
      <c r="C1490" s="52"/>
      <c r="D1490" s="110" t="s">
        <v>2276</v>
      </c>
      <c r="E1490" s="22" t="str">
        <f t="shared" si="103"/>
        <v>SEJUSPPROG</v>
      </c>
      <c r="F1490" s="52" t="s">
        <v>705</v>
      </c>
      <c r="G1490" s="22" t="str">
        <f t="shared" si="104"/>
        <v>P134SEJUSP</v>
      </c>
      <c r="H1490" s="52" t="s">
        <v>1356</v>
      </c>
      <c r="I1490" s="22" t="s">
        <v>16</v>
      </c>
      <c r="J1490" s="120" t="s">
        <v>450</v>
      </c>
      <c r="K1490" s="22" t="str">
        <f>VLOOKUP(CONCATENATE(A1490,LEFT(J1490,4)),AGRUPAMENTO!$D$2:$E$6783,2,FALSE)</f>
        <v>Frota</v>
      </c>
      <c r="L1490" s="137" t="s">
        <v>44</v>
      </c>
      <c r="M1490" s="52"/>
      <c r="N1490" s="52">
        <v>10</v>
      </c>
      <c r="O1490" s="120" t="s">
        <v>3246</v>
      </c>
      <c r="P1490" s="52" t="s">
        <v>46</v>
      </c>
      <c r="Q1490" s="120" t="s">
        <v>4234</v>
      </c>
      <c r="R1490" s="253">
        <f>((5000*5%)+5000)/12</f>
        <v>437.5</v>
      </c>
      <c r="S1490" s="120" t="s">
        <v>4071</v>
      </c>
      <c r="T1490" s="243">
        <v>4.5449250000000001</v>
      </c>
      <c r="U1490" s="120">
        <v>12</v>
      </c>
      <c r="V1490" s="58">
        <f t="shared" si="102"/>
        <v>23860.856250000001</v>
      </c>
      <c r="W1490" s="52" t="s">
        <v>49</v>
      </c>
      <c r="X1490" s="120" t="s">
        <v>5026</v>
      </c>
      <c r="Y1490" s="120" t="s">
        <v>5027</v>
      </c>
      <c r="Z1490" s="120" t="s">
        <v>5028</v>
      </c>
      <c r="AA1490" s="52">
        <v>0</v>
      </c>
      <c r="AB1490" s="52">
        <v>0</v>
      </c>
      <c r="AC1490" s="52">
        <v>0</v>
      </c>
      <c r="AD1490" s="21">
        <v>0.69782350765454815</v>
      </c>
      <c r="AE1490" s="54">
        <v>0.69782350765454815</v>
      </c>
      <c r="AF1490" s="315">
        <f t="shared" si="105"/>
        <v>16650.666404015949</v>
      </c>
    </row>
    <row r="1491" spans="1:32" ht="255" x14ac:dyDescent="0.25">
      <c r="A1491" s="113" t="s">
        <v>588</v>
      </c>
      <c r="B1491" s="110" t="s">
        <v>2270</v>
      </c>
      <c r="C1491" s="52"/>
      <c r="D1491" s="110" t="s">
        <v>2276</v>
      </c>
      <c r="E1491" s="22" t="str">
        <f t="shared" si="103"/>
        <v>SEJUSPPROG</v>
      </c>
      <c r="F1491" s="120" t="s">
        <v>681</v>
      </c>
      <c r="G1491" s="22" t="str">
        <f t="shared" si="104"/>
        <v>P129SEJUSP</v>
      </c>
      <c r="H1491" s="120" t="s">
        <v>1015</v>
      </c>
      <c r="I1491" s="22" t="s">
        <v>16</v>
      </c>
      <c r="J1491" s="120" t="s">
        <v>450</v>
      </c>
      <c r="K1491" s="22" t="str">
        <f>VLOOKUP(CONCATENATE(A1491,LEFT(J1491,4)),AGRUPAMENTO!$D$2:$E$6783,2,FALSE)</f>
        <v>Frota</v>
      </c>
      <c r="L1491" s="137" t="s">
        <v>44</v>
      </c>
      <c r="M1491" s="52"/>
      <c r="N1491" s="52">
        <v>60</v>
      </c>
      <c r="O1491" s="120" t="s">
        <v>3247</v>
      </c>
      <c r="P1491" s="52" t="s">
        <v>46</v>
      </c>
      <c r="Q1491" s="120" t="s">
        <v>4234</v>
      </c>
      <c r="R1491" s="253">
        <f>((10000*5%)+10000)/12</f>
        <v>875</v>
      </c>
      <c r="S1491" s="120" t="s">
        <v>4071</v>
      </c>
      <c r="T1491" s="243">
        <v>4.5449250000000001</v>
      </c>
      <c r="U1491" s="120">
        <v>12</v>
      </c>
      <c r="V1491" s="58">
        <f t="shared" si="102"/>
        <v>47721.712500000001</v>
      </c>
      <c r="W1491" s="52" t="s">
        <v>49</v>
      </c>
      <c r="X1491" s="120" t="s">
        <v>5026</v>
      </c>
      <c r="Y1491" s="120" t="s">
        <v>5027</v>
      </c>
      <c r="Z1491" s="120" t="s">
        <v>5028</v>
      </c>
      <c r="AA1491" s="52">
        <v>0</v>
      </c>
      <c r="AB1491" s="52">
        <v>0</v>
      </c>
      <c r="AC1491" s="52">
        <v>0</v>
      </c>
      <c r="AD1491" s="21">
        <v>0.69782350765454815</v>
      </c>
      <c r="AE1491" s="54">
        <v>0.69782350765454815</v>
      </c>
      <c r="AF1491" s="315">
        <f t="shared" si="105"/>
        <v>33301.332808031897</v>
      </c>
    </row>
    <row r="1492" spans="1:32" ht="255" x14ac:dyDescent="0.25">
      <c r="A1492" s="113" t="s">
        <v>588</v>
      </c>
      <c r="B1492" s="110" t="s">
        <v>2270</v>
      </c>
      <c r="C1492" s="52"/>
      <c r="D1492" s="110" t="s">
        <v>2276</v>
      </c>
      <c r="E1492" s="22" t="str">
        <f t="shared" si="103"/>
        <v>SEJUSPPROG</v>
      </c>
      <c r="F1492" s="120" t="s">
        <v>681</v>
      </c>
      <c r="G1492" s="22" t="str">
        <f t="shared" si="104"/>
        <v>P129SEJUSP</v>
      </c>
      <c r="H1492" s="120" t="s">
        <v>1015</v>
      </c>
      <c r="I1492" s="22" t="s">
        <v>16</v>
      </c>
      <c r="J1492" s="120" t="s">
        <v>450</v>
      </c>
      <c r="K1492" s="22" t="str">
        <f>VLOOKUP(CONCATENATE(A1492,LEFT(J1492,4)),AGRUPAMENTO!$D$2:$E$6783,2,FALSE)</f>
        <v>Frota</v>
      </c>
      <c r="L1492" s="137" t="s">
        <v>44</v>
      </c>
      <c r="M1492" s="52"/>
      <c r="N1492" s="52">
        <v>60</v>
      </c>
      <c r="O1492" s="120" t="s">
        <v>3247</v>
      </c>
      <c r="P1492" s="52" t="s">
        <v>46</v>
      </c>
      <c r="Q1492" s="120" t="s">
        <v>4235</v>
      </c>
      <c r="R1492" s="253">
        <f>((5000*5%)+5000)/12</f>
        <v>437.5</v>
      </c>
      <c r="S1492" s="120" t="s">
        <v>4071</v>
      </c>
      <c r="T1492" s="243">
        <v>4.8067949999999993</v>
      </c>
      <c r="U1492" s="120">
        <v>12</v>
      </c>
      <c r="V1492" s="58">
        <f t="shared" si="102"/>
        <v>25235.673749999994</v>
      </c>
      <c r="W1492" s="52" t="s">
        <v>49</v>
      </c>
      <c r="X1492" s="120" t="s">
        <v>5026</v>
      </c>
      <c r="Y1492" s="120" t="s">
        <v>5027</v>
      </c>
      <c r="Z1492" s="120" t="s">
        <v>5028</v>
      </c>
      <c r="AA1492" s="52">
        <v>0</v>
      </c>
      <c r="AB1492" s="52">
        <v>0</v>
      </c>
      <c r="AC1492" s="52">
        <v>0</v>
      </c>
      <c r="AD1492" s="21">
        <v>0.69782350765454815</v>
      </c>
      <c r="AE1492" s="54">
        <v>0.69782350765454815</v>
      </c>
      <c r="AF1492" s="315">
        <f t="shared" si="105"/>
        <v>17610.0463742508</v>
      </c>
    </row>
    <row r="1493" spans="1:32" ht="255" x14ac:dyDescent="0.25">
      <c r="A1493" s="113" t="s">
        <v>588</v>
      </c>
      <c r="B1493" s="110" t="s">
        <v>2270</v>
      </c>
      <c r="C1493" s="52"/>
      <c r="D1493" s="110" t="s">
        <v>2276</v>
      </c>
      <c r="E1493" s="22" t="str">
        <f t="shared" si="103"/>
        <v>SEJUSPPROG</v>
      </c>
      <c r="F1493" s="122" t="s">
        <v>886</v>
      </c>
      <c r="G1493" s="22" t="str">
        <f t="shared" si="104"/>
        <v>P146SEJUSP</v>
      </c>
      <c r="H1493" s="52" t="s">
        <v>1424</v>
      </c>
      <c r="I1493" s="22" t="s">
        <v>16</v>
      </c>
      <c r="J1493" s="120" t="s">
        <v>450</v>
      </c>
      <c r="K1493" s="22" t="str">
        <f>VLOOKUP(CONCATENATE(A1493,LEFT(J1493,4)),AGRUPAMENTO!$D$2:$E$6783,2,FALSE)</f>
        <v>Frota</v>
      </c>
      <c r="L1493" s="137" t="s">
        <v>44</v>
      </c>
      <c r="M1493" s="52"/>
      <c r="N1493" s="52">
        <v>10</v>
      </c>
      <c r="O1493" s="120" t="s">
        <v>3248</v>
      </c>
      <c r="P1493" s="52" t="s">
        <v>46</v>
      </c>
      <c r="Q1493" s="120" t="s">
        <v>4234</v>
      </c>
      <c r="R1493" s="120">
        <f>((15000*5%)+15000)/12</f>
        <v>1312.5</v>
      </c>
      <c r="S1493" s="120" t="s">
        <v>4071</v>
      </c>
      <c r="T1493" s="243">
        <v>4.5449250000000001</v>
      </c>
      <c r="U1493" s="120">
        <v>12</v>
      </c>
      <c r="V1493" s="58">
        <f t="shared" si="102"/>
        <v>71582.568750000006</v>
      </c>
      <c r="W1493" s="52" t="s">
        <v>49</v>
      </c>
      <c r="X1493" s="120" t="s">
        <v>5026</v>
      </c>
      <c r="Y1493" s="120" t="s">
        <v>5027</v>
      </c>
      <c r="Z1493" s="120" t="s">
        <v>5028</v>
      </c>
      <c r="AA1493" s="52">
        <v>0</v>
      </c>
      <c r="AB1493" s="52">
        <v>0</v>
      </c>
      <c r="AC1493" s="52">
        <v>0</v>
      </c>
      <c r="AD1493" s="21">
        <v>0.69782350765454815</v>
      </c>
      <c r="AE1493" s="54">
        <v>0.69782350765454815</v>
      </c>
      <c r="AF1493" s="315">
        <f t="shared" si="105"/>
        <v>49951.999212047849</v>
      </c>
    </row>
    <row r="1494" spans="1:32" ht="255" x14ac:dyDescent="0.25">
      <c r="A1494" s="113" t="s">
        <v>588</v>
      </c>
      <c r="B1494" s="110" t="s">
        <v>2270</v>
      </c>
      <c r="C1494" s="52"/>
      <c r="D1494" s="110" t="s">
        <v>2276</v>
      </c>
      <c r="E1494" s="22" t="str">
        <f t="shared" si="103"/>
        <v>SEJUSPPROG</v>
      </c>
      <c r="F1494" s="122" t="s">
        <v>886</v>
      </c>
      <c r="G1494" s="22" t="str">
        <f t="shared" si="104"/>
        <v>P146SEJUSP</v>
      </c>
      <c r="H1494" s="52" t="s">
        <v>1424</v>
      </c>
      <c r="I1494" s="22" t="s">
        <v>16</v>
      </c>
      <c r="J1494" s="120" t="s">
        <v>450</v>
      </c>
      <c r="K1494" s="22" t="str">
        <f>VLOOKUP(CONCATENATE(A1494,LEFT(J1494,4)),AGRUPAMENTO!$D$2:$E$6783,2,FALSE)</f>
        <v>Frota</v>
      </c>
      <c r="L1494" s="137" t="s">
        <v>44</v>
      </c>
      <c r="M1494" s="52"/>
      <c r="N1494" s="52">
        <v>10</v>
      </c>
      <c r="O1494" s="120" t="s">
        <v>3248</v>
      </c>
      <c r="P1494" s="52" t="s">
        <v>46</v>
      </c>
      <c r="Q1494" s="120" t="s">
        <v>4235</v>
      </c>
      <c r="R1494" s="120">
        <f>((6000*5%)+6000)/12</f>
        <v>525</v>
      </c>
      <c r="S1494" s="120" t="s">
        <v>4071</v>
      </c>
      <c r="T1494" s="243">
        <v>4.8067949999999993</v>
      </c>
      <c r="U1494" s="120">
        <v>12</v>
      </c>
      <c r="V1494" s="58">
        <f t="shared" si="102"/>
        <v>30282.808499999996</v>
      </c>
      <c r="W1494" s="52" t="s">
        <v>49</v>
      </c>
      <c r="X1494" s="120" t="s">
        <v>5026</v>
      </c>
      <c r="Y1494" s="120" t="s">
        <v>5027</v>
      </c>
      <c r="Z1494" s="120" t="s">
        <v>5028</v>
      </c>
      <c r="AA1494" s="52">
        <v>0</v>
      </c>
      <c r="AB1494" s="52">
        <v>0</v>
      </c>
      <c r="AC1494" s="52">
        <v>0</v>
      </c>
      <c r="AD1494" s="21">
        <v>0.69782350765454815</v>
      </c>
      <c r="AE1494" s="54">
        <v>0.69782350765454815</v>
      </c>
      <c r="AF1494" s="315">
        <f t="shared" si="105"/>
        <v>21132.055649100963</v>
      </c>
    </row>
    <row r="1495" spans="1:32" ht="255" x14ac:dyDescent="0.25">
      <c r="A1495" s="113" t="s">
        <v>588</v>
      </c>
      <c r="B1495" s="110" t="s">
        <v>2270</v>
      </c>
      <c r="C1495" s="52"/>
      <c r="D1495" s="110" t="s">
        <v>2276</v>
      </c>
      <c r="E1495" s="22" t="str">
        <f t="shared" si="103"/>
        <v>SEJUSPPROG</v>
      </c>
      <c r="F1495" s="52" t="s">
        <v>729</v>
      </c>
      <c r="G1495" s="22" t="str">
        <f t="shared" si="104"/>
        <v>P130SEJUSP</v>
      </c>
      <c r="H1495" s="120" t="s">
        <v>1183</v>
      </c>
      <c r="I1495" s="22" t="s">
        <v>16</v>
      </c>
      <c r="J1495" s="120" t="s">
        <v>450</v>
      </c>
      <c r="K1495" s="22" t="str">
        <f>VLOOKUP(CONCATENATE(A1495,LEFT(J1495,4)),AGRUPAMENTO!$D$2:$E$6783,2,FALSE)</f>
        <v>Frota</v>
      </c>
      <c r="L1495" s="137" t="s">
        <v>44</v>
      </c>
      <c r="M1495" s="52"/>
      <c r="N1495" s="52">
        <v>60</v>
      </c>
      <c r="O1495" s="120" t="s">
        <v>3249</v>
      </c>
      <c r="P1495" s="52" t="s">
        <v>46</v>
      </c>
      <c r="Q1495" s="120" t="s">
        <v>4234</v>
      </c>
      <c r="R1495" s="254">
        <f>((60000*5%)+60000)/12</f>
        <v>5250</v>
      </c>
      <c r="S1495" s="120" t="s">
        <v>4071</v>
      </c>
      <c r="T1495" s="243">
        <v>4.5449250000000001</v>
      </c>
      <c r="U1495" s="120">
        <v>12</v>
      </c>
      <c r="V1495" s="58">
        <f t="shared" si="102"/>
        <v>286330.27500000002</v>
      </c>
      <c r="W1495" s="52" t="s">
        <v>49</v>
      </c>
      <c r="X1495" s="120" t="s">
        <v>5026</v>
      </c>
      <c r="Y1495" s="120" t="s">
        <v>5027</v>
      </c>
      <c r="Z1495" s="120" t="s">
        <v>5028</v>
      </c>
      <c r="AA1495" s="52">
        <v>0</v>
      </c>
      <c r="AB1495" s="52">
        <v>0</v>
      </c>
      <c r="AC1495" s="52">
        <v>0</v>
      </c>
      <c r="AD1495" s="21">
        <v>0.69782350765454815</v>
      </c>
      <c r="AE1495" s="54">
        <v>0.69782350765454815</v>
      </c>
      <c r="AF1495" s="315">
        <f t="shared" si="105"/>
        <v>199807.9968481914</v>
      </c>
    </row>
    <row r="1496" spans="1:32" ht="255" x14ac:dyDescent="0.25">
      <c r="A1496" s="113" t="s">
        <v>588</v>
      </c>
      <c r="B1496" s="110" t="s">
        <v>2270</v>
      </c>
      <c r="C1496" s="52"/>
      <c r="D1496" s="110" t="s">
        <v>2276</v>
      </c>
      <c r="E1496" s="22" t="str">
        <f t="shared" si="103"/>
        <v>SEJUSPPROG</v>
      </c>
      <c r="F1496" s="52" t="s">
        <v>729</v>
      </c>
      <c r="G1496" s="22" t="str">
        <f t="shared" si="104"/>
        <v>P130SEJUSP</v>
      </c>
      <c r="H1496" s="120" t="s">
        <v>1183</v>
      </c>
      <c r="I1496" s="22" t="s">
        <v>16</v>
      </c>
      <c r="J1496" s="120" t="s">
        <v>450</v>
      </c>
      <c r="K1496" s="22" t="str">
        <f>VLOOKUP(CONCATENATE(A1496,LEFT(J1496,4)),AGRUPAMENTO!$D$2:$E$6783,2,FALSE)</f>
        <v>Frota</v>
      </c>
      <c r="L1496" s="137" t="s">
        <v>44</v>
      </c>
      <c r="M1496" s="52"/>
      <c r="N1496" s="52">
        <v>60</v>
      </c>
      <c r="O1496" s="120" t="s">
        <v>3249</v>
      </c>
      <c r="P1496" s="52" t="s">
        <v>46</v>
      </c>
      <c r="Q1496" s="120" t="s">
        <v>4235</v>
      </c>
      <c r="R1496" s="253">
        <f>((350000*5%)+350000)/12</f>
        <v>30625</v>
      </c>
      <c r="S1496" s="120" t="s">
        <v>4071</v>
      </c>
      <c r="T1496" s="243">
        <v>4.8067949999999993</v>
      </c>
      <c r="U1496" s="120">
        <v>12</v>
      </c>
      <c r="V1496" s="58">
        <f t="shared" si="102"/>
        <v>1766497.1624999999</v>
      </c>
      <c r="W1496" s="52" t="s">
        <v>49</v>
      </c>
      <c r="X1496" s="120" t="s">
        <v>5026</v>
      </c>
      <c r="Y1496" s="120" t="s">
        <v>5027</v>
      </c>
      <c r="Z1496" s="120" t="s">
        <v>5028</v>
      </c>
      <c r="AA1496" s="52">
        <v>0</v>
      </c>
      <c r="AB1496" s="52">
        <v>0</v>
      </c>
      <c r="AC1496" s="52">
        <v>0</v>
      </c>
      <c r="AD1496" s="21">
        <v>0.69782350765454815</v>
      </c>
      <c r="AE1496" s="54">
        <v>0.69782350765454815</v>
      </c>
      <c r="AF1496" s="315">
        <f t="shared" si="105"/>
        <v>1232703.2461975561</v>
      </c>
    </row>
    <row r="1497" spans="1:32" ht="255" x14ac:dyDescent="0.25">
      <c r="A1497" s="113" t="s">
        <v>588</v>
      </c>
      <c r="B1497" s="110" t="s">
        <v>2270</v>
      </c>
      <c r="C1497" s="52"/>
      <c r="D1497" s="110" t="s">
        <v>2276</v>
      </c>
      <c r="E1497" s="22" t="str">
        <f t="shared" si="103"/>
        <v>SEJUSPPROG</v>
      </c>
      <c r="F1497" s="52" t="s">
        <v>729</v>
      </c>
      <c r="G1497" s="22" t="str">
        <f t="shared" si="104"/>
        <v>P130SEJUSP</v>
      </c>
      <c r="H1497" s="120" t="s">
        <v>1259</v>
      </c>
      <c r="I1497" s="22" t="s">
        <v>16</v>
      </c>
      <c r="J1497" s="120" t="s">
        <v>450</v>
      </c>
      <c r="K1497" s="22" t="str">
        <f>VLOOKUP(CONCATENATE(A1497,LEFT(J1497,4)),AGRUPAMENTO!$D$2:$E$6783,2,FALSE)</f>
        <v>Frota</v>
      </c>
      <c r="L1497" s="137" t="s">
        <v>44</v>
      </c>
      <c r="M1497" s="52"/>
      <c r="N1497" s="52">
        <v>10</v>
      </c>
      <c r="O1497" s="120" t="s">
        <v>3498</v>
      </c>
      <c r="P1497" s="52" t="s">
        <v>46</v>
      </c>
      <c r="Q1497" s="120" t="s">
        <v>4234</v>
      </c>
      <c r="R1497" s="253">
        <f>((5000*5%)+5000)/12</f>
        <v>437.5</v>
      </c>
      <c r="S1497" s="120" t="s">
        <v>4071</v>
      </c>
      <c r="T1497" s="243">
        <v>4.5449250000000001</v>
      </c>
      <c r="U1497" s="120">
        <v>12</v>
      </c>
      <c r="V1497" s="58">
        <f t="shared" si="102"/>
        <v>23860.856250000001</v>
      </c>
      <c r="W1497" s="52" t="s">
        <v>49</v>
      </c>
      <c r="X1497" s="120" t="s">
        <v>5026</v>
      </c>
      <c r="Y1497" s="120" t="s">
        <v>5027</v>
      </c>
      <c r="Z1497" s="120" t="s">
        <v>5028</v>
      </c>
      <c r="AA1497" s="52">
        <v>0</v>
      </c>
      <c r="AB1497" s="52">
        <v>0</v>
      </c>
      <c r="AC1497" s="52">
        <v>0</v>
      </c>
      <c r="AD1497" s="21">
        <v>0.69782350765454815</v>
      </c>
      <c r="AE1497" s="54">
        <v>0.69782350765454815</v>
      </c>
      <c r="AF1497" s="315">
        <f t="shared" si="105"/>
        <v>16650.666404015949</v>
      </c>
    </row>
    <row r="1498" spans="1:32" ht="210" x14ac:dyDescent="0.25">
      <c r="A1498" s="113" t="s">
        <v>588</v>
      </c>
      <c r="B1498" s="110" t="s">
        <v>2270</v>
      </c>
      <c r="C1498" s="52"/>
      <c r="D1498" s="110" t="s">
        <v>2276</v>
      </c>
      <c r="E1498" s="22" t="str">
        <f t="shared" si="103"/>
        <v>SEJUSPPROG</v>
      </c>
      <c r="F1498" s="52" t="s">
        <v>729</v>
      </c>
      <c r="G1498" s="22" t="str">
        <f t="shared" si="104"/>
        <v>P130SEJUSP</v>
      </c>
      <c r="H1498" s="120" t="s">
        <v>1259</v>
      </c>
      <c r="I1498" s="22" t="s">
        <v>16</v>
      </c>
      <c r="J1498" s="120" t="s">
        <v>450</v>
      </c>
      <c r="K1498" s="22" t="str">
        <f>VLOOKUP(CONCATENATE(A1498,LEFT(J1498,4)),AGRUPAMENTO!$D$2:$E$6783,2,FALSE)</f>
        <v>Frota</v>
      </c>
      <c r="L1498" s="137" t="s">
        <v>44</v>
      </c>
      <c r="M1498" s="52"/>
      <c r="N1498" s="52">
        <v>10</v>
      </c>
      <c r="O1498" s="120" t="s">
        <v>3498</v>
      </c>
      <c r="P1498" s="52" t="s">
        <v>46</v>
      </c>
      <c r="Q1498" s="120" t="s">
        <v>4235</v>
      </c>
      <c r="R1498" s="253">
        <f>((10000*5%)+10000)/12</f>
        <v>875</v>
      </c>
      <c r="S1498" s="120" t="s">
        <v>4071</v>
      </c>
      <c r="T1498" s="243">
        <v>4.8067949999999993</v>
      </c>
      <c r="U1498" s="120">
        <v>12</v>
      </c>
      <c r="V1498" s="58">
        <f t="shared" si="102"/>
        <v>50471.347499999989</v>
      </c>
      <c r="W1498" s="52" t="s">
        <v>49</v>
      </c>
      <c r="X1498" s="120" t="s">
        <v>5026</v>
      </c>
      <c r="Y1498" s="120" t="s">
        <v>5192</v>
      </c>
      <c r="Z1498" s="120" t="s">
        <v>5028</v>
      </c>
      <c r="AA1498" s="52">
        <v>0</v>
      </c>
      <c r="AB1498" s="52">
        <v>0</v>
      </c>
      <c r="AC1498" s="52">
        <v>0</v>
      </c>
      <c r="AD1498" s="21">
        <v>0.69782350765454815</v>
      </c>
      <c r="AE1498" s="54">
        <v>0.69782350765454815</v>
      </c>
      <c r="AF1498" s="315">
        <f t="shared" si="105"/>
        <v>35220.0927485016</v>
      </c>
    </row>
    <row r="1499" spans="1:32" ht="255" x14ac:dyDescent="0.25">
      <c r="A1499" s="113" t="s">
        <v>588</v>
      </c>
      <c r="B1499" s="110" t="s">
        <v>2270</v>
      </c>
      <c r="C1499" s="52"/>
      <c r="D1499" s="110" t="s">
        <v>2276</v>
      </c>
      <c r="E1499" s="22" t="str">
        <f t="shared" si="103"/>
        <v>SEJUSPPROG</v>
      </c>
      <c r="F1499" s="52" t="s">
        <v>699</v>
      </c>
      <c r="G1499" s="22" t="str">
        <f t="shared" si="104"/>
        <v>P141SEJUSP</v>
      </c>
      <c r="H1499" s="52" t="s">
        <v>1403</v>
      </c>
      <c r="I1499" s="22" t="s">
        <v>16</v>
      </c>
      <c r="J1499" s="120" t="s">
        <v>450</v>
      </c>
      <c r="K1499" s="22" t="str">
        <f>VLOOKUP(CONCATENATE(A1499,LEFT(J1499,4)),AGRUPAMENTO!$D$2:$E$6783,2,FALSE)</f>
        <v>Frota</v>
      </c>
      <c r="L1499" s="137" t="s">
        <v>44</v>
      </c>
      <c r="M1499" s="52"/>
      <c r="N1499" s="52">
        <v>10</v>
      </c>
      <c r="O1499" s="120" t="s">
        <v>3516</v>
      </c>
      <c r="P1499" s="52" t="s">
        <v>46</v>
      </c>
      <c r="Q1499" s="120" t="s">
        <v>4234</v>
      </c>
      <c r="R1499" s="253">
        <f>((5000*5%)+5000)/12</f>
        <v>437.5</v>
      </c>
      <c r="S1499" s="120" t="s">
        <v>4071</v>
      </c>
      <c r="T1499" s="243">
        <v>4.5449250000000001</v>
      </c>
      <c r="U1499" s="120">
        <v>12</v>
      </c>
      <c r="V1499" s="58">
        <f t="shared" si="102"/>
        <v>23860.856250000001</v>
      </c>
      <c r="W1499" s="52" t="s">
        <v>49</v>
      </c>
      <c r="X1499" s="120" t="s">
        <v>5026</v>
      </c>
      <c r="Y1499" s="120" t="s">
        <v>5027</v>
      </c>
      <c r="Z1499" s="120" t="s">
        <v>5028</v>
      </c>
      <c r="AA1499" s="52">
        <v>0</v>
      </c>
      <c r="AB1499" s="52">
        <v>0</v>
      </c>
      <c r="AC1499" s="52">
        <v>0</v>
      </c>
      <c r="AD1499" s="21">
        <v>0.69782350765454815</v>
      </c>
      <c r="AE1499" s="54">
        <v>0.69782350765454815</v>
      </c>
      <c r="AF1499" s="315">
        <f t="shared" si="105"/>
        <v>16650.666404015949</v>
      </c>
    </row>
    <row r="1500" spans="1:32" ht="165" x14ac:dyDescent="0.25">
      <c r="A1500" s="113" t="s">
        <v>588</v>
      </c>
      <c r="B1500" s="110" t="s">
        <v>2270</v>
      </c>
      <c r="C1500" s="52"/>
      <c r="D1500" s="110" t="s">
        <v>2276</v>
      </c>
      <c r="E1500" s="22" t="str">
        <f t="shared" si="103"/>
        <v>SEJUSPPROG</v>
      </c>
      <c r="F1500" s="52" t="s">
        <v>729</v>
      </c>
      <c r="G1500" s="22" t="str">
        <f t="shared" si="104"/>
        <v>P130SEJUSP</v>
      </c>
      <c r="H1500" s="126" t="s">
        <v>1183</v>
      </c>
      <c r="I1500" s="22" t="s">
        <v>16</v>
      </c>
      <c r="J1500" s="126" t="s">
        <v>2142</v>
      </c>
      <c r="K1500" s="22" t="str">
        <f>VLOOKUP(CONCATENATE(A1500,LEFT(J1500,4)),AGRUPAMENTO!$D$2:$E$6783,2,FALSE)</f>
        <v>Material de consumo</v>
      </c>
      <c r="L1500" s="122" t="s">
        <v>44</v>
      </c>
      <c r="M1500" s="52"/>
      <c r="N1500" s="52">
        <v>60</v>
      </c>
      <c r="O1500" s="126" t="s">
        <v>3605</v>
      </c>
      <c r="P1500" s="52" t="s">
        <v>58</v>
      </c>
      <c r="Q1500" s="126" t="s">
        <v>4236</v>
      </c>
      <c r="R1500" s="126">
        <v>300</v>
      </c>
      <c r="S1500" s="126" t="s">
        <v>3886</v>
      </c>
      <c r="T1500" s="243">
        <v>30</v>
      </c>
      <c r="U1500" s="126">
        <v>1</v>
      </c>
      <c r="V1500" s="58">
        <f t="shared" si="102"/>
        <v>9000</v>
      </c>
      <c r="W1500" s="126" t="s">
        <v>68</v>
      </c>
      <c r="X1500" s="122" t="s">
        <v>5193</v>
      </c>
      <c r="Y1500" s="126" t="s">
        <v>5194</v>
      </c>
      <c r="Z1500" s="126" t="s">
        <v>5195</v>
      </c>
      <c r="AA1500" s="122">
        <v>17</v>
      </c>
      <c r="AB1500" s="122">
        <v>26</v>
      </c>
      <c r="AC1500" s="122">
        <v>55</v>
      </c>
      <c r="AD1500" s="21">
        <v>0</v>
      </c>
      <c r="AE1500" s="54">
        <v>0</v>
      </c>
      <c r="AF1500" s="315">
        <f t="shared" si="105"/>
        <v>0</v>
      </c>
    </row>
    <row r="1501" spans="1:32" ht="315" x14ac:dyDescent="0.25">
      <c r="A1501" s="112" t="s">
        <v>588</v>
      </c>
      <c r="B1501" s="107" t="s">
        <v>2270</v>
      </c>
      <c r="C1501" s="52"/>
      <c r="D1501" s="108" t="s">
        <v>2301</v>
      </c>
      <c r="E1501" s="22" t="str">
        <f t="shared" si="103"/>
        <v>SEJUSPPROG</v>
      </c>
      <c r="F1501" s="52" t="s">
        <v>729</v>
      </c>
      <c r="G1501" s="22" t="str">
        <f t="shared" si="104"/>
        <v>P130SEJUSP</v>
      </c>
      <c r="H1501" s="52" t="s">
        <v>1148</v>
      </c>
      <c r="I1501" s="22" t="s">
        <v>16</v>
      </c>
      <c r="J1501" s="121" t="s">
        <v>1681</v>
      </c>
      <c r="K1501" s="22" t="str">
        <f>VLOOKUP(CONCATENATE(A1501,LEFT(J1501,4)),AGRUPAMENTO!$D$2:$E$6783,2,FALSE)</f>
        <v>Aquisições de itens de TIC</v>
      </c>
      <c r="L1501" s="52" t="s">
        <v>94</v>
      </c>
      <c r="M1501" s="52"/>
      <c r="N1501" s="52">
        <v>60</v>
      </c>
      <c r="O1501" s="121" t="s">
        <v>3606</v>
      </c>
      <c r="P1501" s="52" t="s">
        <v>58</v>
      </c>
      <c r="Q1501" s="121" t="s">
        <v>4237</v>
      </c>
      <c r="R1501" s="121">
        <v>3000</v>
      </c>
      <c r="S1501" s="121" t="s">
        <v>4238</v>
      </c>
      <c r="T1501" s="241">
        <v>7425</v>
      </c>
      <c r="U1501" s="121">
        <v>1</v>
      </c>
      <c r="V1501" s="58">
        <f t="shared" si="102"/>
        <v>22275000</v>
      </c>
      <c r="W1501" s="121" t="s">
        <v>68</v>
      </c>
      <c r="X1501" s="108" t="s">
        <v>5196</v>
      </c>
      <c r="Y1501" s="121" t="s">
        <v>5197</v>
      </c>
      <c r="Z1501" s="121" t="s">
        <v>5198</v>
      </c>
      <c r="AA1501" s="108">
        <v>3</v>
      </c>
      <c r="AB1501" s="108">
        <v>27</v>
      </c>
      <c r="AC1501" s="108">
        <v>56</v>
      </c>
      <c r="AD1501" s="21">
        <v>0</v>
      </c>
      <c r="AE1501" s="54">
        <v>0</v>
      </c>
      <c r="AF1501" s="315">
        <f t="shared" si="105"/>
        <v>0</v>
      </c>
    </row>
    <row r="1502" spans="1:32" ht="75" x14ac:dyDescent="0.25">
      <c r="A1502" s="113" t="s">
        <v>588</v>
      </c>
      <c r="B1502" s="110" t="s">
        <v>2270</v>
      </c>
      <c r="C1502" s="52"/>
      <c r="D1502" s="110" t="s">
        <v>2276</v>
      </c>
      <c r="E1502" s="22" t="str">
        <f t="shared" si="103"/>
        <v>SEJUSPPROG</v>
      </c>
      <c r="F1502" s="126" t="s">
        <v>886</v>
      </c>
      <c r="G1502" s="22" t="str">
        <f t="shared" si="104"/>
        <v>P146SEJUSP</v>
      </c>
      <c r="H1502" s="134" t="s">
        <v>2307</v>
      </c>
      <c r="I1502" s="22" t="s">
        <v>16</v>
      </c>
      <c r="J1502" s="121" t="s">
        <v>445</v>
      </c>
      <c r="K1502" s="22" t="str">
        <f>VLOOKUP(CONCATENATE(A1502,LEFT(J1502,4)),AGRUPAMENTO!$D$2:$E$6783,2,FALSE)</f>
        <v>Material de consumo</v>
      </c>
      <c r="L1502" s="122" t="s">
        <v>44</v>
      </c>
      <c r="M1502" s="52"/>
      <c r="N1502" s="52">
        <v>10</v>
      </c>
      <c r="O1502" s="126" t="s">
        <v>3607</v>
      </c>
      <c r="P1502" s="52" t="s">
        <v>58</v>
      </c>
      <c r="Q1502" s="126" t="s">
        <v>4020</v>
      </c>
      <c r="R1502" s="126">
        <v>1000</v>
      </c>
      <c r="S1502" s="126" t="s">
        <v>4023</v>
      </c>
      <c r="T1502" s="243">
        <v>246</v>
      </c>
      <c r="U1502" s="126">
        <v>1</v>
      </c>
      <c r="V1502" s="58">
        <f t="shared" si="102"/>
        <v>246000</v>
      </c>
      <c r="W1502" s="126" t="s">
        <v>68</v>
      </c>
      <c r="X1502" s="122" t="s">
        <v>5199</v>
      </c>
      <c r="Y1502" s="126" t="s">
        <v>5200</v>
      </c>
      <c r="Z1502" s="126" t="s">
        <v>4739</v>
      </c>
      <c r="AA1502" s="122">
        <v>18</v>
      </c>
      <c r="AB1502" s="122">
        <v>28</v>
      </c>
      <c r="AC1502" s="122">
        <v>57</v>
      </c>
      <c r="AD1502" s="21">
        <v>0</v>
      </c>
      <c r="AE1502" s="54">
        <v>0</v>
      </c>
      <c r="AF1502" s="315">
        <f t="shared" si="105"/>
        <v>0</v>
      </c>
    </row>
    <row r="1503" spans="1:32" ht="270" x14ac:dyDescent="0.25">
      <c r="A1503" s="113" t="s">
        <v>588</v>
      </c>
      <c r="B1503" s="110" t="s">
        <v>2270</v>
      </c>
      <c r="C1503" s="52"/>
      <c r="D1503" s="110" t="s">
        <v>2276</v>
      </c>
      <c r="E1503" s="22" t="str">
        <f t="shared" si="103"/>
        <v>SEJUSPPROG</v>
      </c>
      <c r="F1503" s="125" t="s">
        <v>687</v>
      </c>
      <c r="G1503" s="22" t="str">
        <f t="shared" si="104"/>
        <v>P705SEJUSP</v>
      </c>
      <c r="H1503" s="124" t="s">
        <v>914</v>
      </c>
      <c r="I1503" s="22" t="s">
        <v>16</v>
      </c>
      <c r="J1503" s="120" t="s">
        <v>395</v>
      </c>
      <c r="K1503" s="22" t="str">
        <f>VLOOKUP(CONCATENATE(A1503,LEFT(J1503,4)),AGRUPAMENTO!$D$2:$E$6783,2,FALSE)</f>
        <v>Frota</v>
      </c>
      <c r="L1503" s="137" t="s">
        <v>44</v>
      </c>
      <c r="M1503" s="52"/>
      <c r="N1503" s="52">
        <v>10</v>
      </c>
      <c r="O1503" s="120" t="s">
        <v>3608</v>
      </c>
      <c r="P1503" s="52" t="s">
        <v>58</v>
      </c>
      <c r="Q1503" s="120" t="s">
        <v>4239</v>
      </c>
      <c r="R1503" s="120">
        <v>17</v>
      </c>
      <c r="S1503" s="120" t="s">
        <v>4240</v>
      </c>
      <c r="T1503" s="243">
        <v>2202.8071999999997</v>
      </c>
      <c r="U1503" s="120">
        <v>12</v>
      </c>
      <c r="V1503" s="58">
        <f t="shared" si="102"/>
        <v>449372.66879999998</v>
      </c>
      <c r="W1503" s="120" t="s">
        <v>68</v>
      </c>
      <c r="X1503" s="120" t="s">
        <v>5201</v>
      </c>
      <c r="Y1503" s="120" t="s">
        <v>4699</v>
      </c>
      <c r="Z1503" s="120" t="s">
        <v>4700</v>
      </c>
      <c r="AA1503" s="122">
        <v>19</v>
      </c>
      <c r="AB1503" s="122">
        <v>29</v>
      </c>
      <c r="AC1503" s="122">
        <v>58</v>
      </c>
      <c r="AD1503" s="21">
        <v>0</v>
      </c>
      <c r="AE1503" s="54">
        <v>0</v>
      </c>
      <c r="AF1503" s="315">
        <f t="shared" si="105"/>
        <v>0</v>
      </c>
    </row>
    <row r="1504" spans="1:32" ht="330" x14ac:dyDescent="0.25">
      <c r="A1504" s="112" t="s">
        <v>588</v>
      </c>
      <c r="B1504" s="107" t="s">
        <v>2270</v>
      </c>
      <c r="C1504" s="52"/>
      <c r="D1504" s="108" t="s">
        <v>2301</v>
      </c>
      <c r="E1504" s="22" t="str">
        <f t="shared" si="103"/>
        <v>SEJUSPPROG</v>
      </c>
      <c r="F1504" s="52" t="s">
        <v>729</v>
      </c>
      <c r="G1504" s="22" t="str">
        <f t="shared" si="104"/>
        <v>P130SEJUSP</v>
      </c>
      <c r="H1504" s="121" t="s">
        <v>1148</v>
      </c>
      <c r="I1504" s="22" t="s">
        <v>16</v>
      </c>
      <c r="J1504" s="121" t="s">
        <v>1681</v>
      </c>
      <c r="K1504" s="22" t="str">
        <f>VLOOKUP(CONCATENATE(A1504,LEFT(J1504,4)),AGRUPAMENTO!$D$2:$E$6783,2,FALSE)</f>
        <v>Aquisições de itens de TIC</v>
      </c>
      <c r="L1504" s="52" t="s">
        <v>94</v>
      </c>
      <c r="M1504" s="52"/>
      <c r="N1504" s="52">
        <v>60</v>
      </c>
      <c r="O1504" s="121" t="s">
        <v>3609</v>
      </c>
      <c r="P1504" s="52" t="s">
        <v>58</v>
      </c>
      <c r="Q1504" s="121" t="s">
        <v>4241</v>
      </c>
      <c r="R1504" s="121">
        <v>400</v>
      </c>
      <c r="S1504" s="121" t="s">
        <v>4238</v>
      </c>
      <c r="T1504" s="241">
        <v>9481</v>
      </c>
      <c r="U1504" s="121">
        <v>1</v>
      </c>
      <c r="V1504" s="58">
        <f t="shared" si="102"/>
        <v>3792400</v>
      </c>
      <c r="W1504" s="121" t="s">
        <v>68</v>
      </c>
      <c r="X1504" s="121" t="s">
        <v>5202</v>
      </c>
      <c r="Y1504" s="121" t="s">
        <v>5203</v>
      </c>
      <c r="Z1504" s="121" t="s">
        <v>5204</v>
      </c>
      <c r="AA1504" s="108">
        <v>4</v>
      </c>
      <c r="AB1504" s="108">
        <v>30</v>
      </c>
      <c r="AC1504" s="108">
        <v>59</v>
      </c>
      <c r="AD1504" s="21">
        <v>0</v>
      </c>
      <c r="AE1504" s="54">
        <v>0</v>
      </c>
      <c r="AF1504" s="315">
        <f t="shared" si="105"/>
        <v>0</v>
      </c>
    </row>
    <row r="1505" spans="1:32" ht="135" x14ac:dyDescent="0.25">
      <c r="A1505" s="113" t="s">
        <v>588</v>
      </c>
      <c r="B1505" s="110" t="s">
        <v>2270</v>
      </c>
      <c r="C1505" s="52"/>
      <c r="D1505" s="110" t="s">
        <v>2276</v>
      </c>
      <c r="E1505" s="22" t="str">
        <f t="shared" si="103"/>
        <v>SEJUSPPROG</v>
      </c>
      <c r="F1505" s="52" t="s">
        <v>729</v>
      </c>
      <c r="G1505" s="22" t="str">
        <f t="shared" si="104"/>
        <v>P130SEJUSP</v>
      </c>
      <c r="H1505" s="135" t="s">
        <v>1259</v>
      </c>
      <c r="I1505" s="22" t="s">
        <v>16</v>
      </c>
      <c r="J1505" s="140" t="s">
        <v>2233</v>
      </c>
      <c r="K1505" s="22" t="str">
        <f>VLOOKUP(CONCATENATE(A1505,LEFT(J1505,4)),AGRUPAMENTO!$D$2:$E$6783,2,FALSE)</f>
        <v>Demais despesas de capital</v>
      </c>
      <c r="L1505" s="52" t="s">
        <v>94</v>
      </c>
      <c r="M1505" s="52"/>
      <c r="N1505" s="52">
        <v>10</v>
      </c>
      <c r="O1505" s="120" t="s">
        <v>3610</v>
      </c>
      <c r="P1505" s="52" t="s">
        <v>58</v>
      </c>
      <c r="Q1505" s="120" t="s">
        <v>4242</v>
      </c>
      <c r="R1505" s="120">
        <v>20</v>
      </c>
      <c r="S1505" s="120" t="s">
        <v>4243</v>
      </c>
      <c r="T1505" s="243">
        <v>730940</v>
      </c>
      <c r="U1505" s="120">
        <v>1</v>
      </c>
      <c r="V1505" s="58">
        <f t="shared" si="102"/>
        <v>14618800</v>
      </c>
      <c r="W1505" s="120" t="s">
        <v>68</v>
      </c>
      <c r="X1505" s="120" t="s">
        <v>5205</v>
      </c>
      <c r="Y1505" s="120" t="s">
        <v>5206</v>
      </c>
      <c r="Z1505" s="120" t="s">
        <v>5207</v>
      </c>
      <c r="AA1505" s="122">
        <v>20</v>
      </c>
      <c r="AB1505" s="122">
        <v>31</v>
      </c>
      <c r="AC1505" s="122">
        <v>60</v>
      </c>
      <c r="AD1505" s="21">
        <v>0</v>
      </c>
      <c r="AE1505" s="54">
        <v>0</v>
      </c>
      <c r="AF1505" s="315">
        <f t="shared" si="105"/>
        <v>0</v>
      </c>
    </row>
    <row r="1506" spans="1:32" ht="120" x14ac:dyDescent="0.25">
      <c r="A1506" s="113" t="s">
        <v>588</v>
      </c>
      <c r="B1506" s="110" t="s">
        <v>2270</v>
      </c>
      <c r="C1506" s="52"/>
      <c r="D1506" s="110" t="s">
        <v>2276</v>
      </c>
      <c r="E1506" s="22" t="str">
        <f t="shared" si="103"/>
        <v>SEJUSPPROG</v>
      </c>
      <c r="F1506" s="52" t="s">
        <v>729</v>
      </c>
      <c r="G1506" s="22" t="str">
        <f t="shared" si="104"/>
        <v>P130SEJUSP</v>
      </c>
      <c r="H1506" s="136" t="s">
        <v>1183</v>
      </c>
      <c r="I1506" s="22" t="s">
        <v>16</v>
      </c>
      <c r="J1506" s="140" t="s">
        <v>2233</v>
      </c>
      <c r="K1506" s="22" t="str">
        <f>VLOOKUP(CONCATENATE(A1506,LEFT(J1506,4)),AGRUPAMENTO!$D$2:$E$6783,2,FALSE)</f>
        <v>Demais despesas de capital</v>
      </c>
      <c r="L1506" s="52" t="s">
        <v>94</v>
      </c>
      <c r="M1506" s="52"/>
      <c r="N1506" s="52">
        <v>60</v>
      </c>
      <c r="O1506" s="120" t="s">
        <v>3611</v>
      </c>
      <c r="P1506" s="52" t="s">
        <v>58</v>
      </c>
      <c r="Q1506" s="120" t="s">
        <v>4244</v>
      </c>
      <c r="R1506" s="120">
        <v>80</v>
      </c>
      <c r="S1506" s="120" t="s">
        <v>4245</v>
      </c>
      <c r="T1506" s="243">
        <v>364000</v>
      </c>
      <c r="U1506" s="120">
        <v>1</v>
      </c>
      <c r="V1506" s="58">
        <f t="shared" si="102"/>
        <v>29120000</v>
      </c>
      <c r="W1506" s="120" t="s">
        <v>68</v>
      </c>
      <c r="X1506" s="120" t="s">
        <v>5205</v>
      </c>
      <c r="Y1506" s="120" t="s">
        <v>5206</v>
      </c>
      <c r="Z1506" s="120" t="s">
        <v>5207</v>
      </c>
      <c r="AA1506" s="122">
        <v>20</v>
      </c>
      <c r="AB1506" s="122">
        <v>31</v>
      </c>
      <c r="AC1506" s="122">
        <v>60</v>
      </c>
      <c r="AD1506" s="21">
        <v>0</v>
      </c>
      <c r="AE1506" s="54">
        <v>0</v>
      </c>
      <c r="AF1506" s="315">
        <f t="shared" si="105"/>
        <v>0</v>
      </c>
    </row>
    <row r="1507" spans="1:32" ht="255" x14ac:dyDescent="0.25">
      <c r="A1507" s="113" t="s">
        <v>588</v>
      </c>
      <c r="B1507" s="110" t="s">
        <v>2270</v>
      </c>
      <c r="C1507" s="52"/>
      <c r="D1507" s="110" t="s">
        <v>2276</v>
      </c>
      <c r="E1507" s="22" t="str">
        <f t="shared" si="103"/>
        <v>SEJUSPPROG</v>
      </c>
      <c r="F1507" s="52" t="s">
        <v>729</v>
      </c>
      <c r="G1507" s="22" t="str">
        <f t="shared" si="104"/>
        <v>P130SEJUSP</v>
      </c>
      <c r="H1507" s="120" t="s">
        <v>1183</v>
      </c>
      <c r="I1507" s="22" t="s">
        <v>16</v>
      </c>
      <c r="J1507" s="120" t="s">
        <v>2308</v>
      </c>
      <c r="K1507" s="22" t="str">
        <f>VLOOKUP(CONCATENATE(A1507,LEFT(J1507,4)),AGRUPAMENTO!$D$2:$E$6783,2,FALSE)</f>
        <v>Frota</v>
      </c>
      <c r="L1507" s="137" t="s">
        <v>44</v>
      </c>
      <c r="M1507" s="52"/>
      <c r="N1507" s="52">
        <v>60</v>
      </c>
      <c r="O1507" s="120" t="s">
        <v>3612</v>
      </c>
      <c r="P1507" s="52" t="s">
        <v>46</v>
      </c>
      <c r="Q1507" s="120" t="s">
        <v>4246</v>
      </c>
      <c r="R1507" s="253">
        <f>180000/12</f>
        <v>15000</v>
      </c>
      <c r="S1507" s="120" t="s">
        <v>4247</v>
      </c>
      <c r="T1507" s="243">
        <v>5.7645</v>
      </c>
      <c r="U1507" s="120">
        <v>12</v>
      </c>
      <c r="V1507" s="58">
        <f t="shared" si="102"/>
        <v>1037610</v>
      </c>
      <c r="W1507" s="52" t="s">
        <v>49</v>
      </c>
      <c r="X1507" s="120" t="s">
        <v>5026</v>
      </c>
      <c r="Y1507" s="120" t="s">
        <v>5027</v>
      </c>
      <c r="Z1507" s="120" t="s">
        <v>5028</v>
      </c>
      <c r="AA1507" s="52">
        <v>0</v>
      </c>
      <c r="AB1507" s="52">
        <v>0</v>
      </c>
      <c r="AC1507" s="52">
        <v>0</v>
      </c>
      <c r="AD1507" s="21">
        <v>0.69782350765454815</v>
      </c>
      <c r="AE1507" s="54">
        <v>0.69782350765454815</v>
      </c>
      <c r="AF1507" s="315">
        <f t="shared" si="105"/>
        <v>724068.6497774357</v>
      </c>
    </row>
    <row r="1508" spans="1:32" ht="255" x14ac:dyDescent="0.25">
      <c r="A1508" s="113" t="s">
        <v>588</v>
      </c>
      <c r="B1508" s="110" t="s">
        <v>2270</v>
      </c>
      <c r="C1508" s="52"/>
      <c r="D1508" s="110" t="s">
        <v>2276</v>
      </c>
      <c r="E1508" s="22" t="str">
        <f t="shared" si="103"/>
        <v>SEJUSPPROG</v>
      </c>
      <c r="F1508" s="52" t="s">
        <v>729</v>
      </c>
      <c r="G1508" s="22" t="str">
        <f t="shared" si="104"/>
        <v>P130SEJUSP</v>
      </c>
      <c r="H1508" s="120" t="s">
        <v>1183</v>
      </c>
      <c r="I1508" s="22" t="s">
        <v>16</v>
      </c>
      <c r="J1508" s="120" t="s">
        <v>2308</v>
      </c>
      <c r="K1508" s="22" t="str">
        <f>VLOOKUP(CONCATENATE(A1508,LEFT(J1508,4)),AGRUPAMENTO!$D$2:$E$6783,2,FALSE)</f>
        <v>Frota</v>
      </c>
      <c r="L1508" s="137" t="s">
        <v>44</v>
      </c>
      <c r="M1508" s="52"/>
      <c r="N1508" s="52">
        <v>60</v>
      </c>
      <c r="O1508" s="120" t="s">
        <v>3612</v>
      </c>
      <c r="P1508" s="52" t="s">
        <v>46</v>
      </c>
      <c r="Q1508" s="120" t="s">
        <v>4248</v>
      </c>
      <c r="R1508" s="253">
        <f>25000/12</f>
        <v>2083.3333333333335</v>
      </c>
      <c r="S1508" s="120" t="s">
        <v>4247</v>
      </c>
      <c r="T1508" s="243">
        <v>3.98055</v>
      </c>
      <c r="U1508" s="120">
        <v>12</v>
      </c>
      <c r="V1508" s="58">
        <f t="shared" si="102"/>
        <v>99513.75</v>
      </c>
      <c r="W1508" s="52" t="s">
        <v>49</v>
      </c>
      <c r="X1508" s="120" t="s">
        <v>5026</v>
      </c>
      <c r="Y1508" s="120" t="s">
        <v>5027</v>
      </c>
      <c r="Z1508" s="120" t="s">
        <v>5028</v>
      </c>
      <c r="AA1508" s="52">
        <v>0</v>
      </c>
      <c r="AB1508" s="52">
        <v>0</v>
      </c>
      <c r="AC1508" s="52">
        <v>0</v>
      </c>
      <c r="AD1508" s="21">
        <v>0.69782350765454815</v>
      </c>
      <c r="AE1508" s="54">
        <v>0.69782350765454815</v>
      </c>
      <c r="AF1508" s="315">
        <f t="shared" si="105"/>
        <v>69443.034084857791</v>
      </c>
    </row>
    <row r="1509" spans="1:32" ht="255" x14ac:dyDescent="0.25">
      <c r="A1509" s="113" t="s">
        <v>588</v>
      </c>
      <c r="B1509" s="110" t="s">
        <v>2270</v>
      </c>
      <c r="C1509" s="52"/>
      <c r="D1509" s="110" t="s">
        <v>2276</v>
      </c>
      <c r="E1509" s="22" t="str">
        <f t="shared" si="103"/>
        <v>SEJUSPPROG</v>
      </c>
      <c r="F1509" s="52" t="s">
        <v>729</v>
      </c>
      <c r="G1509" s="22" t="str">
        <f t="shared" si="104"/>
        <v>P130SEJUSP</v>
      </c>
      <c r="H1509" s="120" t="s">
        <v>1183</v>
      </c>
      <c r="I1509" s="22" t="s">
        <v>16</v>
      </c>
      <c r="J1509" s="120" t="s">
        <v>2308</v>
      </c>
      <c r="K1509" s="22" t="str">
        <f>VLOOKUP(CONCATENATE(A1509,LEFT(J1509,4)),AGRUPAMENTO!$D$2:$E$6783,2,FALSE)</f>
        <v>Frota</v>
      </c>
      <c r="L1509" s="137" t="s">
        <v>44</v>
      </c>
      <c r="M1509" s="52"/>
      <c r="N1509" s="52">
        <v>60</v>
      </c>
      <c r="O1509" s="120" t="s">
        <v>3612</v>
      </c>
      <c r="P1509" s="52" t="s">
        <v>46</v>
      </c>
      <c r="Q1509" s="120" t="s">
        <v>4249</v>
      </c>
      <c r="R1509" s="253">
        <f>700000/12</f>
        <v>58333.333333333336</v>
      </c>
      <c r="S1509" s="120" t="s">
        <v>4247</v>
      </c>
      <c r="T1509" s="243">
        <v>8.0419499999999999</v>
      </c>
      <c r="U1509" s="120">
        <v>12</v>
      </c>
      <c r="V1509" s="58">
        <f t="shared" si="102"/>
        <v>5629365</v>
      </c>
      <c r="W1509" s="52" t="s">
        <v>49</v>
      </c>
      <c r="X1509" s="120" t="s">
        <v>5026</v>
      </c>
      <c r="Y1509" s="120" t="s">
        <v>5027</v>
      </c>
      <c r="Z1509" s="120" t="s">
        <v>5028</v>
      </c>
      <c r="AA1509" s="52">
        <v>0</v>
      </c>
      <c r="AB1509" s="52">
        <v>0</v>
      </c>
      <c r="AC1509" s="52">
        <v>0</v>
      </c>
      <c r="AD1509" s="21">
        <v>0.69782350765454815</v>
      </c>
      <c r="AE1509" s="54">
        <v>0.69782350765454815</v>
      </c>
      <c r="AF1509" s="315">
        <f t="shared" si="105"/>
        <v>3928303.2301677456</v>
      </c>
    </row>
    <row r="1510" spans="1:32" ht="255" x14ac:dyDescent="0.25">
      <c r="A1510" s="113" t="s">
        <v>588</v>
      </c>
      <c r="B1510" s="110" t="s">
        <v>2270</v>
      </c>
      <c r="C1510" s="52"/>
      <c r="D1510" s="110" t="s">
        <v>2276</v>
      </c>
      <c r="E1510" s="22" t="str">
        <f t="shared" si="103"/>
        <v>SEJUSPPROG</v>
      </c>
      <c r="F1510" s="52" t="s">
        <v>729</v>
      </c>
      <c r="G1510" s="22" t="str">
        <f t="shared" si="104"/>
        <v>P130SEJUSP</v>
      </c>
      <c r="H1510" s="120" t="s">
        <v>1183</v>
      </c>
      <c r="I1510" s="22" t="s">
        <v>16</v>
      </c>
      <c r="J1510" s="120" t="s">
        <v>2308</v>
      </c>
      <c r="K1510" s="22" t="str">
        <f>VLOOKUP(CONCATENATE(A1510,LEFT(J1510,4)),AGRUPAMENTO!$D$2:$E$6783,2,FALSE)</f>
        <v>Frota</v>
      </c>
      <c r="L1510" s="137" t="s">
        <v>44</v>
      </c>
      <c r="M1510" s="52"/>
      <c r="N1510" s="52">
        <v>60</v>
      </c>
      <c r="O1510" s="120" t="s">
        <v>3612</v>
      </c>
      <c r="P1510" s="52" t="s">
        <v>46</v>
      </c>
      <c r="Q1510" s="120" t="s">
        <v>4250</v>
      </c>
      <c r="R1510" s="253">
        <f>340000/12</f>
        <v>28333.333333333332</v>
      </c>
      <c r="S1510" s="120" t="s">
        <v>4247</v>
      </c>
      <c r="T1510" s="243">
        <v>7.6545000000000005</v>
      </c>
      <c r="U1510" s="120">
        <v>12</v>
      </c>
      <c r="V1510" s="58">
        <f t="shared" si="102"/>
        <v>2602530</v>
      </c>
      <c r="W1510" s="52" t="s">
        <v>49</v>
      </c>
      <c r="X1510" s="120" t="s">
        <v>5026</v>
      </c>
      <c r="Y1510" s="120" t="s">
        <v>5027</v>
      </c>
      <c r="Z1510" s="120" t="s">
        <v>5028</v>
      </c>
      <c r="AA1510" s="52">
        <v>0</v>
      </c>
      <c r="AB1510" s="52">
        <v>0</v>
      </c>
      <c r="AC1510" s="52">
        <v>0</v>
      </c>
      <c r="AD1510" s="21">
        <v>0.69782350765454815</v>
      </c>
      <c r="AE1510" s="54">
        <v>0.69782350765454815</v>
      </c>
      <c r="AF1510" s="315">
        <f t="shared" si="105"/>
        <v>1816106.6133761911</v>
      </c>
    </row>
    <row r="1511" spans="1:32" ht="255" x14ac:dyDescent="0.25">
      <c r="A1511" s="113" t="s">
        <v>588</v>
      </c>
      <c r="B1511" s="110" t="s">
        <v>2270</v>
      </c>
      <c r="C1511" s="52"/>
      <c r="D1511" s="110" t="s">
        <v>2276</v>
      </c>
      <c r="E1511" s="22" t="str">
        <f t="shared" si="103"/>
        <v>SEJUSPPROG</v>
      </c>
      <c r="F1511" s="52" t="s">
        <v>729</v>
      </c>
      <c r="G1511" s="22" t="str">
        <f t="shared" si="104"/>
        <v>P130SEJUSP</v>
      </c>
      <c r="H1511" s="120" t="s">
        <v>1259</v>
      </c>
      <c r="I1511" s="22" t="s">
        <v>16</v>
      </c>
      <c r="J1511" s="120" t="s">
        <v>2308</v>
      </c>
      <c r="K1511" s="22" t="str">
        <f>VLOOKUP(CONCATENATE(A1511,LEFT(J1511,4)),AGRUPAMENTO!$D$2:$E$6783,2,FALSE)</f>
        <v>Frota</v>
      </c>
      <c r="L1511" s="137" t="s">
        <v>44</v>
      </c>
      <c r="M1511" s="52"/>
      <c r="N1511" s="52">
        <v>10</v>
      </c>
      <c r="O1511" s="120" t="s">
        <v>3613</v>
      </c>
      <c r="P1511" s="52" t="s">
        <v>46</v>
      </c>
      <c r="Q1511" s="120" t="s">
        <v>4246</v>
      </c>
      <c r="R1511" s="120">
        <f>1500/12</f>
        <v>125</v>
      </c>
      <c r="S1511" s="120" t="s">
        <v>4247</v>
      </c>
      <c r="T1511" s="243">
        <v>5.7645</v>
      </c>
      <c r="U1511" s="120">
        <v>12</v>
      </c>
      <c r="V1511" s="58">
        <f t="shared" si="102"/>
        <v>8646.75</v>
      </c>
      <c r="W1511" s="52" t="s">
        <v>49</v>
      </c>
      <c r="X1511" s="120" t="s">
        <v>5026</v>
      </c>
      <c r="Y1511" s="120" t="s">
        <v>5027</v>
      </c>
      <c r="Z1511" s="120" t="s">
        <v>5028</v>
      </c>
      <c r="AA1511" s="52">
        <v>0</v>
      </c>
      <c r="AB1511" s="52">
        <v>0</v>
      </c>
      <c r="AC1511" s="52">
        <v>0</v>
      </c>
      <c r="AD1511" s="21">
        <v>0.69782350765454815</v>
      </c>
      <c r="AE1511" s="54">
        <v>0.69782350765454815</v>
      </c>
      <c r="AF1511" s="315">
        <f t="shared" si="105"/>
        <v>6033.905414811964</v>
      </c>
    </row>
    <row r="1512" spans="1:32" ht="255" x14ac:dyDescent="0.25">
      <c r="A1512" s="113" t="s">
        <v>588</v>
      </c>
      <c r="B1512" s="110" t="s">
        <v>2270</v>
      </c>
      <c r="C1512" s="52"/>
      <c r="D1512" s="110" t="s">
        <v>2276</v>
      </c>
      <c r="E1512" s="22" t="str">
        <f t="shared" si="103"/>
        <v>SEJUSPPROG</v>
      </c>
      <c r="F1512" s="52" t="s">
        <v>729</v>
      </c>
      <c r="G1512" s="22" t="str">
        <f t="shared" si="104"/>
        <v>P130SEJUSP</v>
      </c>
      <c r="H1512" s="120" t="s">
        <v>1259</v>
      </c>
      <c r="I1512" s="22" t="s">
        <v>16</v>
      </c>
      <c r="J1512" s="120" t="s">
        <v>2308</v>
      </c>
      <c r="K1512" s="22" t="str">
        <f>VLOOKUP(CONCATENATE(A1512,LEFT(J1512,4)),AGRUPAMENTO!$D$2:$E$6783,2,FALSE)</f>
        <v>Frota</v>
      </c>
      <c r="L1512" s="137" t="s">
        <v>44</v>
      </c>
      <c r="M1512" s="52"/>
      <c r="N1512" s="52">
        <v>10</v>
      </c>
      <c r="O1512" s="120" t="s">
        <v>3613</v>
      </c>
      <c r="P1512" s="52" t="s">
        <v>46</v>
      </c>
      <c r="Q1512" s="120" t="s">
        <v>4248</v>
      </c>
      <c r="R1512" s="120">
        <f>300/12</f>
        <v>25</v>
      </c>
      <c r="S1512" s="120" t="s">
        <v>4247</v>
      </c>
      <c r="T1512" s="243">
        <v>3.98055</v>
      </c>
      <c r="U1512" s="120">
        <v>12</v>
      </c>
      <c r="V1512" s="58">
        <f t="shared" si="102"/>
        <v>1194.165</v>
      </c>
      <c r="W1512" s="52" t="s">
        <v>49</v>
      </c>
      <c r="X1512" s="120" t="s">
        <v>5026</v>
      </c>
      <c r="Y1512" s="120" t="s">
        <v>5027</v>
      </c>
      <c r="Z1512" s="120" t="s">
        <v>5028</v>
      </c>
      <c r="AA1512" s="52">
        <v>0</v>
      </c>
      <c r="AB1512" s="52">
        <v>0</v>
      </c>
      <c r="AC1512" s="52">
        <v>0</v>
      </c>
      <c r="AD1512" s="21">
        <v>0.69782350765454815</v>
      </c>
      <c r="AE1512" s="54">
        <v>0.69782350765454815</v>
      </c>
      <c r="AF1512" s="315">
        <f t="shared" si="105"/>
        <v>833.31640901829348</v>
      </c>
    </row>
    <row r="1513" spans="1:32" ht="255" x14ac:dyDescent="0.25">
      <c r="A1513" s="113" t="s">
        <v>588</v>
      </c>
      <c r="B1513" s="110" t="s">
        <v>2270</v>
      </c>
      <c r="C1513" s="52"/>
      <c r="D1513" s="110" t="s">
        <v>2276</v>
      </c>
      <c r="E1513" s="22" t="str">
        <f t="shared" si="103"/>
        <v>SEJUSPPROG</v>
      </c>
      <c r="F1513" s="52" t="s">
        <v>729</v>
      </c>
      <c r="G1513" s="22" t="str">
        <f t="shared" si="104"/>
        <v>P130SEJUSP</v>
      </c>
      <c r="H1513" s="120" t="s">
        <v>1259</v>
      </c>
      <c r="I1513" s="22" t="s">
        <v>16</v>
      </c>
      <c r="J1513" s="120" t="s">
        <v>2308</v>
      </c>
      <c r="K1513" s="22" t="str">
        <f>VLOOKUP(CONCATENATE(A1513,LEFT(J1513,4)),AGRUPAMENTO!$D$2:$E$6783,2,FALSE)</f>
        <v>Frota</v>
      </c>
      <c r="L1513" s="137" t="s">
        <v>44</v>
      </c>
      <c r="M1513" s="52"/>
      <c r="N1513" s="52">
        <v>10</v>
      </c>
      <c r="O1513" s="120" t="s">
        <v>3613</v>
      </c>
      <c r="P1513" s="52" t="s">
        <v>46</v>
      </c>
      <c r="Q1513" s="120" t="s">
        <v>4249</v>
      </c>
      <c r="R1513" s="253">
        <f>8000/12</f>
        <v>666.66666666666663</v>
      </c>
      <c r="S1513" s="120" t="s">
        <v>4247</v>
      </c>
      <c r="T1513" s="243">
        <v>8.0419499999999999</v>
      </c>
      <c r="U1513" s="120">
        <v>12</v>
      </c>
      <c r="V1513" s="58">
        <f t="shared" si="102"/>
        <v>64335.599999999991</v>
      </c>
      <c r="W1513" s="52" t="s">
        <v>49</v>
      </c>
      <c r="X1513" s="120" t="s">
        <v>5026</v>
      </c>
      <c r="Y1513" s="120" t="s">
        <v>5027</v>
      </c>
      <c r="Z1513" s="120" t="s">
        <v>5028</v>
      </c>
      <c r="AA1513" s="52">
        <v>0</v>
      </c>
      <c r="AB1513" s="52">
        <v>0</v>
      </c>
      <c r="AC1513" s="52">
        <v>0</v>
      </c>
      <c r="AD1513" s="21">
        <v>0.69782350765454815</v>
      </c>
      <c r="AE1513" s="54">
        <v>0.69782350765454815</v>
      </c>
      <c r="AF1513" s="315">
        <f t="shared" si="105"/>
        <v>44894.894059059945</v>
      </c>
    </row>
    <row r="1514" spans="1:32" ht="255" x14ac:dyDescent="0.25">
      <c r="A1514" s="113" t="s">
        <v>588</v>
      </c>
      <c r="B1514" s="110" t="s">
        <v>2270</v>
      </c>
      <c r="C1514" s="52"/>
      <c r="D1514" s="110" t="s">
        <v>2276</v>
      </c>
      <c r="E1514" s="22" t="str">
        <f t="shared" si="103"/>
        <v>SEJUSPPROG</v>
      </c>
      <c r="F1514" s="52" t="s">
        <v>729</v>
      </c>
      <c r="G1514" s="22" t="str">
        <f t="shared" si="104"/>
        <v>P130SEJUSP</v>
      </c>
      <c r="H1514" s="120" t="s">
        <v>1259</v>
      </c>
      <c r="I1514" s="22" t="s">
        <v>16</v>
      </c>
      <c r="J1514" s="120" t="s">
        <v>2308</v>
      </c>
      <c r="K1514" s="22" t="str">
        <f>VLOOKUP(CONCATENATE(A1514,LEFT(J1514,4)),AGRUPAMENTO!$D$2:$E$6783,2,FALSE)</f>
        <v>Frota</v>
      </c>
      <c r="L1514" s="137" t="s">
        <v>44</v>
      </c>
      <c r="M1514" s="52"/>
      <c r="N1514" s="52">
        <v>10</v>
      </c>
      <c r="O1514" s="120" t="s">
        <v>3613</v>
      </c>
      <c r="P1514" s="52" t="s">
        <v>46</v>
      </c>
      <c r="Q1514" s="120" t="s">
        <v>4250</v>
      </c>
      <c r="R1514" s="120">
        <f>5000/12</f>
        <v>416.66666666666669</v>
      </c>
      <c r="S1514" s="120" t="s">
        <v>4247</v>
      </c>
      <c r="T1514" s="243">
        <v>7.6545000000000005</v>
      </c>
      <c r="U1514" s="120">
        <v>12</v>
      </c>
      <c r="V1514" s="58">
        <f t="shared" si="102"/>
        <v>38272.500000000007</v>
      </c>
      <c r="W1514" s="52" t="s">
        <v>49</v>
      </c>
      <c r="X1514" s="120" t="s">
        <v>5026</v>
      </c>
      <c r="Y1514" s="120" t="s">
        <v>5027</v>
      </c>
      <c r="Z1514" s="120" t="s">
        <v>5028</v>
      </c>
      <c r="AA1514" s="52">
        <v>0</v>
      </c>
      <c r="AB1514" s="52">
        <v>0</v>
      </c>
      <c r="AC1514" s="52">
        <v>0</v>
      </c>
      <c r="AD1514" s="21">
        <v>0.69782350765454815</v>
      </c>
      <c r="AE1514" s="54">
        <v>0.69782350765454815</v>
      </c>
      <c r="AF1514" s="315">
        <f t="shared" si="105"/>
        <v>26707.450196708698</v>
      </c>
    </row>
    <row r="1515" spans="1:32" ht="255" x14ac:dyDescent="0.25">
      <c r="A1515" s="113" t="s">
        <v>588</v>
      </c>
      <c r="B1515" s="110" t="s">
        <v>2270</v>
      </c>
      <c r="C1515" s="52"/>
      <c r="D1515" s="110" t="s">
        <v>2276</v>
      </c>
      <c r="E1515" s="22" t="str">
        <f t="shared" si="103"/>
        <v>SEJUSPPROG</v>
      </c>
      <c r="F1515" s="116" t="s">
        <v>687</v>
      </c>
      <c r="G1515" s="22" t="str">
        <f t="shared" si="104"/>
        <v>P705SEJUSP</v>
      </c>
      <c r="H1515" s="120" t="s">
        <v>914</v>
      </c>
      <c r="I1515" s="22" t="s">
        <v>16</v>
      </c>
      <c r="J1515" s="120" t="s">
        <v>2308</v>
      </c>
      <c r="K1515" s="22" t="str">
        <f>VLOOKUP(CONCATENATE(A1515,LEFT(J1515,4)),AGRUPAMENTO!$D$2:$E$6783,2,FALSE)</f>
        <v>Frota</v>
      </c>
      <c r="L1515" s="137" t="s">
        <v>44</v>
      </c>
      <c r="M1515" s="52"/>
      <c r="N1515" s="52">
        <v>10</v>
      </c>
      <c r="O1515" s="120" t="s">
        <v>3614</v>
      </c>
      <c r="P1515" s="52" t="s">
        <v>46</v>
      </c>
      <c r="Q1515" s="120" t="s">
        <v>4248</v>
      </c>
      <c r="R1515" s="120">
        <f>1200/12</f>
        <v>100</v>
      </c>
      <c r="S1515" s="120" t="s">
        <v>4247</v>
      </c>
      <c r="T1515" s="243">
        <v>3.98055</v>
      </c>
      <c r="U1515" s="120">
        <v>12</v>
      </c>
      <c r="V1515" s="58">
        <f t="shared" si="102"/>
        <v>4776.66</v>
      </c>
      <c r="W1515" s="52" t="s">
        <v>49</v>
      </c>
      <c r="X1515" s="120" t="s">
        <v>5026</v>
      </c>
      <c r="Y1515" s="120" t="s">
        <v>5027</v>
      </c>
      <c r="Z1515" s="120" t="s">
        <v>5028</v>
      </c>
      <c r="AA1515" s="52">
        <v>0</v>
      </c>
      <c r="AB1515" s="52">
        <v>0</v>
      </c>
      <c r="AC1515" s="52">
        <v>0</v>
      </c>
      <c r="AD1515" s="21">
        <v>0.69782350765454815</v>
      </c>
      <c r="AE1515" s="54">
        <v>0.69782350765454815</v>
      </c>
      <c r="AF1515" s="315">
        <f t="shared" si="105"/>
        <v>3333.2656360731739</v>
      </c>
    </row>
    <row r="1516" spans="1:32" ht="255" x14ac:dyDescent="0.25">
      <c r="A1516" s="113" t="s">
        <v>588</v>
      </c>
      <c r="B1516" s="110" t="s">
        <v>2270</v>
      </c>
      <c r="C1516" s="52"/>
      <c r="D1516" s="110" t="s">
        <v>2276</v>
      </c>
      <c r="E1516" s="22" t="str">
        <f t="shared" si="103"/>
        <v>SEJUSPPROG</v>
      </c>
      <c r="F1516" s="116" t="s">
        <v>687</v>
      </c>
      <c r="G1516" s="22" t="str">
        <f t="shared" si="104"/>
        <v>P705SEJUSP</v>
      </c>
      <c r="H1516" s="120" t="s">
        <v>914</v>
      </c>
      <c r="I1516" s="22" t="s">
        <v>16</v>
      </c>
      <c r="J1516" s="120" t="s">
        <v>2308</v>
      </c>
      <c r="K1516" s="22" t="str">
        <f>VLOOKUP(CONCATENATE(A1516,LEFT(J1516,4)),AGRUPAMENTO!$D$2:$E$6783,2,FALSE)</f>
        <v>Frota</v>
      </c>
      <c r="L1516" s="137" t="s">
        <v>44</v>
      </c>
      <c r="M1516" s="52"/>
      <c r="N1516" s="52">
        <v>10</v>
      </c>
      <c r="O1516" s="120" t="s">
        <v>3614</v>
      </c>
      <c r="P1516" s="52" t="s">
        <v>46</v>
      </c>
      <c r="Q1516" s="120" t="s">
        <v>4249</v>
      </c>
      <c r="R1516" s="253">
        <f>40000/12</f>
        <v>3333.3333333333335</v>
      </c>
      <c r="S1516" s="120" t="s">
        <v>4247</v>
      </c>
      <c r="T1516" s="243">
        <v>8.0419499999999999</v>
      </c>
      <c r="U1516" s="120">
        <v>12</v>
      </c>
      <c r="V1516" s="58">
        <f t="shared" si="102"/>
        <v>321678</v>
      </c>
      <c r="W1516" s="52" t="s">
        <v>49</v>
      </c>
      <c r="X1516" s="120" t="s">
        <v>5026</v>
      </c>
      <c r="Y1516" s="120" t="s">
        <v>5027</v>
      </c>
      <c r="Z1516" s="120" t="s">
        <v>5028</v>
      </c>
      <c r="AA1516" s="52">
        <v>0</v>
      </c>
      <c r="AB1516" s="52">
        <v>0</v>
      </c>
      <c r="AC1516" s="52">
        <v>0</v>
      </c>
      <c r="AD1516" s="21">
        <v>0.69782350765454815</v>
      </c>
      <c r="AE1516" s="54">
        <v>0.69782350765454815</v>
      </c>
      <c r="AF1516" s="315">
        <f t="shared" si="105"/>
        <v>224474.47029529975</v>
      </c>
    </row>
    <row r="1517" spans="1:32" ht="255" x14ac:dyDescent="0.25">
      <c r="A1517" s="113" t="s">
        <v>588</v>
      </c>
      <c r="B1517" s="110" t="s">
        <v>2270</v>
      </c>
      <c r="C1517" s="52"/>
      <c r="D1517" s="110" t="s">
        <v>2276</v>
      </c>
      <c r="E1517" s="22" t="str">
        <f t="shared" si="103"/>
        <v>SEJUSPPROG</v>
      </c>
      <c r="F1517" s="116" t="s">
        <v>687</v>
      </c>
      <c r="G1517" s="22" t="str">
        <f t="shared" si="104"/>
        <v>P705SEJUSP</v>
      </c>
      <c r="H1517" s="120" t="s">
        <v>914</v>
      </c>
      <c r="I1517" s="22" t="s">
        <v>16</v>
      </c>
      <c r="J1517" s="120" t="s">
        <v>2308</v>
      </c>
      <c r="K1517" s="22" t="str">
        <f>VLOOKUP(CONCATENATE(A1517,LEFT(J1517,4)),AGRUPAMENTO!$D$2:$E$6783,2,FALSE)</f>
        <v>Frota</v>
      </c>
      <c r="L1517" s="137" t="s">
        <v>44</v>
      </c>
      <c r="M1517" s="52"/>
      <c r="N1517" s="52">
        <v>10</v>
      </c>
      <c r="O1517" s="120" t="s">
        <v>3614</v>
      </c>
      <c r="P1517" s="52" t="s">
        <v>46</v>
      </c>
      <c r="Q1517" s="120" t="s">
        <v>4250</v>
      </c>
      <c r="R1517" s="253">
        <f>5000/12</f>
        <v>416.66666666666669</v>
      </c>
      <c r="S1517" s="120" t="s">
        <v>4247</v>
      </c>
      <c r="T1517" s="243">
        <v>7.6545000000000005</v>
      </c>
      <c r="U1517" s="120">
        <v>12</v>
      </c>
      <c r="V1517" s="58">
        <f t="shared" si="102"/>
        <v>38272.500000000007</v>
      </c>
      <c r="W1517" s="52" t="s">
        <v>49</v>
      </c>
      <c r="X1517" s="120" t="s">
        <v>5026</v>
      </c>
      <c r="Y1517" s="120" t="s">
        <v>5027</v>
      </c>
      <c r="Z1517" s="120" t="s">
        <v>5028</v>
      </c>
      <c r="AA1517" s="52">
        <v>0</v>
      </c>
      <c r="AB1517" s="52">
        <v>0</v>
      </c>
      <c r="AC1517" s="52">
        <v>0</v>
      </c>
      <c r="AD1517" s="21">
        <v>0.69782350765454815</v>
      </c>
      <c r="AE1517" s="54">
        <v>0.69782350765454815</v>
      </c>
      <c r="AF1517" s="315">
        <f t="shared" si="105"/>
        <v>26707.450196708698</v>
      </c>
    </row>
    <row r="1518" spans="1:32" ht="255" x14ac:dyDescent="0.25">
      <c r="A1518" s="113" t="s">
        <v>588</v>
      </c>
      <c r="B1518" s="110" t="s">
        <v>2270</v>
      </c>
      <c r="C1518" s="52"/>
      <c r="D1518" s="110" t="s">
        <v>2276</v>
      </c>
      <c r="E1518" s="22" t="str">
        <f t="shared" si="103"/>
        <v>SEJUSPPROG</v>
      </c>
      <c r="F1518" s="120" t="s">
        <v>681</v>
      </c>
      <c r="G1518" s="22" t="str">
        <f t="shared" si="104"/>
        <v>P129SEJUSP</v>
      </c>
      <c r="H1518" s="120" t="s">
        <v>1015</v>
      </c>
      <c r="I1518" s="22" t="s">
        <v>16</v>
      </c>
      <c r="J1518" s="120" t="s">
        <v>2308</v>
      </c>
      <c r="K1518" s="22" t="str">
        <f>VLOOKUP(CONCATENATE(A1518,LEFT(J1518,4)),AGRUPAMENTO!$D$2:$E$6783,2,FALSE)</f>
        <v>Frota</v>
      </c>
      <c r="L1518" s="137" t="s">
        <v>44</v>
      </c>
      <c r="M1518" s="52"/>
      <c r="N1518" s="52">
        <v>60</v>
      </c>
      <c r="O1518" s="120" t="s">
        <v>3615</v>
      </c>
      <c r="P1518" s="52" t="s">
        <v>46</v>
      </c>
      <c r="Q1518" s="120" t="s">
        <v>4246</v>
      </c>
      <c r="R1518" s="253">
        <f>1000/12</f>
        <v>83.333333333333329</v>
      </c>
      <c r="S1518" s="120" t="s">
        <v>4247</v>
      </c>
      <c r="T1518" s="243">
        <v>5.7645</v>
      </c>
      <c r="U1518" s="120">
        <v>12</v>
      </c>
      <c r="V1518" s="58">
        <f t="shared" si="102"/>
        <v>5764.4999999999991</v>
      </c>
      <c r="W1518" s="52" t="s">
        <v>49</v>
      </c>
      <c r="X1518" s="120" t="s">
        <v>5026</v>
      </c>
      <c r="Y1518" s="120" t="s">
        <v>5027</v>
      </c>
      <c r="Z1518" s="120" t="s">
        <v>5028</v>
      </c>
      <c r="AA1518" s="52">
        <v>0</v>
      </c>
      <c r="AB1518" s="52">
        <v>0</v>
      </c>
      <c r="AC1518" s="52">
        <v>0</v>
      </c>
      <c r="AD1518" s="21">
        <v>0.69782350765454815</v>
      </c>
      <c r="AE1518" s="54">
        <v>0.69782350765454815</v>
      </c>
      <c r="AF1518" s="315">
        <f t="shared" si="105"/>
        <v>4022.6036098746422</v>
      </c>
    </row>
    <row r="1519" spans="1:32" ht="255" x14ac:dyDescent="0.25">
      <c r="A1519" s="113" t="s">
        <v>588</v>
      </c>
      <c r="B1519" s="110" t="s">
        <v>2270</v>
      </c>
      <c r="C1519" s="52"/>
      <c r="D1519" s="110" t="s">
        <v>2276</v>
      </c>
      <c r="E1519" s="22" t="str">
        <f t="shared" si="103"/>
        <v>SEJUSPPROG</v>
      </c>
      <c r="F1519" s="120" t="s">
        <v>681</v>
      </c>
      <c r="G1519" s="22" t="str">
        <f t="shared" si="104"/>
        <v>P129SEJUSP</v>
      </c>
      <c r="H1519" s="120" t="s">
        <v>1015</v>
      </c>
      <c r="I1519" s="22" t="s">
        <v>16</v>
      </c>
      <c r="J1519" s="120" t="s">
        <v>2308</v>
      </c>
      <c r="K1519" s="22" t="str">
        <f>VLOOKUP(CONCATENATE(A1519,LEFT(J1519,4)),AGRUPAMENTO!$D$2:$E$6783,2,FALSE)</f>
        <v>Frota</v>
      </c>
      <c r="L1519" s="137" t="s">
        <v>44</v>
      </c>
      <c r="M1519" s="52"/>
      <c r="N1519" s="52">
        <v>60</v>
      </c>
      <c r="O1519" s="120" t="s">
        <v>3615</v>
      </c>
      <c r="P1519" s="52" t="s">
        <v>46</v>
      </c>
      <c r="Q1519" s="120" t="s">
        <v>4248</v>
      </c>
      <c r="R1519" s="253">
        <f>500/12</f>
        <v>41.666666666666664</v>
      </c>
      <c r="S1519" s="120" t="s">
        <v>4247</v>
      </c>
      <c r="T1519" s="243">
        <v>3.98055</v>
      </c>
      <c r="U1519" s="120">
        <v>12</v>
      </c>
      <c r="V1519" s="58">
        <f t="shared" si="102"/>
        <v>1990.2749999999999</v>
      </c>
      <c r="W1519" s="52" t="s">
        <v>49</v>
      </c>
      <c r="X1519" s="120" t="s">
        <v>5026</v>
      </c>
      <c r="Y1519" s="120" t="s">
        <v>5027</v>
      </c>
      <c r="Z1519" s="120" t="s">
        <v>5028</v>
      </c>
      <c r="AA1519" s="52">
        <v>0</v>
      </c>
      <c r="AB1519" s="52">
        <v>0</v>
      </c>
      <c r="AC1519" s="52">
        <v>0</v>
      </c>
      <c r="AD1519" s="21">
        <v>0.69782350765454815</v>
      </c>
      <c r="AE1519" s="54">
        <v>0.69782350765454815</v>
      </c>
      <c r="AF1519" s="315">
        <f t="shared" si="105"/>
        <v>1388.8606816971558</v>
      </c>
    </row>
    <row r="1520" spans="1:32" ht="255" x14ac:dyDescent="0.25">
      <c r="A1520" s="113" t="s">
        <v>588</v>
      </c>
      <c r="B1520" s="110" t="s">
        <v>2270</v>
      </c>
      <c r="C1520" s="52"/>
      <c r="D1520" s="110" t="s">
        <v>2276</v>
      </c>
      <c r="E1520" s="22" t="str">
        <f t="shared" si="103"/>
        <v>SEJUSPPROG</v>
      </c>
      <c r="F1520" s="120" t="s">
        <v>681</v>
      </c>
      <c r="G1520" s="22" t="str">
        <f t="shared" si="104"/>
        <v>P129SEJUSP</v>
      </c>
      <c r="H1520" s="120" t="s">
        <v>1015</v>
      </c>
      <c r="I1520" s="22" t="s">
        <v>16</v>
      </c>
      <c r="J1520" s="120" t="s">
        <v>2308</v>
      </c>
      <c r="K1520" s="22" t="str">
        <f>VLOOKUP(CONCATENATE(A1520,LEFT(J1520,4)),AGRUPAMENTO!$D$2:$E$6783,2,FALSE)</f>
        <v>Frota</v>
      </c>
      <c r="L1520" s="137" t="s">
        <v>44</v>
      </c>
      <c r="M1520" s="52"/>
      <c r="N1520" s="52">
        <v>60</v>
      </c>
      <c r="O1520" s="120" t="s">
        <v>3615</v>
      </c>
      <c r="P1520" s="52" t="s">
        <v>46</v>
      </c>
      <c r="Q1520" s="120" t="s">
        <v>4249</v>
      </c>
      <c r="R1520" s="253">
        <f>4000/12</f>
        <v>333.33333333333331</v>
      </c>
      <c r="S1520" s="120" t="s">
        <v>4247</v>
      </c>
      <c r="T1520" s="243">
        <v>8.0419499999999999</v>
      </c>
      <c r="U1520" s="120">
        <v>12</v>
      </c>
      <c r="V1520" s="58">
        <f t="shared" si="102"/>
        <v>32167.799999999996</v>
      </c>
      <c r="W1520" s="52" t="s">
        <v>49</v>
      </c>
      <c r="X1520" s="120" t="s">
        <v>5026</v>
      </c>
      <c r="Y1520" s="120" t="s">
        <v>5027</v>
      </c>
      <c r="Z1520" s="120" t="s">
        <v>5028</v>
      </c>
      <c r="AA1520" s="52">
        <v>0</v>
      </c>
      <c r="AB1520" s="52">
        <v>0</v>
      </c>
      <c r="AC1520" s="52">
        <v>0</v>
      </c>
      <c r="AD1520" s="21">
        <v>0.69782350765454815</v>
      </c>
      <c r="AE1520" s="54">
        <v>0.69782350765454815</v>
      </c>
      <c r="AF1520" s="315">
        <f t="shared" si="105"/>
        <v>22447.447029529972</v>
      </c>
    </row>
    <row r="1521" spans="1:32" ht="255" x14ac:dyDescent="0.25">
      <c r="A1521" s="113" t="s">
        <v>588</v>
      </c>
      <c r="B1521" s="110" t="s">
        <v>2270</v>
      </c>
      <c r="C1521" s="52"/>
      <c r="D1521" s="110" t="s">
        <v>2276</v>
      </c>
      <c r="E1521" s="22" t="str">
        <f t="shared" si="103"/>
        <v>SEJUSPPROG</v>
      </c>
      <c r="F1521" s="120" t="s">
        <v>681</v>
      </c>
      <c r="G1521" s="22" t="str">
        <f t="shared" si="104"/>
        <v>P129SEJUSP</v>
      </c>
      <c r="H1521" s="120" t="s">
        <v>1015</v>
      </c>
      <c r="I1521" s="22" t="s">
        <v>16</v>
      </c>
      <c r="J1521" s="120" t="s">
        <v>2308</v>
      </c>
      <c r="K1521" s="22" t="str">
        <f>VLOOKUP(CONCATENATE(A1521,LEFT(J1521,4)),AGRUPAMENTO!$D$2:$E$6783,2,FALSE)</f>
        <v>Frota</v>
      </c>
      <c r="L1521" s="137" t="s">
        <v>44</v>
      </c>
      <c r="M1521" s="52"/>
      <c r="N1521" s="52">
        <v>60</v>
      </c>
      <c r="O1521" s="120" t="s">
        <v>3615</v>
      </c>
      <c r="P1521" s="52" t="s">
        <v>46</v>
      </c>
      <c r="Q1521" s="120" t="s">
        <v>4250</v>
      </c>
      <c r="R1521" s="253">
        <f>1000/12</f>
        <v>83.333333333333329</v>
      </c>
      <c r="S1521" s="120" t="s">
        <v>4247</v>
      </c>
      <c r="T1521" s="243">
        <v>7.6545000000000005</v>
      </c>
      <c r="U1521" s="120">
        <v>12</v>
      </c>
      <c r="V1521" s="58">
        <f t="shared" si="102"/>
        <v>7654.5</v>
      </c>
      <c r="W1521" s="52" t="s">
        <v>49</v>
      </c>
      <c r="X1521" s="120" t="s">
        <v>5026</v>
      </c>
      <c r="Y1521" s="120" t="s">
        <v>5027</v>
      </c>
      <c r="Z1521" s="120" t="s">
        <v>5028</v>
      </c>
      <c r="AA1521" s="52">
        <v>0</v>
      </c>
      <c r="AB1521" s="52">
        <v>0</v>
      </c>
      <c r="AC1521" s="52">
        <v>0</v>
      </c>
      <c r="AD1521" s="21">
        <v>0.69782350765454815</v>
      </c>
      <c r="AE1521" s="54">
        <v>0.69782350765454815</v>
      </c>
      <c r="AF1521" s="315">
        <f t="shared" si="105"/>
        <v>5341.4900393417392</v>
      </c>
    </row>
    <row r="1522" spans="1:32" ht="255" x14ac:dyDescent="0.25">
      <c r="A1522" s="113" t="s">
        <v>588</v>
      </c>
      <c r="B1522" s="110" t="s">
        <v>2270</v>
      </c>
      <c r="C1522" s="52"/>
      <c r="D1522" s="110" t="s">
        <v>2276</v>
      </c>
      <c r="E1522" s="22" t="str">
        <f t="shared" si="103"/>
        <v>SEJUSPPROG</v>
      </c>
      <c r="F1522" s="52" t="s">
        <v>705</v>
      </c>
      <c r="G1522" s="22" t="str">
        <f t="shared" si="104"/>
        <v>P134SEJUSP</v>
      </c>
      <c r="H1522" s="52" t="s">
        <v>1356</v>
      </c>
      <c r="I1522" s="22" t="s">
        <v>16</v>
      </c>
      <c r="J1522" s="120" t="s">
        <v>2308</v>
      </c>
      <c r="K1522" s="22" t="str">
        <f>VLOOKUP(CONCATENATE(A1522,LEFT(J1522,4)),AGRUPAMENTO!$D$2:$E$6783,2,FALSE)</f>
        <v>Frota</v>
      </c>
      <c r="L1522" s="137" t="s">
        <v>44</v>
      </c>
      <c r="M1522" s="52"/>
      <c r="N1522" s="52">
        <v>10</v>
      </c>
      <c r="O1522" s="120" t="s">
        <v>3616</v>
      </c>
      <c r="P1522" s="52" t="s">
        <v>46</v>
      </c>
      <c r="Q1522" s="120" t="s">
        <v>4250</v>
      </c>
      <c r="R1522" s="120">
        <f>15000/12</f>
        <v>1250</v>
      </c>
      <c r="S1522" s="120" t="s">
        <v>4247</v>
      </c>
      <c r="T1522" s="243">
        <v>7.6545000000000005</v>
      </c>
      <c r="U1522" s="120">
        <v>12</v>
      </c>
      <c r="V1522" s="58">
        <f t="shared" si="102"/>
        <v>114817.5</v>
      </c>
      <c r="W1522" s="52" t="s">
        <v>49</v>
      </c>
      <c r="X1522" s="120" t="s">
        <v>5026</v>
      </c>
      <c r="Y1522" s="120" t="s">
        <v>5027</v>
      </c>
      <c r="Z1522" s="120" t="s">
        <v>5028</v>
      </c>
      <c r="AA1522" s="52">
        <v>0</v>
      </c>
      <c r="AB1522" s="52">
        <v>0</v>
      </c>
      <c r="AC1522" s="52">
        <v>0</v>
      </c>
      <c r="AD1522" s="21">
        <v>0.69782350765454815</v>
      </c>
      <c r="AE1522" s="54">
        <v>0.69782350765454815</v>
      </c>
      <c r="AF1522" s="315">
        <f t="shared" si="105"/>
        <v>80122.35059012608</v>
      </c>
    </row>
    <row r="1523" spans="1:32" ht="255" x14ac:dyDescent="0.25">
      <c r="A1523" s="113" t="s">
        <v>588</v>
      </c>
      <c r="B1523" s="110" t="s">
        <v>2270</v>
      </c>
      <c r="C1523" s="52"/>
      <c r="D1523" s="110" t="s">
        <v>2276</v>
      </c>
      <c r="E1523" s="22" t="str">
        <f t="shared" si="103"/>
        <v>SEJUSPPROG</v>
      </c>
      <c r="F1523" s="122" t="s">
        <v>886</v>
      </c>
      <c r="G1523" s="22" t="str">
        <f t="shared" si="104"/>
        <v>P146SEJUSP</v>
      </c>
      <c r="H1523" s="52" t="s">
        <v>1424</v>
      </c>
      <c r="I1523" s="22" t="s">
        <v>16</v>
      </c>
      <c r="J1523" s="120" t="s">
        <v>2308</v>
      </c>
      <c r="K1523" s="22" t="str">
        <f>VLOOKUP(CONCATENATE(A1523,LEFT(J1523,4)),AGRUPAMENTO!$D$2:$E$6783,2,FALSE)</f>
        <v>Frota</v>
      </c>
      <c r="L1523" s="137" t="s">
        <v>44</v>
      </c>
      <c r="M1523" s="52"/>
      <c r="N1523" s="52">
        <v>10</v>
      </c>
      <c r="O1523" s="120" t="s">
        <v>3617</v>
      </c>
      <c r="P1523" s="52" t="s">
        <v>46</v>
      </c>
      <c r="Q1523" s="120" t="s">
        <v>4246</v>
      </c>
      <c r="R1523" s="120">
        <f>75000/12</f>
        <v>6250</v>
      </c>
      <c r="S1523" s="120" t="s">
        <v>4247</v>
      </c>
      <c r="T1523" s="243">
        <v>5.7645</v>
      </c>
      <c r="U1523" s="120">
        <v>12</v>
      </c>
      <c r="V1523" s="58">
        <f t="shared" si="102"/>
        <v>432337.5</v>
      </c>
      <c r="W1523" s="52" t="s">
        <v>49</v>
      </c>
      <c r="X1523" s="120" t="s">
        <v>5026</v>
      </c>
      <c r="Y1523" s="120" t="s">
        <v>5027</v>
      </c>
      <c r="Z1523" s="120" t="s">
        <v>5028</v>
      </c>
      <c r="AA1523" s="52">
        <v>0</v>
      </c>
      <c r="AB1523" s="52">
        <v>0</v>
      </c>
      <c r="AC1523" s="52">
        <v>0</v>
      </c>
      <c r="AD1523" s="21">
        <v>0.69782350765454815</v>
      </c>
      <c r="AE1523" s="54">
        <v>0.69782350765454815</v>
      </c>
      <c r="AF1523" s="315">
        <f t="shared" si="105"/>
        <v>301695.27074059821</v>
      </c>
    </row>
    <row r="1524" spans="1:32" ht="255" x14ac:dyDescent="0.25">
      <c r="A1524" s="113" t="s">
        <v>588</v>
      </c>
      <c r="B1524" s="110" t="s">
        <v>2270</v>
      </c>
      <c r="C1524" s="52"/>
      <c r="D1524" s="110" t="s">
        <v>2276</v>
      </c>
      <c r="E1524" s="22" t="str">
        <f t="shared" si="103"/>
        <v>SEJUSPPROG</v>
      </c>
      <c r="F1524" s="122" t="s">
        <v>886</v>
      </c>
      <c r="G1524" s="22" t="str">
        <f t="shared" si="104"/>
        <v>P146SEJUSP</v>
      </c>
      <c r="H1524" s="52" t="s">
        <v>1424</v>
      </c>
      <c r="I1524" s="22" t="s">
        <v>16</v>
      </c>
      <c r="J1524" s="120" t="s">
        <v>2308</v>
      </c>
      <c r="K1524" s="22" t="str">
        <f>VLOOKUP(CONCATENATE(A1524,LEFT(J1524,4)),AGRUPAMENTO!$D$2:$E$6783,2,FALSE)</f>
        <v>Frota</v>
      </c>
      <c r="L1524" s="137" t="s">
        <v>44</v>
      </c>
      <c r="M1524" s="52"/>
      <c r="N1524" s="52">
        <v>10</v>
      </c>
      <c r="O1524" s="120" t="s">
        <v>3617</v>
      </c>
      <c r="P1524" s="52" t="s">
        <v>46</v>
      </c>
      <c r="Q1524" s="120" t="s">
        <v>4248</v>
      </c>
      <c r="R1524" s="253">
        <f>1000/12</f>
        <v>83.333333333333329</v>
      </c>
      <c r="S1524" s="120" t="s">
        <v>4247</v>
      </c>
      <c r="T1524" s="243">
        <v>3.98055</v>
      </c>
      <c r="U1524" s="120">
        <v>12</v>
      </c>
      <c r="V1524" s="58">
        <f t="shared" si="102"/>
        <v>3980.5499999999997</v>
      </c>
      <c r="W1524" s="52" t="s">
        <v>49</v>
      </c>
      <c r="X1524" s="120" t="s">
        <v>5026</v>
      </c>
      <c r="Y1524" s="120" t="s">
        <v>5027</v>
      </c>
      <c r="Z1524" s="120" t="s">
        <v>5028</v>
      </c>
      <c r="AA1524" s="52">
        <v>0</v>
      </c>
      <c r="AB1524" s="52">
        <v>0</v>
      </c>
      <c r="AC1524" s="52">
        <v>0</v>
      </c>
      <c r="AD1524" s="21">
        <v>0.69782350765454815</v>
      </c>
      <c r="AE1524" s="54">
        <v>0.69782350765454815</v>
      </c>
      <c r="AF1524" s="315">
        <f t="shared" si="105"/>
        <v>2777.7213633943115</v>
      </c>
    </row>
    <row r="1525" spans="1:32" ht="255" x14ac:dyDescent="0.25">
      <c r="A1525" s="113" t="s">
        <v>588</v>
      </c>
      <c r="B1525" s="110" t="s">
        <v>2270</v>
      </c>
      <c r="C1525" s="52"/>
      <c r="D1525" s="110" t="s">
        <v>2276</v>
      </c>
      <c r="E1525" s="22" t="str">
        <f t="shared" si="103"/>
        <v>SEJUSPPROG</v>
      </c>
      <c r="F1525" s="122" t="s">
        <v>886</v>
      </c>
      <c r="G1525" s="22" t="str">
        <f t="shared" si="104"/>
        <v>P146SEJUSP</v>
      </c>
      <c r="H1525" s="52" t="s">
        <v>1424</v>
      </c>
      <c r="I1525" s="22" t="s">
        <v>16</v>
      </c>
      <c r="J1525" s="120" t="s">
        <v>2308</v>
      </c>
      <c r="K1525" s="22" t="str">
        <f>VLOOKUP(CONCATENATE(A1525,LEFT(J1525,4)),AGRUPAMENTO!$D$2:$E$6783,2,FALSE)</f>
        <v>Frota</v>
      </c>
      <c r="L1525" s="137" t="s">
        <v>44</v>
      </c>
      <c r="M1525" s="52"/>
      <c r="N1525" s="52">
        <v>10</v>
      </c>
      <c r="O1525" s="120" t="s">
        <v>3617</v>
      </c>
      <c r="P1525" s="52" t="s">
        <v>46</v>
      </c>
      <c r="Q1525" s="120" t="s">
        <v>4249</v>
      </c>
      <c r="R1525" s="253">
        <f>25000/12</f>
        <v>2083.3333333333335</v>
      </c>
      <c r="S1525" s="120" t="s">
        <v>4247</v>
      </c>
      <c r="T1525" s="243">
        <v>8.0419499999999999</v>
      </c>
      <c r="U1525" s="120">
        <v>12</v>
      </c>
      <c r="V1525" s="58">
        <f t="shared" si="102"/>
        <v>201048.75</v>
      </c>
      <c r="W1525" s="52" t="s">
        <v>49</v>
      </c>
      <c r="X1525" s="120" t="s">
        <v>5026</v>
      </c>
      <c r="Y1525" s="120" t="s">
        <v>5027</v>
      </c>
      <c r="Z1525" s="120" t="s">
        <v>5028</v>
      </c>
      <c r="AA1525" s="52">
        <v>0</v>
      </c>
      <c r="AB1525" s="52">
        <v>0</v>
      </c>
      <c r="AC1525" s="52">
        <v>0</v>
      </c>
      <c r="AD1525" s="21">
        <v>0.69782350765454815</v>
      </c>
      <c r="AE1525" s="54">
        <v>0.69782350765454815</v>
      </c>
      <c r="AF1525" s="315">
        <f t="shared" si="105"/>
        <v>140296.54393456233</v>
      </c>
    </row>
    <row r="1526" spans="1:32" ht="255" x14ac:dyDescent="0.25">
      <c r="A1526" s="113" t="s">
        <v>588</v>
      </c>
      <c r="B1526" s="110" t="s">
        <v>2270</v>
      </c>
      <c r="C1526" s="52"/>
      <c r="D1526" s="110" t="s">
        <v>2276</v>
      </c>
      <c r="E1526" s="22" t="str">
        <f t="shared" si="103"/>
        <v>SEJUSPPROG</v>
      </c>
      <c r="F1526" s="122" t="s">
        <v>886</v>
      </c>
      <c r="G1526" s="22" t="str">
        <f t="shared" si="104"/>
        <v>P146SEJUSP</v>
      </c>
      <c r="H1526" s="52" t="s">
        <v>1424</v>
      </c>
      <c r="I1526" s="22" t="s">
        <v>16</v>
      </c>
      <c r="J1526" s="120" t="s">
        <v>2308</v>
      </c>
      <c r="K1526" s="22" t="str">
        <f>VLOOKUP(CONCATENATE(A1526,LEFT(J1526,4)),AGRUPAMENTO!$D$2:$E$6783,2,FALSE)</f>
        <v>Frota</v>
      </c>
      <c r="L1526" s="137" t="s">
        <v>44</v>
      </c>
      <c r="M1526" s="52"/>
      <c r="N1526" s="52">
        <v>10</v>
      </c>
      <c r="O1526" s="120" t="s">
        <v>3617</v>
      </c>
      <c r="P1526" s="52" t="s">
        <v>46</v>
      </c>
      <c r="Q1526" s="120" t="s">
        <v>4250</v>
      </c>
      <c r="R1526" s="120">
        <f>15000/12</f>
        <v>1250</v>
      </c>
      <c r="S1526" s="120" t="s">
        <v>4247</v>
      </c>
      <c r="T1526" s="243">
        <v>7.6545000000000005</v>
      </c>
      <c r="U1526" s="120">
        <v>12</v>
      </c>
      <c r="V1526" s="58">
        <f t="shared" si="102"/>
        <v>114817.5</v>
      </c>
      <c r="W1526" s="52" t="s">
        <v>49</v>
      </c>
      <c r="X1526" s="120" t="s">
        <v>5026</v>
      </c>
      <c r="Y1526" s="120" t="s">
        <v>5027</v>
      </c>
      <c r="Z1526" s="120" t="s">
        <v>5028</v>
      </c>
      <c r="AA1526" s="52">
        <v>0</v>
      </c>
      <c r="AB1526" s="52">
        <v>0</v>
      </c>
      <c r="AC1526" s="52">
        <v>0</v>
      </c>
      <c r="AD1526" s="21">
        <v>0.69782350765454815</v>
      </c>
      <c r="AE1526" s="54">
        <v>0.69782350765454815</v>
      </c>
      <c r="AF1526" s="315">
        <f t="shared" si="105"/>
        <v>80122.35059012608</v>
      </c>
    </row>
    <row r="1527" spans="1:32" ht="255" x14ac:dyDescent="0.25">
      <c r="A1527" s="113" t="s">
        <v>588</v>
      </c>
      <c r="B1527" s="110" t="s">
        <v>2270</v>
      </c>
      <c r="C1527" s="52"/>
      <c r="D1527" s="110" t="s">
        <v>2276</v>
      </c>
      <c r="E1527" s="22" t="str">
        <f t="shared" si="103"/>
        <v>SEJUSPPROG</v>
      </c>
      <c r="F1527" s="52" t="s">
        <v>699</v>
      </c>
      <c r="G1527" s="22" t="str">
        <f t="shared" si="104"/>
        <v>P141SEJUSP</v>
      </c>
      <c r="H1527" s="52" t="s">
        <v>1403</v>
      </c>
      <c r="I1527" s="22" t="s">
        <v>16</v>
      </c>
      <c r="J1527" s="120" t="s">
        <v>2308</v>
      </c>
      <c r="K1527" s="22" t="str">
        <f>VLOOKUP(CONCATENATE(A1527,LEFT(J1527,4)),AGRUPAMENTO!$D$2:$E$6783,2,FALSE)</f>
        <v>Frota</v>
      </c>
      <c r="L1527" s="137" t="s">
        <v>44</v>
      </c>
      <c r="M1527" s="52"/>
      <c r="N1527" s="52">
        <v>10</v>
      </c>
      <c r="O1527" s="120" t="s">
        <v>3618</v>
      </c>
      <c r="P1527" s="52" t="s">
        <v>46</v>
      </c>
      <c r="Q1527" s="120" t="s">
        <v>4250</v>
      </c>
      <c r="R1527" s="253">
        <f>5000/12</f>
        <v>416.66666666666669</v>
      </c>
      <c r="S1527" s="120" t="s">
        <v>4247</v>
      </c>
      <c r="T1527" s="243">
        <v>7.6545000000000005</v>
      </c>
      <c r="U1527" s="120">
        <v>12</v>
      </c>
      <c r="V1527" s="58">
        <f t="shared" si="102"/>
        <v>38272.500000000007</v>
      </c>
      <c r="W1527" s="52" t="s">
        <v>49</v>
      </c>
      <c r="X1527" s="120" t="s">
        <v>5026</v>
      </c>
      <c r="Y1527" s="120" t="s">
        <v>5027</v>
      </c>
      <c r="Z1527" s="120" t="s">
        <v>5028</v>
      </c>
      <c r="AA1527" s="52">
        <v>0</v>
      </c>
      <c r="AB1527" s="52">
        <v>0</v>
      </c>
      <c r="AC1527" s="52">
        <v>0</v>
      </c>
      <c r="AD1527" s="21">
        <v>0.69782350765454815</v>
      </c>
      <c r="AE1527" s="54">
        <v>0.69782350765454815</v>
      </c>
      <c r="AF1527" s="315">
        <f t="shared" si="105"/>
        <v>26707.450196708698</v>
      </c>
    </row>
    <row r="1528" spans="1:32" ht="105" x14ac:dyDescent="0.25">
      <c r="A1528" s="113" t="s">
        <v>588</v>
      </c>
      <c r="B1528" s="110" t="s">
        <v>2270</v>
      </c>
      <c r="C1528" s="52"/>
      <c r="D1528" s="110" t="s">
        <v>2276</v>
      </c>
      <c r="E1528" s="22" t="str">
        <f t="shared" si="103"/>
        <v>SEJUSPPROG</v>
      </c>
      <c r="F1528" s="52" t="s">
        <v>729</v>
      </c>
      <c r="G1528" s="22" t="str">
        <f t="shared" si="104"/>
        <v>P130SEJUSP</v>
      </c>
      <c r="H1528" s="120" t="s">
        <v>1183</v>
      </c>
      <c r="I1528" s="22" t="s">
        <v>16</v>
      </c>
      <c r="J1528" s="107" t="s">
        <v>1663</v>
      </c>
      <c r="K1528" s="22" t="str">
        <f>VLOOKUP(CONCATENATE(A1528,LEFT(J1528,4)),AGRUPAMENTO!$D$2:$E$6783,2,FALSE)</f>
        <v>Demais despesas de custeio</v>
      </c>
      <c r="L1528" s="137" t="s">
        <v>44</v>
      </c>
      <c r="M1528" s="52"/>
      <c r="N1528" s="52">
        <v>60</v>
      </c>
      <c r="O1528" s="120" t="s">
        <v>3619</v>
      </c>
      <c r="P1528" s="52" t="s">
        <v>46</v>
      </c>
      <c r="Q1528" s="120" t="s">
        <v>4251</v>
      </c>
      <c r="R1528" s="255">
        <v>337</v>
      </c>
      <c r="S1528" s="120" t="s">
        <v>4252</v>
      </c>
      <c r="T1528" s="243">
        <v>81.278999999999996</v>
      </c>
      <c r="U1528" s="120">
        <v>1</v>
      </c>
      <c r="V1528" s="58">
        <f t="shared" si="102"/>
        <v>27391.022999999997</v>
      </c>
      <c r="W1528" s="52" t="s">
        <v>49</v>
      </c>
      <c r="X1528" s="120" t="s">
        <v>5208</v>
      </c>
      <c r="Y1528" s="120" t="s">
        <v>5209</v>
      </c>
      <c r="Z1528" s="120" t="s">
        <v>5210</v>
      </c>
      <c r="AA1528" s="52">
        <v>0</v>
      </c>
      <c r="AB1528" s="52">
        <v>0</v>
      </c>
      <c r="AC1528" s="52">
        <v>0</v>
      </c>
      <c r="AD1528" s="21">
        <v>0.29138261490145073</v>
      </c>
      <c r="AE1528" s="54">
        <v>0.29138261490145073</v>
      </c>
      <c r="AF1528" s="315">
        <f t="shared" si="105"/>
        <v>7981.2679065657794</v>
      </c>
    </row>
    <row r="1529" spans="1:32" ht="105" x14ac:dyDescent="0.25">
      <c r="A1529" s="113" t="s">
        <v>588</v>
      </c>
      <c r="B1529" s="110" t="s">
        <v>2270</v>
      </c>
      <c r="C1529" s="52"/>
      <c r="D1529" s="110" t="s">
        <v>2276</v>
      </c>
      <c r="E1529" s="22" t="str">
        <f t="shared" si="103"/>
        <v>SEJUSPPROG</v>
      </c>
      <c r="F1529" s="52" t="s">
        <v>729</v>
      </c>
      <c r="G1529" s="22" t="str">
        <f t="shared" si="104"/>
        <v>P130SEJUSP</v>
      </c>
      <c r="H1529" s="120" t="s">
        <v>1183</v>
      </c>
      <c r="I1529" s="22" t="s">
        <v>16</v>
      </c>
      <c r="J1529" s="107" t="s">
        <v>1663</v>
      </c>
      <c r="K1529" s="22" t="str">
        <f>VLOOKUP(CONCATENATE(A1529,LEFT(J1529,4)),AGRUPAMENTO!$D$2:$E$6783,2,FALSE)</f>
        <v>Demais despesas de custeio</v>
      </c>
      <c r="L1529" s="137" t="s">
        <v>44</v>
      </c>
      <c r="M1529" s="52"/>
      <c r="N1529" s="52">
        <v>60</v>
      </c>
      <c r="O1529" s="120" t="s">
        <v>3620</v>
      </c>
      <c r="P1529" s="52" t="s">
        <v>46</v>
      </c>
      <c r="Q1529" s="120" t="s">
        <v>4251</v>
      </c>
      <c r="R1529" s="255">
        <v>1</v>
      </c>
      <c r="S1529" s="120" t="s">
        <v>4252</v>
      </c>
      <c r="T1529" s="243">
        <v>69.322000000000003</v>
      </c>
      <c r="U1529" s="120">
        <v>1</v>
      </c>
      <c r="V1529" s="58">
        <f t="shared" si="102"/>
        <v>69.322000000000003</v>
      </c>
      <c r="W1529" s="52" t="s">
        <v>49</v>
      </c>
      <c r="X1529" s="120" t="s">
        <v>5208</v>
      </c>
      <c r="Y1529" s="120" t="s">
        <v>5209</v>
      </c>
      <c r="Z1529" s="120" t="s">
        <v>5210</v>
      </c>
      <c r="AA1529" s="52">
        <v>0</v>
      </c>
      <c r="AB1529" s="52">
        <v>0</v>
      </c>
      <c r="AC1529" s="52">
        <v>0</v>
      </c>
      <c r="AD1529" s="21">
        <v>0.29138261490145073</v>
      </c>
      <c r="AE1529" s="54">
        <v>0.29138261490145073</v>
      </c>
      <c r="AF1529" s="315">
        <f t="shared" si="105"/>
        <v>20.19922563019837</v>
      </c>
    </row>
    <row r="1530" spans="1:32" ht="105" x14ac:dyDescent="0.25">
      <c r="A1530" s="113" t="s">
        <v>588</v>
      </c>
      <c r="B1530" s="110" t="s">
        <v>2270</v>
      </c>
      <c r="C1530" s="52"/>
      <c r="D1530" s="110" t="s">
        <v>2276</v>
      </c>
      <c r="E1530" s="22" t="str">
        <f t="shared" si="103"/>
        <v>SEJUSPPROG</v>
      </c>
      <c r="F1530" s="122" t="s">
        <v>886</v>
      </c>
      <c r="G1530" s="22" t="str">
        <f t="shared" si="104"/>
        <v>P146SEJUSP</v>
      </c>
      <c r="H1530" s="52" t="s">
        <v>1424</v>
      </c>
      <c r="I1530" s="22" t="s">
        <v>16</v>
      </c>
      <c r="J1530" s="107" t="s">
        <v>1663</v>
      </c>
      <c r="K1530" s="22" t="str">
        <f>VLOOKUP(CONCATENATE(A1530,LEFT(J1530,4)),AGRUPAMENTO!$D$2:$E$6783,2,FALSE)</f>
        <v>Demais despesas de custeio</v>
      </c>
      <c r="L1530" s="137" t="s">
        <v>44</v>
      </c>
      <c r="M1530" s="52"/>
      <c r="N1530" s="52">
        <v>10</v>
      </c>
      <c r="O1530" s="120" t="s">
        <v>3619</v>
      </c>
      <c r="P1530" s="52" t="s">
        <v>46</v>
      </c>
      <c r="Q1530" s="120" t="s">
        <v>4251</v>
      </c>
      <c r="R1530" s="255">
        <f>130*30%</f>
        <v>39</v>
      </c>
      <c r="S1530" s="120" t="s">
        <v>4252</v>
      </c>
      <c r="T1530" s="243">
        <v>81.278999999999996</v>
      </c>
      <c r="U1530" s="120">
        <v>1</v>
      </c>
      <c r="V1530" s="58">
        <f t="shared" si="102"/>
        <v>3169.8809999999999</v>
      </c>
      <c r="W1530" s="52" t="s">
        <v>49</v>
      </c>
      <c r="X1530" s="120" t="s">
        <v>5208</v>
      </c>
      <c r="Y1530" s="120" t="s">
        <v>5209</v>
      </c>
      <c r="Z1530" s="120" t="s">
        <v>5210</v>
      </c>
      <c r="AA1530" s="52">
        <v>0</v>
      </c>
      <c r="AB1530" s="52">
        <v>0</v>
      </c>
      <c r="AC1530" s="52">
        <v>0</v>
      </c>
      <c r="AD1530" s="21">
        <v>0.29138261490145073</v>
      </c>
      <c r="AE1530" s="54">
        <v>0.29138261490145073</v>
      </c>
      <c r="AF1530" s="315">
        <f t="shared" si="105"/>
        <v>923.64821470642551</v>
      </c>
    </row>
    <row r="1531" spans="1:32" ht="105" x14ac:dyDescent="0.25">
      <c r="A1531" s="113" t="s">
        <v>588</v>
      </c>
      <c r="B1531" s="110" t="s">
        <v>2270</v>
      </c>
      <c r="C1531" s="52"/>
      <c r="D1531" s="110" t="s">
        <v>2276</v>
      </c>
      <c r="E1531" s="22" t="str">
        <f t="shared" si="103"/>
        <v>SEJUSPPROG</v>
      </c>
      <c r="F1531" s="122" t="s">
        <v>886</v>
      </c>
      <c r="G1531" s="22" t="str">
        <f t="shared" si="104"/>
        <v>P146SEJUSP</v>
      </c>
      <c r="H1531" s="52" t="s">
        <v>1424</v>
      </c>
      <c r="I1531" s="22" t="s">
        <v>16</v>
      </c>
      <c r="J1531" s="107" t="s">
        <v>1663</v>
      </c>
      <c r="K1531" s="22" t="str">
        <f>VLOOKUP(CONCATENATE(A1531,LEFT(J1531,4)),AGRUPAMENTO!$D$2:$E$6783,2,FALSE)</f>
        <v>Demais despesas de custeio</v>
      </c>
      <c r="L1531" s="137" t="s">
        <v>44</v>
      </c>
      <c r="M1531" s="52"/>
      <c r="N1531" s="52">
        <v>10</v>
      </c>
      <c r="O1531" s="120" t="s">
        <v>3620</v>
      </c>
      <c r="P1531" s="52" t="s">
        <v>46</v>
      </c>
      <c r="Q1531" s="120" t="s">
        <v>4251</v>
      </c>
      <c r="R1531" s="255">
        <v>1</v>
      </c>
      <c r="S1531" s="120" t="s">
        <v>4252</v>
      </c>
      <c r="T1531" s="243">
        <v>69.322000000000003</v>
      </c>
      <c r="U1531" s="120">
        <v>1</v>
      </c>
      <c r="V1531" s="58">
        <f t="shared" si="102"/>
        <v>69.322000000000003</v>
      </c>
      <c r="W1531" s="52" t="s">
        <v>49</v>
      </c>
      <c r="X1531" s="120" t="s">
        <v>5208</v>
      </c>
      <c r="Y1531" s="120" t="s">
        <v>5209</v>
      </c>
      <c r="Z1531" s="120" t="s">
        <v>5210</v>
      </c>
      <c r="AA1531" s="52">
        <v>0</v>
      </c>
      <c r="AB1531" s="52">
        <v>0</v>
      </c>
      <c r="AC1531" s="52">
        <v>0</v>
      </c>
      <c r="AD1531" s="21">
        <v>0.29138261490145073</v>
      </c>
      <c r="AE1531" s="54">
        <v>0.29138261490145073</v>
      </c>
      <c r="AF1531" s="315">
        <f t="shared" si="105"/>
        <v>20.19922563019837</v>
      </c>
    </row>
    <row r="1532" spans="1:32" ht="105" x14ac:dyDescent="0.25">
      <c r="A1532" s="113" t="s">
        <v>588</v>
      </c>
      <c r="B1532" s="110" t="s">
        <v>2270</v>
      </c>
      <c r="C1532" s="52"/>
      <c r="D1532" s="110" t="s">
        <v>2276</v>
      </c>
      <c r="E1532" s="22" t="str">
        <f t="shared" si="103"/>
        <v>SEJUSPPROG</v>
      </c>
      <c r="F1532" s="120" t="s">
        <v>681</v>
      </c>
      <c r="G1532" s="22" t="str">
        <f t="shared" si="104"/>
        <v>P129SEJUSP</v>
      </c>
      <c r="H1532" s="120" t="s">
        <v>1015</v>
      </c>
      <c r="I1532" s="22" t="s">
        <v>16</v>
      </c>
      <c r="J1532" s="107" t="s">
        <v>1663</v>
      </c>
      <c r="K1532" s="22" t="str">
        <f>VLOOKUP(CONCATENATE(A1532,LEFT(J1532,4)),AGRUPAMENTO!$D$2:$E$6783,2,FALSE)</f>
        <v>Demais despesas de custeio</v>
      </c>
      <c r="L1532" s="137" t="s">
        <v>44</v>
      </c>
      <c r="M1532" s="52"/>
      <c r="N1532" s="52">
        <v>60</v>
      </c>
      <c r="O1532" s="120" t="s">
        <v>3619</v>
      </c>
      <c r="P1532" s="52" t="s">
        <v>46</v>
      </c>
      <c r="Q1532" s="120" t="s">
        <v>4251</v>
      </c>
      <c r="R1532" s="255">
        <v>16</v>
      </c>
      <c r="S1532" s="120" t="s">
        <v>4252</v>
      </c>
      <c r="T1532" s="243">
        <v>81.278999999999996</v>
      </c>
      <c r="U1532" s="120">
        <v>1</v>
      </c>
      <c r="V1532" s="58">
        <f t="shared" si="102"/>
        <v>1300.4639999999999</v>
      </c>
      <c r="W1532" s="52" t="s">
        <v>49</v>
      </c>
      <c r="X1532" s="120" t="s">
        <v>5208</v>
      </c>
      <c r="Y1532" s="120" t="s">
        <v>5209</v>
      </c>
      <c r="Z1532" s="120" t="s">
        <v>5210</v>
      </c>
      <c r="AA1532" s="52">
        <v>0</v>
      </c>
      <c r="AB1532" s="52">
        <v>0</v>
      </c>
      <c r="AC1532" s="52">
        <v>0</v>
      </c>
      <c r="AD1532" s="21">
        <v>0.29138261490145073</v>
      </c>
      <c r="AE1532" s="54">
        <v>0.29138261490145073</v>
      </c>
      <c r="AF1532" s="315">
        <f t="shared" si="105"/>
        <v>378.93260090520022</v>
      </c>
    </row>
    <row r="1533" spans="1:32" ht="105" x14ac:dyDescent="0.25">
      <c r="A1533" s="113" t="s">
        <v>588</v>
      </c>
      <c r="B1533" s="110" t="s">
        <v>2270</v>
      </c>
      <c r="C1533" s="52"/>
      <c r="D1533" s="110" t="s">
        <v>2276</v>
      </c>
      <c r="E1533" s="22" t="str">
        <f t="shared" si="103"/>
        <v>SEJUSPPROG</v>
      </c>
      <c r="F1533" s="120" t="s">
        <v>681</v>
      </c>
      <c r="G1533" s="22" t="str">
        <f t="shared" si="104"/>
        <v>P129SEJUSP</v>
      </c>
      <c r="H1533" s="120" t="s">
        <v>1015</v>
      </c>
      <c r="I1533" s="22" t="s">
        <v>16</v>
      </c>
      <c r="J1533" s="107" t="s">
        <v>1663</v>
      </c>
      <c r="K1533" s="22" t="str">
        <f>VLOOKUP(CONCATENATE(A1533,LEFT(J1533,4)),AGRUPAMENTO!$D$2:$E$6783,2,FALSE)</f>
        <v>Demais despesas de custeio</v>
      </c>
      <c r="L1533" s="137" t="s">
        <v>44</v>
      </c>
      <c r="M1533" s="52"/>
      <c r="N1533" s="52">
        <v>60</v>
      </c>
      <c r="O1533" s="120" t="s">
        <v>3620</v>
      </c>
      <c r="P1533" s="52" t="s">
        <v>46</v>
      </c>
      <c r="Q1533" s="120" t="s">
        <v>4251</v>
      </c>
      <c r="R1533" s="255">
        <v>1</v>
      </c>
      <c r="S1533" s="120" t="s">
        <v>4252</v>
      </c>
      <c r="T1533" s="243">
        <v>69.322000000000003</v>
      </c>
      <c r="U1533" s="120">
        <v>1</v>
      </c>
      <c r="V1533" s="58">
        <f t="shared" si="102"/>
        <v>69.322000000000003</v>
      </c>
      <c r="W1533" s="52" t="s">
        <v>49</v>
      </c>
      <c r="X1533" s="120" t="s">
        <v>5208</v>
      </c>
      <c r="Y1533" s="120" t="s">
        <v>5209</v>
      </c>
      <c r="Z1533" s="120" t="s">
        <v>5210</v>
      </c>
      <c r="AA1533" s="52">
        <v>0</v>
      </c>
      <c r="AB1533" s="52">
        <v>0</v>
      </c>
      <c r="AC1533" s="52">
        <v>0</v>
      </c>
      <c r="AD1533" s="21">
        <v>0.29138261490145073</v>
      </c>
      <c r="AE1533" s="54">
        <v>0.29138261490145073</v>
      </c>
      <c r="AF1533" s="315">
        <f t="shared" si="105"/>
        <v>20.19922563019837</v>
      </c>
    </row>
    <row r="1534" spans="1:32" ht="105" x14ac:dyDescent="0.25">
      <c r="A1534" s="113" t="s">
        <v>588</v>
      </c>
      <c r="B1534" s="110" t="s">
        <v>2270</v>
      </c>
      <c r="C1534" s="52"/>
      <c r="D1534" s="110" t="s">
        <v>2276</v>
      </c>
      <c r="E1534" s="22" t="str">
        <f t="shared" si="103"/>
        <v>SEJUSPPROG</v>
      </c>
      <c r="F1534" s="52" t="s">
        <v>705</v>
      </c>
      <c r="G1534" s="22" t="str">
        <f t="shared" si="104"/>
        <v>P134SEJUSP</v>
      </c>
      <c r="H1534" s="52" t="s">
        <v>1356</v>
      </c>
      <c r="I1534" s="22" t="s">
        <v>16</v>
      </c>
      <c r="J1534" s="107" t="s">
        <v>1663</v>
      </c>
      <c r="K1534" s="22" t="str">
        <f>VLOOKUP(CONCATENATE(A1534,LEFT(J1534,4)),AGRUPAMENTO!$D$2:$E$6783,2,FALSE)</f>
        <v>Demais despesas de custeio</v>
      </c>
      <c r="L1534" s="137" t="s">
        <v>44</v>
      </c>
      <c r="M1534" s="52"/>
      <c r="N1534" s="52">
        <v>10</v>
      </c>
      <c r="O1534" s="120" t="s">
        <v>3619</v>
      </c>
      <c r="P1534" s="52" t="s">
        <v>46</v>
      </c>
      <c r="Q1534" s="120" t="s">
        <v>4251</v>
      </c>
      <c r="R1534" s="255">
        <v>7</v>
      </c>
      <c r="S1534" s="120" t="s">
        <v>4252</v>
      </c>
      <c r="T1534" s="243">
        <v>81.278999999999996</v>
      </c>
      <c r="U1534" s="120">
        <v>1</v>
      </c>
      <c r="V1534" s="58">
        <f t="shared" si="102"/>
        <v>568.95299999999997</v>
      </c>
      <c r="W1534" s="52" t="s">
        <v>49</v>
      </c>
      <c r="X1534" s="120" t="s">
        <v>5208</v>
      </c>
      <c r="Y1534" s="120" t="s">
        <v>5209</v>
      </c>
      <c r="Z1534" s="120" t="s">
        <v>5210</v>
      </c>
      <c r="AA1534" s="52">
        <v>0</v>
      </c>
      <c r="AB1534" s="52">
        <v>0</v>
      </c>
      <c r="AC1534" s="52">
        <v>0</v>
      </c>
      <c r="AD1534" s="21">
        <v>0.29138261490145073</v>
      </c>
      <c r="AE1534" s="54">
        <v>0.29138261490145073</v>
      </c>
      <c r="AF1534" s="315">
        <f t="shared" si="105"/>
        <v>165.7830128960251</v>
      </c>
    </row>
    <row r="1535" spans="1:32" ht="105" x14ac:dyDescent="0.25">
      <c r="A1535" s="113" t="s">
        <v>588</v>
      </c>
      <c r="B1535" s="110" t="s">
        <v>2270</v>
      </c>
      <c r="C1535" s="52"/>
      <c r="D1535" s="110" t="s">
        <v>2276</v>
      </c>
      <c r="E1535" s="22" t="str">
        <f t="shared" si="103"/>
        <v>SEJUSPPROG</v>
      </c>
      <c r="F1535" s="52" t="s">
        <v>705</v>
      </c>
      <c r="G1535" s="22" t="str">
        <f t="shared" si="104"/>
        <v>P134SEJUSP</v>
      </c>
      <c r="H1535" s="52" t="s">
        <v>1356</v>
      </c>
      <c r="I1535" s="22" t="s">
        <v>16</v>
      </c>
      <c r="J1535" s="107" t="s">
        <v>1663</v>
      </c>
      <c r="K1535" s="22" t="str">
        <f>VLOOKUP(CONCATENATE(A1535,LEFT(J1535,4)),AGRUPAMENTO!$D$2:$E$6783,2,FALSE)</f>
        <v>Demais despesas de custeio</v>
      </c>
      <c r="L1535" s="137" t="s">
        <v>44</v>
      </c>
      <c r="M1535" s="52"/>
      <c r="N1535" s="52">
        <v>10</v>
      </c>
      <c r="O1535" s="120" t="s">
        <v>3620</v>
      </c>
      <c r="P1535" s="52" t="s">
        <v>46</v>
      </c>
      <c r="Q1535" s="120" t="s">
        <v>4251</v>
      </c>
      <c r="R1535" s="255">
        <v>2</v>
      </c>
      <c r="S1535" s="120" t="s">
        <v>4252</v>
      </c>
      <c r="T1535" s="243">
        <v>69.322000000000003</v>
      </c>
      <c r="U1535" s="120">
        <v>1</v>
      </c>
      <c r="V1535" s="58">
        <f t="shared" si="102"/>
        <v>138.64400000000001</v>
      </c>
      <c r="W1535" s="52" t="s">
        <v>49</v>
      </c>
      <c r="X1535" s="120" t="s">
        <v>5208</v>
      </c>
      <c r="Y1535" s="120" t="s">
        <v>5209</v>
      </c>
      <c r="Z1535" s="120" t="s">
        <v>5210</v>
      </c>
      <c r="AA1535" s="52">
        <v>0</v>
      </c>
      <c r="AB1535" s="52">
        <v>0</v>
      </c>
      <c r="AC1535" s="52">
        <v>0</v>
      </c>
      <c r="AD1535" s="21">
        <v>0.29138261490145073</v>
      </c>
      <c r="AE1535" s="54">
        <v>0.29138261490145073</v>
      </c>
      <c r="AF1535" s="315">
        <f t="shared" si="105"/>
        <v>40.39845126039674</v>
      </c>
    </row>
    <row r="1536" spans="1:32" ht="105" x14ac:dyDescent="0.25">
      <c r="A1536" s="113" t="s">
        <v>588</v>
      </c>
      <c r="B1536" s="110" t="s">
        <v>2270</v>
      </c>
      <c r="C1536" s="52"/>
      <c r="D1536" s="110" t="s">
        <v>2276</v>
      </c>
      <c r="E1536" s="22" t="str">
        <f t="shared" si="103"/>
        <v>SEJUSPPROG</v>
      </c>
      <c r="F1536" s="116" t="s">
        <v>687</v>
      </c>
      <c r="G1536" s="22" t="str">
        <f t="shared" si="104"/>
        <v>P705SEJUSP</v>
      </c>
      <c r="H1536" s="120" t="s">
        <v>914</v>
      </c>
      <c r="I1536" s="22" t="s">
        <v>16</v>
      </c>
      <c r="J1536" s="107" t="s">
        <v>1663</v>
      </c>
      <c r="K1536" s="22" t="str">
        <f>VLOOKUP(CONCATENATE(A1536,LEFT(J1536,4)),AGRUPAMENTO!$D$2:$E$6783,2,FALSE)</f>
        <v>Demais despesas de custeio</v>
      </c>
      <c r="L1536" s="137" t="s">
        <v>44</v>
      </c>
      <c r="M1536" s="52"/>
      <c r="N1536" s="52">
        <v>10</v>
      </c>
      <c r="O1536" s="120" t="s">
        <v>3619</v>
      </c>
      <c r="P1536" s="52" t="s">
        <v>46</v>
      </c>
      <c r="Q1536" s="120" t="s">
        <v>4251</v>
      </c>
      <c r="R1536" s="255">
        <f>50*30%</f>
        <v>15</v>
      </c>
      <c r="S1536" s="120" t="s">
        <v>4252</v>
      </c>
      <c r="T1536" s="243">
        <v>81.278999999999996</v>
      </c>
      <c r="U1536" s="120">
        <v>1</v>
      </c>
      <c r="V1536" s="58">
        <f t="shared" si="102"/>
        <v>1219.1849999999999</v>
      </c>
      <c r="W1536" s="52" t="s">
        <v>49</v>
      </c>
      <c r="X1536" s="120" t="s">
        <v>5208</v>
      </c>
      <c r="Y1536" s="120" t="s">
        <v>5209</v>
      </c>
      <c r="Z1536" s="120" t="s">
        <v>5210</v>
      </c>
      <c r="AA1536" s="52">
        <v>0</v>
      </c>
      <c r="AB1536" s="52">
        <v>0</v>
      </c>
      <c r="AC1536" s="52">
        <v>0</v>
      </c>
      <c r="AD1536" s="21">
        <v>0.29138261490145073</v>
      </c>
      <c r="AE1536" s="54">
        <v>0.29138261490145073</v>
      </c>
      <c r="AF1536" s="315">
        <f t="shared" si="105"/>
        <v>355.24931334862521</v>
      </c>
    </row>
    <row r="1537" spans="1:32" ht="105" x14ac:dyDescent="0.25">
      <c r="A1537" s="113" t="s">
        <v>588</v>
      </c>
      <c r="B1537" s="110" t="s">
        <v>2270</v>
      </c>
      <c r="C1537" s="52"/>
      <c r="D1537" s="110" t="s">
        <v>2276</v>
      </c>
      <c r="E1537" s="22" t="str">
        <f t="shared" si="103"/>
        <v>SEJUSPPROG</v>
      </c>
      <c r="F1537" s="52" t="s">
        <v>729</v>
      </c>
      <c r="G1537" s="22" t="str">
        <f t="shared" si="104"/>
        <v>P130SEJUSP</v>
      </c>
      <c r="H1537" s="120" t="s">
        <v>1259</v>
      </c>
      <c r="I1537" s="22" t="s">
        <v>16</v>
      </c>
      <c r="J1537" s="107" t="s">
        <v>1663</v>
      </c>
      <c r="K1537" s="22" t="str">
        <f>VLOOKUP(CONCATENATE(A1537,LEFT(J1537,4)),AGRUPAMENTO!$D$2:$E$6783,2,FALSE)</f>
        <v>Demais despesas de custeio</v>
      </c>
      <c r="L1537" s="137" t="s">
        <v>44</v>
      </c>
      <c r="M1537" s="52"/>
      <c r="N1537" s="52">
        <v>10</v>
      </c>
      <c r="O1537" s="120" t="s">
        <v>3619</v>
      </c>
      <c r="P1537" s="52" t="s">
        <v>46</v>
      </c>
      <c r="Q1537" s="120" t="s">
        <v>4251</v>
      </c>
      <c r="R1537" s="255">
        <v>70</v>
      </c>
      <c r="S1537" s="120" t="s">
        <v>4252</v>
      </c>
      <c r="T1537" s="243">
        <v>81.278999999999996</v>
      </c>
      <c r="U1537" s="120">
        <v>1</v>
      </c>
      <c r="V1537" s="58">
        <f t="shared" si="102"/>
        <v>5689.53</v>
      </c>
      <c r="W1537" s="52" t="s">
        <v>49</v>
      </c>
      <c r="X1537" s="120" t="s">
        <v>5208</v>
      </c>
      <c r="Y1537" s="120" t="s">
        <v>5209</v>
      </c>
      <c r="Z1537" s="120" t="s">
        <v>5210</v>
      </c>
      <c r="AA1537" s="52">
        <v>0</v>
      </c>
      <c r="AB1537" s="52">
        <v>0</v>
      </c>
      <c r="AC1537" s="52">
        <v>0</v>
      </c>
      <c r="AD1537" s="21">
        <v>0.29138261490145073</v>
      </c>
      <c r="AE1537" s="54">
        <v>0.29138261490145073</v>
      </c>
      <c r="AF1537" s="315">
        <f t="shared" si="105"/>
        <v>1657.8301289602509</v>
      </c>
    </row>
    <row r="1538" spans="1:32" ht="105" x14ac:dyDescent="0.25">
      <c r="A1538" s="113" t="s">
        <v>588</v>
      </c>
      <c r="B1538" s="110" t="s">
        <v>2270</v>
      </c>
      <c r="C1538" s="52"/>
      <c r="D1538" s="110" t="s">
        <v>2276</v>
      </c>
      <c r="E1538" s="22" t="str">
        <f t="shared" si="103"/>
        <v>SEJUSPPROG</v>
      </c>
      <c r="F1538" s="52" t="s">
        <v>699</v>
      </c>
      <c r="G1538" s="22" t="str">
        <f t="shared" si="104"/>
        <v>P141SEJUSP</v>
      </c>
      <c r="H1538" s="52" t="s">
        <v>1403</v>
      </c>
      <c r="I1538" s="22" t="s">
        <v>16</v>
      </c>
      <c r="J1538" s="107" t="s">
        <v>1663</v>
      </c>
      <c r="K1538" s="22" t="str">
        <f>VLOOKUP(CONCATENATE(A1538,LEFT(J1538,4)),AGRUPAMENTO!$D$2:$E$6783,2,FALSE)</f>
        <v>Demais despesas de custeio</v>
      </c>
      <c r="L1538" s="137" t="s">
        <v>44</v>
      </c>
      <c r="M1538" s="52"/>
      <c r="N1538" s="52">
        <v>10</v>
      </c>
      <c r="O1538" s="120" t="s">
        <v>3619</v>
      </c>
      <c r="P1538" s="52" t="s">
        <v>46</v>
      </c>
      <c r="Q1538" s="120" t="s">
        <v>4253</v>
      </c>
      <c r="R1538" s="255">
        <v>2</v>
      </c>
      <c r="S1538" s="120" t="s">
        <v>4252</v>
      </c>
      <c r="T1538" s="243">
        <v>81.278999999999996</v>
      </c>
      <c r="U1538" s="120">
        <v>1</v>
      </c>
      <c r="V1538" s="58">
        <f t="shared" ref="V1538:V1601" si="106">R1538*T1538*U1538</f>
        <v>162.55799999999999</v>
      </c>
      <c r="W1538" s="52" t="s">
        <v>49</v>
      </c>
      <c r="X1538" s="120" t="s">
        <v>5208</v>
      </c>
      <c r="Y1538" s="120" t="s">
        <v>5209</v>
      </c>
      <c r="Z1538" s="120" t="s">
        <v>5210</v>
      </c>
      <c r="AA1538" s="52">
        <v>0</v>
      </c>
      <c r="AB1538" s="52">
        <v>0</v>
      </c>
      <c r="AC1538" s="52">
        <v>0</v>
      </c>
      <c r="AD1538" s="21">
        <v>0.29138261490145073</v>
      </c>
      <c r="AE1538" s="54">
        <v>0.29138261490145073</v>
      </c>
      <c r="AF1538" s="315">
        <f t="shared" si="105"/>
        <v>47.366575113150027</v>
      </c>
    </row>
    <row r="1539" spans="1:32" ht="105" x14ac:dyDescent="0.25">
      <c r="A1539" s="113" t="s">
        <v>588</v>
      </c>
      <c r="B1539" s="110" t="s">
        <v>2270</v>
      </c>
      <c r="C1539" s="52"/>
      <c r="D1539" s="110" t="s">
        <v>2276</v>
      </c>
      <c r="E1539" s="22" t="str">
        <f t="shared" ref="E1539:E1602" si="107">CONCATENATE(A1539,"PROG")</f>
        <v>SEJUSPPROG</v>
      </c>
      <c r="F1539" s="52" t="s">
        <v>699</v>
      </c>
      <c r="G1539" s="22" t="str">
        <f t="shared" si="104"/>
        <v>P141SEJUSP</v>
      </c>
      <c r="H1539" s="52" t="s">
        <v>1403</v>
      </c>
      <c r="I1539" s="22" t="s">
        <v>16</v>
      </c>
      <c r="J1539" s="107" t="s">
        <v>1663</v>
      </c>
      <c r="K1539" s="22" t="str">
        <f>VLOOKUP(CONCATENATE(A1539,LEFT(J1539,4)),AGRUPAMENTO!$D$2:$E$6783,2,FALSE)</f>
        <v>Demais despesas de custeio</v>
      </c>
      <c r="L1539" s="137" t="s">
        <v>44</v>
      </c>
      <c r="M1539" s="52"/>
      <c r="N1539" s="52">
        <v>10</v>
      </c>
      <c r="O1539" s="120" t="s">
        <v>3620</v>
      </c>
      <c r="P1539" s="52" t="s">
        <v>46</v>
      </c>
      <c r="Q1539" s="120" t="s">
        <v>4251</v>
      </c>
      <c r="R1539" s="255">
        <v>2</v>
      </c>
      <c r="S1539" s="120" t="s">
        <v>4252</v>
      </c>
      <c r="T1539" s="243">
        <v>69.322000000000003</v>
      </c>
      <c r="U1539" s="120">
        <v>1</v>
      </c>
      <c r="V1539" s="58">
        <f t="shared" si="106"/>
        <v>138.64400000000001</v>
      </c>
      <c r="W1539" s="52" t="s">
        <v>49</v>
      </c>
      <c r="X1539" s="120" t="s">
        <v>5208</v>
      </c>
      <c r="Y1539" s="120" t="s">
        <v>5209</v>
      </c>
      <c r="Z1539" s="120" t="s">
        <v>5210</v>
      </c>
      <c r="AA1539" s="52">
        <v>0</v>
      </c>
      <c r="AB1539" s="52">
        <v>0</v>
      </c>
      <c r="AC1539" s="52">
        <v>0</v>
      </c>
      <c r="AD1539" s="21">
        <v>0.29138261490145073</v>
      </c>
      <c r="AE1539" s="54">
        <v>0.29138261490145073</v>
      </c>
      <c r="AF1539" s="315">
        <f t="shared" si="105"/>
        <v>40.39845126039674</v>
      </c>
    </row>
    <row r="1540" spans="1:32" ht="270" x14ac:dyDescent="0.25">
      <c r="A1540" s="113" t="s">
        <v>588</v>
      </c>
      <c r="B1540" s="110" t="s">
        <v>2270</v>
      </c>
      <c r="C1540" s="52"/>
      <c r="D1540" s="110" t="s">
        <v>2276</v>
      </c>
      <c r="E1540" s="22" t="str">
        <f t="shared" si="107"/>
        <v>SEJUSPPROG</v>
      </c>
      <c r="F1540" s="116" t="s">
        <v>687</v>
      </c>
      <c r="G1540" s="22" t="str">
        <f t="shared" ref="G1540:G1603" si="108">CONCATENATE("P",(LEFT(F1540,3)),A1540)</f>
        <v>P705SEJUSP</v>
      </c>
      <c r="H1540" s="120" t="s">
        <v>914</v>
      </c>
      <c r="I1540" s="22" t="s">
        <v>16</v>
      </c>
      <c r="J1540" s="120" t="s">
        <v>395</v>
      </c>
      <c r="K1540" s="22" t="str">
        <f>VLOOKUP(CONCATENATE(A1540,LEFT(J1540,4)),AGRUPAMENTO!$D$2:$E$6783,2,FALSE)</f>
        <v>Frota</v>
      </c>
      <c r="L1540" s="137" t="s">
        <v>44</v>
      </c>
      <c r="M1540" s="52"/>
      <c r="N1540" s="52">
        <v>10</v>
      </c>
      <c r="O1540" s="120" t="s">
        <v>3621</v>
      </c>
      <c r="P1540" s="52" t="s">
        <v>46</v>
      </c>
      <c r="Q1540" s="120" t="s">
        <v>4254</v>
      </c>
      <c r="R1540" s="120">
        <v>2</v>
      </c>
      <c r="S1540" s="120" t="s">
        <v>4240</v>
      </c>
      <c r="T1540" s="243">
        <v>2202.8071999999997</v>
      </c>
      <c r="U1540" s="120">
        <v>12</v>
      </c>
      <c r="V1540" s="58">
        <f t="shared" si="106"/>
        <v>52867.372799999997</v>
      </c>
      <c r="W1540" s="52" t="s">
        <v>49</v>
      </c>
      <c r="X1540" s="113" t="s">
        <v>5201</v>
      </c>
      <c r="Y1540" s="120" t="s">
        <v>4699</v>
      </c>
      <c r="Z1540" s="120" t="s">
        <v>4700</v>
      </c>
      <c r="AA1540" s="52">
        <v>0</v>
      </c>
      <c r="AB1540" s="52">
        <v>0</v>
      </c>
      <c r="AC1540" s="52">
        <v>0</v>
      </c>
      <c r="AD1540" s="21">
        <v>0.69782350765454815</v>
      </c>
      <c r="AE1540" s="54">
        <v>0.69782350765454815</v>
      </c>
      <c r="AF1540" s="315">
        <f t="shared" ref="AF1540:AF1603" si="109">AE1540*V1540</f>
        <v>36892.095527776648</v>
      </c>
    </row>
    <row r="1541" spans="1:32" ht="270" x14ac:dyDescent="0.25">
      <c r="A1541" s="113" t="s">
        <v>588</v>
      </c>
      <c r="B1541" s="110" t="s">
        <v>2270</v>
      </c>
      <c r="C1541" s="52"/>
      <c r="D1541" s="110" t="s">
        <v>2276</v>
      </c>
      <c r="E1541" s="22" t="str">
        <f t="shared" si="107"/>
        <v>SEJUSPPROG</v>
      </c>
      <c r="F1541" s="52" t="s">
        <v>729</v>
      </c>
      <c r="G1541" s="22" t="str">
        <f t="shared" si="108"/>
        <v>P130SEJUSP</v>
      </c>
      <c r="H1541" s="120" t="s">
        <v>1183</v>
      </c>
      <c r="I1541" s="22" t="s">
        <v>16</v>
      </c>
      <c r="J1541" s="120" t="s">
        <v>395</v>
      </c>
      <c r="K1541" s="22" t="str">
        <f>VLOOKUP(CONCATENATE(A1541,LEFT(J1541,4)),AGRUPAMENTO!$D$2:$E$6783,2,FALSE)</f>
        <v>Frota</v>
      </c>
      <c r="L1541" s="137" t="s">
        <v>44</v>
      </c>
      <c r="M1541" s="52"/>
      <c r="N1541" s="52">
        <v>60</v>
      </c>
      <c r="O1541" s="120" t="s">
        <v>3622</v>
      </c>
      <c r="P1541" s="52" t="s">
        <v>46</v>
      </c>
      <c r="Q1541" s="120" t="s">
        <v>4255</v>
      </c>
      <c r="R1541" s="120">
        <v>80</v>
      </c>
      <c r="S1541" s="120" t="s">
        <v>3947</v>
      </c>
      <c r="T1541" s="243">
        <v>11298.7732</v>
      </c>
      <c r="U1541" s="120">
        <v>12</v>
      </c>
      <c r="V1541" s="58">
        <f t="shared" si="106"/>
        <v>10846822.272</v>
      </c>
      <c r="W1541" s="52" t="s">
        <v>49</v>
      </c>
      <c r="X1541" s="113" t="s">
        <v>4698</v>
      </c>
      <c r="Y1541" s="120" t="s">
        <v>4699</v>
      </c>
      <c r="Z1541" s="120" t="s">
        <v>4700</v>
      </c>
      <c r="AA1541" s="52">
        <v>0</v>
      </c>
      <c r="AB1541" s="52">
        <v>0</v>
      </c>
      <c r="AC1541" s="52">
        <v>0</v>
      </c>
      <c r="AD1541" s="21">
        <v>0.69782350765454815</v>
      </c>
      <c r="AE1541" s="54">
        <v>0.69782350765454815</v>
      </c>
      <c r="AF1541" s="315">
        <f t="shared" si="109"/>
        <v>7569167.5647525154</v>
      </c>
    </row>
    <row r="1542" spans="1:32" ht="120" x14ac:dyDescent="0.25">
      <c r="A1542" s="113" t="s">
        <v>588</v>
      </c>
      <c r="B1542" s="110" t="s">
        <v>2270</v>
      </c>
      <c r="C1542" s="52"/>
      <c r="D1542" s="110" t="s">
        <v>2276</v>
      </c>
      <c r="E1542" s="22" t="str">
        <f t="shared" si="107"/>
        <v>SEJUSPPROG</v>
      </c>
      <c r="F1542" s="52" t="s">
        <v>729</v>
      </c>
      <c r="G1542" s="22" t="str">
        <f t="shared" si="108"/>
        <v>P130SEJUSP</v>
      </c>
      <c r="H1542" s="135" t="s">
        <v>1183</v>
      </c>
      <c r="I1542" s="22" t="s">
        <v>16</v>
      </c>
      <c r="J1542" s="140" t="s">
        <v>2233</v>
      </c>
      <c r="K1542" s="22" t="str">
        <f>VLOOKUP(CONCATENATE(A1542,LEFT(J1542,4)),AGRUPAMENTO!$D$2:$E$6783,2,FALSE)</f>
        <v>Demais despesas de capital</v>
      </c>
      <c r="L1542" s="52" t="s">
        <v>94</v>
      </c>
      <c r="M1542" s="52"/>
      <c r="N1542" s="52">
        <v>60</v>
      </c>
      <c r="O1542" s="120" t="s">
        <v>3623</v>
      </c>
      <c r="P1542" s="52" t="s">
        <v>58</v>
      </c>
      <c r="Q1542" s="120" t="s">
        <v>4256</v>
      </c>
      <c r="R1542" s="120">
        <v>20</v>
      </c>
      <c r="S1542" s="120" t="s">
        <v>4257</v>
      </c>
      <c r="T1542" s="243">
        <v>698500</v>
      </c>
      <c r="U1542" s="120">
        <v>1</v>
      </c>
      <c r="V1542" s="58">
        <f t="shared" si="106"/>
        <v>13970000</v>
      </c>
      <c r="W1542" s="305" t="s">
        <v>68</v>
      </c>
      <c r="X1542" s="113" t="s">
        <v>5205</v>
      </c>
      <c r="Y1542" s="120" t="s">
        <v>5206</v>
      </c>
      <c r="Z1542" s="120" t="s">
        <v>5207</v>
      </c>
      <c r="AA1542" s="122">
        <v>20</v>
      </c>
      <c r="AB1542" s="122">
        <v>31</v>
      </c>
      <c r="AC1542" s="122">
        <v>60</v>
      </c>
      <c r="AD1542" s="21">
        <v>0</v>
      </c>
      <c r="AE1542" s="54">
        <v>0</v>
      </c>
      <c r="AF1542" s="315">
        <f t="shared" si="109"/>
        <v>0</v>
      </c>
    </row>
    <row r="1543" spans="1:32" ht="270" x14ac:dyDescent="0.25">
      <c r="A1543" s="113" t="s">
        <v>588</v>
      </c>
      <c r="B1543" s="110" t="s">
        <v>2270</v>
      </c>
      <c r="C1543" s="52"/>
      <c r="D1543" s="110" t="s">
        <v>2276</v>
      </c>
      <c r="E1543" s="22" t="str">
        <f t="shared" si="107"/>
        <v>SEJUSPPROG</v>
      </c>
      <c r="F1543" s="116" t="s">
        <v>687</v>
      </c>
      <c r="G1543" s="22" t="str">
        <f t="shared" si="108"/>
        <v>P705SEJUSP</v>
      </c>
      <c r="H1543" s="120" t="s">
        <v>914</v>
      </c>
      <c r="I1543" s="22" t="s">
        <v>16</v>
      </c>
      <c r="J1543" s="120" t="s">
        <v>395</v>
      </c>
      <c r="K1543" s="22" t="str">
        <f>VLOOKUP(CONCATENATE(A1543,LEFT(J1543,4)),AGRUPAMENTO!$D$2:$E$6783,2,FALSE)</f>
        <v>Frota</v>
      </c>
      <c r="L1543" s="137" t="s">
        <v>44</v>
      </c>
      <c r="M1543" s="52"/>
      <c r="N1543" s="52">
        <v>10</v>
      </c>
      <c r="O1543" s="120" t="s">
        <v>3624</v>
      </c>
      <c r="P1543" s="52" t="s">
        <v>46</v>
      </c>
      <c r="Q1543" s="120" t="s">
        <v>4258</v>
      </c>
      <c r="R1543" s="120">
        <v>5</v>
      </c>
      <c r="S1543" s="120" t="s">
        <v>4259</v>
      </c>
      <c r="T1543" s="243">
        <v>2477.6228000000001</v>
      </c>
      <c r="U1543" s="120">
        <v>12</v>
      </c>
      <c r="V1543" s="58">
        <f t="shared" si="106"/>
        <v>148657.36800000002</v>
      </c>
      <c r="W1543" s="52" t="s">
        <v>49</v>
      </c>
      <c r="X1543" s="113" t="s">
        <v>5211</v>
      </c>
      <c r="Y1543" s="120" t="s">
        <v>4699</v>
      </c>
      <c r="Z1543" s="120" t="s">
        <v>4700</v>
      </c>
      <c r="AA1543" s="52">
        <v>0</v>
      </c>
      <c r="AB1543" s="52">
        <v>0</v>
      </c>
      <c r="AC1543" s="52">
        <v>0</v>
      </c>
      <c r="AD1543" s="21">
        <v>0.69782350765454815</v>
      </c>
      <c r="AE1543" s="54">
        <v>0.69782350765454815</v>
      </c>
      <c r="AF1543" s="315">
        <f t="shared" si="109"/>
        <v>103736.60597645299</v>
      </c>
    </row>
    <row r="1544" spans="1:32" ht="270" x14ac:dyDescent="0.25">
      <c r="A1544" s="113" t="s">
        <v>588</v>
      </c>
      <c r="B1544" s="110" t="s">
        <v>2270</v>
      </c>
      <c r="C1544" s="52"/>
      <c r="D1544" s="110" t="s">
        <v>2276</v>
      </c>
      <c r="E1544" s="22" t="str">
        <f t="shared" si="107"/>
        <v>SEJUSPPROG</v>
      </c>
      <c r="F1544" s="52" t="s">
        <v>729</v>
      </c>
      <c r="G1544" s="22" t="str">
        <f t="shared" si="108"/>
        <v>P130SEJUSP</v>
      </c>
      <c r="H1544" s="120" t="s">
        <v>1259</v>
      </c>
      <c r="I1544" s="22" t="s">
        <v>16</v>
      </c>
      <c r="J1544" s="120" t="s">
        <v>395</v>
      </c>
      <c r="K1544" s="22" t="str">
        <f>VLOOKUP(CONCATENATE(A1544,LEFT(J1544,4)),AGRUPAMENTO!$D$2:$E$6783,2,FALSE)</f>
        <v>Frota</v>
      </c>
      <c r="L1544" s="137" t="s">
        <v>44</v>
      </c>
      <c r="M1544" s="52"/>
      <c r="N1544" s="52">
        <v>10</v>
      </c>
      <c r="O1544" s="120" t="s">
        <v>3625</v>
      </c>
      <c r="P1544" s="52" t="s">
        <v>46</v>
      </c>
      <c r="Q1544" s="120" t="s">
        <v>4260</v>
      </c>
      <c r="R1544" s="120">
        <v>19</v>
      </c>
      <c r="S1544" s="120" t="s">
        <v>4259</v>
      </c>
      <c r="T1544" s="243">
        <v>2477.6228000000001</v>
      </c>
      <c r="U1544" s="120">
        <v>12</v>
      </c>
      <c r="V1544" s="58">
        <f t="shared" si="106"/>
        <v>564897.99840000004</v>
      </c>
      <c r="W1544" s="52" t="s">
        <v>49</v>
      </c>
      <c r="X1544" s="113" t="s">
        <v>5212</v>
      </c>
      <c r="Y1544" s="120" t="s">
        <v>4699</v>
      </c>
      <c r="Z1544" s="120" t="s">
        <v>4700</v>
      </c>
      <c r="AA1544" s="52">
        <v>0</v>
      </c>
      <c r="AB1544" s="52">
        <v>0</v>
      </c>
      <c r="AC1544" s="52">
        <v>0</v>
      </c>
      <c r="AD1544" s="21">
        <v>0.69782350765454815</v>
      </c>
      <c r="AE1544" s="54">
        <v>0.69782350765454815</v>
      </c>
      <c r="AF1544" s="315">
        <f t="shared" si="109"/>
        <v>394199.10271052137</v>
      </c>
    </row>
    <row r="1545" spans="1:32" ht="409.5" x14ac:dyDescent="0.25">
      <c r="A1545" s="113" t="s">
        <v>588</v>
      </c>
      <c r="B1545" s="110" t="s">
        <v>2270</v>
      </c>
      <c r="C1545" s="52"/>
      <c r="D1545" s="110" t="s">
        <v>2276</v>
      </c>
      <c r="E1545" s="22" t="str">
        <f t="shared" si="107"/>
        <v>SEJUSPPROG</v>
      </c>
      <c r="F1545" s="116" t="s">
        <v>687</v>
      </c>
      <c r="G1545" s="22" t="str">
        <f t="shared" si="108"/>
        <v>P705SEJUSP</v>
      </c>
      <c r="H1545" s="120" t="s">
        <v>914</v>
      </c>
      <c r="I1545" s="22" t="s">
        <v>16</v>
      </c>
      <c r="J1545" s="120" t="s">
        <v>395</v>
      </c>
      <c r="K1545" s="22" t="str">
        <f>VLOOKUP(CONCATENATE(A1545,LEFT(J1545,4)),AGRUPAMENTO!$D$2:$E$6783,2,FALSE)</f>
        <v>Frota</v>
      </c>
      <c r="L1545" s="109" t="s">
        <v>44</v>
      </c>
      <c r="M1545" s="52"/>
      <c r="N1545" s="52">
        <v>10</v>
      </c>
      <c r="O1545" s="120" t="s">
        <v>3626</v>
      </c>
      <c r="P1545" s="52" t="s">
        <v>46</v>
      </c>
      <c r="Q1545" s="120" t="s">
        <v>4261</v>
      </c>
      <c r="R1545" s="120">
        <v>1</v>
      </c>
      <c r="S1545" s="120" t="s">
        <v>4259</v>
      </c>
      <c r="T1545" s="243">
        <v>3952.4856000000004</v>
      </c>
      <c r="U1545" s="120">
        <v>12</v>
      </c>
      <c r="V1545" s="58">
        <f t="shared" si="106"/>
        <v>47429.827200000007</v>
      </c>
      <c r="W1545" s="52" t="s">
        <v>49</v>
      </c>
      <c r="X1545" s="113" t="s">
        <v>5213</v>
      </c>
      <c r="Y1545" s="120" t="s">
        <v>5214</v>
      </c>
      <c r="Z1545" s="120" t="s">
        <v>4700</v>
      </c>
      <c r="AA1545" s="52">
        <v>0</v>
      </c>
      <c r="AB1545" s="52">
        <v>0</v>
      </c>
      <c r="AC1545" s="52">
        <v>0</v>
      </c>
      <c r="AD1545" s="21">
        <v>0.69782350765454815</v>
      </c>
      <c r="AE1545" s="54">
        <v>0.69782350765454815</v>
      </c>
      <c r="AF1545" s="315">
        <f t="shared" si="109"/>
        <v>33097.648384153101</v>
      </c>
    </row>
    <row r="1546" spans="1:32" ht="120" x14ac:dyDescent="0.25">
      <c r="A1546" s="113" t="s">
        <v>588</v>
      </c>
      <c r="B1546" s="110" t="s">
        <v>2270</v>
      </c>
      <c r="C1546" s="52"/>
      <c r="D1546" s="110" t="s">
        <v>2276</v>
      </c>
      <c r="E1546" s="22" t="str">
        <f t="shared" si="107"/>
        <v>SEJUSPPROG</v>
      </c>
      <c r="F1546" s="123" t="s">
        <v>886</v>
      </c>
      <c r="G1546" s="22" t="str">
        <f t="shared" si="108"/>
        <v>P146SEJUSP</v>
      </c>
      <c r="H1546" s="121" t="s">
        <v>1424</v>
      </c>
      <c r="I1546" s="22" t="s">
        <v>16</v>
      </c>
      <c r="J1546" s="140" t="s">
        <v>2233</v>
      </c>
      <c r="K1546" s="22" t="str">
        <f>VLOOKUP(CONCATENATE(A1546,LEFT(J1546,4)),AGRUPAMENTO!$D$2:$E$6783,2,FALSE)</f>
        <v>Demais despesas de capital</v>
      </c>
      <c r="L1546" s="52" t="s">
        <v>94</v>
      </c>
      <c r="M1546" s="52"/>
      <c r="N1546" s="52">
        <v>10</v>
      </c>
      <c r="O1546" s="120" t="s">
        <v>3627</v>
      </c>
      <c r="P1546" s="52" t="s">
        <v>58</v>
      </c>
      <c r="Q1546" s="120" t="s">
        <v>4244</v>
      </c>
      <c r="R1546" s="120">
        <v>20</v>
      </c>
      <c r="S1546" s="120" t="s">
        <v>4262</v>
      </c>
      <c r="T1546" s="243">
        <v>364000</v>
      </c>
      <c r="U1546" s="120">
        <v>1</v>
      </c>
      <c r="V1546" s="58">
        <f t="shared" si="106"/>
        <v>7280000</v>
      </c>
      <c r="W1546" s="305" t="s">
        <v>68</v>
      </c>
      <c r="X1546" s="113" t="s">
        <v>5215</v>
      </c>
      <c r="Y1546" s="120" t="s">
        <v>5206</v>
      </c>
      <c r="Z1546" s="120" t="s">
        <v>5207</v>
      </c>
      <c r="AA1546" s="122">
        <v>21</v>
      </c>
      <c r="AB1546" s="122">
        <v>32</v>
      </c>
      <c r="AC1546" s="122">
        <v>61</v>
      </c>
      <c r="AD1546" s="21">
        <v>0</v>
      </c>
      <c r="AE1546" s="54">
        <v>0</v>
      </c>
      <c r="AF1546" s="315">
        <f t="shared" si="109"/>
        <v>0</v>
      </c>
    </row>
    <row r="1547" spans="1:32" ht="180" x14ac:dyDescent="0.25">
      <c r="A1547" s="112" t="s">
        <v>588</v>
      </c>
      <c r="B1547" s="107" t="s">
        <v>2270</v>
      </c>
      <c r="C1547" s="52"/>
      <c r="D1547" s="108" t="s">
        <v>2301</v>
      </c>
      <c r="E1547" s="22" t="str">
        <f t="shared" si="107"/>
        <v>SEJUSPPROG</v>
      </c>
      <c r="F1547" s="116" t="s">
        <v>687</v>
      </c>
      <c r="G1547" s="22" t="str">
        <f t="shared" si="108"/>
        <v>P705SEJUSP</v>
      </c>
      <c r="H1547" s="121" t="s">
        <v>914</v>
      </c>
      <c r="I1547" s="22" t="s">
        <v>16</v>
      </c>
      <c r="J1547" s="121" t="s">
        <v>1664</v>
      </c>
      <c r="K1547" s="22" t="str">
        <f>VLOOKUP(CONCATENATE(A1547,LEFT(J1547,4)),AGRUPAMENTO!$D$2:$E$6783,2,FALSE)</f>
        <v>Serviços de TIC</v>
      </c>
      <c r="L1547" s="108" t="s">
        <v>44</v>
      </c>
      <c r="M1547" s="52"/>
      <c r="N1547" s="52">
        <v>10</v>
      </c>
      <c r="O1547" s="121" t="s">
        <v>3628</v>
      </c>
      <c r="P1547" s="52" t="s">
        <v>58</v>
      </c>
      <c r="Q1547" s="121" t="s">
        <v>3936</v>
      </c>
      <c r="R1547" s="121">
        <v>5000</v>
      </c>
      <c r="S1547" s="121" t="s">
        <v>3937</v>
      </c>
      <c r="T1547" s="241">
        <v>21.19</v>
      </c>
      <c r="U1547" s="121">
        <v>12</v>
      </c>
      <c r="V1547" s="58">
        <f t="shared" si="106"/>
        <v>1271400</v>
      </c>
      <c r="W1547" s="306" t="s">
        <v>68</v>
      </c>
      <c r="X1547" s="307" t="s">
        <v>5216</v>
      </c>
      <c r="Y1547" s="121" t="s">
        <v>4710</v>
      </c>
      <c r="Z1547" s="121" t="s">
        <v>5217</v>
      </c>
      <c r="AA1547" s="108">
        <v>5</v>
      </c>
      <c r="AB1547" s="108">
        <v>33</v>
      </c>
      <c r="AC1547" s="108">
        <v>62</v>
      </c>
      <c r="AD1547" s="21">
        <v>0</v>
      </c>
      <c r="AE1547" s="54">
        <v>0</v>
      </c>
      <c r="AF1547" s="315">
        <f t="shared" si="109"/>
        <v>0</v>
      </c>
    </row>
    <row r="1548" spans="1:32" ht="165" x14ac:dyDescent="0.25">
      <c r="A1548" s="113" t="s">
        <v>588</v>
      </c>
      <c r="B1548" s="110" t="s">
        <v>2270</v>
      </c>
      <c r="C1548" s="52"/>
      <c r="D1548" s="110" t="s">
        <v>2276</v>
      </c>
      <c r="E1548" s="22" t="str">
        <f t="shared" si="107"/>
        <v>SEJUSPPROG</v>
      </c>
      <c r="F1548" s="52" t="s">
        <v>729</v>
      </c>
      <c r="G1548" s="22" t="str">
        <f t="shared" si="108"/>
        <v>P130SEJUSP</v>
      </c>
      <c r="H1548" s="120" t="s">
        <v>1183</v>
      </c>
      <c r="I1548" s="22" t="s">
        <v>16</v>
      </c>
      <c r="J1548" s="120" t="s">
        <v>457</v>
      </c>
      <c r="K1548" s="22" t="str">
        <f>VLOOKUP(CONCATENATE(A1548,LEFT(J1548,4)),AGRUPAMENTO!$D$2:$E$6783,2,FALSE)</f>
        <v>Demais despesas de custeio</v>
      </c>
      <c r="L1548" s="137" t="s">
        <v>44</v>
      </c>
      <c r="M1548" s="52"/>
      <c r="N1548" s="52">
        <v>60</v>
      </c>
      <c r="O1548" s="120" t="s">
        <v>3629</v>
      </c>
      <c r="P1548" s="52" t="s">
        <v>46</v>
      </c>
      <c r="Q1548" s="120" t="s">
        <v>4263</v>
      </c>
      <c r="R1548" s="120">
        <v>257</v>
      </c>
      <c r="S1548" s="120" t="s">
        <v>4264</v>
      </c>
      <c r="T1548" s="243">
        <v>196.32</v>
      </c>
      <c r="U1548" s="120">
        <v>1</v>
      </c>
      <c r="V1548" s="58">
        <f t="shared" si="106"/>
        <v>50454.239999999998</v>
      </c>
      <c r="W1548" s="52" t="s">
        <v>49</v>
      </c>
      <c r="X1548" s="120" t="s">
        <v>5218</v>
      </c>
      <c r="Y1548" s="120" t="s">
        <v>5219</v>
      </c>
      <c r="Z1548" s="120" t="s">
        <v>5220</v>
      </c>
      <c r="AA1548" s="52">
        <v>0</v>
      </c>
      <c r="AB1548" s="52">
        <v>0</v>
      </c>
      <c r="AC1548" s="52">
        <v>0</v>
      </c>
      <c r="AD1548" s="21">
        <v>0.29138261490145073</v>
      </c>
      <c r="AE1548" s="54">
        <v>0.29138261490145073</v>
      </c>
      <c r="AF1548" s="315">
        <f t="shared" si="109"/>
        <v>14701.488384065371</v>
      </c>
    </row>
    <row r="1549" spans="1:32" ht="165" x14ac:dyDescent="0.25">
      <c r="A1549" s="113" t="s">
        <v>588</v>
      </c>
      <c r="B1549" s="110" t="s">
        <v>2270</v>
      </c>
      <c r="C1549" s="52"/>
      <c r="D1549" s="110" t="s">
        <v>2276</v>
      </c>
      <c r="E1549" s="22" t="str">
        <f t="shared" si="107"/>
        <v>SEJUSPPROG</v>
      </c>
      <c r="F1549" s="52" t="s">
        <v>729</v>
      </c>
      <c r="G1549" s="22" t="str">
        <f t="shared" si="108"/>
        <v>P130SEJUSP</v>
      </c>
      <c r="H1549" s="120" t="s">
        <v>1259</v>
      </c>
      <c r="I1549" s="22" t="s">
        <v>16</v>
      </c>
      <c r="J1549" s="120" t="s">
        <v>457</v>
      </c>
      <c r="K1549" s="22" t="str">
        <f>VLOOKUP(CONCATENATE(A1549,LEFT(J1549,4)),AGRUPAMENTO!$D$2:$E$6783,2,FALSE)</f>
        <v>Demais despesas de custeio</v>
      </c>
      <c r="L1549" s="137" t="s">
        <v>44</v>
      </c>
      <c r="M1549" s="52"/>
      <c r="N1549" s="52">
        <v>10</v>
      </c>
      <c r="O1549" s="120" t="s">
        <v>3630</v>
      </c>
      <c r="P1549" s="52" t="s">
        <v>46</v>
      </c>
      <c r="Q1549" s="120" t="s">
        <v>4265</v>
      </c>
      <c r="R1549" s="120">
        <v>20</v>
      </c>
      <c r="S1549" s="120" t="s">
        <v>4264</v>
      </c>
      <c r="T1549" s="243">
        <v>196.32</v>
      </c>
      <c r="U1549" s="120">
        <v>1</v>
      </c>
      <c r="V1549" s="58">
        <f t="shared" si="106"/>
        <v>3926.3999999999996</v>
      </c>
      <c r="W1549" s="52" t="s">
        <v>49</v>
      </c>
      <c r="X1549" s="120" t="s">
        <v>5218</v>
      </c>
      <c r="Y1549" s="120" t="s">
        <v>5219</v>
      </c>
      <c r="Z1549" s="120" t="s">
        <v>5220</v>
      </c>
      <c r="AA1549" s="52">
        <v>0</v>
      </c>
      <c r="AB1549" s="52">
        <v>0</v>
      </c>
      <c r="AC1549" s="52">
        <v>0</v>
      </c>
      <c r="AD1549" s="21">
        <v>0.29138261490145073</v>
      </c>
      <c r="AE1549" s="54">
        <v>0.29138261490145073</v>
      </c>
      <c r="AF1549" s="315">
        <f t="shared" si="109"/>
        <v>1144.084699149056</v>
      </c>
    </row>
    <row r="1550" spans="1:32" ht="165" x14ac:dyDescent="0.25">
      <c r="A1550" s="113" t="s">
        <v>588</v>
      </c>
      <c r="B1550" s="110" t="s">
        <v>2270</v>
      </c>
      <c r="C1550" s="52"/>
      <c r="D1550" s="110" t="s">
        <v>2276</v>
      </c>
      <c r="E1550" s="22" t="str">
        <f t="shared" si="107"/>
        <v>SEJUSPPROG</v>
      </c>
      <c r="F1550" s="122" t="s">
        <v>886</v>
      </c>
      <c r="G1550" s="22" t="str">
        <f t="shared" si="108"/>
        <v>P146SEJUSP</v>
      </c>
      <c r="H1550" s="52" t="s">
        <v>1424</v>
      </c>
      <c r="I1550" s="22" t="s">
        <v>16</v>
      </c>
      <c r="J1550" s="120" t="s">
        <v>457</v>
      </c>
      <c r="K1550" s="22" t="str">
        <f>VLOOKUP(CONCATENATE(A1550,LEFT(J1550,4)),AGRUPAMENTO!$D$2:$E$6783,2,FALSE)</f>
        <v>Demais despesas de custeio</v>
      </c>
      <c r="L1550" s="137" t="s">
        <v>44</v>
      </c>
      <c r="M1550" s="52"/>
      <c r="N1550" s="52">
        <v>10</v>
      </c>
      <c r="O1550" s="120" t="s">
        <v>3631</v>
      </c>
      <c r="P1550" s="52" t="s">
        <v>46</v>
      </c>
      <c r="Q1550" s="120" t="s">
        <v>4266</v>
      </c>
      <c r="R1550" s="120">
        <v>44</v>
      </c>
      <c r="S1550" s="120" t="s">
        <v>4264</v>
      </c>
      <c r="T1550" s="243">
        <v>196.32</v>
      </c>
      <c r="U1550" s="120">
        <v>1</v>
      </c>
      <c r="V1550" s="58">
        <f t="shared" si="106"/>
        <v>8638.08</v>
      </c>
      <c r="W1550" s="52" t="s">
        <v>49</v>
      </c>
      <c r="X1550" s="120" t="s">
        <v>5218</v>
      </c>
      <c r="Y1550" s="120" t="s">
        <v>5219</v>
      </c>
      <c r="Z1550" s="120" t="s">
        <v>5220</v>
      </c>
      <c r="AA1550" s="52">
        <v>0</v>
      </c>
      <c r="AB1550" s="52">
        <v>0</v>
      </c>
      <c r="AC1550" s="52">
        <v>0</v>
      </c>
      <c r="AD1550" s="21">
        <v>0.29138261490145073</v>
      </c>
      <c r="AE1550" s="54">
        <v>0.29138261490145073</v>
      </c>
      <c r="AF1550" s="315">
        <f t="shared" si="109"/>
        <v>2516.9863381279233</v>
      </c>
    </row>
    <row r="1551" spans="1:32" ht="165" x14ac:dyDescent="0.25">
      <c r="A1551" s="113" t="s">
        <v>588</v>
      </c>
      <c r="B1551" s="110" t="s">
        <v>2270</v>
      </c>
      <c r="C1551" s="52"/>
      <c r="D1551" s="110" t="s">
        <v>2276</v>
      </c>
      <c r="E1551" s="22" t="str">
        <f t="shared" si="107"/>
        <v>SEJUSPPROG</v>
      </c>
      <c r="F1551" s="120" t="s">
        <v>681</v>
      </c>
      <c r="G1551" s="22" t="str">
        <f t="shared" si="108"/>
        <v>P129SEJUSP</v>
      </c>
      <c r="H1551" s="120" t="s">
        <v>1015</v>
      </c>
      <c r="I1551" s="22" t="s">
        <v>16</v>
      </c>
      <c r="J1551" s="120" t="s">
        <v>457</v>
      </c>
      <c r="K1551" s="22" t="str">
        <f>VLOOKUP(CONCATENATE(A1551,LEFT(J1551,4)),AGRUPAMENTO!$D$2:$E$6783,2,FALSE)</f>
        <v>Demais despesas de custeio</v>
      </c>
      <c r="L1551" s="137" t="s">
        <v>44</v>
      </c>
      <c r="M1551" s="52"/>
      <c r="N1551" s="52">
        <v>60</v>
      </c>
      <c r="O1551" s="120" t="s">
        <v>3632</v>
      </c>
      <c r="P1551" s="52" t="s">
        <v>46</v>
      </c>
      <c r="Q1551" s="120" t="s">
        <v>4267</v>
      </c>
      <c r="R1551" s="120">
        <v>20</v>
      </c>
      <c r="S1551" s="120" t="s">
        <v>4264</v>
      </c>
      <c r="T1551" s="243">
        <v>196.32</v>
      </c>
      <c r="U1551" s="120">
        <v>1</v>
      </c>
      <c r="V1551" s="58">
        <f t="shared" si="106"/>
        <v>3926.3999999999996</v>
      </c>
      <c r="W1551" s="52" t="s">
        <v>49</v>
      </c>
      <c r="X1551" s="120" t="s">
        <v>5218</v>
      </c>
      <c r="Y1551" s="120" t="s">
        <v>5219</v>
      </c>
      <c r="Z1551" s="120" t="s">
        <v>5220</v>
      </c>
      <c r="AA1551" s="52">
        <v>0</v>
      </c>
      <c r="AB1551" s="52">
        <v>0</v>
      </c>
      <c r="AC1551" s="52">
        <v>0</v>
      </c>
      <c r="AD1551" s="21">
        <v>0.29138261490145073</v>
      </c>
      <c r="AE1551" s="54">
        <v>0.29138261490145073</v>
      </c>
      <c r="AF1551" s="315">
        <f t="shared" si="109"/>
        <v>1144.084699149056</v>
      </c>
    </row>
    <row r="1552" spans="1:32" ht="165" x14ac:dyDescent="0.25">
      <c r="A1552" s="113" t="s">
        <v>588</v>
      </c>
      <c r="B1552" s="110" t="s">
        <v>2270</v>
      </c>
      <c r="C1552" s="52"/>
      <c r="D1552" s="110" t="s">
        <v>2276</v>
      </c>
      <c r="E1552" s="22" t="str">
        <f t="shared" si="107"/>
        <v>SEJUSPPROG</v>
      </c>
      <c r="F1552" s="52" t="s">
        <v>705</v>
      </c>
      <c r="G1552" s="22" t="str">
        <f t="shared" si="108"/>
        <v>P134SEJUSP</v>
      </c>
      <c r="H1552" s="52" t="s">
        <v>1356</v>
      </c>
      <c r="I1552" s="22" t="s">
        <v>16</v>
      </c>
      <c r="J1552" s="120" t="s">
        <v>457</v>
      </c>
      <c r="K1552" s="22" t="str">
        <f>VLOOKUP(CONCATENATE(A1552,LEFT(J1552,4)),AGRUPAMENTO!$D$2:$E$6783,2,FALSE)</f>
        <v>Demais despesas de custeio</v>
      </c>
      <c r="L1552" s="137" t="s">
        <v>44</v>
      </c>
      <c r="M1552" s="52"/>
      <c r="N1552" s="52">
        <v>10</v>
      </c>
      <c r="O1552" s="120" t="s">
        <v>3633</v>
      </c>
      <c r="P1552" s="52" t="s">
        <v>46</v>
      </c>
      <c r="Q1552" s="120" t="s">
        <v>4268</v>
      </c>
      <c r="R1552" s="120">
        <v>20</v>
      </c>
      <c r="S1552" s="120" t="s">
        <v>4264</v>
      </c>
      <c r="T1552" s="243">
        <v>196.32</v>
      </c>
      <c r="U1552" s="120">
        <v>1</v>
      </c>
      <c r="V1552" s="58">
        <f t="shared" si="106"/>
        <v>3926.3999999999996</v>
      </c>
      <c r="W1552" s="52" t="s">
        <v>49</v>
      </c>
      <c r="X1552" s="120" t="s">
        <v>5218</v>
      </c>
      <c r="Y1552" s="120" t="s">
        <v>5219</v>
      </c>
      <c r="Z1552" s="120" t="s">
        <v>5220</v>
      </c>
      <c r="AA1552" s="52">
        <v>0</v>
      </c>
      <c r="AB1552" s="52">
        <v>0</v>
      </c>
      <c r="AC1552" s="52">
        <v>0</v>
      </c>
      <c r="AD1552" s="21">
        <v>0.29138261490145073</v>
      </c>
      <c r="AE1552" s="54">
        <v>0.29138261490145073</v>
      </c>
      <c r="AF1552" s="315">
        <f t="shared" si="109"/>
        <v>1144.084699149056</v>
      </c>
    </row>
    <row r="1553" spans="1:32" ht="165" x14ac:dyDescent="0.25">
      <c r="A1553" s="113" t="s">
        <v>588</v>
      </c>
      <c r="B1553" s="110" t="s">
        <v>2270</v>
      </c>
      <c r="C1553" s="52"/>
      <c r="D1553" s="110" t="s">
        <v>2276</v>
      </c>
      <c r="E1553" s="22" t="str">
        <f t="shared" si="107"/>
        <v>SEJUSPPROG</v>
      </c>
      <c r="F1553" s="116" t="s">
        <v>687</v>
      </c>
      <c r="G1553" s="22" t="str">
        <f t="shared" si="108"/>
        <v>P705SEJUSP</v>
      </c>
      <c r="H1553" s="120" t="s">
        <v>914</v>
      </c>
      <c r="I1553" s="22" t="s">
        <v>16</v>
      </c>
      <c r="J1553" s="120" t="s">
        <v>457</v>
      </c>
      <c r="K1553" s="22" t="str">
        <f>VLOOKUP(CONCATENATE(A1553,LEFT(J1553,4)),AGRUPAMENTO!$D$2:$E$6783,2,FALSE)</f>
        <v>Demais despesas de custeio</v>
      </c>
      <c r="L1553" s="137" t="s">
        <v>44</v>
      </c>
      <c r="M1553" s="52"/>
      <c r="N1553" s="52">
        <v>10</v>
      </c>
      <c r="O1553" s="120" t="s">
        <v>3634</v>
      </c>
      <c r="P1553" s="52" t="s">
        <v>46</v>
      </c>
      <c r="Q1553" s="120" t="s">
        <v>4269</v>
      </c>
      <c r="R1553" s="120">
        <v>16</v>
      </c>
      <c r="S1553" s="120" t="s">
        <v>4264</v>
      </c>
      <c r="T1553" s="243">
        <v>196.32</v>
      </c>
      <c r="U1553" s="120">
        <v>1</v>
      </c>
      <c r="V1553" s="58">
        <f t="shared" si="106"/>
        <v>3141.12</v>
      </c>
      <c r="W1553" s="52" t="s">
        <v>49</v>
      </c>
      <c r="X1553" s="120" t="s">
        <v>5218</v>
      </c>
      <c r="Y1553" s="120" t="s">
        <v>5219</v>
      </c>
      <c r="Z1553" s="120" t="s">
        <v>5220</v>
      </c>
      <c r="AA1553" s="52">
        <v>0</v>
      </c>
      <c r="AB1553" s="52">
        <v>0</v>
      </c>
      <c r="AC1553" s="52">
        <v>0</v>
      </c>
      <c r="AD1553" s="21">
        <v>0.29138261490145073</v>
      </c>
      <c r="AE1553" s="54">
        <v>0.29138261490145073</v>
      </c>
      <c r="AF1553" s="315">
        <f t="shared" si="109"/>
        <v>915.26775931924487</v>
      </c>
    </row>
    <row r="1554" spans="1:32" ht="165" x14ac:dyDescent="0.25">
      <c r="A1554" s="113" t="s">
        <v>588</v>
      </c>
      <c r="B1554" s="110" t="s">
        <v>2270</v>
      </c>
      <c r="C1554" s="52"/>
      <c r="D1554" s="110" t="s">
        <v>2276</v>
      </c>
      <c r="E1554" s="22" t="str">
        <f t="shared" si="107"/>
        <v>SEJUSPPROG</v>
      </c>
      <c r="F1554" s="52" t="s">
        <v>699</v>
      </c>
      <c r="G1554" s="22" t="str">
        <f t="shared" si="108"/>
        <v>P141SEJUSP</v>
      </c>
      <c r="H1554" s="52" t="s">
        <v>1403</v>
      </c>
      <c r="I1554" s="22" t="s">
        <v>16</v>
      </c>
      <c r="J1554" s="120" t="s">
        <v>457</v>
      </c>
      <c r="K1554" s="22" t="str">
        <f>VLOOKUP(CONCATENATE(A1554,LEFT(J1554,4)),AGRUPAMENTO!$D$2:$E$6783,2,FALSE)</f>
        <v>Demais despesas de custeio</v>
      </c>
      <c r="L1554" s="137" t="s">
        <v>44</v>
      </c>
      <c r="M1554" s="52"/>
      <c r="N1554" s="52">
        <v>10</v>
      </c>
      <c r="O1554" s="120" t="s">
        <v>3635</v>
      </c>
      <c r="P1554" s="52" t="s">
        <v>46</v>
      </c>
      <c r="Q1554" s="120" t="s">
        <v>4270</v>
      </c>
      <c r="R1554" s="120">
        <v>20</v>
      </c>
      <c r="S1554" s="120" t="s">
        <v>4264</v>
      </c>
      <c r="T1554" s="243">
        <v>196.32</v>
      </c>
      <c r="U1554" s="120">
        <v>1</v>
      </c>
      <c r="V1554" s="58">
        <f t="shared" si="106"/>
        <v>3926.3999999999996</v>
      </c>
      <c r="W1554" s="52" t="s">
        <v>49</v>
      </c>
      <c r="X1554" s="120" t="s">
        <v>5218</v>
      </c>
      <c r="Y1554" s="120" t="s">
        <v>5219</v>
      </c>
      <c r="Z1554" s="120" t="s">
        <v>5220</v>
      </c>
      <c r="AA1554" s="52">
        <v>0</v>
      </c>
      <c r="AB1554" s="52">
        <v>0</v>
      </c>
      <c r="AC1554" s="52">
        <v>0</v>
      </c>
      <c r="AD1554" s="21">
        <v>0.29138261490145073</v>
      </c>
      <c r="AE1554" s="54">
        <v>0.29138261490145073</v>
      </c>
      <c r="AF1554" s="315">
        <f t="shared" si="109"/>
        <v>1144.084699149056</v>
      </c>
    </row>
    <row r="1555" spans="1:32" ht="75" x14ac:dyDescent="0.25">
      <c r="A1555" s="113" t="s">
        <v>588</v>
      </c>
      <c r="B1555" s="110" t="s">
        <v>2270</v>
      </c>
      <c r="C1555" s="52"/>
      <c r="D1555" s="110" t="s">
        <v>2276</v>
      </c>
      <c r="E1555" s="22" t="str">
        <f t="shared" si="107"/>
        <v>SEJUSPPROG</v>
      </c>
      <c r="F1555" s="52" t="s">
        <v>729</v>
      </c>
      <c r="G1555" s="22" t="str">
        <f t="shared" si="108"/>
        <v>P130SEJUSP</v>
      </c>
      <c r="H1555" s="120" t="s">
        <v>1183</v>
      </c>
      <c r="I1555" s="22" t="s">
        <v>16</v>
      </c>
      <c r="J1555" s="92" t="s">
        <v>2172</v>
      </c>
      <c r="K1555" s="22" t="str">
        <f>VLOOKUP(CONCATENATE(A1555,LEFT(J1555,4)),AGRUPAMENTO!$D$2:$E$6783,2,FALSE)</f>
        <v>Demais despesas de custeio</v>
      </c>
      <c r="L1555" s="137" t="s">
        <v>44</v>
      </c>
      <c r="M1555" s="52"/>
      <c r="N1555" s="52">
        <v>60</v>
      </c>
      <c r="O1555" s="120" t="s">
        <v>3636</v>
      </c>
      <c r="P1555" s="52" t="s">
        <v>46</v>
      </c>
      <c r="Q1555" s="120" t="s">
        <v>4271</v>
      </c>
      <c r="R1555" s="120">
        <v>1125</v>
      </c>
      <c r="S1555" s="120" t="s">
        <v>4272</v>
      </c>
      <c r="T1555" s="243">
        <v>60</v>
      </c>
      <c r="U1555" s="120">
        <v>1</v>
      </c>
      <c r="V1555" s="58">
        <f t="shared" si="106"/>
        <v>67500</v>
      </c>
      <c r="W1555" s="52" t="s">
        <v>49</v>
      </c>
      <c r="X1555" s="120" t="s">
        <v>5221</v>
      </c>
      <c r="Y1555" s="120" t="s">
        <v>5222</v>
      </c>
      <c r="Z1555" s="120" t="s">
        <v>5223</v>
      </c>
      <c r="AA1555" s="52">
        <v>0</v>
      </c>
      <c r="AB1555" s="52">
        <v>0</v>
      </c>
      <c r="AC1555" s="52">
        <v>0</v>
      </c>
      <c r="AD1555" s="21">
        <v>0.29138261490145073</v>
      </c>
      <c r="AE1555" s="54">
        <v>0.29138261490145073</v>
      </c>
      <c r="AF1555" s="315">
        <f t="shared" si="109"/>
        <v>19668.326505847923</v>
      </c>
    </row>
    <row r="1556" spans="1:32" ht="75" x14ac:dyDescent="0.25">
      <c r="A1556" s="113" t="s">
        <v>588</v>
      </c>
      <c r="B1556" s="110" t="s">
        <v>2270</v>
      </c>
      <c r="C1556" s="52"/>
      <c r="D1556" s="110" t="s">
        <v>2276</v>
      </c>
      <c r="E1556" s="22" t="str">
        <f t="shared" si="107"/>
        <v>SEJUSPPROG</v>
      </c>
      <c r="F1556" s="52" t="s">
        <v>729</v>
      </c>
      <c r="G1556" s="22" t="str">
        <f t="shared" si="108"/>
        <v>P130SEJUSP</v>
      </c>
      <c r="H1556" s="120" t="s">
        <v>1259</v>
      </c>
      <c r="I1556" s="22" t="s">
        <v>16</v>
      </c>
      <c r="J1556" s="92" t="s">
        <v>2172</v>
      </c>
      <c r="K1556" s="22" t="str">
        <f>VLOOKUP(CONCATENATE(A1556,LEFT(J1556,4)),AGRUPAMENTO!$D$2:$E$6783,2,FALSE)</f>
        <v>Demais despesas de custeio</v>
      </c>
      <c r="L1556" s="137" t="s">
        <v>44</v>
      </c>
      <c r="M1556" s="52"/>
      <c r="N1556" s="52">
        <v>10</v>
      </c>
      <c r="O1556" s="173" t="s">
        <v>3636</v>
      </c>
      <c r="P1556" s="52" t="s">
        <v>46</v>
      </c>
      <c r="Q1556" s="120" t="s">
        <v>4271</v>
      </c>
      <c r="R1556" s="120">
        <v>235</v>
      </c>
      <c r="S1556" s="120" t="s">
        <v>4272</v>
      </c>
      <c r="T1556" s="243">
        <v>60</v>
      </c>
      <c r="U1556" s="120">
        <v>1</v>
      </c>
      <c r="V1556" s="58">
        <f t="shared" si="106"/>
        <v>14100</v>
      </c>
      <c r="W1556" s="52" t="s">
        <v>49</v>
      </c>
      <c r="X1556" s="120" t="s">
        <v>5221</v>
      </c>
      <c r="Y1556" s="120" t="s">
        <v>5222</v>
      </c>
      <c r="Z1556" s="120" t="s">
        <v>5223</v>
      </c>
      <c r="AA1556" s="52">
        <v>0</v>
      </c>
      <c r="AB1556" s="52">
        <v>0</v>
      </c>
      <c r="AC1556" s="52">
        <v>0</v>
      </c>
      <c r="AD1556" s="21">
        <v>0.29138261490145073</v>
      </c>
      <c r="AE1556" s="54">
        <v>0.29138261490145073</v>
      </c>
      <c r="AF1556" s="315">
        <f t="shared" si="109"/>
        <v>4108.4948701104549</v>
      </c>
    </row>
    <row r="1557" spans="1:32" ht="75" x14ac:dyDescent="0.25">
      <c r="A1557" s="113" t="s">
        <v>588</v>
      </c>
      <c r="B1557" s="110" t="s">
        <v>2270</v>
      </c>
      <c r="C1557" s="52"/>
      <c r="D1557" s="110" t="s">
        <v>2276</v>
      </c>
      <c r="E1557" s="22" t="str">
        <f t="shared" si="107"/>
        <v>SEJUSPPROG</v>
      </c>
      <c r="F1557" s="122" t="s">
        <v>886</v>
      </c>
      <c r="G1557" s="22" t="str">
        <f t="shared" si="108"/>
        <v>P146SEJUSP</v>
      </c>
      <c r="H1557" s="52" t="s">
        <v>1424</v>
      </c>
      <c r="I1557" s="22" t="s">
        <v>16</v>
      </c>
      <c r="J1557" s="92" t="s">
        <v>2172</v>
      </c>
      <c r="K1557" s="22" t="str">
        <f>VLOOKUP(CONCATENATE(A1557,LEFT(J1557,4)),AGRUPAMENTO!$D$2:$E$6783,2,FALSE)</f>
        <v>Demais despesas de custeio</v>
      </c>
      <c r="L1557" s="137" t="s">
        <v>44</v>
      </c>
      <c r="M1557" s="52"/>
      <c r="N1557" s="52">
        <v>10</v>
      </c>
      <c r="O1557" s="173" t="s">
        <v>3637</v>
      </c>
      <c r="P1557" s="52" t="s">
        <v>46</v>
      </c>
      <c r="Q1557" s="120" t="s">
        <v>4271</v>
      </c>
      <c r="R1557" s="120">
        <v>130</v>
      </c>
      <c r="S1557" s="120" t="s">
        <v>4272</v>
      </c>
      <c r="T1557" s="243">
        <v>60</v>
      </c>
      <c r="U1557" s="120">
        <v>1</v>
      </c>
      <c r="V1557" s="58">
        <f t="shared" si="106"/>
        <v>7800</v>
      </c>
      <c r="W1557" s="52" t="s">
        <v>49</v>
      </c>
      <c r="X1557" s="120" t="s">
        <v>5221</v>
      </c>
      <c r="Y1557" s="120" t="s">
        <v>5222</v>
      </c>
      <c r="Z1557" s="120" t="s">
        <v>5223</v>
      </c>
      <c r="AA1557" s="52">
        <v>0</v>
      </c>
      <c r="AB1557" s="52">
        <v>0</v>
      </c>
      <c r="AC1557" s="52">
        <v>0</v>
      </c>
      <c r="AD1557" s="21">
        <v>0.29138261490145073</v>
      </c>
      <c r="AE1557" s="54">
        <v>0.29138261490145073</v>
      </c>
      <c r="AF1557" s="315">
        <f t="shared" si="109"/>
        <v>2272.7843962313159</v>
      </c>
    </row>
    <row r="1558" spans="1:32" ht="75" x14ac:dyDescent="0.25">
      <c r="A1558" s="113" t="s">
        <v>588</v>
      </c>
      <c r="B1558" s="110" t="s">
        <v>2270</v>
      </c>
      <c r="C1558" s="52"/>
      <c r="D1558" s="110" t="s">
        <v>2276</v>
      </c>
      <c r="E1558" s="22" t="str">
        <f t="shared" si="107"/>
        <v>SEJUSPPROG</v>
      </c>
      <c r="F1558" s="120" t="s">
        <v>681</v>
      </c>
      <c r="G1558" s="22" t="str">
        <f t="shared" si="108"/>
        <v>P129SEJUSP</v>
      </c>
      <c r="H1558" s="120" t="s">
        <v>1015</v>
      </c>
      <c r="I1558" s="22" t="s">
        <v>16</v>
      </c>
      <c r="J1558" s="92" t="s">
        <v>2172</v>
      </c>
      <c r="K1558" s="22" t="str">
        <f>VLOOKUP(CONCATENATE(A1558,LEFT(J1558,4)),AGRUPAMENTO!$D$2:$E$6783,2,FALSE)</f>
        <v>Demais despesas de custeio</v>
      </c>
      <c r="L1558" s="137" t="s">
        <v>44</v>
      </c>
      <c r="M1558" s="52"/>
      <c r="N1558" s="52">
        <v>60</v>
      </c>
      <c r="O1558" s="173" t="s">
        <v>3637</v>
      </c>
      <c r="P1558" s="52" t="s">
        <v>46</v>
      </c>
      <c r="Q1558" s="120" t="s">
        <v>4271</v>
      </c>
      <c r="R1558" s="120">
        <v>55</v>
      </c>
      <c r="S1558" s="120" t="s">
        <v>4272</v>
      </c>
      <c r="T1558" s="243">
        <v>60</v>
      </c>
      <c r="U1558" s="120">
        <v>1</v>
      </c>
      <c r="V1558" s="58">
        <f t="shared" si="106"/>
        <v>3300</v>
      </c>
      <c r="W1558" s="52" t="s">
        <v>49</v>
      </c>
      <c r="X1558" s="120" t="s">
        <v>5221</v>
      </c>
      <c r="Y1558" s="120" t="s">
        <v>5222</v>
      </c>
      <c r="Z1558" s="120" t="s">
        <v>5223</v>
      </c>
      <c r="AA1558" s="52">
        <v>0</v>
      </c>
      <c r="AB1558" s="52">
        <v>0</v>
      </c>
      <c r="AC1558" s="52">
        <v>0</v>
      </c>
      <c r="AD1558" s="21">
        <v>0.29138261490145073</v>
      </c>
      <c r="AE1558" s="54">
        <v>0.29138261490145073</v>
      </c>
      <c r="AF1558" s="315">
        <f t="shared" si="109"/>
        <v>961.56262917478739</v>
      </c>
    </row>
    <row r="1559" spans="1:32" ht="75" x14ac:dyDescent="0.25">
      <c r="A1559" s="113" t="s">
        <v>588</v>
      </c>
      <c r="B1559" s="110" t="s">
        <v>2270</v>
      </c>
      <c r="C1559" s="52"/>
      <c r="D1559" s="110" t="s">
        <v>2276</v>
      </c>
      <c r="E1559" s="22" t="str">
        <f t="shared" si="107"/>
        <v>SEJUSPPROG</v>
      </c>
      <c r="F1559" s="52" t="s">
        <v>705</v>
      </c>
      <c r="G1559" s="22" t="str">
        <f t="shared" si="108"/>
        <v>P134SEJUSP</v>
      </c>
      <c r="H1559" s="52" t="s">
        <v>1356</v>
      </c>
      <c r="I1559" s="22" t="s">
        <v>16</v>
      </c>
      <c r="J1559" s="92" t="s">
        <v>2172</v>
      </c>
      <c r="K1559" s="22" t="str">
        <f>VLOOKUP(CONCATENATE(A1559,LEFT(J1559,4)),AGRUPAMENTO!$D$2:$E$6783,2,FALSE)</f>
        <v>Demais despesas de custeio</v>
      </c>
      <c r="L1559" s="137" t="s">
        <v>44</v>
      </c>
      <c r="M1559" s="52"/>
      <c r="N1559" s="52">
        <v>10</v>
      </c>
      <c r="O1559" s="173" t="s">
        <v>3637</v>
      </c>
      <c r="P1559" s="52" t="s">
        <v>46</v>
      </c>
      <c r="Q1559" s="120" t="s">
        <v>4271</v>
      </c>
      <c r="R1559" s="120">
        <v>25</v>
      </c>
      <c r="S1559" s="120" t="s">
        <v>4272</v>
      </c>
      <c r="T1559" s="243">
        <v>60</v>
      </c>
      <c r="U1559" s="120">
        <v>1</v>
      </c>
      <c r="V1559" s="58">
        <f t="shared" si="106"/>
        <v>1500</v>
      </c>
      <c r="W1559" s="52" t="s">
        <v>49</v>
      </c>
      <c r="X1559" s="120" t="s">
        <v>5221</v>
      </c>
      <c r="Y1559" s="120" t="s">
        <v>5222</v>
      </c>
      <c r="Z1559" s="120" t="s">
        <v>5223</v>
      </c>
      <c r="AA1559" s="52">
        <v>0</v>
      </c>
      <c r="AB1559" s="52">
        <v>0</v>
      </c>
      <c r="AC1559" s="52">
        <v>0</v>
      </c>
      <c r="AD1559" s="21">
        <v>0.29138261490145073</v>
      </c>
      <c r="AE1559" s="54">
        <v>0.29138261490145073</v>
      </c>
      <c r="AF1559" s="315">
        <f t="shared" si="109"/>
        <v>437.07392235217611</v>
      </c>
    </row>
    <row r="1560" spans="1:32" ht="75" x14ac:dyDescent="0.25">
      <c r="A1560" s="113" t="s">
        <v>588</v>
      </c>
      <c r="B1560" s="110" t="s">
        <v>2270</v>
      </c>
      <c r="C1560" s="52"/>
      <c r="D1560" s="110" t="s">
        <v>2276</v>
      </c>
      <c r="E1560" s="22" t="str">
        <f t="shared" si="107"/>
        <v>SEJUSPPROG</v>
      </c>
      <c r="F1560" s="116" t="s">
        <v>687</v>
      </c>
      <c r="G1560" s="22" t="str">
        <f t="shared" si="108"/>
        <v>P705SEJUSP</v>
      </c>
      <c r="H1560" s="120" t="s">
        <v>914</v>
      </c>
      <c r="I1560" s="22" t="s">
        <v>16</v>
      </c>
      <c r="J1560" s="92" t="s">
        <v>2172</v>
      </c>
      <c r="K1560" s="22" t="str">
        <f>VLOOKUP(CONCATENATE(A1560,LEFT(J1560,4)),AGRUPAMENTO!$D$2:$E$6783,2,FALSE)</f>
        <v>Demais despesas de custeio</v>
      </c>
      <c r="L1560" s="137" t="s">
        <v>44</v>
      </c>
      <c r="M1560" s="52"/>
      <c r="N1560" s="52">
        <v>10</v>
      </c>
      <c r="O1560" s="173" t="s">
        <v>3637</v>
      </c>
      <c r="P1560" s="52" t="s">
        <v>46</v>
      </c>
      <c r="Q1560" s="120" t="s">
        <v>4271</v>
      </c>
      <c r="R1560" s="120">
        <v>50</v>
      </c>
      <c r="S1560" s="120" t="s">
        <v>4272</v>
      </c>
      <c r="T1560" s="243">
        <v>60</v>
      </c>
      <c r="U1560" s="120">
        <v>1</v>
      </c>
      <c r="V1560" s="58">
        <f t="shared" si="106"/>
        <v>3000</v>
      </c>
      <c r="W1560" s="52" t="s">
        <v>49</v>
      </c>
      <c r="X1560" s="120" t="s">
        <v>5221</v>
      </c>
      <c r="Y1560" s="120" t="s">
        <v>5222</v>
      </c>
      <c r="Z1560" s="120" t="s">
        <v>5223</v>
      </c>
      <c r="AA1560" s="52">
        <v>0</v>
      </c>
      <c r="AB1560" s="52">
        <v>0</v>
      </c>
      <c r="AC1560" s="52">
        <v>0</v>
      </c>
      <c r="AD1560" s="21">
        <v>0.29138261490145073</v>
      </c>
      <c r="AE1560" s="54">
        <v>0.29138261490145073</v>
      </c>
      <c r="AF1560" s="315">
        <f t="shared" si="109"/>
        <v>874.14784470435222</v>
      </c>
    </row>
    <row r="1561" spans="1:32" ht="75" x14ac:dyDescent="0.25">
      <c r="A1561" s="113" t="s">
        <v>588</v>
      </c>
      <c r="B1561" s="110" t="s">
        <v>2270</v>
      </c>
      <c r="C1561" s="52"/>
      <c r="D1561" s="110" t="s">
        <v>2276</v>
      </c>
      <c r="E1561" s="22" t="str">
        <f t="shared" si="107"/>
        <v>SEJUSPPROG</v>
      </c>
      <c r="F1561" s="52" t="s">
        <v>699</v>
      </c>
      <c r="G1561" s="22" t="str">
        <f t="shared" si="108"/>
        <v>P141SEJUSP</v>
      </c>
      <c r="H1561" s="52" t="s">
        <v>1403</v>
      </c>
      <c r="I1561" s="22" t="s">
        <v>16</v>
      </c>
      <c r="J1561" s="92" t="s">
        <v>2172</v>
      </c>
      <c r="K1561" s="22" t="str">
        <f>VLOOKUP(CONCATENATE(A1561,LEFT(J1561,4)),AGRUPAMENTO!$D$2:$E$6783,2,FALSE)</f>
        <v>Demais despesas de custeio</v>
      </c>
      <c r="L1561" s="137" t="s">
        <v>44</v>
      </c>
      <c r="M1561" s="52"/>
      <c r="N1561" s="52">
        <v>10</v>
      </c>
      <c r="O1561" s="173" t="s">
        <v>3637</v>
      </c>
      <c r="P1561" s="52" t="s">
        <v>46</v>
      </c>
      <c r="Q1561" s="120" t="s">
        <v>4271</v>
      </c>
      <c r="R1561" s="120">
        <v>5</v>
      </c>
      <c r="S1561" s="120" t="s">
        <v>4272</v>
      </c>
      <c r="T1561" s="243">
        <v>60</v>
      </c>
      <c r="U1561" s="120">
        <v>1</v>
      </c>
      <c r="V1561" s="58">
        <f t="shared" si="106"/>
        <v>300</v>
      </c>
      <c r="W1561" s="52" t="s">
        <v>49</v>
      </c>
      <c r="X1561" s="120" t="s">
        <v>5221</v>
      </c>
      <c r="Y1561" s="120" t="s">
        <v>5222</v>
      </c>
      <c r="Z1561" s="120" t="s">
        <v>5223</v>
      </c>
      <c r="AA1561" s="52">
        <v>0</v>
      </c>
      <c r="AB1561" s="52">
        <v>0</v>
      </c>
      <c r="AC1561" s="52">
        <v>0</v>
      </c>
      <c r="AD1561" s="21">
        <v>0.29138261490145073</v>
      </c>
      <c r="AE1561" s="54">
        <v>0.29138261490145073</v>
      </c>
      <c r="AF1561" s="315">
        <f t="shared" si="109"/>
        <v>87.414784470435222</v>
      </c>
    </row>
    <row r="1562" spans="1:32" ht="300" x14ac:dyDescent="0.25">
      <c r="A1562" s="109" t="s">
        <v>588</v>
      </c>
      <c r="B1562" s="110" t="s">
        <v>2270</v>
      </c>
      <c r="C1562" s="52"/>
      <c r="D1562" s="110" t="s">
        <v>2276</v>
      </c>
      <c r="E1562" s="22" t="str">
        <f t="shared" si="107"/>
        <v>SEJUSPPROG</v>
      </c>
      <c r="F1562" s="52" t="s">
        <v>729</v>
      </c>
      <c r="G1562" s="22" t="str">
        <f t="shared" si="108"/>
        <v>P130SEJUSP</v>
      </c>
      <c r="H1562" s="137" t="s">
        <v>1183</v>
      </c>
      <c r="I1562" s="22" t="s">
        <v>16</v>
      </c>
      <c r="J1562" s="137" t="s">
        <v>308</v>
      </c>
      <c r="K1562" s="22" t="str">
        <f>VLOOKUP(CONCATENATE(A1562,LEFT(J1562,4)),AGRUPAMENTO!$D$2:$E$6783,2,FALSE)</f>
        <v>Demais despesas de custeio</v>
      </c>
      <c r="L1562" s="137" t="s">
        <v>44</v>
      </c>
      <c r="M1562" s="52"/>
      <c r="N1562" s="52">
        <v>60</v>
      </c>
      <c r="O1562" s="137" t="s">
        <v>3638</v>
      </c>
      <c r="P1562" s="52" t="s">
        <v>46</v>
      </c>
      <c r="Q1562" s="109" t="s">
        <v>4273</v>
      </c>
      <c r="R1562" s="109">
        <v>1</v>
      </c>
      <c r="S1562" s="109" t="s">
        <v>4274</v>
      </c>
      <c r="T1562" s="243">
        <v>121746.39539999999</v>
      </c>
      <c r="U1562" s="109">
        <v>12</v>
      </c>
      <c r="V1562" s="58">
        <f t="shared" si="106"/>
        <v>1460956.7448</v>
      </c>
      <c r="W1562" s="52" t="s">
        <v>49</v>
      </c>
      <c r="X1562" s="137" t="s">
        <v>5224</v>
      </c>
      <c r="Y1562" s="308" t="s">
        <v>5225</v>
      </c>
      <c r="Z1562" s="308" t="s">
        <v>5226</v>
      </c>
      <c r="AA1562" s="52">
        <v>0</v>
      </c>
      <c r="AB1562" s="52">
        <v>0</v>
      </c>
      <c r="AC1562" s="52">
        <v>0</v>
      </c>
      <c r="AD1562" s="21">
        <v>0.29138261490145073</v>
      </c>
      <c r="AE1562" s="54">
        <v>0.29138261490145073</v>
      </c>
      <c r="AF1562" s="315">
        <f t="shared" si="109"/>
        <v>425697.39655773545</v>
      </c>
    </row>
    <row r="1563" spans="1:32" ht="300" x14ac:dyDescent="0.25">
      <c r="A1563" s="109" t="s">
        <v>588</v>
      </c>
      <c r="B1563" s="110" t="s">
        <v>2270</v>
      </c>
      <c r="C1563" s="52"/>
      <c r="D1563" s="110" t="s">
        <v>2276</v>
      </c>
      <c r="E1563" s="22" t="str">
        <f t="shared" si="107"/>
        <v>SEJUSPPROG</v>
      </c>
      <c r="F1563" s="52" t="s">
        <v>729</v>
      </c>
      <c r="G1563" s="22" t="str">
        <f t="shared" si="108"/>
        <v>P130SEJUSP</v>
      </c>
      <c r="H1563" s="137" t="s">
        <v>1183</v>
      </c>
      <c r="I1563" s="22" t="s">
        <v>16</v>
      </c>
      <c r="J1563" s="137" t="s">
        <v>308</v>
      </c>
      <c r="K1563" s="22" t="str">
        <f>VLOOKUP(CONCATENATE(A1563,LEFT(J1563,4)),AGRUPAMENTO!$D$2:$E$6783,2,FALSE)</f>
        <v>Demais despesas de custeio</v>
      </c>
      <c r="L1563" s="137" t="s">
        <v>44</v>
      </c>
      <c r="M1563" s="52"/>
      <c r="N1563" s="52">
        <v>60</v>
      </c>
      <c r="O1563" s="137" t="s">
        <v>3639</v>
      </c>
      <c r="P1563" s="52" t="s">
        <v>46</v>
      </c>
      <c r="Q1563" s="109" t="s">
        <v>4273</v>
      </c>
      <c r="R1563" s="109">
        <v>1</v>
      </c>
      <c r="S1563" s="109" t="s">
        <v>4275</v>
      </c>
      <c r="T1563" s="243">
        <v>115774.5886</v>
      </c>
      <c r="U1563" s="109">
        <v>12</v>
      </c>
      <c r="V1563" s="58">
        <f t="shared" si="106"/>
        <v>1389295.0632</v>
      </c>
      <c r="W1563" s="52" t="s">
        <v>49</v>
      </c>
      <c r="X1563" s="137" t="s">
        <v>5224</v>
      </c>
      <c r="Y1563" s="308" t="s">
        <v>5225</v>
      </c>
      <c r="Z1563" s="308" t="s">
        <v>5226</v>
      </c>
      <c r="AA1563" s="52">
        <v>0</v>
      </c>
      <c r="AB1563" s="52">
        <v>0</v>
      </c>
      <c r="AC1563" s="52">
        <v>0</v>
      </c>
      <c r="AD1563" s="21">
        <v>0.29138261490145073</v>
      </c>
      <c r="AE1563" s="54">
        <v>0.29138261490145073</v>
      </c>
      <c r="AF1563" s="315">
        <f t="shared" si="109"/>
        <v>404816.42838489224</v>
      </c>
    </row>
    <row r="1564" spans="1:32" ht="300" x14ac:dyDescent="0.25">
      <c r="A1564" s="109" t="s">
        <v>588</v>
      </c>
      <c r="B1564" s="110" t="s">
        <v>2270</v>
      </c>
      <c r="C1564" s="52"/>
      <c r="D1564" s="110" t="s">
        <v>2276</v>
      </c>
      <c r="E1564" s="22" t="str">
        <f t="shared" si="107"/>
        <v>SEJUSPPROG</v>
      </c>
      <c r="F1564" s="52" t="s">
        <v>729</v>
      </c>
      <c r="G1564" s="22" t="str">
        <f t="shared" si="108"/>
        <v>P130SEJUSP</v>
      </c>
      <c r="H1564" s="137" t="s">
        <v>1183</v>
      </c>
      <c r="I1564" s="22" t="s">
        <v>16</v>
      </c>
      <c r="J1564" s="137" t="s">
        <v>308</v>
      </c>
      <c r="K1564" s="22" t="str">
        <f>VLOOKUP(CONCATENATE(A1564,LEFT(J1564,4)),AGRUPAMENTO!$D$2:$E$6783,2,FALSE)</f>
        <v>Demais despesas de custeio</v>
      </c>
      <c r="L1564" s="137" t="s">
        <v>44</v>
      </c>
      <c r="M1564" s="52"/>
      <c r="N1564" s="52">
        <v>60</v>
      </c>
      <c r="O1564" s="137" t="s">
        <v>3640</v>
      </c>
      <c r="P1564" s="52" t="s">
        <v>46</v>
      </c>
      <c r="Q1564" s="109" t="s">
        <v>4273</v>
      </c>
      <c r="R1564" s="109">
        <v>1</v>
      </c>
      <c r="S1564" s="109" t="s">
        <v>4276</v>
      </c>
      <c r="T1564" s="243">
        <v>29016.016</v>
      </c>
      <c r="U1564" s="109">
        <v>12</v>
      </c>
      <c r="V1564" s="58">
        <f t="shared" si="106"/>
        <v>348192.19199999998</v>
      </c>
      <c r="W1564" s="52" t="s">
        <v>49</v>
      </c>
      <c r="X1564" s="137" t="s">
        <v>5224</v>
      </c>
      <c r="Y1564" s="308" t="s">
        <v>5225</v>
      </c>
      <c r="Z1564" s="308" t="s">
        <v>5226</v>
      </c>
      <c r="AA1564" s="52">
        <v>0</v>
      </c>
      <c r="AB1564" s="52">
        <v>0</v>
      </c>
      <c r="AC1564" s="52">
        <v>0</v>
      </c>
      <c r="AD1564" s="21">
        <v>0.29138261490145073</v>
      </c>
      <c r="AE1564" s="54">
        <v>0.29138261490145073</v>
      </c>
      <c r="AF1564" s="315">
        <f t="shared" si="109"/>
        <v>101457.15139322799</v>
      </c>
    </row>
    <row r="1565" spans="1:32" ht="300" x14ac:dyDescent="0.25">
      <c r="A1565" s="109" t="s">
        <v>588</v>
      </c>
      <c r="B1565" s="110" t="s">
        <v>2270</v>
      </c>
      <c r="C1565" s="52"/>
      <c r="D1565" s="110" t="s">
        <v>2276</v>
      </c>
      <c r="E1565" s="22" t="str">
        <f t="shared" si="107"/>
        <v>SEJUSPPROG</v>
      </c>
      <c r="F1565" s="52" t="s">
        <v>729</v>
      </c>
      <c r="G1565" s="22" t="str">
        <f t="shared" si="108"/>
        <v>P130SEJUSP</v>
      </c>
      <c r="H1565" s="137" t="s">
        <v>1183</v>
      </c>
      <c r="I1565" s="22" t="s">
        <v>16</v>
      </c>
      <c r="J1565" s="137" t="s">
        <v>308</v>
      </c>
      <c r="K1565" s="22" t="str">
        <f>VLOOKUP(CONCATENATE(A1565,LEFT(J1565,4)),AGRUPAMENTO!$D$2:$E$6783,2,FALSE)</f>
        <v>Demais despesas de custeio</v>
      </c>
      <c r="L1565" s="137" t="s">
        <v>44</v>
      </c>
      <c r="M1565" s="52"/>
      <c r="N1565" s="52">
        <v>60</v>
      </c>
      <c r="O1565" s="137" t="s">
        <v>3641</v>
      </c>
      <c r="P1565" s="52" t="s">
        <v>46</v>
      </c>
      <c r="Q1565" s="109" t="s">
        <v>4273</v>
      </c>
      <c r="R1565" s="109">
        <v>1</v>
      </c>
      <c r="S1565" s="109" t="s">
        <v>4277</v>
      </c>
      <c r="T1565" s="243">
        <v>134699.5</v>
      </c>
      <c r="U1565" s="109">
        <v>12</v>
      </c>
      <c r="V1565" s="58">
        <f t="shared" si="106"/>
        <v>1616394</v>
      </c>
      <c r="W1565" s="52" t="s">
        <v>49</v>
      </c>
      <c r="X1565" s="137" t="s">
        <v>5224</v>
      </c>
      <c r="Y1565" s="308" t="s">
        <v>5225</v>
      </c>
      <c r="Z1565" s="308" t="s">
        <v>5226</v>
      </c>
      <c r="AA1565" s="52">
        <v>0</v>
      </c>
      <c r="AB1565" s="52">
        <v>0</v>
      </c>
      <c r="AC1565" s="52">
        <v>0</v>
      </c>
      <c r="AD1565" s="21">
        <v>0.29138261490145073</v>
      </c>
      <c r="AE1565" s="54">
        <v>0.29138261490145073</v>
      </c>
      <c r="AF1565" s="315">
        <f t="shared" si="109"/>
        <v>470989.11043101555</v>
      </c>
    </row>
    <row r="1566" spans="1:32" ht="300" x14ac:dyDescent="0.25">
      <c r="A1566" s="109" t="s">
        <v>588</v>
      </c>
      <c r="B1566" s="110" t="s">
        <v>2270</v>
      </c>
      <c r="C1566" s="52"/>
      <c r="D1566" s="110" t="s">
        <v>2276</v>
      </c>
      <c r="E1566" s="22" t="str">
        <f t="shared" si="107"/>
        <v>SEJUSPPROG</v>
      </c>
      <c r="F1566" s="52" t="s">
        <v>729</v>
      </c>
      <c r="G1566" s="22" t="str">
        <f t="shared" si="108"/>
        <v>P130SEJUSP</v>
      </c>
      <c r="H1566" s="137" t="s">
        <v>1183</v>
      </c>
      <c r="I1566" s="22" t="s">
        <v>16</v>
      </c>
      <c r="J1566" s="137" t="s">
        <v>308</v>
      </c>
      <c r="K1566" s="22" t="str">
        <f>VLOOKUP(CONCATENATE(A1566,LEFT(J1566,4)),AGRUPAMENTO!$D$2:$E$6783,2,FALSE)</f>
        <v>Demais despesas de custeio</v>
      </c>
      <c r="L1566" s="137" t="s">
        <v>44</v>
      </c>
      <c r="M1566" s="52"/>
      <c r="N1566" s="52">
        <v>60</v>
      </c>
      <c r="O1566" s="137" t="s">
        <v>3642</v>
      </c>
      <c r="P1566" s="52" t="s">
        <v>46</v>
      </c>
      <c r="Q1566" s="109" t="s">
        <v>4273</v>
      </c>
      <c r="R1566" s="109">
        <v>1</v>
      </c>
      <c r="S1566" s="109" t="s">
        <v>4278</v>
      </c>
      <c r="T1566" s="243">
        <v>28642.800599999999</v>
      </c>
      <c r="U1566" s="109">
        <v>12</v>
      </c>
      <c r="V1566" s="58">
        <f t="shared" si="106"/>
        <v>343713.60719999997</v>
      </c>
      <c r="W1566" s="52" t="s">
        <v>49</v>
      </c>
      <c r="X1566" s="137" t="s">
        <v>5224</v>
      </c>
      <c r="Y1566" s="308" t="s">
        <v>5225</v>
      </c>
      <c r="Z1566" s="308" t="s">
        <v>5226</v>
      </c>
      <c r="AA1566" s="52">
        <v>0</v>
      </c>
      <c r="AB1566" s="52">
        <v>0</v>
      </c>
      <c r="AC1566" s="52">
        <v>0</v>
      </c>
      <c r="AD1566" s="21">
        <v>0.29138261490145073</v>
      </c>
      <c r="AE1566" s="54">
        <v>0.29138261490145073</v>
      </c>
      <c r="AF1566" s="315">
        <f t="shared" si="109"/>
        <v>100152.16964314609</v>
      </c>
    </row>
    <row r="1567" spans="1:32" ht="300" x14ac:dyDescent="0.25">
      <c r="A1567" s="109" t="s">
        <v>588</v>
      </c>
      <c r="B1567" s="110" t="s">
        <v>2270</v>
      </c>
      <c r="C1567" s="52"/>
      <c r="D1567" s="110" t="s">
        <v>2276</v>
      </c>
      <c r="E1567" s="22" t="str">
        <f t="shared" si="107"/>
        <v>SEJUSPPROG</v>
      </c>
      <c r="F1567" s="52" t="s">
        <v>729</v>
      </c>
      <c r="G1567" s="22" t="str">
        <f t="shared" si="108"/>
        <v>P130SEJUSP</v>
      </c>
      <c r="H1567" s="137" t="s">
        <v>1183</v>
      </c>
      <c r="I1567" s="22" t="s">
        <v>16</v>
      </c>
      <c r="J1567" s="137" t="s">
        <v>308</v>
      </c>
      <c r="K1567" s="22" t="str">
        <f>VLOOKUP(CONCATENATE(A1567,LEFT(J1567,4)),AGRUPAMENTO!$D$2:$E$6783,2,FALSE)</f>
        <v>Demais despesas de custeio</v>
      </c>
      <c r="L1567" s="137" t="s">
        <v>44</v>
      </c>
      <c r="M1567" s="52"/>
      <c r="N1567" s="52">
        <v>60</v>
      </c>
      <c r="O1567" s="137" t="s">
        <v>3643</v>
      </c>
      <c r="P1567" s="52" t="s">
        <v>46</v>
      </c>
      <c r="Q1567" s="109" t="s">
        <v>4273</v>
      </c>
      <c r="R1567" s="109">
        <v>1</v>
      </c>
      <c r="S1567" s="109" t="s">
        <v>4279</v>
      </c>
      <c r="T1567" s="243">
        <v>48948.15</v>
      </c>
      <c r="U1567" s="109">
        <v>12</v>
      </c>
      <c r="V1567" s="58">
        <f t="shared" si="106"/>
        <v>587377.80000000005</v>
      </c>
      <c r="W1567" s="52" t="s">
        <v>49</v>
      </c>
      <c r="X1567" s="137" t="s">
        <v>5224</v>
      </c>
      <c r="Y1567" s="308" t="s">
        <v>5225</v>
      </c>
      <c r="Z1567" s="308" t="s">
        <v>5226</v>
      </c>
      <c r="AA1567" s="52">
        <v>0</v>
      </c>
      <c r="AB1567" s="52">
        <v>0</v>
      </c>
      <c r="AC1567" s="52">
        <v>0</v>
      </c>
      <c r="AD1567" s="21">
        <v>0.29138261490145073</v>
      </c>
      <c r="AE1567" s="54">
        <v>0.29138261490145073</v>
      </c>
      <c r="AF1567" s="315">
        <f t="shared" si="109"/>
        <v>171151.67929906136</v>
      </c>
    </row>
    <row r="1568" spans="1:32" ht="300" x14ac:dyDescent="0.25">
      <c r="A1568" s="109" t="s">
        <v>588</v>
      </c>
      <c r="B1568" s="110" t="s">
        <v>2270</v>
      </c>
      <c r="C1568" s="52"/>
      <c r="D1568" s="110" t="s">
        <v>2276</v>
      </c>
      <c r="E1568" s="22" t="str">
        <f t="shared" si="107"/>
        <v>SEJUSPPROG</v>
      </c>
      <c r="F1568" s="52" t="s">
        <v>729</v>
      </c>
      <c r="G1568" s="22" t="str">
        <f t="shared" si="108"/>
        <v>P130SEJUSP</v>
      </c>
      <c r="H1568" s="137" t="s">
        <v>1183</v>
      </c>
      <c r="I1568" s="22" t="s">
        <v>16</v>
      </c>
      <c r="J1568" s="137" t="s">
        <v>308</v>
      </c>
      <c r="K1568" s="22" t="str">
        <f>VLOOKUP(CONCATENATE(A1568,LEFT(J1568,4)),AGRUPAMENTO!$D$2:$E$6783,2,FALSE)</f>
        <v>Demais despesas de custeio</v>
      </c>
      <c r="L1568" s="137" t="s">
        <v>44</v>
      </c>
      <c r="M1568" s="52"/>
      <c r="N1568" s="52">
        <v>60</v>
      </c>
      <c r="O1568" s="137" t="s">
        <v>3644</v>
      </c>
      <c r="P1568" s="52" t="s">
        <v>46</v>
      </c>
      <c r="Q1568" s="109" t="s">
        <v>4273</v>
      </c>
      <c r="R1568" s="109">
        <v>1</v>
      </c>
      <c r="S1568" s="109" t="s">
        <v>4280</v>
      </c>
      <c r="T1568" s="243">
        <v>46328.89</v>
      </c>
      <c r="U1568" s="109">
        <v>12</v>
      </c>
      <c r="V1568" s="58">
        <f t="shared" si="106"/>
        <v>555946.67999999993</v>
      </c>
      <c r="W1568" s="52" t="s">
        <v>49</v>
      </c>
      <c r="X1568" s="137" t="s">
        <v>5224</v>
      </c>
      <c r="Y1568" s="308" t="s">
        <v>5225</v>
      </c>
      <c r="Z1568" s="308" t="s">
        <v>5226</v>
      </c>
      <c r="AA1568" s="52">
        <v>0</v>
      </c>
      <c r="AB1568" s="52">
        <v>0</v>
      </c>
      <c r="AC1568" s="52">
        <v>0</v>
      </c>
      <c r="AD1568" s="21">
        <v>0.29138261490145073</v>
      </c>
      <c r="AE1568" s="54">
        <v>0.29138261490145073</v>
      </c>
      <c r="AF1568" s="315">
        <f t="shared" si="109"/>
        <v>161993.19736418003</v>
      </c>
    </row>
    <row r="1569" spans="1:32" ht="300" x14ac:dyDescent="0.25">
      <c r="A1569" s="109" t="s">
        <v>588</v>
      </c>
      <c r="B1569" s="110" t="s">
        <v>2270</v>
      </c>
      <c r="C1569" s="52"/>
      <c r="D1569" s="110" t="s">
        <v>2276</v>
      </c>
      <c r="E1569" s="22" t="str">
        <f t="shared" si="107"/>
        <v>SEJUSPPROG</v>
      </c>
      <c r="F1569" s="52" t="s">
        <v>729</v>
      </c>
      <c r="G1569" s="22" t="str">
        <f t="shared" si="108"/>
        <v>P130SEJUSP</v>
      </c>
      <c r="H1569" s="137" t="s">
        <v>1183</v>
      </c>
      <c r="I1569" s="22" t="s">
        <v>16</v>
      </c>
      <c r="J1569" s="137" t="s">
        <v>308</v>
      </c>
      <c r="K1569" s="22" t="str">
        <f>VLOOKUP(CONCATENATE(A1569,LEFT(J1569,4)),AGRUPAMENTO!$D$2:$E$6783,2,FALSE)</f>
        <v>Demais despesas de custeio</v>
      </c>
      <c r="L1569" s="137" t="s">
        <v>44</v>
      </c>
      <c r="M1569" s="52"/>
      <c r="N1569" s="52">
        <v>60</v>
      </c>
      <c r="O1569" s="137" t="s">
        <v>3645</v>
      </c>
      <c r="P1569" s="52" t="s">
        <v>46</v>
      </c>
      <c r="Q1569" s="109" t="s">
        <v>4273</v>
      </c>
      <c r="R1569" s="109">
        <v>1</v>
      </c>
      <c r="S1569" s="109" t="s">
        <v>4281</v>
      </c>
      <c r="T1569" s="243">
        <v>75856.25</v>
      </c>
      <c r="U1569" s="109">
        <v>12</v>
      </c>
      <c r="V1569" s="58">
        <f t="shared" si="106"/>
        <v>910275</v>
      </c>
      <c r="W1569" s="52" t="s">
        <v>49</v>
      </c>
      <c r="X1569" s="137" t="s">
        <v>5224</v>
      </c>
      <c r="Y1569" s="308" t="s">
        <v>5225</v>
      </c>
      <c r="Z1569" s="308" t="s">
        <v>5226</v>
      </c>
      <c r="AA1569" s="52">
        <v>0</v>
      </c>
      <c r="AB1569" s="52">
        <v>0</v>
      </c>
      <c r="AC1569" s="52">
        <v>0</v>
      </c>
      <c r="AD1569" s="21">
        <v>0.29138261490145073</v>
      </c>
      <c r="AE1569" s="54">
        <v>0.29138261490145073</v>
      </c>
      <c r="AF1569" s="315">
        <f t="shared" si="109"/>
        <v>265238.30977941805</v>
      </c>
    </row>
    <row r="1570" spans="1:32" ht="300" x14ac:dyDescent="0.25">
      <c r="A1570" s="109" t="s">
        <v>588</v>
      </c>
      <c r="B1570" s="110" t="s">
        <v>2270</v>
      </c>
      <c r="C1570" s="52"/>
      <c r="D1570" s="110" t="s">
        <v>2276</v>
      </c>
      <c r="E1570" s="22" t="str">
        <f t="shared" si="107"/>
        <v>SEJUSPPROG</v>
      </c>
      <c r="F1570" s="52" t="s">
        <v>729</v>
      </c>
      <c r="G1570" s="22" t="str">
        <f t="shared" si="108"/>
        <v>P130SEJUSP</v>
      </c>
      <c r="H1570" s="109" t="s">
        <v>1183</v>
      </c>
      <c r="I1570" s="22" t="s">
        <v>16</v>
      </c>
      <c r="J1570" s="109" t="s">
        <v>308</v>
      </c>
      <c r="K1570" s="22" t="str">
        <f>VLOOKUP(CONCATENATE(A1570,LEFT(J1570,4)),AGRUPAMENTO!$D$2:$E$6783,2,FALSE)</f>
        <v>Demais despesas de custeio</v>
      </c>
      <c r="L1570" s="109" t="s">
        <v>44</v>
      </c>
      <c r="M1570" s="52"/>
      <c r="N1570" s="52">
        <v>60</v>
      </c>
      <c r="O1570" s="109" t="s">
        <v>3646</v>
      </c>
      <c r="P1570" s="52" t="s">
        <v>46</v>
      </c>
      <c r="Q1570" s="109" t="s">
        <v>4273</v>
      </c>
      <c r="R1570" s="109">
        <v>1</v>
      </c>
      <c r="S1570" s="109" t="s">
        <v>4282</v>
      </c>
      <c r="T1570" s="243">
        <v>198750</v>
      </c>
      <c r="U1570" s="109">
        <v>12</v>
      </c>
      <c r="V1570" s="58">
        <f t="shared" si="106"/>
        <v>2385000</v>
      </c>
      <c r="W1570" s="52" t="s">
        <v>49</v>
      </c>
      <c r="X1570" s="109" t="s">
        <v>5224</v>
      </c>
      <c r="Y1570" s="309" t="s">
        <v>5225</v>
      </c>
      <c r="Z1570" s="309" t="s">
        <v>5226</v>
      </c>
      <c r="AA1570" s="52">
        <v>0</v>
      </c>
      <c r="AB1570" s="52">
        <v>0</v>
      </c>
      <c r="AC1570" s="52">
        <v>0</v>
      </c>
      <c r="AD1570" s="21">
        <v>0.29138261490145073</v>
      </c>
      <c r="AE1570" s="54">
        <v>0.29138261490145073</v>
      </c>
      <c r="AF1570" s="315">
        <f t="shared" si="109"/>
        <v>694947.53653995995</v>
      </c>
    </row>
    <row r="1571" spans="1:32" ht="300" x14ac:dyDescent="0.25">
      <c r="A1571" s="109" t="s">
        <v>588</v>
      </c>
      <c r="B1571" s="110" t="s">
        <v>2270</v>
      </c>
      <c r="C1571" s="52"/>
      <c r="D1571" s="110" t="s">
        <v>2276</v>
      </c>
      <c r="E1571" s="22" t="str">
        <f t="shared" si="107"/>
        <v>SEJUSPPROG</v>
      </c>
      <c r="F1571" s="52" t="s">
        <v>729</v>
      </c>
      <c r="G1571" s="22" t="str">
        <f t="shared" si="108"/>
        <v>P130SEJUSP</v>
      </c>
      <c r="H1571" s="137" t="s">
        <v>1183</v>
      </c>
      <c r="I1571" s="22" t="s">
        <v>16</v>
      </c>
      <c r="J1571" s="137" t="s">
        <v>308</v>
      </c>
      <c r="K1571" s="22" t="str">
        <f>VLOOKUP(CONCATENATE(A1571,LEFT(J1571,4)),AGRUPAMENTO!$D$2:$E$6783,2,FALSE)</f>
        <v>Demais despesas de custeio</v>
      </c>
      <c r="L1571" s="137" t="s">
        <v>44</v>
      </c>
      <c r="M1571" s="52"/>
      <c r="N1571" s="52">
        <v>60</v>
      </c>
      <c r="O1571" s="137" t="s">
        <v>3647</v>
      </c>
      <c r="P1571" s="52" t="s">
        <v>46</v>
      </c>
      <c r="Q1571" s="109" t="s">
        <v>4273</v>
      </c>
      <c r="R1571" s="109">
        <v>1</v>
      </c>
      <c r="S1571" s="109" t="s">
        <v>4283</v>
      </c>
      <c r="T1571" s="243">
        <v>76435.815600000002</v>
      </c>
      <c r="U1571" s="109">
        <v>12</v>
      </c>
      <c r="V1571" s="58">
        <f t="shared" si="106"/>
        <v>917229.78720000002</v>
      </c>
      <c r="W1571" s="52" t="s">
        <v>49</v>
      </c>
      <c r="X1571" s="137" t="s">
        <v>5224</v>
      </c>
      <c r="Y1571" s="308" t="s">
        <v>5225</v>
      </c>
      <c r="Z1571" s="308" t="s">
        <v>5226</v>
      </c>
      <c r="AA1571" s="52">
        <v>0</v>
      </c>
      <c r="AB1571" s="52">
        <v>0</v>
      </c>
      <c r="AC1571" s="52">
        <v>0</v>
      </c>
      <c r="AD1571" s="21">
        <v>0.29138261490145073</v>
      </c>
      <c r="AE1571" s="54">
        <v>0.29138261490145073</v>
      </c>
      <c r="AF1571" s="315">
        <f t="shared" si="109"/>
        <v>267264.81385983719</v>
      </c>
    </row>
    <row r="1572" spans="1:32" ht="300" x14ac:dyDescent="0.25">
      <c r="A1572" s="109" t="s">
        <v>588</v>
      </c>
      <c r="B1572" s="110" t="s">
        <v>2270</v>
      </c>
      <c r="C1572" s="52"/>
      <c r="D1572" s="110" t="s">
        <v>2276</v>
      </c>
      <c r="E1572" s="22" t="str">
        <f t="shared" si="107"/>
        <v>SEJUSPPROG</v>
      </c>
      <c r="F1572" s="52" t="s">
        <v>729</v>
      </c>
      <c r="G1572" s="22" t="str">
        <f t="shared" si="108"/>
        <v>P130SEJUSP</v>
      </c>
      <c r="H1572" s="137" t="s">
        <v>1183</v>
      </c>
      <c r="I1572" s="22" t="s">
        <v>16</v>
      </c>
      <c r="J1572" s="137" t="s">
        <v>308</v>
      </c>
      <c r="K1572" s="22" t="str">
        <f>VLOOKUP(CONCATENATE(A1572,LEFT(J1572,4)),AGRUPAMENTO!$D$2:$E$6783,2,FALSE)</f>
        <v>Demais despesas de custeio</v>
      </c>
      <c r="L1572" s="137" t="s">
        <v>44</v>
      </c>
      <c r="M1572" s="52"/>
      <c r="N1572" s="52">
        <v>60</v>
      </c>
      <c r="O1572" s="137" t="s">
        <v>3648</v>
      </c>
      <c r="P1572" s="52" t="s">
        <v>46</v>
      </c>
      <c r="Q1572" s="109" t="s">
        <v>4273</v>
      </c>
      <c r="R1572" s="109">
        <v>1</v>
      </c>
      <c r="S1572" s="109" t="s">
        <v>4284</v>
      </c>
      <c r="T1572" s="243">
        <v>42080.314600000005</v>
      </c>
      <c r="U1572" s="109">
        <v>12</v>
      </c>
      <c r="V1572" s="58">
        <f t="shared" si="106"/>
        <v>504963.77520000003</v>
      </c>
      <c r="W1572" s="52" t="s">
        <v>49</v>
      </c>
      <c r="X1572" s="137" t="s">
        <v>5224</v>
      </c>
      <c r="Y1572" s="308" t="s">
        <v>5225</v>
      </c>
      <c r="Z1572" s="308" t="s">
        <v>5226</v>
      </c>
      <c r="AA1572" s="52">
        <v>0</v>
      </c>
      <c r="AB1572" s="52">
        <v>0</v>
      </c>
      <c r="AC1572" s="52">
        <v>0</v>
      </c>
      <c r="AD1572" s="21">
        <v>0.29138261490145073</v>
      </c>
      <c r="AE1572" s="54">
        <v>0.29138261490145073</v>
      </c>
      <c r="AF1572" s="315">
        <f t="shared" si="109"/>
        <v>147137.66524828435</v>
      </c>
    </row>
    <row r="1573" spans="1:32" ht="300" x14ac:dyDescent="0.25">
      <c r="A1573" s="109" t="s">
        <v>588</v>
      </c>
      <c r="B1573" s="110" t="s">
        <v>2270</v>
      </c>
      <c r="C1573" s="52"/>
      <c r="D1573" s="110" t="s">
        <v>2276</v>
      </c>
      <c r="E1573" s="22" t="str">
        <f t="shared" si="107"/>
        <v>SEJUSPPROG</v>
      </c>
      <c r="F1573" s="52" t="s">
        <v>729</v>
      </c>
      <c r="G1573" s="22" t="str">
        <f t="shared" si="108"/>
        <v>P130SEJUSP</v>
      </c>
      <c r="H1573" s="137" t="s">
        <v>1183</v>
      </c>
      <c r="I1573" s="22" t="s">
        <v>16</v>
      </c>
      <c r="J1573" s="137" t="s">
        <v>308</v>
      </c>
      <c r="K1573" s="22" t="str">
        <f>VLOOKUP(CONCATENATE(A1573,LEFT(J1573,4)),AGRUPAMENTO!$D$2:$E$6783,2,FALSE)</f>
        <v>Demais despesas de custeio</v>
      </c>
      <c r="L1573" s="137" t="s">
        <v>44</v>
      </c>
      <c r="M1573" s="52"/>
      <c r="N1573" s="52">
        <v>60</v>
      </c>
      <c r="O1573" s="137" t="s">
        <v>3649</v>
      </c>
      <c r="P1573" s="52" t="s">
        <v>46</v>
      </c>
      <c r="Q1573" s="109" t="s">
        <v>4273</v>
      </c>
      <c r="R1573" s="109">
        <v>1</v>
      </c>
      <c r="S1573" s="109" t="s">
        <v>4285</v>
      </c>
      <c r="T1573" s="243">
        <v>63597.933000000005</v>
      </c>
      <c r="U1573" s="109">
        <v>12</v>
      </c>
      <c r="V1573" s="58">
        <f t="shared" si="106"/>
        <v>763175.196</v>
      </c>
      <c r="W1573" s="52" t="s">
        <v>49</v>
      </c>
      <c r="X1573" s="137" t="s">
        <v>5224</v>
      </c>
      <c r="Y1573" s="308" t="s">
        <v>5225</v>
      </c>
      <c r="Z1573" s="308" t="s">
        <v>5226</v>
      </c>
      <c r="AA1573" s="52">
        <v>0</v>
      </c>
      <c r="AB1573" s="52">
        <v>0</v>
      </c>
      <c r="AC1573" s="52">
        <v>0</v>
      </c>
      <c r="AD1573" s="21">
        <v>0.29138261490145073</v>
      </c>
      <c r="AE1573" s="54">
        <v>0.29138261490145073</v>
      </c>
      <c r="AF1573" s="315">
        <f t="shared" si="109"/>
        <v>222375.9842384072</v>
      </c>
    </row>
    <row r="1574" spans="1:32" ht="300" x14ac:dyDescent="0.25">
      <c r="A1574" s="109" t="s">
        <v>588</v>
      </c>
      <c r="B1574" s="110" t="s">
        <v>2270</v>
      </c>
      <c r="C1574" s="52"/>
      <c r="D1574" s="110" t="s">
        <v>2276</v>
      </c>
      <c r="E1574" s="22" t="str">
        <f t="shared" si="107"/>
        <v>SEJUSPPROG</v>
      </c>
      <c r="F1574" s="52" t="s">
        <v>729</v>
      </c>
      <c r="G1574" s="22" t="str">
        <f t="shared" si="108"/>
        <v>P130SEJUSP</v>
      </c>
      <c r="H1574" s="137" t="s">
        <v>1183</v>
      </c>
      <c r="I1574" s="22" t="s">
        <v>16</v>
      </c>
      <c r="J1574" s="137" t="s">
        <v>308</v>
      </c>
      <c r="K1574" s="22" t="str">
        <f>VLOOKUP(CONCATENATE(A1574,LEFT(J1574,4)),AGRUPAMENTO!$D$2:$E$6783,2,FALSE)</f>
        <v>Demais despesas de custeio</v>
      </c>
      <c r="L1574" s="137" t="s">
        <v>44</v>
      </c>
      <c r="M1574" s="52"/>
      <c r="N1574" s="52">
        <v>60</v>
      </c>
      <c r="O1574" s="137" t="s">
        <v>3650</v>
      </c>
      <c r="P1574" s="52" t="s">
        <v>46</v>
      </c>
      <c r="Q1574" s="109" t="s">
        <v>4286</v>
      </c>
      <c r="R1574" s="109">
        <v>1</v>
      </c>
      <c r="S1574" s="109" t="s">
        <v>4287</v>
      </c>
      <c r="T1574" s="243">
        <v>46364.4</v>
      </c>
      <c r="U1574" s="109">
        <v>12</v>
      </c>
      <c r="V1574" s="58">
        <f t="shared" si="106"/>
        <v>556372.80000000005</v>
      </c>
      <c r="W1574" s="52" t="s">
        <v>49</v>
      </c>
      <c r="X1574" s="137" t="s">
        <v>5224</v>
      </c>
      <c r="Y1574" s="308" t="s">
        <v>5225</v>
      </c>
      <c r="Z1574" s="308" t="s">
        <v>5226</v>
      </c>
      <c r="AA1574" s="52">
        <v>0</v>
      </c>
      <c r="AB1574" s="52">
        <v>0</v>
      </c>
      <c r="AC1574" s="52">
        <v>0</v>
      </c>
      <c r="AD1574" s="21">
        <v>0.29138261490145073</v>
      </c>
      <c r="AE1574" s="54">
        <v>0.29138261490145073</v>
      </c>
      <c r="AF1574" s="315">
        <f t="shared" si="109"/>
        <v>162117.36132404188</v>
      </c>
    </row>
    <row r="1575" spans="1:32" ht="300" x14ac:dyDescent="0.25">
      <c r="A1575" s="109" t="s">
        <v>588</v>
      </c>
      <c r="B1575" s="110" t="s">
        <v>2270</v>
      </c>
      <c r="C1575" s="52"/>
      <c r="D1575" s="110" t="s">
        <v>2276</v>
      </c>
      <c r="E1575" s="22" t="str">
        <f t="shared" si="107"/>
        <v>SEJUSPPROG</v>
      </c>
      <c r="F1575" s="52" t="s">
        <v>729</v>
      </c>
      <c r="G1575" s="22" t="str">
        <f t="shared" si="108"/>
        <v>P130SEJUSP</v>
      </c>
      <c r="H1575" s="137" t="s">
        <v>1183</v>
      </c>
      <c r="I1575" s="22" t="s">
        <v>16</v>
      </c>
      <c r="J1575" s="137" t="s">
        <v>308</v>
      </c>
      <c r="K1575" s="22" t="str">
        <f>VLOOKUP(CONCATENATE(A1575,LEFT(J1575,4)),AGRUPAMENTO!$D$2:$E$6783,2,FALSE)</f>
        <v>Demais despesas de custeio</v>
      </c>
      <c r="L1575" s="137" t="s">
        <v>44</v>
      </c>
      <c r="M1575" s="52"/>
      <c r="N1575" s="52">
        <v>60</v>
      </c>
      <c r="O1575" s="137" t="s">
        <v>3651</v>
      </c>
      <c r="P1575" s="52" t="s">
        <v>46</v>
      </c>
      <c r="Q1575" s="109" t="s">
        <v>4273</v>
      </c>
      <c r="R1575" s="109">
        <v>1</v>
      </c>
      <c r="S1575" s="109" t="s">
        <v>4288</v>
      </c>
      <c r="T1575" s="243">
        <v>20035.987499999999</v>
      </c>
      <c r="U1575" s="109">
        <v>12</v>
      </c>
      <c r="V1575" s="58">
        <f t="shared" si="106"/>
        <v>240431.84999999998</v>
      </c>
      <c r="W1575" s="52" t="s">
        <v>49</v>
      </c>
      <c r="X1575" s="137" t="s">
        <v>5224</v>
      </c>
      <c r="Y1575" s="308" t="s">
        <v>5225</v>
      </c>
      <c r="Z1575" s="308" t="s">
        <v>5226</v>
      </c>
      <c r="AA1575" s="52">
        <v>0</v>
      </c>
      <c r="AB1575" s="52">
        <v>0</v>
      </c>
      <c r="AC1575" s="52">
        <v>0</v>
      </c>
      <c r="AD1575" s="21">
        <v>0.29138261490145073</v>
      </c>
      <c r="AE1575" s="54">
        <v>0.29138261490145073</v>
      </c>
      <c r="AF1575" s="315">
        <f t="shared" si="109"/>
        <v>70057.661158593357</v>
      </c>
    </row>
    <row r="1576" spans="1:32" ht="300" x14ac:dyDescent="0.25">
      <c r="A1576" s="109" t="s">
        <v>588</v>
      </c>
      <c r="B1576" s="110" t="s">
        <v>2270</v>
      </c>
      <c r="C1576" s="52"/>
      <c r="D1576" s="110" t="s">
        <v>2276</v>
      </c>
      <c r="E1576" s="22" t="str">
        <f t="shared" si="107"/>
        <v>SEJUSPPROG</v>
      </c>
      <c r="F1576" s="52" t="s">
        <v>729</v>
      </c>
      <c r="G1576" s="22" t="str">
        <f t="shared" si="108"/>
        <v>P130SEJUSP</v>
      </c>
      <c r="H1576" s="137" t="s">
        <v>1183</v>
      </c>
      <c r="I1576" s="22" t="s">
        <v>16</v>
      </c>
      <c r="J1576" s="137" t="s">
        <v>308</v>
      </c>
      <c r="K1576" s="22" t="str">
        <f>VLOOKUP(CONCATENATE(A1576,LEFT(J1576,4)),AGRUPAMENTO!$D$2:$E$6783,2,FALSE)</f>
        <v>Demais despesas de custeio</v>
      </c>
      <c r="L1576" s="137" t="s">
        <v>44</v>
      </c>
      <c r="M1576" s="52"/>
      <c r="N1576" s="52">
        <v>60</v>
      </c>
      <c r="O1576" s="137" t="s">
        <v>3652</v>
      </c>
      <c r="P1576" s="52" t="s">
        <v>46</v>
      </c>
      <c r="Q1576" s="109" t="s">
        <v>4273</v>
      </c>
      <c r="R1576" s="109">
        <v>1</v>
      </c>
      <c r="S1576" s="109" t="s">
        <v>4289</v>
      </c>
      <c r="T1576" s="243">
        <v>18758.777599999998</v>
      </c>
      <c r="U1576" s="109">
        <v>12</v>
      </c>
      <c r="V1576" s="58">
        <f t="shared" si="106"/>
        <v>225105.33119999996</v>
      </c>
      <c r="W1576" s="52" t="s">
        <v>49</v>
      </c>
      <c r="X1576" s="137" t="s">
        <v>5224</v>
      </c>
      <c r="Y1576" s="308" t="s">
        <v>5225</v>
      </c>
      <c r="Z1576" s="308" t="s">
        <v>5226</v>
      </c>
      <c r="AA1576" s="52">
        <v>0</v>
      </c>
      <c r="AB1576" s="52">
        <v>0</v>
      </c>
      <c r="AC1576" s="52">
        <v>0</v>
      </c>
      <c r="AD1576" s="21">
        <v>0.29138261490145073</v>
      </c>
      <c r="AE1576" s="54">
        <v>0.29138261490145073</v>
      </c>
      <c r="AF1576" s="315">
        <f t="shared" si="109"/>
        <v>65591.780033313116</v>
      </c>
    </row>
    <row r="1577" spans="1:32" ht="300" x14ac:dyDescent="0.25">
      <c r="A1577" s="109" t="s">
        <v>588</v>
      </c>
      <c r="B1577" s="110" t="s">
        <v>2270</v>
      </c>
      <c r="C1577" s="52"/>
      <c r="D1577" s="110" t="s">
        <v>2276</v>
      </c>
      <c r="E1577" s="22" t="str">
        <f t="shared" si="107"/>
        <v>SEJUSPPROG</v>
      </c>
      <c r="F1577" s="52" t="s">
        <v>729</v>
      </c>
      <c r="G1577" s="22" t="str">
        <f t="shared" si="108"/>
        <v>P130SEJUSP</v>
      </c>
      <c r="H1577" s="137" t="s">
        <v>1183</v>
      </c>
      <c r="I1577" s="22" t="s">
        <v>16</v>
      </c>
      <c r="J1577" s="137" t="s">
        <v>308</v>
      </c>
      <c r="K1577" s="22" t="str">
        <f>VLOOKUP(CONCATENATE(A1577,LEFT(J1577,4)),AGRUPAMENTO!$D$2:$E$6783,2,FALSE)</f>
        <v>Demais despesas de custeio</v>
      </c>
      <c r="L1577" s="137" t="s">
        <v>44</v>
      </c>
      <c r="M1577" s="52"/>
      <c r="N1577" s="52">
        <v>60</v>
      </c>
      <c r="O1577" s="137" t="s">
        <v>3653</v>
      </c>
      <c r="P1577" s="52" t="s">
        <v>46</v>
      </c>
      <c r="Q1577" s="109" t="s">
        <v>4273</v>
      </c>
      <c r="R1577" s="109">
        <v>1</v>
      </c>
      <c r="S1577" s="109" t="s">
        <v>4290</v>
      </c>
      <c r="T1577" s="243">
        <v>86915.866000000009</v>
      </c>
      <c r="U1577" s="109">
        <v>12</v>
      </c>
      <c r="V1577" s="58">
        <f t="shared" si="106"/>
        <v>1042990.3920000001</v>
      </c>
      <c r="W1577" s="52" t="s">
        <v>49</v>
      </c>
      <c r="X1577" s="137" t="s">
        <v>5224</v>
      </c>
      <c r="Y1577" s="308" t="s">
        <v>5225</v>
      </c>
      <c r="Z1577" s="308" t="s">
        <v>5226</v>
      </c>
      <c r="AA1577" s="52">
        <v>0</v>
      </c>
      <c r="AB1577" s="52">
        <v>0</v>
      </c>
      <c r="AC1577" s="52">
        <v>0</v>
      </c>
      <c r="AD1577" s="21">
        <v>0.29138261490145073</v>
      </c>
      <c r="AE1577" s="54">
        <v>0.29138261490145073</v>
      </c>
      <c r="AF1577" s="315">
        <f t="shared" si="109"/>
        <v>303909.26773804915</v>
      </c>
    </row>
    <row r="1578" spans="1:32" ht="300" x14ac:dyDescent="0.25">
      <c r="A1578" s="109" t="s">
        <v>588</v>
      </c>
      <c r="B1578" s="110" t="s">
        <v>2270</v>
      </c>
      <c r="C1578" s="52"/>
      <c r="D1578" s="110" t="s">
        <v>2276</v>
      </c>
      <c r="E1578" s="22" t="str">
        <f t="shared" si="107"/>
        <v>SEJUSPPROG</v>
      </c>
      <c r="F1578" s="52" t="s">
        <v>729</v>
      </c>
      <c r="G1578" s="22" t="str">
        <f t="shared" si="108"/>
        <v>P130SEJUSP</v>
      </c>
      <c r="H1578" s="137" t="s">
        <v>1183</v>
      </c>
      <c r="I1578" s="22" t="s">
        <v>16</v>
      </c>
      <c r="J1578" s="137" t="s">
        <v>308</v>
      </c>
      <c r="K1578" s="22" t="str">
        <f>VLOOKUP(CONCATENATE(A1578,LEFT(J1578,4)),AGRUPAMENTO!$D$2:$E$6783,2,FALSE)</f>
        <v>Demais despesas de custeio</v>
      </c>
      <c r="L1578" s="137" t="s">
        <v>44</v>
      </c>
      <c r="M1578" s="52"/>
      <c r="N1578" s="52">
        <v>60</v>
      </c>
      <c r="O1578" s="137" t="s">
        <v>3654</v>
      </c>
      <c r="P1578" s="52" t="s">
        <v>46</v>
      </c>
      <c r="Q1578" s="109" t="s">
        <v>4273</v>
      </c>
      <c r="R1578" s="109">
        <v>1</v>
      </c>
      <c r="S1578" s="109" t="s">
        <v>4291</v>
      </c>
      <c r="T1578" s="243">
        <v>119511.29</v>
      </c>
      <c r="U1578" s="109">
        <v>12</v>
      </c>
      <c r="V1578" s="58">
        <f t="shared" si="106"/>
        <v>1434135.48</v>
      </c>
      <c r="W1578" s="52" t="s">
        <v>49</v>
      </c>
      <c r="X1578" s="137" t="s">
        <v>5224</v>
      </c>
      <c r="Y1578" s="308" t="s">
        <v>5225</v>
      </c>
      <c r="Z1578" s="308" t="s">
        <v>5226</v>
      </c>
      <c r="AA1578" s="52">
        <v>0</v>
      </c>
      <c r="AB1578" s="52">
        <v>0</v>
      </c>
      <c r="AC1578" s="52">
        <v>0</v>
      </c>
      <c r="AD1578" s="21">
        <v>0.29138261490145073</v>
      </c>
      <c r="AE1578" s="54">
        <v>0.29138261490145073</v>
      </c>
      <c r="AF1578" s="315">
        <f t="shared" si="109"/>
        <v>417882.14628534717</v>
      </c>
    </row>
    <row r="1579" spans="1:32" ht="300" x14ac:dyDescent="0.25">
      <c r="A1579" s="109" t="s">
        <v>588</v>
      </c>
      <c r="B1579" s="110" t="s">
        <v>2270</v>
      </c>
      <c r="C1579" s="52"/>
      <c r="D1579" s="110" t="s">
        <v>2276</v>
      </c>
      <c r="E1579" s="22" t="str">
        <f t="shared" si="107"/>
        <v>SEJUSPPROG</v>
      </c>
      <c r="F1579" s="52" t="s">
        <v>729</v>
      </c>
      <c r="G1579" s="22" t="str">
        <f t="shared" si="108"/>
        <v>P130SEJUSP</v>
      </c>
      <c r="H1579" s="137" t="s">
        <v>1259</v>
      </c>
      <c r="I1579" s="22" t="s">
        <v>16</v>
      </c>
      <c r="J1579" s="137" t="s">
        <v>308</v>
      </c>
      <c r="K1579" s="22" t="str">
        <f>VLOOKUP(CONCATENATE(A1579,LEFT(J1579,4)),AGRUPAMENTO!$D$2:$E$6783,2,FALSE)</f>
        <v>Demais despesas de custeio</v>
      </c>
      <c r="L1579" s="137" t="s">
        <v>44</v>
      </c>
      <c r="M1579" s="52"/>
      <c r="N1579" s="52">
        <v>10</v>
      </c>
      <c r="O1579" s="137" t="s">
        <v>3655</v>
      </c>
      <c r="P1579" s="52" t="s">
        <v>46</v>
      </c>
      <c r="Q1579" s="109" t="s">
        <v>4273</v>
      </c>
      <c r="R1579" s="109">
        <v>1</v>
      </c>
      <c r="S1579" s="109" t="s">
        <v>4290</v>
      </c>
      <c r="T1579" s="243">
        <v>86915.866000000009</v>
      </c>
      <c r="U1579" s="109">
        <v>12</v>
      </c>
      <c r="V1579" s="58">
        <f t="shared" si="106"/>
        <v>1042990.3920000001</v>
      </c>
      <c r="W1579" s="52" t="s">
        <v>49</v>
      </c>
      <c r="X1579" s="137" t="s">
        <v>5224</v>
      </c>
      <c r="Y1579" s="308" t="s">
        <v>5225</v>
      </c>
      <c r="Z1579" s="308" t="s">
        <v>5226</v>
      </c>
      <c r="AA1579" s="52">
        <v>0</v>
      </c>
      <c r="AB1579" s="52">
        <v>0</v>
      </c>
      <c r="AC1579" s="52">
        <v>0</v>
      </c>
      <c r="AD1579" s="21">
        <v>0.29138261490145073</v>
      </c>
      <c r="AE1579" s="54">
        <v>0.29138261490145073</v>
      </c>
      <c r="AF1579" s="315">
        <f t="shared" si="109"/>
        <v>303909.26773804915</v>
      </c>
    </row>
    <row r="1580" spans="1:32" ht="180" x14ac:dyDescent="0.25">
      <c r="A1580" s="107" t="s">
        <v>588</v>
      </c>
      <c r="B1580" s="107" t="s">
        <v>2270</v>
      </c>
      <c r="C1580" s="52"/>
      <c r="D1580" s="108" t="s">
        <v>2301</v>
      </c>
      <c r="E1580" s="22" t="str">
        <f t="shared" si="107"/>
        <v>SEJUSPPROG</v>
      </c>
      <c r="F1580" s="116" t="s">
        <v>687</v>
      </c>
      <c r="G1580" s="22" t="str">
        <f t="shared" si="108"/>
        <v>P705SEJUSP</v>
      </c>
      <c r="H1580" s="108" t="s">
        <v>914</v>
      </c>
      <c r="I1580" s="22" t="s">
        <v>16</v>
      </c>
      <c r="J1580" s="52" t="s">
        <v>1664</v>
      </c>
      <c r="K1580" s="22" t="str">
        <f>VLOOKUP(CONCATENATE(A1580,LEFT(J1580,4)),AGRUPAMENTO!$D$2:$E$6783,2,FALSE)</f>
        <v>Serviços de TIC</v>
      </c>
      <c r="L1580" s="108" t="s">
        <v>44</v>
      </c>
      <c r="M1580" s="52"/>
      <c r="N1580" s="52">
        <v>10</v>
      </c>
      <c r="O1580" s="108" t="s">
        <v>3656</v>
      </c>
      <c r="P1580" s="52" t="s">
        <v>58</v>
      </c>
      <c r="Q1580" s="108" t="s">
        <v>3936</v>
      </c>
      <c r="R1580" s="108">
        <v>2500</v>
      </c>
      <c r="S1580" s="108" t="s">
        <v>3937</v>
      </c>
      <c r="T1580" s="241">
        <v>40.25</v>
      </c>
      <c r="U1580" s="108">
        <v>12</v>
      </c>
      <c r="V1580" s="58">
        <f t="shared" si="106"/>
        <v>1207500</v>
      </c>
      <c r="W1580" s="108" t="s">
        <v>68</v>
      </c>
      <c r="X1580" s="108" t="s">
        <v>5216</v>
      </c>
      <c r="Y1580" s="108" t="s">
        <v>4710</v>
      </c>
      <c r="Z1580" s="108" t="s">
        <v>5227</v>
      </c>
      <c r="AA1580" s="108">
        <v>5</v>
      </c>
      <c r="AB1580" s="108">
        <v>33</v>
      </c>
      <c r="AC1580" s="108">
        <v>62</v>
      </c>
      <c r="AD1580" s="21">
        <v>0</v>
      </c>
      <c r="AE1580" s="54">
        <v>0</v>
      </c>
      <c r="AF1580" s="315">
        <f t="shared" si="109"/>
        <v>0</v>
      </c>
    </row>
    <row r="1581" spans="1:32" ht="240" x14ac:dyDescent="0.25">
      <c r="A1581" s="109" t="s">
        <v>588</v>
      </c>
      <c r="B1581" s="110" t="s">
        <v>2270</v>
      </c>
      <c r="C1581" s="52"/>
      <c r="D1581" s="110" t="s">
        <v>2276</v>
      </c>
      <c r="E1581" s="22" t="str">
        <f t="shared" si="107"/>
        <v>SEJUSPPROG</v>
      </c>
      <c r="F1581" s="116" t="s">
        <v>687</v>
      </c>
      <c r="G1581" s="22" t="str">
        <f t="shared" si="108"/>
        <v>P705SEJUSP</v>
      </c>
      <c r="H1581" s="109" t="s">
        <v>914</v>
      </c>
      <c r="I1581" s="22" t="s">
        <v>16</v>
      </c>
      <c r="J1581" s="92" t="s">
        <v>2233</v>
      </c>
      <c r="K1581" s="22" t="str">
        <f>VLOOKUP(CONCATENATE(A1581,LEFT(J1581,4)),AGRUPAMENTO!$D$2:$E$6783,2,FALSE)</f>
        <v>Demais despesas de capital</v>
      </c>
      <c r="L1581" s="52" t="s">
        <v>94</v>
      </c>
      <c r="M1581" s="52"/>
      <c r="N1581" s="52">
        <v>10</v>
      </c>
      <c r="O1581" s="174" t="s">
        <v>3657</v>
      </c>
      <c r="P1581" s="52" t="s">
        <v>58</v>
      </c>
      <c r="Q1581" s="109" t="s">
        <v>4292</v>
      </c>
      <c r="R1581" s="109">
        <v>1</v>
      </c>
      <c r="S1581" s="109" t="s">
        <v>4293</v>
      </c>
      <c r="T1581" s="243">
        <v>887040</v>
      </c>
      <c r="U1581" s="109">
        <v>1</v>
      </c>
      <c r="V1581" s="58">
        <f t="shared" si="106"/>
        <v>887040</v>
      </c>
      <c r="W1581" s="109" t="s">
        <v>68</v>
      </c>
      <c r="X1581" s="109" t="s">
        <v>5228</v>
      </c>
      <c r="Y1581" s="109" t="s">
        <v>5206</v>
      </c>
      <c r="Z1581" s="109" t="s">
        <v>5207</v>
      </c>
      <c r="AA1581" s="122">
        <v>24</v>
      </c>
      <c r="AB1581" s="122">
        <v>34</v>
      </c>
      <c r="AC1581" s="122">
        <v>63</v>
      </c>
      <c r="AD1581" s="21">
        <v>0</v>
      </c>
      <c r="AE1581" s="54">
        <v>0</v>
      </c>
      <c r="AF1581" s="315">
        <f t="shared" si="109"/>
        <v>0</v>
      </c>
    </row>
    <row r="1582" spans="1:32" ht="345" x14ac:dyDescent="0.25">
      <c r="A1582" s="109" t="s">
        <v>588</v>
      </c>
      <c r="B1582" s="110" t="s">
        <v>2270</v>
      </c>
      <c r="C1582" s="52"/>
      <c r="D1582" s="110" t="s">
        <v>2276</v>
      </c>
      <c r="E1582" s="22" t="str">
        <f t="shared" si="107"/>
        <v>SEJUSPPROG</v>
      </c>
      <c r="F1582" s="116" t="s">
        <v>687</v>
      </c>
      <c r="G1582" s="22" t="str">
        <f t="shared" si="108"/>
        <v>P705SEJUSP</v>
      </c>
      <c r="H1582" s="137" t="s">
        <v>914</v>
      </c>
      <c r="I1582" s="22" t="s">
        <v>16</v>
      </c>
      <c r="J1582" s="52" t="s">
        <v>1664</v>
      </c>
      <c r="K1582" s="22" t="str">
        <f>VLOOKUP(CONCATENATE(A1582,LEFT(J1582,4)),AGRUPAMENTO!$D$2:$E$6783,2,FALSE)</f>
        <v>Serviços de TIC</v>
      </c>
      <c r="L1582" s="137" t="s">
        <v>44</v>
      </c>
      <c r="M1582" s="52"/>
      <c r="N1582" s="52">
        <v>10</v>
      </c>
      <c r="O1582" s="109" t="s">
        <v>3658</v>
      </c>
      <c r="P1582" s="52" t="s">
        <v>58</v>
      </c>
      <c r="Q1582" s="109" t="s">
        <v>4294</v>
      </c>
      <c r="R1582" s="109">
        <v>50</v>
      </c>
      <c r="S1582" s="109" t="s">
        <v>4295</v>
      </c>
      <c r="T1582" s="243">
        <v>388.7</v>
      </c>
      <c r="U1582" s="109">
        <v>12</v>
      </c>
      <c r="V1582" s="58">
        <f t="shared" si="106"/>
        <v>233220</v>
      </c>
      <c r="W1582" s="109" t="s">
        <v>68</v>
      </c>
      <c r="X1582" s="109" t="s">
        <v>5229</v>
      </c>
      <c r="Y1582" s="109" t="s">
        <v>5230</v>
      </c>
      <c r="Z1582" s="109" t="s">
        <v>5231</v>
      </c>
      <c r="AA1582" s="122">
        <v>25</v>
      </c>
      <c r="AB1582" s="122">
        <v>35</v>
      </c>
      <c r="AC1582" s="122">
        <v>64</v>
      </c>
      <c r="AD1582" s="21">
        <v>0</v>
      </c>
      <c r="AE1582" s="54">
        <v>0</v>
      </c>
      <c r="AF1582" s="315">
        <f t="shared" si="109"/>
        <v>0</v>
      </c>
    </row>
    <row r="1583" spans="1:32" ht="345" x14ac:dyDescent="0.25">
      <c r="A1583" s="109" t="s">
        <v>588</v>
      </c>
      <c r="B1583" s="110" t="s">
        <v>2270</v>
      </c>
      <c r="C1583" s="52"/>
      <c r="D1583" s="110" t="s">
        <v>2276</v>
      </c>
      <c r="E1583" s="22" t="str">
        <f t="shared" si="107"/>
        <v>SEJUSPPROG</v>
      </c>
      <c r="F1583" s="108" t="s">
        <v>729</v>
      </c>
      <c r="G1583" s="22" t="str">
        <f t="shared" si="108"/>
        <v>P130SEJUSP</v>
      </c>
      <c r="H1583" s="136" t="s">
        <v>1183</v>
      </c>
      <c r="I1583" s="22" t="s">
        <v>16</v>
      </c>
      <c r="J1583" s="52" t="s">
        <v>1664</v>
      </c>
      <c r="K1583" s="22" t="str">
        <f>VLOOKUP(CONCATENATE(A1583,LEFT(J1583,4)),AGRUPAMENTO!$D$2:$E$6783,2,FALSE)</f>
        <v>Serviços de TIC</v>
      </c>
      <c r="L1583" s="137" t="s">
        <v>44</v>
      </c>
      <c r="M1583" s="52"/>
      <c r="N1583" s="52">
        <v>60</v>
      </c>
      <c r="O1583" s="109" t="s">
        <v>3658</v>
      </c>
      <c r="P1583" s="52" t="s">
        <v>58</v>
      </c>
      <c r="Q1583" s="109" t="s">
        <v>4294</v>
      </c>
      <c r="R1583" s="109">
        <v>1125</v>
      </c>
      <c r="S1583" s="109" t="s">
        <v>4295</v>
      </c>
      <c r="T1583" s="243">
        <v>388.7</v>
      </c>
      <c r="U1583" s="109">
        <v>12</v>
      </c>
      <c r="V1583" s="58">
        <f t="shared" si="106"/>
        <v>5247450</v>
      </c>
      <c r="W1583" s="109" t="s">
        <v>68</v>
      </c>
      <c r="X1583" s="310" t="s">
        <v>5229</v>
      </c>
      <c r="Y1583" s="109" t="s">
        <v>5230</v>
      </c>
      <c r="Z1583" s="109" t="s">
        <v>5231</v>
      </c>
      <c r="AA1583" s="122">
        <v>25</v>
      </c>
      <c r="AB1583" s="122">
        <v>35</v>
      </c>
      <c r="AC1583" s="122">
        <v>64</v>
      </c>
      <c r="AD1583" s="21">
        <v>0</v>
      </c>
      <c r="AE1583" s="54">
        <v>0</v>
      </c>
      <c r="AF1583" s="315">
        <f t="shared" si="109"/>
        <v>0</v>
      </c>
    </row>
    <row r="1584" spans="1:32" ht="345" x14ac:dyDescent="0.25">
      <c r="A1584" s="113" t="s">
        <v>588</v>
      </c>
      <c r="B1584" s="110" t="s">
        <v>2270</v>
      </c>
      <c r="C1584" s="52"/>
      <c r="D1584" s="110" t="s">
        <v>2276</v>
      </c>
      <c r="E1584" s="22" t="str">
        <f t="shared" si="107"/>
        <v>SEJUSPPROG</v>
      </c>
      <c r="F1584" s="52" t="s">
        <v>729</v>
      </c>
      <c r="G1584" s="22" t="str">
        <f t="shared" si="108"/>
        <v>P130SEJUSP</v>
      </c>
      <c r="H1584" s="135" t="s">
        <v>1259</v>
      </c>
      <c r="I1584" s="22" t="s">
        <v>16</v>
      </c>
      <c r="J1584" s="52" t="s">
        <v>1664</v>
      </c>
      <c r="K1584" s="22" t="str">
        <f>VLOOKUP(CONCATENATE(A1584,LEFT(J1584,4)),AGRUPAMENTO!$D$2:$E$6783,2,FALSE)</f>
        <v>Serviços de TIC</v>
      </c>
      <c r="L1584" s="137" t="s">
        <v>44</v>
      </c>
      <c r="M1584" s="52"/>
      <c r="N1584" s="52">
        <v>10</v>
      </c>
      <c r="O1584" s="120" t="s">
        <v>3658</v>
      </c>
      <c r="P1584" s="52" t="s">
        <v>58</v>
      </c>
      <c r="Q1584" s="109" t="s">
        <v>4294</v>
      </c>
      <c r="R1584" s="120">
        <v>235</v>
      </c>
      <c r="S1584" s="109" t="s">
        <v>4295</v>
      </c>
      <c r="T1584" s="243">
        <v>388.7</v>
      </c>
      <c r="U1584" s="120">
        <v>12</v>
      </c>
      <c r="V1584" s="58">
        <f t="shared" si="106"/>
        <v>1096134</v>
      </c>
      <c r="W1584" s="305" t="s">
        <v>68</v>
      </c>
      <c r="X1584" s="124" t="s">
        <v>5229</v>
      </c>
      <c r="Y1584" s="120" t="s">
        <v>5230</v>
      </c>
      <c r="Z1584" s="120" t="s">
        <v>5231</v>
      </c>
      <c r="AA1584" s="122">
        <v>25</v>
      </c>
      <c r="AB1584" s="122">
        <v>35</v>
      </c>
      <c r="AC1584" s="122">
        <v>64</v>
      </c>
      <c r="AD1584" s="21">
        <v>0</v>
      </c>
      <c r="AE1584" s="54">
        <v>0</v>
      </c>
      <c r="AF1584" s="315">
        <f t="shared" si="109"/>
        <v>0</v>
      </c>
    </row>
    <row r="1585" spans="1:32" ht="240" x14ac:dyDescent="0.25">
      <c r="A1585" s="109" t="s">
        <v>588</v>
      </c>
      <c r="B1585" s="110" t="s">
        <v>2270</v>
      </c>
      <c r="C1585" s="52"/>
      <c r="D1585" s="110" t="s">
        <v>2276</v>
      </c>
      <c r="E1585" s="22" t="str">
        <f t="shared" si="107"/>
        <v>SEJUSPPROG</v>
      </c>
      <c r="F1585" s="116" t="s">
        <v>687</v>
      </c>
      <c r="G1585" s="22" t="str">
        <f t="shared" si="108"/>
        <v>P705SEJUSP</v>
      </c>
      <c r="H1585" s="137" t="s">
        <v>914</v>
      </c>
      <c r="I1585" s="22" t="s">
        <v>16</v>
      </c>
      <c r="J1585" s="109" t="s">
        <v>1640</v>
      </c>
      <c r="K1585" s="22" t="str">
        <f>VLOOKUP(CONCATENATE(A1585,LEFT(J1585,4)),AGRUPAMENTO!$D$2:$E$6783,2,FALSE)</f>
        <v>Frota</v>
      </c>
      <c r="L1585" s="137" t="s">
        <v>44</v>
      </c>
      <c r="M1585" s="52"/>
      <c r="N1585" s="52">
        <v>10</v>
      </c>
      <c r="O1585" s="109" t="s">
        <v>3659</v>
      </c>
      <c r="P1585" s="52" t="s">
        <v>46</v>
      </c>
      <c r="Q1585" s="109" t="s">
        <v>4296</v>
      </c>
      <c r="R1585" s="109">
        <f>20*2</f>
        <v>40</v>
      </c>
      <c r="S1585" s="109" t="s">
        <v>4297</v>
      </c>
      <c r="T1585" s="243">
        <v>273.48</v>
      </c>
      <c r="U1585" s="109">
        <v>12</v>
      </c>
      <c r="V1585" s="58">
        <f t="shared" si="106"/>
        <v>131270.40000000002</v>
      </c>
      <c r="W1585" s="52" t="s">
        <v>49</v>
      </c>
      <c r="X1585" s="113" t="s">
        <v>5232</v>
      </c>
      <c r="Y1585" s="109" t="s">
        <v>5233</v>
      </c>
      <c r="Z1585" s="109" t="s">
        <v>5234</v>
      </c>
      <c r="AA1585" s="52">
        <v>0</v>
      </c>
      <c r="AB1585" s="52">
        <v>0</v>
      </c>
      <c r="AC1585" s="52">
        <v>0</v>
      </c>
      <c r="AD1585" s="21">
        <v>0.69782350765454815</v>
      </c>
      <c r="AE1585" s="54">
        <v>0.69782350765454815</v>
      </c>
      <c r="AF1585" s="315">
        <f t="shared" si="109"/>
        <v>91603.570979215612</v>
      </c>
    </row>
    <row r="1586" spans="1:32" ht="240" x14ac:dyDescent="0.25">
      <c r="A1586" s="109" t="s">
        <v>588</v>
      </c>
      <c r="B1586" s="110" t="s">
        <v>2270</v>
      </c>
      <c r="C1586" s="52"/>
      <c r="D1586" s="110" t="s">
        <v>2276</v>
      </c>
      <c r="E1586" s="22" t="str">
        <f t="shared" si="107"/>
        <v>SEJUSPPROG</v>
      </c>
      <c r="F1586" s="52" t="s">
        <v>729</v>
      </c>
      <c r="G1586" s="22" t="str">
        <f t="shared" si="108"/>
        <v>P130SEJUSP</v>
      </c>
      <c r="H1586" s="137" t="s">
        <v>1183</v>
      </c>
      <c r="I1586" s="22" t="s">
        <v>16</v>
      </c>
      <c r="J1586" s="109" t="s">
        <v>1640</v>
      </c>
      <c r="K1586" s="22" t="str">
        <f>VLOOKUP(CONCATENATE(A1586,LEFT(J1586,4)),AGRUPAMENTO!$D$2:$E$6783,2,FALSE)</f>
        <v>Frota</v>
      </c>
      <c r="L1586" s="137" t="s">
        <v>44</v>
      </c>
      <c r="M1586" s="52"/>
      <c r="N1586" s="52">
        <v>60</v>
      </c>
      <c r="O1586" s="109" t="s">
        <v>3659</v>
      </c>
      <c r="P1586" s="52" t="s">
        <v>46</v>
      </c>
      <c r="Q1586" s="109" t="s">
        <v>4296</v>
      </c>
      <c r="R1586" s="109">
        <f>20*2</f>
        <v>40</v>
      </c>
      <c r="S1586" s="109" t="s">
        <v>4297</v>
      </c>
      <c r="T1586" s="243">
        <v>273.48</v>
      </c>
      <c r="U1586" s="109">
        <v>12</v>
      </c>
      <c r="V1586" s="58">
        <f t="shared" si="106"/>
        <v>131270.40000000002</v>
      </c>
      <c r="W1586" s="52" t="s">
        <v>49</v>
      </c>
      <c r="X1586" s="109" t="s">
        <v>5232</v>
      </c>
      <c r="Y1586" s="109" t="s">
        <v>5233</v>
      </c>
      <c r="Z1586" s="109" t="s">
        <v>5234</v>
      </c>
      <c r="AA1586" s="52">
        <v>0</v>
      </c>
      <c r="AB1586" s="52">
        <v>0</v>
      </c>
      <c r="AC1586" s="52">
        <v>0</v>
      </c>
      <c r="AD1586" s="21">
        <v>0.69782350765454815</v>
      </c>
      <c r="AE1586" s="54">
        <v>0.69782350765454815</v>
      </c>
      <c r="AF1586" s="315">
        <f t="shared" si="109"/>
        <v>91603.570979215612</v>
      </c>
    </row>
    <row r="1587" spans="1:32" ht="240" x14ac:dyDescent="0.25">
      <c r="A1587" s="109" t="s">
        <v>588</v>
      </c>
      <c r="B1587" s="110" t="s">
        <v>2270</v>
      </c>
      <c r="C1587" s="52"/>
      <c r="D1587" s="110" t="s">
        <v>2276</v>
      </c>
      <c r="E1587" s="22" t="str">
        <f t="shared" si="107"/>
        <v>SEJUSPPROG</v>
      </c>
      <c r="F1587" s="122" t="s">
        <v>886</v>
      </c>
      <c r="G1587" s="22" t="str">
        <f t="shared" si="108"/>
        <v>P146SEJUSP</v>
      </c>
      <c r="H1587" s="52" t="s">
        <v>1424</v>
      </c>
      <c r="I1587" s="22" t="s">
        <v>16</v>
      </c>
      <c r="J1587" s="109" t="s">
        <v>1640</v>
      </c>
      <c r="K1587" s="22" t="str">
        <f>VLOOKUP(CONCATENATE(A1587,LEFT(J1587,4)),AGRUPAMENTO!$D$2:$E$6783,2,FALSE)</f>
        <v>Frota</v>
      </c>
      <c r="L1587" s="137" t="s">
        <v>44</v>
      </c>
      <c r="M1587" s="52"/>
      <c r="N1587" s="52">
        <v>10</v>
      </c>
      <c r="O1587" s="109" t="s">
        <v>3659</v>
      </c>
      <c r="P1587" s="52" t="s">
        <v>46</v>
      </c>
      <c r="Q1587" s="109" t="s">
        <v>4296</v>
      </c>
      <c r="R1587" s="109">
        <f>5*2</f>
        <v>10</v>
      </c>
      <c r="S1587" s="109" t="s">
        <v>4297</v>
      </c>
      <c r="T1587" s="243">
        <v>273.48</v>
      </c>
      <c r="U1587" s="109">
        <v>12</v>
      </c>
      <c r="V1587" s="58">
        <f t="shared" si="106"/>
        <v>32817.600000000006</v>
      </c>
      <c r="W1587" s="52" t="s">
        <v>49</v>
      </c>
      <c r="X1587" s="109" t="s">
        <v>5232</v>
      </c>
      <c r="Y1587" s="109" t="s">
        <v>5233</v>
      </c>
      <c r="Z1587" s="109" t="s">
        <v>5234</v>
      </c>
      <c r="AA1587" s="52">
        <v>0</v>
      </c>
      <c r="AB1587" s="52">
        <v>0</v>
      </c>
      <c r="AC1587" s="52">
        <v>0</v>
      </c>
      <c r="AD1587" s="21">
        <v>0.69782350765454815</v>
      </c>
      <c r="AE1587" s="54">
        <v>0.69782350765454815</v>
      </c>
      <c r="AF1587" s="315">
        <f t="shared" si="109"/>
        <v>22900.892744803903</v>
      </c>
    </row>
    <row r="1588" spans="1:32" ht="240" x14ac:dyDescent="0.25">
      <c r="A1588" s="109" t="s">
        <v>588</v>
      </c>
      <c r="B1588" s="110" t="s">
        <v>2270</v>
      </c>
      <c r="C1588" s="52"/>
      <c r="D1588" s="110" t="s">
        <v>2276</v>
      </c>
      <c r="E1588" s="22" t="str">
        <f t="shared" si="107"/>
        <v>SEJUSPPROG</v>
      </c>
      <c r="F1588" s="120" t="s">
        <v>681</v>
      </c>
      <c r="G1588" s="22" t="str">
        <f t="shared" si="108"/>
        <v>P129SEJUSP</v>
      </c>
      <c r="H1588" s="137" t="s">
        <v>1015</v>
      </c>
      <c r="I1588" s="22" t="s">
        <v>16</v>
      </c>
      <c r="J1588" s="109" t="s">
        <v>1640</v>
      </c>
      <c r="K1588" s="22" t="str">
        <f>VLOOKUP(CONCATENATE(A1588,LEFT(J1588,4)),AGRUPAMENTO!$D$2:$E$6783,2,FALSE)</f>
        <v>Frota</v>
      </c>
      <c r="L1588" s="137" t="s">
        <v>44</v>
      </c>
      <c r="M1588" s="52"/>
      <c r="N1588" s="52">
        <v>60</v>
      </c>
      <c r="O1588" s="109" t="s">
        <v>3659</v>
      </c>
      <c r="P1588" s="52" t="s">
        <v>46</v>
      </c>
      <c r="Q1588" s="109" t="s">
        <v>4296</v>
      </c>
      <c r="R1588" s="109">
        <f>10*2</f>
        <v>20</v>
      </c>
      <c r="S1588" s="109" t="s">
        <v>4297</v>
      </c>
      <c r="T1588" s="243">
        <v>273.48</v>
      </c>
      <c r="U1588" s="109">
        <v>12</v>
      </c>
      <c r="V1588" s="58">
        <f t="shared" si="106"/>
        <v>65635.200000000012</v>
      </c>
      <c r="W1588" s="52" t="s">
        <v>49</v>
      </c>
      <c r="X1588" s="109" t="s">
        <v>5232</v>
      </c>
      <c r="Y1588" s="109" t="s">
        <v>5233</v>
      </c>
      <c r="Z1588" s="109" t="s">
        <v>5234</v>
      </c>
      <c r="AA1588" s="52">
        <v>0</v>
      </c>
      <c r="AB1588" s="52">
        <v>0</v>
      </c>
      <c r="AC1588" s="52">
        <v>0</v>
      </c>
      <c r="AD1588" s="21">
        <v>0.69782350765454815</v>
      </c>
      <c r="AE1588" s="54">
        <v>0.69782350765454815</v>
      </c>
      <c r="AF1588" s="315">
        <f t="shared" si="109"/>
        <v>45801.785489607806</v>
      </c>
    </row>
    <row r="1589" spans="1:32" ht="240" x14ac:dyDescent="0.25">
      <c r="A1589" s="109" t="s">
        <v>588</v>
      </c>
      <c r="B1589" s="110" t="s">
        <v>2270</v>
      </c>
      <c r="C1589" s="52"/>
      <c r="D1589" s="110" t="s">
        <v>2276</v>
      </c>
      <c r="E1589" s="22" t="str">
        <f t="shared" si="107"/>
        <v>SEJUSPPROG</v>
      </c>
      <c r="F1589" s="52" t="s">
        <v>705</v>
      </c>
      <c r="G1589" s="22" t="str">
        <f t="shared" si="108"/>
        <v>P134SEJUSP</v>
      </c>
      <c r="H1589" s="52" t="s">
        <v>1356</v>
      </c>
      <c r="I1589" s="22" t="s">
        <v>16</v>
      </c>
      <c r="J1589" s="109" t="s">
        <v>1640</v>
      </c>
      <c r="K1589" s="22" t="str">
        <f>VLOOKUP(CONCATENATE(A1589,LEFT(J1589,4)),AGRUPAMENTO!$D$2:$E$6783,2,FALSE)</f>
        <v>Frota</v>
      </c>
      <c r="L1589" s="137" t="s">
        <v>44</v>
      </c>
      <c r="M1589" s="52"/>
      <c r="N1589" s="52">
        <v>10</v>
      </c>
      <c r="O1589" s="109" t="s">
        <v>3659</v>
      </c>
      <c r="P1589" s="52" t="s">
        <v>46</v>
      </c>
      <c r="Q1589" s="109" t="s">
        <v>4296</v>
      </c>
      <c r="R1589" s="109">
        <f>5*2</f>
        <v>10</v>
      </c>
      <c r="S1589" s="109" t="s">
        <v>4297</v>
      </c>
      <c r="T1589" s="243">
        <v>273.48</v>
      </c>
      <c r="U1589" s="109">
        <v>12</v>
      </c>
      <c r="V1589" s="58">
        <f t="shared" si="106"/>
        <v>32817.600000000006</v>
      </c>
      <c r="W1589" s="52" t="s">
        <v>49</v>
      </c>
      <c r="X1589" s="109" t="s">
        <v>5232</v>
      </c>
      <c r="Y1589" s="109" t="s">
        <v>5233</v>
      </c>
      <c r="Z1589" s="109" t="s">
        <v>5234</v>
      </c>
      <c r="AA1589" s="52">
        <v>0</v>
      </c>
      <c r="AB1589" s="52">
        <v>0</v>
      </c>
      <c r="AC1589" s="52">
        <v>0</v>
      </c>
      <c r="AD1589" s="21">
        <v>0.69782350765454815</v>
      </c>
      <c r="AE1589" s="54">
        <v>0.69782350765454815</v>
      </c>
      <c r="AF1589" s="315">
        <f t="shared" si="109"/>
        <v>22900.892744803903</v>
      </c>
    </row>
    <row r="1590" spans="1:32" ht="240" x14ac:dyDescent="0.25">
      <c r="A1590" s="109" t="s">
        <v>588</v>
      </c>
      <c r="B1590" s="110" t="s">
        <v>2270</v>
      </c>
      <c r="C1590" s="52"/>
      <c r="D1590" s="110" t="s">
        <v>2276</v>
      </c>
      <c r="E1590" s="22" t="str">
        <f t="shared" si="107"/>
        <v>SEJUSPPROG</v>
      </c>
      <c r="F1590" s="52" t="s">
        <v>699</v>
      </c>
      <c r="G1590" s="22" t="str">
        <f t="shared" si="108"/>
        <v>P141SEJUSP</v>
      </c>
      <c r="H1590" s="52" t="s">
        <v>1403</v>
      </c>
      <c r="I1590" s="22" t="s">
        <v>16</v>
      </c>
      <c r="J1590" s="109" t="s">
        <v>1640</v>
      </c>
      <c r="K1590" s="22" t="str">
        <f>VLOOKUP(CONCATENATE(A1590,LEFT(J1590,4)),AGRUPAMENTO!$D$2:$E$6783,2,FALSE)</f>
        <v>Frota</v>
      </c>
      <c r="L1590" s="137" t="s">
        <v>44</v>
      </c>
      <c r="M1590" s="52"/>
      <c r="N1590" s="52">
        <v>10</v>
      </c>
      <c r="O1590" s="109" t="s">
        <v>3659</v>
      </c>
      <c r="P1590" s="52" t="s">
        <v>46</v>
      </c>
      <c r="Q1590" s="109" t="s">
        <v>4296</v>
      </c>
      <c r="R1590" s="109">
        <f>5*2</f>
        <v>10</v>
      </c>
      <c r="S1590" s="109" t="s">
        <v>4297</v>
      </c>
      <c r="T1590" s="243">
        <v>273.48</v>
      </c>
      <c r="U1590" s="109">
        <v>12</v>
      </c>
      <c r="V1590" s="58">
        <f t="shared" si="106"/>
        <v>32817.600000000006</v>
      </c>
      <c r="W1590" s="52" t="s">
        <v>49</v>
      </c>
      <c r="X1590" s="109" t="s">
        <v>5232</v>
      </c>
      <c r="Y1590" s="109" t="s">
        <v>5233</v>
      </c>
      <c r="Z1590" s="109" t="s">
        <v>5234</v>
      </c>
      <c r="AA1590" s="52">
        <v>0</v>
      </c>
      <c r="AB1590" s="52">
        <v>0</v>
      </c>
      <c r="AC1590" s="52">
        <v>0</v>
      </c>
      <c r="AD1590" s="21">
        <v>0.69782350765454815</v>
      </c>
      <c r="AE1590" s="54">
        <v>0.69782350765454815</v>
      </c>
      <c r="AF1590" s="315">
        <f t="shared" si="109"/>
        <v>22900.892744803903</v>
      </c>
    </row>
    <row r="1591" spans="1:32" ht="345" x14ac:dyDescent="0.25">
      <c r="A1591" s="109" t="s">
        <v>588</v>
      </c>
      <c r="B1591" s="110" t="s">
        <v>2270</v>
      </c>
      <c r="C1591" s="52"/>
      <c r="D1591" s="110" t="s">
        <v>2276</v>
      </c>
      <c r="E1591" s="22" t="str">
        <f t="shared" si="107"/>
        <v>SEJUSPPROG</v>
      </c>
      <c r="F1591" s="123" t="s">
        <v>886</v>
      </c>
      <c r="G1591" s="22" t="str">
        <f t="shared" si="108"/>
        <v>P146SEJUSP</v>
      </c>
      <c r="H1591" s="108" t="s">
        <v>1424</v>
      </c>
      <c r="I1591" s="22" t="s">
        <v>16</v>
      </c>
      <c r="J1591" s="52" t="s">
        <v>1664</v>
      </c>
      <c r="K1591" s="22" t="str">
        <f>VLOOKUP(CONCATENATE(A1591,LEFT(J1591,4)),AGRUPAMENTO!$D$2:$E$6783,2,FALSE)</f>
        <v>Serviços de TIC</v>
      </c>
      <c r="L1591" s="137" t="s">
        <v>44</v>
      </c>
      <c r="M1591" s="52"/>
      <c r="N1591" s="52">
        <v>10</v>
      </c>
      <c r="O1591" s="109" t="s">
        <v>3658</v>
      </c>
      <c r="P1591" s="52" t="s">
        <v>58</v>
      </c>
      <c r="Q1591" s="109" t="s">
        <v>4294</v>
      </c>
      <c r="R1591" s="109">
        <v>130</v>
      </c>
      <c r="S1591" s="109" t="s">
        <v>4295</v>
      </c>
      <c r="T1591" s="243">
        <v>388.7</v>
      </c>
      <c r="U1591" s="109">
        <v>12</v>
      </c>
      <c r="V1591" s="58">
        <f t="shared" si="106"/>
        <v>606372</v>
      </c>
      <c r="W1591" s="109" t="s">
        <v>68</v>
      </c>
      <c r="X1591" s="109" t="s">
        <v>5229</v>
      </c>
      <c r="Y1591" s="109" t="s">
        <v>5230</v>
      </c>
      <c r="Z1591" s="109" t="s">
        <v>5231</v>
      </c>
      <c r="AA1591" s="122">
        <v>25</v>
      </c>
      <c r="AB1591" s="122">
        <v>35</v>
      </c>
      <c r="AC1591" s="122">
        <v>64</v>
      </c>
      <c r="AD1591" s="21">
        <v>0</v>
      </c>
      <c r="AE1591" s="54">
        <v>0</v>
      </c>
      <c r="AF1591" s="315">
        <f t="shared" si="109"/>
        <v>0</v>
      </c>
    </row>
    <row r="1592" spans="1:32" ht="345" x14ac:dyDescent="0.25">
      <c r="A1592" s="109" t="s">
        <v>588</v>
      </c>
      <c r="B1592" s="110" t="s">
        <v>2270</v>
      </c>
      <c r="C1592" s="52"/>
      <c r="D1592" s="110" t="s">
        <v>2276</v>
      </c>
      <c r="E1592" s="22" t="str">
        <f t="shared" si="107"/>
        <v>SEJUSPPROG</v>
      </c>
      <c r="F1592" s="124" t="s">
        <v>681</v>
      </c>
      <c r="G1592" s="22" t="str">
        <f t="shared" si="108"/>
        <v>P129SEJUSP</v>
      </c>
      <c r="H1592" s="137" t="s">
        <v>1015</v>
      </c>
      <c r="I1592" s="22" t="s">
        <v>16</v>
      </c>
      <c r="J1592" s="52" t="s">
        <v>1664</v>
      </c>
      <c r="K1592" s="22" t="str">
        <f>VLOOKUP(CONCATENATE(A1592,LEFT(J1592,4)),AGRUPAMENTO!$D$2:$E$6783,2,FALSE)</f>
        <v>Serviços de TIC</v>
      </c>
      <c r="L1592" s="137" t="s">
        <v>44</v>
      </c>
      <c r="M1592" s="52"/>
      <c r="N1592" s="52">
        <v>60</v>
      </c>
      <c r="O1592" s="109" t="s">
        <v>3658</v>
      </c>
      <c r="P1592" s="52" t="s">
        <v>58</v>
      </c>
      <c r="Q1592" s="109" t="s">
        <v>4294</v>
      </c>
      <c r="R1592" s="109">
        <v>55</v>
      </c>
      <c r="S1592" s="109" t="s">
        <v>4295</v>
      </c>
      <c r="T1592" s="243">
        <v>388.7</v>
      </c>
      <c r="U1592" s="109">
        <v>12</v>
      </c>
      <c r="V1592" s="58">
        <f t="shared" si="106"/>
        <v>256542</v>
      </c>
      <c r="W1592" s="109" t="s">
        <v>68</v>
      </c>
      <c r="X1592" s="109" t="s">
        <v>5229</v>
      </c>
      <c r="Y1592" s="109" t="s">
        <v>5230</v>
      </c>
      <c r="Z1592" s="109" t="s">
        <v>5231</v>
      </c>
      <c r="AA1592" s="122">
        <v>25</v>
      </c>
      <c r="AB1592" s="122">
        <v>35</v>
      </c>
      <c r="AC1592" s="122">
        <v>64</v>
      </c>
      <c r="AD1592" s="21">
        <v>0</v>
      </c>
      <c r="AE1592" s="54">
        <v>0</v>
      </c>
      <c r="AF1592" s="315">
        <f t="shared" si="109"/>
        <v>0</v>
      </c>
    </row>
    <row r="1593" spans="1:32" ht="345" x14ac:dyDescent="0.25">
      <c r="A1593" s="109" t="s">
        <v>588</v>
      </c>
      <c r="B1593" s="110" t="s">
        <v>2270</v>
      </c>
      <c r="C1593" s="52"/>
      <c r="D1593" s="110" t="s">
        <v>2276</v>
      </c>
      <c r="E1593" s="22" t="str">
        <f t="shared" si="107"/>
        <v>SEJUSPPROG</v>
      </c>
      <c r="F1593" s="52" t="s">
        <v>705</v>
      </c>
      <c r="G1593" s="22" t="str">
        <f t="shared" si="108"/>
        <v>P134SEJUSP</v>
      </c>
      <c r="H1593" s="108" t="s">
        <v>1356</v>
      </c>
      <c r="I1593" s="22" t="s">
        <v>16</v>
      </c>
      <c r="J1593" s="52" t="s">
        <v>1664</v>
      </c>
      <c r="K1593" s="22" t="str">
        <f>VLOOKUP(CONCATENATE(A1593,LEFT(J1593,4)),AGRUPAMENTO!$D$2:$E$6783,2,FALSE)</f>
        <v>Serviços de TIC</v>
      </c>
      <c r="L1593" s="137" t="s">
        <v>44</v>
      </c>
      <c r="M1593" s="52"/>
      <c r="N1593" s="52">
        <v>10</v>
      </c>
      <c r="O1593" s="109" t="s">
        <v>3658</v>
      </c>
      <c r="P1593" s="52" t="s">
        <v>58</v>
      </c>
      <c r="Q1593" s="109" t="s">
        <v>4294</v>
      </c>
      <c r="R1593" s="109">
        <v>25</v>
      </c>
      <c r="S1593" s="109" t="s">
        <v>4295</v>
      </c>
      <c r="T1593" s="243">
        <v>388.7</v>
      </c>
      <c r="U1593" s="109">
        <v>12</v>
      </c>
      <c r="V1593" s="58">
        <f t="shared" si="106"/>
        <v>116610</v>
      </c>
      <c r="W1593" s="109" t="s">
        <v>68</v>
      </c>
      <c r="X1593" s="109" t="s">
        <v>5229</v>
      </c>
      <c r="Y1593" s="109" t="s">
        <v>5230</v>
      </c>
      <c r="Z1593" s="109" t="s">
        <v>5231</v>
      </c>
      <c r="AA1593" s="122">
        <v>25</v>
      </c>
      <c r="AB1593" s="122">
        <v>35</v>
      </c>
      <c r="AC1593" s="122">
        <v>64</v>
      </c>
      <c r="AD1593" s="21">
        <v>0</v>
      </c>
      <c r="AE1593" s="54">
        <v>0</v>
      </c>
      <c r="AF1593" s="315">
        <f t="shared" si="109"/>
        <v>0</v>
      </c>
    </row>
    <row r="1594" spans="1:32" ht="345" x14ac:dyDescent="0.25">
      <c r="A1594" s="109" t="s">
        <v>588</v>
      </c>
      <c r="B1594" s="110" t="s">
        <v>2270</v>
      </c>
      <c r="C1594" s="52"/>
      <c r="D1594" s="110" t="s">
        <v>2276</v>
      </c>
      <c r="E1594" s="22" t="str">
        <f t="shared" si="107"/>
        <v>SEJUSPPROG</v>
      </c>
      <c r="F1594" s="108" t="s">
        <v>699</v>
      </c>
      <c r="G1594" s="22" t="str">
        <f t="shared" si="108"/>
        <v>P141SEJUSP</v>
      </c>
      <c r="H1594" s="52" t="s">
        <v>1403</v>
      </c>
      <c r="I1594" s="22" t="s">
        <v>16</v>
      </c>
      <c r="J1594" s="52" t="s">
        <v>1664</v>
      </c>
      <c r="K1594" s="22" t="str">
        <f>VLOOKUP(CONCATENATE(A1594,LEFT(J1594,4)),AGRUPAMENTO!$D$2:$E$6783,2,FALSE)</f>
        <v>Serviços de TIC</v>
      </c>
      <c r="L1594" s="137" t="s">
        <v>44</v>
      </c>
      <c r="M1594" s="52"/>
      <c r="N1594" s="52">
        <v>10</v>
      </c>
      <c r="O1594" s="109" t="s">
        <v>3658</v>
      </c>
      <c r="P1594" s="52" t="s">
        <v>58</v>
      </c>
      <c r="Q1594" s="109" t="s">
        <v>4294</v>
      </c>
      <c r="R1594" s="109">
        <v>5</v>
      </c>
      <c r="S1594" s="109" t="s">
        <v>4295</v>
      </c>
      <c r="T1594" s="243">
        <v>388.7</v>
      </c>
      <c r="U1594" s="109">
        <v>12</v>
      </c>
      <c r="V1594" s="58">
        <f t="shared" si="106"/>
        <v>23322</v>
      </c>
      <c r="W1594" s="109" t="s">
        <v>68</v>
      </c>
      <c r="X1594" s="109" t="s">
        <v>5229</v>
      </c>
      <c r="Y1594" s="109" t="s">
        <v>5230</v>
      </c>
      <c r="Z1594" s="109" t="s">
        <v>5231</v>
      </c>
      <c r="AA1594" s="122">
        <v>25</v>
      </c>
      <c r="AB1594" s="122">
        <v>35</v>
      </c>
      <c r="AC1594" s="122">
        <v>64</v>
      </c>
      <c r="AD1594" s="21">
        <v>0</v>
      </c>
      <c r="AE1594" s="54">
        <v>0</v>
      </c>
      <c r="AF1594" s="315">
        <f t="shared" si="109"/>
        <v>0</v>
      </c>
    </row>
    <row r="1595" spans="1:32" ht="45" x14ac:dyDescent="0.25">
      <c r="A1595" s="107" t="s">
        <v>588</v>
      </c>
      <c r="B1595" s="107" t="s">
        <v>2270</v>
      </c>
      <c r="C1595" s="52"/>
      <c r="D1595" s="108" t="s">
        <v>2301</v>
      </c>
      <c r="E1595" s="22" t="str">
        <f t="shared" si="107"/>
        <v>SEJUSPPROG</v>
      </c>
      <c r="F1595" s="127" t="s">
        <v>687</v>
      </c>
      <c r="G1595" s="22" t="str">
        <f t="shared" si="108"/>
        <v>P705SEJUSP</v>
      </c>
      <c r="H1595" s="108" t="s">
        <v>914</v>
      </c>
      <c r="I1595" s="22" t="s">
        <v>16</v>
      </c>
      <c r="J1595" s="52" t="s">
        <v>1664</v>
      </c>
      <c r="K1595" s="22" t="str">
        <f>VLOOKUP(CONCATENATE(A1595,LEFT(J1595,4)),AGRUPAMENTO!$D$2:$E$6783,2,FALSE)</f>
        <v>Serviços de TIC</v>
      </c>
      <c r="L1595" s="108" t="s">
        <v>44</v>
      </c>
      <c r="M1595" s="52"/>
      <c r="N1595" s="52">
        <v>10</v>
      </c>
      <c r="O1595" s="108" t="s">
        <v>3660</v>
      </c>
      <c r="P1595" s="52" t="s">
        <v>58</v>
      </c>
      <c r="Q1595" s="108" t="s">
        <v>4298</v>
      </c>
      <c r="R1595" s="108">
        <v>30</v>
      </c>
      <c r="S1595" s="108" t="s">
        <v>3956</v>
      </c>
      <c r="T1595" s="241">
        <v>12516.6</v>
      </c>
      <c r="U1595" s="108">
        <v>1</v>
      </c>
      <c r="V1595" s="58">
        <f t="shared" si="106"/>
        <v>375498</v>
      </c>
      <c r="W1595" s="108" t="s">
        <v>68</v>
      </c>
      <c r="X1595" s="108" t="s">
        <v>5235</v>
      </c>
      <c r="Y1595" s="108" t="s">
        <v>5236</v>
      </c>
      <c r="Z1595" s="108" t="s">
        <v>5237</v>
      </c>
      <c r="AA1595" s="108">
        <v>5</v>
      </c>
      <c r="AB1595" s="108">
        <v>36</v>
      </c>
      <c r="AC1595" s="108">
        <v>65</v>
      </c>
      <c r="AD1595" s="21">
        <v>0</v>
      </c>
      <c r="AE1595" s="54">
        <v>0</v>
      </c>
      <c r="AF1595" s="315">
        <f t="shared" si="109"/>
        <v>0</v>
      </c>
    </row>
    <row r="1596" spans="1:32" ht="240" x14ac:dyDescent="0.25">
      <c r="A1596" s="109" t="s">
        <v>588</v>
      </c>
      <c r="B1596" s="110" t="s">
        <v>2270</v>
      </c>
      <c r="C1596" s="52"/>
      <c r="D1596" s="110" t="s">
        <v>2276</v>
      </c>
      <c r="E1596" s="22" t="str">
        <f t="shared" si="107"/>
        <v>SEJUSPPROG</v>
      </c>
      <c r="F1596" s="52" t="s">
        <v>729</v>
      </c>
      <c r="G1596" s="22" t="str">
        <f t="shared" si="108"/>
        <v>P130SEJUSP</v>
      </c>
      <c r="H1596" s="123" t="s">
        <v>1183</v>
      </c>
      <c r="I1596" s="22" t="s">
        <v>16</v>
      </c>
      <c r="J1596" s="123" t="s">
        <v>405</v>
      </c>
      <c r="K1596" s="22" t="str">
        <f>VLOOKUP(CONCATENATE(A1596,LEFT(J1596,4)),AGRUPAMENTO!$D$2:$E$6783,2,FALSE)</f>
        <v>Material de consumo</v>
      </c>
      <c r="L1596" s="122" t="s">
        <v>44</v>
      </c>
      <c r="M1596" s="52"/>
      <c r="N1596" s="52">
        <v>60</v>
      </c>
      <c r="O1596" s="122" t="s">
        <v>3661</v>
      </c>
      <c r="P1596" s="52" t="s">
        <v>58</v>
      </c>
      <c r="Q1596" s="122" t="s">
        <v>4299</v>
      </c>
      <c r="R1596" s="122">
        <v>70000</v>
      </c>
      <c r="S1596" s="122" t="s">
        <v>4300</v>
      </c>
      <c r="T1596" s="246">
        <v>7</v>
      </c>
      <c r="U1596" s="122">
        <v>4</v>
      </c>
      <c r="V1596" s="58">
        <f t="shared" si="106"/>
        <v>1960000</v>
      </c>
      <c r="W1596" s="122" t="s">
        <v>68</v>
      </c>
      <c r="X1596" s="122" t="s">
        <v>5238</v>
      </c>
      <c r="Y1596" s="122" t="s">
        <v>5239</v>
      </c>
      <c r="Z1596" s="122" t="s">
        <v>5240</v>
      </c>
      <c r="AA1596" s="122">
        <v>26</v>
      </c>
      <c r="AB1596" s="122">
        <v>37</v>
      </c>
      <c r="AC1596" s="122">
        <v>66</v>
      </c>
      <c r="AD1596" s="21">
        <v>0</v>
      </c>
      <c r="AE1596" s="54">
        <v>0</v>
      </c>
      <c r="AF1596" s="315">
        <f t="shared" si="109"/>
        <v>0</v>
      </c>
    </row>
    <row r="1597" spans="1:32" ht="240" x14ac:dyDescent="0.25">
      <c r="A1597" s="109" t="s">
        <v>588</v>
      </c>
      <c r="B1597" s="110" t="s">
        <v>2270</v>
      </c>
      <c r="C1597" s="52"/>
      <c r="D1597" s="110" t="s">
        <v>2276</v>
      </c>
      <c r="E1597" s="22" t="str">
        <f t="shared" si="107"/>
        <v>SEJUSPPROG</v>
      </c>
      <c r="F1597" s="123" t="s">
        <v>886</v>
      </c>
      <c r="G1597" s="22" t="str">
        <f t="shared" si="108"/>
        <v>P146SEJUSP</v>
      </c>
      <c r="H1597" s="106" t="s">
        <v>2307</v>
      </c>
      <c r="I1597" s="22" t="s">
        <v>16</v>
      </c>
      <c r="J1597" s="123" t="s">
        <v>405</v>
      </c>
      <c r="K1597" s="22" t="str">
        <f>VLOOKUP(CONCATENATE(A1597,LEFT(J1597,4)),AGRUPAMENTO!$D$2:$E$6783,2,FALSE)</f>
        <v>Material de consumo</v>
      </c>
      <c r="L1597" s="122" t="s">
        <v>44</v>
      </c>
      <c r="M1597" s="52"/>
      <c r="N1597" s="52">
        <v>10</v>
      </c>
      <c r="O1597" s="122" t="s">
        <v>3662</v>
      </c>
      <c r="P1597" s="52" t="s">
        <v>58</v>
      </c>
      <c r="Q1597" s="122" t="s">
        <v>4301</v>
      </c>
      <c r="R1597" s="122">
        <v>1000</v>
      </c>
      <c r="S1597" s="122" t="s">
        <v>4300</v>
      </c>
      <c r="T1597" s="246">
        <v>25.6</v>
      </c>
      <c r="U1597" s="122">
        <v>4</v>
      </c>
      <c r="V1597" s="58">
        <f t="shared" si="106"/>
        <v>102400</v>
      </c>
      <c r="W1597" s="122" t="s">
        <v>68</v>
      </c>
      <c r="X1597" s="122" t="s">
        <v>5241</v>
      </c>
      <c r="Y1597" s="122" t="s">
        <v>5242</v>
      </c>
      <c r="Z1597" s="122" t="s">
        <v>5240</v>
      </c>
      <c r="AA1597" s="122">
        <v>27</v>
      </c>
      <c r="AB1597" s="122">
        <v>38</v>
      </c>
      <c r="AC1597" s="122">
        <v>67</v>
      </c>
      <c r="AD1597" s="21">
        <v>0</v>
      </c>
      <c r="AE1597" s="54">
        <v>0</v>
      </c>
      <c r="AF1597" s="315">
        <f t="shared" si="109"/>
        <v>0</v>
      </c>
    </row>
    <row r="1598" spans="1:32" ht="135" x14ac:dyDescent="0.25">
      <c r="A1598" s="109" t="s">
        <v>588</v>
      </c>
      <c r="B1598" s="110" t="s">
        <v>2270</v>
      </c>
      <c r="C1598" s="52"/>
      <c r="D1598" s="110" t="s">
        <v>2276</v>
      </c>
      <c r="E1598" s="22" t="str">
        <f t="shared" si="107"/>
        <v>SEJUSPPROG</v>
      </c>
      <c r="F1598" s="116" t="s">
        <v>687</v>
      </c>
      <c r="G1598" s="22" t="str">
        <f t="shared" si="108"/>
        <v>P705SEJUSP</v>
      </c>
      <c r="H1598" s="122" t="s">
        <v>914</v>
      </c>
      <c r="I1598" s="22" t="s">
        <v>16</v>
      </c>
      <c r="J1598" s="122" t="s">
        <v>1694</v>
      </c>
      <c r="K1598" s="22" t="str">
        <f>VLOOKUP(CONCATENATE(A1598,LEFT(J1598,4)),AGRUPAMENTO!$D$2:$E$6783,2,FALSE)</f>
        <v>Aluguéis e condomínios</v>
      </c>
      <c r="L1598" s="122" t="s">
        <v>44</v>
      </c>
      <c r="M1598" s="52"/>
      <c r="N1598" s="52">
        <v>10</v>
      </c>
      <c r="O1598" s="122" t="s">
        <v>3663</v>
      </c>
      <c r="P1598" s="52" t="s">
        <v>46</v>
      </c>
      <c r="Q1598" s="122" t="s">
        <v>4302</v>
      </c>
      <c r="R1598" s="122">
        <v>1</v>
      </c>
      <c r="S1598" s="122" t="s">
        <v>4303</v>
      </c>
      <c r="T1598" s="243">
        <v>200000</v>
      </c>
      <c r="U1598" s="249">
        <v>12</v>
      </c>
      <c r="V1598" s="58">
        <f t="shared" si="106"/>
        <v>2400000</v>
      </c>
      <c r="W1598" s="52" t="s">
        <v>49</v>
      </c>
      <c r="X1598" s="122" t="s">
        <v>5243</v>
      </c>
      <c r="Y1598" s="122" t="s">
        <v>5244</v>
      </c>
      <c r="Z1598" s="122" t="s">
        <v>5245</v>
      </c>
      <c r="AA1598" s="52">
        <v>0</v>
      </c>
      <c r="AB1598" s="52">
        <v>0</v>
      </c>
      <c r="AC1598" s="52">
        <v>0</v>
      </c>
      <c r="AD1598" s="21">
        <v>1</v>
      </c>
      <c r="AE1598" s="54">
        <v>1</v>
      </c>
      <c r="AF1598" s="315">
        <f t="shared" si="109"/>
        <v>2400000</v>
      </c>
    </row>
    <row r="1599" spans="1:32" ht="135" x14ac:dyDescent="0.25">
      <c r="A1599" s="109" t="s">
        <v>588</v>
      </c>
      <c r="B1599" s="110" t="s">
        <v>2270</v>
      </c>
      <c r="C1599" s="52"/>
      <c r="D1599" s="110" t="s">
        <v>2276</v>
      </c>
      <c r="E1599" s="22" t="str">
        <f t="shared" si="107"/>
        <v>SEJUSPPROG</v>
      </c>
      <c r="F1599" s="52" t="s">
        <v>729</v>
      </c>
      <c r="G1599" s="22" t="str">
        <f t="shared" si="108"/>
        <v>P130SEJUSP</v>
      </c>
      <c r="H1599" s="122" t="s">
        <v>1259</v>
      </c>
      <c r="I1599" s="22" t="s">
        <v>16</v>
      </c>
      <c r="J1599" s="122" t="s">
        <v>1694</v>
      </c>
      <c r="K1599" s="22" t="str">
        <f>VLOOKUP(CONCATENATE(A1599,LEFT(J1599,4)),AGRUPAMENTO!$D$2:$E$6783,2,FALSE)</f>
        <v>Aluguéis e condomínios</v>
      </c>
      <c r="L1599" s="122" t="s">
        <v>44</v>
      </c>
      <c r="M1599" s="52"/>
      <c r="N1599" s="52">
        <v>10</v>
      </c>
      <c r="O1599" s="122" t="s">
        <v>3664</v>
      </c>
      <c r="P1599" s="52" t="s">
        <v>46</v>
      </c>
      <c r="Q1599" s="122" t="s">
        <v>4302</v>
      </c>
      <c r="R1599" s="122">
        <v>1</v>
      </c>
      <c r="S1599" s="122" t="s">
        <v>4304</v>
      </c>
      <c r="T1599" s="243">
        <v>36228.97</v>
      </c>
      <c r="U1599" s="249">
        <v>12</v>
      </c>
      <c r="V1599" s="58">
        <f t="shared" si="106"/>
        <v>434747.64</v>
      </c>
      <c r="W1599" s="52" t="s">
        <v>49</v>
      </c>
      <c r="X1599" s="122" t="s">
        <v>5246</v>
      </c>
      <c r="Y1599" s="122" t="s">
        <v>5244</v>
      </c>
      <c r="Z1599" s="122" t="s">
        <v>5245</v>
      </c>
      <c r="AA1599" s="52">
        <v>0</v>
      </c>
      <c r="AB1599" s="52">
        <v>0</v>
      </c>
      <c r="AC1599" s="52">
        <v>0</v>
      </c>
      <c r="AD1599" s="21">
        <v>1</v>
      </c>
      <c r="AE1599" s="54">
        <v>1</v>
      </c>
      <c r="AF1599" s="315">
        <f t="shared" si="109"/>
        <v>434747.64</v>
      </c>
    </row>
    <row r="1600" spans="1:32" ht="135" x14ac:dyDescent="0.25">
      <c r="A1600" s="109" t="s">
        <v>588</v>
      </c>
      <c r="B1600" s="110" t="s">
        <v>2270</v>
      </c>
      <c r="C1600" s="52"/>
      <c r="D1600" s="110" t="s">
        <v>2276</v>
      </c>
      <c r="E1600" s="22" t="str">
        <f t="shared" si="107"/>
        <v>SEJUSPPROG</v>
      </c>
      <c r="F1600" s="52" t="s">
        <v>729</v>
      </c>
      <c r="G1600" s="22" t="str">
        <f t="shared" si="108"/>
        <v>P130SEJUSP</v>
      </c>
      <c r="H1600" s="122" t="s">
        <v>1259</v>
      </c>
      <c r="I1600" s="22" t="s">
        <v>16</v>
      </c>
      <c r="J1600" s="122" t="s">
        <v>1694</v>
      </c>
      <c r="K1600" s="22" t="str">
        <f>VLOOKUP(CONCATENATE(A1600,LEFT(J1600,4)),AGRUPAMENTO!$D$2:$E$6783,2,FALSE)</f>
        <v>Aluguéis e condomínios</v>
      </c>
      <c r="L1600" s="122" t="s">
        <v>44</v>
      </c>
      <c r="M1600" s="52"/>
      <c r="N1600" s="52">
        <v>10</v>
      </c>
      <c r="O1600" s="122" t="s">
        <v>3665</v>
      </c>
      <c r="P1600" s="52" t="s">
        <v>46</v>
      </c>
      <c r="Q1600" s="122" t="s">
        <v>4302</v>
      </c>
      <c r="R1600" s="122">
        <v>1</v>
      </c>
      <c r="S1600" s="122" t="s">
        <v>4304</v>
      </c>
      <c r="T1600" s="243">
        <v>21134.12</v>
      </c>
      <c r="U1600" s="249">
        <v>12</v>
      </c>
      <c r="V1600" s="58">
        <f t="shared" si="106"/>
        <v>253609.44</v>
      </c>
      <c r="W1600" s="52" t="s">
        <v>49</v>
      </c>
      <c r="X1600" s="122" t="s">
        <v>5246</v>
      </c>
      <c r="Y1600" s="122" t="s">
        <v>5244</v>
      </c>
      <c r="Z1600" s="122" t="s">
        <v>5245</v>
      </c>
      <c r="AA1600" s="52">
        <v>0</v>
      </c>
      <c r="AB1600" s="52">
        <v>0</v>
      </c>
      <c r="AC1600" s="52">
        <v>0</v>
      </c>
      <c r="AD1600" s="21">
        <v>1</v>
      </c>
      <c r="AE1600" s="54">
        <v>1</v>
      </c>
      <c r="AF1600" s="315">
        <f t="shared" si="109"/>
        <v>253609.44</v>
      </c>
    </row>
    <row r="1601" spans="1:32" ht="120" x14ac:dyDescent="0.25">
      <c r="A1601" s="109" t="s">
        <v>588</v>
      </c>
      <c r="B1601" s="110" t="s">
        <v>2270</v>
      </c>
      <c r="C1601" s="52"/>
      <c r="D1601" s="110" t="s">
        <v>2276</v>
      </c>
      <c r="E1601" s="22" t="str">
        <f t="shared" si="107"/>
        <v>SEJUSPPROG</v>
      </c>
      <c r="F1601" s="52" t="s">
        <v>729</v>
      </c>
      <c r="G1601" s="22" t="str">
        <f t="shared" si="108"/>
        <v>P130SEJUSP</v>
      </c>
      <c r="H1601" s="122" t="s">
        <v>1183</v>
      </c>
      <c r="I1601" s="22" t="s">
        <v>16</v>
      </c>
      <c r="J1601" s="122" t="s">
        <v>2170</v>
      </c>
      <c r="K1601" s="22" t="str">
        <f>VLOOKUP(CONCATENATE(A1601,LEFT(J1601,4)),AGRUPAMENTO!$D$2:$E$6783,2,FALSE)</f>
        <v>Demais despesas de custeio</v>
      </c>
      <c r="L1601" s="122" t="s">
        <v>44</v>
      </c>
      <c r="M1601" s="52"/>
      <c r="N1601" s="52">
        <v>60</v>
      </c>
      <c r="O1601" s="122" t="s">
        <v>3666</v>
      </c>
      <c r="P1601" s="52" t="s">
        <v>46</v>
      </c>
      <c r="Q1601" s="122" t="s">
        <v>4305</v>
      </c>
      <c r="R1601" s="122">
        <v>1</v>
      </c>
      <c r="S1601" s="122" t="s">
        <v>4304</v>
      </c>
      <c r="T1601" s="243">
        <v>184118.46</v>
      </c>
      <c r="U1601" s="249">
        <v>12</v>
      </c>
      <c r="V1601" s="58">
        <f t="shared" si="106"/>
        <v>2209421.52</v>
      </c>
      <c r="W1601" s="52" t="s">
        <v>49</v>
      </c>
      <c r="X1601" s="122" t="s">
        <v>5247</v>
      </c>
      <c r="Y1601" s="122" t="s">
        <v>5248</v>
      </c>
      <c r="Z1601" s="122" t="s">
        <v>5249</v>
      </c>
      <c r="AA1601" s="52">
        <v>0</v>
      </c>
      <c r="AB1601" s="52">
        <v>0</v>
      </c>
      <c r="AC1601" s="52">
        <v>0</v>
      </c>
      <c r="AD1601" s="21">
        <v>0.29138261490145073</v>
      </c>
      <c r="AE1601" s="54">
        <v>0.29138261490145073</v>
      </c>
      <c r="AF1601" s="315">
        <f t="shared" si="109"/>
        <v>643787.01991713792</v>
      </c>
    </row>
    <row r="1602" spans="1:32" ht="120" x14ac:dyDescent="0.25">
      <c r="A1602" s="109" t="s">
        <v>588</v>
      </c>
      <c r="B1602" s="110" t="s">
        <v>2270</v>
      </c>
      <c r="C1602" s="52"/>
      <c r="D1602" s="110" t="s">
        <v>2276</v>
      </c>
      <c r="E1602" s="22" t="str">
        <f t="shared" si="107"/>
        <v>SEJUSPPROG</v>
      </c>
      <c r="F1602" s="52" t="s">
        <v>729</v>
      </c>
      <c r="G1602" s="22" t="str">
        <f t="shared" si="108"/>
        <v>P130SEJUSP</v>
      </c>
      <c r="H1602" s="122" t="s">
        <v>1259</v>
      </c>
      <c r="I1602" s="22" t="s">
        <v>16</v>
      </c>
      <c r="J1602" s="122" t="s">
        <v>2170</v>
      </c>
      <c r="K1602" s="22" t="str">
        <f>VLOOKUP(CONCATENATE(A1602,LEFT(J1602,4)),AGRUPAMENTO!$D$2:$E$6783,2,FALSE)</f>
        <v>Demais despesas de custeio</v>
      </c>
      <c r="L1602" s="122" t="s">
        <v>44</v>
      </c>
      <c r="M1602" s="52"/>
      <c r="N1602" s="52">
        <v>10</v>
      </c>
      <c r="O1602" s="122" t="s">
        <v>3667</v>
      </c>
      <c r="P1602" s="52" t="s">
        <v>46</v>
      </c>
      <c r="Q1602" s="122" t="s">
        <v>4305</v>
      </c>
      <c r="R1602" s="122">
        <v>1</v>
      </c>
      <c r="S1602" s="122" t="s">
        <v>4304</v>
      </c>
      <c r="T1602" s="243">
        <v>161822.17000000001</v>
      </c>
      <c r="U1602" s="249">
        <v>12</v>
      </c>
      <c r="V1602" s="58">
        <f t="shared" ref="V1602:V1658" si="110">R1602*T1602*U1602</f>
        <v>1941866.04</v>
      </c>
      <c r="W1602" s="52" t="s">
        <v>49</v>
      </c>
      <c r="X1602" s="122" t="s">
        <v>5247</v>
      </c>
      <c r="Y1602" s="122" t="s">
        <v>5250</v>
      </c>
      <c r="Z1602" s="122" t="s">
        <v>5249</v>
      </c>
      <c r="AA1602" s="52">
        <v>0</v>
      </c>
      <c r="AB1602" s="52">
        <v>0</v>
      </c>
      <c r="AC1602" s="52">
        <v>0</v>
      </c>
      <c r="AD1602" s="21">
        <v>0.29138261490145073</v>
      </c>
      <c r="AE1602" s="54">
        <v>0.29138261490145073</v>
      </c>
      <c r="AF1602" s="315">
        <f t="shared" si="109"/>
        <v>565826.00452352513</v>
      </c>
    </row>
    <row r="1603" spans="1:32" ht="120" x14ac:dyDescent="0.25">
      <c r="A1603" s="109" t="s">
        <v>588</v>
      </c>
      <c r="B1603" s="110" t="s">
        <v>2270</v>
      </c>
      <c r="C1603" s="52"/>
      <c r="D1603" s="110" t="s">
        <v>2276</v>
      </c>
      <c r="E1603" s="22" t="str">
        <f t="shared" ref="E1603:E1658" si="111">CONCATENATE(A1603,"PROG")</f>
        <v>SEJUSPPROG</v>
      </c>
      <c r="F1603" s="52" t="s">
        <v>729</v>
      </c>
      <c r="G1603" s="22" t="str">
        <f t="shared" si="108"/>
        <v>P130SEJUSP</v>
      </c>
      <c r="H1603" s="122" t="s">
        <v>1183</v>
      </c>
      <c r="I1603" s="22" t="s">
        <v>16</v>
      </c>
      <c r="J1603" s="122" t="s">
        <v>1641</v>
      </c>
      <c r="K1603" s="22" t="str">
        <f>VLOOKUP(CONCATENATE(A1603,LEFT(J1603,4)),AGRUPAMENTO!$D$2:$E$6783,2,FALSE)</f>
        <v xml:space="preserve">Locação de Máquinas e Equipamentos </v>
      </c>
      <c r="L1603" s="122" t="s">
        <v>44</v>
      </c>
      <c r="M1603" s="52"/>
      <c r="N1603" s="52">
        <v>60</v>
      </c>
      <c r="O1603" s="122" t="s">
        <v>3668</v>
      </c>
      <c r="P1603" s="52" t="s">
        <v>46</v>
      </c>
      <c r="Q1603" s="122" t="s">
        <v>4306</v>
      </c>
      <c r="R1603" s="122">
        <v>1</v>
      </c>
      <c r="S1603" s="122" t="s">
        <v>4304</v>
      </c>
      <c r="T1603" s="243">
        <v>4510</v>
      </c>
      <c r="U1603" s="249">
        <v>12</v>
      </c>
      <c r="V1603" s="58">
        <f t="shared" si="110"/>
        <v>54120</v>
      </c>
      <c r="W1603" s="52" t="s">
        <v>49</v>
      </c>
      <c r="X1603" s="122" t="s">
        <v>5251</v>
      </c>
      <c r="Y1603" s="122" t="s">
        <v>5248</v>
      </c>
      <c r="Z1603" s="122" t="s">
        <v>5252</v>
      </c>
      <c r="AA1603" s="52">
        <v>0</v>
      </c>
      <c r="AB1603" s="52">
        <v>0</v>
      </c>
      <c r="AC1603" s="52">
        <v>0</v>
      </c>
      <c r="AD1603" s="21">
        <v>0.57732302447688655</v>
      </c>
      <c r="AE1603" s="54">
        <v>0.57732302447688655</v>
      </c>
      <c r="AF1603" s="315">
        <f t="shared" si="109"/>
        <v>31244.7220846891</v>
      </c>
    </row>
    <row r="1604" spans="1:32" ht="120" x14ac:dyDescent="0.25">
      <c r="A1604" s="109" t="s">
        <v>588</v>
      </c>
      <c r="B1604" s="110" t="s">
        <v>2270</v>
      </c>
      <c r="C1604" s="52"/>
      <c r="D1604" s="110" t="s">
        <v>2276</v>
      </c>
      <c r="E1604" s="22" t="str">
        <f t="shared" si="111"/>
        <v>SEJUSPPROG</v>
      </c>
      <c r="F1604" s="52" t="s">
        <v>729</v>
      </c>
      <c r="G1604" s="22" t="str">
        <f t="shared" ref="G1604:G1658" si="112">CONCATENATE("P",(LEFT(F1604,3)),A1604)</f>
        <v>P130SEJUSP</v>
      </c>
      <c r="H1604" s="122" t="s">
        <v>1259</v>
      </c>
      <c r="I1604" s="22" t="s">
        <v>16</v>
      </c>
      <c r="J1604" s="122" t="s">
        <v>1641</v>
      </c>
      <c r="K1604" s="22" t="str">
        <f>VLOOKUP(CONCATENATE(A1604,LEFT(J1604,4)),AGRUPAMENTO!$D$2:$E$6783,2,FALSE)</f>
        <v xml:space="preserve">Locação de Máquinas e Equipamentos </v>
      </c>
      <c r="L1604" s="122" t="s">
        <v>44</v>
      </c>
      <c r="M1604" s="52"/>
      <c r="N1604" s="52">
        <v>10</v>
      </c>
      <c r="O1604" s="122" t="s">
        <v>3669</v>
      </c>
      <c r="P1604" s="52" t="s">
        <v>46</v>
      </c>
      <c r="Q1604" s="122" t="s">
        <v>4306</v>
      </c>
      <c r="R1604" s="122">
        <v>1</v>
      </c>
      <c r="S1604" s="122" t="s">
        <v>4304</v>
      </c>
      <c r="T1604" s="243">
        <v>4510</v>
      </c>
      <c r="U1604" s="249">
        <v>12</v>
      </c>
      <c r="V1604" s="58">
        <f t="shared" si="110"/>
        <v>54120</v>
      </c>
      <c r="W1604" s="52" t="s">
        <v>49</v>
      </c>
      <c r="X1604" s="122" t="s">
        <v>5251</v>
      </c>
      <c r="Y1604" s="122" t="s">
        <v>5250</v>
      </c>
      <c r="Z1604" s="122" t="s">
        <v>5252</v>
      </c>
      <c r="AA1604" s="52">
        <v>0</v>
      </c>
      <c r="AB1604" s="52">
        <v>0</v>
      </c>
      <c r="AC1604" s="52">
        <v>0</v>
      </c>
      <c r="AD1604" s="21">
        <v>0.57732302447688655</v>
      </c>
      <c r="AE1604" s="54">
        <v>0.57732302447688655</v>
      </c>
      <c r="AF1604" s="315">
        <f t="shared" ref="AF1604:AF1658" si="113">AE1604*V1604</f>
        <v>31244.7220846891</v>
      </c>
    </row>
    <row r="1605" spans="1:32" ht="165" x14ac:dyDescent="0.25">
      <c r="A1605" s="109" t="s">
        <v>588</v>
      </c>
      <c r="B1605" s="110" t="s">
        <v>2270</v>
      </c>
      <c r="C1605" s="52"/>
      <c r="D1605" s="110" t="s">
        <v>2276</v>
      </c>
      <c r="E1605" s="22" t="str">
        <f t="shared" si="111"/>
        <v>SEJUSPPROG</v>
      </c>
      <c r="F1605" s="52" t="s">
        <v>729</v>
      </c>
      <c r="G1605" s="22" t="str">
        <f t="shared" si="112"/>
        <v>P130SEJUSP</v>
      </c>
      <c r="H1605" s="122" t="s">
        <v>1183</v>
      </c>
      <c r="I1605" s="22" t="s">
        <v>16</v>
      </c>
      <c r="J1605" s="122" t="s">
        <v>2177</v>
      </c>
      <c r="K1605" s="22" t="str">
        <f>VLOOKUP(CONCATENATE(A1605,LEFT(J1605,4)),AGRUPAMENTO!$D$2:$E$6783,2,FALSE)</f>
        <v>Gestão de equipamentos</v>
      </c>
      <c r="L1605" s="122" t="s">
        <v>44</v>
      </c>
      <c r="M1605" s="52"/>
      <c r="N1605" s="52">
        <v>60</v>
      </c>
      <c r="O1605" s="122" t="s">
        <v>3670</v>
      </c>
      <c r="P1605" s="52" t="s">
        <v>46</v>
      </c>
      <c r="Q1605" s="122" t="s">
        <v>4307</v>
      </c>
      <c r="R1605" s="122">
        <v>1</v>
      </c>
      <c r="S1605" s="122" t="s">
        <v>4304</v>
      </c>
      <c r="T1605" s="243">
        <v>5712.66</v>
      </c>
      <c r="U1605" s="249">
        <v>12</v>
      </c>
      <c r="V1605" s="58">
        <f t="shared" si="110"/>
        <v>68551.92</v>
      </c>
      <c r="W1605" s="52" t="s">
        <v>49</v>
      </c>
      <c r="X1605" s="122" t="s">
        <v>5253</v>
      </c>
      <c r="Y1605" s="122" t="s">
        <v>5254</v>
      </c>
      <c r="Z1605" s="122" t="s">
        <v>5255</v>
      </c>
      <c r="AA1605" s="52">
        <v>0</v>
      </c>
      <c r="AB1605" s="52">
        <v>0</v>
      </c>
      <c r="AC1605" s="52">
        <v>0</v>
      </c>
      <c r="AD1605" s="21">
        <v>0.88454016594970364</v>
      </c>
      <c r="AE1605" s="54">
        <v>0.88454016594970364</v>
      </c>
      <c r="AF1605" s="315">
        <f t="shared" si="113"/>
        <v>60636.926692970803</v>
      </c>
    </row>
    <row r="1606" spans="1:32" ht="165" x14ac:dyDescent="0.25">
      <c r="A1606" s="109" t="s">
        <v>588</v>
      </c>
      <c r="B1606" s="110" t="s">
        <v>2270</v>
      </c>
      <c r="C1606" s="52"/>
      <c r="D1606" s="110" t="s">
        <v>2276</v>
      </c>
      <c r="E1606" s="22" t="str">
        <f t="shared" si="111"/>
        <v>SEJUSPPROG</v>
      </c>
      <c r="F1606" s="52" t="s">
        <v>729</v>
      </c>
      <c r="G1606" s="22" t="str">
        <f t="shared" si="112"/>
        <v>P130SEJUSP</v>
      </c>
      <c r="H1606" s="122" t="s">
        <v>1259</v>
      </c>
      <c r="I1606" s="22" t="s">
        <v>16</v>
      </c>
      <c r="J1606" s="122" t="s">
        <v>2177</v>
      </c>
      <c r="K1606" s="22" t="str">
        <f>VLOOKUP(CONCATENATE(A1606,LEFT(J1606,4)),AGRUPAMENTO!$D$2:$E$6783,2,FALSE)</f>
        <v>Gestão de equipamentos</v>
      </c>
      <c r="L1606" s="122" t="s">
        <v>44</v>
      </c>
      <c r="M1606" s="52"/>
      <c r="N1606" s="52">
        <v>10</v>
      </c>
      <c r="O1606" s="122" t="s">
        <v>3671</v>
      </c>
      <c r="P1606" s="52" t="s">
        <v>46</v>
      </c>
      <c r="Q1606" s="122" t="s">
        <v>4307</v>
      </c>
      <c r="R1606" s="122">
        <v>1</v>
      </c>
      <c r="S1606" s="122" t="s">
        <v>4304</v>
      </c>
      <c r="T1606" s="243">
        <v>3006.67</v>
      </c>
      <c r="U1606" s="249">
        <v>12</v>
      </c>
      <c r="V1606" s="58">
        <f t="shared" si="110"/>
        <v>36080.04</v>
      </c>
      <c r="W1606" s="52" t="s">
        <v>49</v>
      </c>
      <c r="X1606" s="122" t="s">
        <v>5253</v>
      </c>
      <c r="Y1606" s="122" t="s">
        <v>5254</v>
      </c>
      <c r="Z1606" s="122" t="s">
        <v>5255</v>
      </c>
      <c r="AA1606" s="52">
        <v>0</v>
      </c>
      <c r="AB1606" s="52">
        <v>0</v>
      </c>
      <c r="AC1606" s="52">
        <v>0</v>
      </c>
      <c r="AD1606" s="21">
        <v>0.88454016594970364</v>
      </c>
      <c r="AE1606" s="54">
        <v>0.88454016594970364</v>
      </c>
      <c r="AF1606" s="315">
        <f t="shared" si="113"/>
        <v>31914.244569071947</v>
      </c>
    </row>
    <row r="1607" spans="1:32" ht="135" x14ac:dyDescent="0.25">
      <c r="A1607" s="109" t="s">
        <v>588</v>
      </c>
      <c r="B1607" s="110" t="s">
        <v>2270</v>
      </c>
      <c r="C1607" s="52"/>
      <c r="D1607" s="110" t="s">
        <v>2276</v>
      </c>
      <c r="E1607" s="22" t="str">
        <f t="shared" si="111"/>
        <v>SEJUSPPROG</v>
      </c>
      <c r="F1607" s="52" t="s">
        <v>729</v>
      </c>
      <c r="G1607" s="22" t="str">
        <f t="shared" si="112"/>
        <v>P130SEJUSP</v>
      </c>
      <c r="H1607" s="122" t="s">
        <v>1183</v>
      </c>
      <c r="I1607" s="22" t="s">
        <v>16</v>
      </c>
      <c r="J1607" s="92" t="s">
        <v>512</v>
      </c>
      <c r="K1607" s="22" t="str">
        <f>VLOOKUP(CONCATENATE(A1607,LEFT(J1607,4)),AGRUPAMENTO!$D$2:$E$6783,2,FALSE)</f>
        <v>Serviços de vigilância</v>
      </c>
      <c r="L1607" s="122" t="s">
        <v>44</v>
      </c>
      <c r="M1607" s="52"/>
      <c r="N1607" s="52">
        <v>60</v>
      </c>
      <c r="O1607" s="122" t="s">
        <v>3672</v>
      </c>
      <c r="P1607" s="52" t="s">
        <v>46</v>
      </c>
      <c r="Q1607" s="122" t="s">
        <v>4308</v>
      </c>
      <c r="R1607" s="122">
        <v>1</v>
      </c>
      <c r="S1607" s="122" t="s">
        <v>4304</v>
      </c>
      <c r="T1607" s="243">
        <v>3257.62</v>
      </c>
      <c r="U1607" s="249">
        <v>12</v>
      </c>
      <c r="V1607" s="58">
        <f t="shared" si="110"/>
        <v>39091.440000000002</v>
      </c>
      <c r="W1607" s="52" t="s">
        <v>49</v>
      </c>
      <c r="X1607" s="122" t="s">
        <v>5256</v>
      </c>
      <c r="Y1607" s="122" t="s">
        <v>5257</v>
      </c>
      <c r="Z1607" s="122" t="s">
        <v>5258</v>
      </c>
      <c r="AA1607" s="52">
        <v>0</v>
      </c>
      <c r="AB1607" s="52">
        <v>0</v>
      </c>
      <c r="AC1607" s="52">
        <v>0</v>
      </c>
      <c r="AD1607" s="21">
        <v>0.91951400797994931</v>
      </c>
      <c r="AE1607" s="54">
        <v>0.91951400797994931</v>
      </c>
      <c r="AF1607" s="315">
        <f t="shared" si="113"/>
        <v>35945.126672107712</v>
      </c>
    </row>
    <row r="1608" spans="1:32" ht="135" x14ac:dyDescent="0.25">
      <c r="A1608" s="109" t="s">
        <v>588</v>
      </c>
      <c r="B1608" s="110" t="s">
        <v>2270</v>
      </c>
      <c r="C1608" s="52"/>
      <c r="D1608" s="110" t="s">
        <v>2276</v>
      </c>
      <c r="E1608" s="22" t="str">
        <f t="shared" si="111"/>
        <v>SEJUSPPROG</v>
      </c>
      <c r="F1608" s="52" t="s">
        <v>729</v>
      </c>
      <c r="G1608" s="22" t="str">
        <f t="shared" si="112"/>
        <v>P130SEJUSP</v>
      </c>
      <c r="H1608" s="122" t="s">
        <v>1259</v>
      </c>
      <c r="I1608" s="22" t="s">
        <v>16</v>
      </c>
      <c r="J1608" s="92" t="s">
        <v>512</v>
      </c>
      <c r="K1608" s="22" t="str">
        <f>VLOOKUP(CONCATENATE(A1608,LEFT(J1608,4)),AGRUPAMENTO!$D$2:$E$6783,2,FALSE)</f>
        <v>Serviços de vigilância</v>
      </c>
      <c r="L1608" s="122" t="s">
        <v>44</v>
      </c>
      <c r="M1608" s="52"/>
      <c r="N1608" s="52">
        <v>10</v>
      </c>
      <c r="O1608" s="122" t="s">
        <v>3673</v>
      </c>
      <c r="P1608" s="52" t="s">
        <v>46</v>
      </c>
      <c r="Q1608" s="122" t="s">
        <v>4308</v>
      </c>
      <c r="R1608" s="122">
        <v>1</v>
      </c>
      <c r="S1608" s="122" t="s">
        <v>4304</v>
      </c>
      <c r="T1608" s="243">
        <v>3257.62</v>
      </c>
      <c r="U1608" s="249">
        <v>12</v>
      </c>
      <c r="V1608" s="58">
        <f t="shared" si="110"/>
        <v>39091.440000000002</v>
      </c>
      <c r="W1608" s="52" t="s">
        <v>49</v>
      </c>
      <c r="X1608" s="122" t="s">
        <v>5256</v>
      </c>
      <c r="Y1608" s="122" t="s">
        <v>5257</v>
      </c>
      <c r="Z1608" s="122" t="s">
        <v>5258</v>
      </c>
      <c r="AA1608" s="52">
        <v>0</v>
      </c>
      <c r="AB1608" s="52">
        <v>0</v>
      </c>
      <c r="AC1608" s="52">
        <v>0</v>
      </c>
      <c r="AD1608" s="21">
        <v>0.91951400797994931</v>
      </c>
      <c r="AE1608" s="54">
        <v>0.91951400797994931</v>
      </c>
      <c r="AF1608" s="315">
        <f t="shared" si="113"/>
        <v>35945.126672107712</v>
      </c>
    </row>
    <row r="1609" spans="1:32" ht="409.5" x14ac:dyDescent="0.25">
      <c r="A1609" s="107" t="s">
        <v>588</v>
      </c>
      <c r="B1609" s="107" t="s">
        <v>2270</v>
      </c>
      <c r="C1609" s="52"/>
      <c r="D1609" s="108" t="s">
        <v>2301</v>
      </c>
      <c r="E1609" s="22" t="str">
        <f t="shared" si="111"/>
        <v>SEJUSPPROG</v>
      </c>
      <c r="F1609" s="52" t="s">
        <v>729</v>
      </c>
      <c r="G1609" s="22" t="str">
        <f t="shared" si="112"/>
        <v>P130SEJUSP</v>
      </c>
      <c r="H1609" s="108" t="s">
        <v>1148</v>
      </c>
      <c r="I1609" s="22" t="s">
        <v>16</v>
      </c>
      <c r="J1609" s="108" t="s">
        <v>1681</v>
      </c>
      <c r="K1609" s="22" t="str">
        <f>VLOOKUP(CONCATENATE(A1609,LEFT(J1609,4)),AGRUPAMENTO!$D$2:$E$6783,2,FALSE)</f>
        <v>Aquisições de itens de TIC</v>
      </c>
      <c r="L1609" s="52" t="s">
        <v>94</v>
      </c>
      <c r="M1609" s="52"/>
      <c r="N1609" s="52">
        <v>60</v>
      </c>
      <c r="O1609" s="108" t="s">
        <v>3674</v>
      </c>
      <c r="P1609" s="52" t="s">
        <v>58</v>
      </c>
      <c r="Q1609" s="108" t="s">
        <v>4309</v>
      </c>
      <c r="R1609" s="108">
        <v>3500</v>
      </c>
      <c r="S1609" s="108" t="s">
        <v>4238</v>
      </c>
      <c r="T1609" s="241">
        <v>900</v>
      </c>
      <c r="U1609" s="245">
        <v>1</v>
      </c>
      <c r="V1609" s="58">
        <f t="shared" si="110"/>
        <v>3150000</v>
      </c>
      <c r="W1609" s="108" t="s">
        <v>68</v>
      </c>
      <c r="X1609" s="108" t="s">
        <v>5259</v>
      </c>
      <c r="Y1609" s="108" t="s">
        <v>5260</v>
      </c>
      <c r="Z1609" s="108" t="s">
        <v>5261</v>
      </c>
      <c r="AA1609" s="108">
        <v>5</v>
      </c>
      <c r="AB1609" s="108">
        <v>39</v>
      </c>
      <c r="AC1609" s="108">
        <v>68</v>
      </c>
      <c r="AD1609" s="21">
        <v>0</v>
      </c>
      <c r="AE1609" s="54">
        <v>0</v>
      </c>
      <c r="AF1609" s="315">
        <f t="shared" si="113"/>
        <v>0</v>
      </c>
    </row>
    <row r="1610" spans="1:32" ht="165" x14ac:dyDescent="0.25">
      <c r="A1610" s="109" t="s">
        <v>588</v>
      </c>
      <c r="B1610" s="110" t="s">
        <v>2270</v>
      </c>
      <c r="C1610" s="52"/>
      <c r="D1610" s="110" t="s">
        <v>2276</v>
      </c>
      <c r="E1610" s="22" t="str">
        <f t="shared" si="111"/>
        <v>SEJUSPPROG</v>
      </c>
      <c r="F1610" s="52" t="s">
        <v>729</v>
      </c>
      <c r="G1610" s="22" t="str">
        <f t="shared" si="112"/>
        <v>P130SEJUSP</v>
      </c>
      <c r="H1610" s="122" t="s">
        <v>1183</v>
      </c>
      <c r="I1610" s="22" t="s">
        <v>16</v>
      </c>
      <c r="J1610" s="122" t="s">
        <v>1599</v>
      </c>
      <c r="K1610" s="22" t="str">
        <f>VLOOKUP(CONCATENATE(A1610,LEFT(J1610,4)),AGRUPAMENTO!$D$2:$E$6783,2,FALSE)</f>
        <v>Material de consumo</v>
      </c>
      <c r="L1610" s="122" t="s">
        <v>44</v>
      </c>
      <c r="M1610" s="52"/>
      <c r="N1610" s="108">
        <v>60</v>
      </c>
      <c r="O1610" s="122" t="s">
        <v>3675</v>
      </c>
      <c r="P1610" s="52" t="s">
        <v>58</v>
      </c>
      <c r="Q1610" s="122" t="s">
        <v>4299</v>
      </c>
      <c r="R1610" s="122">
        <v>70000</v>
      </c>
      <c r="S1610" s="122" t="s">
        <v>4300</v>
      </c>
      <c r="T1610" s="246">
        <v>3.75</v>
      </c>
      <c r="U1610" s="249">
        <v>4</v>
      </c>
      <c r="V1610" s="58">
        <f t="shared" si="110"/>
        <v>1050000</v>
      </c>
      <c r="W1610" s="122" t="s">
        <v>68</v>
      </c>
      <c r="X1610" s="122" t="s">
        <v>5262</v>
      </c>
      <c r="Y1610" s="122" t="s">
        <v>5263</v>
      </c>
      <c r="Z1610" s="122" t="s">
        <v>5264</v>
      </c>
      <c r="AA1610" s="122">
        <v>28</v>
      </c>
      <c r="AB1610" s="122">
        <v>40</v>
      </c>
      <c r="AC1610" s="122">
        <v>69</v>
      </c>
      <c r="AD1610" s="21">
        <v>0</v>
      </c>
      <c r="AE1610" s="54">
        <v>0</v>
      </c>
      <c r="AF1610" s="315">
        <f t="shared" si="113"/>
        <v>0</v>
      </c>
    </row>
    <row r="1611" spans="1:32" ht="165" x14ac:dyDescent="0.25">
      <c r="A1611" s="109" t="s">
        <v>588</v>
      </c>
      <c r="B1611" s="110" t="s">
        <v>2270</v>
      </c>
      <c r="C1611" s="52"/>
      <c r="D1611" s="110" t="s">
        <v>2276</v>
      </c>
      <c r="E1611" s="22" t="str">
        <f t="shared" si="111"/>
        <v>SEJUSPPROG</v>
      </c>
      <c r="F1611" s="123" t="s">
        <v>886</v>
      </c>
      <c r="G1611" s="22" t="str">
        <f t="shared" si="112"/>
        <v>P146SEJUSP</v>
      </c>
      <c r="H1611" s="107" t="s">
        <v>2307</v>
      </c>
      <c r="I1611" s="22" t="s">
        <v>16</v>
      </c>
      <c r="J1611" s="122" t="s">
        <v>1599</v>
      </c>
      <c r="K1611" s="22" t="str">
        <f>VLOOKUP(CONCATENATE(A1611,LEFT(J1611,4)),AGRUPAMENTO!$D$2:$E$6783,2,FALSE)</f>
        <v>Material de consumo</v>
      </c>
      <c r="L1611" s="122" t="s">
        <v>44</v>
      </c>
      <c r="M1611" s="52"/>
      <c r="N1611" s="108">
        <v>10</v>
      </c>
      <c r="O1611" s="122" t="s">
        <v>3676</v>
      </c>
      <c r="P1611" s="52" t="s">
        <v>58</v>
      </c>
      <c r="Q1611" s="122" t="s">
        <v>4301</v>
      </c>
      <c r="R1611" s="122">
        <v>1000</v>
      </c>
      <c r="S1611" s="122" t="s">
        <v>4300</v>
      </c>
      <c r="T1611" s="256">
        <v>30.61</v>
      </c>
      <c r="U1611" s="249">
        <v>4</v>
      </c>
      <c r="V1611" s="58">
        <f t="shared" si="110"/>
        <v>122440</v>
      </c>
      <c r="W1611" s="122" t="s">
        <v>68</v>
      </c>
      <c r="X1611" s="122" t="s">
        <v>5265</v>
      </c>
      <c r="Y1611" s="122" t="s">
        <v>5263</v>
      </c>
      <c r="Z1611" s="122" t="s">
        <v>5266</v>
      </c>
      <c r="AA1611" s="122">
        <v>29</v>
      </c>
      <c r="AB1611" s="122">
        <v>41</v>
      </c>
      <c r="AC1611" s="122">
        <v>70</v>
      </c>
      <c r="AD1611" s="21">
        <v>0</v>
      </c>
      <c r="AE1611" s="54">
        <v>0</v>
      </c>
      <c r="AF1611" s="315">
        <f t="shared" si="113"/>
        <v>0</v>
      </c>
    </row>
    <row r="1612" spans="1:32" ht="409.5" x14ac:dyDescent="0.25">
      <c r="A1612" s="107" t="s">
        <v>588</v>
      </c>
      <c r="B1612" s="107" t="s">
        <v>2270</v>
      </c>
      <c r="C1612" s="52"/>
      <c r="D1612" s="108" t="s">
        <v>2301</v>
      </c>
      <c r="E1612" s="22" t="str">
        <f t="shared" si="111"/>
        <v>SEJUSPPROG</v>
      </c>
      <c r="F1612" s="52" t="s">
        <v>729</v>
      </c>
      <c r="G1612" s="22" t="str">
        <f t="shared" si="112"/>
        <v>P130SEJUSP</v>
      </c>
      <c r="H1612" s="108" t="s">
        <v>1148</v>
      </c>
      <c r="I1612" s="22" t="s">
        <v>16</v>
      </c>
      <c r="J1612" s="108" t="s">
        <v>1681</v>
      </c>
      <c r="K1612" s="22" t="str">
        <f>VLOOKUP(CONCATENATE(A1612,LEFT(J1612,4)),AGRUPAMENTO!$D$2:$E$6783,2,FALSE)</f>
        <v>Aquisições de itens de TIC</v>
      </c>
      <c r="L1612" s="52" t="s">
        <v>94</v>
      </c>
      <c r="M1612" s="52"/>
      <c r="N1612" s="108">
        <v>60</v>
      </c>
      <c r="O1612" s="108" t="s">
        <v>3677</v>
      </c>
      <c r="P1612" s="52" t="s">
        <v>58</v>
      </c>
      <c r="Q1612" s="108" t="s">
        <v>4310</v>
      </c>
      <c r="R1612" s="108">
        <v>350</v>
      </c>
      <c r="S1612" s="108" t="s">
        <v>4238</v>
      </c>
      <c r="T1612" s="241">
        <v>11266</v>
      </c>
      <c r="U1612" s="245">
        <v>1</v>
      </c>
      <c r="V1612" s="58">
        <f t="shared" si="110"/>
        <v>3943100</v>
      </c>
      <c r="W1612" s="108" t="s">
        <v>68</v>
      </c>
      <c r="X1612" s="108" t="s">
        <v>5267</v>
      </c>
      <c r="Y1612" s="108" t="s">
        <v>5268</v>
      </c>
      <c r="Z1612" s="108" t="s">
        <v>5269</v>
      </c>
      <c r="AA1612" s="108">
        <v>5</v>
      </c>
      <c r="AB1612" s="108">
        <v>42</v>
      </c>
      <c r="AC1612" s="108">
        <v>71</v>
      </c>
      <c r="AD1612" s="21">
        <v>0</v>
      </c>
      <c r="AE1612" s="54">
        <v>0</v>
      </c>
      <c r="AF1612" s="315">
        <f t="shared" si="113"/>
        <v>0</v>
      </c>
    </row>
    <row r="1613" spans="1:32" ht="120" x14ac:dyDescent="0.25">
      <c r="A1613" s="109" t="s">
        <v>588</v>
      </c>
      <c r="B1613" s="110" t="s">
        <v>2270</v>
      </c>
      <c r="C1613" s="52"/>
      <c r="D1613" s="110" t="s">
        <v>2276</v>
      </c>
      <c r="E1613" s="22" t="str">
        <f t="shared" si="111"/>
        <v>SEJUSPPROG</v>
      </c>
      <c r="F1613" s="52" t="s">
        <v>729</v>
      </c>
      <c r="G1613" s="22" t="str">
        <f t="shared" si="112"/>
        <v>P130SEJUSP</v>
      </c>
      <c r="H1613" s="122" t="s">
        <v>1183</v>
      </c>
      <c r="I1613" s="22" t="s">
        <v>16</v>
      </c>
      <c r="J1613" s="52" t="s">
        <v>445</v>
      </c>
      <c r="K1613" s="22" t="str">
        <f>VLOOKUP(CONCATENATE(A1613,LEFT(J1613,4)),AGRUPAMENTO!$D$2:$E$6783,2,FALSE)</f>
        <v>Material de consumo</v>
      </c>
      <c r="L1613" s="122" t="s">
        <v>44</v>
      </c>
      <c r="M1613" s="52"/>
      <c r="N1613" s="52">
        <v>60</v>
      </c>
      <c r="O1613" s="122" t="s">
        <v>3678</v>
      </c>
      <c r="P1613" s="52" t="s">
        <v>46</v>
      </c>
      <c r="Q1613" s="257" t="s">
        <v>3885</v>
      </c>
      <c r="R1613" s="122">
        <v>262038</v>
      </c>
      <c r="S1613" s="122" t="s">
        <v>4023</v>
      </c>
      <c r="T1613" s="243">
        <v>30</v>
      </c>
      <c r="U1613" s="249">
        <v>1</v>
      </c>
      <c r="V1613" s="58">
        <f t="shared" si="110"/>
        <v>7861140</v>
      </c>
      <c r="W1613" s="52" t="s">
        <v>49</v>
      </c>
      <c r="X1613" s="122" t="s">
        <v>5270</v>
      </c>
      <c r="Y1613" s="122" t="s">
        <v>5200</v>
      </c>
      <c r="Z1613" s="122" t="s">
        <v>4739</v>
      </c>
      <c r="AA1613" s="52">
        <v>0</v>
      </c>
      <c r="AB1613" s="52">
        <v>0</v>
      </c>
      <c r="AC1613" s="52">
        <v>0</v>
      </c>
      <c r="AD1613" s="21">
        <v>0.66843255889259856</v>
      </c>
      <c r="AE1613" s="54">
        <v>0.66843255889259856</v>
      </c>
      <c r="AF1613" s="315">
        <f t="shared" si="113"/>
        <v>5254641.9260129621</v>
      </c>
    </row>
    <row r="1614" spans="1:32" ht="90" x14ac:dyDescent="0.25">
      <c r="A1614" s="109" t="s">
        <v>588</v>
      </c>
      <c r="B1614" s="110" t="s">
        <v>2270</v>
      </c>
      <c r="C1614" s="52"/>
      <c r="D1614" s="110" t="s">
        <v>2276</v>
      </c>
      <c r="E1614" s="22" t="str">
        <f t="shared" si="111"/>
        <v>SEJUSPPROG</v>
      </c>
      <c r="F1614" s="52" t="s">
        <v>729</v>
      </c>
      <c r="G1614" s="22" t="str">
        <f t="shared" si="112"/>
        <v>P130SEJUSP</v>
      </c>
      <c r="H1614" s="122" t="s">
        <v>1183</v>
      </c>
      <c r="I1614" s="22" t="s">
        <v>16</v>
      </c>
      <c r="J1614" s="52" t="s">
        <v>445</v>
      </c>
      <c r="K1614" s="22" t="str">
        <f>VLOOKUP(CONCATENATE(A1614,LEFT(J1614,4)),AGRUPAMENTO!$D$2:$E$6783,2,FALSE)</f>
        <v>Material de consumo</v>
      </c>
      <c r="L1614" s="122" t="s">
        <v>44</v>
      </c>
      <c r="M1614" s="52"/>
      <c r="N1614" s="52">
        <v>60</v>
      </c>
      <c r="O1614" s="122" t="s">
        <v>3020</v>
      </c>
      <c r="P1614" s="52" t="s">
        <v>46</v>
      </c>
      <c r="Q1614" s="122" t="s">
        <v>4311</v>
      </c>
      <c r="R1614" s="258">
        <v>2400</v>
      </c>
      <c r="S1614" s="122" t="s">
        <v>3886</v>
      </c>
      <c r="T1614" s="243">
        <v>2080</v>
      </c>
      <c r="U1614" s="249">
        <v>1</v>
      </c>
      <c r="V1614" s="58">
        <f t="shared" si="110"/>
        <v>4992000</v>
      </c>
      <c r="W1614" s="52" t="s">
        <v>49</v>
      </c>
      <c r="X1614" s="122" t="s">
        <v>5271</v>
      </c>
      <c r="Y1614" s="122" t="s">
        <v>4692</v>
      </c>
      <c r="Z1614" s="122" t="s">
        <v>5272</v>
      </c>
      <c r="AA1614" s="52">
        <v>0</v>
      </c>
      <c r="AB1614" s="52">
        <v>0</v>
      </c>
      <c r="AC1614" s="52">
        <v>0</v>
      </c>
      <c r="AD1614" s="21">
        <v>0.66843255889259856</v>
      </c>
      <c r="AE1614" s="54">
        <v>0.66843255889259856</v>
      </c>
      <c r="AF1614" s="315">
        <f t="shared" si="113"/>
        <v>3336815.3339918521</v>
      </c>
    </row>
    <row r="1615" spans="1:32" ht="75" x14ac:dyDescent="0.25">
      <c r="A1615" s="109" t="s">
        <v>588</v>
      </c>
      <c r="B1615" s="110" t="s">
        <v>2270</v>
      </c>
      <c r="C1615" s="52"/>
      <c r="D1615" s="110" t="s">
        <v>2276</v>
      </c>
      <c r="E1615" s="22" t="str">
        <f t="shared" si="111"/>
        <v>SEJUSPPROG</v>
      </c>
      <c r="F1615" s="52" t="s">
        <v>729</v>
      </c>
      <c r="G1615" s="22" t="str">
        <f t="shared" si="112"/>
        <v>P130SEJUSP</v>
      </c>
      <c r="H1615" s="122" t="s">
        <v>1183</v>
      </c>
      <c r="I1615" s="22" t="s">
        <v>16</v>
      </c>
      <c r="J1615" s="123" t="s">
        <v>2232</v>
      </c>
      <c r="K1615" s="22" t="str">
        <f>VLOOKUP(CONCATENATE(A1615,LEFT(J1615,4)),AGRUPAMENTO!$D$2:$E$6783,2,FALSE)</f>
        <v>Demais despesas de capital</v>
      </c>
      <c r="L1615" s="122" t="s">
        <v>94</v>
      </c>
      <c r="M1615" s="52"/>
      <c r="N1615" s="123">
        <v>10</v>
      </c>
      <c r="O1615" s="122" t="s">
        <v>3679</v>
      </c>
      <c r="P1615" s="52" t="s">
        <v>58</v>
      </c>
      <c r="Q1615" s="122" t="s">
        <v>4020</v>
      </c>
      <c r="R1615" s="122">
        <v>10000</v>
      </c>
      <c r="S1615" s="122" t="s">
        <v>4023</v>
      </c>
      <c r="T1615" s="243">
        <v>200</v>
      </c>
      <c r="U1615" s="249">
        <v>1</v>
      </c>
      <c r="V1615" s="58">
        <f t="shared" si="110"/>
        <v>2000000</v>
      </c>
      <c r="W1615" s="122" t="s">
        <v>68</v>
      </c>
      <c r="X1615" s="122" t="s">
        <v>5273</v>
      </c>
      <c r="Y1615" s="122" t="s">
        <v>5274</v>
      </c>
      <c r="Z1615" s="122" t="s">
        <v>5275</v>
      </c>
      <c r="AA1615" s="122">
        <v>30</v>
      </c>
      <c r="AB1615" s="122">
        <v>43</v>
      </c>
      <c r="AC1615" s="122">
        <v>72</v>
      </c>
      <c r="AD1615" s="21">
        <v>0</v>
      </c>
      <c r="AE1615" s="54">
        <v>0</v>
      </c>
      <c r="AF1615" s="315">
        <f t="shared" si="113"/>
        <v>0</v>
      </c>
    </row>
    <row r="1616" spans="1:32" ht="75" x14ac:dyDescent="0.25">
      <c r="A1616" s="109" t="s">
        <v>588</v>
      </c>
      <c r="B1616" s="110" t="s">
        <v>2270</v>
      </c>
      <c r="C1616" s="52"/>
      <c r="D1616" s="110" t="s">
        <v>2276</v>
      </c>
      <c r="E1616" s="22" t="str">
        <f t="shared" si="111"/>
        <v>SEJUSPPROG</v>
      </c>
      <c r="F1616" s="52" t="s">
        <v>729</v>
      </c>
      <c r="G1616" s="22" t="str">
        <f t="shared" si="112"/>
        <v>P130SEJUSP</v>
      </c>
      <c r="H1616" s="122" t="s">
        <v>1183</v>
      </c>
      <c r="I1616" s="22" t="s">
        <v>16</v>
      </c>
      <c r="J1616" s="123" t="s">
        <v>458</v>
      </c>
      <c r="K1616" s="22" t="str">
        <f>VLOOKUP(CONCATENATE(A1616,LEFT(J1616,4)),AGRUPAMENTO!$D$2:$E$6783,2,FALSE)</f>
        <v>Demais despesas de capital</v>
      </c>
      <c r="L1616" s="122" t="s">
        <v>94</v>
      </c>
      <c r="M1616" s="52"/>
      <c r="N1616" s="123">
        <v>10</v>
      </c>
      <c r="O1616" s="122" t="s">
        <v>3680</v>
      </c>
      <c r="P1616" s="52" t="s">
        <v>58</v>
      </c>
      <c r="Q1616" s="122" t="s">
        <v>4020</v>
      </c>
      <c r="R1616" s="122">
        <v>340</v>
      </c>
      <c r="S1616" s="122" t="s">
        <v>4023</v>
      </c>
      <c r="T1616" s="243">
        <v>1660</v>
      </c>
      <c r="U1616" s="249">
        <v>1</v>
      </c>
      <c r="V1616" s="58">
        <f t="shared" si="110"/>
        <v>564400</v>
      </c>
      <c r="W1616" s="122" t="s">
        <v>68</v>
      </c>
      <c r="X1616" s="122" t="s">
        <v>5273</v>
      </c>
      <c r="Y1616" s="122" t="s">
        <v>5274</v>
      </c>
      <c r="Z1616" s="122" t="s">
        <v>5275</v>
      </c>
      <c r="AA1616" s="122">
        <v>30</v>
      </c>
      <c r="AB1616" s="122">
        <v>43</v>
      </c>
      <c r="AC1616" s="122">
        <v>72</v>
      </c>
      <c r="AD1616" s="21">
        <v>0</v>
      </c>
      <c r="AE1616" s="54">
        <v>0</v>
      </c>
      <c r="AF1616" s="315">
        <f t="shared" si="113"/>
        <v>0</v>
      </c>
    </row>
    <row r="1617" spans="1:32" ht="240" x14ac:dyDescent="0.25">
      <c r="A1617" s="109" t="s">
        <v>588</v>
      </c>
      <c r="B1617" s="110" t="s">
        <v>2270</v>
      </c>
      <c r="C1617" s="52"/>
      <c r="D1617" s="110" t="s">
        <v>2276</v>
      </c>
      <c r="E1617" s="22" t="str">
        <f t="shared" si="111"/>
        <v>SEJUSPPROG</v>
      </c>
      <c r="F1617" s="52" t="s">
        <v>729</v>
      </c>
      <c r="G1617" s="22" t="str">
        <f t="shared" si="112"/>
        <v>P130SEJUSP</v>
      </c>
      <c r="H1617" s="122" t="s">
        <v>1183</v>
      </c>
      <c r="I1617" s="22" t="s">
        <v>16</v>
      </c>
      <c r="J1617" s="122" t="s">
        <v>405</v>
      </c>
      <c r="K1617" s="22" t="str">
        <f>VLOOKUP(CONCATENATE(A1617,LEFT(J1617,4)),AGRUPAMENTO!$D$2:$E$6783,2,FALSE)</f>
        <v>Material de consumo</v>
      </c>
      <c r="L1617" s="122" t="s">
        <v>44</v>
      </c>
      <c r="M1617" s="52"/>
      <c r="N1617" s="52">
        <v>60</v>
      </c>
      <c r="O1617" s="122" t="s">
        <v>3661</v>
      </c>
      <c r="P1617" s="52" t="s">
        <v>46</v>
      </c>
      <c r="Q1617" s="122" t="s">
        <v>4299</v>
      </c>
      <c r="R1617" s="122">
        <v>70000</v>
      </c>
      <c r="S1617" s="122" t="s">
        <v>4300</v>
      </c>
      <c r="T1617" s="246">
        <v>27</v>
      </c>
      <c r="U1617" s="249">
        <v>4</v>
      </c>
      <c r="V1617" s="58">
        <f t="shared" si="110"/>
        <v>7560000</v>
      </c>
      <c r="W1617" s="52" t="s">
        <v>49</v>
      </c>
      <c r="X1617" s="122" t="s">
        <v>5276</v>
      </c>
      <c r="Y1617" s="122" t="s">
        <v>5239</v>
      </c>
      <c r="Z1617" s="122" t="s">
        <v>5240</v>
      </c>
      <c r="AA1617" s="52">
        <v>0</v>
      </c>
      <c r="AB1617" s="52">
        <v>0</v>
      </c>
      <c r="AC1617" s="52">
        <v>0</v>
      </c>
      <c r="AD1617" s="21">
        <v>0.66843255889259856</v>
      </c>
      <c r="AE1617" s="54">
        <v>0.66843255889259856</v>
      </c>
      <c r="AF1617" s="315">
        <f t="shared" si="113"/>
        <v>5053350.1452280451</v>
      </c>
    </row>
    <row r="1618" spans="1:32" ht="60" x14ac:dyDescent="0.25">
      <c r="A1618" s="109" t="s">
        <v>588</v>
      </c>
      <c r="B1618" s="110" t="s">
        <v>2270</v>
      </c>
      <c r="C1618" s="52"/>
      <c r="D1618" s="110" t="s">
        <v>2276</v>
      </c>
      <c r="E1618" s="22" t="str">
        <f t="shared" si="111"/>
        <v>SEJUSPPROG</v>
      </c>
      <c r="F1618" s="52" t="s">
        <v>729</v>
      </c>
      <c r="G1618" s="22" t="str">
        <f t="shared" si="112"/>
        <v>P130SEJUSP</v>
      </c>
      <c r="H1618" s="122" t="s">
        <v>1183</v>
      </c>
      <c r="I1618" s="22" t="s">
        <v>16</v>
      </c>
      <c r="J1618" s="122" t="s">
        <v>2138</v>
      </c>
      <c r="K1618" s="22" t="str">
        <f>VLOOKUP(CONCATENATE(A1618,LEFT(J1618,4)),AGRUPAMENTO!$D$2:$E$6783,2,FALSE)</f>
        <v>Reparo de imóveis</v>
      </c>
      <c r="L1618" s="122" t="s">
        <v>44</v>
      </c>
      <c r="M1618" s="52"/>
      <c r="N1618" s="52">
        <v>60</v>
      </c>
      <c r="O1618" s="122" t="s">
        <v>3681</v>
      </c>
      <c r="P1618" s="52" t="s">
        <v>58</v>
      </c>
      <c r="Q1618" s="122">
        <v>1000</v>
      </c>
      <c r="R1618" s="122">
        <v>1000</v>
      </c>
      <c r="S1618" s="122" t="s">
        <v>4023</v>
      </c>
      <c r="T1618" s="243">
        <v>800</v>
      </c>
      <c r="U1618" s="249">
        <v>1</v>
      </c>
      <c r="V1618" s="58">
        <f t="shared" si="110"/>
        <v>800000</v>
      </c>
      <c r="W1618" s="122" t="s">
        <v>68</v>
      </c>
      <c r="X1618" s="122" t="s">
        <v>5273</v>
      </c>
      <c r="Y1618" s="122" t="s">
        <v>5277</v>
      </c>
      <c r="Z1618" s="122" t="s">
        <v>5278</v>
      </c>
      <c r="AA1618" s="122">
        <v>30</v>
      </c>
      <c r="AB1618" s="122">
        <v>43</v>
      </c>
      <c r="AC1618" s="122">
        <v>72</v>
      </c>
      <c r="AD1618" s="21">
        <v>0</v>
      </c>
      <c r="AE1618" s="54">
        <v>0</v>
      </c>
      <c r="AF1618" s="315">
        <f t="shared" si="113"/>
        <v>0</v>
      </c>
    </row>
    <row r="1619" spans="1:32" ht="240" x14ac:dyDescent="0.25">
      <c r="A1619" s="109" t="s">
        <v>588</v>
      </c>
      <c r="B1619" s="110" t="s">
        <v>2270</v>
      </c>
      <c r="C1619" s="52"/>
      <c r="D1619" s="110" t="s">
        <v>2276</v>
      </c>
      <c r="E1619" s="22" t="str">
        <f t="shared" si="111"/>
        <v>SEJUSPPROG</v>
      </c>
      <c r="F1619" s="122" t="s">
        <v>886</v>
      </c>
      <c r="G1619" s="22" t="str">
        <f t="shared" si="112"/>
        <v>P146SEJUSP</v>
      </c>
      <c r="H1619" s="107" t="s">
        <v>2307</v>
      </c>
      <c r="I1619" s="22" t="s">
        <v>16</v>
      </c>
      <c r="J1619" s="122" t="s">
        <v>405</v>
      </c>
      <c r="K1619" s="22" t="str">
        <f>VLOOKUP(CONCATENATE(A1619,LEFT(J1619,4)),AGRUPAMENTO!$D$2:$E$6783,2,FALSE)</f>
        <v>Material de consumo</v>
      </c>
      <c r="L1619" s="122" t="s">
        <v>44</v>
      </c>
      <c r="M1619" s="52"/>
      <c r="N1619" s="52">
        <v>10</v>
      </c>
      <c r="O1619" s="122" t="s">
        <v>3662</v>
      </c>
      <c r="P1619" s="52" t="s">
        <v>46</v>
      </c>
      <c r="Q1619" s="122" t="s">
        <v>4301</v>
      </c>
      <c r="R1619" s="122">
        <v>1000</v>
      </c>
      <c r="S1619" s="122" t="s">
        <v>4300</v>
      </c>
      <c r="T1619" s="246">
        <v>27</v>
      </c>
      <c r="U1619" s="249">
        <v>4</v>
      </c>
      <c r="V1619" s="58">
        <f t="shared" si="110"/>
        <v>108000</v>
      </c>
      <c r="W1619" s="52" t="s">
        <v>49</v>
      </c>
      <c r="X1619" s="122" t="s">
        <v>5279</v>
      </c>
      <c r="Y1619" s="122" t="s">
        <v>5242</v>
      </c>
      <c r="Z1619" s="122" t="s">
        <v>5240</v>
      </c>
      <c r="AA1619" s="52">
        <v>0</v>
      </c>
      <c r="AB1619" s="52">
        <v>0</v>
      </c>
      <c r="AC1619" s="52">
        <v>0</v>
      </c>
      <c r="AD1619" s="21">
        <v>0.66843255889259856</v>
      </c>
      <c r="AE1619" s="54">
        <v>0.66843255889259856</v>
      </c>
      <c r="AF1619" s="315">
        <f t="shared" si="113"/>
        <v>72190.716360400649</v>
      </c>
    </row>
    <row r="1620" spans="1:32" ht="135" x14ac:dyDescent="0.25">
      <c r="A1620" s="109" t="s">
        <v>588</v>
      </c>
      <c r="B1620" s="110" t="s">
        <v>2270</v>
      </c>
      <c r="C1620" s="52"/>
      <c r="D1620" s="110" t="s">
        <v>2276</v>
      </c>
      <c r="E1620" s="22" t="str">
        <f t="shared" si="111"/>
        <v>SEJUSPPROG</v>
      </c>
      <c r="F1620" s="108" t="s">
        <v>729</v>
      </c>
      <c r="G1620" s="22" t="str">
        <f t="shared" si="112"/>
        <v>P130SEJUSP</v>
      </c>
      <c r="H1620" s="122" t="s">
        <v>1183</v>
      </c>
      <c r="I1620" s="22" t="s">
        <v>16</v>
      </c>
      <c r="J1620" s="122" t="s">
        <v>490</v>
      </c>
      <c r="K1620" s="22" t="str">
        <f>VLOOKUP(CONCATENATE(A1620,LEFT(J1620,4)),AGRUPAMENTO!$D$2:$E$6783,2,FALSE)</f>
        <v>Material de consumo</v>
      </c>
      <c r="L1620" s="122" t="s">
        <v>44</v>
      </c>
      <c r="M1620" s="52"/>
      <c r="N1620" s="52">
        <v>60</v>
      </c>
      <c r="O1620" s="122" t="s">
        <v>3682</v>
      </c>
      <c r="P1620" s="52" t="s">
        <v>58</v>
      </c>
      <c r="Q1620" s="122" t="s">
        <v>4020</v>
      </c>
      <c r="R1620" s="122">
        <v>1400</v>
      </c>
      <c r="S1620" s="122" t="s">
        <v>4023</v>
      </c>
      <c r="T1620" s="243">
        <v>59.5</v>
      </c>
      <c r="U1620" s="249">
        <v>2</v>
      </c>
      <c r="V1620" s="58">
        <f t="shared" si="110"/>
        <v>166600</v>
      </c>
      <c r="W1620" s="122" t="s">
        <v>68</v>
      </c>
      <c r="X1620" s="311" t="s">
        <v>5280</v>
      </c>
      <c r="Y1620" s="311" t="s">
        <v>5281</v>
      </c>
      <c r="Z1620" s="311" t="s">
        <v>5282</v>
      </c>
      <c r="AA1620" s="122">
        <v>31</v>
      </c>
      <c r="AB1620" s="122">
        <v>44</v>
      </c>
      <c r="AC1620" s="122">
        <v>73</v>
      </c>
      <c r="AD1620" s="21">
        <v>0</v>
      </c>
      <c r="AE1620" s="54">
        <v>0</v>
      </c>
      <c r="AF1620" s="315">
        <f t="shared" si="113"/>
        <v>0</v>
      </c>
    </row>
    <row r="1621" spans="1:32" ht="165" x14ac:dyDescent="0.25">
      <c r="A1621" s="109" t="s">
        <v>588</v>
      </c>
      <c r="B1621" s="110" t="s">
        <v>2270</v>
      </c>
      <c r="C1621" s="52"/>
      <c r="D1621" s="110" t="s">
        <v>2276</v>
      </c>
      <c r="E1621" s="22" t="str">
        <f t="shared" si="111"/>
        <v>SEJUSPPROG</v>
      </c>
      <c r="F1621" s="52" t="s">
        <v>729</v>
      </c>
      <c r="G1621" s="22" t="str">
        <f t="shared" si="112"/>
        <v>P130SEJUSP</v>
      </c>
      <c r="H1621" s="122" t="s">
        <v>1183</v>
      </c>
      <c r="I1621" s="22" t="s">
        <v>16</v>
      </c>
      <c r="J1621" s="122" t="s">
        <v>1599</v>
      </c>
      <c r="K1621" s="22" t="str">
        <f>VLOOKUP(CONCATENATE(A1621,LEFT(J1621,4)),AGRUPAMENTO!$D$2:$E$6783,2,FALSE)</f>
        <v>Material de consumo</v>
      </c>
      <c r="L1621" s="122" t="s">
        <v>44</v>
      </c>
      <c r="M1621" s="52"/>
      <c r="N1621" s="52">
        <v>60</v>
      </c>
      <c r="O1621" s="122" t="s">
        <v>3675</v>
      </c>
      <c r="P1621" s="52" t="s">
        <v>46</v>
      </c>
      <c r="Q1621" s="122" t="s">
        <v>4299</v>
      </c>
      <c r="R1621" s="122">
        <v>70000</v>
      </c>
      <c r="S1621" s="122" t="s">
        <v>4300</v>
      </c>
      <c r="T1621" s="246">
        <v>64.239999999999995</v>
      </c>
      <c r="U1621" s="249">
        <v>4</v>
      </c>
      <c r="V1621" s="58">
        <f t="shared" si="110"/>
        <v>17987200</v>
      </c>
      <c r="W1621" s="52" t="s">
        <v>49</v>
      </c>
      <c r="X1621" s="122" t="s">
        <v>5283</v>
      </c>
      <c r="Y1621" s="122" t="s">
        <v>5263</v>
      </c>
      <c r="Z1621" s="122" t="s">
        <v>5264</v>
      </c>
      <c r="AA1621" s="52">
        <v>0</v>
      </c>
      <c r="AB1621" s="52">
        <v>0</v>
      </c>
      <c r="AC1621" s="52">
        <v>0</v>
      </c>
      <c r="AD1621" s="21">
        <v>0.66843255889259856</v>
      </c>
      <c r="AE1621" s="54">
        <v>0.66843255889259856</v>
      </c>
      <c r="AF1621" s="315">
        <f t="shared" si="113"/>
        <v>12023230.123312948</v>
      </c>
    </row>
    <row r="1622" spans="1:32" ht="300" x14ac:dyDescent="0.25">
      <c r="A1622" s="107" t="s">
        <v>588</v>
      </c>
      <c r="B1622" s="107" t="s">
        <v>2270</v>
      </c>
      <c r="C1622" s="52"/>
      <c r="D1622" s="108" t="s">
        <v>2301</v>
      </c>
      <c r="E1622" s="22" t="str">
        <f t="shared" si="111"/>
        <v>SEJUSPPROG</v>
      </c>
      <c r="F1622" s="52" t="s">
        <v>729</v>
      </c>
      <c r="G1622" s="22" t="str">
        <f t="shared" si="112"/>
        <v>P130SEJUSP</v>
      </c>
      <c r="H1622" s="108" t="s">
        <v>1148</v>
      </c>
      <c r="I1622" s="22" t="s">
        <v>16</v>
      </c>
      <c r="J1622" s="108" t="s">
        <v>2228</v>
      </c>
      <c r="K1622" s="22" t="str">
        <f>VLOOKUP(CONCATENATE(A1622,LEFT(J1622,4)),AGRUPAMENTO!$D$2:$E$6783,2,FALSE)</f>
        <v>Aquisições de itens de TIC</v>
      </c>
      <c r="L1622" s="52" t="s">
        <v>94</v>
      </c>
      <c r="M1622" s="52"/>
      <c r="N1622" s="52">
        <v>60</v>
      </c>
      <c r="O1622" s="108" t="s">
        <v>3683</v>
      </c>
      <c r="P1622" s="52" t="s">
        <v>58</v>
      </c>
      <c r="Q1622" s="108" t="s">
        <v>4214</v>
      </c>
      <c r="R1622" s="108">
        <v>1</v>
      </c>
      <c r="S1622" s="108" t="s">
        <v>4214</v>
      </c>
      <c r="T1622" s="241">
        <v>22000000</v>
      </c>
      <c r="U1622" s="245">
        <v>1</v>
      </c>
      <c r="V1622" s="58">
        <f t="shared" si="110"/>
        <v>22000000</v>
      </c>
      <c r="W1622" s="108" t="s">
        <v>68</v>
      </c>
      <c r="X1622" s="108" t="s">
        <v>5284</v>
      </c>
      <c r="Y1622" s="108" t="s">
        <v>5285</v>
      </c>
      <c r="Z1622" s="108" t="s">
        <v>5286</v>
      </c>
      <c r="AA1622" s="108">
        <v>14</v>
      </c>
      <c r="AB1622" s="108">
        <v>45</v>
      </c>
      <c r="AC1622" s="108">
        <v>74</v>
      </c>
      <c r="AD1622" s="21">
        <v>0</v>
      </c>
      <c r="AE1622" s="54">
        <v>0</v>
      </c>
      <c r="AF1622" s="315">
        <f t="shared" si="113"/>
        <v>0</v>
      </c>
    </row>
    <row r="1623" spans="1:32" ht="165" x14ac:dyDescent="0.25">
      <c r="A1623" s="109" t="s">
        <v>588</v>
      </c>
      <c r="B1623" s="110" t="s">
        <v>2270</v>
      </c>
      <c r="C1623" s="52"/>
      <c r="D1623" s="110" t="s">
        <v>2276</v>
      </c>
      <c r="E1623" s="22" t="str">
        <f t="shared" si="111"/>
        <v>SEJUSPPROG</v>
      </c>
      <c r="F1623" s="122" t="s">
        <v>886</v>
      </c>
      <c r="G1623" s="22" t="str">
        <f t="shared" si="112"/>
        <v>P146SEJUSP</v>
      </c>
      <c r="H1623" s="107" t="s">
        <v>2307</v>
      </c>
      <c r="I1623" s="22" t="s">
        <v>16</v>
      </c>
      <c r="J1623" s="122" t="s">
        <v>1599</v>
      </c>
      <c r="K1623" s="22" t="str">
        <f>VLOOKUP(CONCATENATE(A1623,LEFT(J1623,4)),AGRUPAMENTO!$D$2:$E$6783,2,FALSE)</f>
        <v>Material de consumo</v>
      </c>
      <c r="L1623" s="122" t="s">
        <v>44</v>
      </c>
      <c r="M1623" s="52"/>
      <c r="N1623" s="52">
        <v>10</v>
      </c>
      <c r="O1623" s="122" t="s">
        <v>3676</v>
      </c>
      <c r="P1623" s="52" t="s">
        <v>46</v>
      </c>
      <c r="Q1623" s="122" t="s">
        <v>4301</v>
      </c>
      <c r="R1623" s="122">
        <v>1000</v>
      </c>
      <c r="S1623" s="122" t="s">
        <v>4300</v>
      </c>
      <c r="T1623" s="256">
        <v>525.59</v>
      </c>
      <c r="U1623" s="249">
        <v>4</v>
      </c>
      <c r="V1623" s="58">
        <f t="shared" si="110"/>
        <v>2102360</v>
      </c>
      <c r="W1623" s="52" t="s">
        <v>49</v>
      </c>
      <c r="X1623" s="122" t="s">
        <v>5287</v>
      </c>
      <c r="Y1623" s="122" t="s">
        <v>5263</v>
      </c>
      <c r="Z1623" s="122" t="s">
        <v>5266</v>
      </c>
      <c r="AA1623" s="52">
        <v>0</v>
      </c>
      <c r="AB1623" s="52">
        <v>0</v>
      </c>
      <c r="AC1623" s="52">
        <v>0</v>
      </c>
      <c r="AD1623" s="21">
        <v>0.66843255889259856</v>
      </c>
      <c r="AE1623" s="54">
        <v>0.66843255889259856</v>
      </c>
      <c r="AF1623" s="315">
        <f t="shared" si="113"/>
        <v>1405285.8745134436</v>
      </c>
    </row>
    <row r="1624" spans="1:32" ht="135" x14ac:dyDescent="0.25">
      <c r="A1624" s="109" t="s">
        <v>588</v>
      </c>
      <c r="B1624" s="110" t="s">
        <v>2270</v>
      </c>
      <c r="C1624" s="52"/>
      <c r="D1624" s="110" t="s">
        <v>2276</v>
      </c>
      <c r="E1624" s="22" t="str">
        <f t="shared" si="111"/>
        <v>SEJUSPPROG</v>
      </c>
      <c r="F1624" s="108" t="s">
        <v>729</v>
      </c>
      <c r="G1624" s="22" t="str">
        <f t="shared" si="112"/>
        <v>P130SEJUSP</v>
      </c>
      <c r="H1624" s="122" t="s">
        <v>1183</v>
      </c>
      <c r="I1624" s="22" t="s">
        <v>16</v>
      </c>
      <c r="J1624" s="138" t="s">
        <v>303</v>
      </c>
      <c r="K1624" s="22" t="str">
        <f>VLOOKUP(CONCATENATE(A1624,LEFT(J1624,4)),AGRUPAMENTO!$D$2:$E$6783,2,FALSE)</f>
        <v>Demais despesas de capital</v>
      </c>
      <c r="L1624" s="122" t="s">
        <v>94</v>
      </c>
      <c r="M1624" s="52"/>
      <c r="N1624" s="123">
        <v>10</v>
      </c>
      <c r="O1624" s="122" t="s">
        <v>3684</v>
      </c>
      <c r="P1624" s="52" t="s">
        <v>58</v>
      </c>
      <c r="Q1624" s="122" t="s">
        <v>4020</v>
      </c>
      <c r="R1624" s="122">
        <v>40</v>
      </c>
      <c r="S1624" s="122" t="s">
        <v>4023</v>
      </c>
      <c r="T1624" s="243">
        <v>10200</v>
      </c>
      <c r="U1624" s="249">
        <v>1</v>
      </c>
      <c r="V1624" s="58">
        <f t="shared" si="110"/>
        <v>408000</v>
      </c>
      <c r="W1624" s="122" t="s">
        <v>68</v>
      </c>
      <c r="X1624" s="122" t="s">
        <v>5288</v>
      </c>
      <c r="Y1624" s="122" t="s">
        <v>5289</v>
      </c>
      <c r="Z1624" s="122" t="s">
        <v>5290</v>
      </c>
      <c r="AA1624" s="122">
        <v>32</v>
      </c>
      <c r="AB1624" s="122">
        <v>46</v>
      </c>
      <c r="AC1624" s="122">
        <v>75</v>
      </c>
      <c r="AD1624" s="21">
        <v>0</v>
      </c>
      <c r="AE1624" s="54">
        <v>0</v>
      </c>
      <c r="AF1624" s="315">
        <f t="shared" si="113"/>
        <v>0</v>
      </c>
    </row>
    <row r="1625" spans="1:32" ht="150" x14ac:dyDescent="0.25">
      <c r="A1625" s="109" t="s">
        <v>588</v>
      </c>
      <c r="B1625" s="110" t="s">
        <v>2270</v>
      </c>
      <c r="C1625" s="52"/>
      <c r="D1625" s="110" t="s">
        <v>2276</v>
      </c>
      <c r="E1625" s="22" t="str">
        <f t="shared" si="111"/>
        <v>SEJUSPPROG</v>
      </c>
      <c r="F1625" s="52" t="s">
        <v>729</v>
      </c>
      <c r="G1625" s="22" t="str">
        <f t="shared" si="112"/>
        <v>P130SEJUSP</v>
      </c>
      <c r="H1625" s="122" t="s">
        <v>1183</v>
      </c>
      <c r="I1625" s="22" t="s">
        <v>16</v>
      </c>
      <c r="J1625" s="122" t="s">
        <v>486</v>
      </c>
      <c r="K1625" s="22" t="str">
        <f>VLOOKUP(CONCATENATE(A1625,LEFT(J1625,4)),AGRUPAMENTO!$D$2:$E$6783,2,FALSE)</f>
        <v>Material de consumo</v>
      </c>
      <c r="L1625" s="122" t="s">
        <v>44</v>
      </c>
      <c r="M1625" s="52"/>
      <c r="N1625" s="52">
        <v>60</v>
      </c>
      <c r="O1625" s="122" t="s">
        <v>3685</v>
      </c>
      <c r="P1625" s="52" t="s">
        <v>46</v>
      </c>
      <c r="Q1625" s="122" t="s">
        <v>4299</v>
      </c>
      <c r="R1625" s="122">
        <v>80000</v>
      </c>
      <c r="S1625" s="122" t="s">
        <v>4300</v>
      </c>
      <c r="T1625" s="243">
        <v>182.4</v>
      </c>
      <c r="U1625" s="249">
        <v>1</v>
      </c>
      <c r="V1625" s="58">
        <f t="shared" si="110"/>
        <v>14592000</v>
      </c>
      <c r="W1625" s="52" t="s">
        <v>49</v>
      </c>
      <c r="X1625" s="122" t="s">
        <v>5291</v>
      </c>
      <c r="Y1625" s="122" t="s">
        <v>5292</v>
      </c>
      <c r="Z1625" s="122" t="s">
        <v>5264</v>
      </c>
      <c r="AA1625" s="52">
        <v>0</v>
      </c>
      <c r="AB1625" s="52">
        <v>0</v>
      </c>
      <c r="AC1625" s="52">
        <v>0</v>
      </c>
      <c r="AD1625" s="21">
        <v>0.66843255889259856</v>
      </c>
      <c r="AE1625" s="54">
        <v>0.66843255889259856</v>
      </c>
      <c r="AF1625" s="315">
        <f t="shared" si="113"/>
        <v>9753767.8993607983</v>
      </c>
    </row>
    <row r="1626" spans="1:32" ht="150" x14ac:dyDescent="0.25">
      <c r="A1626" s="109" t="s">
        <v>588</v>
      </c>
      <c r="B1626" s="110" t="s">
        <v>2270</v>
      </c>
      <c r="C1626" s="52"/>
      <c r="D1626" s="110" t="s">
        <v>2276</v>
      </c>
      <c r="E1626" s="22" t="str">
        <f t="shared" si="111"/>
        <v>SEJUSPPROG</v>
      </c>
      <c r="F1626" s="122" t="s">
        <v>886</v>
      </c>
      <c r="G1626" s="22" t="str">
        <f t="shared" si="112"/>
        <v>P146SEJUSP</v>
      </c>
      <c r="H1626" s="107" t="s">
        <v>2307</v>
      </c>
      <c r="I1626" s="22" t="s">
        <v>16</v>
      </c>
      <c r="J1626" s="122" t="s">
        <v>486</v>
      </c>
      <c r="K1626" s="22" t="str">
        <f>VLOOKUP(CONCATENATE(A1626,LEFT(J1626,4)),AGRUPAMENTO!$D$2:$E$6783,2,FALSE)</f>
        <v>Material de consumo</v>
      </c>
      <c r="L1626" s="122" t="s">
        <v>44</v>
      </c>
      <c r="M1626" s="52"/>
      <c r="N1626" s="52">
        <v>10</v>
      </c>
      <c r="O1626" s="122" t="s">
        <v>3686</v>
      </c>
      <c r="P1626" s="52" t="s">
        <v>46</v>
      </c>
      <c r="Q1626" s="122" t="s">
        <v>4301</v>
      </c>
      <c r="R1626" s="122">
        <v>1200</v>
      </c>
      <c r="S1626" s="122" t="s">
        <v>4300</v>
      </c>
      <c r="T1626" s="243">
        <v>182.4</v>
      </c>
      <c r="U1626" s="249">
        <v>1</v>
      </c>
      <c r="V1626" s="58">
        <f t="shared" si="110"/>
        <v>218880</v>
      </c>
      <c r="W1626" s="52" t="s">
        <v>49</v>
      </c>
      <c r="X1626" s="122" t="s">
        <v>5293</v>
      </c>
      <c r="Y1626" s="122" t="s">
        <v>5294</v>
      </c>
      <c r="Z1626" s="122" t="s">
        <v>5266</v>
      </c>
      <c r="AA1626" s="52">
        <v>0</v>
      </c>
      <c r="AB1626" s="52">
        <v>0</v>
      </c>
      <c r="AC1626" s="52">
        <v>0</v>
      </c>
      <c r="AD1626" s="21">
        <v>0.66843255889259856</v>
      </c>
      <c r="AE1626" s="54">
        <v>0.66843255889259856</v>
      </c>
      <c r="AF1626" s="315">
        <f t="shared" si="113"/>
        <v>146306.51849041198</v>
      </c>
    </row>
    <row r="1627" spans="1:32" ht="225" x14ac:dyDescent="0.25">
      <c r="A1627" s="109" t="s">
        <v>588</v>
      </c>
      <c r="B1627" s="110" t="s">
        <v>2270</v>
      </c>
      <c r="C1627" s="52"/>
      <c r="D1627" s="110" t="s">
        <v>2276</v>
      </c>
      <c r="E1627" s="22" t="str">
        <f t="shared" si="111"/>
        <v>SEJUSPPROG</v>
      </c>
      <c r="F1627" s="52" t="s">
        <v>729</v>
      </c>
      <c r="G1627" s="22" t="str">
        <f t="shared" si="112"/>
        <v>P130SEJUSP</v>
      </c>
      <c r="H1627" s="122" t="s">
        <v>1183</v>
      </c>
      <c r="I1627" s="22" t="s">
        <v>16</v>
      </c>
      <c r="J1627" s="122" t="s">
        <v>353</v>
      </c>
      <c r="K1627" s="22" t="str">
        <f>VLOOKUP(CONCATENATE(A1627,LEFT(J1627,4)),AGRUPAMENTO!$D$2:$E$6783,2,FALSE)</f>
        <v>Material de consumo</v>
      </c>
      <c r="L1627" s="122" t="s">
        <v>44</v>
      </c>
      <c r="M1627" s="52"/>
      <c r="N1627" s="52">
        <v>60</v>
      </c>
      <c r="O1627" s="122" t="s">
        <v>3687</v>
      </c>
      <c r="P1627" s="52" t="s">
        <v>46</v>
      </c>
      <c r="Q1627" s="122" t="s">
        <v>4312</v>
      </c>
      <c r="R1627" s="122">
        <v>38000</v>
      </c>
      <c r="S1627" s="122" t="s">
        <v>4313</v>
      </c>
      <c r="T1627" s="259">
        <v>22</v>
      </c>
      <c r="U1627" s="260">
        <v>2</v>
      </c>
      <c r="V1627" s="58">
        <f t="shared" si="110"/>
        <v>1672000</v>
      </c>
      <c r="W1627" s="52" t="s">
        <v>49</v>
      </c>
      <c r="X1627" s="122" t="s">
        <v>5295</v>
      </c>
      <c r="Y1627" s="122" t="s">
        <v>5296</v>
      </c>
      <c r="Z1627" s="122" t="s">
        <v>5297</v>
      </c>
      <c r="AA1627" s="52">
        <v>0</v>
      </c>
      <c r="AB1627" s="52">
        <v>0</v>
      </c>
      <c r="AC1627" s="52">
        <v>0</v>
      </c>
      <c r="AD1627" s="21">
        <v>0.66843255889259856</v>
      </c>
      <c r="AE1627" s="54">
        <v>0.66843255889259856</v>
      </c>
      <c r="AF1627" s="315">
        <f t="shared" si="113"/>
        <v>1117619.2384684249</v>
      </c>
    </row>
    <row r="1628" spans="1:32" ht="255" x14ac:dyDescent="0.25">
      <c r="A1628" s="109" t="s">
        <v>588</v>
      </c>
      <c r="B1628" s="110" t="s">
        <v>2270</v>
      </c>
      <c r="C1628" s="52"/>
      <c r="D1628" s="110" t="s">
        <v>2276</v>
      </c>
      <c r="E1628" s="22" t="str">
        <f t="shared" si="111"/>
        <v>SEJUSPPROG</v>
      </c>
      <c r="F1628" s="52" t="s">
        <v>729</v>
      </c>
      <c r="G1628" s="22" t="str">
        <f t="shared" si="112"/>
        <v>P130SEJUSP</v>
      </c>
      <c r="H1628" s="122" t="s">
        <v>1183</v>
      </c>
      <c r="I1628" s="22" t="s">
        <v>16</v>
      </c>
      <c r="J1628" s="122" t="s">
        <v>2141</v>
      </c>
      <c r="K1628" s="22" t="str">
        <f>VLOOKUP(CONCATENATE(A1628,LEFT(J1628,4)),AGRUPAMENTO!$D$2:$E$6783,2,FALSE)</f>
        <v>Material de consumo</v>
      </c>
      <c r="L1628" s="122" t="s">
        <v>44</v>
      </c>
      <c r="M1628" s="52"/>
      <c r="N1628" s="52">
        <v>60</v>
      </c>
      <c r="O1628" s="122" t="s">
        <v>3688</v>
      </c>
      <c r="P1628" s="52" t="s">
        <v>58</v>
      </c>
      <c r="Q1628" s="122" t="s">
        <v>4312</v>
      </c>
      <c r="R1628" s="141">
        <v>12072</v>
      </c>
      <c r="S1628" s="122" t="s">
        <v>3886</v>
      </c>
      <c r="T1628" s="243">
        <v>21</v>
      </c>
      <c r="U1628" s="249">
        <v>1</v>
      </c>
      <c r="V1628" s="58">
        <f t="shared" si="110"/>
        <v>253512</v>
      </c>
      <c r="W1628" s="122" t="s">
        <v>68</v>
      </c>
      <c r="X1628" s="122" t="s">
        <v>5298</v>
      </c>
      <c r="Y1628" s="122" t="s">
        <v>5296</v>
      </c>
      <c r="Z1628" s="122" t="s">
        <v>5299</v>
      </c>
      <c r="AA1628" s="122">
        <v>33</v>
      </c>
      <c r="AB1628" s="122">
        <v>47</v>
      </c>
      <c r="AC1628" s="122">
        <v>76</v>
      </c>
      <c r="AD1628" s="21">
        <v>0</v>
      </c>
      <c r="AE1628" s="54">
        <v>0</v>
      </c>
      <c r="AF1628" s="315">
        <f t="shared" si="113"/>
        <v>0</v>
      </c>
    </row>
    <row r="1629" spans="1:32" ht="225" x14ac:dyDescent="0.25">
      <c r="A1629" s="109" t="s">
        <v>588</v>
      </c>
      <c r="B1629" s="110" t="s">
        <v>2270</v>
      </c>
      <c r="C1629" s="52"/>
      <c r="D1629" s="110" t="s">
        <v>2276</v>
      </c>
      <c r="E1629" s="22" t="str">
        <f t="shared" si="111"/>
        <v>SEJUSPPROG</v>
      </c>
      <c r="F1629" s="52" t="s">
        <v>729</v>
      </c>
      <c r="G1629" s="22" t="str">
        <f t="shared" si="112"/>
        <v>P130SEJUSP</v>
      </c>
      <c r="H1629" s="122" t="s">
        <v>1183</v>
      </c>
      <c r="I1629" s="22" t="s">
        <v>16</v>
      </c>
      <c r="J1629" s="122" t="s">
        <v>137</v>
      </c>
      <c r="K1629" s="22" t="str">
        <f>VLOOKUP(CONCATENATE(A1629,LEFT(J1629,4)),AGRUPAMENTO!$D$2:$E$6783,2,FALSE)</f>
        <v>Serviços de saúde e medicamentos</v>
      </c>
      <c r="L1629" s="122" t="s">
        <v>44</v>
      </c>
      <c r="M1629" s="52"/>
      <c r="N1629" s="52">
        <v>60</v>
      </c>
      <c r="O1629" s="122" t="s">
        <v>3689</v>
      </c>
      <c r="P1629" s="52" t="s">
        <v>46</v>
      </c>
      <c r="Q1629" s="122" t="s">
        <v>4312</v>
      </c>
      <c r="R1629" s="122">
        <v>5500</v>
      </c>
      <c r="S1629" s="122" t="s">
        <v>3886</v>
      </c>
      <c r="T1629" s="243">
        <v>65</v>
      </c>
      <c r="U1629" s="249">
        <v>1</v>
      </c>
      <c r="V1629" s="58">
        <f t="shared" si="110"/>
        <v>357500</v>
      </c>
      <c r="W1629" s="52" t="s">
        <v>49</v>
      </c>
      <c r="X1629" s="122" t="s">
        <v>5300</v>
      </c>
      <c r="Y1629" s="122" t="s">
        <v>5296</v>
      </c>
      <c r="Z1629" s="122" t="s">
        <v>5297</v>
      </c>
      <c r="AA1629" s="52">
        <v>0</v>
      </c>
      <c r="AB1629" s="52">
        <v>0</v>
      </c>
      <c r="AC1629" s="52">
        <v>0</v>
      </c>
      <c r="AD1629" s="21">
        <v>0.68827656736675979</v>
      </c>
      <c r="AE1629" s="54">
        <v>0.68827656736675979</v>
      </c>
      <c r="AF1629" s="315">
        <f t="shared" si="113"/>
        <v>246058.87283361662</v>
      </c>
    </row>
    <row r="1630" spans="1:32" ht="75" x14ac:dyDescent="0.25">
      <c r="A1630" s="109" t="s">
        <v>588</v>
      </c>
      <c r="B1630" s="110" t="s">
        <v>2270</v>
      </c>
      <c r="C1630" s="52"/>
      <c r="D1630" s="110" t="s">
        <v>2276</v>
      </c>
      <c r="E1630" s="22" t="str">
        <f t="shared" si="111"/>
        <v>SEJUSPPROG</v>
      </c>
      <c r="F1630" s="52" t="s">
        <v>729</v>
      </c>
      <c r="G1630" s="22" t="str">
        <f t="shared" si="112"/>
        <v>P130SEJUSP</v>
      </c>
      <c r="H1630" s="122" t="s">
        <v>1183</v>
      </c>
      <c r="I1630" s="22" t="s">
        <v>16</v>
      </c>
      <c r="J1630" s="122" t="s">
        <v>490</v>
      </c>
      <c r="K1630" s="22" t="str">
        <f>VLOOKUP(CONCATENATE(A1630,LEFT(J1630,4)),AGRUPAMENTO!$D$2:$E$6783,2,FALSE)</f>
        <v>Material de consumo</v>
      </c>
      <c r="L1630" s="122" t="s">
        <v>44</v>
      </c>
      <c r="M1630" s="52"/>
      <c r="N1630" s="52">
        <v>60</v>
      </c>
      <c r="O1630" s="122" t="s">
        <v>3690</v>
      </c>
      <c r="P1630" s="52" t="s">
        <v>46</v>
      </c>
      <c r="Q1630" s="122" t="s">
        <v>4299</v>
      </c>
      <c r="R1630" s="122">
        <v>70000</v>
      </c>
      <c r="S1630" s="122" t="s">
        <v>4300</v>
      </c>
      <c r="T1630" s="243">
        <v>1.35</v>
      </c>
      <c r="U1630" s="249">
        <v>2</v>
      </c>
      <c r="V1630" s="58">
        <f t="shared" si="110"/>
        <v>189000</v>
      </c>
      <c r="W1630" s="52" t="s">
        <v>49</v>
      </c>
      <c r="X1630" s="122" t="s">
        <v>5301</v>
      </c>
      <c r="Y1630" s="122" t="s">
        <v>5302</v>
      </c>
      <c r="Z1630" s="122" t="s">
        <v>5303</v>
      </c>
      <c r="AA1630" s="52">
        <v>0</v>
      </c>
      <c r="AB1630" s="52">
        <v>0</v>
      </c>
      <c r="AC1630" s="52">
        <v>0</v>
      </c>
      <c r="AD1630" s="21">
        <v>0.66843255889259856</v>
      </c>
      <c r="AE1630" s="54">
        <v>0.66843255889259856</v>
      </c>
      <c r="AF1630" s="315">
        <f t="shared" si="113"/>
        <v>126333.75363070113</v>
      </c>
    </row>
    <row r="1631" spans="1:32" ht="75" x14ac:dyDescent="0.25">
      <c r="A1631" s="109" t="s">
        <v>588</v>
      </c>
      <c r="B1631" s="110" t="s">
        <v>2270</v>
      </c>
      <c r="C1631" s="52"/>
      <c r="D1631" s="110" t="s">
        <v>2276</v>
      </c>
      <c r="E1631" s="22" t="str">
        <f t="shared" si="111"/>
        <v>SEJUSPPROG</v>
      </c>
      <c r="F1631" s="122" t="s">
        <v>886</v>
      </c>
      <c r="G1631" s="22" t="str">
        <f t="shared" si="112"/>
        <v>P146SEJUSP</v>
      </c>
      <c r="H1631" s="107" t="s">
        <v>2307</v>
      </c>
      <c r="I1631" s="22" t="s">
        <v>16</v>
      </c>
      <c r="J1631" s="122" t="s">
        <v>490</v>
      </c>
      <c r="K1631" s="22" t="str">
        <f>VLOOKUP(CONCATENATE(A1631,LEFT(J1631,4)),AGRUPAMENTO!$D$2:$E$6783,2,FALSE)</f>
        <v>Material de consumo</v>
      </c>
      <c r="L1631" s="122" t="s">
        <v>44</v>
      </c>
      <c r="M1631" s="52"/>
      <c r="N1631" s="52">
        <v>10</v>
      </c>
      <c r="O1631" s="122" t="s">
        <v>3691</v>
      </c>
      <c r="P1631" s="52" t="s">
        <v>46</v>
      </c>
      <c r="Q1631" s="122" t="s">
        <v>4301</v>
      </c>
      <c r="R1631" s="122">
        <v>2000</v>
      </c>
      <c r="S1631" s="122" t="s">
        <v>4300</v>
      </c>
      <c r="T1631" s="243">
        <v>1.35</v>
      </c>
      <c r="U1631" s="249">
        <v>2</v>
      </c>
      <c r="V1631" s="58">
        <f t="shared" si="110"/>
        <v>5400</v>
      </c>
      <c r="W1631" s="52" t="s">
        <v>49</v>
      </c>
      <c r="X1631" s="122" t="s">
        <v>5301</v>
      </c>
      <c r="Y1631" s="122" t="s">
        <v>5302</v>
      </c>
      <c r="Z1631" s="122" t="s">
        <v>5303</v>
      </c>
      <c r="AA1631" s="52">
        <v>0</v>
      </c>
      <c r="AB1631" s="52">
        <v>0</v>
      </c>
      <c r="AC1631" s="52">
        <v>0</v>
      </c>
      <c r="AD1631" s="21">
        <v>0.66843255889259856</v>
      </c>
      <c r="AE1631" s="54">
        <v>0.66843255889259856</v>
      </c>
      <c r="AF1631" s="315">
        <f t="shared" si="113"/>
        <v>3609.5358180200324</v>
      </c>
    </row>
    <row r="1632" spans="1:32" ht="210" x14ac:dyDescent="0.25">
      <c r="A1632" s="107" t="s">
        <v>588</v>
      </c>
      <c r="B1632" s="107" t="s">
        <v>2270</v>
      </c>
      <c r="C1632" s="52"/>
      <c r="D1632" s="108" t="s">
        <v>2301</v>
      </c>
      <c r="E1632" s="22" t="str">
        <f t="shared" si="111"/>
        <v>SEJUSPPROG</v>
      </c>
      <c r="F1632" s="52" t="s">
        <v>729</v>
      </c>
      <c r="G1632" s="22" t="str">
        <f t="shared" si="112"/>
        <v>P130SEJUSP</v>
      </c>
      <c r="H1632" s="108" t="s">
        <v>1148</v>
      </c>
      <c r="I1632" s="22" t="s">
        <v>16</v>
      </c>
      <c r="J1632" s="52" t="s">
        <v>2228</v>
      </c>
      <c r="K1632" s="22" t="str">
        <f>VLOOKUP(CONCATENATE(A1632,LEFT(J1632,4)),AGRUPAMENTO!$D$2:$E$6783,2,FALSE)</f>
        <v>Aquisições de itens de TIC</v>
      </c>
      <c r="L1632" s="52" t="s">
        <v>94</v>
      </c>
      <c r="M1632" s="52"/>
      <c r="N1632" s="108">
        <v>60</v>
      </c>
      <c r="O1632" s="108" t="s">
        <v>3692</v>
      </c>
      <c r="P1632" s="52" t="s">
        <v>58</v>
      </c>
      <c r="Q1632" s="108" t="s">
        <v>4214</v>
      </c>
      <c r="R1632" s="108">
        <v>4</v>
      </c>
      <c r="S1632" s="108" t="s">
        <v>4214</v>
      </c>
      <c r="T1632" s="241">
        <v>10000</v>
      </c>
      <c r="U1632" s="245">
        <v>12</v>
      </c>
      <c r="V1632" s="58">
        <f t="shared" si="110"/>
        <v>480000</v>
      </c>
      <c r="W1632" s="108" t="s">
        <v>68</v>
      </c>
      <c r="X1632" s="108" t="s">
        <v>5304</v>
      </c>
      <c r="Y1632" s="108" t="s">
        <v>5305</v>
      </c>
      <c r="Z1632" s="108" t="s">
        <v>5306</v>
      </c>
      <c r="AA1632" s="108">
        <v>15</v>
      </c>
      <c r="AB1632" s="108">
        <v>48</v>
      </c>
      <c r="AC1632" s="108">
        <v>77</v>
      </c>
      <c r="AD1632" s="21">
        <v>0</v>
      </c>
      <c r="AE1632" s="54">
        <v>0</v>
      </c>
      <c r="AF1632" s="315">
        <f t="shared" si="113"/>
        <v>0</v>
      </c>
    </row>
    <row r="1633" spans="1:32" ht="330" x14ac:dyDescent="0.25">
      <c r="A1633" s="109" t="s">
        <v>588</v>
      </c>
      <c r="B1633" s="110" t="s">
        <v>2270</v>
      </c>
      <c r="C1633" s="52"/>
      <c r="D1633" s="110" t="s">
        <v>2276</v>
      </c>
      <c r="E1633" s="22" t="str">
        <f t="shared" si="111"/>
        <v>SEJUSPPROG</v>
      </c>
      <c r="F1633" s="52" t="s">
        <v>729</v>
      </c>
      <c r="G1633" s="22" t="str">
        <f t="shared" si="112"/>
        <v>P130SEJUSP</v>
      </c>
      <c r="H1633" s="122" t="s">
        <v>1183</v>
      </c>
      <c r="I1633" s="22" t="s">
        <v>16</v>
      </c>
      <c r="J1633" s="52" t="s">
        <v>445</v>
      </c>
      <c r="K1633" s="22" t="str">
        <f>VLOOKUP(CONCATENATE(A1633,LEFT(J1633,4)),AGRUPAMENTO!$D$2:$E$6783,2,FALSE)</f>
        <v>Material de consumo</v>
      </c>
      <c r="L1633" s="122" t="s">
        <v>44</v>
      </c>
      <c r="M1633" s="52"/>
      <c r="N1633" s="52">
        <v>60</v>
      </c>
      <c r="O1633" s="141" t="s">
        <v>3693</v>
      </c>
      <c r="P1633" s="52" t="s">
        <v>46</v>
      </c>
      <c r="Q1633" s="122" t="s">
        <v>4001</v>
      </c>
      <c r="R1633" s="122">
        <v>8800</v>
      </c>
      <c r="S1633" s="122" t="s">
        <v>4314</v>
      </c>
      <c r="T1633" s="243">
        <v>150</v>
      </c>
      <c r="U1633" s="249">
        <v>1</v>
      </c>
      <c r="V1633" s="58">
        <f t="shared" si="110"/>
        <v>1320000</v>
      </c>
      <c r="W1633" s="52" t="s">
        <v>49</v>
      </c>
      <c r="X1633" s="122" t="s">
        <v>5307</v>
      </c>
      <c r="Y1633" s="122" t="s">
        <v>5308</v>
      </c>
      <c r="Z1633" s="122" t="s">
        <v>5308</v>
      </c>
      <c r="AA1633" s="52">
        <v>0</v>
      </c>
      <c r="AB1633" s="52">
        <v>0</v>
      </c>
      <c r="AC1633" s="52">
        <v>0</v>
      </c>
      <c r="AD1633" s="21">
        <v>0.66843255889259856</v>
      </c>
      <c r="AE1633" s="54">
        <v>0.66843255889259856</v>
      </c>
      <c r="AF1633" s="315">
        <f t="shared" si="113"/>
        <v>882330.97773823014</v>
      </c>
    </row>
    <row r="1634" spans="1:32" ht="75" x14ac:dyDescent="0.25">
      <c r="A1634" s="109" t="s">
        <v>588</v>
      </c>
      <c r="B1634" s="110" t="s">
        <v>2270</v>
      </c>
      <c r="C1634" s="52"/>
      <c r="D1634" s="110" t="s">
        <v>2276</v>
      </c>
      <c r="E1634" s="22" t="str">
        <f t="shared" si="111"/>
        <v>SEJUSPPROG</v>
      </c>
      <c r="F1634" s="52" t="s">
        <v>729</v>
      </c>
      <c r="G1634" s="22" t="str">
        <f t="shared" si="112"/>
        <v>P130SEJUSP</v>
      </c>
      <c r="H1634" s="122" t="s">
        <v>1183</v>
      </c>
      <c r="I1634" s="22" t="s">
        <v>16</v>
      </c>
      <c r="J1634" s="141" t="s">
        <v>1603</v>
      </c>
      <c r="K1634" s="22" t="str">
        <f>VLOOKUP(CONCATENATE(A1634,LEFT(J1634,4)),AGRUPAMENTO!$D$2:$E$6783,2,FALSE)</f>
        <v>Material de consumo</v>
      </c>
      <c r="L1634" s="122" t="s">
        <v>44</v>
      </c>
      <c r="M1634" s="52"/>
      <c r="N1634" s="52">
        <v>60</v>
      </c>
      <c r="O1634" s="141" t="s">
        <v>3694</v>
      </c>
      <c r="P1634" s="52" t="s">
        <v>46</v>
      </c>
      <c r="Q1634" s="122" t="s">
        <v>4315</v>
      </c>
      <c r="R1634" s="122">
        <v>600</v>
      </c>
      <c r="S1634" s="122" t="s">
        <v>4315</v>
      </c>
      <c r="T1634" s="243">
        <v>696.53</v>
      </c>
      <c r="U1634" s="249">
        <v>4</v>
      </c>
      <c r="V1634" s="58">
        <f t="shared" si="110"/>
        <v>1671672</v>
      </c>
      <c r="W1634" s="52" t="s">
        <v>49</v>
      </c>
      <c r="X1634" s="122" t="s">
        <v>5309</v>
      </c>
      <c r="Y1634" s="122" t="s">
        <v>5310</v>
      </c>
      <c r="Z1634" s="122" t="s">
        <v>5311</v>
      </c>
      <c r="AA1634" s="52">
        <v>0</v>
      </c>
      <c r="AB1634" s="52">
        <v>0</v>
      </c>
      <c r="AC1634" s="52">
        <v>0</v>
      </c>
      <c r="AD1634" s="21">
        <v>0.66843255889259856</v>
      </c>
      <c r="AE1634" s="54">
        <v>0.66843255889259856</v>
      </c>
      <c r="AF1634" s="315">
        <f t="shared" si="113"/>
        <v>1117399.9925891079</v>
      </c>
    </row>
    <row r="1635" spans="1:32" ht="330" x14ac:dyDescent="0.25">
      <c r="A1635" s="109" t="s">
        <v>588</v>
      </c>
      <c r="B1635" s="110" t="s">
        <v>2270</v>
      </c>
      <c r="C1635" s="52"/>
      <c r="D1635" s="110" t="s">
        <v>2276</v>
      </c>
      <c r="E1635" s="22" t="str">
        <f t="shared" si="111"/>
        <v>SEJUSPPROG</v>
      </c>
      <c r="F1635" s="52" t="s">
        <v>729</v>
      </c>
      <c r="G1635" s="22" t="str">
        <f t="shared" si="112"/>
        <v>P130SEJUSP</v>
      </c>
      <c r="H1635" s="122" t="s">
        <v>1183</v>
      </c>
      <c r="I1635" s="22" t="s">
        <v>16</v>
      </c>
      <c r="J1635" s="122" t="s">
        <v>1682</v>
      </c>
      <c r="K1635" s="22" t="str">
        <f>VLOOKUP(CONCATENATE(A1635,LEFT(J1635,4)),AGRUPAMENTO!$D$2:$E$6783,2,FALSE)</f>
        <v>Demais despesas de capital</v>
      </c>
      <c r="L1635" s="122" t="s">
        <v>94</v>
      </c>
      <c r="M1635" s="52"/>
      <c r="N1635" s="122">
        <v>10</v>
      </c>
      <c r="O1635" s="141" t="s">
        <v>3693</v>
      </c>
      <c r="P1635" s="52" t="s">
        <v>46</v>
      </c>
      <c r="Q1635" s="122" t="s">
        <v>4001</v>
      </c>
      <c r="R1635" s="122">
        <v>4800</v>
      </c>
      <c r="S1635" s="122" t="s">
        <v>4314</v>
      </c>
      <c r="T1635" s="243">
        <v>145</v>
      </c>
      <c r="U1635" s="249">
        <v>1</v>
      </c>
      <c r="V1635" s="58">
        <f t="shared" si="110"/>
        <v>696000</v>
      </c>
      <c r="W1635" s="52" t="s">
        <v>49</v>
      </c>
      <c r="X1635" s="122" t="s">
        <v>5312</v>
      </c>
      <c r="Y1635" s="122" t="s">
        <v>5308</v>
      </c>
      <c r="Z1635" s="122" t="s">
        <v>5313</v>
      </c>
      <c r="AA1635" s="52">
        <v>0</v>
      </c>
      <c r="AB1635" s="52">
        <v>0</v>
      </c>
      <c r="AC1635" s="52">
        <v>0</v>
      </c>
      <c r="AD1635" s="21">
        <v>0</v>
      </c>
      <c r="AE1635" s="54">
        <v>0</v>
      </c>
      <c r="AF1635" s="315">
        <f t="shared" si="113"/>
        <v>0</v>
      </c>
    </row>
    <row r="1636" spans="1:32" ht="150" x14ac:dyDescent="0.25">
      <c r="A1636" s="109" t="s">
        <v>588</v>
      </c>
      <c r="B1636" s="110" t="s">
        <v>2270</v>
      </c>
      <c r="C1636" s="52"/>
      <c r="D1636" s="110" t="s">
        <v>2276</v>
      </c>
      <c r="E1636" s="22" t="str">
        <f t="shared" si="111"/>
        <v>SEJUSPPROG</v>
      </c>
      <c r="F1636" s="52" t="s">
        <v>729</v>
      </c>
      <c r="G1636" s="22" t="str">
        <f t="shared" si="112"/>
        <v>P130SEJUSP</v>
      </c>
      <c r="H1636" s="122" t="s">
        <v>1259</v>
      </c>
      <c r="I1636" s="22" t="s">
        <v>16</v>
      </c>
      <c r="J1636" s="122" t="s">
        <v>2135</v>
      </c>
      <c r="K1636" s="22" t="str">
        <f>VLOOKUP(CONCATENATE(A1636,LEFT(J1636,4)),AGRUPAMENTO!$D$2:$E$6783,2,FALSE)</f>
        <v>Material de consumo</v>
      </c>
      <c r="L1636" s="122" t="s">
        <v>44</v>
      </c>
      <c r="M1636" s="52"/>
      <c r="N1636" s="52">
        <v>10</v>
      </c>
      <c r="O1636" s="141" t="s">
        <v>3695</v>
      </c>
      <c r="P1636" s="52" t="s">
        <v>46</v>
      </c>
      <c r="Q1636" s="122" t="s">
        <v>4299</v>
      </c>
      <c r="R1636" s="122">
        <v>70000</v>
      </c>
      <c r="S1636" s="122" t="s">
        <v>4023</v>
      </c>
      <c r="T1636" s="243">
        <v>6.13</v>
      </c>
      <c r="U1636" s="249">
        <v>4</v>
      </c>
      <c r="V1636" s="58">
        <f t="shared" si="110"/>
        <v>1716400</v>
      </c>
      <c r="W1636" s="52" t="s">
        <v>49</v>
      </c>
      <c r="X1636" s="122" t="s">
        <v>5314</v>
      </c>
      <c r="Y1636" s="122" t="s">
        <v>5315</v>
      </c>
      <c r="Z1636" s="122" t="s">
        <v>5179</v>
      </c>
      <c r="AA1636" s="52">
        <v>0</v>
      </c>
      <c r="AB1636" s="52">
        <v>0</v>
      </c>
      <c r="AC1636" s="52">
        <v>0</v>
      </c>
      <c r="AD1636" s="21">
        <v>0.66843255889259856</v>
      </c>
      <c r="AE1636" s="54">
        <v>0.66843255889259856</v>
      </c>
      <c r="AF1636" s="315">
        <f t="shared" si="113"/>
        <v>1147297.6440832561</v>
      </c>
    </row>
    <row r="1637" spans="1:32" ht="150" x14ac:dyDescent="0.25">
      <c r="A1637" s="109" t="s">
        <v>588</v>
      </c>
      <c r="B1637" s="110" t="s">
        <v>2270</v>
      </c>
      <c r="C1637" s="52"/>
      <c r="D1637" s="110" t="s">
        <v>2276</v>
      </c>
      <c r="E1637" s="22" t="str">
        <f t="shared" si="111"/>
        <v>SEJUSPPROG</v>
      </c>
      <c r="F1637" s="52" t="s">
        <v>729</v>
      </c>
      <c r="G1637" s="22" t="str">
        <f t="shared" si="112"/>
        <v>P130SEJUSP</v>
      </c>
      <c r="H1637" s="122" t="s">
        <v>1259</v>
      </c>
      <c r="I1637" s="22" t="s">
        <v>16</v>
      </c>
      <c r="J1637" s="122" t="s">
        <v>137</v>
      </c>
      <c r="K1637" s="22" t="str">
        <f>VLOOKUP(CONCATENATE(A1637,LEFT(J1637,4)),AGRUPAMENTO!$D$2:$E$6783,2,FALSE)</f>
        <v>Serviços de saúde e medicamentos</v>
      </c>
      <c r="L1637" s="122" t="s">
        <v>44</v>
      </c>
      <c r="M1637" s="52"/>
      <c r="N1637" s="52">
        <v>10</v>
      </c>
      <c r="O1637" s="141" t="s">
        <v>3696</v>
      </c>
      <c r="P1637" s="52" t="s">
        <v>46</v>
      </c>
      <c r="Q1637" s="122" t="s">
        <v>4299</v>
      </c>
      <c r="R1637" s="122">
        <v>70000</v>
      </c>
      <c r="S1637" s="122" t="s">
        <v>4023</v>
      </c>
      <c r="T1637" s="243">
        <v>38.36</v>
      </c>
      <c r="U1637" s="249">
        <v>4</v>
      </c>
      <c r="V1637" s="58">
        <f t="shared" si="110"/>
        <v>10740800</v>
      </c>
      <c r="W1637" s="52" t="s">
        <v>49</v>
      </c>
      <c r="X1637" s="122" t="s">
        <v>5177</v>
      </c>
      <c r="Y1637" s="122" t="s">
        <v>5178</v>
      </c>
      <c r="Z1637" s="122" t="s">
        <v>5179</v>
      </c>
      <c r="AA1637" s="52">
        <v>0</v>
      </c>
      <c r="AB1637" s="52">
        <v>0</v>
      </c>
      <c r="AC1637" s="52">
        <v>0</v>
      </c>
      <c r="AD1637" s="21">
        <v>0.68827656736675979</v>
      </c>
      <c r="AE1637" s="54">
        <v>0.68827656736675979</v>
      </c>
      <c r="AF1637" s="315">
        <f t="shared" si="113"/>
        <v>7392640.9547728933</v>
      </c>
    </row>
    <row r="1638" spans="1:32" ht="150" x14ac:dyDescent="0.25">
      <c r="A1638" s="109" t="s">
        <v>588</v>
      </c>
      <c r="B1638" s="110" t="s">
        <v>2270</v>
      </c>
      <c r="C1638" s="52"/>
      <c r="D1638" s="110" t="s">
        <v>2276</v>
      </c>
      <c r="E1638" s="22" t="str">
        <f t="shared" si="111"/>
        <v>SEJUSPPROG</v>
      </c>
      <c r="F1638" s="52" t="s">
        <v>729</v>
      </c>
      <c r="G1638" s="22" t="str">
        <f t="shared" si="112"/>
        <v>P130SEJUSP</v>
      </c>
      <c r="H1638" s="122" t="s">
        <v>1259</v>
      </c>
      <c r="I1638" s="22" t="s">
        <v>16</v>
      </c>
      <c r="J1638" s="122" t="s">
        <v>1605</v>
      </c>
      <c r="K1638" s="22" t="str">
        <f>VLOOKUP(CONCATENATE(A1638,LEFT(J1638,4)),AGRUPAMENTO!$D$2:$E$6783,2,FALSE)</f>
        <v>Serviços de saúde e medicamentos</v>
      </c>
      <c r="L1638" s="122" t="s">
        <v>44</v>
      </c>
      <c r="M1638" s="52"/>
      <c r="N1638" s="52">
        <v>10</v>
      </c>
      <c r="O1638" s="141" t="s">
        <v>3697</v>
      </c>
      <c r="P1638" s="52" t="s">
        <v>46</v>
      </c>
      <c r="Q1638" s="122" t="s">
        <v>4299</v>
      </c>
      <c r="R1638" s="122">
        <v>70000</v>
      </c>
      <c r="S1638" s="122" t="s">
        <v>4023</v>
      </c>
      <c r="T1638" s="243">
        <v>17.21</v>
      </c>
      <c r="U1638" s="249">
        <v>4</v>
      </c>
      <c r="V1638" s="58">
        <f t="shared" si="110"/>
        <v>4818800</v>
      </c>
      <c r="W1638" s="52" t="s">
        <v>49</v>
      </c>
      <c r="X1638" s="122" t="s">
        <v>5316</v>
      </c>
      <c r="Y1638" s="122" t="s">
        <v>5317</v>
      </c>
      <c r="Z1638" s="122" t="s">
        <v>5179</v>
      </c>
      <c r="AA1638" s="52">
        <v>0</v>
      </c>
      <c r="AB1638" s="52">
        <v>0</v>
      </c>
      <c r="AC1638" s="52">
        <v>0</v>
      </c>
      <c r="AD1638" s="21">
        <v>0.68827656736675979</v>
      </c>
      <c r="AE1638" s="54">
        <v>0.68827656736675979</v>
      </c>
      <c r="AF1638" s="315">
        <f t="shared" si="113"/>
        <v>3316667.1228269422</v>
      </c>
    </row>
    <row r="1639" spans="1:32" ht="75" x14ac:dyDescent="0.25">
      <c r="A1639" s="109" t="s">
        <v>588</v>
      </c>
      <c r="B1639" s="110" t="s">
        <v>2270</v>
      </c>
      <c r="C1639" s="52"/>
      <c r="D1639" s="110" t="s">
        <v>2276</v>
      </c>
      <c r="E1639" s="22" t="str">
        <f t="shared" si="111"/>
        <v>SEJUSPPROG</v>
      </c>
      <c r="F1639" s="122" t="s">
        <v>886</v>
      </c>
      <c r="G1639" s="22" t="str">
        <f t="shared" si="112"/>
        <v>P146SEJUSP</v>
      </c>
      <c r="H1639" s="107" t="s">
        <v>2307</v>
      </c>
      <c r="I1639" s="22" t="s">
        <v>16</v>
      </c>
      <c r="J1639" s="122" t="s">
        <v>1603</v>
      </c>
      <c r="K1639" s="22" t="str">
        <f>VLOOKUP(CONCATENATE(A1639,LEFT(J1639,4)),AGRUPAMENTO!$D$2:$E$6783,2,FALSE)</f>
        <v>Material de consumo</v>
      </c>
      <c r="L1639" s="122" t="s">
        <v>44</v>
      </c>
      <c r="M1639" s="52"/>
      <c r="N1639" s="52">
        <v>10</v>
      </c>
      <c r="O1639" s="141" t="s">
        <v>3698</v>
      </c>
      <c r="P1639" s="52" t="s">
        <v>46</v>
      </c>
      <c r="Q1639" s="122" t="s">
        <v>4315</v>
      </c>
      <c r="R1639" s="122">
        <v>26</v>
      </c>
      <c r="S1639" s="122" t="s">
        <v>4316</v>
      </c>
      <c r="T1639" s="243">
        <v>1549.18</v>
      </c>
      <c r="U1639" s="249">
        <v>4</v>
      </c>
      <c r="V1639" s="58">
        <f t="shared" si="110"/>
        <v>161114.72</v>
      </c>
      <c r="W1639" s="52" t="s">
        <v>49</v>
      </c>
      <c r="X1639" s="122" t="s">
        <v>5318</v>
      </c>
      <c r="Y1639" s="122" t="s">
        <v>5310</v>
      </c>
      <c r="Z1639" s="122" t="s">
        <v>5311</v>
      </c>
      <c r="AA1639" s="52">
        <v>0</v>
      </c>
      <c r="AB1639" s="52">
        <v>0</v>
      </c>
      <c r="AC1639" s="52">
        <v>0</v>
      </c>
      <c r="AD1639" s="21">
        <v>0.66843255889259856</v>
      </c>
      <c r="AE1639" s="54">
        <v>0.66843255889259856</v>
      </c>
      <c r="AF1639" s="315">
        <f t="shared" si="113"/>
        <v>107694.32456486452</v>
      </c>
    </row>
    <row r="1640" spans="1:32" ht="240" x14ac:dyDescent="0.25">
      <c r="A1640" s="110" t="s">
        <v>588</v>
      </c>
      <c r="B1640" s="110" t="s">
        <v>2270</v>
      </c>
      <c r="C1640" s="52"/>
      <c r="D1640" s="110" t="s">
        <v>2276</v>
      </c>
      <c r="E1640" s="22" t="str">
        <f t="shared" si="111"/>
        <v>SEJUSPPROG</v>
      </c>
      <c r="F1640" s="52" t="s">
        <v>729</v>
      </c>
      <c r="G1640" s="22" t="str">
        <f t="shared" si="112"/>
        <v>P130SEJUSP</v>
      </c>
      <c r="H1640" s="110" t="s">
        <v>1183</v>
      </c>
      <c r="I1640" s="22" t="s">
        <v>16</v>
      </c>
      <c r="J1640" s="110" t="s">
        <v>1657</v>
      </c>
      <c r="K1640" s="22" t="str">
        <f>VLOOKUP(CONCATENATE(A1640,LEFT(J1640,4)),AGRUPAMENTO!$D$2:$E$6783,2,FALSE)</f>
        <v>Terceirizados - Demais empresas</v>
      </c>
      <c r="L1640" s="137" t="s">
        <v>44</v>
      </c>
      <c r="M1640" s="52"/>
      <c r="N1640" s="52">
        <v>60</v>
      </c>
      <c r="O1640" s="110" t="s">
        <v>3699</v>
      </c>
      <c r="P1640" s="52" t="s">
        <v>58</v>
      </c>
      <c r="Q1640" s="110" t="s">
        <v>3812</v>
      </c>
      <c r="R1640" s="110">
        <v>1</v>
      </c>
      <c r="S1640" s="110" t="s">
        <v>4066</v>
      </c>
      <c r="T1640" s="240">
        <v>141666.66</v>
      </c>
      <c r="U1640" s="133">
        <v>12</v>
      </c>
      <c r="V1640" s="58">
        <f t="shared" si="110"/>
        <v>1699999.92</v>
      </c>
      <c r="W1640" s="110" t="s">
        <v>68</v>
      </c>
      <c r="X1640" s="110" t="s">
        <v>5319</v>
      </c>
      <c r="Y1640" s="110" t="s">
        <v>5320</v>
      </c>
      <c r="Z1640" s="110" t="s">
        <v>5321</v>
      </c>
      <c r="AA1640" s="122">
        <v>34</v>
      </c>
      <c r="AB1640" s="122">
        <v>49</v>
      </c>
      <c r="AC1640" s="122">
        <v>78</v>
      </c>
      <c r="AD1640" s="21">
        <v>0</v>
      </c>
      <c r="AE1640" s="54">
        <v>0</v>
      </c>
      <c r="AF1640" s="315">
        <f t="shared" si="113"/>
        <v>0</v>
      </c>
    </row>
    <row r="1641" spans="1:32" ht="105" x14ac:dyDescent="0.25">
      <c r="A1641" s="110" t="s">
        <v>588</v>
      </c>
      <c r="B1641" s="110" t="s">
        <v>2270</v>
      </c>
      <c r="C1641" s="52"/>
      <c r="D1641" s="110" t="s">
        <v>2276</v>
      </c>
      <c r="E1641" s="22" t="str">
        <f t="shared" si="111"/>
        <v>SEJUSPPROG</v>
      </c>
      <c r="F1641" s="52" t="s">
        <v>729</v>
      </c>
      <c r="G1641" s="22" t="str">
        <f t="shared" si="112"/>
        <v>P130SEJUSP</v>
      </c>
      <c r="H1641" s="110" t="s">
        <v>1183</v>
      </c>
      <c r="I1641" s="22" t="s">
        <v>16</v>
      </c>
      <c r="J1641" s="110" t="s">
        <v>1656</v>
      </c>
      <c r="K1641" s="22" t="str">
        <f>VLOOKUP(CONCATENATE(A1641,LEFT(J1641,4)),AGRUPAMENTO!$D$2:$E$6783,2,FALSE)</f>
        <v>Demais despesas de custeio</v>
      </c>
      <c r="L1641" s="137" t="s">
        <v>44</v>
      </c>
      <c r="M1641" s="52"/>
      <c r="N1641" s="52">
        <v>60</v>
      </c>
      <c r="O1641" s="110" t="s">
        <v>3700</v>
      </c>
      <c r="P1641" s="52" t="s">
        <v>58</v>
      </c>
      <c r="Q1641" s="110" t="s">
        <v>3812</v>
      </c>
      <c r="R1641" s="110">
        <v>60</v>
      </c>
      <c r="S1641" s="110" t="s">
        <v>4066</v>
      </c>
      <c r="T1641" s="240">
        <v>2000</v>
      </c>
      <c r="U1641" s="133">
        <v>1</v>
      </c>
      <c r="V1641" s="58">
        <f t="shared" si="110"/>
        <v>120000</v>
      </c>
      <c r="W1641" s="110" t="s">
        <v>68</v>
      </c>
      <c r="X1641" s="110" t="s">
        <v>5322</v>
      </c>
      <c r="Y1641" s="110" t="s">
        <v>5323</v>
      </c>
      <c r="Z1641" s="110" t="s">
        <v>5324</v>
      </c>
      <c r="AA1641" s="122">
        <v>35</v>
      </c>
      <c r="AB1641" s="122">
        <v>50</v>
      </c>
      <c r="AC1641" s="122">
        <v>79</v>
      </c>
      <c r="AD1641" s="21">
        <v>0</v>
      </c>
      <c r="AE1641" s="54">
        <v>0</v>
      </c>
      <c r="AF1641" s="315">
        <f t="shared" si="113"/>
        <v>0</v>
      </c>
    </row>
    <row r="1642" spans="1:32" ht="105" x14ac:dyDescent="0.25">
      <c r="A1642" s="110" t="s">
        <v>588</v>
      </c>
      <c r="B1642" s="110" t="s">
        <v>2270</v>
      </c>
      <c r="C1642" s="52"/>
      <c r="D1642" s="110" t="s">
        <v>2276</v>
      </c>
      <c r="E1642" s="22" t="str">
        <f t="shared" si="111"/>
        <v>SEJUSPPROG</v>
      </c>
      <c r="F1642" s="123" t="s">
        <v>886</v>
      </c>
      <c r="G1642" s="22" t="str">
        <f t="shared" si="112"/>
        <v>P146SEJUSP</v>
      </c>
      <c r="H1642" s="108" t="s">
        <v>1424</v>
      </c>
      <c r="I1642" s="22" t="s">
        <v>16</v>
      </c>
      <c r="J1642" s="110" t="s">
        <v>1656</v>
      </c>
      <c r="K1642" s="22" t="str">
        <f>VLOOKUP(CONCATENATE(A1642,LEFT(J1642,4)),AGRUPAMENTO!$D$2:$E$6783,2,FALSE)</f>
        <v>Demais despesas de custeio</v>
      </c>
      <c r="L1642" s="137" t="s">
        <v>44</v>
      </c>
      <c r="M1642" s="52"/>
      <c r="N1642" s="52">
        <v>10</v>
      </c>
      <c r="O1642" s="110" t="s">
        <v>3701</v>
      </c>
      <c r="P1642" s="52" t="s">
        <v>58</v>
      </c>
      <c r="Q1642" s="110" t="s">
        <v>3812</v>
      </c>
      <c r="R1642" s="110">
        <v>20</v>
      </c>
      <c r="S1642" s="110" t="s">
        <v>4066</v>
      </c>
      <c r="T1642" s="240">
        <v>2000</v>
      </c>
      <c r="U1642" s="133">
        <v>12</v>
      </c>
      <c r="V1642" s="58">
        <f t="shared" si="110"/>
        <v>480000</v>
      </c>
      <c r="W1642" s="110" t="s">
        <v>68</v>
      </c>
      <c r="X1642" s="110" t="s">
        <v>5322</v>
      </c>
      <c r="Y1642" s="110" t="s">
        <v>5323</v>
      </c>
      <c r="Z1642" s="110" t="s">
        <v>5324</v>
      </c>
      <c r="AA1642" s="122">
        <v>35</v>
      </c>
      <c r="AB1642" s="122">
        <v>50</v>
      </c>
      <c r="AC1642" s="122">
        <v>79</v>
      </c>
      <c r="AD1642" s="21">
        <v>0</v>
      </c>
      <c r="AE1642" s="54">
        <v>0</v>
      </c>
      <c r="AF1642" s="315">
        <f t="shared" si="113"/>
        <v>0</v>
      </c>
    </row>
    <row r="1643" spans="1:32" ht="75" x14ac:dyDescent="0.25">
      <c r="A1643" s="110" t="s">
        <v>588</v>
      </c>
      <c r="B1643" s="110" t="s">
        <v>2270</v>
      </c>
      <c r="C1643" s="52"/>
      <c r="D1643" s="110" t="s">
        <v>2276</v>
      </c>
      <c r="E1643" s="22" t="str">
        <f t="shared" si="111"/>
        <v>SEJUSPPROG</v>
      </c>
      <c r="F1643" s="52" t="s">
        <v>705</v>
      </c>
      <c r="G1643" s="22" t="str">
        <f t="shared" si="112"/>
        <v>P134SEJUSP</v>
      </c>
      <c r="H1643" s="108" t="s">
        <v>1356</v>
      </c>
      <c r="I1643" s="22" t="s">
        <v>16</v>
      </c>
      <c r="J1643" s="110" t="s">
        <v>1657</v>
      </c>
      <c r="K1643" s="22" t="str">
        <f>VLOOKUP(CONCATENATE(A1643,LEFT(J1643,4)),AGRUPAMENTO!$D$2:$E$6783,2,FALSE)</f>
        <v>Terceirizados - Demais empresas</v>
      </c>
      <c r="L1643" s="137" t="s">
        <v>44</v>
      </c>
      <c r="M1643" s="52"/>
      <c r="N1643" s="52">
        <v>10</v>
      </c>
      <c r="O1643" s="110" t="s">
        <v>3702</v>
      </c>
      <c r="P1643" s="52" t="s">
        <v>58</v>
      </c>
      <c r="Q1643" s="110" t="s">
        <v>3812</v>
      </c>
      <c r="R1643" s="110">
        <v>1</v>
      </c>
      <c r="S1643" s="110" t="s">
        <v>4317</v>
      </c>
      <c r="T1643" s="240">
        <v>6500</v>
      </c>
      <c r="U1643" s="133">
        <v>12</v>
      </c>
      <c r="V1643" s="58">
        <f t="shared" si="110"/>
        <v>78000</v>
      </c>
      <c r="W1643" s="110" t="s">
        <v>68</v>
      </c>
      <c r="X1643" s="110" t="s">
        <v>5162</v>
      </c>
      <c r="Y1643" s="110" t="s">
        <v>5163</v>
      </c>
      <c r="Z1643" s="110" t="s">
        <v>5164</v>
      </c>
      <c r="AA1643" s="122">
        <v>36</v>
      </c>
      <c r="AB1643" s="122">
        <v>51</v>
      </c>
      <c r="AC1643" s="122">
        <v>80</v>
      </c>
      <c r="AD1643" s="21">
        <v>0</v>
      </c>
      <c r="AE1643" s="54">
        <v>0</v>
      </c>
      <c r="AF1643" s="315">
        <f t="shared" si="113"/>
        <v>0</v>
      </c>
    </row>
    <row r="1644" spans="1:32" ht="135" x14ac:dyDescent="0.25">
      <c r="A1644" s="109" t="s">
        <v>588</v>
      </c>
      <c r="B1644" s="110" t="s">
        <v>2270</v>
      </c>
      <c r="C1644" s="52"/>
      <c r="D1644" s="110" t="s">
        <v>2276</v>
      </c>
      <c r="E1644" s="22" t="str">
        <f t="shared" si="111"/>
        <v>SEJUSPPROG</v>
      </c>
      <c r="F1644" s="52" t="s">
        <v>729</v>
      </c>
      <c r="G1644" s="22" t="str">
        <f t="shared" si="112"/>
        <v>P130SEJUSP</v>
      </c>
      <c r="H1644" s="122" t="s">
        <v>1183</v>
      </c>
      <c r="I1644" s="22" t="s">
        <v>16</v>
      </c>
      <c r="J1644" s="122" t="s">
        <v>2141</v>
      </c>
      <c r="K1644" s="22" t="str">
        <f>VLOOKUP(CONCATENATE(A1644,LEFT(J1644,4)),AGRUPAMENTO!$D$2:$E$6783,2,FALSE)</f>
        <v>Material de consumo</v>
      </c>
      <c r="L1644" s="122" t="s">
        <v>44</v>
      </c>
      <c r="M1644" s="52"/>
      <c r="N1644" s="108">
        <v>60</v>
      </c>
      <c r="O1644" s="141" t="s">
        <v>3703</v>
      </c>
      <c r="P1644" s="52" t="s">
        <v>58</v>
      </c>
      <c r="Q1644" s="122" t="s">
        <v>4318</v>
      </c>
      <c r="R1644" s="122">
        <v>50</v>
      </c>
      <c r="S1644" s="122" t="s">
        <v>4319</v>
      </c>
      <c r="T1644" s="243">
        <v>21000</v>
      </c>
      <c r="U1644" s="249">
        <v>1</v>
      </c>
      <c r="V1644" s="58">
        <f t="shared" si="110"/>
        <v>1050000</v>
      </c>
      <c r="W1644" s="122" t="s">
        <v>68</v>
      </c>
      <c r="X1644" s="122" t="s">
        <v>5325</v>
      </c>
      <c r="Y1644" s="122" t="s">
        <v>5325</v>
      </c>
      <c r="Z1644" s="122" t="s">
        <v>5326</v>
      </c>
      <c r="AA1644" s="122">
        <v>37</v>
      </c>
      <c r="AB1644" s="122">
        <v>52</v>
      </c>
      <c r="AC1644" s="122">
        <v>81</v>
      </c>
      <c r="AD1644" s="21">
        <v>0</v>
      </c>
      <c r="AE1644" s="54">
        <v>0</v>
      </c>
      <c r="AF1644" s="315">
        <f t="shared" si="113"/>
        <v>0</v>
      </c>
    </row>
    <row r="1645" spans="1:32" ht="150" x14ac:dyDescent="0.25">
      <c r="A1645" s="109" t="s">
        <v>588</v>
      </c>
      <c r="B1645" s="110" t="s">
        <v>2270</v>
      </c>
      <c r="C1645" s="52"/>
      <c r="D1645" s="110" t="s">
        <v>2276</v>
      </c>
      <c r="E1645" s="22" t="str">
        <f t="shared" si="111"/>
        <v>SEJUSPPROG</v>
      </c>
      <c r="F1645" s="52" t="s">
        <v>729</v>
      </c>
      <c r="G1645" s="22" t="str">
        <f t="shared" si="112"/>
        <v>P130SEJUSP</v>
      </c>
      <c r="H1645" s="122" t="s">
        <v>1259</v>
      </c>
      <c r="I1645" s="22" t="s">
        <v>16</v>
      </c>
      <c r="J1645" s="122" t="s">
        <v>1605</v>
      </c>
      <c r="K1645" s="22" t="str">
        <f>VLOOKUP(CONCATENATE(A1645,LEFT(J1645,4)),AGRUPAMENTO!$D$2:$E$6783,2,FALSE)</f>
        <v>Serviços de saúde e medicamentos</v>
      </c>
      <c r="L1645" s="122" t="s">
        <v>44</v>
      </c>
      <c r="M1645" s="52"/>
      <c r="N1645" s="52">
        <v>10</v>
      </c>
      <c r="O1645" s="122" t="s">
        <v>3697</v>
      </c>
      <c r="P1645" s="52" t="s">
        <v>58</v>
      </c>
      <c r="Q1645" s="122" t="s">
        <v>4020</v>
      </c>
      <c r="R1645" s="122">
        <v>70000</v>
      </c>
      <c r="S1645" s="122" t="s">
        <v>4023</v>
      </c>
      <c r="T1645" s="243">
        <v>6.32</v>
      </c>
      <c r="U1645" s="249">
        <v>4</v>
      </c>
      <c r="V1645" s="58">
        <f t="shared" si="110"/>
        <v>1769600</v>
      </c>
      <c r="W1645" s="122" t="s">
        <v>68</v>
      </c>
      <c r="X1645" s="122" t="s">
        <v>5316</v>
      </c>
      <c r="Y1645" s="122" t="s">
        <v>5317</v>
      </c>
      <c r="Z1645" s="122" t="s">
        <v>5179</v>
      </c>
      <c r="AA1645" s="122">
        <v>39</v>
      </c>
      <c r="AB1645" s="122">
        <v>53</v>
      </c>
      <c r="AC1645" s="122">
        <v>82</v>
      </c>
      <c r="AD1645" s="21">
        <v>0</v>
      </c>
      <c r="AE1645" s="54">
        <v>0</v>
      </c>
      <c r="AF1645" s="315">
        <f t="shared" si="113"/>
        <v>0</v>
      </c>
    </row>
    <row r="1646" spans="1:32" ht="375" x14ac:dyDescent="0.25">
      <c r="A1646" s="108" t="s">
        <v>588</v>
      </c>
      <c r="B1646" s="119" t="s">
        <v>2270</v>
      </c>
      <c r="C1646" s="52"/>
      <c r="D1646" s="108" t="s">
        <v>2279</v>
      </c>
      <c r="E1646" s="22" t="str">
        <f t="shared" si="111"/>
        <v>SEJUSPPROG</v>
      </c>
      <c r="F1646" s="116" t="s">
        <v>687</v>
      </c>
      <c r="G1646" s="22" t="str">
        <f t="shared" si="112"/>
        <v>P705SEJUSP</v>
      </c>
      <c r="H1646" s="108" t="s">
        <v>914</v>
      </c>
      <c r="I1646" s="22" t="s">
        <v>16</v>
      </c>
      <c r="J1646" s="108" t="s">
        <v>2153</v>
      </c>
      <c r="K1646" s="22" t="str">
        <f>VLOOKUP(CONCATENATE(A1646,LEFT(J1646,4)),AGRUPAMENTO!$D$2:$E$6783,2,FALSE)</f>
        <v>Consultoria</v>
      </c>
      <c r="L1646" s="108" t="s">
        <v>44</v>
      </c>
      <c r="M1646" s="52"/>
      <c r="N1646" s="52">
        <v>10</v>
      </c>
      <c r="O1646" s="108" t="s">
        <v>3704</v>
      </c>
      <c r="P1646" s="52" t="s">
        <v>58</v>
      </c>
      <c r="Q1646" s="108" t="s">
        <v>4320</v>
      </c>
      <c r="R1646" s="261">
        <v>1</v>
      </c>
      <c r="S1646" s="108" t="s">
        <v>4321</v>
      </c>
      <c r="T1646" s="262">
        <v>2137661.91</v>
      </c>
      <c r="U1646" s="245">
        <v>1</v>
      </c>
      <c r="V1646" s="58">
        <f t="shared" si="110"/>
        <v>2137661.91</v>
      </c>
      <c r="W1646" s="108" t="s">
        <v>68</v>
      </c>
      <c r="X1646" s="108" t="s">
        <v>5327</v>
      </c>
      <c r="Y1646" s="108" t="s">
        <v>5328</v>
      </c>
      <c r="Z1646" s="108" t="s">
        <v>5329</v>
      </c>
      <c r="AA1646" s="108">
        <v>1</v>
      </c>
      <c r="AB1646" s="108">
        <v>54</v>
      </c>
      <c r="AC1646" s="108">
        <v>83</v>
      </c>
      <c r="AD1646" s="21">
        <v>0</v>
      </c>
      <c r="AE1646" s="54">
        <v>0</v>
      </c>
      <c r="AF1646" s="315">
        <f t="shared" si="113"/>
        <v>0</v>
      </c>
    </row>
    <row r="1647" spans="1:32" ht="180" x14ac:dyDescent="0.25">
      <c r="A1647" s="108" t="s">
        <v>588</v>
      </c>
      <c r="B1647" s="119" t="s">
        <v>2270</v>
      </c>
      <c r="C1647" s="52"/>
      <c r="D1647" s="107" t="s">
        <v>2288</v>
      </c>
      <c r="E1647" s="22" t="str">
        <f t="shared" si="111"/>
        <v>SEJUSPPROG</v>
      </c>
      <c r="F1647" s="52" t="s">
        <v>729</v>
      </c>
      <c r="G1647" s="22" t="str">
        <f t="shared" si="112"/>
        <v>P130SEJUSP</v>
      </c>
      <c r="H1647" s="108" t="s">
        <v>1183</v>
      </c>
      <c r="I1647" s="22" t="s">
        <v>16</v>
      </c>
      <c r="J1647" s="108" t="s">
        <v>1643</v>
      </c>
      <c r="K1647" s="22" t="str">
        <f>VLOOKUP(CONCATENATE(A1647,LEFT(J1647,4)),AGRUPAMENTO!$D$2:$E$6783,2,FALSE)</f>
        <v>Reparo de imóveis</v>
      </c>
      <c r="L1647" s="108" t="s">
        <v>44</v>
      </c>
      <c r="M1647" s="52"/>
      <c r="N1647" s="108">
        <v>60</v>
      </c>
      <c r="O1647" s="108" t="s">
        <v>3705</v>
      </c>
      <c r="P1647" s="52" t="s">
        <v>58</v>
      </c>
      <c r="Q1647" s="108" t="s">
        <v>3806</v>
      </c>
      <c r="R1647" s="108">
        <v>1</v>
      </c>
      <c r="S1647" s="108" t="s">
        <v>3807</v>
      </c>
      <c r="T1647" s="241">
        <v>150000</v>
      </c>
      <c r="U1647" s="245">
        <v>6</v>
      </c>
      <c r="V1647" s="58">
        <f t="shared" si="110"/>
        <v>900000</v>
      </c>
      <c r="W1647" s="108" t="s">
        <v>68</v>
      </c>
      <c r="X1647" s="108" t="s">
        <v>4451</v>
      </c>
      <c r="Y1647" s="108" t="s">
        <v>4454</v>
      </c>
      <c r="Z1647" s="108" t="s">
        <v>4453</v>
      </c>
      <c r="AA1647" s="108">
        <v>2</v>
      </c>
      <c r="AB1647" s="107">
        <v>55</v>
      </c>
      <c r="AC1647" s="107">
        <v>84</v>
      </c>
      <c r="AD1647" s="21">
        <v>0</v>
      </c>
      <c r="AE1647" s="54">
        <v>0</v>
      </c>
      <c r="AF1647" s="315">
        <f t="shared" si="113"/>
        <v>0</v>
      </c>
    </row>
    <row r="1648" spans="1:32" ht="180" x14ac:dyDescent="0.25">
      <c r="A1648" s="108" t="s">
        <v>588</v>
      </c>
      <c r="B1648" s="119" t="s">
        <v>2270</v>
      </c>
      <c r="C1648" s="52"/>
      <c r="D1648" s="107" t="s">
        <v>2288</v>
      </c>
      <c r="E1648" s="22" t="str">
        <f t="shared" si="111"/>
        <v>SEJUSPPROG</v>
      </c>
      <c r="F1648" s="52" t="s">
        <v>729</v>
      </c>
      <c r="G1648" s="22" t="str">
        <f t="shared" si="112"/>
        <v>P130SEJUSP</v>
      </c>
      <c r="H1648" s="108" t="s">
        <v>1183</v>
      </c>
      <c r="I1648" s="22" t="s">
        <v>16</v>
      </c>
      <c r="J1648" s="108" t="s">
        <v>1643</v>
      </c>
      <c r="K1648" s="22" t="str">
        <f>VLOOKUP(CONCATENATE(A1648,LEFT(J1648,4)),AGRUPAMENTO!$D$2:$E$6783,2,FALSE)</f>
        <v>Reparo de imóveis</v>
      </c>
      <c r="L1648" s="108" t="s">
        <v>44</v>
      </c>
      <c r="M1648" s="52"/>
      <c r="N1648" s="52">
        <v>60</v>
      </c>
      <c r="O1648" s="108" t="s">
        <v>3706</v>
      </c>
      <c r="P1648" s="52" t="s">
        <v>58</v>
      </c>
      <c r="Q1648" s="108" t="s">
        <v>3806</v>
      </c>
      <c r="R1648" s="108">
        <v>1</v>
      </c>
      <c r="S1648" s="108" t="s">
        <v>3807</v>
      </c>
      <c r="T1648" s="241">
        <v>150000</v>
      </c>
      <c r="U1648" s="245">
        <v>12</v>
      </c>
      <c r="V1648" s="58">
        <f t="shared" si="110"/>
        <v>1800000</v>
      </c>
      <c r="W1648" s="108" t="s">
        <v>68</v>
      </c>
      <c r="X1648" s="108" t="s">
        <v>5330</v>
      </c>
      <c r="Y1648" s="108" t="s">
        <v>5331</v>
      </c>
      <c r="Z1648" s="108" t="s">
        <v>5332</v>
      </c>
      <c r="AA1648" s="108">
        <v>1</v>
      </c>
      <c r="AB1648" s="107">
        <v>56</v>
      </c>
      <c r="AC1648" s="107">
        <v>85</v>
      </c>
      <c r="AD1648" s="21">
        <v>0</v>
      </c>
      <c r="AE1648" s="54">
        <v>0</v>
      </c>
      <c r="AF1648" s="315">
        <f t="shared" si="113"/>
        <v>0</v>
      </c>
    </row>
    <row r="1649" spans="1:32" ht="180" x14ac:dyDescent="0.25">
      <c r="A1649" s="108" t="s">
        <v>588</v>
      </c>
      <c r="B1649" s="119" t="s">
        <v>2270</v>
      </c>
      <c r="C1649" s="52"/>
      <c r="D1649" s="107" t="s">
        <v>2288</v>
      </c>
      <c r="E1649" s="22" t="str">
        <f t="shared" si="111"/>
        <v>SEJUSPPROG</v>
      </c>
      <c r="F1649" s="52" t="s">
        <v>729</v>
      </c>
      <c r="G1649" s="22" t="str">
        <f t="shared" si="112"/>
        <v>P130SEJUSP</v>
      </c>
      <c r="H1649" s="108" t="s">
        <v>1183</v>
      </c>
      <c r="I1649" s="22" t="s">
        <v>16</v>
      </c>
      <c r="J1649" s="52" t="s">
        <v>1643</v>
      </c>
      <c r="K1649" s="22" t="str">
        <f>VLOOKUP(CONCATENATE(A1649,LEFT(J1649,4)),AGRUPAMENTO!$D$2:$E$6783,2,FALSE)</f>
        <v>Reparo de imóveis</v>
      </c>
      <c r="L1649" s="108" t="s">
        <v>44</v>
      </c>
      <c r="M1649" s="52"/>
      <c r="N1649" s="108">
        <v>60</v>
      </c>
      <c r="O1649" s="108" t="s">
        <v>3707</v>
      </c>
      <c r="P1649" s="52" t="s">
        <v>58</v>
      </c>
      <c r="Q1649" s="108" t="s">
        <v>3806</v>
      </c>
      <c r="R1649" s="108">
        <v>1</v>
      </c>
      <c r="S1649" s="108" t="s">
        <v>3807</v>
      </c>
      <c r="T1649" s="241">
        <v>350000</v>
      </c>
      <c r="U1649" s="245">
        <v>6</v>
      </c>
      <c r="V1649" s="58">
        <f t="shared" si="110"/>
        <v>2100000</v>
      </c>
      <c r="W1649" s="108" t="s">
        <v>68</v>
      </c>
      <c r="X1649" s="108" t="s">
        <v>5330</v>
      </c>
      <c r="Y1649" s="108" t="s">
        <v>5331</v>
      </c>
      <c r="Z1649" s="108" t="s">
        <v>5332</v>
      </c>
      <c r="AA1649" s="108">
        <v>1</v>
      </c>
      <c r="AB1649" s="107">
        <v>56</v>
      </c>
      <c r="AC1649" s="107">
        <v>85</v>
      </c>
      <c r="AD1649" s="21">
        <v>0</v>
      </c>
      <c r="AE1649" s="54">
        <v>0</v>
      </c>
      <c r="AF1649" s="315">
        <f t="shared" si="113"/>
        <v>0</v>
      </c>
    </row>
    <row r="1650" spans="1:32" ht="240" x14ac:dyDescent="0.25">
      <c r="A1650" s="108" t="s">
        <v>588</v>
      </c>
      <c r="B1650" s="119" t="s">
        <v>2270</v>
      </c>
      <c r="C1650" s="52"/>
      <c r="D1650" s="107" t="s">
        <v>2288</v>
      </c>
      <c r="E1650" s="22" t="str">
        <f t="shared" si="111"/>
        <v>SEJUSPPROG</v>
      </c>
      <c r="F1650" s="123" t="s">
        <v>886</v>
      </c>
      <c r="G1650" s="22" t="str">
        <f t="shared" si="112"/>
        <v>P146SEJUSP</v>
      </c>
      <c r="H1650" s="108" t="s">
        <v>2306</v>
      </c>
      <c r="I1650" s="22" t="s">
        <v>16</v>
      </c>
      <c r="J1650" s="108" t="s">
        <v>1643</v>
      </c>
      <c r="K1650" s="22" t="str">
        <f>VLOOKUP(CONCATENATE(A1650,LEFT(J1650,4)),AGRUPAMENTO!$D$2:$E$6783,2,FALSE)</f>
        <v>Reparo de imóveis</v>
      </c>
      <c r="L1650" s="108" t="s">
        <v>44</v>
      </c>
      <c r="M1650" s="52"/>
      <c r="N1650" s="52">
        <v>10</v>
      </c>
      <c r="O1650" s="108" t="s">
        <v>3708</v>
      </c>
      <c r="P1650" s="52" t="s">
        <v>58</v>
      </c>
      <c r="Q1650" s="108" t="s">
        <v>3806</v>
      </c>
      <c r="R1650" s="108">
        <v>1</v>
      </c>
      <c r="S1650" s="108" t="s">
        <v>3807</v>
      </c>
      <c r="T1650" s="241">
        <v>300000</v>
      </c>
      <c r="U1650" s="245">
        <v>12</v>
      </c>
      <c r="V1650" s="58">
        <f t="shared" si="110"/>
        <v>3600000</v>
      </c>
      <c r="W1650" s="108" t="s">
        <v>68</v>
      </c>
      <c r="X1650" s="108" t="s">
        <v>5333</v>
      </c>
      <c r="Y1650" s="108" t="s">
        <v>5334</v>
      </c>
      <c r="Z1650" s="108" t="s">
        <v>5335</v>
      </c>
      <c r="AA1650" s="108">
        <v>3</v>
      </c>
      <c r="AB1650" s="107">
        <v>57</v>
      </c>
      <c r="AC1650" s="107">
        <v>86</v>
      </c>
      <c r="AD1650" s="21">
        <v>0</v>
      </c>
      <c r="AE1650" s="54">
        <v>0</v>
      </c>
      <c r="AF1650" s="315">
        <f t="shared" si="113"/>
        <v>0</v>
      </c>
    </row>
    <row r="1651" spans="1:32" ht="165" x14ac:dyDescent="0.25">
      <c r="A1651" s="108" t="s">
        <v>588</v>
      </c>
      <c r="B1651" s="107" t="s">
        <v>2270</v>
      </c>
      <c r="C1651" s="52"/>
      <c r="D1651" s="108" t="s">
        <v>2293</v>
      </c>
      <c r="E1651" s="22" t="str">
        <f t="shared" si="111"/>
        <v>SEJUSPPROG</v>
      </c>
      <c r="F1651" s="52" t="s">
        <v>705</v>
      </c>
      <c r="G1651" s="22" t="str">
        <f t="shared" si="112"/>
        <v>P134SEJUSP</v>
      </c>
      <c r="H1651" s="108" t="s">
        <v>1371</v>
      </c>
      <c r="I1651" s="22" t="s">
        <v>16</v>
      </c>
      <c r="J1651" s="108" t="s">
        <v>2167</v>
      </c>
      <c r="K1651" s="22" t="str">
        <f>VLOOKUP(CONCATENATE(A1651,LEFT(J1651,4)),AGRUPAMENTO!$D$2:$E$6783,2,FALSE)</f>
        <v>Cursos de formação e capacitações</v>
      </c>
      <c r="L1651" s="108" t="s">
        <v>44</v>
      </c>
      <c r="M1651" s="52"/>
      <c r="N1651" s="52">
        <v>10</v>
      </c>
      <c r="O1651" s="175" t="s">
        <v>3709</v>
      </c>
      <c r="P1651" s="52" t="s">
        <v>58</v>
      </c>
      <c r="Q1651" s="263" t="s">
        <v>4322</v>
      </c>
      <c r="R1651" s="264">
        <v>300</v>
      </c>
      <c r="S1651" s="265" t="s">
        <v>3862</v>
      </c>
      <c r="T1651" s="241">
        <v>10000</v>
      </c>
      <c r="U1651" s="245">
        <v>1</v>
      </c>
      <c r="V1651" s="58">
        <f t="shared" si="110"/>
        <v>3000000</v>
      </c>
      <c r="W1651" s="108" t="s">
        <v>68</v>
      </c>
      <c r="X1651" s="108" t="s">
        <v>5336</v>
      </c>
      <c r="Y1651" s="108" t="s">
        <v>5337</v>
      </c>
      <c r="Z1651" s="312" t="s">
        <v>5338</v>
      </c>
      <c r="AA1651" s="108">
        <v>2</v>
      </c>
      <c r="AB1651" s="108">
        <v>58</v>
      </c>
      <c r="AC1651" s="108">
        <v>87</v>
      </c>
      <c r="AD1651" s="21">
        <v>0</v>
      </c>
      <c r="AE1651" s="54">
        <v>0</v>
      </c>
      <c r="AF1651" s="315">
        <f t="shared" si="113"/>
        <v>0</v>
      </c>
    </row>
    <row r="1652" spans="1:32" ht="409.5" x14ac:dyDescent="0.25">
      <c r="A1652" s="108" t="s">
        <v>588</v>
      </c>
      <c r="B1652" s="107" t="s">
        <v>2270</v>
      </c>
      <c r="C1652" s="52"/>
      <c r="D1652" s="108" t="s">
        <v>2293</v>
      </c>
      <c r="E1652" s="22" t="str">
        <f t="shared" si="111"/>
        <v>SEJUSPPROG</v>
      </c>
      <c r="F1652" s="108" t="s">
        <v>705</v>
      </c>
      <c r="G1652" s="22" t="str">
        <f t="shared" si="112"/>
        <v>P134SEJUSP</v>
      </c>
      <c r="H1652" s="108" t="s">
        <v>1371</v>
      </c>
      <c r="I1652" s="22" t="s">
        <v>16</v>
      </c>
      <c r="J1652" s="52" t="s">
        <v>1672</v>
      </c>
      <c r="K1652" s="22" t="str">
        <f>VLOOKUP(CONCATENATE(A1652,LEFT(J1652,4)),AGRUPAMENTO!$D$2:$E$6783,2,FALSE)</f>
        <v>Obras e projetos de obras</v>
      </c>
      <c r="L1652" s="52" t="s">
        <v>94</v>
      </c>
      <c r="M1652" s="52"/>
      <c r="N1652" s="52">
        <v>10</v>
      </c>
      <c r="O1652" s="176" t="s">
        <v>3710</v>
      </c>
      <c r="P1652" s="52" t="s">
        <v>58</v>
      </c>
      <c r="Q1652" s="266" t="s">
        <v>4323</v>
      </c>
      <c r="R1652" s="108">
        <v>1</v>
      </c>
      <c r="S1652" s="108" t="s">
        <v>4324</v>
      </c>
      <c r="T1652" s="241">
        <v>12429384</v>
      </c>
      <c r="U1652" s="245">
        <v>1</v>
      </c>
      <c r="V1652" s="58">
        <f t="shared" si="110"/>
        <v>12429384</v>
      </c>
      <c r="W1652" s="108" t="s">
        <v>68</v>
      </c>
      <c r="X1652" s="313" t="s">
        <v>5339</v>
      </c>
      <c r="Y1652" s="314" t="s">
        <v>4533</v>
      </c>
      <c r="Z1652" s="312" t="s">
        <v>5340</v>
      </c>
      <c r="AA1652" s="108">
        <v>1</v>
      </c>
      <c r="AB1652" s="108">
        <v>59</v>
      </c>
      <c r="AC1652" s="108">
        <v>88</v>
      </c>
      <c r="AD1652" s="21">
        <v>0</v>
      </c>
      <c r="AE1652" s="54">
        <v>0</v>
      </c>
      <c r="AF1652" s="315">
        <f t="shared" si="113"/>
        <v>0</v>
      </c>
    </row>
    <row r="1653" spans="1:32" ht="247.5" x14ac:dyDescent="0.25">
      <c r="A1653" s="108" t="s">
        <v>588</v>
      </c>
      <c r="B1653" s="107" t="s">
        <v>2270</v>
      </c>
      <c r="C1653" s="52"/>
      <c r="D1653" s="108" t="s">
        <v>2293</v>
      </c>
      <c r="E1653" s="22" t="str">
        <f t="shared" si="111"/>
        <v>SEJUSPPROG</v>
      </c>
      <c r="F1653" s="52" t="s">
        <v>705</v>
      </c>
      <c r="G1653" s="22" t="str">
        <f t="shared" si="112"/>
        <v>P134SEJUSP</v>
      </c>
      <c r="H1653" s="108" t="s">
        <v>1371</v>
      </c>
      <c r="I1653" s="22" t="s">
        <v>16</v>
      </c>
      <c r="J1653" s="108" t="s">
        <v>2129</v>
      </c>
      <c r="K1653" s="22" t="str">
        <f>VLOOKUP(CONCATENATE(A1653,LEFT(J1653,4)),AGRUPAMENTO!$D$2:$E$6783,2,FALSE)</f>
        <v>Auxílios diversos (transp alim funeral e etc)</v>
      </c>
      <c r="L1653" s="108" t="s">
        <v>44</v>
      </c>
      <c r="M1653" s="52"/>
      <c r="N1653" s="52">
        <v>10</v>
      </c>
      <c r="O1653" s="108" t="s">
        <v>3711</v>
      </c>
      <c r="P1653" s="52" t="s">
        <v>58</v>
      </c>
      <c r="Q1653" s="108" t="s">
        <v>3872</v>
      </c>
      <c r="R1653" s="108">
        <v>20</v>
      </c>
      <c r="S1653" s="108" t="s">
        <v>4325</v>
      </c>
      <c r="T1653" s="241">
        <v>15030</v>
      </c>
      <c r="U1653" s="245">
        <v>1</v>
      </c>
      <c r="V1653" s="58">
        <f t="shared" si="110"/>
        <v>300600</v>
      </c>
      <c r="W1653" s="108" t="s">
        <v>68</v>
      </c>
      <c r="X1653" s="263" t="s">
        <v>5341</v>
      </c>
      <c r="Y1653" s="263" t="s">
        <v>5342</v>
      </c>
      <c r="Z1653" s="263" t="s">
        <v>5343</v>
      </c>
      <c r="AA1653" s="108">
        <v>3</v>
      </c>
      <c r="AB1653" s="108">
        <v>60</v>
      </c>
      <c r="AC1653" s="108">
        <v>89</v>
      </c>
      <c r="AD1653" s="21">
        <v>0</v>
      </c>
      <c r="AE1653" s="54">
        <v>0</v>
      </c>
      <c r="AF1653" s="315">
        <f t="shared" si="113"/>
        <v>0</v>
      </c>
    </row>
    <row r="1654" spans="1:32" ht="165" x14ac:dyDescent="0.25">
      <c r="A1654" s="107" t="s">
        <v>588</v>
      </c>
      <c r="B1654" s="107" t="s">
        <v>2270</v>
      </c>
      <c r="C1654" s="52"/>
      <c r="D1654" s="108" t="s">
        <v>2286</v>
      </c>
      <c r="E1654" s="22" t="str">
        <f t="shared" si="111"/>
        <v>SEJUSPPROG</v>
      </c>
      <c r="F1654" s="52" t="s">
        <v>705</v>
      </c>
      <c r="G1654" s="22" t="str">
        <f t="shared" si="112"/>
        <v>P134SEJUSP</v>
      </c>
      <c r="H1654" s="108" t="s">
        <v>1309</v>
      </c>
      <c r="I1654" s="22" t="s">
        <v>16</v>
      </c>
      <c r="J1654" s="108" t="s">
        <v>2142</v>
      </c>
      <c r="K1654" s="22" t="str">
        <f>VLOOKUP(CONCATENATE(A1654,LEFT(J1654,4)),AGRUPAMENTO!$D$2:$E$6783,2,FALSE)</f>
        <v>Material de consumo</v>
      </c>
      <c r="L1654" s="108" t="s">
        <v>44</v>
      </c>
      <c r="M1654" s="52"/>
      <c r="N1654" s="52">
        <v>10</v>
      </c>
      <c r="O1654" s="108" t="s">
        <v>3519</v>
      </c>
      <c r="P1654" s="52" t="s">
        <v>58</v>
      </c>
      <c r="Q1654" s="108" t="s">
        <v>4326</v>
      </c>
      <c r="R1654" s="108">
        <v>1</v>
      </c>
      <c r="S1654" s="267" t="s">
        <v>3789</v>
      </c>
      <c r="T1654" s="241">
        <v>8000</v>
      </c>
      <c r="U1654" s="245">
        <v>1</v>
      </c>
      <c r="V1654" s="58">
        <f t="shared" si="110"/>
        <v>8000</v>
      </c>
      <c r="W1654" s="108" t="s">
        <v>68</v>
      </c>
      <c r="X1654" s="108" t="s">
        <v>5344</v>
      </c>
      <c r="Y1654" s="108" t="s">
        <v>5345</v>
      </c>
      <c r="Z1654" s="108" t="s">
        <v>5346</v>
      </c>
      <c r="AA1654" s="108">
        <v>1</v>
      </c>
      <c r="AB1654" s="108">
        <v>61</v>
      </c>
      <c r="AC1654" s="107">
        <v>90</v>
      </c>
      <c r="AD1654" s="21">
        <v>0</v>
      </c>
      <c r="AE1654" s="54">
        <v>0</v>
      </c>
      <c r="AF1654" s="315">
        <f t="shared" si="113"/>
        <v>0</v>
      </c>
    </row>
    <row r="1655" spans="1:32" ht="165" x14ac:dyDescent="0.25">
      <c r="A1655" s="107" t="s">
        <v>588</v>
      </c>
      <c r="B1655" s="107" t="s">
        <v>2270</v>
      </c>
      <c r="C1655" s="52"/>
      <c r="D1655" s="108" t="s">
        <v>2286</v>
      </c>
      <c r="E1655" s="22" t="str">
        <f t="shared" si="111"/>
        <v>SEJUSPPROG</v>
      </c>
      <c r="F1655" s="52" t="s">
        <v>705</v>
      </c>
      <c r="G1655" s="22" t="str">
        <f t="shared" si="112"/>
        <v>P134SEJUSP</v>
      </c>
      <c r="H1655" s="108" t="s">
        <v>1309</v>
      </c>
      <c r="I1655" s="22" t="s">
        <v>16</v>
      </c>
      <c r="J1655" s="108" t="s">
        <v>1664</v>
      </c>
      <c r="K1655" s="22" t="str">
        <f>VLOOKUP(CONCATENATE(A1655,LEFT(J1655,4)),AGRUPAMENTO!$D$2:$E$6783,2,FALSE)</f>
        <v>Serviços de TIC</v>
      </c>
      <c r="L1655" s="108" t="s">
        <v>44</v>
      </c>
      <c r="M1655" s="52"/>
      <c r="N1655" s="52">
        <v>10</v>
      </c>
      <c r="O1655" s="108" t="s">
        <v>3519</v>
      </c>
      <c r="P1655" s="52" t="s">
        <v>58</v>
      </c>
      <c r="Q1655" s="108">
        <v>1</v>
      </c>
      <c r="R1655" s="108">
        <v>1</v>
      </c>
      <c r="S1655" s="267" t="s">
        <v>3789</v>
      </c>
      <c r="T1655" s="241">
        <v>9000</v>
      </c>
      <c r="U1655" s="245">
        <v>1</v>
      </c>
      <c r="V1655" s="58">
        <f t="shared" si="110"/>
        <v>9000</v>
      </c>
      <c r="W1655" s="108" t="s">
        <v>68</v>
      </c>
      <c r="X1655" s="108" t="s">
        <v>5344</v>
      </c>
      <c r="Y1655" s="108" t="s">
        <v>5345</v>
      </c>
      <c r="Z1655" s="108" t="s">
        <v>5346</v>
      </c>
      <c r="AA1655" s="108">
        <v>1</v>
      </c>
      <c r="AB1655" s="108">
        <v>61</v>
      </c>
      <c r="AC1655" s="107">
        <v>90</v>
      </c>
      <c r="AD1655" s="21">
        <v>0</v>
      </c>
      <c r="AE1655" s="54">
        <v>0</v>
      </c>
      <c r="AF1655" s="315">
        <f t="shared" si="113"/>
        <v>0</v>
      </c>
    </row>
    <row r="1656" spans="1:32" ht="409.5" x14ac:dyDescent="0.25">
      <c r="A1656" s="108" t="s">
        <v>588</v>
      </c>
      <c r="B1656" s="107" t="s">
        <v>2269</v>
      </c>
      <c r="C1656" s="52"/>
      <c r="D1656" s="107" t="s">
        <v>2296</v>
      </c>
      <c r="E1656" s="22" t="str">
        <f t="shared" si="111"/>
        <v>SEJUSPPROG</v>
      </c>
      <c r="F1656" s="52" t="s">
        <v>729</v>
      </c>
      <c r="G1656" s="22" t="str">
        <f t="shared" si="112"/>
        <v>P130SEJUSP</v>
      </c>
      <c r="H1656" s="138" t="s">
        <v>1234</v>
      </c>
      <c r="I1656" s="22" t="s">
        <v>16</v>
      </c>
      <c r="J1656" s="138" t="s">
        <v>1750</v>
      </c>
      <c r="K1656" s="22" t="str">
        <f>VLOOKUP(CONCATENATE(A1656,LEFT(J1656,4)),AGRUPAMENTO!$D$2:$E$6783,2,FALSE)</f>
        <v>SUBVENÇÕES SOCIAIS</v>
      </c>
      <c r="L1656" s="138" t="s">
        <v>44</v>
      </c>
      <c r="M1656" s="52"/>
      <c r="N1656" s="52">
        <v>60</v>
      </c>
      <c r="O1656" s="138" t="s">
        <v>3712</v>
      </c>
      <c r="P1656" s="52" t="s">
        <v>58</v>
      </c>
      <c r="Q1656" s="268" t="s">
        <v>4327</v>
      </c>
      <c r="R1656" s="138">
        <v>160</v>
      </c>
      <c r="S1656" s="138" t="s">
        <v>4328</v>
      </c>
      <c r="T1656" s="207">
        <v>1694.6</v>
      </c>
      <c r="U1656" s="269">
        <v>12</v>
      </c>
      <c r="V1656" s="58">
        <f t="shared" si="110"/>
        <v>3253632</v>
      </c>
      <c r="W1656" s="138" t="s">
        <v>68</v>
      </c>
      <c r="X1656" s="138" t="s">
        <v>5347</v>
      </c>
      <c r="Y1656" s="138" t="s">
        <v>4595</v>
      </c>
      <c r="Z1656" s="138" t="s">
        <v>4596</v>
      </c>
      <c r="AA1656" s="138">
        <v>1</v>
      </c>
      <c r="AB1656" s="138">
        <v>16</v>
      </c>
      <c r="AC1656" s="138">
        <v>91</v>
      </c>
      <c r="AD1656" s="21">
        <v>0</v>
      </c>
      <c r="AE1656" s="54">
        <v>0</v>
      </c>
      <c r="AF1656" s="315">
        <f t="shared" si="113"/>
        <v>0</v>
      </c>
    </row>
    <row r="1657" spans="1:32" ht="135" x14ac:dyDescent="0.25">
      <c r="A1657" s="109" t="s">
        <v>588</v>
      </c>
      <c r="B1657" s="110" t="s">
        <v>2270</v>
      </c>
      <c r="C1657" s="52"/>
      <c r="D1657" s="110" t="s">
        <v>2276</v>
      </c>
      <c r="E1657" s="22" t="str">
        <f t="shared" si="111"/>
        <v>SEJUSPPROG</v>
      </c>
      <c r="F1657" s="122" t="s">
        <v>886</v>
      </c>
      <c r="G1657" s="22" t="str">
        <f t="shared" si="112"/>
        <v>P146SEJUSP</v>
      </c>
      <c r="H1657" s="52" t="s">
        <v>1424</v>
      </c>
      <c r="I1657" s="22" t="s">
        <v>16</v>
      </c>
      <c r="J1657" s="122" t="s">
        <v>1605</v>
      </c>
      <c r="K1657" s="22" t="str">
        <f>VLOOKUP(CONCATENATE(A1657,LEFT(J1657,4)),AGRUPAMENTO!$D$2:$E$6783,2,FALSE)</f>
        <v>Serviços de saúde e medicamentos</v>
      </c>
      <c r="L1657" s="122" t="s">
        <v>44</v>
      </c>
      <c r="M1657" s="52"/>
      <c r="N1657" s="52">
        <v>10</v>
      </c>
      <c r="O1657" s="122" t="s">
        <v>3713</v>
      </c>
      <c r="P1657" s="52" t="s">
        <v>46</v>
      </c>
      <c r="Q1657" s="122" t="s">
        <v>4020</v>
      </c>
      <c r="R1657" s="122">
        <v>70000</v>
      </c>
      <c r="S1657" s="122" t="s">
        <v>4023</v>
      </c>
      <c r="T1657" s="243">
        <v>17.21</v>
      </c>
      <c r="U1657" s="249">
        <v>4</v>
      </c>
      <c r="V1657" s="58">
        <f t="shared" si="110"/>
        <v>4818800</v>
      </c>
      <c r="W1657" s="52" t="s">
        <v>49</v>
      </c>
      <c r="X1657" s="122" t="s">
        <v>5348</v>
      </c>
      <c r="Y1657" s="122" t="s">
        <v>5349</v>
      </c>
      <c r="Z1657" s="122" t="s">
        <v>5350</v>
      </c>
      <c r="AA1657" s="52">
        <v>0</v>
      </c>
      <c r="AB1657" s="52">
        <v>0</v>
      </c>
      <c r="AC1657" s="52">
        <v>0</v>
      </c>
      <c r="AD1657" s="21">
        <v>0.68827656736675979</v>
      </c>
      <c r="AE1657" s="54">
        <v>0.68827656736675979</v>
      </c>
      <c r="AF1657" s="315">
        <f t="shared" si="113"/>
        <v>3316667.1228269422</v>
      </c>
    </row>
    <row r="1658" spans="1:32" ht="135" x14ac:dyDescent="0.25">
      <c r="A1658" s="109" t="s">
        <v>588</v>
      </c>
      <c r="B1658" s="110" t="s">
        <v>2270</v>
      </c>
      <c r="C1658" s="52"/>
      <c r="D1658" s="110" t="s">
        <v>2276</v>
      </c>
      <c r="E1658" s="22" t="str">
        <f t="shared" si="111"/>
        <v>SEJUSPPROG</v>
      </c>
      <c r="F1658" s="122" t="s">
        <v>886</v>
      </c>
      <c r="G1658" s="22" t="str">
        <f t="shared" si="112"/>
        <v>P146SEJUSP</v>
      </c>
      <c r="H1658" s="52" t="s">
        <v>1424</v>
      </c>
      <c r="I1658" s="22" t="s">
        <v>16</v>
      </c>
      <c r="J1658" s="122" t="s">
        <v>137</v>
      </c>
      <c r="K1658" s="22" t="str">
        <f>VLOOKUP(CONCATENATE(A1658,LEFT(J1658,4)),AGRUPAMENTO!$D$2:$E$6783,2,FALSE)</f>
        <v>Serviços de saúde e medicamentos</v>
      </c>
      <c r="L1658" s="122" t="s">
        <v>44</v>
      </c>
      <c r="M1658" s="52"/>
      <c r="N1658" s="52">
        <v>10</v>
      </c>
      <c r="O1658" s="122" t="s">
        <v>3714</v>
      </c>
      <c r="P1658" s="52" t="s">
        <v>46</v>
      </c>
      <c r="Q1658" s="122" t="s">
        <v>4329</v>
      </c>
      <c r="R1658" s="122">
        <v>550</v>
      </c>
      <c r="S1658" s="122" t="s">
        <v>4330</v>
      </c>
      <c r="T1658" s="243">
        <v>38.36</v>
      </c>
      <c r="U1658" s="249">
        <v>4</v>
      </c>
      <c r="V1658" s="58">
        <f t="shared" si="110"/>
        <v>84392</v>
      </c>
      <c r="W1658" s="52" t="s">
        <v>49</v>
      </c>
      <c r="X1658" s="122" t="s">
        <v>5351</v>
      </c>
      <c r="Y1658" s="122" t="s">
        <v>5352</v>
      </c>
      <c r="Z1658" s="122" t="s">
        <v>5350</v>
      </c>
      <c r="AA1658" s="52">
        <v>0</v>
      </c>
      <c r="AB1658" s="52">
        <v>0</v>
      </c>
      <c r="AC1658" s="52">
        <v>0</v>
      </c>
      <c r="AD1658" s="21">
        <v>0.68827656736675979</v>
      </c>
      <c r="AE1658" s="54">
        <v>0.68827656736675979</v>
      </c>
      <c r="AF1658" s="315">
        <f t="shared" si="113"/>
        <v>58085.03607321559</v>
      </c>
    </row>
  </sheetData>
  <sheetProtection formatCells="0" formatColumns="0" formatRows="0" deleteRows="0" selectLockedCells="1" sort="0" autoFilter="0" pivotTables="0"/>
  <autoFilter ref="A2:AF1658"/>
  <mergeCells count="1">
    <mergeCell ref="H1:I1"/>
  </mergeCells>
  <phoneticPr fontId="7" type="noConversion"/>
  <dataValidations count="8">
    <dataValidation allowBlank="1" showInputMessage="1" showErrorMessage="1" errorTitle="Erro de seleção" error="Selecione apenas as fontes disponiveis!" sqref="N3:N1048576"/>
    <dataValidation type="decimal" allowBlank="1" showInputMessage="1" showErrorMessage="1" errorTitle="Preço Unitário" error="Esse campo deve ser preenchido com valores núméricos (números inteiros e decimais)." sqref="T3:T1658">
      <formula1>0</formula1>
      <formula2>1E+35</formula2>
    </dataValidation>
    <dataValidation type="decimal" allowBlank="1" showInputMessage="1" showErrorMessage="1" errorTitle="Volume" error="Esse campo deve ser preenchido com valores núméricos (números inteiros e decimais)." sqref="R3:R1658">
      <formula1>0</formula1>
      <formula2>1E+32</formula2>
    </dataValidation>
    <dataValidation type="whole" allowBlank="1" showInputMessage="1" showErrorMessage="1" errorTitle="Frequência de Pagamento" error="Esse campo deve ser preenchido com números inteiros, de acordo com o número de vezes que o pagamento da despesa é feita ao longo do ano." sqref="U3:U1658">
      <formula1>1</formula1>
      <formula2>300</formula2>
    </dataValidation>
    <dataValidation type="whole" errorStyle="warning" allowBlank="1" showInputMessage="1" showErrorMessage="1" error="Esse campo deve ser preenchido em escala numérica (números inteiros). " promptTitle="Priorização" prompt="A priorização deve ser feita em escala númerica (números inteiros), sendo &quot;1&quot; aquilo considerado como o mais importante, ou seja, mais próximo do limiar. " sqref="AA3:AC1658">
      <formula1>0</formula1>
      <formula2>10000</formula2>
    </dataValidation>
    <dataValidation type="list" allowBlank="1" showInputMessage="1" showErrorMessage="1" sqref="C3:C499">
      <formula1>INDIRECT($A$3)</formula1>
    </dataValidation>
    <dataValidation allowBlank="1" showInputMessage="1" showErrorMessage="1" prompt="CAMPO DE PREENCHIMENTO OBRIGATÓRIO" sqref="X3:Z1658"/>
    <dataValidation type="list" allowBlank="1" showInputMessage="1" showErrorMessage="1" sqref="J3:J1658 H3:H1048576 F3:F1048576">
      <formula1>INDIRECT(E3)</formula1>
    </dataValidation>
  </dataValidations>
  <hyperlinks>
    <hyperlink ref="F1" location="INDICE!A1" display="INDICE"/>
  </hyperlinks>
  <pageMargins left="0.511811024" right="0.511811024" top="0.78740157499999996" bottom="0.78740157499999996" header="0.31496062000000002" footer="0.31496062000000002"/>
  <pageSetup paperSize="9"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14:formula1>
            <xm:f>CENÁRIO!$C$2:$C$3</xm:f>
          </x14:formula1>
          <xm:sqref>P3:P1048576</xm:sqref>
        </x14:dataValidation>
        <x14:dataValidation type="list" allowBlank="1" showInputMessage="1" showErrorMessage="1">
          <x14:formula1>
            <xm:f>CENÁRIO!$A$8:$A$10</xm:f>
          </x14:formula1>
          <xm:sqref>L3:L1658</xm:sqref>
        </x14:dataValidation>
        <x14:dataValidation type="list" allowBlank="1" showInputMessage="1" showErrorMessage="1" prompt="CAMPO DE PREENCHIMENTO OBRIGATÓRIO">
          <x14:formula1>
            <xm:f>CENÁRIO!$A$2:$A$3</xm:f>
          </x14:formula1>
          <xm:sqref>W3:W1658</xm:sqref>
        </x14:dataValidation>
        <x14:dataValidation type="list" allowBlank="1" showInputMessage="1" showErrorMessage="1" error="Favor selecionar uma opção disponível na lista. ">
          <x14:formula1>
            <xm:f>ORGANOGRAMA!$A$1:$BG$1</xm:f>
          </x14:formula1>
          <xm:sqref>A3:A1658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J101"/>
  <sheetViews>
    <sheetView topLeftCell="DH1" workbookViewId="0">
      <selection activeCell="DJ33" sqref="DJ33"/>
    </sheetView>
  </sheetViews>
  <sheetFormatPr defaultColWidth="7" defaultRowHeight="15" x14ac:dyDescent="0.25"/>
  <cols>
    <col min="1" max="1" width="106.5703125" bestFit="1" customWidth="1"/>
    <col min="2" max="2" width="83.28515625" bestFit="1" customWidth="1"/>
    <col min="3" max="3" width="91.28515625" bestFit="1" customWidth="1"/>
    <col min="4" max="4" width="85.28515625" bestFit="1" customWidth="1"/>
    <col min="5" max="5" width="128.42578125" bestFit="1" customWidth="1"/>
    <col min="6" max="6" width="72.85546875" bestFit="1" customWidth="1"/>
    <col min="7" max="7" width="137" bestFit="1" customWidth="1"/>
    <col min="8" max="8" width="70.28515625" bestFit="1" customWidth="1"/>
    <col min="9" max="9" width="63.85546875" bestFit="1" customWidth="1"/>
    <col min="10" max="10" width="84.85546875" bestFit="1" customWidth="1"/>
    <col min="11" max="11" width="61" bestFit="1" customWidth="1"/>
    <col min="12" max="12" width="57.28515625" bestFit="1" customWidth="1"/>
    <col min="13" max="13" width="75.7109375" bestFit="1" customWidth="1"/>
    <col min="14" max="14" width="77.140625" bestFit="1" customWidth="1"/>
    <col min="15" max="15" width="118.7109375" bestFit="1" customWidth="1"/>
    <col min="16" max="16" width="65.7109375" bestFit="1" customWidth="1"/>
    <col min="17" max="17" width="103.28515625" bestFit="1" customWidth="1"/>
    <col min="18" max="18" width="86" bestFit="1" customWidth="1"/>
    <col min="19" max="19" width="149.28515625" bestFit="1" customWidth="1"/>
    <col min="20" max="20" width="107.140625" bestFit="1" customWidth="1"/>
    <col min="21" max="21" width="80.5703125" bestFit="1" customWidth="1"/>
    <col min="22" max="22" width="116.140625" bestFit="1" customWidth="1"/>
    <col min="23" max="23" width="129.140625" bestFit="1" customWidth="1"/>
    <col min="24" max="24" width="116" bestFit="1" customWidth="1"/>
    <col min="25" max="25" width="81.5703125" bestFit="1" customWidth="1"/>
    <col min="26" max="26" width="142.7109375" bestFit="1" customWidth="1"/>
    <col min="27" max="27" width="68.5703125" bestFit="1" customWidth="1"/>
    <col min="28" max="28" width="87.140625" bestFit="1" customWidth="1"/>
    <col min="29" max="29" width="118.85546875" bestFit="1" customWidth="1"/>
    <col min="30" max="30" width="98.7109375" bestFit="1" customWidth="1"/>
    <col min="31" max="31" width="110.28515625" bestFit="1" customWidth="1"/>
    <col min="32" max="32" width="103.28515625" bestFit="1" customWidth="1"/>
    <col min="33" max="33" width="81.85546875" bestFit="1" customWidth="1"/>
    <col min="34" max="34" width="109.7109375" bestFit="1" customWidth="1"/>
    <col min="35" max="35" width="66.7109375" bestFit="1" customWidth="1"/>
    <col min="36" max="36" width="89.5703125" bestFit="1" customWidth="1"/>
    <col min="37" max="37" width="95.28515625" bestFit="1" customWidth="1"/>
    <col min="38" max="38" width="89.85546875" bestFit="1" customWidth="1"/>
    <col min="39" max="39" width="104.28515625" bestFit="1" customWidth="1"/>
    <col min="40" max="40" width="125" bestFit="1" customWidth="1"/>
    <col min="41" max="41" width="79.140625" bestFit="1" customWidth="1"/>
    <col min="42" max="42" width="76.85546875" bestFit="1" customWidth="1"/>
    <col min="43" max="43" width="81" bestFit="1" customWidth="1"/>
    <col min="44" max="44" width="99" bestFit="1" customWidth="1"/>
    <col min="45" max="45" width="64.5703125" bestFit="1" customWidth="1"/>
    <col min="46" max="46" width="77.85546875" bestFit="1" customWidth="1"/>
    <col min="47" max="47" width="84.140625" bestFit="1" customWidth="1"/>
    <col min="48" max="48" width="68.5703125" bestFit="1" customWidth="1"/>
    <col min="49" max="49" width="51" bestFit="1" customWidth="1"/>
    <col min="50" max="50" width="66.5703125" bestFit="1" customWidth="1"/>
    <col min="51" max="51" width="130" bestFit="1" customWidth="1"/>
    <col min="52" max="52" width="119.7109375" bestFit="1" customWidth="1"/>
    <col min="53" max="53" width="58.42578125" bestFit="1" customWidth="1"/>
    <col min="54" max="54" width="118" bestFit="1" customWidth="1"/>
    <col min="55" max="55" width="65.28515625" bestFit="1" customWidth="1"/>
    <col min="56" max="56" width="77.140625" bestFit="1" customWidth="1"/>
    <col min="57" max="57" width="124.5703125" bestFit="1" customWidth="1"/>
    <col min="58" max="58" width="53.5703125" bestFit="1" customWidth="1"/>
    <col min="59" max="59" width="72.28515625" bestFit="1" customWidth="1"/>
    <col min="60" max="60" width="73.140625" bestFit="1" customWidth="1"/>
    <col min="61" max="61" width="60.140625" bestFit="1" customWidth="1"/>
    <col min="62" max="62" width="102.5703125" bestFit="1" customWidth="1"/>
    <col min="63" max="63" width="111.5703125" bestFit="1" customWidth="1"/>
    <col min="64" max="64" width="75.28515625" bestFit="1" customWidth="1"/>
    <col min="65" max="65" width="59.28515625" bestFit="1" customWidth="1"/>
    <col min="66" max="66" width="136" bestFit="1" customWidth="1"/>
    <col min="67" max="67" width="66.140625" bestFit="1" customWidth="1"/>
    <col min="68" max="68" width="89.42578125" bestFit="1" customWidth="1"/>
    <col min="69" max="69" width="82" bestFit="1" customWidth="1"/>
    <col min="70" max="70" width="77" bestFit="1" customWidth="1"/>
    <col min="71" max="71" width="91.5703125" bestFit="1" customWidth="1"/>
    <col min="72" max="72" width="93.85546875" bestFit="1" customWidth="1"/>
    <col min="73" max="73" width="80.5703125" bestFit="1" customWidth="1"/>
    <col min="74" max="74" width="140.140625" bestFit="1" customWidth="1"/>
    <col min="75" max="75" width="135.7109375" bestFit="1" customWidth="1"/>
    <col min="76" max="76" width="88.7109375" bestFit="1" customWidth="1"/>
    <col min="77" max="77" width="73.7109375" bestFit="1" customWidth="1"/>
    <col min="78" max="78" width="68.140625" bestFit="1" customWidth="1"/>
    <col min="79" max="79" width="98.42578125" bestFit="1" customWidth="1"/>
    <col min="80" max="80" width="96.28515625" bestFit="1" customWidth="1"/>
    <col min="81" max="81" width="93.140625" bestFit="1" customWidth="1"/>
    <col min="82" max="82" width="104.85546875" bestFit="1" customWidth="1"/>
    <col min="83" max="83" width="80.5703125" bestFit="1" customWidth="1"/>
    <col min="84" max="84" width="64.140625" bestFit="1" customWidth="1"/>
    <col min="85" max="85" width="62.28515625" bestFit="1" customWidth="1"/>
    <col min="86" max="86" width="61.85546875" bestFit="1" customWidth="1"/>
    <col min="87" max="87" width="116.85546875" bestFit="1" customWidth="1"/>
    <col min="88" max="88" width="81" bestFit="1" customWidth="1"/>
    <col min="89" max="89" width="127.7109375" bestFit="1" customWidth="1"/>
    <col min="90" max="90" width="70.140625" bestFit="1" customWidth="1"/>
    <col min="91" max="91" width="79.140625" bestFit="1" customWidth="1"/>
    <col min="92" max="92" width="120.85546875" bestFit="1" customWidth="1"/>
    <col min="93" max="93" width="31.5703125" bestFit="1" customWidth="1"/>
    <col min="94" max="94" width="166.85546875" bestFit="1" customWidth="1"/>
    <col min="95" max="95" width="81.42578125" bestFit="1" customWidth="1"/>
    <col min="96" max="96" width="62.28515625" bestFit="1" customWidth="1"/>
    <col min="97" max="97" width="102.5703125" bestFit="1" customWidth="1"/>
    <col min="98" max="98" width="120.85546875" bestFit="1" customWidth="1"/>
    <col min="99" max="99" width="193.42578125" bestFit="1" customWidth="1"/>
    <col min="100" max="100" width="87.28515625" bestFit="1" customWidth="1"/>
    <col min="101" max="101" width="139" bestFit="1" customWidth="1"/>
    <col min="102" max="102" width="168.42578125" bestFit="1" customWidth="1"/>
    <col min="103" max="103" width="110.140625" bestFit="1" customWidth="1"/>
    <col min="104" max="104" width="144.85546875" bestFit="1" customWidth="1"/>
    <col min="105" max="105" width="121.42578125" bestFit="1" customWidth="1"/>
    <col min="106" max="106" width="115.140625" bestFit="1" customWidth="1"/>
    <col min="107" max="107" width="84.140625" bestFit="1" customWidth="1"/>
    <col min="108" max="108" width="114.85546875" bestFit="1" customWidth="1"/>
    <col min="109" max="109" width="163" bestFit="1" customWidth="1"/>
    <col min="110" max="110" width="64.5703125" bestFit="1" customWidth="1"/>
    <col min="111" max="111" width="104.42578125" bestFit="1" customWidth="1"/>
    <col min="112" max="112" width="87.7109375" bestFit="1" customWidth="1"/>
    <col min="113" max="113" width="63.140625" bestFit="1" customWidth="1"/>
    <col min="114" max="114" width="70.28515625" bestFit="1" customWidth="1"/>
  </cols>
  <sheetData>
    <row r="1" spans="1:114" s="97" customFormat="1" x14ac:dyDescent="0.25">
      <c r="A1" s="97" t="s">
        <v>539</v>
      </c>
      <c r="B1" s="97" t="s">
        <v>540</v>
      </c>
      <c r="C1" s="97" t="s">
        <v>541</v>
      </c>
      <c r="D1" s="97" t="s">
        <v>1907</v>
      </c>
      <c r="E1" s="97" t="s">
        <v>542</v>
      </c>
      <c r="F1" s="97" t="s">
        <v>1908</v>
      </c>
      <c r="G1" s="97" t="s">
        <v>1909</v>
      </c>
      <c r="H1" s="97" t="s">
        <v>1910</v>
      </c>
      <c r="I1" s="97" t="s">
        <v>1911</v>
      </c>
      <c r="J1" s="97" t="s">
        <v>1912</v>
      </c>
      <c r="K1" s="97" t="s">
        <v>1913</v>
      </c>
      <c r="L1" s="97" t="s">
        <v>1914</v>
      </c>
      <c r="M1" s="97" t="s">
        <v>1915</v>
      </c>
      <c r="N1" s="97" t="s">
        <v>1916</v>
      </c>
      <c r="O1" s="97" t="s">
        <v>1917</v>
      </c>
      <c r="P1" s="97" t="s">
        <v>1918</v>
      </c>
      <c r="Q1" s="97" t="s">
        <v>544</v>
      </c>
      <c r="R1" s="97" t="s">
        <v>1919</v>
      </c>
      <c r="S1" s="97" t="s">
        <v>543</v>
      </c>
      <c r="T1" s="97" t="s">
        <v>1920</v>
      </c>
      <c r="U1" s="97" t="s">
        <v>167</v>
      </c>
      <c r="V1" s="97" t="s">
        <v>1921</v>
      </c>
      <c r="W1" s="97" t="s">
        <v>1922</v>
      </c>
      <c r="X1" s="97" t="s">
        <v>545</v>
      </c>
      <c r="Y1" s="97" t="s">
        <v>547</v>
      </c>
      <c r="Z1" s="97" t="s">
        <v>546</v>
      </c>
      <c r="AA1" s="97" t="s">
        <v>1923</v>
      </c>
      <c r="AB1" s="97" t="s">
        <v>548</v>
      </c>
      <c r="AC1" s="97" t="s">
        <v>564</v>
      </c>
      <c r="AD1" s="97" t="s">
        <v>550</v>
      </c>
      <c r="AE1" s="97" t="s">
        <v>549</v>
      </c>
      <c r="AF1" s="97" t="s">
        <v>37</v>
      </c>
      <c r="AG1" s="97" t="s">
        <v>594</v>
      </c>
      <c r="AH1" s="97" t="s">
        <v>559</v>
      </c>
      <c r="AI1" s="97" t="s">
        <v>552</v>
      </c>
      <c r="AJ1" s="97" t="s">
        <v>561</v>
      </c>
      <c r="AK1" s="97" t="s">
        <v>555</v>
      </c>
      <c r="AL1" s="97" t="s">
        <v>556</v>
      </c>
      <c r="AM1" s="97" t="s">
        <v>558</v>
      </c>
      <c r="AN1" s="97" t="s">
        <v>591</v>
      </c>
      <c r="AO1" s="97" t="s">
        <v>1924</v>
      </c>
      <c r="AP1" s="97" t="s">
        <v>1925</v>
      </c>
      <c r="AQ1" s="97" t="s">
        <v>560</v>
      </c>
      <c r="AR1" s="97" t="s">
        <v>1926</v>
      </c>
      <c r="AS1" s="97" t="s">
        <v>1927</v>
      </c>
      <c r="AT1" s="97" t="s">
        <v>551</v>
      </c>
      <c r="AU1" s="97" t="s">
        <v>1928</v>
      </c>
      <c r="AV1" s="97" t="s">
        <v>1929</v>
      </c>
      <c r="AW1" s="97" t="s">
        <v>1930</v>
      </c>
      <c r="AX1" s="97" t="s">
        <v>1931</v>
      </c>
      <c r="AY1" s="97" t="s">
        <v>1932</v>
      </c>
      <c r="AZ1" s="97" t="s">
        <v>557</v>
      </c>
      <c r="BA1" s="97" t="s">
        <v>1933</v>
      </c>
      <c r="BB1" s="97" t="s">
        <v>1934</v>
      </c>
      <c r="BC1" s="97" t="s">
        <v>1935</v>
      </c>
      <c r="BD1" s="97" t="s">
        <v>1936</v>
      </c>
      <c r="BE1" s="97" t="s">
        <v>553</v>
      </c>
      <c r="BF1" s="97" t="s">
        <v>1937</v>
      </c>
      <c r="BG1" s="97" t="s">
        <v>1938</v>
      </c>
      <c r="BH1" s="97" t="s">
        <v>562</v>
      </c>
      <c r="BI1" s="97" t="s">
        <v>1939</v>
      </c>
      <c r="BJ1" s="97" t="s">
        <v>1940</v>
      </c>
      <c r="BK1" s="97" t="s">
        <v>1941</v>
      </c>
      <c r="BL1" s="97" t="s">
        <v>1942</v>
      </c>
      <c r="BM1" s="97" t="s">
        <v>1943</v>
      </c>
      <c r="BN1" s="97" t="s">
        <v>554</v>
      </c>
      <c r="BO1" s="97" t="s">
        <v>1944</v>
      </c>
      <c r="BP1" s="97" t="s">
        <v>1945</v>
      </c>
      <c r="BQ1" s="97" t="s">
        <v>1946</v>
      </c>
      <c r="BR1" s="97" t="s">
        <v>1947</v>
      </c>
      <c r="BS1" s="97" t="s">
        <v>1948</v>
      </c>
      <c r="BT1" s="97" t="s">
        <v>1949</v>
      </c>
      <c r="BU1" s="97" t="s">
        <v>563</v>
      </c>
      <c r="BV1" s="97" t="s">
        <v>1950</v>
      </c>
      <c r="BW1" s="97" t="s">
        <v>565</v>
      </c>
      <c r="BX1" s="97" t="s">
        <v>1951</v>
      </c>
      <c r="BY1" s="97" t="s">
        <v>1952</v>
      </c>
      <c r="BZ1" s="97" t="s">
        <v>570</v>
      </c>
      <c r="CA1" s="97" t="s">
        <v>571</v>
      </c>
      <c r="CB1" s="97" t="s">
        <v>566</v>
      </c>
      <c r="CC1" s="97" t="s">
        <v>567</v>
      </c>
      <c r="CD1" s="97" t="s">
        <v>569</v>
      </c>
      <c r="CE1" s="97" t="s">
        <v>568</v>
      </c>
      <c r="CF1" s="97" t="s">
        <v>572</v>
      </c>
      <c r="CG1" s="97" t="s">
        <v>573</v>
      </c>
      <c r="CH1" s="97" t="s">
        <v>1953</v>
      </c>
      <c r="CI1" s="97" t="s">
        <v>1954</v>
      </c>
      <c r="CJ1" s="97" t="s">
        <v>574</v>
      </c>
      <c r="CK1" s="97" t="s">
        <v>1955</v>
      </c>
      <c r="CL1" s="97" t="s">
        <v>575</v>
      </c>
      <c r="CM1" s="97" t="s">
        <v>576</v>
      </c>
      <c r="CN1" s="97" t="s">
        <v>1956</v>
      </c>
      <c r="CO1" s="97" t="s">
        <v>1957</v>
      </c>
      <c r="CP1" s="97" t="s">
        <v>577</v>
      </c>
      <c r="CQ1" s="97" t="s">
        <v>578</v>
      </c>
      <c r="CR1" s="97" t="s">
        <v>580</v>
      </c>
      <c r="CS1" s="97" t="s">
        <v>581</v>
      </c>
      <c r="CT1" s="97" t="s">
        <v>582</v>
      </c>
      <c r="CU1" s="97" t="s">
        <v>583</v>
      </c>
      <c r="CV1" s="97" t="s">
        <v>584</v>
      </c>
      <c r="CW1" s="97" t="s">
        <v>585</v>
      </c>
      <c r="CX1" s="97" t="s">
        <v>586</v>
      </c>
      <c r="CY1" s="97" t="s">
        <v>587</v>
      </c>
      <c r="CZ1" s="97" t="s">
        <v>588</v>
      </c>
      <c r="DA1" s="97" t="s">
        <v>589</v>
      </c>
      <c r="DB1" s="97" t="s">
        <v>590</v>
      </c>
      <c r="DC1" s="97" t="s">
        <v>579</v>
      </c>
      <c r="DD1" s="97" t="s">
        <v>1958</v>
      </c>
      <c r="DE1" s="97" t="s">
        <v>1959</v>
      </c>
      <c r="DF1" s="97" t="s">
        <v>1960</v>
      </c>
      <c r="DG1" s="97" t="s">
        <v>1961</v>
      </c>
      <c r="DH1" s="97" t="s">
        <v>592</v>
      </c>
      <c r="DI1" s="97" t="s">
        <v>593</v>
      </c>
      <c r="DJ1" s="97" t="s">
        <v>2100</v>
      </c>
    </row>
    <row r="2" spans="1:114" x14ac:dyDescent="0.25">
      <c r="A2" t="s">
        <v>674</v>
      </c>
      <c r="B2" t="s">
        <v>658</v>
      </c>
      <c r="C2" t="s">
        <v>658</v>
      </c>
      <c r="D2" t="s">
        <v>707</v>
      </c>
      <c r="E2" t="s">
        <v>659</v>
      </c>
      <c r="F2" t="s">
        <v>687</v>
      </c>
      <c r="G2" t="s">
        <v>1962</v>
      </c>
      <c r="H2" t="s">
        <v>1963</v>
      </c>
      <c r="I2" t="s">
        <v>1964</v>
      </c>
      <c r="J2" t="s">
        <v>706</v>
      </c>
      <c r="K2" t="s">
        <v>706</v>
      </c>
      <c r="L2" t="s">
        <v>706</v>
      </c>
      <c r="M2" t="s">
        <v>687</v>
      </c>
      <c r="N2" t="s">
        <v>680</v>
      </c>
      <c r="O2" t="s">
        <v>1965</v>
      </c>
      <c r="P2" t="s">
        <v>1966</v>
      </c>
      <c r="Q2" t="s">
        <v>685</v>
      </c>
      <c r="R2" t="s">
        <v>680</v>
      </c>
      <c r="S2" t="s">
        <v>660</v>
      </c>
      <c r="T2" t="s">
        <v>687</v>
      </c>
      <c r="U2" t="s">
        <v>660</v>
      </c>
      <c r="V2" t="s">
        <v>687</v>
      </c>
      <c r="W2" t="s">
        <v>691</v>
      </c>
      <c r="X2" t="s">
        <v>693</v>
      </c>
      <c r="Y2" t="s">
        <v>694</v>
      </c>
      <c r="Z2" t="s">
        <v>661</v>
      </c>
      <c r="AA2" t="s">
        <v>687</v>
      </c>
      <c r="AB2" t="s">
        <v>644</v>
      </c>
      <c r="AC2" t="s">
        <v>651</v>
      </c>
      <c r="AD2" t="s">
        <v>1967</v>
      </c>
      <c r="AE2" t="s">
        <v>645</v>
      </c>
      <c r="AF2" t="s">
        <v>661</v>
      </c>
      <c r="AG2" t="s">
        <v>657</v>
      </c>
      <c r="AH2" t="s">
        <v>1967</v>
      </c>
      <c r="AI2" t="s">
        <v>663</v>
      </c>
      <c r="AJ2" t="s">
        <v>650</v>
      </c>
      <c r="AK2" t="s">
        <v>647</v>
      </c>
      <c r="AL2" t="s">
        <v>648</v>
      </c>
      <c r="AM2" t="s">
        <v>664</v>
      </c>
      <c r="AN2" t="s">
        <v>654</v>
      </c>
      <c r="AO2" t="s">
        <v>1968</v>
      </c>
      <c r="AP2" t="s">
        <v>696</v>
      </c>
      <c r="AQ2" t="s">
        <v>702</v>
      </c>
      <c r="AR2" t="s">
        <v>661</v>
      </c>
      <c r="AS2" t="s">
        <v>704</v>
      </c>
      <c r="AT2" t="s">
        <v>658</v>
      </c>
      <c r="AU2" t="s">
        <v>1969</v>
      </c>
      <c r="AV2" t="s">
        <v>755</v>
      </c>
      <c r="AW2" t="s">
        <v>1970</v>
      </c>
      <c r="AX2" t="s">
        <v>704</v>
      </c>
      <c r="AY2" t="s">
        <v>755</v>
      </c>
      <c r="AZ2" t="s">
        <v>680</v>
      </c>
      <c r="BA2" t="s">
        <v>703</v>
      </c>
      <c r="BB2" t="s">
        <v>1970</v>
      </c>
      <c r="BC2" t="s">
        <v>700</v>
      </c>
      <c r="BD2" t="s">
        <v>695</v>
      </c>
      <c r="BE2" t="s">
        <v>672</v>
      </c>
      <c r="BF2" t="s">
        <v>661</v>
      </c>
      <c r="BG2" t="s">
        <v>819</v>
      </c>
      <c r="BH2" t="s">
        <v>671</v>
      </c>
      <c r="BI2" t="s">
        <v>698</v>
      </c>
      <c r="BJ2" t="s">
        <v>921</v>
      </c>
      <c r="BK2" t="s">
        <v>699</v>
      </c>
      <c r="BL2" t="s">
        <v>687</v>
      </c>
      <c r="BM2" t="s">
        <v>701</v>
      </c>
      <c r="BN2" t="s">
        <v>646</v>
      </c>
      <c r="BO2" t="s">
        <v>705</v>
      </c>
      <c r="BP2" t="s">
        <v>670</v>
      </c>
      <c r="BQ2" t="s">
        <v>819</v>
      </c>
      <c r="BR2" t="s">
        <v>687</v>
      </c>
      <c r="BS2" t="s">
        <v>1971</v>
      </c>
      <c r="BT2" t="s">
        <v>697</v>
      </c>
      <c r="BU2" t="s">
        <v>673</v>
      </c>
      <c r="BV2" t="s">
        <v>687</v>
      </c>
      <c r="BW2" t="s">
        <v>665</v>
      </c>
      <c r="BX2" t="s">
        <v>1972</v>
      </c>
      <c r="BY2" t="s">
        <v>687</v>
      </c>
      <c r="BZ2" t="s">
        <v>652</v>
      </c>
      <c r="CA2" t="s">
        <v>653</v>
      </c>
      <c r="CB2" t="s">
        <v>666</v>
      </c>
      <c r="CC2" t="s">
        <v>661</v>
      </c>
      <c r="CD2" t="s">
        <v>667</v>
      </c>
      <c r="CE2" t="s">
        <v>660</v>
      </c>
      <c r="CF2" t="s">
        <v>668</v>
      </c>
      <c r="CG2" t="s">
        <v>669</v>
      </c>
      <c r="CH2" t="s">
        <v>1973</v>
      </c>
      <c r="CI2" t="s">
        <v>1974</v>
      </c>
      <c r="CJ2" t="s">
        <v>675</v>
      </c>
      <c r="CK2" t="s">
        <v>687</v>
      </c>
      <c r="CL2" t="s">
        <v>684</v>
      </c>
      <c r="CM2" t="s">
        <v>678</v>
      </c>
      <c r="CN2" t="s">
        <v>688</v>
      </c>
      <c r="CO2" t="s">
        <v>692</v>
      </c>
      <c r="CP2" t="s">
        <v>1967</v>
      </c>
      <c r="CQ2" t="s">
        <v>677</v>
      </c>
      <c r="CR2" t="s">
        <v>689</v>
      </c>
      <c r="CS2" t="s">
        <v>679</v>
      </c>
      <c r="CT2" t="s">
        <v>665</v>
      </c>
      <c r="CU2" t="s">
        <v>1967</v>
      </c>
      <c r="CV2" t="s">
        <v>1967</v>
      </c>
      <c r="CW2" t="s">
        <v>676</v>
      </c>
      <c r="CX2" t="s">
        <v>682</v>
      </c>
      <c r="CY2" t="s">
        <v>660</v>
      </c>
      <c r="CZ2" t="s">
        <v>681</v>
      </c>
      <c r="DA2" t="s">
        <v>680</v>
      </c>
      <c r="DB2" t="s">
        <v>683</v>
      </c>
      <c r="DC2" t="s">
        <v>686</v>
      </c>
      <c r="DD2" t="s">
        <v>687</v>
      </c>
      <c r="DE2" t="s">
        <v>687</v>
      </c>
      <c r="DF2" t="s">
        <v>687</v>
      </c>
      <c r="DG2" t="s">
        <v>687</v>
      </c>
      <c r="DH2" t="s">
        <v>655</v>
      </c>
      <c r="DI2" t="s">
        <v>656</v>
      </c>
      <c r="DJ2" t="s">
        <v>755</v>
      </c>
    </row>
    <row r="3" spans="1:114" x14ac:dyDescent="0.25">
      <c r="A3" t="s">
        <v>722</v>
      </c>
      <c r="B3" t="s">
        <v>687</v>
      </c>
      <c r="C3" t="s">
        <v>704</v>
      </c>
      <c r="E3" t="s">
        <v>687</v>
      </c>
      <c r="F3" t="s">
        <v>735</v>
      </c>
      <c r="G3" t="s">
        <v>1975</v>
      </c>
      <c r="I3" t="s">
        <v>1976</v>
      </c>
      <c r="Q3" t="s">
        <v>733</v>
      </c>
      <c r="S3" t="s">
        <v>728</v>
      </c>
      <c r="T3" t="s">
        <v>738</v>
      </c>
      <c r="U3" t="s">
        <v>714</v>
      </c>
      <c r="W3" t="s">
        <v>687</v>
      </c>
      <c r="X3" t="s">
        <v>740</v>
      </c>
      <c r="Y3" t="s">
        <v>741</v>
      </c>
      <c r="Z3" t="s">
        <v>654</v>
      </c>
      <c r="AB3" t="s">
        <v>687</v>
      </c>
      <c r="AC3" t="s">
        <v>687</v>
      </c>
      <c r="AD3" t="s">
        <v>661</v>
      </c>
      <c r="AE3" t="s">
        <v>708</v>
      </c>
      <c r="AF3" t="s">
        <v>662</v>
      </c>
      <c r="AG3" t="s">
        <v>687</v>
      </c>
      <c r="AH3" t="s">
        <v>649</v>
      </c>
      <c r="AI3" t="s">
        <v>716</v>
      </c>
      <c r="AJ3" t="s">
        <v>711</v>
      </c>
      <c r="AK3" t="s">
        <v>710</v>
      </c>
      <c r="AL3" t="s">
        <v>687</v>
      </c>
      <c r="AM3" t="s">
        <v>717</v>
      </c>
      <c r="AN3" t="s">
        <v>687</v>
      </c>
      <c r="AP3" t="s">
        <v>742</v>
      </c>
      <c r="AQ3" t="s">
        <v>687</v>
      </c>
      <c r="AZ3" t="s">
        <v>734</v>
      </c>
      <c r="BB3" t="s">
        <v>687</v>
      </c>
      <c r="BE3" t="s">
        <v>721</v>
      </c>
      <c r="BH3" t="s">
        <v>687</v>
      </c>
      <c r="BN3" t="s">
        <v>709</v>
      </c>
      <c r="BP3" t="s">
        <v>657</v>
      </c>
      <c r="BS3" t="s">
        <v>1977</v>
      </c>
      <c r="BU3" t="s">
        <v>678</v>
      </c>
      <c r="BW3" t="s">
        <v>718</v>
      </c>
      <c r="BX3" t="s">
        <v>687</v>
      </c>
      <c r="BY3" t="s">
        <v>739</v>
      </c>
      <c r="BZ3" t="s">
        <v>712</v>
      </c>
      <c r="CA3" t="s">
        <v>713</v>
      </c>
      <c r="CB3" t="s">
        <v>678</v>
      </c>
      <c r="CC3" t="s">
        <v>662</v>
      </c>
      <c r="CD3" t="s">
        <v>720</v>
      </c>
      <c r="CE3" t="s">
        <v>719</v>
      </c>
      <c r="CF3" t="s">
        <v>687</v>
      </c>
      <c r="CG3" t="s">
        <v>687</v>
      </c>
      <c r="CI3" t="s">
        <v>1969</v>
      </c>
      <c r="CJ3" t="s">
        <v>723</v>
      </c>
      <c r="CL3" t="s">
        <v>732</v>
      </c>
      <c r="CM3" t="s">
        <v>726</v>
      </c>
      <c r="CN3" t="s">
        <v>687</v>
      </c>
      <c r="CP3" t="s">
        <v>690</v>
      </c>
      <c r="CQ3" t="s">
        <v>725</v>
      </c>
      <c r="CR3" t="s">
        <v>687</v>
      </c>
      <c r="CS3" t="s">
        <v>661</v>
      </c>
      <c r="CT3" t="s">
        <v>704</v>
      </c>
      <c r="CU3" t="s">
        <v>1971</v>
      </c>
      <c r="CV3" t="s">
        <v>674</v>
      </c>
      <c r="CW3" t="s">
        <v>724</v>
      </c>
      <c r="CX3" t="s">
        <v>730</v>
      </c>
      <c r="CY3" t="s">
        <v>714</v>
      </c>
      <c r="CZ3" t="s">
        <v>729</v>
      </c>
      <c r="DA3" t="s">
        <v>727</v>
      </c>
      <c r="DB3" t="s">
        <v>731</v>
      </c>
      <c r="DC3" t="s">
        <v>687</v>
      </c>
      <c r="DE3" t="s">
        <v>736</v>
      </c>
      <c r="DF3" t="s">
        <v>695</v>
      </c>
      <c r="DG3" t="s">
        <v>737</v>
      </c>
      <c r="DH3" t="s">
        <v>687</v>
      </c>
      <c r="DI3" t="s">
        <v>687</v>
      </c>
    </row>
    <row r="4" spans="1:114" x14ac:dyDescent="0.25">
      <c r="A4" t="s">
        <v>687</v>
      </c>
      <c r="C4" t="s">
        <v>687</v>
      </c>
      <c r="D4" t="s">
        <v>795</v>
      </c>
      <c r="G4" t="s">
        <v>743</v>
      </c>
      <c r="H4" t="s">
        <v>800</v>
      </c>
      <c r="J4" t="s">
        <v>791</v>
      </c>
      <c r="K4" t="s">
        <v>790</v>
      </c>
      <c r="L4" t="s">
        <v>797</v>
      </c>
      <c r="M4" t="s">
        <v>792</v>
      </c>
      <c r="N4" t="s">
        <v>793</v>
      </c>
      <c r="O4" t="s">
        <v>796</v>
      </c>
      <c r="P4" t="s">
        <v>794</v>
      </c>
      <c r="Q4" t="s">
        <v>760</v>
      </c>
      <c r="R4" t="s">
        <v>801</v>
      </c>
      <c r="S4" t="s">
        <v>756</v>
      </c>
      <c r="U4" t="s">
        <v>687</v>
      </c>
      <c r="V4" t="s">
        <v>763</v>
      </c>
      <c r="X4" t="s">
        <v>677</v>
      </c>
      <c r="Y4" t="s">
        <v>687</v>
      </c>
      <c r="Z4" t="s">
        <v>687</v>
      </c>
      <c r="AA4" t="s">
        <v>766</v>
      </c>
      <c r="AD4" t="s">
        <v>662</v>
      </c>
      <c r="AE4" t="s">
        <v>687</v>
      </c>
      <c r="AF4" t="s">
        <v>715</v>
      </c>
      <c r="AH4" t="s">
        <v>687</v>
      </c>
      <c r="AI4" t="s">
        <v>687</v>
      </c>
      <c r="AJ4" t="s">
        <v>746</v>
      </c>
      <c r="AK4" t="s">
        <v>745</v>
      </c>
      <c r="AM4" t="s">
        <v>747</v>
      </c>
      <c r="AO4" t="s">
        <v>780</v>
      </c>
      <c r="AR4" t="s">
        <v>773</v>
      </c>
      <c r="AS4" t="s">
        <v>786</v>
      </c>
      <c r="AT4" t="s">
        <v>749</v>
      </c>
      <c r="AU4" t="s">
        <v>771</v>
      </c>
      <c r="AV4" t="s">
        <v>785</v>
      </c>
      <c r="AW4" t="s">
        <v>783</v>
      </c>
      <c r="AX4" t="s">
        <v>787</v>
      </c>
      <c r="AY4" t="s">
        <v>1978</v>
      </c>
      <c r="AZ4" t="s">
        <v>666</v>
      </c>
      <c r="BA4" t="s">
        <v>782</v>
      </c>
      <c r="BC4" t="s">
        <v>777</v>
      </c>
      <c r="BD4" t="s">
        <v>768</v>
      </c>
      <c r="BF4" t="s">
        <v>779</v>
      </c>
      <c r="BG4" t="s">
        <v>776</v>
      </c>
      <c r="BI4" t="s">
        <v>774</v>
      </c>
      <c r="BJ4" t="s">
        <v>770</v>
      </c>
      <c r="BK4" t="s">
        <v>775</v>
      </c>
      <c r="BL4" t="s">
        <v>789</v>
      </c>
      <c r="BM4" t="s">
        <v>778</v>
      </c>
      <c r="BN4" t="s">
        <v>744</v>
      </c>
      <c r="BO4" t="s">
        <v>788</v>
      </c>
      <c r="BQ4" t="s">
        <v>781</v>
      </c>
      <c r="BR4" t="s">
        <v>1979</v>
      </c>
      <c r="BS4" t="s">
        <v>819</v>
      </c>
      <c r="BT4" t="s">
        <v>772</v>
      </c>
      <c r="BU4" t="s">
        <v>660</v>
      </c>
      <c r="BV4" t="s">
        <v>765</v>
      </c>
      <c r="BW4" t="s">
        <v>687</v>
      </c>
      <c r="BY4" t="s">
        <v>1980</v>
      </c>
      <c r="BZ4" t="s">
        <v>702</v>
      </c>
      <c r="CA4" t="s">
        <v>687</v>
      </c>
      <c r="CB4" t="s">
        <v>687</v>
      </c>
      <c r="CC4" t="s">
        <v>715</v>
      </c>
      <c r="CD4" t="s">
        <v>677</v>
      </c>
      <c r="CE4" t="s">
        <v>687</v>
      </c>
      <c r="CH4" t="s">
        <v>799</v>
      </c>
      <c r="CI4" t="s">
        <v>757</v>
      </c>
      <c r="CJ4" t="s">
        <v>687</v>
      </c>
      <c r="CK4" t="s">
        <v>764</v>
      </c>
      <c r="CL4" t="s">
        <v>759</v>
      </c>
      <c r="CM4" t="s">
        <v>753</v>
      </c>
      <c r="CN4" t="s">
        <v>762</v>
      </c>
      <c r="CO4" t="s">
        <v>767</v>
      </c>
      <c r="CP4" t="s">
        <v>687</v>
      </c>
      <c r="CQ4" t="s">
        <v>752</v>
      </c>
      <c r="CS4" t="s">
        <v>662</v>
      </c>
      <c r="CT4" t="s">
        <v>751</v>
      </c>
      <c r="CU4" t="s">
        <v>670</v>
      </c>
      <c r="CV4" t="s">
        <v>1981</v>
      </c>
      <c r="CW4" t="s">
        <v>750</v>
      </c>
      <c r="CX4" t="s">
        <v>757</v>
      </c>
      <c r="CY4" t="s">
        <v>825</v>
      </c>
      <c r="CZ4" t="s">
        <v>705</v>
      </c>
      <c r="DA4" t="s">
        <v>734</v>
      </c>
      <c r="DB4" t="s">
        <v>758</v>
      </c>
      <c r="DD4" t="s">
        <v>798</v>
      </c>
      <c r="DE4" t="s">
        <v>761</v>
      </c>
      <c r="DJ4" t="s">
        <v>2038</v>
      </c>
    </row>
    <row r="5" spans="1:114" x14ac:dyDescent="0.25">
      <c r="B5" t="s">
        <v>812</v>
      </c>
      <c r="E5" t="s">
        <v>1982</v>
      </c>
      <c r="F5" t="s">
        <v>1979</v>
      </c>
      <c r="H5" t="s">
        <v>856</v>
      </c>
      <c r="I5" t="s">
        <v>855</v>
      </c>
      <c r="N5" t="s">
        <v>850</v>
      </c>
      <c r="O5" t="s">
        <v>852</v>
      </c>
      <c r="P5" t="s">
        <v>851</v>
      </c>
      <c r="Q5" t="s">
        <v>828</v>
      </c>
      <c r="R5" t="s">
        <v>857</v>
      </c>
      <c r="S5" t="s">
        <v>687</v>
      </c>
      <c r="T5" t="s">
        <v>1979</v>
      </c>
      <c r="V5" t="s">
        <v>832</v>
      </c>
      <c r="W5" t="s">
        <v>835</v>
      </c>
      <c r="X5" t="s">
        <v>725</v>
      </c>
      <c r="AA5" t="s">
        <v>836</v>
      </c>
      <c r="AB5" t="s">
        <v>802</v>
      </c>
      <c r="AC5" t="s">
        <v>807</v>
      </c>
      <c r="AD5" t="s">
        <v>715</v>
      </c>
      <c r="AF5" t="s">
        <v>814</v>
      </c>
      <c r="AG5" t="s">
        <v>811</v>
      </c>
      <c r="AJ5" t="s">
        <v>806</v>
      </c>
      <c r="AK5" t="s">
        <v>804</v>
      </c>
      <c r="AL5" t="s">
        <v>1983</v>
      </c>
      <c r="AM5" t="s">
        <v>815</v>
      </c>
      <c r="AN5" t="s">
        <v>808</v>
      </c>
      <c r="AP5" t="s">
        <v>843</v>
      </c>
      <c r="AQ5" t="s">
        <v>845</v>
      </c>
      <c r="AT5" t="s">
        <v>821</v>
      </c>
      <c r="AU5" t="s">
        <v>842</v>
      </c>
      <c r="AY5" t="s">
        <v>1984</v>
      </c>
      <c r="AZ5" t="s">
        <v>719</v>
      </c>
      <c r="BB5" t="s">
        <v>847</v>
      </c>
      <c r="BD5" t="s">
        <v>840</v>
      </c>
      <c r="BE5" t="s">
        <v>822</v>
      </c>
      <c r="BH5" t="s">
        <v>820</v>
      </c>
      <c r="BI5" t="s">
        <v>844</v>
      </c>
      <c r="BJ5" t="s">
        <v>841</v>
      </c>
      <c r="BN5" t="s">
        <v>803</v>
      </c>
      <c r="BP5" t="s">
        <v>848</v>
      </c>
      <c r="BR5" t="s">
        <v>849</v>
      </c>
      <c r="BU5" t="s">
        <v>726</v>
      </c>
      <c r="BV5" t="s">
        <v>1985</v>
      </c>
      <c r="BX5" t="s">
        <v>837</v>
      </c>
      <c r="BZ5" t="s">
        <v>687</v>
      </c>
      <c r="CC5" t="s">
        <v>814</v>
      </c>
      <c r="CD5" t="s">
        <v>816</v>
      </c>
      <c r="CF5" t="s">
        <v>817</v>
      </c>
      <c r="CG5" t="s">
        <v>818</v>
      </c>
      <c r="CK5" t="s">
        <v>833</v>
      </c>
      <c r="CL5" t="s">
        <v>687</v>
      </c>
      <c r="CM5" t="s">
        <v>823</v>
      </c>
      <c r="CQ5" t="s">
        <v>816</v>
      </c>
      <c r="CR5" t="s">
        <v>830</v>
      </c>
      <c r="CS5" t="s">
        <v>715</v>
      </c>
      <c r="CT5" t="s">
        <v>706</v>
      </c>
      <c r="CU5" t="s">
        <v>657</v>
      </c>
      <c r="CV5" t="s">
        <v>754</v>
      </c>
      <c r="CW5" t="s">
        <v>687</v>
      </c>
      <c r="CX5" t="s">
        <v>826</v>
      </c>
      <c r="CY5" t="s">
        <v>885</v>
      </c>
      <c r="CZ5" t="s">
        <v>699</v>
      </c>
      <c r="DA5" t="s">
        <v>687</v>
      </c>
      <c r="DB5" t="s">
        <v>827</v>
      </c>
      <c r="DC5" t="s">
        <v>829</v>
      </c>
      <c r="DF5" t="s">
        <v>1979</v>
      </c>
      <c r="DG5" t="s">
        <v>1979</v>
      </c>
      <c r="DH5" t="s">
        <v>809</v>
      </c>
      <c r="DI5" t="s">
        <v>810</v>
      </c>
      <c r="DJ5" t="s">
        <v>2044</v>
      </c>
    </row>
    <row r="6" spans="1:114" x14ac:dyDescent="0.25">
      <c r="A6" t="s">
        <v>881</v>
      </c>
      <c r="B6" t="s">
        <v>868</v>
      </c>
      <c r="C6" t="s">
        <v>869</v>
      </c>
      <c r="E6" t="s">
        <v>813</v>
      </c>
      <c r="F6" t="s">
        <v>889</v>
      </c>
      <c r="G6" t="s">
        <v>1986</v>
      </c>
      <c r="I6" t="s">
        <v>904</v>
      </c>
      <c r="N6" t="s">
        <v>903</v>
      </c>
      <c r="Q6" t="s">
        <v>687</v>
      </c>
      <c r="T6" t="s">
        <v>889</v>
      </c>
      <c r="U6" t="s">
        <v>1987</v>
      </c>
      <c r="W6" t="s">
        <v>895</v>
      </c>
      <c r="X6" t="s">
        <v>687</v>
      </c>
      <c r="Y6" t="s">
        <v>897</v>
      </c>
      <c r="Z6" t="s">
        <v>1988</v>
      </c>
      <c r="AB6" t="s">
        <v>858</v>
      </c>
      <c r="AC6" t="s">
        <v>863</v>
      </c>
      <c r="AD6" t="s">
        <v>687</v>
      </c>
      <c r="AE6" t="s">
        <v>859</v>
      </c>
      <c r="AF6" t="s">
        <v>687</v>
      </c>
      <c r="AH6" t="s">
        <v>1989</v>
      </c>
      <c r="AI6" t="s">
        <v>872</v>
      </c>
      <c r="AJ6" t="s">
        <v>687</v>
      </c>
      <c r="AK6" t="s">
        <v>861</v>
      </c>
      <c r="AL6" t="s">
        <v>1990</v>
      </c>
      <c r="AM6" t="s">
        <v>687</v>
      </c>
      <c r="AN6" t="s">
        <v>865</v>
      </c>
      <c r="AT6" t="s">
        <v>878</v>
      </c>
      <c r="AU6" t="s">
        <v>900</v>
      </c>
      <c r="AY6" t="s">
        <v>1991</v>
      </c>
      <c r="AZ6" t="s">
        <v>687</v>
      </c>
      <c r="BD6" t="s">
        <v>899</v>
      </c>
      <c r="BE6" t="s">
        <v>879</v>
      </c>
      <c r="BH6" t="s">
        <v>877</v>
      </c>
      <c r="BN6" t="s">
        <v>860</v>
      </c>
      <c r="BR6" t="s">
        <v>902</v>
      </c>
      <c r="BS6" t="s">
        <v>1992</v>
      </c>
      <c r="BU6" t="s">
        <v>880</v>
      </c>
      <c r="BV6" t="s">
        <v>1993</v>
      </c>
      <c r="BW6" t="s">
        <v>1994</v>
      </c>
      <c r="BX6" t="s">
        <v>896</v>
      </c>
      <c r="BY6" t="s">
        <v>838</v>
      </c>
      <c r="CA6" t="s">
        <v>864</v>
      </c>
      <c r="CB6" t="s">
        <v>873</v>
      </c>
      <c r="CC6" t="s">
        <v>687</v>
      </c>
      <c r="CD6" t="s">
        <v>875</v>
      </c>
      <c r="CE6" t="s">
        <v>874</v>
      </c>
      <c r="CF6" t="s">
        <v>876</v>
      </c>
      <c r="CI6" t="s">
        <v>853</v>
      </c>
      <c r="CJ6" t="s">
        <v>882</v>
      </c>
      <c r="CK6" t="s">
        <v>893</v>
      </c>
      <c r="CM6" t="s">
        <v>883</v>
      </c>
      <c r="CN6" t="s">
        <v>838</v>
      </c>
      <c r="CP6" t="s">
        <v>1995</v>
      </c>
      <c r="CQ6" t="s">
        <v>698</v>
      </c>
      <c r="CR6" t="s">
        <v>891</v>
      </c>
      <c r="CS6" t="s">
        <v>814</v>
      </c>
      <c r="CT6" t="s">
        <v>708</v>
      </c>
      <c r="CU6" t="s">
        <v>1977</v>
      </c>
      <c r="CV6" t="s">
        <v>824</v>
      </c>
      <c r="CX6" t="s">
        <v>887</v>
      </c>
      <c r="CY6" t="s">
        <v>697</v>
      </c>
      <c r="CZ6" t="s">
        <v>886</v>
      </c>
      <c r="DB6" t="s">
        <v>888</v>
      </c>
      <c r="DE6" t="s">
        <v>890</v>
      </c>
      <c r="DF6" t="s">
        <v>889</v>
      </c>
      <c r="DG6" t="s">
        <v>889</v>
      </c>
      <c r="DH6" t="s">
        <v>866</v>
      </c>
      <c r="DI6" t="s">
        <v>867</v>
      </c>
      <c r="DJ6" t="s">
        <v>2045</v>
      </c>
    </row>
    <row r="7" spans="1:114" x14ac:dyDescent="0.25">
      <c r="A7" t="s">
        <v>925</v>
      </c>
      <c r="C7" t="s">
        <v>915</v>
      </c>
      <c r="E7" t="s">
        <v>870</v>
      </c>
      <c r="I7" t="s">
        <v>950</v>
      </c>
      <c r="S7" t="s">
        <v>930</v>
      </c>
      <c r="Y7" t="s">
        <v>940</v>
      </c>
      <c r="AC7" t="s">
        <v>908</v>
      </c>
      <c r="AE7" t="s">
        <v>905</v>
      </c>
      <c r="AG7" t="s">
        <v>1982</v>
      </c>
      <c r="AH7" t="s">
        <v>1996</v>
      </c>
      <c r="AI7" t="s">
        <v>918</v>
      </c>
      <c r="AK7" t="s">
        <v>754</v>
      </c>
      <c r="AL7" t="s">
        <v>1997</v>
      </c>
      <c r="AN7" t="s">
        <v>911</v>
      </c>
      <c r="AP7" t="s">
        <v>943</v>
      </c>
      <c r="AQ7" t="s">
        <v>1979</v>
      </c>
      <c r="AY7" t="s">
        <v>784</v>
      </c>
      <c r="BB7" t="s">
        <v>945</v>
      </c>
      <c r="BD7" t="s">
        <v>942</v>
      </c>
      <c r="BE7" t="s">
        <v>923</v>
      </c>
      <c r="BH7" t="s">
        <v>922</v>
      </c>
      <c r="BN7" t="s">
        <v>906</v>
      </c>
      <c r="BP7" t="s">
        <v>946</v>
      </c>
      <c r="BR7" t="s">
        <v>947</v>
      </c>
      <c r="BU7" t="s">
        <v>924</v>
      </c>
      <c r="BV7" t="s">
        <v>834</v>
      </c>
      <c r="BW7" t="s">
        <v>919</v>
      </c>
      <c r="BY7" t="s">
        <v>1979</v>
      </c>
      <c r="BZ7" t="s">
        <v>909</v>
      </c>
      <c r="CA7" t="s">
        <v>910</v>
      </c>
      <c r="CB7" t="s">
        <v>920</v>
      </c>
      <c r="CD7" t="s">
        <v>687</v>
      </c>
      <c r="CG7" t="s">
        <v>1982</v>
      </c>
      <c r="CI7" t="s">
        <v>948</v>
      </c>
      <c r="CJ7" t="s">
        <v>926</v>
      </c>
      <c r="CK7" t="s">
        <v>937</v>
      </c>
      <c r="CL7" t="s">
        <v>932</v>
      </c>
      <c r="CM7" t="s">
        <v>687</v>
      </c>
      <c r="CN7" t="s">
        <v>934</v>
      </c>
      <c r="CQ7" t="s">
        <v>928</v>
      </c>
      <c r="CR7" t="s">
        <v>935</v>
      </c>
      <c r="CS7" t="s">
        <v>687</v>
      </c>
      <c r="CT7" t="s">
        <v>687</v>
      </c>
      <c r="CU7" t="s">
        <v>748</v>
      </c>
      <c r="CV7" t="s">
        <v>884</v>
      </c>
      <c r="CW7" t="s">
        <v>927</v>
      </c>
      <c r="CX7" t="s">
        <v>687</v>
      </c>
      <c r="CY7" t="s">
        <v>687</v>
      </c>
      <c r="CZ7" t="s">
        <v>687</v>
      </c>
      <c r="DA7" t="s">
        <v>929</v>
      </c>
      <c r="DB7" t="s">
        <v>931</v>
      </c>
      <c r="DC7" t="s">
        <v>1982</v>
      </c>
      <c r="DE7" t="s">
        <v>1979</v>
      </c>
      <c r="DG7" t="s">
        <v>933</v>
      </c>
      <c r="DH7" t="s">
        <v>912</v>
      </c>
      <c r="DI7" t="s">
        <v>913</v>
      </c>
      <c r="DJ7" t="s">
        <v>2047</v>
      </c>
    </row>
    <row r="8" spans="1:114" x14ac:dyDescent="0.25">
      <c r="A8" t="s">
        <v>1998</v>
      </c>
      <c r="B8" t="s">
        <v>1982</v>
      </c>
      <c r="E8" t="s">
        <v>916</v>
      </c>
      <c r="F8" t="s">
        <v>975</v>
      </c>
      <c r="G8" t="s">
        <v>854</v>
      </c>
      <c r="I8" t="s">
        <v>1999</v>
      </c>
      <c r="Q8" t="s">
        <v>973</v>
      </c>
      <c r="T8" t="s">
        <v>978</v>
      </c>
      <c r="U8" t="s">
        <v>2000</v>
      </c>
      <c r="W8" t="s">
        <v>982</v>
      </c>
      <c r="X8" t="s">
        <v>983</v>
      </c>
      <c r="Y8" t="s">
        <v>984</v>
      </c>
      <c r="Z8" t="s">
        <v>2001</v>
      </c>
      <c r="AB8" t="s">
        <v>1982</v>
      </c>
      <c r="AD8" t="s">
        <v>2002</v>
      </c>
      <c r="AE8" t="s">
        <v>951</v>
      </c>
      <c r="AF8" t="s">
        <v>2003</v>
      </c>
      <c r="AG8" t="s">
        <v>914</v>
      </c>
      <c r="AH8" t="s">
        <v>2004</v>
      </c>
      <c r="AJ8" t="s">
        <v>954</v>
      </c>
      <c r="AK8" t="s">
        <v>687</v>
      </c>
      <c r="AL8" t="s">
        <v>2005</v>
      </c>
      <c r="AM8" t="s">
        <v>2006</v>
      </c>
      <c r="AY8" t="s">
        <v>846</v>
      </c>
      <c r="AZ8" t="s">
        <v>974</v>
      </c>
      <c r="BD8" t="s">
        <v>986</v>
      </c>
      <c r="BE8" t="s">
        <v>966</v>
      </c>
      <c r="BH8" t="s">
        <v>2007</v>
      </c>
      <c r="BN8" t="s">
        <v>952</v>
      </c>
      <c r="BR8" t="s">
        <v>988</v>
      </c>
      <c r="BS8" t="s">
        <v>2008</v>
      </c>
      <c r="BU8" t="s">
        <v>687</v>
      </c>
      <c r="BV8" t="s">
        <v>894</v>
      </c>
      <c r="BW8" t="s">
        <v>961</v>
      </c>
      <c r="BX8" t="s">
        <v>1982</v>
      </c>
      <c r="BY8" t="s">
        <v>939</v>
      </c>
      <c r="BZ8" t="s">
        <v>955</v>
      </c>
      <c r="CB8" t="s">
        <v>962</v>
      </c>
      <c r="CC8" t="s">
        <v>2009</v>
      </c>
      <c r="CE8" t="s">
        <v>964</v>
      </c>
      <c r="CF8" t="s">
        <v>1982</v>
      </c>
      <c r="CG8" t="s">
        <v>914</v>
      </c>
      <c r="CJ8" t="s">
        <v>967</v>
      </c>
      <c r="CK8" t="s">
        <v>980</v>
      </c>
      <c r="CL8" t="s">
        <v>972</v>
      </c>
      <c r="CN8" t="s">
        <v>977</v>
      </c>
      <c r="CP8" t="s">
        <v>831</v>
      </c>
      <c r="CQ8" t="s">
        <v>969</v>
      </c>
      <c r="CU8" t="s">
        <v>819</v>
      </c>
      <c r="CV8" t="s">
        <v>2010</v>
      </c>
      <c r="CW8" t="s">
        <v>968</v>
      </c>
      <c r="DA8" t="s">
        <v>970</v>
      </c>
      <c r="DB8" t="s">
        <v>971</v>
      </c>
      <c r="DC8" t="s">
        <v>914</v>
      </c>
      <c r="DE8" t="s">
        <v>889</v>
      </c>
      <c r="DF8" t="s">
        <v>976</v>
      </c>
      <c r="DH8" t="s">
        <v>956</v>
      </c>
      <c r="DI8" t="s">
        <v>957</v>
      </c>
      <c r="DJ8" t="s">
        <v>2052</v>
      </c>
    </row>
    <row r="9" spans="1:114" x14ac:dyDescent="0.25">
      <c r="B9" t="s">
        <v>914</v>
      </c>
      <c r="C9" t="s">
        <v>997</v>
      </c>
      <c r="E9" t="s">
        <v>958</v>
      </c>
      <c r="Q9" t="s">
        <v>1018</v>
      </c>
      <c r="S9" t="s">
        <v>1014</v>
      </c>
      <c r="T9" t="s">
        <v>1021</v>
      </c>
      <c r="U9" t="s">
        <v>959</v>
      </c>
      <c r="W9" t="s">
        <v>1025</v>
      </c>
      <c r="Z9" t="s">
        <v>839</v>
      </c>
      <c r="AB9" t="s">
        <v>914</v>
      </c>
      <c r="AC9" t="s">
        <v>1982</v>
      </c>
      <c r="AE9" t="s">
        <v>990</v>
      </c>
      <c r="AF9" t="s">
        <v>2011</v>
      </c>
      <c r="AG9" t="s">
        <v>1979</v>
      </c>
      <c r="AI9" t="s">
        <v>999</v>
      </c>
      <c r="AL9" t="s">
        <v>2012</v>
      </c>
      <c r="AM9" t="s">
        <v>1000</v>
      </c>
      <c r="AN9" t="s">
        <v>1982</v>
      </c>
      <c r="AY9" t="s">
        <v>901</v>
      </c>
      <c r="BE9" t="s">
        <v>1006</v>
      </c>
      <c r="BH9" t="s">
        <v>1005</v>
      </c>
      <c r="BN9" t="s">
        <v>1977</v>
      </c>
      <c r="BR9" t="s">
        <v>1029</v>
      </c>
      <c r="BV9" t="s">
        <v>938</v>
      </c>
      <c r="BW9" t="s">
        <v>2013</v>
      </c>
      <c r="BX9" t="s">
        <v>914</v>
      </c>
      <c r="BZ9" t="s">
        <v>993</v>
      </c>
      <c r="CA9" t="s">
        <v>994</v>
      </c>
      <c r="CB9" t="s">
        <v>1001</v>
      </c>
      <c r="CC9" t="s">
        <v>963</v>
      </c>
      <c r="CD9" t="s">
        <v>1004</v>
      </c>
      <c r="CE9" t="s">
        <v>1003</v>
      </c>
      <c r="CF9" t="s">
        <v>914</v>
      </c>
      <c r="CG9" t="s">
        <v>1979</v>
      </c>
      <c r="CI9" t="s">
        <v>989</v>
      </c>
      <c r="CJ9" t="s">
        <v>1008</v>
      </c>
      <c r="CK9" t="s">
        <v>1023</v>
      </c>
      <c r="CL9" t="s">
        <v>1017</v>
      </c>
      <c r="CM9" t="s">
        <v>1011</v>
      </c>
      <c r="CP9" t="s">
        <v>892</v>
      </c>
      <c r="CQ9" t="s">
        <v>875</v>
      </c>
      <c r="CR9" t="s">
        <v>1982</v>
      </c>
      <c r="CS9" t="s">
        <v>1012</v>
      </c>
      <c r="CT9" t="s">
        <v>1010</v>
      </c>
      <c r="CU9" t="s">
        <v>672</v>
      </c>
      <c r="CV9" t="s">
        <v>2014</v>
      </c>
      <c r="CW9" t="s">
        <v>1009</v>
      </c>
      <c r="CX9" t="s">
        <v>1016</v>
      </c>
      <c r="CY9" t="s">
        <v>1054</v>
      </c>
      <c r="CZ9" t="s">
        <v>1015</v>
      </c>
      <c r="DA9" t="s">
        <v>1013</v>
      </c>
      <c r="DB9" t="s">
        <v>691</v>
      </c>
      <c r="DF9" t="s">
        <v>1019</v>
      </c>
      <c r="DG9" t="s">
        <v>1020</v>
      </c>
      <c r="DH9" t="s">
        <v>995</v>
      </c>
      <c r="DI9" t="s">
        <v>996</v>
      </c>
      <c r="DJ9" t="s">
        <v>1180</v>
      </c>
    </row>
    <row r="10" spans="1:114" x14ac:dyDescent="0.25">
      <c r="A10" t="s">
        <v>1007</v>
      </c>
      <c r="B10" t="s">
        <v>1979</v>
      </c>
      <c r="G10" t="s">
        <v>949</v>
      </c>
      <c r="I10" t="s">
        <v>1030</v>
      </c>
      <c r="Q10" t="s">
        <v>1059</v>
      </c>
      <c r="S10" t="s">
        <v>1055</v>
      </c>
      <c r="T10" t="s">
        <v>1062</v>
      </c>
      <c r="U10" t="s">
        <v>2015</v>
      </c>
      <c r="X10" t="s">
        <v>1065</v>
      </c>
      <c r="Y10" t="s">
        <v>1066</v>
      </c>
      <c r="Z10" t="s">
        <v>898</v>
      </c>
      <c r="AC10" t="s">
        <v>1979</v>
      </c>
      <c r="AD10" t="s">
        <v>2016</v>
      </c>
      <c r="AE10" t="s">
        <v>1031</v>
      </c>
      <c r="AH10" t="s">
        <v>805</v>
      </c>
      <c r="AI10" t="s">
        <v>1040</v>
      </c>
      <c r="AJ10" t="s">
        <v>1033</v>
      </c>
      <c r="AK10" t="s">
        <v>1032</v>
      </c>
      <c r="AL10" t="s">
        <v>2017</v>
      </c>
      <c r="AM10" t="s">
        <v>1041</v>
      </c>
      <c r="AN10" t="s">
        <v>914</v>
      </c>
      <c r="AY10" t="s">
        <v>944</v>
      </c>
      <c r="AZ10" t="s">
        <v>1060</v>
      </c>
      <c r="BE10" t="s">
        <v>1047</v>
      </c>
      <c r="BH10" t="s">
        <v>2096</v>
      </c>
      <c r="BN10" t="s">
        <v>991</v>
      </c>
      <c r="BR10" t="s">
        <v>1069</v>
      </c>
      <c r="BS10" t="s">
        <v>769</v>
      </c>
      <c r="BU10" t="s">
        <v>1048</v>
      </c>
      <c r="BV10" t="s">
        <v>981</v>
      </c>
      <c r="BW10" t="s">
        <v>1042</v>
      </c>
      <c r="BX10" t="s">
        <v>1979</v>
      </c>
      <c r="BY10" t="s">
        <v>1026</v>
      </c>
      <c r="BZ10" t="s">
        <v>1034</v>
      </c>
      <c r="CA10" t="s">
        <v>1035</v>
      </c>
      <c r="CB10" t="s">
        <v>1043</v>
      </c>
      <c r="CC10" t="s">
        <v>1002</v>
      </c>
      <c r="CD10" t="s">
        <v>1045</v>
      </c>
      <c r="CE10" t="s">
        <v>1044</v>
      </c>
      <c r="CF10" t="s">
        <v>1979</v>
      </c>
      <c r="CJ10" t="s">
        <v>1050</v>
      </c>
      <c r="CK10" t="s">
        <v>1063</v>
      </c>
      <c r="CL10" t="s">
        <v>1058</v>
      </c>
      <c r="CN10" t="s">
        <v>1979</v>
      </c>
      <c r="CP10" t="s">
        <v>936</v>
      </c>
      <c r="CQ10" t="s">
        <v>687</v>
      </c>
      <c r="CR10" t="s">
        <v>914</v>
      </c>
      <c r="CS10" t="s">
        <v>1053</v>
      </c>
      <c r="CU10" t="s">
        <v>921</v>
      </c>
      <c r="CV10" t="s">
        <v>2018</v>
      </c>
      <c r="CW10" t="s">
        <v>1051</v>
      </c>
      <c r="CZ10" t="s">
        <v>1056</v>
      </c>
      <c r="DB10" t="s">
        <v>1057</v>
      </c>
      <c r="DE10" t="s">
        <v>838</v>
      </c>
      <c r="DG10" t="s">
        <v>1061</v>
      </c>
      <c r="DH10" t="s">
        <v>1036</v>
      </c>
      <c r="DI10" t="s">
        <v>1037</v>
      </c>
      <c r="DJ10" t="s">
        <v>2056</v>
      </c>
    </row>
    <row r="11" spans="1:114" x14ac:dyDescent="0.25">
      <c r="A11" t="s">
        <v>1049</v>
      </c>
      <c r="C11" t="s">
        <v>1982</v>
      </c>
      <c r="E11" t="s">
        <v>1982</v>
      </c>
      <c r="I11" t="s">
        <v>1070</v>
      </c>
      <c r="S11" t="s">
        <v>1087</v>
      </c>
      <c r="T11" t="s">
        <v>1092</v>
      </c>
      <c r="U11" t="s">
        <v>1038</v>
      </c>
      <c r="X11" t="s">
        <v>1094</v>
      </c>
      <c r="Y11" t="s">
        <v>1095</v>
      </c>
      <c r="Z11" t="s">
        <v>941</v>
      </c>
      <c r="AF11" t="s">
        <v>1039</v>
      </c>
      <c r="AH11" t="s">
        <v>862</v>
      </c>
      <c r="AK11" t="s">
        <v>2019</v>
      </c>
      <c r="AL11" t="s">
        <v>2020</v>
      </c>
      <c r="AM11" t="s">
        <v>1074</v>
      </c>
      <c r="AN11" t="s">
        <v>1979</v>
      </c>
      <c r="AY11" t="s">
        <v>987</v>
      </c>
      <c r="AZ11" t="s">
        <v>2021</v>
      </c>
      <c r="BE11" t="s">
        <v>1080</v>
      </c>
      <c r="BN11" t="s">
        <v>687</v>
      </c>
      <c r="BR11" t="s">
        <v>1098</v>
      </c>
      <c r="BV11" t="s">
        <v>1024</v>
      </c>
      <c r="BZ11" t="s">
        <v>2097</v>
      </c>
      <c r="CB11" t="s">
        <v>1075</v>
      </c>
      <c r="CC11" t="s">
        <v>2022</v>
      </c>
      <c r="CD11" t="s">
        <v>1078</v>
      </c>
      <c r="CE11" t="s">
        <v>1077</v>
      </c>
      <c r="CI11" t="s">
        <v>2023</v>
      </c>
      <c r="CJ11" t="s">
        <v>1082</v>
      </c>
      <c r="CK11" t="s">
        <v>1093</v>
      </c>
      <c r="CL11" t="s">
        <v>1089</v>
      </c>
      <c r="CM11" t="s">
        <v>1084</v>
      </c>
      <c r="CN11" t="s">
        <v>889</v>
      </c>
      <c r="CP11" t="s">
        <v>979</v>
      </c>
      <c r="CS11" t="s">
        <v>1085</v>
      </c>
      <c r="CT11" t="s">
        <v>1114</v>
      </c>
      <c r="CU11" t="s">
        <v>965</v>
      </c>
      <c r="CV11" t="s">
        <v>1052</v>
      </c>
      <c r="CW11" t="s">
        <v>1083</v>
      </c>
      <c r="CX11" t="s">
        <v>1088</v>
      </c>
      <c r="CY11" t="s">
        <v>1117</v>
      </c>
      <c r="DA11" t="s">
        <v>1086</v>
      </c>
      <c r="DB11" t="s">
        <v>687</v>
      </c>
      <c r="DE11" t="s">
        <v>1090</v>
      </c>
      <c r="DG11" t="s">
        <v>1091</v>
      </c>
      <c r="DI11" t="s">
        <v>1071</v>
      </c>
      <c r="DJ11" t="s">
        <v>1231</v>
      </c>
    </row>
    <row r="12" spans="1:114" x14ac:dyDescent="0.25">
      <c r="A12" t="s">
        <v>1081</v>
      </c>
      <c r="C12" t="s">
        <v>914</v>
      </c>
      <c r="E12" t="s">
        <v>914</v>
      </c>
      <c r="I12" t="s">
        <v>1099</v>
      </c>
      <c r="Q12" t="s">
        <v>1121</v>
      </c>
      <c r="S12" t="s">
        <v>2024</v>
      </c>
      <c r="T12" t="s">
        <v>1124</v>
      </c>
      <c r="U12" t="s">
        <v>1072</v>
      </c>
      <c r="Y12" t="s">
        <v>1126</v>
      </c>
      <c r="Z12" t="s">
        <v>985</v>
      </c>
      <c r="AD12" t="s">
        <v>871</v>
      </c>
      <c r="AE12" t="s">
        <v>1100</v>
      </c>
      <c r="AH12" t="s">
        <v>907</v>
      </c>
      <c r="AI12" t="s">
        <v>1982</v>
      </c>
      <c r="AJ12" t="s">
        <v>1103</v>
      </c>
      <c r="AK12" t="s">
        <v>1102</v>
      </c>
      <c r="AM12" t="s">
        <v>1106</v>
      </c>
      <c r="AY12" t="s">
        <v>1028</v>
      </c>
      <c r="AZ12" t="s">
        <v>2025</v>
      </c>
      <c r="BE12" t="s">
        <v>1112</v>
      </c>
      <c r="BH12" t="s">
        <v>1111</v>
      </c>
      <c r="BR12" t="s">
        <v>1129</v>
      </c>
      <c r="BU12" t="s">
        <v>1113</v>
      </c>
      <c r="BW12" t="s">
        <v>1107</v>
      </c>
      <c r="BY12" t="s">
        <v>1064</v>
      </c>
      <c r="CA12" t="s">
        <v>1104</v>
      </c>
      <c r="CB12" t="s">
        <v>2026</v>
      </c>
      <c r="CD12" t="s">
        <v>1109</v>
      </c>
      <c r="CE12" t="s">
        <v>1108</v>
      </c>
      <c r="CJ12" t="s">
        <v>2027</v>
      </c>
      <c r="CK12" t="s">
        <v>1125</v>
      </c>
      <c r="CL12" t="s">
        <v>1120</v>
      </c>
      <c r="CP12" t="s">
        <v>1022</v>
      </c>
      <c r="CQ12" t="s">
        <v>1115</v>
      </c>
      <c r="CS12" t="s">
        <v>1116</v>
      </c>
      <c r="CT12" t="s">
        <v>1141</v>
      </c>
      <c r="CU12" t="s">
        <v>721</v>
      </c>
      <c r="CV12" t="s">
        <v>2028</v>
      </c>
      <c r="CZ12" t="s">
        <v>1119</v>
      </c>
      <c r="DA12" t="s">
        <v>1118</v>
      </c>
      <c r="DG12" t="s">
        <v>1123</v>
      </c>
      <c r="DH12" t="s">
        <v>1982</v>
      </c>
      <c r="DJ12" t="s">
        <v>1256</v>
      </c>
    </row>
    <row r="13" spans="1:114" x14ac:dyDescent="0.25">
      <c r="C13" t="s">
        <v>1979</v>
      </c>
      <c r="E13" t="s">
        <v>1979</v>
      </c>
      <c r="I13" t="s">
        <v>2029</v>
      </c>
      <c r="Q13" t="s">
        <v>1152</v>
      </c>
      <c r="S13" t="s">
        <v>1147</v>
      </c>
      <c r="T13" t="s">
        <v>1156</v>
      </c>
      <c r="U13" t="s">
        <v>1105</v>
      </c>
      <c r="X13" t="s">
        <v>1158</v>
      </c>
      <c r="Y13" t="s">
        <v>1159</v>
      </c>
      <c r="Z13" t="s">
        <v>1027</v>
      </c>
      <c r="AD13" t="s">
        <v>917</v>
      </c>
      <c r="AE13" t="s">
        <v>2030</v>
      </c>
      <c r="AF13" t="s">
        <v>2031</v>
      </c>
      <c r="AH13" t="s">
        <v>953</v>
      </c>
      <c r="AI13" t="s">
        <v>914</v>
      </c>
      <c r="AK13" t="s">
        <v>2032</v>
      </c>
      <c r="AL13" t="s">
        <v>1982</v>
      </c>
      <c r="AM13" t="s">
        <v>1133</v>
      </c>
      <c r="AY13" t="s">
        <v>1068</v>
      </c>
      <c r="BE13" t="s">
        <v>2033</v>
      </c>
      <c r="BN13" t="s">
        <v>1101</v>
      </c>
      <c r="BR13" t="s">
        <v>1161</v>
      </c>
      <c r="BW13" t="s">
        <v>1134</v>
      </c>
      <c r="BZ13" t="s">
        <v>1131</v>
      </c>
      <c r="CA13" t="s">
        <v>1132</v>
      </c>
      <c r="CC13" t="s">
        <v>1076</v>
      </c>
      <c r="CD13" t="s">
        <v>1138</v>
      </c>
      <c r="CE13" t="s">
        <v>1137</v>
      </c>
      <c r="CK13" t="s">
        <v>1157</v>
      </c>
      <c r="CL13" t="s">
        <v>1151</v>
      </c>
      <c r="CM13" t="s">
        <v>1143</v>
      </c>
      <c r="CN13" t="s">
        <v>1155</v>
      </c>
      <c r="CQ13" t="s">
        <v>1142</v>
      </c>
      <c r="CS13" t="s">
        <v>1145</v>
      </c>
      <c r="CT13" t="s">
        <v>1177</v>
      </c>
      <c r="CU13" t="s">
        <v>1046</v>
      </c>
      <c r="CW13" t="s">
        <v>1140</v>
      </c>
      <c r="CX13" t="s">
        <v>1149</v>
      </c>
      <c r="CY13" t="s">
        <v>1306</v>
      </c>
      <c r="CZ13" t="s">
        <v>1148</v>
      </c>
      <c r="DA13" t="s">
        <v>1146</v>
      </c>
      <c r="DB13" t="s">
        <v>1150</v>
      </c>
      <c r="DE13" t="s">
        <v>1153</v>
      </c>
      <c r="DG13" t="s">
        <v>1154</v>
      </c>
      <c r="DH13" t="s">
        <v>914</v>
      </c>
      <c r="DI13" t="s">
        <v>2034</v>
      </c>
      <c r="DJ13" t="s">
        <v>1275</v>
      </c>
    </row>
    <row r="14" spans="1:114" x14ac:dyDescent="0.25">
      <c r="A14" t="s">
        <v>1982</v>
      </c>
      <c r="Q14" t="s">
        <v>1187</v>
      </c>
      <c r="S14" t="s">
        <v>1182</v>
      </c>
      <c r="U14" t="s">
        <v>2035</v>
      </c>
      <c r="Y14" t="s">
        <v>1189</v>
      </c>
      <c r="Z14" t="s">
        <v>1067</v>
      </c>
      <c r="AD14" t="s">
        <v>960</v>
      </c>
      <c r="AE14" t="s">
        <v>1162</v>
      </c>
      <c r="AH14" t="s">
        <v>992</v>
      </c>
      <c r="AI14" t="s">
        <v>1979</v>
      </c>
      <c r="AJ14" t="s">
        <v>1164</v>
      </c>
      <c r="AK14" t="s">
        <v>2036</v>
      </c>
      <c r="AL14" t="s">
        <v>914</v>
      </c>
      <c r="AM14" t="s">
        <v>1168</v>
      </c>
      <c r="AY14" t="s">
        <v>1097</v>
      </c>
      <c r="AZ14" t="s">
        <v>1122</v>
      </c>
      <c r="BN14" t="s">
        <v>1130</v>
      </c>
      <c r="BR14" t="s">
        <v>1191</v>
      </c>
      <c r="BU14" t="s">
        <v>1173</v>
      </c>
      <c r="BW14" t="s">
        <v>1169</v>
      </c>
      <c r="BZ14" t="s">
        <v>1165</v>
      </c>
      <c r="CA14" t="s">
        <v>1982</v>
      </c>
      <c r="CB14" t="s">
        <v>1135</v>
      </c>
      <c r="CD14" t="s">
        <v>1171</v>
      </c>
      <c r="CE14" t="s">
        <v>1170</v>
      </c>
      <c r="CJ14" t="s">
        <v>1139</v>
      </c>
      <c r="CL14" t="s">
        <v>1186</v>
      </c>
      <c r="CM14" t="s">
        <v>1179</v>
      </c>
      <c r="CP14" t="s">
        <v>1982</v>
      </c>
      <c r="CQ14" t="s">
        <v>1178</v>
      </c>
      <c r="CT14" t="s">
        <v>1205</v>
      </c>
      <c r="CU14" t="s">
        <v>1079</v>
      </c>
      <c r="CV14" t="s">
        <v>2037</v>
      </c>
      <c r="CW14" t="s">
        <v>1176</v>
      </c>
      <c r="CX14" t="s">
        <v>1184</v>
      </c>
      <c r="CY14" t="s">
        <v>1324</v>
      </c>
      <c r="CZ14" t="s">
        <v>1183</v>
      </c>
      <c r="DA14" t="s">
        <v>1181</v>
      </c>
      <c r="DB14" t="s">
        <v>1185</v>
      </c>
      <c r="DG14" t="s">
        <v>2039</v>
      </c>
      <c r="DH14" t="s">
        <v>1979</v>
      </c>
      <c r="DI14" t="s">
        <v>1982</v>
      </c>
      <c r="DJ14" t="s">
        <v>2063</v>
      </c>
    </row>
    <row r="15" spans="1:114" x14ac:dyDescent="0.25">
      <c r="A15" t="s">
        <v>914</v>
      </c>
      <c r="S15" t="s">
        <v>1209</v>
      </c>
      <c r="U15" t="s">
        <v>2040</v>
      </c>
      <c r="X15" t="s">
        <v>1215</v>
      </c>
      <c r="Y15" t="s">
        <v>1216</v>
      </c>
      <c r="Z15" t="s">
        <v>1096</v>
      </c>
      <c r="AD15" t="s">
        <v>998</v>
      </c>
      <c r="AE15" t="s">
        <v>2041</v>
      </c>
      <c r="AF15" t="s">
        <v>1167</v>
      </c>
      <c r="AJ15" t="s">
        <v>1194</v>
      </c>
      <c r="AK15" t="s">
        <v>2042</v>
      </c>
      <c r="AL15" t="s">
        <v>1979</v>
      </c>
      <c r="AM15" t="s">
        <v>1198</v>
      </c>
      <c r="AY15" t="s">
        <v>1128</v>
      </c>
      <c r="BE15" t="s">
        <v>1172</v>
      </c>
      <c r="BN15" t="s">
        <v>1163</v>
      </c>
      <c r="BR15" t="s">
        <v>1218</v>
      </c>
      <c r="BW15" t="s">
        <v>1199</v>
      </c>
      <c r="BZ15" t="s">
        <v>1195</v>
      </c>
      <c r="CA15" t="s">
        <v>1166</v>
      </c>
      <c r="CC15" t="s">
        <v>1136</v>
      </c>
      <c r="CE15" t="s">
        <v>1201</v>
      </c>
      <c r="CJ15" t="s">
        <v>2043</v>
      </c>
      <c r="CL15" t="s">
        <v>1213</v>
      </c>
      <c r="CP15" t="s">
        <v>914</v>
      </c>
      <c r="CQ15" t="s">
        <v>1206</v>
      </c>
      <c r="CS15" t="s">
        <v>1208</v>
      </c>
      <c r="CT15" t="s">
        <v>1227</v>
      </c>
      <c r="CU15" t="s">
        <v>1110</v>
      </c>
      <c r="CW15" t="s">
        <v>1204</v>
      </c>
      <c r="CX15" t="s">
        <v>1211</v>
      </c>
      <c r="CY15" t="s">
        <v>1341</v>
      </c>
      <c r="CZ15" t="s">
        <v>1210</v>
      </c>
      <c r="DB15" t="s">
        <v>1212</v>
      </c>
      <c r="DI15" t="s">
        <v>914</v>
      </c>
    </row>
    <row r="16" spans="1:114" x14ac:dyDescent="0.25">
      <c r="A16" t="s">
        <v>1174</v>
      </c>
      <c r="Q16" t="s">
        <v>1238</v>
      </c>
      <c r="S16" t="s">
        <v>1233</v>
      </c>
      <c r="U16" t="s">
        <v>1196</v>
      </c>
      <c r="Z16" t="s">
        <v>1127</v>
      </c>
      <c r="AE16" t="s">
        <v>1219</v>
      </c>
      <c r="AF16" t="s">
        <v>1197</v>
      </c>
      <c r="AH16" t="s">
        <v>1982</v>
      </c>
      <c r="AK16" t="s">
        <v>1193</v>
      </c>
      <c r="AY16" t="s">
        <v>1160</v>
      </c>
      <c r="AZ16" t="s">
        <v>1188</v>
      </c>
      <c r="BN16" t="s">
        <v>1192</v>
      </c>
      <c r="BR16" t="s">
        <v>1241</v>
      </c>
      <c r="BU16" t="s">
        <v>1224</v>
      </c>
      <c r="CA16" t="s">
        <v>1979</v>
      </c>
      <c r="CB16" t="s">
        <v>1982</v>
      </c>
      <c r="CD16" t="s">
        <v>1222</v>
      </c>
      <c r="CJ16" t="s">
        <v>1175</v>
      </c>
      <c r="CL16" t="s">
        <v>1237</v>
      </c>
      <c r="CM16" t="s">
        <v>1228</v>
      </c>
      <c r="CS16" t="s">
        <v>1230</v>
      </c>
      <c r="CT16" t="s">
        <v>1251</v>
      </c>
      <c r="CU16" t="s">
        <v>687</v>
      </c>
      <c r="CV16" t="s">
        <v>1144</v>
      </c>
      <c r="CW16" t="s">
        <v>1226</v>
      </c>
      <c r="CX16" t="s">
        <v>1235</v>
      </c>
      <c r="CY16" t="s">
        <v>1354</v>
      </c>
      <c r="CZ16" t="s">
        <v>1234</v>
      </c>
      <c r="DA16" t="s">
        <v>1232</v>
      </c>
      <c r="DB16" t="s">
        <v>1236</v>
      </c>
      <c r="DI16" t="s">
        <v>1979</v>
      </c>
    </row>
    <row r="17" spans="17:106" x14ac:dyDescent="0.25">
      <c r="Q17" t="s">
        <v>1262</v>
      </c>
      <c r="S17" t="s">
        <v>1258</v>
      </c>
      <c r="U17" t="s">
        <v>1220</v>
      </c>
      <c r="X17" t="s">
        <v>1982</v>
      </c>
      <c r="Y17" t="s">
        <v>1982</v>
      </c>
      <c r="AD17" t="s">
        <v>1073</v>
      </c>
      <c r="AH17" t="s">
        <v>914</v>
      </c>
      <c r="AJ17" t="s">
        <v>1982</v>
      </c>
      <c r="AM17" t="s">
        <v>1244</v>
      </c>
      <c r="AY17" t="s">
        <v>1190</v>
      </c>
      <c r="AZ17" t="s">
        <v>1214</v>
      </c>
      <c r="BR17" t="s">
        <v>1265</v>
      </c>
      <c r="BU17" t="s">
        <v>2046</v>
      </c>
      <c r="BW17" t="s">
        <v>914</v>
      </c>
      <c r="BZ17" t="s">
        <v>2098</v>
      </c>
      <c r="CB17" t="s">
        <v>914</v>
      </c>
      <c r="CC17" t="s">
        <v>1200</v>
      </c>
      <c r="CD17" t="s">
        <v>1246</v>
      </c>
      <c r="CE17" t="s">
        <v>1982</v>
      </c>
      <c r="CJ17" t="s">
        <v>1203</v>
      </c>
      <c r="CL17" t="s">
        <v>1261</v>
      </c>
      <c r="CM17" t="s">
        <v>1253</v>
      </c>
      <c r="CQ17" t="s">
        <v>1252</v>
      </c>
      <c r="CS17" t="s">
        <v>1255</v>
      </c>
      <c r="CW17" t="s">
        <v>1250</v>
      </c>
      <c r="CY17" t="s">
        <v>1370</v>
      </c>
      <c r="CZ17" t="s">
        <v>1259</v>
      </c>
      <c r="DA17" t="s">
        <v>1257</v>
      </c>
      <c r="DB17" t="s">
        <v>1260</v>
      </c>
    </row>
    <row r="18" spans="17:106" x14ac:dyDescent="0.25">
      <c r="Q18" t="s">
        <v>1279</v>
      </c>
      <c r="S18" t="s">
        <v>1277</v>
      </c>
      <c r="U18" t="s">
        <v>2048</v>
      </c>
      <c r="X18" t="s">
        <v>914</v>
      </c>
      <c r="Y18" t="s">
        <v>914</v>
      </c>
      <c r="Z18" t="s">
        <v>914</v>
      </c>
      <c r="AE18" t="s">
        <v>2049</v>
      </c>
      <c r="AF18" t="s">
        <v>1982</v>
      </c>
      <c r="AH18" t="s">
        <v>1979</v>
      </c>
      <c r="AJ18" t="s">
        <v>914</v>
      </c>
      <c r="AK18" t="s">
        <v>1243</v>
      </c>
      <c r="AY18" t="s">
        <v>1217</v>
      </c>
      <c r="AZ18" t="s">
        <v>1239</v>
      </c>
      <c r="BN18" t="s">
        <v>1242</v>
      </c>
      <c r="BR18" t="s">
        <v>1281</v>
      </c>
      <c r="BU18" t="s">
        <v>1248</v>
      </c>
      <c r="BW18" t="s">
        <v>1979</v>
      </c>
      <c r="CB18" t="s">
        <v>1979</v>
      </c>
      <c r="CC18" t="s">
        <v>1221</v>
      </c>
      <c r="CD18" t="s">
        <v>1269</v>
      </c>
      <c r="CE18" t="s">
        <v>914</v>
      </c>
      <c r="CJ18" t="s">
        <v>1225</v>
      </c>
      <c r="CS18" t="s">
        <v>1274</v>
      </c>
      <c r="CT18" t="s">
        <v>1286</v>
      </c>
      <c r="CU18" t="s">
        <v>2050</v>
      </c>
      <c r="CV18" t="s">
        <v>2051</v>
      </c>
      <c r="CW18" t="s">
        <v>1272</v>
      </c>
      <c r="CX18" t="s">
        <v>1278</v>
      </c>
      <c r="CY18" t="s">
        <v>1383</v>
      </c>
      <c r="DA18" t="s">
        <v>1276</v>
      </c>
    </row>
    <row r="19" spans="17:106" x14ac:dyDescent="0.25">
      <c r="S19" t="s">
        <v>1290</v>
      </c>
      <c r="X19" t="s">
        <v>1979</v>
      </c>
      <c r="Y19" t="s">
        <v>1979</v>
      </c>
      <c r="Z19" t="s">
        <v>1979</v>
      </c>
      <c r="AD19" t="s">
        <v>1982</v>
      </c>
      <c r="AE19" t="s">
        <v>1982</v>
      </c>
      <c r="AF19" t="s">
        <v>914</v>
      </c>
      <c r="AJ19" t="s">
        <v>1979</v>
      </c>
      <c r="AK19" t="s">
        <v>1267</v>
      </c>
      <c r="AM19" t="s">
        <v>1283</v>
      </c>
      <c r="AY19" t="s">
        <v>1240</v>
      </c>
      <c r="AZ19" t="s">
        <v>1263</v>
      </c>
      <c r="BN19" t="s">
        <v>1266</v>
      </c>
      <c r="BR19" t="s">
        <v>1294</v>
      </c>
      <c r="BU19" t="s">
        <v>1270</v>
      </c>
      <c r="BZ19" t="s">
        <v>2099</v>
      </c>
      <c r="CC19" t="s">
        <v>1245</v>
      </c>
      <c r="CE19" t="s">
        <v>1979</v>
      </c>
      <c r="CJ19" t="s">
        <v>1249</v>
      </c>
      <c r="CL19" t="s">
        <v>1293</v>
      </c>
      <c r="CM19" t="s">
        <v>1288</v>
      </c>
      <c r="CQ19" t="s">
        <v>1287</v>
      </c>
      <c r="CT19" t="s">
        <v>1301</v>
      </c>
      <c r="CU19" t="s">
        <v>2053</v>
      </c>
      <c r="CV19" t="s">
        <v>2054</v>
      </c>
      <c r="CW19" t="s">
        <v>1285</v>
      </c>
      <c r="CY19" t="s">
        <v>1391</v>
      </c>
      <c r="CZ19" t="s">
        <v>1291</v>
      </c>
      <c r="DB19" t="s">
        <v>1292</v>
      </c>
    </row>
    <row r="20" spans="17:106" x14ac:dyDescent="0.25">
      <c r="Q20" t="s">
        <v>1313</v>
      </c>
      <c r="S20" t="s">
        <v>1308</v>
      </c>
      <c r="U20" t="s">
        <v>1982</v>
      </c>
      <c r="AD20" t="s">
        <v>914</v>
      </c>
      <c r="AE20" t="s">
        <v>914</v>
      </c>
      <c r="AF20" t="s">
        <v>1979</v>
      </c>
      <c r="AK20" t="s">
        <v>2055</v>
      </c>
      <c r="AM20" t="s">
        <v>1297</v>
      </c>
      <c r="AY20" t="s">
        <v>1264</v>
      </c>
      <c r="BN20" t="s">
        <v>1282</v>
      </c>
      <c r="BR20" t="s">
        <v>1314</v>
      </c>
      <c r="BZ20" t="s">
        <v>1296</v>
      </c>
      <c r="CC20" t="s">
        <v>1268</v>
      </c>
      <c r="CD20" t="s">
        <v>1298</v>
      </c>
      <c r="CJ20" t="s">
        <v>1271</v>
      </c>
      <c r="CL20" t="s">
        <v>1312</v>
      </c>
      <c r="CM20" t="s">
        <v>1303</v>
      </c>
      <c r="CQ20" t="s">
        <v>1302</v>
      </c>
      <c r="CS20" t="s">
        <v>1305</v>
      </c>
      <c r="CT20" t="s">
        <v>1319</v>
      </c>
      <c r="CV20" t="s">
        <v>1207</v>
      </c>
      <c r="CW20" t="s">
        <v>1300</v>
      </c>
      <c r="CX20" t="s">
        <v>1310</v>
      </c>
      <c r="CY20" t="s">
        <v>1402</v>
      </c>
      <c r="CZ20" t="s">
        <v>1309</v>
      </c>
      <c r="DA20" t="s">
        <v>1307</v>
      </c>
      <c r="DB20" t="s">
        <v>1311</v>
      </c>
    </row>
    <row r="21" spans="17:106" x14ac:dyDescent="0.25">
      <c r="Q21" t="s">
        <v>1329</v>
      </c>
      <c r="S21" t="s">
        <v>1325</v>
      </c>
      <c r="U21" t="s">
        <v>914</v>
      </c>
      <c r="AD21" t="s">
        <v>1979</v>
      </c>
      <c r="AE21" t="s">
        <v>1979</v>
      </c>
      <c r="AM21" t="s">
        <v>1316</v>
      </c>
      <c r="AY21" t="s">
        <v>1280</v>
      </c>
      <c r="AZ21" t="s">
        <v>914</v>
      </c>
      <c r="BN21" t="s">
        <v>1295</v>
      </c>
      <c r="BR21" t="s">
        <v>1330</v>
      </c>
      <c r="BU21" t="s">
        <v>1299</v>
      </c>
      <c r="BZ21" t="s">
        <v>1982</v>
      </c>
      <c r="CM21" t="s">
        <v>1321</v>
      </c>
      <c r="CQ21" t="s">
        <v>1320</v>
      </c>
      <c r="CS21" t="s">
        <v>1323</v>
      </c>
      <c r="CT21" t="s">
        <v>1336</v>
      </c>
      <c r="CU21" t="s">
        <v>2057</v>
      </c>
      <c r="CV21" t="s">
        <v>1229</v>
      </c>
      <c r="CW21" t="s">
        <v>1318</v>
      </c>
      <c r="CX21" t="s">
        <v>1327</v>
      </c>
      <c r="CY21" t="s">
        <v>1414</v>
      </c>
      <c r="CZ21" t="s">
        <v>1326</v>
      </c>
      <c r="DA21" t="s">
        <v>1982</v>
      </c>
      <c r="DB21" t="s">
        <v>1328</v>
      </c>
    </row>
    <row r="22" spans="17:106" x14ac:dyDescent="0.25">
      <c r="Q22" t="s">
        <v>1346</v>
      </c>
      <c r="U22" t="s">
        <v>1979</v>
      </c>
      <c r="AK22" t="s">
        <v>2058</v>
      </c>
      <c r="BN22" t="s">
        <v>1315</v>
      </c>
      <c r="BR22" t="s">
        <v>1347</v>
      </c>
      <c r="BZ22" t="s">
        <v>914</v>
      </c>
      <c r="CC22" t="s">
        <v>1982</v>
      </c>
      <c r="CD22" t="s">
        <v>1332</v>
      </c>
      <c r="CJ22" t="s">
        <v>1982</v>
      </c>
      <c r="CL22" t="s">
        <v>1345</v>
      </c>
      <c r="CM22" t="s">
        <v>1338</v>
      </c>
      <c r="CQ22" t="s">
        <v>1337</v>
      </c>
      <c r="CS22" t="s">
        <v>1340</v>
      </c>
      <c r="CU22" t="s">
        <v>2059</v>
      </c>
      <c r="CV22" t="s">
        <v>1254</v>
      </c>
      <c r="CW22" t="s">
        <v>1335</v>
      </c>
      <c r="CX22" t="s">
        <v>1343</v>
      </c>
      <c r="CY22" t="s">
        <v>1423</v>
      </c>
      <c r="CZ22" t="s">
        <v>1342</v>
      </c>
      <c r="DA22" t="s">
        <v>914</v>
      </c>
      <c r="DB22" t="s">
        <v>1344</v>
      </c>
    </row>
    <row r="23" spans="17:106" x14ac:dyDescent="0.25">
      <c r="S23" t="s">
        <v>1355</v>
      </c>
      <c r="AK23" t="s">
        <v>1331</v>
      </c>
      <c r="AM23" t="s">
        <v>1349</v>
      </c>
      <c r="BR23" t="s">
        <v>1359</v>
      </c>
      <c r="BU23" t="s">
        <v>1334</v>
      </c>
      <c r="BZ23" t="s">
        <v>1979</v>
      </c>
      <c r="CC23" t="s">
        <v>914</v>
      </c>
      <c r="CJ23" t="s">
        <v>914</v>
      </c>
      <c r="CL23" t="s">
        <v>1358</v>
      </c>
      <c r="CM23" t="s">
        <v>1352</v>
      </c>
      <c r="CT23" t="s">
        <v>1365</v>
      </c>
      <c r="CU23" t="s">
        <v>2060</v>
      </c>
      <c r="CV23" t="s">
        <v>1273</v>
      </c>
      <c r="CW23" t="s">
        <v>1351</v>
      </c>
      <c r="CZ23" t="s">
        <v>1356</v>
      </c>
      <c r="DB23" t="s">
        <v>2061</v>
      </c>
    </row>
    <row r="24" spans="17:106" x14ac:dyDescent="0.25">
      <c r="Q24" t="s">
        <v>1982</v>
      </c>
      <c r="AM24" t="s">
        <v>1362</v>
      </c>
      <c r="BN24" t="s">
        <v>1348</v>
      </c>
      <c r="BR24" t="s">
        <v>1373</v>
      </c>
      <c r="CC24" t="s">
        <v>1979</v>
      </c>
      <c r="CD24" t="s">
        <v>1363</v>
      </c>
      <c r="CL24" t="s">
        <v>1372</v>
      </c>
      <c r="CM24" t="s">
        <v>1367</v>
      </c>
      <c r="CQ24" t="s">
        <v>1366</v>
      </c>
      <c r="CS24" t="s">
        <v>1369</v>
      </c>
      <c r="CT24" t="s">
        <v>1379</v>
      </c>
      <c r="CU24" t="s">
        <v>2062</v>
      </c>
      <c r="CV24" t="s">
        <v>1289</v>
      </c>
      <c r="CX24" t="s">
        <v>1982</v>
      </c>
      <c r="CY24" t="s">
        <v>1439</v>
      </c>
      <c r="CZ24" t="s">
        <v>1371</v>
      </c>
      <c r="DB24" t="s">
        <v>1357</v>
      </c>
    </row>
    <row r="25" spans="17:106" x14ac:dyDescent="0.25">
      <c r="Q25" t="s">
        <v>914</v>
      </c>
      <c r="S25" t="s">
        <v>914</v>
      </c>
      <c r="AK25" t="s">
        <v>1361</v>
      </c>
      <c r="AM25" t="s">
        <v>1376</v>
      </c>
      <c r="BN25" t="s">
        <v>1360</v>
      </c>
      <c r="BR25" t="s">
        <v>1384</v>
      </c>
      <c r="BU25" t="s">
        <v>1982</v>
      </c>
      <c r="CQ25" t="s">
        <v>1380</v>
      </c>
      <c r="CS25" t="s">
        <v>1382</v>
      </c>
      <c r="CT25" t="s">
        <v>1388</v>
      </c>
      <c r="CU25" t="s">
        <v>2064</v>
      </c>
      <c r="CV25" t="s">
        <v>1304</v>
      </c>
      <c r="CW25" t="s">
        <v>1378</v>
      </c>
      <c r="CX25" t="s">
        <v>914</v>
      </c>
      <c r="CY25" t="s">
        <v>1445</v>
      </c>
    </row>
    <row r="26" spans="17:106" x14ac:dyDescent="0.25">
      <c r="S26" t="s">
        <v>1392</v>
      </c>
      <c r="AK26" t="s">
        <v>1375</v>
      </c>
      <c r="BN26" t="s">
        <v>1374</v>
      </c>
      <c r="BR26" t="s">
        <v>1395</v>
      </c>
      <c r="BU26" t="s">
        <v>914</v>
      </c>
      <c r="CD26" t="s">
        <v>1982</v>
      </c>
      <c r="CL26" t="s">
        <v>1982</v>
      </c>
      <c r="CM26" t="s">
        <v>914</v>
      </c>
      <c r="CQ26" t="s">
        <v>1389</v>
      </c>
      <c r="CT26" t="s">
        <v>1399</v>
      </c>
      <c r="CV26" t="s">
        <v>1322</v>
      </c>
      <c r="CW26" t="s">
        <v>1387</v>
      </c>
      <c r="CY26" t="s">
        <v>1452</v>
      </c>
      <c r="CZ26" t="s">
        <v>1393</v>
      </c>
      <c r="DB26" t="s">
        <v>2065</v>
      </c>
    </row>
    <row r="27" spans="17:106" x14ac:dyDescent="0.25">
      <c r="S27" t="s">
        <v>933</v>
      </c>
      <c r="AM27" t="s">
        <v>1982</v>
      </c>
      <c r="BN27" t="s">
        <v>1385</v>
      </c>
      <c r="BR27" t="s">
        <v>1405</v>
      </c>
      <c r="CD27" t="s">
        <v>914</v>
      </c>
      <c r="CL27" t="s">
        <v>914</v>
      </c>
      <c r="CM27" t="s">
        <v>933</v>
      </c>
      <c r="CQ27" t="s">
        <v>1400</v>
      </c>
      <c r="CS27" t="s">
        <v>1401</v>
      </c>
      <c r="CT27" t="s">
        <v>1410</v>
      </c>
      <c r="CU27" t="s">
        <v>1202</v>
      </c>
      <c r="CV27" t="s">
        <v>1339</v>
      </c>
      <c r="CW27" t="s">
        <v>1398</v>
      </c>
      <c r="CY27" t="s">
        <v>2075</v>
      </c>
      <c r="CZ27" t="s">
        <v>1403</v>
      </c>
      <c r="DB27" t="s">
        <v>2066</v>
      </c>
    </row>
    <row r="28" spans="17:106" x14ac:dyDescent="0.25">
      <c r="S28" t="s">
        <v>1404</v>
      </c>
      <c r="AK28" t="s">
        <v>1396</v>
      </c>
      <c r="AM28" t="s">
        <v>914</v>
      </c>
      <c r="BR28" t="s">
        <v>1416</v>
      </c>
      <c r="CD28" t="s">
        <v>1979</v>
      </c>
      <c r="CL28" t="s">
        <v>1404</v>
      </c>
      <c r="CM28" t="s">
        <v>1404</v>
      </c>
      <c r="CQ28" t="s">
        <v>1411</v>
      </c>
      <c r="CS28" t="s">
        <v>1413</v>
      </c>
      <c r="CT28" t="s">
        <v>1420</v>
      </c>
      <c r="CU28" t="s">
        <v>1223</v>
      </c>
      <c r="CV28" t="s">
        <v>1353</v>
      </c>
      <c r="CW28" t="s">
        <v>1409</v>
      </c>
      <c r="DB28" t="s">
        <v>1394</v>
      </c>
    </row>
    <row r="29" spans="17:106" x14ac:dyDescent="0.25">
      <c r="AK29" t="s">
        <v>1407</v>
      </c>
      <c r="AM29" t="s">
        <v>1979</v>
      </c>
      <c r="BN29" t="s">
        <v>1406</v>
      </c>
      <c r="BR29" t="s">
        <v>1426</v>
      </c>
      <c r="CS29" t="s">
        <v>1422</v>
      </c>
      <c r="CT29" t="s">
        <v>1430</v>
      </c>
      <c r="CU29" t="s">
        <v>1247</v>
      </c>
      <c r="CV29" t="s">
        <v>1368</v>
      </c>
      <c r="CW29" t="s">
        <v>1419</v>
      </c>
      <c r="CY29" t="s">
        <v>1467</v>
      </c>
      <c r="CZ29" t="s">
        <v>1424</v>
      </c>
    </row>
    <row r="30" spans="17:106" x14ac:dyDescent="0.25">
      <c r="BN30" t="s">
        <v>1417</v>
      </c>
      <c r="BR30" t="s">
        <v>1434</v>
      </c>
      <c r="CQ30" t="s">
        <v>1431</v>
      </c>
      <c r="CT30" t="s">
        <v>1437</v>
      </c>
      <c r="CV30" t="s">
        <v>1381</v>
      </c>
      <c r="CW30" t="s">
        <v>1429</v>
      </c>
      <c r="CZ30" t="s">
        <v>1433</v>
      </c>
      <c r="DB30" t="s">
        <v>1415</v>
      </c>
    </row>
    <row r="31" spans="17:106" x14ac:dyDescent="0.25">
      <c r="AK31" t="s">
        <v>1428</v>
      </c>
      <c r="BN31" t="s">
        <v>1427</v>
      </c>
      <c r="BR31" t="s">
        <v>1442</v>
      </c>
      <c r="CQ31" t="s">
        <v>2067</v>
      </c>
      <c r="CS31" t="s">
        <v>1982</v>
      </c>
      <c r="CT31" t="s">
        <v>1444</v>
      </c>
      <c r="CU31" t="s">
        <v>1284</v>
      </c>
      <c r="CV31" t="s">
        <v>1390</v>
      </c>
      <c r="CY31" t="s">
        <v>1982</v>
      </c>
      <c r="CZ31" t="s">
        <v>1440</v>
      </c>
      <c r="DB31" t="s">
        <v>1425</v>
      </c>
    </row>
    <row r="32" spans="17:106" x14ac:dyDescent="0.25">
      <c r="BN32" t="s">
        <v>1435</v>
      </c>
      <c r="BR32" t="s">
        <v>1447</v>
      </c>
      <c r="CS32" t="s">
        <v>914</v>
      </c>
      <c r="CV32" t="s">
        <v>2068</v>
      </c>
      <c r="CW32" t="s">
        <v>1982</v>
      </c>
      <c r="CY32" t="s">
        <v>914</v>
      </c>
    </row>
    <row r="33" spans="37:106" x14ac:dyDescent="0.25">
      <c r="AK33" t="s">
        <v>914</v>
      </c>
      <c r="BR33" t="s">
        <v>1454</v>
      </c>
      <c r="CQ33" t="s">
        <v>1450</v>
      </c>
      <c r="CT33" t="s">
        <v>1457</v>
      </c>
      <c r="CU33" t="s">
        <v>2069</v>
      </c>
      <c r="CV33" t="s">
        <v>1412</v>
      </c>
      <c r="CW33" t="s">
        <v>914</v>
      </c>
      <c r="CZ33" t="s">
        <v>1982</v>
      </c>
      <c r="DB33" t="s">
        <v>1441</v>
      </c>
    </row>
    <row r="34" spans="37:106" x14ac:dyDescent="0.25">
      <c r="AK34" t="s">
        <v>1979</v>
      </c>
      <c r="BN34" t="s">
        <v>1448</v>
      </c>
      <c r="BR34" t="s">
        <v>1461</v>
      </c>
      <c r="CQ34" t="s">
        <v>1458</v>
      </c>
      <c r="CT34" t="s">
        <v>1464</v>
      </c>
      <c r="CU34" t="s">
        <v>2070</v>
      </c>
      <c r="CV34" t="s">
        <v>1421</v>
      </c>
      <c r="CZ34" t="s">
        <v>914</v>
      </c>
      <c r="DB34" t="s">
        <v>1446</v>
      </c>
    </row>
    <row r="35" spans="37:106" x14ac:dyDescent="0.25">
      <c r="BN35" t="s">
        <v>1455</v>
      </c>
      <c r="BR35" t="s">
        <v>1468</v>
      </c>
      <c r="CQ35" t="s">
        <v>1465</v>
      </c>
      <c r="CU35" t="s">
        <v>2071</v>
      </c>
      <c r="CV35" t="s">
        <v>1432</v>
      </c>
      <c r="DB35" t="s">
        <v>1453</v>
      </c>
    </row>
    <row r="36" spans="37:106" x14ac:dyDescent="0.25">
      <c r="BN36" t="s">
        <v>1462</v>
      </c>
      <c r="BR36" t="s">
        <v>1472</v>
      </c>
      <c r="CQ36" t="s">
        <v>1471</v>
      </c>
      <c r="CT36" t="s">
        <v>1982</v>
      </c>
      <c r="CV36" t="s">
        <v>1438</v>
      </c>
      <c r="DB36" t="s">
        <v>1460</v>
      </c>
    </row>
    <row r="37" spans="37:106" x14ac:dyDescent="0.25">
      <c r="BN37" t="s">
        <v>1469</v>
      </c>
      <c r="BR37" t="s">
        <v>1477</v>
      </c>
      <c r="CQ37" t="s">
        <v>1475</v>
      </c>
      <c r="CT37" t="s">
        <v>914</v>
      </c>
      <c r="CU37" t="s">
        <v>1317</v>
      </c>
      <c r="CV37" t="s">
        <v>2072</v>
      </c>
    </row>
    <row r="38" spans="37:106" x14ac:dyDescent="0.25">
      <c r="BN38" t="s">
        <v>1473</v>
      </c>
      <c r="BR38" t="s">
        <v>1478</v>
      </c>
      <c r="CU38" t="s">
        <v>1333</v>
      </c>
      <c r="DB38" t="s">
        <v>2073</v>
      </c>
    </row>
    <row r="39" spans="37:106" x14ac:dyDescent="0.25">
      <c r="BR39" t="s">
        <v>1483</v>
      </c>
      <c r="CQ39" t="s">
        <v>1480</v>
      </c>
      <c r="CU39" t="s">
        <v>1350</v>
      </c>
      <c r="CV39" t="s">
        <v>1451</v>
      </c>
      <c r="DB39" t="s">
        <v>2074</v>
      </c>
    </row>
    <row r="40" spans="37:106" x14ac:dyDescent="0.25">
      <c r="BN40" t="s">
        <v>1479</v>
      </c>
      <c r="BR40" t="s">
        <v>1489</v>
      </c>
      <c r="CQ40" t="s">
        <v>1486</v>
      </c>
      <c r="CU40" t="s">
        <v>1364</v>
      </c>
      <c r="CV40" t="s">
        <v>1459</v>
      </c>
    </row>
    <row r="41" spans="37:106" x14ac:dyDescent="0.25">
      <c r="BN41" t="s">
        <v>1484</v>
      </c>
      <c r="BR41" t="s">
        <v>1492</v>
      </c>
      <c r="CU41" t="s">
        <v>1377</v>
      </c>
      <c r="CV41" t="s">
        <v>1466</v>
      </c>
      <c r="DB41" t="s">
        <v>1482</v>
      </c>
    </row>
    <row r="42" spans="37:106" x14ac:dyDescent="0.25">
      <c r="BN42" t="s">
        <v>1490</v>
      </c>
      <c r="BR42" t="s">
        <v>1498</v>
      </c>
      <c r="CQ42" t="s">
        <v>1495</v>
      </c>
      <c r="CU42" t="s">
        <v>1386</v>
      </c>
      <c r="DB42" t="s">
        <v>1488</v>
      </c>
    </row>
    <row r="43" spans="37:106" x14ac:dyDescent="0.25">
      <c r="BN43" t="s">
        <v>1493</v>
      </c>
      <c r="BR43" t="s">
        <v>1502</v>
      </c>
      <c r="CU43" t="s">
        <v>1397</v>
      </c>
      <c r="CV43" t="s">
        <v>1476</v>
      </c>
    </row>
    <row r="44" spans="37:106" x14ac:dyDescent="0.25">
      <c r="BN44" t="s">
        <v>1499</v>
      </c>
      <c r="BR44" t="s">
        <v>1506</v>
      </c>
      <c r="CQ44" t="s">
        <v>1982</v>
      </c>
      <c r="CU44" t="s">
        <v>1408</v>
      </c>
      <c r="DB44" t="s">
        <v>1497</v>
      </c>
    </row>
    <row r="45" spans="37:106" x14ac:dyDescent="0.25">
      <c r="BN45" t="s">
        <v>1503</v>
      </c>
      <c r="BR45" t="s">
        <v>1510</v>
      </c>
      <c r="CQ45" t="s">
        <v>914</v>
      </c>
      <c r="CU45" t="s">
        <v>1418</v>
      </c>
      <c r="CV45" t="s">
        <v>1481</v>
      </c>
      <c r="DB45" t="s">
        <v>1501</v>
      </c>
    </row>
    <row r="46" spans="37:106" x14ac:dyDescent="0.25">
      <c r="BR46" t="s">
        <v>1514</v>
      </c>
      <c r="CV46" t="s">
        <v>1487</v>
      </c>
      <c r="DB46" t="s">
        <v>1505</v>
      </c>
    </row>
    <row r="47" spans="37:106" x14ac:dyDescent="0.25">
      <c r="BN47" t="s">
        <v>1511</v>
      </c>
      <c r="BR47" t="s">
        <v>1518</v>
      </c>
      <c r="CU47" t="s">
        <v>1436</v>
      </c>
      <c r="CV47" t="s">
        <v>1491</v>
      </c>
      <c r="DB47" t="s">
        <v>1509</v>
      </c>
    </row>
    <row r="48" spans="37:106" x14ac:dyDescent="0.25">
      <c r="BN48" t="s">
        <v>1515</v>
      </c>
      <c r="BR48" t="s">
        <v>1521</v>
      </c>
      <c r="CU48" t="s">
        <v>1443</v>
      </c>
      <c r="CV48" t="s">
        <v>1496</v>
      </c>
    </row>
    <row r="49" spans="66:106" x14ac:dyDescent="0.25">
      <c r="BR49" t="s">
        <v>1526</v>
      </c>
      <c r="CU49" t="s">
        <v>1449</v>
      </c>
      <c r="DB49" t="s">
        <v>1517</v>
      </c>
    </row>
    <row r="50" spans="66:106" x14ac:dyDescent="0.25">
      <c r="BN50" t="s">
        <v>2076</v>
      </c>
      <c r="BR50" t="s">
        <v>1531</v>
      </c>
      <c r="CU50" t="s">
        <v>1456</v>
      </c>
      <c r="CV50" t="s">
        <v>2077</v>
      </c>
      <c r="DB50" t="s">
        <v>1520</v>
      </c>
    </row>
    <row r="51" spans="66:106" x14ac:dyDescent="0.25">
      <c r="BR51" t="s">
        <v>1536</v>
      </c>
      <c r="CU51" t="s">
        <v>1463</v>
      </c>
      <c r="CV51" t="s">
        <v>2078</v>
      </c>
      <c r="DB51" t="s">
        <v>1525</v>
      </c>
    </row>
    <row r="52" spans="66:106" x14ac:dyDescent="0.25">
      <c r="BN52" t="s">
        <v>1522</v>
      </c>
      <c r="BR52" t="s">
        <v>1540</v>
      </c>
      <c r="CU52" t="s">
        <v>1470</v>
      </c>
      <c r="CV52" t="s">
        <v>1504</v>
      </c>
      <c r="DB52" t="s">
        <v>1530</v>
      </c>
    </row>
    <row r="53" spans="66:106" x14ac:dyDescent="0.25">
      <c r="BN53" t="s">
        <v>1527</v>
      </c>
      <c r="BR53" t="s">
        <v>1542</v>
      </c>
      <c r="CU53" t="s">
        <v>1474</v>
      </c>
      <c r="CV53" t="s">
        <v>1508</v>
      </c>
      <c r="DB53" t="s">
        <v>1535</v>
      </c>
    </row>
    <row r="54" spans="66:106" x14ac:dyDescent="0.25">
      <c r="BN54" t="s">
        <v>1532</v>
      </c>
      <c r="BR54" t="s">
        <v>1545</v>
      </c>
      <c r="CU54" t="s">
        <v>2079</v>
      </c>
      <c r="CV54" t="s">
        <v>1513</v>
      </c>
    </row>
    <row r="55" spans="66:106" x14ac:dyDescent="0.25">
      <c r="BN55" t="s">
        <v>1537</v>
      </c>
      <c r="BR55" t="s">
        <v>1549</v>
      </c>
      <c r="CU55" t="s">
        <v>2080</v>
      </c>
      <c r="CV55" t="s">
        <v>1516</v>
      </c>
      <c r="DB55" t="s">
        <v>1982</v>
      </c>
    </row>
    <row r="56" spans="66:106" x14ac:dyDescent="0.25">
      <c r="BN56" t="s">
        <v>1541</v>
      </c>
      <c r="BR56" t="s">
        <v>1551</v>
      </c>
      <c r="CV56" t="s">
        <v>1519</v>
      </c>
      <c r="DB56" t="s">
        <v>914</v>
      </c>
    </row>
    <row r="57" spans="66:106" x14ac:dyDescent="0.25">
      <c r="BN57" t="s">
        <v>1543</v>
      </c>
      <c r="BR57" t="s">
        <v>1554</v>
      </c>
      <c r="CU57" t="s">
        <v>1485</v>
      </c>
      <c r="CV57" t="s">
        <v>1524</v>
      </c>
    </row>
    <row r="58" spans="66:106" x14ac:dyDescent="0.25">
      <c r="BN58" t="s">
        <v>1546</v>
      </c>
      <c r="BR58" t="s">
        <v>1557</v>
      </c>
      <c r="CV58" t="s">
        <v>1529</v>
      </c>
    </row>
    <row r="59" spans="66:106" x14ac:dyDescent="0.25">
      <c r="BR59" t="s">
        <v>1560</v>
      </c>
      <c r="CU59" t="s">
        <v>1494</v>
      </c>
      <c r="CV59" t="s">
        <v>1534</v>
      </c>
    </row>
    <row r="60" spans="66:106" x14ac:dyDescent="0.25">
      <c r="BN60" t="s">
        <v>2081</v>
      </c>
      <c r="BR60" t="s">
        <v>1562</v>
      </c>
      <c r="CU60" t="s">
        <v>1500</v>
      </c>
      <c r="CV60" t="s">
        <v>1539</v>
      </c>
    </row>
    <row r="61" spans="66:106" x14ac:dyDescent="0.25">
      <c r="BN61" t="s">
        <v>1552</v>
      </c>
      <c r="BR61" t="s">
        <v>1565</v>
      </c>
      <c r="CU61" t="s">
        <v>2082</v>
      </c>
      <c r="CV61" t="s">
        <v>2083</v>
      </c>
    </row>
    <row r="62" spans="66:106" x14ac:dyDescent="0.25">
      <c r="BN62" t="s">
        <v>1982</v>
      </c>
      <c r="BR62" t="s">
        <v>1568</v>
      </c>
      <c r="CV62" t="s">
        <v>2084</v>
      </c>
    </row>
    <row r="63" spans="66:106" x14ac:dyDescent="0.25">
      <c r="BN63" t="s">
        <v>914</v>
      </c>
      <c r="BR63" t="s">
        <v>1570</v>
      </c>
      <c r="CU63" t="s">
        <v>1507</v>
      </c>
      <c r="CV63" t="s">
        <v>2085</v>
      </c>
    </row>
    <row r="64" spans="66:106" x14ac:dyDescent="0.25">
      <c r="BR64" t="s">
        <v>1572</v>
      </c>
      <c r="CU64" t="s">
        <v>1512</v>
      </c>
      <c r="CV64" t="s">
        <v>2086</v>
      </c>
    </row>
    <row r="65" spans="99:100" x14ac:dyDescent="0.25">
      <c r="CU65" t="s">
        <v>2087</v>
      </c>
      <c r="CV65" t="s">
        <v>2088</v>
      </c>
    </row>
    <row r="66" spans="99:100" x14ac:dyDescent="0.25">
      <c r="CV66" t="s">
        <v>1544</v>
      </c>
    </row>
    <row r="67" spans="99:100" x14ac:dyDescent="0.25">
      <c r="CU67" t="s">
        <v>1523</v>
      </c>
      <c r="CV67" t="s">
        <v>1548</v>
      </c>
    </row>
    <row r="68" spans="99:100" x14ac:dyDescent="0.25">
      <c r="CU68" t="s">
        <v>1528</v>
      </c>
    </row>
    <row r="69" spans="99:100" x14ac:dyDescent="0.25">
      <c r="CU69" t="s">
        <v>1533</v>
      </c>
      <c r="CV69" t="s">
        <v>1553</v>
      </c>
    </row>
    <row r="70" spans="99:100" x14ac:dyDescent="0.25">
      <c r="CU70" t="s">
        <v>1538</v>
      </c>
      <c r="CV70" t="s">
        <v>1556</v>
      </c>
    </row>
    <row r="71" spans="99:100" x14ac:dyDescent="0.25">
      <c r="CV71" t="s">
        <v>1559</v>
      </c>
    </row>
    <row r="72" spans="99:100" x14ac:dyDescent="0.25">
      <c r="CU72" t="s">
        <v>2089</v>
      </c>
      <c r="CV72" t="s">
        <v>2090</v>
      </c>
    </row>
    <row r="73" spans="99:100" x14ac:dyDescent="0.25">
      <c r="CU73" t="s">
        <v>1547</v>
      </c>
      <c r="CV73" t="s">
        <v>1561</v>
      </c>
    </row>
    <row r="74" spans="99:100" x14ac:dyDescent="0.25">
      <c r="CU74" t="s">
        <v>1550</v>
      </c>
      <c r="CV74" t="s">
        <v>1564</v>
      </c>
    </row>
    <row r="75" spans="99:100" x14ac:dyDescent="0.25">
      <c r="CV75" t="s">
        <v>1567</v>
      </c>
    </row>
    <row r="76" spans="99:100" x14ac:dyDescent="0.25">
      <c r="CU76" t="s">
        <v>1555</v>
      </c>
      <c r="CV76" t="s">
        <v>1569</v>
      </c>
    </row>
    <row r="77" spans="99:100" x14ac:dyDescent="0.25">
      <c r="CU77" t="s">
        <v>1558</v>
      </c>
      <c r="CV77" t="s">
        <v>1571</v>
      </c>
    </row>
    <row r="78" spans="99:100" x14ac:dyDescent="0.25">
      <c r="CU78" t="s">
        <v>2091</v>
      </c>
      <c r="CV78" t="s">
        <v>1573</v>
      </c>
    </row>
    <row r="79" spans="99:100" x14ac:dyDescent="0.25">
      <c r="CV79" t="s">
        <v>1574</v>
      </c>
    </row>
    <row r="80" spans="99:100" x14ac:dyDescent="0.25">
      <c r="CU80" t="s">
        <v>1563</v>
      </c>
      <c r="CV80" t="s">
        <v>2092</v>
      </c>
    </row>
    <row r="81" spans="99:100" x14ac:dyDescent="0.25">
      <c r="CU81" t="s">
        <v>1566</v>
      </c>
      <c r="CV81" t="s">
        <v>2093</v>
      </c>
    </row>
    <row r="82" spans="99:100" x14ac:dyDescent="0.25">
      <c r="CU82" t="s">
        <v>1982</v>
      </c>
    </row>
    <row r="83" spans="99:100" x14ac:dyDescent="0.25">
      <c r="CV83" t="s">
        <v>2094</v>
      </c>
    </row>
    <row r="84" spans="99:100" x14ac:dyDescent="0.25">
      <c r="CU84" t="s">
        <v>1982</v>
      </c>
      <c r="CV84" t="s">
        <v>2095</v>
      </c>
    </row>
    <row r="85" spans="99:100" x14ac:dyDescent="0.25">
      <c r="CU85" t="s">
        <v>914</v>
      </c>
      <c r="CV85" t="s">
        <v>1575</v>
      </c>
    </row>
    <row r="87" spans="99:100" x14ac:dyDescent="0.25">
      <c r="CV87" t="s">
        <v>1576</v>
      </c>
    </row>
    <row r="88" spans="99:100" x14ac:dyDescent="0.25">
      <c r="CV88" t="s">
        <v>1577</v>
      </c>
    </row>
    <row r="89" spans="99:100" x14ac:dyDescent="0.25">
      <c r="CV89" t="s">
        <v>1578</v>
      </c>
    </row>
    <row r="90" spans="99:100" x14ac:dyDescent="0.25">
      <c r="CV90" t="s">
        <v>1579</v>
      </c>
    </row>
    <row r="91" spans="99:100" x14ac:dyDescent="0.25">
      <c r="CV91" t="s">
        <v>1580</v>
      </c>
    </row>
    <row r="92" spans="99:100" x14ac:dyDescent="0.25">
      <c r="CV92" t="s">
        <v>1581</v>
      </c>
    </row>
    <row r="93" spans="99:100" x14ac:dyDescent="0.25">
      <c r="CV93" t="s">
        <v>1582</v>
      </c>
    </row>
    <row r="94" spans="99:100" x14ac:dyDescent="0.25">
      <c r="CV94" t="s">
        <v>1583</v>
      </c>
    </row>
    <row r="95" spans="99:100" x14ac:dyDescent="0.25">
      <c r="CV95" t="s">
        <v>1584</v>
      </c>
    </row>
    <row r="97" spans="100:100" x14ac:dyDescent="0.25">
      <c r="CV97" t="s">
        <v>1585</v>
      </c>
    </row>
    <row r="98" spans="100:100" x14ac:dyDescent="0.25">
      <c r="CV98" t="s">
        <v>1586</v>
      </c>
    </row>
    <row r="99" spans="100:100" x14ac:dyDescent="0.25">
      <c r="CV99" t="s">
        <v>1587</v>
      </c>
    </row>
    <row r="100" spans="100:100" x14ac:dyDescent="0.25">
      <c r="CV100" t="s">
        <v>1588</v>
      </c>
    </row>
    <row r="101" spans="100:100" x14ac:dyDescent="0.25">
      <c r="CV101" t="s">
        <v>1589</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6798"/>
  <sheetViews>
    <sheetView zoomScale="80" zoomScaleNormal="80" workbookViewId="0">
      <selection activeCell="C6811" sqref="C6811"/>
    </sheetView>
  </sheetViews>
  <sheetFormatPr defaultRowHeight="15" x14ac:dyDescent="0.25"/>
  <cols>
    <col min="1" max="1" width="8.28515625" bestFit="1" customWidth="1"/>
    <col min="2" max="2" width="15.140625" bestFit="1" customWidth="1"/>
    <col min="3" max="3" width="155.42578125" bestFit="1" customWidth="1"/>
    <col min="5" max="5" width="46.85546875" customWidth="1"/>
  </cols>
  <sheetData>
    <row r="1" spans="1:11" x14ac:dyDescent="0.25">
      <c r="A1" s="97" t="s">
        <v>1590</v>
      </c>
      <c r="B1" s="97" t="s">
        <v>1591</v>
      </c>
      <c r="C1" s="97" t="s">
        <v>1592</v>
      </c>
      <c r="D1" s="97" t="s">
        <v>1593</v>
      </c>
      <c r="E1" s="97" t="s">
        <v>1594</v>
      </c>
      <c r="K1" t="s">
        <v>2266</v>
      </c>
    </row>
    <row r="2" spans="1:11" hidden="1" x14ac:dyDescent="0.25">
      <c r="A2">
        <v>1071</v>
      </c>
      <c r="B2" t="s">
        <v>563</v>
      </c>
      <c r="C2" t="s">
        <v>1595</v>
      </c>
      <c r="D2" t="str">
        <f t="shared" ref="D2:D65" si="0">CONCATENATE(B2,LEFT(C2,4))</f>
        <v>GMG0810</v>
      </c>
      <c r="E2" t="s">
        <v>1596</v>
      </c>
      <c r="K2" t="s">
        <v>1816</v>
      </c>
    </row>
    <row r="3" spans="1:11" hidden="1" x14ac:dyDescent="0.25">
      <c r="A3">
        <v>1071</v>
      </c>
      <c r="B3" t="s">
        <v>563</v>
      </c>
      <c r="C3" t="s">
        <v>1597</v>
      </c>
      <c r="D3" t="str">
        <f t="shared" si="0"/>
        <v>GMG1401</v>
      </c>
      <c r="E3" t="s">
        <v>43</v>
      </c>
      <c r="K3" t="s">
        <v>2125</v>
      </c>
    </row>
    <row r="4" spans="1:11" hidden="1" x14ac:dyDescent="0.25">
      <c r="A4">
        <v>1071</v>
      </c>
      <c r="B4" t="s">
        <v>563</v>
      </c>
      <c r="C4" t="s">
        <v>1598</v>
      </c>
      <c r="D4" t="str">
        <f t="shared" si="0"/>
        <v>GMG1501</v>
      </c>
      <c r="E4" t="s">
        <v>43</v>
      </c>
      <c r="K4" t="s">
        <v>2126</v>
      </c>
    </row>
    <row r="5" spans="1:11" hidden="1" x14ac:dyDescent="0.25">
      <c r="A5">
        <v>1071</v>
      </c>
      <c r="B5" t="s">
        <v>563</v>
      </c>
      <c r="C5" t="s">
        <v>1599</v>
      </c>
      <c r="D5" t="str">
        <f t="shared" si="0"/>
        <v>GMG3001</v>
      </c>
      <c r="E5" t="s">
        <v>1600</v>
      </c>
      <c r="K5" t="s">
        <v>2127</v>
      </c>
    </row>
    <row r="6" spans="1:11" hidden="1" x14ac:dyDescent="0.25">
      <c r="A6">
        <v>1071</v>
      </c>
      <c r="B6" t="s">
        <v>563</v>
      </c>
      <c r="C6" t="s">
        <v>255</v>
      </c>
      <c r="D6" t="str">
        <f t="shared" si="0"/>
        <v>GMG3002</v>
      </c>
      <c r="E6" t="s">
        <v>1600</v>
      </c>
      <c r="K6" t="s">
        <v>2128</v>
      </c>
    </row>
    <row r="7" spans="1:11" hidden="1" x14ac:dyDescent="0.25">
      <c r="A7">
        <v>1071</v>
      </c>
      <c r="B7" t="s">
        <v>563</v>
      </c>
      <c r="C7" t="s">
        <v>1601</v>
      </c>
      <c r="D7" t="str">
        <f t="shared" si="0"/>
        <v>GMG3003</v>
      </c>
      <c r="E7" t="s">
        <v>1600</v>
      </c>
      <c r="K7" t="s">
        <v>1846</v>
      </c>
    </row>
    <row r="8" spans="1:11" hidden="1" x14ac:dyDescent="0.25">
      <c r="A8">
        <v>1071</v>
      </c>
      <c r="B8" t="s">
        <v>563</v>
      </c>
      <c r="C8" t="s">
        <v>1602</v>
      </c>
      <c r="D8" t="str">
        <f t="shared" si="0"/>
        <v>GMG3004</v>
      </c>
      <c r="E8" t="s">
        <v>1600</v>
      </c>
      <c r="K8" t="s">
        <v>2129</v>
      </c>
    </row>
    <row r="9" spans="1:11" hidden="1" x14ac:dyDescent="0.25">
      <c r="A9">
        <v>1071</v>
      </c>
      <c r="B9" t="s">
        <v>563</v>
      </c>
      <c r="C9" t="s">
        <v>1603</v>
      </c>
      <c r="D9" t="str">
        <f t="shared" si="0"/>
        <v>GMG3005</v>
      </c>
      <c r="E9" t="s">
        <v>1600</v>
      </c>
      <c r="K9" t="s">
        <v>2130</v>
      </c>
    </row>
    <row r="10" spans="1:11" hidden="1" x14ac:dyDescent="0.25">
      <c r="A10">
        <v>1071</v>
      </c>
      <c r="B10" t="s">
        <v>563</v>
      </c>
      <c r="C10" t="s">
        <v>1604</v>
      </c>
      <c r="D10" t="str">
        <f t="shared" si="0"/>
        <v>GMG3008</v>
      </c>
      <c r="E10" t="s">
        <v>1600</v>
      </c>
      <c r="K10" t="s">
        <v>1688</v>
      </c>
    </row>
    <row r="11" spans="1:11" hidden="1" x14ac:dyDescent="0.25">
      <c r="A11">
        <v>1071</v>
      </c>
      <c r="B11" t="s">
        <v>563</v>
      </c>
      <c r="C11" t="s">
        <v>353</v>
      </c>
      <c r="D11" t="str">
        <f t="shared" si="0"/>
        <v>GMG3009</v>
      </c>
      <c r="E11" t="s">
        <v>1600</v>
      </c>
      <c r="K11" t="s">
        <v>2131</v>
      </c>
    </row>
    <row r="12" spans="1:11" hidden="1" x14ac:dyDescent="0.25">
      <c r="A12">
        <v>1071</v>
      </c>
      <c r="B12" t="s">
        <v>563</v>
      </c>
      <c r="C12" t="s">
        <v>1605</v>
      </c>
      <c r="D12" t="str">
        <f t="shared" si="0"/>
        <v>GMG3010</v>
      </c>
      <c r="E12" t="s">
        <v>1606</v>
      </c>
      <c r="K12" t="s">
        <v>2132</v>
      </c>
    </row>
    <row r="13" spans="1:11" hidden="1" x14ac:dyDescent="0.25">
      <c r="A13">
        <v>1071</v>
      </c>
      <c r="B13" t="s">
        <v>563</v>
      </c>
      <c r="C13" t="s">
        <v>1607</v>
      </c>
      <c r="D13" t="str">
        <f t="shared" si="0"/>
        <v>GMG3013</v>
      </c>
      <c r="E13" t="s">
        <v>1600</v>
      </c>
      <c r="K13" t="s">
        <v>2133</v>
      </c>
    </row>
    <row r="14" spans="1:11" hidden="1" x14ac:dyDescent="0.25">
      <c r="A14">
        <v>1071</v>
      </c>
      <c r="B14" t="s">
        <v>563</v>
      </c>
      <c r="C14" t="s">
        <v>1608</v>
      </c>
      <c r="D14" t="str">
        <f t="shared" si="0"/>
        <v>GMG3015</v>
      </c>
      <c r="E14" t="s">
        <v>1600</v>
      </c>
      <c r="K14" t="s">
        <v>2134</v>
      </c>
    </row>
    <row r="15" spans="1:11" hidden="1" x14ac:dyDescent="0.25">
      <c r="A15">
        <v>1071</v>
      </c>
      <c r="B15" t="s">
        <v>563</v>
      </c>
      <c r="C15" t="s">
        <v>1609</v>
      </c>
      <c r="D15" t="str">
        <f t="shared" si="0"/>
        <v>GMG3016</v>
      </c>
      <c r="E15" t="s">
        <v>1600</v>
      </c>
      <c r="K15" t="s">
        <v>1807</v>
      </c>
    </row>
    <row r="16" spans="1:11" hidden="1" x14ac:dyDescent="0.25">
      <c r="A16">
        <v>1071</v>
      </c>
      <c r="B16" t="s">
        <v>563</v>
      </c>
      <c r="C16" t="s">
        <v>405</v>
      </c>
      <c r="D16" t="str">
        <f t="shared" si="0"/>
        <v>GMG3017</v>
      </c>
      <c r="E16" t="s">
        <v>1600</v>
      </c>
      <c r="K16" t="s">
        <v>1599</v>
      </c>
    </row>
    <row r="17" spans="1:11" hidden="1" x14ac:dyDescent="0.25">
      <c r="A17">
        <v>1071</v>
      </c>
      <c r="B17" t="s">
        <v>563</v>
      </c>
      <c r="C17" t="s">
        <v>1610</v>
      </c>
      <c r="D17" t="str">
        <f t="shared" si="0"/>
        <v>GMG3019</v>
      </c>
      <c r="E17" t="s">
        <v>1611</v>
      </c>
      <c r="K17" t="s">
        <v>255</v>
      </c>
    </row>
    <row r="18" spans="1:11" hidden="1" x14ac:dyDescent="0.25">
      <c r="A18">
        <v>1071</v>
      </c>
      <c r="B18" t="s">
        <v>563</v>
      </c>
      <c r="C18" t="s">
        <v>1612</v>
      </c>
      <c r="D18" t="str">
        <f t="shared" si="0"/>
        <v>GMG3020</v>
      </c>
      <c r="E18" t="s">
        <v>1600</v>
      </c>
      <c r="K18" t="s">
        <v>1601</v>
      </c>
    </row>
    <row r="19" spans="1:11" hidden="1" x14ac:dyDescent="0.25">
      <c r="A19">
        <v>1071</v>
      </c>
      <c r="B19" t="s">
        <v>563</v>
      </c>
      <c r="C19" t="s">
        <v>1613</v>
      </c>
      <c r="D19" t="str">
        <f t="shared" si="0"/>
        <v>GMG3021</v>
      </c>
      <c r="E19" t="s">
        <v>1600</v>
      </c>
      <c r="K19" t="s">
        <v>1602</v>
      </c>
    </row>
    <row r="20" spans="1:11" hidden="1" x14ac:dyDescent="0.25">
      <c r="A20">
        <v>1071</v>
      </c>
      <c r="B20" t="s">
        <v>563</v>
      </c>
      <c r="C20" t="s">
        <v>430</v>
      </c>
      <c r="D20" t="str">
        <f t="shared" si="0"/>
        <v>GMG3022</v>
      </c>
      <c r="E20" t="s">
        <v>1600</v>
      </c>
      <c r="K20" t="s">
        <v>1603</v>
      </c>
    </row>
    <row r="21" spans="1:11" hidden="1" x14ac:dyDescent="0.25">
      <c r="A21">
        <v>1071</v>
      </c>
      <c r="B21" t="s">
        <v>563</v>
      </c>
      <c r="C21" t="s">
        <v>1614</v>
      </c>
      <c r="D21" t="str">
        <f t="shared" si="0"/>
        <v>GMG3023</v>
      </c>
      <c r="E21" t="s">
        <v>1615</v>
      </c>
      <c r="K21" t="s">
        <v>322</v>
      </c>
    </row>
    <row r="22" spans="1:11" hidden="1" x14ac:dyDescent="0.25">
      <c r="A22">
        <v>1071</v>
      </c>
      <c r="B22" t="s">
        <v>563</v>
      </c>
      <c r="C22" t="s">
        <v>440</v>
      </c>
      <c r="D22" t="str">
        <f t="shared" si="0"/>
        <v>GMG3024</v>
      </c>
      <c r="E22" t="s">
        <v>1600</v>
      </c>
      <c r="K22" t="s">
        <v>332</v>
      </c>
    </row>
    <row r="23" spans="1:11" hidden="1" x14ac:dyDescent="0.25">
      <c r="A23">
        <v>1071</v>
      </c>
      <c r="B23" t="s">
        <v>563</v>
      </c>
      <c r="C23" t="s">
        <v>1616</v>
      </c>
      <c r="D23" t="str">
        <f t="shared" si="0"/>
        <v>GMG3025</v>
      </c>
      <c r="E23" t="s">
        <v>1600</v>
      </c>
      <c r="K23" t="s">
        <v>1604</v>
      </c>
    </row>
    <row r="24" spans="1:11" hidden="1" x14ac:dyDescent="0.25">
      <c r="A24">
        <v>1071</v>
      </c>
      <c r="B24" t="s">
        <v>563</v>
      </c>
      <c r="C24" t="s">
        <v>1617</v>
      </c>
      <c r="D24" t="str">
        <f t="shared" si="0"/>
        <v>GMG3026</v>
      </c>
      <c r="E24" t="s">
        <v>1615</v>
      </c>
      <c r="K24" t="s">
        <v>353</v>
      </c>
    </row>
    <row r="25" spans="1:11" hidden="1" x14ac:dyDescent="0.25">
      <c r="A25">
        <v>1071</v>
      </c>
      <c r="B25" t="s">
        <v>563</v>
      </c>
      <c r="C25" t="s">
        <v>1618</v>
      </c>
      <c r="D25" t="str">
        <f t="shared" si="0"/>
        <v>GMG3027</v>
      </c>
      <c r="E25" t="s">
        <v>1600</v>
      </c>
      <c r="K25" t="s">
        <v>1605</v>
      </c>
    </row>
    <row r="26" spans="1:11" hidden="1" x14ac:dyDescent="0.25">
      <c r="A26">
        <v>1071</v>
      </c>
      <c r="B26" t="s">
        <v>563</v>
      </c>
      <c r="C26" t="s">
        <v>466</v>
      </c>
      <c r="D26" t="str">
        <f t="shared" si="0"/>
        <v>GMG3030</v>
      </c>
      <c r="E26" t="s">
        <v>1600</v>
      </c>
      <c r="K26" t="s">
        <v>2135</v>
      </c>
    </row>
    <row r="27" spans="1:11" hidden="1" x14ac:dyDescent="0.25">
      <c r="A27">
        <v>1071</v>
      </c>
      <c r="B27" t="s">
        <v>563</v>
      </c>
      <c r="C27" t="s">
        <v>469</v>
      </c>
      <c r="D27" t="str">
        <f t="shared" si="0"/>
        <v>GMG3031</v>
      </c>
      <c r="E27" t="s">
        <v>1600</v>
      </c>
      <c r="K27" t="s">
        <v>137</v>
      </c>
    </row>
    <row r="28" spans="1:11" hidden="1" x14ac:dyDescent="0.25">
      <c r="A28">
        <v>1071</v>
      </c>
      <c r="B28" t="s">
        <v>563</v>
      </c>
      <c r="C28" t="s">
        <v>1619</v>
      </c>
      <c r="D28" t="str">
        <f t="shared" si="0"/>
        <v>GMG3032</v>
      </c>
      <c r="E28" t="s">
        <v>1600</v>
      </c>
      <c r="K28" t="s">
        <v>1607</v>
      </c>
    </row>
    <row r="29" spans="1:11" hidden="1" x14ac:dyDescent="0.25">
      <c r="A29">
        <v>1071</v>
      </c>
      <c r="B29" t="s">
        <v>563</v>
      </c>
      <c r="C29" t="s">
        <v>1620</v>
      </c>
      <c r="D29" t="str">
        <f t="shared" si="0"/>
        <v>GMG3033</v>
      </c>
      <c r="E29" t="s">
        <v>1621</v>
      </c>
      <c r="K29" t="s">
        <v>2136</v>
      </c>
    </row>
    <row r="30" spans="1:11" hidden="1" x14ac:dyDescent="0.25">
      <c r="A30">
        <v>1071</v>
      </c>
      <c r="B30" t="s">
        <v>563</v>
      </c>
      <c r="C30" t="s">
        <v>476</v>
      </c>
      <c r="D30" t="str">
        <f t="shared" si="0"/>
        <v>GMG3034</v>
      </c>
      <c r="E30" t="s">
        <v>1621</v>
      </c>
      <c r="K30" t="s">
        <v>1608</v>
      </c>
    </row>
    <row r="31" spans="1:11" hidden="1" x14ac:dyDescent="0.25">
      <c r="A31">
        <v>1071</v>
      </c>
      <c r="B31" t="s">
        <v>563</v>
      </c>
      <c r="C31" t="s">
        <v>484</v>
      </c>
      <c r="D31" t="str">
        <f t="shared" si="0"/>
        <v>GMG3039</v>
      </c>
      <c r="E31" t="s">
        <v>1600</v>
      </c>
      <c r="K31" t="s">
        <v>1609</v>
      </c>
    </row>
    <row r="32" spans="1:11" hidden="1" x14ac:dyDescent="0.25">
      <c r="A32">
        <v>1071</v>
      </c>
      <c r="B32" t="s">
        <v>563</v>
      </c>
      <c r="C32" t="s">
        <v>486</v>
      </c>
      <c r="D32" t="str">
        <f t="shared" si="0"/>
        <v>GMG3040</v>
      </c>
      <c r="E32" t="s">
        <v>1600</v>
      </c>
      <c r="K32" t="s">
        <v>405</v>
      </c>
    </row>
    <row r="33" spans="1:11" hidden="1" x14ac:dyDescent="0.25">
      <c r="A33">
        <v>1071</v>
      </c>
      <c r="B33" t="s">
        <v>563</v>
      </c>
      <c r="C33" t="s">
        <v>490</v>
      </c>
      <c r="D33" t="str">
        <f t="shared" si="0"/>
        <v>GMG3099</v>
      </c>
      <c r="E33" t="s">
        <v>1600</v>
      </c>
      <c r="K33" t="s">
        <v>2137</v>
      </c>
    </row>
    <row r="34" spans="1:11" hidden="1" x14ac:dyDescent="0.25">
      <c r="A34">
        <v>1071</v>
      </c>
      <c r="B34" t="s">
        <v>563</v>
      </c>
      <c r="C34" t="s">
        <v>1622</v>
      </c>
      <c r="D34" t="str">
        <f t="shared" si="0"/>
        <v>GMG3101</v>
      </c>
      <c r="E34" t="s">
        <v>1623</v>
      </c>
      <c r="K34" t="s">
        <v>2138</v>
      </c>
    </row>
    <row r="35" spans="1:11" hidden="1" x14ac:dyDescent="0.25">
      <c r="A35">
        <v>1071</v>
      </c>
      <c r="B35" t="s">
        <v>563</v>
      </c>
      <c r="C35" t="s">
        <v>226</v>
      </c>
      <c r="D35" t="str">
        <f t="shared" si="0"/>
        <v>GMG3201</v>
      </c>
      <c r="E35" t="s">
        <v>1623</v>
      </c>
      <c r="K35" t="s">
        <v>2139</v>
      </c>
    </row>
    <row r="36" spans="1:11" hidden="1" x14ac:dyDescent="0.25">
      <c r="A36">
        <v>1071</v>
      </c>
      <c r="B36" t="s">
        <v>563</v>
      </c>
      <c r="C36" t="s">
        <v>1624</v>
      </c>
      <c r="D36" t="str">
        <f t="shared" si="0"/>
        <v>GMG3202</v>
      </c>
      <c r="E36" t="s">
        <v>1625</v>
      </c>
      <c r="K36" t="s">
        <v>2140</v>
      </c>
    </row>
    <row r="37" spans="1:11" hidden="1" x14ac:dyDescent="0.25">
      <c r="A37">
        <v>1071</v>
      </c>
      <c r="B37" t="s">
        <v>563</v>
      </c>
      <c r="C37" t="s">
        <v>53</v>
      </c>
      <c r="D37" t="str">
        <f t="shared" si="0"/>
        <v>GMG3301</v>
      </c>
      <c r="E37" t="s">
        <v>43</v>
      </c>
      <c r="K37" t="s">
        <v>2141</v>
      </c>
    </row>
    <row r="38" spans="1:11" hidden="1" x14ac:dyDescent="0.25">
      <c r="A38">
        <v>1071</v>
      </c>
      <c r="B38" t="s">
        <v>563</v>
      </c>
      <c r="C38" t="s">
        <v>1626</v>
      </c>
      <c r="D38" t="str">
        <f t="shared" si="0"/>
        <v>GMG3302</v>
      </c>
      <c r="E38" t="s">
        <v>43</v>
      </c>
      <c r="K38" t="s">
        <v>1614</v>
      </c>
    </row>
    <row r="39" spans="1:11" hidden="1" x14ac:dyDescent="0.25">
      <c r="A39">
        <v>1071</v>
      </c>
      <c r="B39" t="s">
        <v>563</v>
      </c>
      <c r="C39" t="s">
        <v>1627</v>
      </c>
      <c r="D39" t="str">
        <f t="shared" si="0"/>
        <v>GMG3304</v>
      </c>
      <c r="E39" t="s">
        <v>43</v>
      </c>
      <c r="K39" t="s">
        <v>2142</v>
      </c>
    </row>
    <row r="40" spans="1:11" hidden="1" x14ac:dyDescent="0.25">
      <c r="A40">
        <v>1071</v>
      </c>
      <c r="B40" t="s">
        <v>563</v>
      </c>
      <c r="C40" t="s">
        <v>308</v>
      </c>
      <c r="D40" t="str">
        <f t="shared" si="0"/>
        <v>GMG3305</v>
      </c>
      <c r="E40" t="s">
        <v>43</v>
      </c>
      <c r="K40" t="s">
        <v>1616</v>
      </c>
    </row>
    <row r="41" spans="1:11" hidden="1" x14ac:dyDescent="0.25">
      <c r="A41">
        <v>1071</v>
      </c>
      <c r="B41" t="s">
        <v>563</v>
      </c>
      <c r="C41" t="s">
        <v>1628</v>
      </c>
      <c r="D41" t="str">
        <f t="shared" si="0"/>
        <v>GMG3612</v>
      </c>
      <c r="E41" t="s">
        <v>1623</v>
      </c>
      <c r="K41" t="s">
        <v>1617</v>
      </c>
    </row>
    <row r="42" spans="1:11" hidden="1" x14ac:dyDescent="0.25">
      <c r="A42">
        <v>1071</v>
      </c>
      <c r="B42" t="s">
        <v>563</v>
      </c>
      <c r="C42" t="s">
        <v>470</v>
      </c>
      <c r="D42" t="str">
        <f t="shared" si="0"/>
        <v>GMG3699</v>
      </c>
      <c r="E42" t="s">
        <v>1623</v>
      </c>
      <c r="K42" t="s">
        <v>2143</v>
      </c>
    </row>
    <row r="43" spans="1:11" hidden="1" x14ac:dyDescent="0.25">
      <c r="A43">
        <v>1071</v>
      </c>
      <c r="B43" t="s">
        <v>563</v>
      </c>
      <c r="C43" t="s">
        <v>1629</v>
      </c>
      <c r="D43" t="str">
        <f t="shared" si="0"/>
        <v>GMG3701</v>
      </c>
      <c r="E43" t="s">
        <v>1630</v>
      </c>
      <c r="K43" t="s">
        <v>1702</v>
      </c>
    </row>
    <row r="44" spans="1:11" hidden="1" x14ac:dyDescent="0.25">
      <c r="A44">
        <v>1071</v>
      </c>
      <c r="B44" t="s">
        <v>563</v>
      </c>
      <c r="C44" t="s">
        <v>1631</v>
      </c>
      <c r="D44" t="str">
        <f t="shared" si="0"/>
        <v>GMG3703</v>
      </c>
      <c r="E44" t="s">
        <v>116</v>
      </c>
      <c r="K44" t="s">
        <v>466</v>
      </c>
    </row>
    <row r="45" spans="1:11" hidden="1" x14ac:dyDescent="0.25">
      <c r="A45">
        <v>1071</v>
      </c>
      <c r="B45" t="s">
        <v>563</v>
      </c>
      <c r="C45" t="s">
        <v>1632</v>
      </c>
      <c r="D45" t="str">
        <f t="shared" si="0"/>
        <v>GMG3704</v>
      </c>
      <c r="E45" t="s">
        <v>116</v>
      </c>
      <c r="K45" t="s">
        <v>2144</v>
      </c>
    </row>
    <row r="46" spans="1:11" hidden="1" x14ac:dyDescent="0.25">
      <c r="A46">
        <v>1071</v>
      </c>
      <c r="B46" t="s">
        <v>563</v>
      </c>
      <c r="C46" t="s">
        <v>1633</v>
      </c>
      <c r="D46" t="str">
        <f t="shared" si="0"/>
        <v>GMG3705</v>
      </c>
      <c r="E46" t="s">
        <v>116</v>
      </c>
      <c r="K46" t="s">
        <v>1619</v>
      </c>
    </row>
    <row r="47" spans="1:11" hidden="1" x14ac:dyDescent="0.25">
      <c r="A47">
        <v>1071</v>
      </c>
      <c r="B47" t="s">
        <v>563</v>
      </c>
      <c r="C47" t="s">
        <v>1634</v>
      </c>
      <c r="D47" t="str">
        <f t="shared" si="0"/>
        <v>GMG3903</v>
      </c>
      <c r="E47" t="s">
        <v>86</v>
      </c>
      <c r="K47" t="s">
        <v>1620</v>
      </c>
    </row>
    <row r="48" spans="1:11" hidden="1" x14ac:dyDescent="0.25">
      <c r="A48">
        <v>1071</v>
      </c>
      <c r="B48" t="s">
        <v>563</v>
      </c>
      <c r="C48" t="s">
        <v>298</v>
      </c>
      <c r="D48" t="str">
        <f t="shared" si="0"/>
        <v>GMG3904</v>
      </c>
      <c r="E48" t="s">
        <v>1623</v>
      </c>
      <c r="K48" t="s">
        <v>2145</v>
      </c>
    </row>
    <row r="49" spans="1:11" hidden="1" x14ac:dyDescent="0.25">
      <c r="A49">
        <v>1071</v>
      </c>
      <c r="B49" t="s">
        <v>563</v>
      </c>
      <c r="C49" t="s">
        <v>1635</v>
      </c>
      <c r="D49" t="str">
        <f t="shared" si="0"/>
        <v>GMG3908</v>
      </c>
      <c r="E49" t="s">
        <v>1623</v>
      </c>
      <c r="K49" t="s">
        <v>486</v>
      </c>
    </row>
    <row r="50" spans="1:11" hidden="1" x14ac:dyDescent="0.25">
      <c r="A50">
        <v>1071</v>
      </c>
      <c r="B50" t="s">
        <v>563</v>
      </c>
      <c r="C50" t="s">
        <v>345</v>
      </c>
      <c r="D50" t="str">
        <f t="shared" si="0"/>
        <v>GMG3910</v>
      </c>
      <c r="E50" t="s">
        <v>1623</v>
      </c>
      <c r="K50" t="s">
        <v>1703</v>
      </c>
    </row>
    <row r="51" spans="1:11" hidden="1" x14ac:dyDescent="0.25">
      <c r="A51">
        <v>1071</v>
      </c>
      <c r="B51" t="s">
        <v>563</v>
      </c>
      <c r="C51" t="s">
        <v>355</v>
      </c>
      <c r="D51" t="str">
        <f t="shared" si="0"/>
        <v>GMG3911</v>
      </c>
      <c r="E51" t="s">
        <v>1623</v>
      </c>
      <c r="K51" t="s">
        <v>490</v>
      </c>
    </row>
    <row r="52" spans="1:11" hidden="1" x14ac:dyDescent="0.25">
      <c r="A52">
        <v>1071</v>
      </c>
      <c r="B52" t="s">
        <v>563</v>
      </c>
      <c r="C52" t="s">
        <v>1636</v>
      </c>
      <c r="D52" t="str">
        <f t="shared" si="0"/>
        <v>GMG3912</v>
      </c>
      <c r="E52" t="s">
        <v>1637</v>
      </c>
      <c r="K52" t="s">
        <v>1622</v>
      </c>
    </row>
    <row r="53" spans="1:11" hidden="1" x14ac:dyDescent="0.25">
      <c r="A53">
        <v>1071</v>
      </c>
      <c r="B53" t="s">
        <v>563</v>
      </c>
      <c r="C53" t="s">
        <v>1638</v>
      </c>
      <c r="D53" t="str">
        <f t="shared" si="0"/>
        <v>GMG3913</v>
      </c>
      <c r="E53" t="s">
        <v>1637</v>
      </c>
      <c r="K53" t="s">
        <v>2146</v>
      </c>
    </row>
    <row r="54" spans="1:11" hidden="1" x14ac:dyDescent="0.25">
      <c r="A54">
        <v>1071</v>
      </c>
      <c r="B54" t="s">
        <v>563</v>
      </c>
      <c r="C54" t="s">
        <v>383</v>
      </c>
      <c r="D54" t="str">
        <f t="shared" si="0"/>
        <v>GMG3915</v>
      </c>
      <c r="E54" t="s">
        <v>1637</v>
      </c>
      <c r="K54" t="s">
        <v>2147</v>
      </c>
    </row>
    <row r="55" spans="1:11" hidden="1" x14ac:dyDescent="0.25">
      <c r="A55">
        <v>1071</v>
      </c>
      <c r="B55" t="s">
        <v>563</v>
      </c>
      <c r="C55" t="s">
        <v>389</v>
      </c>
      <c r="D55" t="str">
        <f t="shared" si="0"/>
        <v>GMG3916</v>
      </c>
      <c r="E55" t="s">
        <v>1623</v>
      </c>
      <c r="K55" t="s">
        <v>2148</v>
      </c>
    </row>
    <row r="56" spans="1:11" hidden="1" x14ac:dyDescent="0.25">
      <c r="A56">
        <v>1071</v>
      </c>
      <c r="B56" t="s">
        <v>563</v>
      </c>
      <c r="C56" t="s">
        <v>1639</v>
      </c>
      <c r="D56" t="str">
        <f t="shared" si="0"/>
        <v>GMG3917</v>
      </c>
      <c r="E56" t="s">
        <v>1615</v>
      </c>
      <c r="K56" t="s">
        <v>1624</v>
      </c>
    </row>
    <row r="57" spans="1:11" hidden="1" x14ac:dyDescent="0.25">
      <c r="A57">
        <v>1071</v>
      </c>
      <c r="B57" t="s">
        <v>563</v>
      </c>
      <c r="C57" t="s">
        <v>1640</v>
      </c>
      <c r="D57" t="str">
        <f t="shared" si="0"/>
        <v>GMG3918</v>
      </c>
      <c r="E57" t="s">
        <v>1615</v>
      </c>
      <c r="K57" t="s">
        <v>2149</v>
      </c>
    </row>
    <row r="58" spans="1:11" hidden="1" x14ac:dyDescent="0.25">
      <c r="A58">
        <v>1071</v>
      </c>
      <c r="B58" t="s">
        <v>563</v>
      </c>
      <c r="C58" t="s">
        <v>1641</v>
      </c>
      <c r="D58" t="str">
        <f t="shared" si="0"/>
        <v>GMG3919</v>
      </c>
      <c r="E58" t="s">
        <v>2102</v>
      </c>
      <c r="K58" t="s">
        <v>2150</v>
      </c>
    </row>
    <row r="59" spans="1:11" hidden="1" x14ac:dyDescent="0.25">
      <c r="A59">
        <v>1071</v>
      </c>
      <c r="B59" t="s">
        <v>563</v>
      </c>
      <c r="C59" t="s">
        <v>1642</v>
      </c>
      <c r="D59" t="str">
        <f t="shared" si="0"/>
        <v>GMG3921</v>
      </c>
      <c r="E59" t="s">
        <v>2102</v>
      </c>
      <c r="K59" t="s">
        <v>1627</v>
      </c>
    </row>
    <row r="60" spans="1:11" hidden="1" x14ac:dyDescent="0.25">
      <c r="A60">
        <v>1071</v>
      </c>
      <c r="B60" t="s">
        <v>563</v>
      </c>
      <c r="C60" t="s">
        <v>1643</v>
      </c>
      <c r="D60" t="str">
        <f t="shared" si="0"/>
        <v>GMG3922</v>
      </c>
      <c r="E60" t="s">
        <v>1611</v>
      </c>
      <c r="K60" t="s">
        <v>2151</v>
      </c>
    </row>
    <row r="61" spans="1:11" hidden="1" x14ac:dyDescent="0.25">
      <c r="A61">
        <v>1071</v>
      </c>
      <c r="B61" t="s">
        <v>563</v>
      </c>
      <c r="C61" t="s">
        <v>427</v>
      </c>
      <c r="D61" t="str">
        <f t="shared" si="0"/>
        <v>GMG3923</v>
      </c>
      <c r="E61" t="s">
        <v>1623</v>
      </c>
      <c r="K61" t="s">
        <v>2152</v>
      </c>
    </row>
    <row r="62" spans="1:11" hidden="1" x14ac:dyDescent="0.25">
      <c r="A62">
        <v>1071</v>
      </c>
      <c r="B62" t="s">
        <v>563</v>
      </c>
      <c r="C62" t="s">
        <v>1644</v>
      </c>
      <c r="D62" t="str">
        <f t="shared" si="0"/>
        <v>GMG3924</v>
      </c>
      <c r="E62" t="s">
        <v>1645</v>
      </c>
      <c r="K62" t="s">
        <v>2153</v>
      </c>
    </row>
    <row r="63" spans="1:11" hidden="1" x14ac:dyDescent="0.25">
      <c r="A63">
        <v>1071</v>
      </c>
      <c r="B63" t="s">
        <v>563</v>
      </c>
      <c r="C63" t="s">
        <v>442</v>
      </c>
      <c r="D63" t="str">
        <f t="shared" si="0"/>
        <v>GMG3926</v>
      </c>
      <c r="E63" t="s">
        <v>1646</v>
      </c>
      <c r="K63" t="s">
        <v>1690</v>
      </c>
    </row>
    <row r="64" spans="1:11" hidden="1" x14ac:dyDescent="0.25">
      <c r="A64">
        <v>1071</v>
      </c>
      <c r="B64" t="s">
        <v>563</v>
      </c>
      <c r="C64" t="s">
        <v>1647</v>
      </c>
      <c r="D64" t="str">
        <f t="shared" si="0"/>
        <v>GMG3927</v>
      </c>
      <c r="E64" t="s">
        <v>1648</v>
      </c>
      <c r="K64" t="s">
        <v>2154</v>
      </c>
    </row>
    <row r="65" spans="1:11" hidden="1" x14ac:dyDescent="0.25">
      <c r="A65">
        <v>1071</v>
      </c>
      <c r="B65" t="s">
        <v>563</v>
      </c>
      <c r="C65" t="s">
        <v>1649</v>
      </c>
      <c r="D65" t="str">
        <f t="shared" si="0"/>
        <v>GMG3929</v>
      </c>
      <c r="E65" t="s">
        <v>1606</v>
      </c>
      <c r="K65" t="s">
        <v>2155</v>
      </c>
    </row>
    <row r="66" spans="1:11" hidden="1" x14ac:dyDescent="0.25">
      <c r="A66">
        <v>1071</v>
      </c>
      <c r="B66" t="s">
        <v>563</v>
      </c>
      <c r="C66" t="s">
        <v>1650</v>
      </c>
      <c r="D66" t="str">
        <f t="shared" ref="D66:D129" si="1">CONCATENATE(B66,LEFT(C66,4))</f>
        <v>GMG3931</v>
      </c>
      <c r="E66" t="s">
        <v>1623</v>
      </c>
      <c r="K66" t="s">
        <v>2156</v>
      </c>
    </row>
    <row r="67" spans="1:11" hidden="1" x14ac:dyDescent="0.25">
      <c r="A67">
        <v>1071</v>
      </c>
      <c r="B67" t="s">
        <v>563</v>
      </c>
      <c r="C67" t="s">
        <v>468</v>
      </c>
      <c r="D67" t="str">
        <f t="shared" si="1"/>
        <v>GMG3934</v>
      </c>
      <c r="E67" t="s">
        <v>1621</v>
      </c>
      <c r="K67" t="s">
        <v>1817</v>
      </c>
    </row>
    <row r="68" spans="1:11" hidden="1" x14ac:dyDescent="0.25">
      <c r="A68">
        <v>1071</v>
      </c>
      <c r="B68" t="s">
        <v>563</v>
      </c>
      <c r="C68" t="s">
        <v>1651</v>
      </c>
      <c r="D68" t="str">
        <f t="shared" si="1"/>
        <v>GMG3935</v>
      </c>
      <c r="E68" t="s">
        <v>1621</v>
      </c>
      <c r="K68" t="s">
        <v>344</v>
      </c>
    </row>
    <row r="69" spans="1:11" hidden="1" x14ac:dyDescent="0.25">
      <c r="A69">
        <v>1071</v>
      </c>
      <c r="B69" t="s">
        <v>563</v>
      </c>
      <c r="C69" t="s">
        <v>1652</v>
      </c>
      <c r="D69" t="str">
        <f t="shared" si="1"/>
        <v>GMG3936</v>
      </c>
      <c r="E69" t="s">
        <v>93</v>
      </c>
      <c r="K69" t="s">
        <v>354</v>
      </c>
    </row>
    <row r="70" spans="1:11" hidden="1" x14ac:dyDescent="0.25">
      <c r="A70">
        <v>1071</v>
      </c>
      <c r="B70" t="s">
        <v>563</v>
      </c>
      <c r="C70" t="s">
        <v>1653</v>
      </c>
      <c r="D70" t="str">
        <f t="shared" si="1"/>
        <v>GMG3940</v>
      </c>
      <c r="E70" t="s">
        <v>1648</v>
      </c>
      <c r="K70" t="s">
        <v>1707</v>
      </c>
    </row>
    <row r="71" spans="1:11" hidden="1" x14ac:dyDescent="0.25">
      <c r="A71">
        <v>1071</v>
      </c>
      <c r="B71" t="s">
        <v>563</v>
      </c>
      <c r="C71" t="s">
        <v>481</v>
      </c>
      <c r="D71" t="str">
        <f t="shared" si="1"/>
        <v>GMG3942</v>
      </c>
      <c r="E71" t="s">
        <v>1623</v>
      </c>
      <c r="K71" t="s">
        <v>1628</v>
      </c>
    </row>
    <row r="72" spans="1:11" hidden="1" x14ac:dyDescent="0.25">
      <c r="A72">
        <v>1071</v>
      </c>
      <c r="B72" t="s">
        <v>563</v>
      </c>
      <c r="C72" t="s">
        <v>1654</v>
      </c>
      <c r="D72" t="str">
        <f t="shared" si="1"/>
        <v>GMG3943</v>
      </c>
      <c r="E72" t="s">
        <v>1615</v>
      </c>
      <c r="K72" t="s">
        <v>382</v>
      </c>
    </row>
    <row r="73" spans="1:11" hidden="1" x14ac:dyDescent="0.25">
      <c r="A73">
        <v>1071</v>
      </c>
      <c r="B73" t="s">
        <v>563</v>
      </c>
      <c r="C73" t="s">
        <v>491</v>
      </c>
      <c r="D73" t="str">
        <f t="shared" si="1"/>
        <v>GMG3948</v>
      </c>
      <c r="E73" t="s">
        <v>1645</v>
      </c>
      <c r="K73" t="s">
        <v>1743</v>
      </c>
    </row>
    <row r="74" spans="1:11" hidden="1" x14ac:dyDescent="0.25">
      <c r="A74">
        <v>1071</v>
      </c>
      <c r="B74" t="s">
        <v>563</v>
      </c>
      <c r="C74" t="s">
        <v>1655</v>
      </c>
      <c r="D74" t="str">
        <f t="shared" si="1"/>
        <v>GMG3950</v>
      </c>
      <c r="E74" t="s">
        <v>43</v>
      </c>
      <c r="K74" t="s">
        <v>2157</v>
      </c>
    </row>
    <row r="75" spans="1:11" hidden="1" x14ac:dyDescent="0.25">
      <c r="A75">
        <v>1071</v>
      </c>
      <c r="B75" t="s">
        <v>563</v>
      </c>
      <c r="C75" t="s">
        <v>495</v>
      </c>
      <c r="D75" t="str">
        <f t="shared" si="1"/>
        <v>GMG3953</v>
      </c>
      <c r="E75" t="s">
        <v>1645</v>
      </c>
      <c r="K75" t="s">
        <v>2158</v>
      </c>
    </row>
    <row r="76" spans="1:11" hidden="1" x14ac:dyDescent="0.25">
      <c r="A76">
        <v>1071</v>
      </c>
      <c r="B76" t="s">
        <v>563</v>
      </c>
      <c r="C76" t="s">
        <v>497</v>
      </c>
      <c r="D76" t="str">
        <f t="shared" si="1"/>
        <v>GMG3955</v>
      </c>
      <c r="E76" t="s">
        <v>1623</v>
      </c>
      <c r="K76" t="s">
        <v>2159</v>
      </c>
    </row>
    <row r="77" spans="1:11" hidden="1" x14ac:dyDescent="0.25">
      <c r="A77">
        <v>1071</v>
      </c>
      <c r="B77" t="s">
        <v>563</v>
      </c>
      <c r="C77" t="s">
        <v>1656</v>
      </c>
      <c r="D77" t="str">
        <f t="shared" si="1"/>
        <v>GMG3959</v>
      </c>
      <c r="E77" t="s">
        <v>1623</v>
      </c>
      <c r="K77" t="s">
        <v>416</v>
      </c>
    </row>
    <row r="78" spans="1:11" hidden="1" x14ac:dyDescent="0.25">
      <c r="A78">
        <v>1071</v>
      </c>
      <c r="B78" t="s">
        <v>563</v>
      </c>
      <c r="C78" t="s">
        <v>1657</v>
      </c>
      <c r="D78" t="str">
        <f t="shared" si="1"/>
        <v>GMG3961</v>
      </c>
      <c r="E78" t="s">
        <v>1630</v>
      </c>
      <c r="K78" t="s">
        <v>2160</v>
      </c>
    </row>
    <row r="79" spans="1:11" hidden="1" x14ac:dyDescent="0.25">
      <c r="A79">
        <v>1071</v>
      </c>
      <c r="B79" t="s">
        <v>563</v>
      </c>
      <c r="C79" t="s">
        <v>1658</v>
      </c>
      <c r="D79" t="str">
        <f t="shared" si="1"/>
        <v>GMG3966</v>
      </c>
      <c r="E79" t="s">
        <v>1637</v>
      </c>
      <c r="K79" t="s">
        <v>2161</v>
      </c>
    </row>
    <row r="80" spans="1:11" hidden="1" x14ac:dyDescent="0.25">
      <c r="A80">
        <v>1071</v>
      </c>
      <c r="B80" t="s">
        <v>563</v>
      </c>
      <c r="C80" t="s">
        <v>1659</v>
      </c>
      <c r="D80" t="str">
        <f t="shared" si="1"/>
        <v>GMG3969</v>
      </c>
      <c r="E80" t="s">
        <v>1637</v>
      </c>
      <c r="K80" t="s">
        <v>2162</v>
      </c>
    </row>
    <row r="81" spans="1:11" hidden="1" x14ac:dyDescent="0.25">
      <c r="A81">
        <v>1071</v>
      </c>
      <c r="B81" t="s">
        <v>563</v>
      </c>
      <c r="C81" t="s">
        <v>1660</v>
      </c>
      <c r="D81" t="str">
        <f t="shared" si="1"/>
        <v>GMG3970</v>
      </c>
      <c r="E81" t="s">
        <v>1648</v>
      </c>
      <c r="K81" t="s">
        <v>2163</v>
      </c>
    </row>
    <row r="82" spans="1:11" hidden="1" x14ac:dyDescent="0.25">
      <c r="A82">
        <v>1071</v>
      </c>
      <c r="B82" t="s">
        <v>563</v>
      </c>
      <c r="C82" t="s">
        <v>512</v>
      </c>
      <c r="D82" t="str">
        <f t="shared" si="1"/>
        <v>GMG3971</v>
      </c>
      <c r="E82" t="s">
        <v>2103</v>
      </c>
      <c r="K82" t="s">
        <v>2164</v>
      </c>
    </row>
    <row r="83" spans="1:11" hidden="1" x14ac:dyDescent="0.25">
      <c r="A83">
        <v>1071</v>
      </c>
      <c r="B83" t="s">
        <v>563</v>
      </c>
      <c r="C83" t="s">
        <v>520</v>
      </c>
      <c r="D83" t="str">
        <f t="shared" si="1"/>
        <v>GMG3981</v>
      </c>
      <c r="E83" t="s">
        <v>1623</v>
      </c>
      <c r="K83" t="s">
        <v>2165</v>
      </c>
    </row>
    <row r="84" spans="1:11" hidden="1" x14ac:dyDescent="0.25">
      <c r="A84">
        <v>1071</v>
      </c>
      <c r="B84" t="s">
        <v>563</v>
      </c>
      <c r="C84" t="s">
        <v>1661</v>
      </c>
      <c r="D84" t="str">
        <f t="shared" si="1"/>
        <v>GMG3987</v>
      </c>
      <c r="E84" t="s">
        <v>1615</v>
      </c>
      <c r="K84" t="s">
        <v>456</v>
      </c>
    </row>
    <row r="85" spans="1:11" hidden="1" x14ac:dyDescent="0.25">
      <c r="A85">
        <v>1071</v>
      </c>
      <c r="B85" t="s">
        <v>563</v>
      </c>
      <c r="C85" t="s">
        <v>1662</v>
      </c>
      <c r="D85" t="str">
        <f t="shared" si="1"/>
        <v>GMG3994</v>
      </c>
      <c r="E85" t="s">
        <v>1621</v>
      </c>
      <c r="K85" t="s">
        <v>2166</v>
      </c>
    </row>
    <row r="86" spans="1:11" hidden="1" x14ac:dyDescent="0.25">
      <c r="A86">
        <v>1071</v>
      </c>
      <c r="B86" t="s">
        <v>563</v>
      </c>
      <c r="C86" t="s">
        <v>1663</v>
      </c>
      <c r="D86" t="str">
        <f t="shared" si="1"/>
        <v>GMG3999</v>
      </c>
      <c r="E86" t="s">
        <v>1623</v>
      </c>
      <c r="K86" t="s">
        <v>2167</v>
      </c>
    </row>
    <row r="87" spans="1:11" hidden="1" x14ac:dyDescent="0.25">
      <c r="A87">
        <v>1071</v>
      </c>
      <c r="B87" t="s">
        <v>563</v>
      </c>
      <c r="C87" t="s">
        <v>1664</v>
      </c>
      <c r="D87" t="str">
        <f t="shared" si="1"/>
        <v>GMG4002</v>
      </c>
      <c r="E87" t="s">
        <v>1648</v>
      </c>
      <c r="K87" t="s">
        <v>2168</v>
      </c>
    </row>
    <row r="88" spans="1:11" hidden="1" x14ac:dyDescent="0.25">
      <c r="A88">
        <v>1071</v>
      </c>
      <c r="B88" t="s">
        <v>563</v>
      </c>
      <c r="C88" t="s">
        <v>1665</v>
      </c>
      <c r="D88" t="str">
        <f t="shared" si="1"/>
        <v>GMG4003</v>
      </c>
      <c r="E88" t="s">
        <v>93</v>
      </c>
      <c r="K88" t="s">
        <v>1629</v>
      </c>
    </row>
    <row r="89" spans="1:11" hidden="1" x14ac:dyDescent="0.25">
      <c r="A89">
        <v>1071</v>
      </c>
      <c r="B89" t="s">
        <v>563</v>
      </c>
      <c r="C89" t="s">
        <v>1666</v>
      </c>
      <c r="D89" t="str">
        <f t="shared" si="1"/>
        <v>GMG4004</v>
      </c>
      <c r="E89" t="s">
        <v>1648</v>
      </c>
      <c r="K89" t="s">
        <v>1693</v>
      </c>
    </row>
    <row r="90" spans="1:11" hidden="1" x14ac:dyDescent="0.25">
      <c r="A90">
        <v>1071</v>
      </c>
      <c r="B90" t="s">
        <v>563</v>
      </c>
      <c r="C90" t="s">
        <v>1667</v>
      </c>
      <c r="D90" t="str">
        <f t="shared" si="1"/>
        <v>GMG4005</v>
      </c>
      <c r="E90" t="s">
        <v>1648</v>
      </c>
      <c r="K90" t="s">
        <v>1631</v>
      </c>
    </row>
    <row r="91" spans="1:11" hidden="1" x14ac:dyDescent="0.25">
      <c r="A91">
        <v>1071</v>
      </c>
      <c r="B91" t="s">
        <v>563</v>
      </c>
      <c r="C91" t="s">
        <v>1668</v>
      </c>
      <c r="D91" t="str">
        <f t="shared" si="1"/>
        <v>GMG4701</v>
      </c>
      <c r="E91" t="s">
        <v>1669</v>
      </c>
      <c r="K91" t="s">
        <v>1632</v>
      </c>
    </row>
    <row r="92" spans="1:11" hidden="1" x14ac:dyDescent="0.25">
      <c r="A92">
        <v>1071</v>
      </c>
      <c r="B92" t="s">
        <v>563</v>
      </c>
      <c r="C92" t="s">
        <v>238</v>
      </c>
      <c r="D92" t="str">
        <f t="shared" si="1"/>
        <v>GMG4702</v>
      </c>
      <c r="E92" t="s">
        <v>1669</v>
      </c>
      <c r="K92" t="s">
        <v>1633</v>
      </c>
    </row>
    <row r="93" spans="1:11" hidden="1" x14ac:dyDescent="0.25">
      <c r="A93">
        <v>1071</v>
      </c>
      <c r="B93" t="s">
        <v>563</v>
      </c>
      <c r="C93" t="s">
        <v>363</v>
      </c>
      <c r="D93" t="str">
        <f t="shared" si="1"/>
        <v>GMG4799</v>
      </c>
      <c r="E93" t="s">
        <v>1669</v>
      </c>
      <c r="K93" t="s">
        <v>232</v>
      </c>
    </row>
    <row r="94" spans="1:11" hidden="1" x14ac:dyDescent="0.25">
      <c r="A94">
        <v>1071</v>
      </c>
      <c r="B94" t="s">
        <v>563</v>
      </c>
      <c r="C94" t="s">
        <v>1670</v>
      </c>
      <c r="D94" t="str">
        <f t="shared" si="1"/>
        <v>GMG5101</v>
      </c>
      <c r="E94" t="s">
        <v>1671</v>
      </c>
      <c r="K94" t="s">
        <v>1830</v>
      </c>
    </row>
    <row r="95" spans="1:11" hidden="1" x14ac:dyDescent="0.25">
      <c r="A95">
        <v>1071</v>
      </c>
      <c r="B95" t="s">
        <v>563</v>
      </c>
      <c r="C95" t="s">
        <v>1672</v>
      </c>
      <c r="D95" t="str">
        <f t="shared" si="1"/>
        <v>GMG5103</v>
      </c>
      <c r="E95" t="s">
        <v>1671</v>
      </c>
      <c r="K95" t="s">
        <v>1634</v>
      </c>
    </row>
    <row r="96" spans="1:11" hidden="1" x14ac:dyDescent="0.25">
      <c r="A96">
        <v>1071</v>
      </c>
      <c r="B96" t="s">
        <v>563</v>
      </c>
      <c r="C96" t="s">
        <v>1673</v>
      </c>
      <c r="D96" t="str">
        <f t="shared" si="1"/>
        <v>GMG5204</v>
      </c>
      <c r="E96" t="s">
        <v>1674</v>
      </c>
      <c r="K96" t="s">
        <v>2169</v>
      </c>
    </row>
    <row r="97" spans="1:11" hidden="1" x14ac:dyDescent="0.25">
      <c r="A97">
        <v>1071</v>
      </c>
      <c r="B97" t="s">
        <v>563</v>
      </c>
      <c r="C97" t="s">
        <v>328</v>
      </c>
      <c r="D97" t="str">
        <f t="shared" si="1"/>
        <v>GMG5206</v>
      </c>
      <c r="E97" t="s">
        <v>1675</v>
      </c>
      <c r="K97" t="s">
        <v>2170</v>
      </c>
    </row>
    <row r="98" spans="1:11" hidden="1" x14ac:dyDescent="0.25">
      <c r="A98">
        <v>1071</v>
      </c>
      <c r="B98" t="s">
        <v>563</v>
      </c>
      <c r="C98" t="s">
        <v>1676</v>
      </c>
      <c r="D98" t="str">
        <f t="shared" si="1"/>
        <v>GMG5207</v>
      </c>
      <c r="E98" t="s">
        <v>1675</v>
      </c>
      <c r="K98" t="s">
        <v>2171</v>
      </c>
    </row>
    <row r="99" spans="1:11" hidden="1" x14ac:dyDescent="0.25">
      <c r="A99">
        <v>1071</v>
      </c>
      <c r="B99" t="s">
        <v>563</v>
      </c>
      <c r="C99" t="s">
        <v>1677</v>
      </c>
      <c r="D99" t="str">
        <f t="shared" si="1"/>
        <v>GMG5208</v>
      </c>
      <c r="E99" t="s">
        <v>1675</v>
      </c>
      <c r="K99" t="s">
        <v>335</v>
      </c>
    </row>
    <row r="100" spans="1:11" hidden="1" x14ac:dyDescent="0.25">
      <c r="A100">
        <v>1071</v>
      </c>
      <c r="B100" t="s">
        <v>563</v>
      </c>
      <c r="C100" t="s">
        <v>358</v>
      </c>
      <c r="D100" t="str">
        <f t="shared" si="1"/>
        <v>GMG5209</v>
      </c>
      <c r="E100" t="s">
        <v>1674</v>
      </c>
      <c r="K100" t="s">
        <v>2172</v>
      </c>
    </row>
    <row r="101" spans="1:11" hidden="1" x14ac:dyDescent="0.25">
      <c r="A101">
        <v>1071</v>
      </c>
      <c r="B101" t="s">
        <v>563</v>
      </c>
      <c r="C101" t="s">
        <v>1678</v>
      </c>
      <c r="D101" t="str">
        <f t="shared" si="1"/>
        <v>GMG5210</v>
      </c>
      <c r="E101" t="s">
        <v>1674</v>
      </c>
      <c r="K101" t="s">
        <v>2173</v>
      </c>
    </row>
    <row r="102" spans="1:11" hidden="1" x14ac:dyDescent="0.25">
      <c r="A102">
        <v>1071</v>
      </c>
      <c r="B102" t="s">
        <v>563</v>
      </c>
      <c r="C102" t="s">
        <v>1679</v>
      </c>
      <c r="D102" t="str">
        <f t="shared" si="1"/>
        <v>GMG5212</v>
      </c>
      <c r="E102" t="s">
        <v>1674</v>
      </c>
      <c r="K102" t="s">
        <v>1636</v>
      </c>
    </row>
    <row r="103" spans="1:11" hidden="1" x14ac:dyDescent="0.25">
      <c r="A103">
        <v>1071</v>
      </c>
      <c r="B103" t="s">
        <v>563</v>
      </c>
      <c r="C103" t="s">
        <v>390</v>
      </c>
      <c r="D103" t="str">
        <f t="shared" si="1"/>
        <v>GMG5214</v>
      </c>
      <c r="E103" t="s">
        <v>1674</v>
      </c>
      <c r="K103" t="s">
        <v>1638</v>
      </c>
    </row>
    <row r="104" spans="1:11" hidden="1" x14ac:dyDescent="0.25">
      <c r="A104">
        <v>1071</v>
      </c>
      <c r="B104" t="s">
        <v>563</v>
      </c>
      <c r="C104" t="s">
        <v>408</v>
      </c>
      <c r="D104" t="str">
        <f t="shared" si="1"/>
        <v>GMG5217</v>
      </c>
      <c r="E104" t="s">
        <v>1680</v>
      </c>
      <c r="K104" t="s">
        <v>2174</v>
      </c>
    </row>
    <row r="105" spans="1:11" hidden="1" x14ac:dyDescent="0.25">
      <c r="A105">
        <v>1071</v>
      </c>
      <c r="B105" t="s">
        <v>563</v>
      </c>
      <c r="C105" t="s">
        <v>1681</v>
      </c>
      <c r="D105" t="str">
        <f t="shared" si="1"/>
        <v>GMG5220</v>
      </c>
      <c r="E105" t="s">
        <v>1675</v>
      </c>
      <c r="K105" t="s">
        <v>2175</v>
      </c>
    </row>
    <row r="106" spans="1:11" hidden="1" x14ac:dyDescent="0.25">
      <c r="A106">
        <v>1071</v>
      </c>
      <c r="B106" t="s">
        <v>563</v>
      </c>
      <c r="C106" t="s">
        <v>448</v>
      </c>
      <c r="D106" t="str">
        <f t="shared" si="1"/>
        <v>GMG5225</v>
      </c>
      <c r="E106" t="s">
        <v>1674</v>
      </c>
      <c r="K106" t="s">
        <v>2176</v>
      </c>
    </row>
    <row r="107" spans="1:11" hidden="1" x14ac:dyDescent="0.25">
      <c r="A107">
        <v>1071</v>
      </c>
      <c r="B107" t="s">
        <v>563</v>
      </c>
      <c r="C107" t="s">
        <v>1682</v>
      </c>
      <c r="D107" t="str">
        <f t="shared" si="1"/>
        <v>GMG5226</v>
      </c>
      <c r="E107" t="s">
        <v>1674</v>
      </c>
      <c r="K107" t="s">
        <v>1639</v>
      </c>
    </row>
    <row r="108" spans="1:11" hidden="1" x14ac:dyDescent="0.25">
      <c r="A108">
        <v>1071</v>
      </c>
      <c r="B108" t="s">
        <v>563</v>
      </c>
      <c r="C108" t="s">
        <v>1683</v>
      </c>
      <c r="D108" t="str">
        <f t="shared" si="1"/>
        <v>GMG5227</v>
      </c>
      <c r="E108" t="s">
        <v>1674</v>
      </c>
      <c r="K108" t="s">
        <v>1640</v>
      </c>
    </row>
    <row r="109" spans="1:11" hidden="1" x14ac:dyDescent="0.25">
      <c r="A109">
        <v>1071</v>
      </c>
      <c r="B109" t="s">
        <v>563</v>
      </c>
      <c r="C109" t="s">
        <v>1684</v>
      </c>
      <c r="D109" t="str">
        <f t="shared" si="1"/>
        <v>GMG9202</v>
      </c>
      <c r="E109" t="s">
        <v>1685</v>
      </c>
      <c r="K109" t="s">
        <v>1641</v>
      </c>
    </row>
    <row r="110" spans="1:11" hidden="1" x14ac:dyDescent="0.25">
      <c r="A110">
        <v>1071</v>
      </c>
      <c r="B110" t="s">
        <v>563</v>
      </c>
      <c r="C110" t="s">
        <v>249</v>
      </c>
      <c r="D110" t="str">
        <f t="shared" si="1"/>
        <v>GMG9301</v>
      </c>
      <c r="E110" t="s">
        <v>1623</v>
      </c>
      <c r="K110" t="s">
        <v>1694</v>
      </c>
    </row>
    <row r="111" spans="1:11" hidden="1" x14ac:dyDescent="0.25">
      <c r="A111">
        <v>1071</v>
      </c>
      <c r="B111" t="s">
        <v>563</v>
      </c>
      <c r="C111" t="s">
        <v>319</v>
      </c>
      <c r="D111" t="str">
        <f t="shared" si="1"/>
        <v>GMG9305</v>
      </c>
      <c r="E111" t="s">
        <v>1623</v>
      </c>
      <c r="K111" t="s">
        <v>2177</v>
      </c>
    </row>
    <row r="112" spans="1:11" hidden="1" x14ac:dyDescent="0.25">
      <c r="A112">
        <v>1071</v>
      </c>
      <c r="B112" t="s">
        <v>563</v>
      </c>
      <c r="C112" t="s">
        <v>330</v>
      </c>
      <c r="D112" t="str">
        <f t="shared" si="1"/>
        <v>GMG9306</v>
      </c>
      <c r="E112" t="s">
        <v>1686</v>
      </c>
      <c r="K112" t="s">
        <v>1643</v>
      </c>
    </row>
    <row r="113" spans="1:11" hidden="1" x14ac:dyDescent="0.25">
      <c r="A113">
        <v>1071</v>
      </c>
      <c r="B113" t="s">
        <v>563</v>
      </c>
      <c r="C113" t="s">
        <v>439</v>
      </c>
      <c r="D113" t="str">
        <f t="shared" si="1"/>
        <v>GMG9326</v>
      </c>
      <c r="E113" t="s">
        <v>1623</v>
      </c>
      <c r="K113" t="s">
        <v>2178</v>
      </c>
    </row>
    <row r="114" spans="1:11" hidden="1" x14ac:dyDescent="0.25">
      <c r="A114">
        <v>1071</v>
      </c>
      <c r="B114" t="s">
        <v>563</v>
      </c>
      <c r="C114" t="s">
        <v>1687</v>
      </c>
      <c r="D114" t="str">
        <f t="shared" si="1"/>
        <v>GMG9399</v>
      </c>
      <c r="E114" t="s">
        <v>1623</v>
      </c>
      <c r="K114" t="s">
        <v>1644</v>
      </c>
    </row>
    <row r="115" spans="1:11" hidden="1" x14ac:dyDescent="0.25">
      <c r="A115">
        <v>1081</v>
      </c>
      <c r="B115" t="s">
        <v>539</v>
      </c>
      <c r="C115" t="s">
        <v>1595</v>
      </c>
      <c r="D115" t="str">
        <f t="shared" si="1"/>
        <v>AGE0810</v>
      </c>
      <c r="E115" t="s">
        <v>1596</v>
      </c>
      <c r="K115" t="s">
        <v>437</v>
      </c>
    </row>
    <row r="116" spans="1:11" hidden="1" x14ac:dyDescent="0.25">
      <c r="A116">
        <v>1081</v>
      </c>
      <c r="B116" t="s">
        <v>539</v>
      </c>
      <c r="C116" t="s">
        <v>1688</v>
      </c>
      <c r="D116" t="str">
        <f t="shared" si="1"/>
        <v>AGE1317</v>
      </c>
      <c r="E116" t="s">
        <v>1689</v>
      </c>
      <c r="K116" t="s">
        <v>442</v>
      </c>
    </row>
    <row r="117" spans="1:11" hidden="1" x14ac:dyDescent="0.25">
      <c r="A117">
        <v>1081</v>
      </c>
      <c r="B117" t="s">
        <v>539</v>
      </c>
      <c r="C117" t="s">
        <v>1597</v>
      </c>
      <c r="D117" t="str">
        <f t="shared" si="1"/>
        <v>AGE1401</v>
      </c>
      <c r="E117" t="s">
        <v>43</v>
      </c>
      <c r="K117" t="s">
        <v>1862</v>
      </c>
    </row>
    <row r="118" spans="1:11" hidden="1" x14ac:dyDescent="0.25">
      <c r="A118">
        <v>1081</v>
      </c>
      <c r="B118" t="s">
        <v>539</v>
      </c>
      <c r="C118" t="s">
        <v>1598</v>
      </c>
      <c r="D118" t="str">
        <f t="shared" si="1"/>
        <v>AGE1501</v>
      </c>
      <c r="E118" t="s">
        <v>43</v>
      </c>
      <c r="K118" t="s">
        <v>2179</v>
      </c>
    </row>
    <row r="119" spans="1:11" hidden="1" x14ac:dyDescent="0.25">
      <c r="A119">
        <v>1081</v>
      </c>
      <c r="B119" t="s">
        <v>539</v>
      </c>
      <c r="C119" t="s">
        <v>1601</v>
      </c>
      <c r="D119" t="str">
        <f t="shared" si="1"/>
        <v>AGE3003</v>
      </c>
      <c r="E119" t="s">
        <v>1600</v>
      </c>
      <c r="K119" t="s">
        <v>2180</v>
      </c>
    </row>
    <row r="120" spans="1:11" hidden="1" x14ac:dyDescent="0.25">
      <c r="A120">
        <v>1081</v>
      </c>
      <c r="B120" t="s">
        <v>539</v>
      </c>
      <c r="C120" t="s">
        <v>1602</v>
      </c>
      <c r="D120" t="str">
        <f t="shared" si="1"/>
        <v>AGE3004</v>
      </c>
      <c r="E120" t="s">
        <v>1600</v>
      </c>
      <c r="K120" t="s">
        <v>1650</v>
      </c>
    </row>
    <row r="121" spans="1:11" hidden="1" x14ac:dyDescent="0.25">
      <c r="A121">
        <v>1081</v>
      </c>
      <c r="B121" t="s">
        <v>539</v>
      </c>
      <c r="C121" t="s">
        <v>1603</v>
      </c>
      <c r="D121" t="str">
        <f t="shared" si="1"/>
        <v>AGE3005</v>
      </c>
      <c r="E121" t="s">
        <v>1600</v>
      </c>
      <c r="K121" t="s">
        <v>2181</v>
      </c>
    </row>
    <row r="122" spans="1:11" hidden="1" x14ac:dyDescent="0.25">
      <c r="A122">
        <v>1081</v>
      </c>
      <c r="B122" t="s">
        <v>539</v>
      </c>
      <c r="C122" t="s">
        <v>1604</v>
      </c>
      <c r="D122" t="str">
        <f t="shared" si="1"/>
        <v>AGE3008</v>
      </c>
      <c r="E122" t="s">
        <v>1600</v>
      </c>
      <c r="K122" t="s">
        <v>2182</v>
      </c>
    </row>
    <row r="123" spans="1:11" hidden="1" x14ac:dyDescent="0.25">
      <c r="A123">
        <v>1081</v>
      </c>
      <c r="B123" t="s">
        <v>539</v>
      </c>
      <c r="C123" t="s">
        <v>1605</v>
      </c>
      <c r="D123" t="str">
        <f t="shared" si="1"/>
        <v>AGE3010</v>
      </c>
      <c r="E123" t="s">
        <v>1606</v>
      </c>
      <c r="K123" t="s">
        <v>2183</v>
      </c>
    </row>
    <row r="124" spans="1:11" hidden="1" x14ac:dyDescent="0.25">
      <c r="A124">
        <v>1081</v>
      </c>
      <c r="B124" t="s">
        <v>539</v>
      </c>
      <c r="C124" t="s">
        <v>1608</v>
      </c>
      <c r="D124" t="str">
        <f t="shared" si="1"/>
        <v>AGE3015</v>
      </c>
      <c r="E124" t="s">
        <v>1600</v>
      </c>
      <c r="K124" t="s">
        <v>1695</v>
      </c>
    </row>
    <row r="125" spans="1:11" hidden="1" x14ac:dyDescent="0.25">
      <c r="A125">
        <v>1081</v>
      </c>
      <c r="B125" t="s">
        <v>539</v>
      </c>
      <c r="C125" t="s">
        <v>1609</v>
      </c>
      <c r="D125" t="str">
        <f t="shared" si="1"/>
        <v>AGE3016</v>
      </c>
      <c r="E125" t="s">
        <v>1600</v>
      </c>
      <c r="K125" t="s">
        <v>1714</v>
      </c>
    </row>
    <row r="126" spans="1:11" hidden="1" x14ac:dyDescent="0.25">
      <c r="A126">
        <v>1081</v>
      </c>
      <c r="B126" t="s">
        <v>539</v>
      </c>
      <c r="C126" t="s">
        <v>405</v>
      </c>
      <c r="D126" t="str">
        <f t="shared" si="1"/>
        <v>AGE3017</v>
      </c>
      <c r="E126" t="s">
        <v>1600</v>
      </c>
      <c r="K126" t="s">
        <v>2184</v>
      </c>
    </row>
    <row r="127" spans="1:11" hidden="1" x14ac:dyDescent="0.25">
      <c r="A127">
        <v>1081</v>
      </c>
      <c r="B127" t="s">
        <v>539</v>
      </c>
      <c r="C127" t="s">
        <v>410</v>
      </c>
      <c r="D127" t="str">
        <f t="shared" si="1"/>
        <v>AGE3018</v>
      </c>
      <c r="E127" t="s">
        <v>1600</v>
      </c>
      <c r="K127" t="s">
        <v>2185</v>
      </c>
    </row>
    <row r="128" spans="1:11" hidden="1" x14ac:dyDescent="0.25">
      <c r="A128">
        <v>1081</v>
      </c>
      <c r="B128" t="s">
        <v>539</v>
      </c>
      <c r="C128" t="s">
        <v>1610</v>
      </c>
      <c r="D128" t="str">
        <f t="shared" si="1"/>
        <v>AGE3019</v>
      </c>
      <c r="E128" t="s">
        <v>1611</v>
      </c>
      <c r="K128" t="s">
        <v>2186</v>
      </c>
    </row>
    <row r="129" spans="1:11" hidden="1" x14ac:dyDescent="0.25">
      <c r="A129">
        <v>1081</v>
      </c>
      <c r="B129" t="s">
        <v>539</v>
      </c>
      <c r="C129" t="s">
        <v>1612</v>
      </c>
      <c r="D129" t="str">
        <f t="shared" si="1"/>
        <v>AGE3020</v>
      </c>
      <c r="E129" t="s">
        <v>1600</v>
      </c>
      <c r="K129" t="s">
        <v>2187</v>
      </c>
    </row>
    <row r="130" spans="1:11" hidden="1" x14ac:dyDescent="0.25">
      <c r="A130">
        <v>1081</v>
      </c>
      <c r="B130" t="s">
        <v>539</v>
      </c>
      <c r="C130" t="s">
        <v>1613</v>
      </c>
      <c r="D130" t="str">
        <f t="shared" ref="D130:D193" si="2">CONCATENATE(B130,LEFT(C130,4))</f>
        <v>AGE3021</v>
      </c>
      <c r="E130" t="s">
        <v>1600</v>
      </c>
      <c r="K130" t="s">
        <v>2188</v>
      </c>
    </row>
    <row r="131" spans="1:11" hidden="1" x14ac:dyDescent="0.25">
      <c r="A131">
        <v>1081</v>
      </c>
      <c r="B131" t="s">
        <v>539</v>
      </c>
      <c r="C131" t="s">
        <v>430</v>
      </c>
      <c r="D131" t="str">
        <f t="shared" si="2"/>
        <v>AGE3022</v>
      </c>
      <c r="E131" t="s">
        <v>1600</v>
      </c>
      <c r="K131" t="s">
        <v>2189</v>
      </c>
    </row>
    <row r="132" spans="1:11" hidden="1" x14ac:dyDescent="0.25">
      <c r="A132">
        <v>1081</v>
      </c>
      <c r="B132" t="s">
        <v>539</v>
      </c>
      <c r="C132" t="s">
        <v>1614</v>
      </c>
      <c r="D132" t="str">
        <f t="shared" si="2"/>
        <v>AGE3023</v>
      </c>
      <c r="E132" t="s">
        <v>1615</v>
      </c>
      <c r="K132" t="s">
        <v>1715</v>
      </c>
    </row>
    <row r="133" spans="1:11" hidden="1" x14ac:dyDescent="0.25">
      <c r="A133">
        <v>1081</v>
      </c>
      <c r="B133" t="s">
        <v>539</v>
      </c>
      <c r="C133" t="s">
        <v>440</v>
      </c>
      <c r="D133" t="str">
        <f t="shared" si="2"/>
        <v>AGE3024</v>
      </c>
      <c r="E133" t="s">
        <v>1600</v>
      </c>
      <c r="K133" t="s">
        <v>1655</v>
      </c>
    </row>
    <row r="134" spans="1:11" hidden="1" x14ac:dyDescent="0.25">
      <c r="A134">
        <v>1081</v>
      </c>
      <c r="B134" t="s">
        <v>539</v>
      </c>
      <c r="C134" t="s">
        <v>1616</v>
      </c>
      <c r="D134" t="str">
        <f t="shared" si="2"/>
        <v>AGE3025</v>
      </c>
      <c r="E134" t="s">
        <v>1600</v>
      </c>
      <c r="K134" t="s">
        <v>2190</v>
      </c>
    </row>
    <row r="135" spans="1:11" hidden="1" x14ac:dyDescent="0.25">
      <c r="A135">
        <v>1081</v>
      </c>
      <c r="B135" t="s">
        <v>539</v>
      </c>
      <c r="C135" t="s">
        <v>1617</v>
      </c>
      <c r="D135" t="str">
        <f t="shared" si="2"/>
        <v>AGE3026</v>
      </c>
      <c r="E135" t="s">
        <v>1615</v>
      </c>
      <c r="K135" t="s">
        <v>1701</v>
      </c>
    </row>
    <row r="136" spans="1:11" hidden="1" x14ac:dyDescent="0.25">
      <c r="A136">
        <v>1081</v>
      </c>
      <c r="B136" t="s">
        <v>539</v>
      </c>
      <c r="C136" t="s">
        <v>466</v>
      </c>
      <c r="D136" t="str">
        <f t="shared" si="2"/>
        <v>AGE3030</v>
      </c>
      <c r="E136" t="s">
        <v>1600</v>
      </c>
      <c r="K136" t="s">
        <v>2191</v>
      </c>
    </row>
    <row r="137" spans="1:11" hidden="1" x14ac:dyDescent="0.25">
      <c r="A137">
        <v>1081</v>
      </c>
      <c r="B137" t="s">
        <v>539</v>
      </c>
      <c r="C137" t="s">
        <v>486</v>
      </c>
      <c r="D137" t="str">
        <f t="shared" si="2"/>
        <v>AGE3040</v>
      </c>
      <c r="E137" t="s">
        <v>1600</v>
      </c>
      <c r="K137" t="s">
        <v>2192</v>
      </c>
    </row>
    <row r="138" spans="1:11" hidden="1" x14ac:dyDescent="0.25">
      <c r="A138">
        <v>1081</v>
      </c>
      <c r="B138" t="s">
        <v>539</v>
      </c>
      <c r="C138" t="s">
        <v>490</v>
      </c>
      <c r="D138" t="str">
        <f t="shared" si="2"/>
        <v>AGE3099</v>
      </c>
      <c r="E138" t="s">
        <v>1600</v>
      </c>
      <c r="K138" t="s">
        <v>2193</v>
      </c>
    </row>
    <row r="139" spans="1:11" hidden="1" x14ac:dyDescent="0.25">
      <c r="A139">
        <v>1081</v>
      </c>
      <c r="B139" t="s">
        <v>539</v>
      </c>
      <c r="C139" t="s">
        <v>53</v>
      </c>
      <c r="D139" t="str">
        <f t="shared" si="2"/>
        <v>AGE3301</v>
      </c>
      <c r="E139" t="s">
        <v>43</v>
      </c>
      <c r="K139" t="s">
        <v>1656</v>
      </c>
    </row>
    <row r="140" spans="1:11" hidden="1" x14ac:dyDescent="0.25">
      <c r="A140">
        <v>1081</v>
      </c>
      <c r="B140" t="s">
        <v>539</v>
      </c>
      <c r="C140" t="s">
        <v>1626</v>
      </c>
      <c r="D140" t="str">
        <f t="shared" si="2"/>
        <v>AGE3302</v>
      </c>
      <c r="E140" t="s">
        <v>43</v>
      </c>
      <c r="K140" t="s">
        <v>1709</v>
      </c>
    </row>
    <row r="141" spans="1:11" hidden="1" x14ac:dyDescent="0.25">
      <c r="A141">
        <v>1081</v>
      </c>
      <c r="B141" t="s">
        <v>539</v>
      </c>
      <c r="C141" t="s">
        <v>1627</v>
      </c>
      <c r="D141" t="str">
        <f t="shared" si="2"/>
        <v>AGE3304</v>
      </c>
      <c r="E141" t="s">
        <v>43</v>
      </c>
      <c r="K141" t="s">
        <v>1657</v>
      </c>
    </row>
    <row r="142" spans="1:11" hidden="1" x14ac:dyDescent="0.25">
      <c r="A142">
        <v>1081</v>
      </c>
      <c r="B142" t="s">
        <v>539</v>
      </c>
      <c r="C142" t="s">
        <v>1690</v>
      </c>
      <c r="D142" t="str">
        <f t="shared" si="2"/>
        <v>AGE3601</v>
      </c>
      <c r="E142" t="s">
        <v>64</v>
      </c>
      <c r="K142" t="s">
        <v>1696</v>
      </c>
    </row>
    <row r="143" spans="1:11" hidden="1" x14ac:dyDescent="0.25">
      <c r="A143">
        <v>1081</v>
      </c>
      <c r="B143" t="s">
        <v>539</v>
      </c>
      <c r="C143" t="s">
        <v>354</v>
      </c>
      <c r="D143" t="str">
        <f t="shared" si="2"/>
        <v>AGE3610</v>
      </c>
      <c r="E143" t="s">
        <v>1623</v>
      </c>
      <c r="K143" t="s">
        <v>1718</v>
      </c>
    </row>
    <row r="144" spans="1:11" hidden="1" x14ac:dyDescent="0.25">
      <c r="A144">
        <v>1081</v>
      </c>
      <c r="B144" t="s">
        <v>539</v>
      </c>
      <c r="C144" t="s">
        <v>1628</v>
      </c>
      <c r="D144" t="str">
        <f t="shared" si="2"/>
        <v>AGE3612</v>
      </c>
      <c r="E144" t="s">
        <v>1623</v>
      </c>
      <c r="K144" t="s">
        <v>1820</v>
      </c>
    </row>
    <row r="145" spans="1:11" hidden="1" x14ac:dyDescent="0.25">
      <c r="A145">
        <v>1081</v>
      </c>
      <c r="B145" t="s">
        <v>539</v>
      </c>
      <c r="C145" t="s">
        <v>400</v>
      </c>
      <c r="D145" t="str">
        <f t="shared" si="2"/>
        <v>AGE3617</v>
      </c>
      <c r="E145" t="s">
        <v>1623</v>
      </c>
      <c r="K145" t="s">
        <v>1658</v>
      </c>
    </row>
    <row r="146" spans="1:11" hidden="1" x14ac:dyDescent="0.25">
      <c r="A146">
        <v>1081</v>
      </c>
      <c r="B146" t="s">
        <v>539</v>
      </c>
      <c r="C146" t="s">
        <v>406</v>
      </c>
      <c r="D146" t="str">
        <f t="shared" si="2"/>
        <v>AGE3618</v>
      </c>
      <c r="E146" t="s">
        <v>1611</v>
      </c>
      <c r="K146" t="s">
        <v>2194</v>
      </c>
    </row>
    <row r="147" spans="1:11" hidden="1" x14ac:dyDescent="0.25">
      <c r="A147">
        <v>1081</v>
      </c>
      <c r="B147" t="s">
        <v>539</v>
      </c>
      <c r="C147" t="s">
        <v>421</v>
      </c>
      <c r="D147" t="str">
        <f t="shared" si="2"/>
        <v>AGE3621</v>
      </c>
      <c r="E147" t="s">
        <v>1691</v>
      </c>
      <c r="K147" t="s">
        <v>1659</v>
      </c>
    </row>
    <row r="148" spans="1:11" hidden="1" x14ac:dyDescent="0.25">
      <c r="A148">
        <v>1081</v>
      </c>
      <c r="B148" t="s">
        <v>539</v>
      </c>
      <c r="C148" t="s">
        <v>426</v>
      </c>
      <c r="D148" t="str">
        <f t="shared" si="2"/>
        <v>AGE3622</v>
      </c>
      <c r="E148" t="s">
        <v>1692</v>
      </c>
      <c r="K148" t="s">
        <v>2195</v>
      </c>
    </row>
    <row r="149" spans="1:11" hidden="1" x14ac:dyDescent="0.25">
      <c r="A149">
        <v>1081</v>
      </c>
      <c r="B149" t="s">
        <v>539</v>
      </c>
      <c r="C149" t="s">
        <v>470</v>
      </c>
      <c r="D149" t="str">
        <f t="shared" si="2"/>
        <v>AGE3699</v>
      </c>
      <c r="E149" t="s">
        <v>1623</v>
      </c>
      <c r="K149" t="s">
        <v>2196</v>
      </c>
    </row>
    <row r="150" spans="1:11" hidden="1" x14ac:dyDescent="0.25">
      <c r="A150">
        <v>1081</v>
      </c>
      <c r="B150" t="s">
        <v>539</v>
      </c>
      <c r="C150" t="s">
        <v>1629</v>
      </c>
      <c r="D150" t="str">
        <f t="shared" si="2"/>
        <v>AGE3701</v>
      </c>
      <c r="E150" t="s">
        <v>102</v>
      </c>
      <c r="K150" t="s">
        <v>1725</v>
      </c>
    </row>
    <row r="151" spans="1:11" hidden="1" x14ac:dyDescent="0.25">
      <c r="A151">
        <v>1081</v>
      </c>
      <c r="B151" t="s">
        <v>539</v>
      </c>
      <c r="C151" t="s">
        <v>1693</v>
      </c>
      <c r="D151" t="str">
        <f t="shared" si="2"/>
        <v>AGE3702</v>
      </c>
      <c r="E151" t="s">
        <v>1630</v>
      </c>
      <c r="K151" t="s">
        <v>2197</v>
      </c>
    </row>
    <row r="152" spans="1:11" hidden="1" x14ac:dyDescent="0.25">
      <c r="A152">
        <v>1081</v>
      </c>
      <c r="B152" t="s">
        <v>539</v>
      </c>
      <c r="C152" t="s">
        <v>1631</v>
      </c>
      <c r="D152" t="str">
        <f t="shared" si="2"/>
        <v>AGE3703</v>
      </c>
      <c r="E152" t="s">
        <v>116</v>
      </c>
      <c r="K152" t="s">
        <v>2198</v>
      </c>
    </row>
    <row r="153" spans="1:11" hidden="1" x14ac:dyDescent="0.25">
      <c r="A153">
        <v>1081</v>
      </c>
      <c r="B153" t="s">
        <v>539</v>
      </c>
      <c r="C153" t="s">
        <v>1632</v>
      </c>
      <c r="D153" t="str">
        <f t="shared" si="2"/>
        <v>AGE3704</v>
      </c>
      <c r="E153" t="s">
        <v>116</v>
      </c>
      <c r="K153" t="s">
        <v>1863</v>
      </c>
    </row>
    <row r="154" spans="1:11" hidden="1" x14ac:dyDescent="0.25">
      <c r="A154">
        <v>1081</v>
      </c>
      <c r="B154" t="s">
        <v>539</v>
      </c>
      <c r="C154" t="s">
        <v>1633</v>
      </c>
      <c r="D154" t="str">
        <f t="shared" si="2"/>
        <v>AGE3705</v>
      </c>
      <c r="E154" t="s">
        <v>116</v>
      </c>
      <c r="K154" t="s">
        <v>2199</v>
      </c>
    </row>
    <row r="155" spans="1:11" hidden="1" x14ac:dyDescent="0.25">
      <c r="A155">
        <v>1081</v>
      </c>
      <c r="B155" t="s">
        <v>539</v>
      </c>
      <c r="C155" t="s">
        <v>298</v>
      </c>
      <c r="D155" t="str">
        <f t="shared" si="2"/>
        <v>AGE3904</v>
      </c>
      <c r="E155" t="s">
        <v>1623</v>
      </c>
      <c r="K155" t="s">
        <v>2200</v>
      </c>
    </row>
    <row r="156" spans="1:11" hidden="1" x14ac:dyDescent="0.25">
      <c r="A156">
        <v>1081</v>
      </c>
      <c r="B156" t="s">
        <v>539</v>
      </c>
      <c r="C156" t="s">
        <v>325</v>
      </c>
      <c r="D156" t="str">
        <f t="shared" si="2"/>
        <v>AGE3906</v>
      </c>
      <c r="E156" t="s">
        <v>1623</v>
      </c>
      <c r="K156" t="s">
        <v>2201</v>
      </c>
    </row>
    <row r="157" spans="1:11" hidden="1" x14ac:dyDescent="0.25">
      <c r="A157">
        <v>1081</v>
      </c>
      <c r="B157" t="s">
        <v>539</v>
      </c>
      <c r="C157" t="s">
        <v>345</v>
      </c>
      <c r="D157" t="str">
        <f t="shared" si="2"/>
        <v>AGE3910</v>
      </c>
      <c r="E157" t="s">
        <v>1623</v>
      </c>
      <c r="K157" t="s">
        <v>525</v>
      </c>
    </row>
    <row r="158" spans="1:11" hidden="1" x14ac:dyDescent="0.25">
      <c r="A158">
        <v>1081</v>
      </c>
      <c r="B158" t="s">
        <v>539</v>
      </c>
      <c r="C158" t="s">
        <v>355</v>
      </c>
      <c r="D158" t="str">
        <f t="shared" si="2"/>
        <v>AGE3911</v>
      </c>
      <c r="E158" t="s">
        <v>1623</v>
      </c>
      <c r="K158" t="s">
        <v>1661</v>
      </c>
    </row>
    <row r="159" spans="1:11" hidden="1" x14ac:dyDescent="0.25">
      <c r="A159">
        <v>1081</v>
      </c>
      <c r="B159" t="s">
        <v>539</v>
      </c>
      <c r="C159" t="s">
        <v>1636</v>
      </c>
      <c r="D159" t="str">
        <f t="shared" si="2"/>
        <v>AGE3912</v>
      </c>
      <c r="E159" t="s">
        <v>1637</v>
      </c>
      <c r="K159" t="s">
        <v>527</v>
      </c>
    </row>
    <row r="160" spans="1:11" hidden="1" x14ac:dyDescent="0.25">
      <c r="A160">
        <v>1081</v>
      </c>
      <c r="B160" t="s">
        <v>539</v>
      </c>
      <c r="C160" t="s">
        <v>1638</v>
      </c>
      <c r="D160" t="str">
        <f t="shared" si="2"/>
        <v>AGE3913</v>
      </c>
      <c r="E160" t="s">
        <v>1637</v>
      </c>
      <c r="K160" t="s">
        <v>530</v>
      </c>
    </row>
    <row r="161" spans="1:11" hidden="1" x14ac:dyDescent="0.25">
      <c r="A161">
        <v>1081</v>
      </c>
      <c r="B161" t="s">
        <v>539</v>
      </c>
      <c r="C161" t="s">
        <v>383</v>
      </c>
      <c r="D161" t="str">
        <f t="shared" si="2"/>
        <v>AGE3915</v>
      </c>
      <c r="E161" t="s">
        <v>1637</v>
      </c>
      <c r="K161" t="s">
        <v>2202</v>
      </c>
    </row>
    <row r="162" spans="1:11" hidden="1" x14ac:dyDescent="0.25">
      <c r="A162">
        <v>1081</v>
      </c>
      <c r="B162" t="s">
        <v>539</v>
      </c>
      <c r="C162" t="s">
        <v>1639</v>
      </c>
      <c r="D162" t="str">
        <f t="shared" si="2"/>
        <v>AGE3917</v>
      </c>
      <c r="E162" t="s">
        <v>1615</v>
      </c>
      <c r="K162" t="s">
        <v>533</v>
      </c>
    </row>
    <row r="163" spans="1:11" hidden="1" x14ac:dyDescent="0.25">
      <c r="A163">
        <v>1081</v>
      </c>
      <c r="B163" t="s">
        <v>539</v>
      </c>
      <c r="C163" t="s">
        <v>1640</v>
      </c>
      <c r="D163" t="str">
        <f t="shared" si="2"/>
        <v>AGE3918</v>
      </c>
      <c r="E163" t="s">
        <v>1615</v>
      </c>
      <c r="K163" t="s">
        <v>2203</v>
      </c>
    </row>
    <row r="164" spans="1:11" hidden="1" x14ac:dyDescent="0.25">
      <c r="A164">
        <v>1081</v>
      </c>
      <c r="B164" t="s">
        <v>539</v>
      </c>
      <c r="C164" t="s">
        <v>1641</v>
      </c>
      <c r="D164" t="str">
        <f t="shared" si="2"/>
        <v>AGE3919</v>
      </c>
      <c r="E164" t="s">
        <v>2102</v>
      </c>
      <c r="K164" t="s">
        <v>2204</v>
      </c>
    </row>
    <row r="165" spans="1:11" hidden="1" x14ac:dyDescent="0.25">
      <c r="A165">
        <v>1081</v>
      </c>
      <c r="B165" t="s">
        <v>539</v>
      </c>
      <c r="C165" t="s">
        <v>1694</v>
      </c>
      <c r="D165" t="str">
        <f t="shared" si="2"/>
        <v>AGE3920</v>
      </c>
      <c r="E165" t="s">
        <v>1692</v>
      </c>
      <c r="K165" t="s">
        <v>2205</v>
      </c>
    </row>
    <row r="166" spans="1:11" hidden="1" x14ac:dyDescent="0.25">
      <c r="A166">
        <v>1081</v>
      </c>
      <c r="B166" t="s">
        <v>539</v>
      </c>
      <c r="C166" t="s">
        <v>1642</v>
      </c>
      <c r="D166" t="str">
        <f t="shared" si="2"/>
        <v>AGE3921</v>
      </c>
      <c r="E166" t="s">
        <v>2102</v>
      </c>
      <c r="K166" t="s">
        <v>2206</v>
      </c>
    </row>
    <row r="167" spans="1:11" hidden="1" x14ac:dyDescent="0.25">
      <c r="A167">
        <v>1081</v>
      </c>
      <c r="B167" t="s">
        <v>539</v>
      </c>
      <c r="C167" t="s">
        <v>1643</v>
      </c>
      <c r="D167" t="str">
        <f t="shared" si="2"/>
        <v>AGE3922</v>
      </c>
      <c r="E167" t="s">
        <v>1611</v>
      </c>
      <c r="K167" t="s">
        <v>2207</v>
      </c>
    </row>
    <row r="168" spans="1:11" hidden="1" x14ac:dyDescent="0.25">
      <c r="A168">
        <v>1081</v>
      </c>
      <c r="B168" t="s">
        <v>539</v>
      </c>
      <c r="C168" t="s">
        <v>437</v>
      </c>
      <c r="D168" t="str">
        <f t="shared" si="2"/>
        <v>AGE3925</v>
      </c>
      <c r="E168" t="s">
        <v>2104</v>
      </c>
      <c r="K168" t="s">
        <v>1666</v>
      </c>
    </row>
    <row r="169" spans="1:11" hidden="1" x14ac:dyDescent="0.25">
      <c r="A169">
        <v>1081</v>
      </c>
      <c r="B169" t="s">
        <v>539</v>
      </c>
      <c r="C169" t="s">
        <v>442</v>
      </c>
      <c r="D169" t="str">
        <f t="shared" si="2"/>
        <v>AGE3926</v>
      </c>
      <c r="E169" t="s">
        <v>1646</v>
      </c>
      <c r="K169" t="s">
        <v>1667</v>
      </c>
    </row>
    <row r="170" spans="1:11" hidden="1" x14ac:dyDescent="0.25">
      <c r="A170">
        <v>1081</v>
      </c>
      <c r="B170" t="s">
        <v>539</v>
      </c>
      <c r="C170" t="s">
        <v>1647</v>
      </c>
      <c r="D170" t="str">
        <f t="shared" si="2"/>
        <v>AGE3927</v>
      </c>
      <c r="E170" t="s">
        <v>1648</v>
      </c>
      <c r="K170" t="s">
        <v>313</v>
      </c>
    </row>
    <row r="171" spans="1:11" hidden="1" x14ac:dyDescent="0.25">
      <c r="A171">
        <v>1081</v>
      </c>
      <c r="B171" t="s">
        <v>539</v>
      </c>
      <c r="C171" t="s">
        <v>457</v>
      </c>
      <c r="D171" t="str">
        <f t="shared" si="2"/>
        <v>AGE3930</v>
      </c>
      <c r="E171" t="s">
        <v>1646</v>
      </c>
      <c r="K171" t="s">
        <v>2208</v>
      </c>
    </row>
    <row r="172" spans="1:11" hidden="1" x14ac:dyDescent="0.25">
      <c r="A172">
        <v>1081</v>
      </c>
      <c r="B172" t="s">
        <v>539</v>
      </c>
      <c r="C172" t="s">
        <v>1650</v>
      </c>
      <c r="D172" t="str">
        <f t="shared" si="2"/>
        <v>AGE3931</v>
      </c>
      <c r="E172" t="s">
        <v>1623</v>
      </c>
      <c r="K172" t="s">
        <v>1719</v>
      </c>
    </row>
    <row r="173" spans="1:11" hidden="1" x14ac:dyDescent="0.25">
      <c r="A173">
        <v>1081</v>
      </c>
      <c r="B173" t="s">
        <v>539</v>
      </c>
      <c r="C173" t="s">
        <v>1652</v>
      </c>
      <c r="D173" t="str">
        <f t="shared" si="2"/>
        <v>AGE3936</v>
      </c>
      <c r="E173" t="s">
        <v>93</v>
      </c>
      <c r="K173" t="s">
        <v>2209</v>
      </c>
    </row>
    <row r="174" spans="1:11" hidden="1" x14ac:dyDescent="0.25">
      <c r="A174">
        <v>1081</v>
      </c>
      <c r="B174" t="s">
        <v>539</v>
      </c>
      <c r="C174" t="s">
        <v>1695</v>
      </c>
      <c r="D174" t="str">
        <f t="shared" si="2"/>
        <v>AGE3937</v>
      </c>
      <c r="E174" t="s">
        <v>1692</v>
      </c>
      <c r="K174" t="s">
        <v>1871</v>
      </c>
    </row>
    <row r="175" spans="1:11" hidden="1" x14ac:dyDescent="0.25">
      <c r="A175">
        <v>1081</v>
      </c>
      <c r="B175" t="s">
        <v>539</v>
      </c>
      <c r="C175" t="s">
        <v>1653</v>
      </c>
      <c r="D175" t="str">
        <f t="shared" si="2"/>
        <v>AGE3940</v>
      </c>
      <c r="E175" t="s">
        <v>1648</v>
      </c>
      <c r="K175" t="s">
        <v>2210</v>
      </c>
    </row>
    <row r="176" spans="1:11" hidden="1" x14ac:dyDescent="0.25">
      <c r="A176">
        <v>1081</v>
      </c>
      <c r="B176" t="s">
        <v>539</v>
      </c>
      <c r="C176" t="s">
        <v>481</v>
      </c>
      <c r="D176" t="str">
        <f t="shared" si="2"/>
        <v>AGE3942</v>
      </c>
      <c r="E176" t="s">
        <v>1623</v>
      </c>
      <c r="K176" t="s">
        <v>1749</v>
      </c>
    </row>
    <row r="177" spans="1:11" hidden="1" x14ac:dyDescent="0.25">
      <c r="A177">
        <v>1081</v>
      </c>
      <c r="B177" t="s">
        <v>539</v>
      </c>
      <c r="C177" t="s">
        <v>1654</v>
      </c>
      <c r="D177" t="str">
        <f t="shared" si="2"/>
        <v>AGE3943</v>
      </c>
      <c r="E177" t="s">
        <v>1615</v>
      </c>
      <c r="K177" t="s">
        <v>1750</v>
      </c>
    </row>
    <row r="178" spans="1:11" hidden="1" x14ac:dyDescent="0.25">
      <c r="A178">
        <v>1081</v>
      </c>
      <c r="B178" t="s">
        <v>539</v>
      </c>
      <c r="C178" t="s">
        <v>491</v>
      </c>
      <c r="D178" t="str">
        <f t="shared" si="2"/>
        <v>AGE3948</v>
      </c>
      <c r="E178" t="s">
        <v>1645</v>
      </c>
      <c r="K178" t="s">
        <v>2211</v>
      </c>
    </row>
    <row r="179" spans="1:11" hidden="1" x14ac:dyDescent="0.25">
      <c r="A179">
        <v>1081</v>
      </c>
      <c r="B179" t="s">
        <v>539</v>
      </c>
      <c r="C179" t="s">
        <v>1657</v>
      </c>
      <c r="D179" t="str">
        <f t="shared" si="2"/>
        <v>AGE3961</v>
      </c>
      <c r="E179" t="s">
        <v>1630</v>
      </c>
      <c r="K179" t="s">
        <v>2212</v>
      </c>
    </row>
    <row r="180" spans="1:11" hidden="1" x14ac:dyDescent="0.25">
      <c r="A180">
        <v>1081</v>
      </c>
      <c r="B180" t="s">
        <v>539</v>
      </c>
      <c r="C180" t="s">
        <v>1696</v>
      </c>
      <c r="D180" t="str">
        <f t="shared" si="2"/>
        <v>AGE3962</v>
      </c>
      <c r="E180" t="s">
        <v>2103</v>
      </c>
      <c r="K180" t="s">
        <v>238</v>
      </c>
    </row>
    <row r="181" spans="1:11" hidden="1" x14ac:dyDescent="0.25">
      <c r="A181">
        <v>1081</v>
      </c>
      <c r="B181" t="s">
        <v>539</v>
      </c>
      <c r="C181" t="s">
        <v>509</v>
      </c>
      <c r="D181" t="str">
        <f t="shared" si="2"/>
        <v>AGE3967</v>
      </c>
      <c r="E181" t="s">
        <v>1623</v>
      </c>
      <c r="K181" t="s">
        <v>264</v>
      </c>
    </row>
    <row r="182" spans="1:11" hidden="1" x14ac:dyDescent="0.25">
      <c r="A182">
        <v>1081</v>
      </c>
      <c r="B182" t="s">
        <v>539</v>
      </c>
      <c r="C182" t="s">
        <v>1659</v>
      </c>
      <c r="D182" t="str">
        <f t="shared" si="2"/>
        <v>AGE3969</v>
      </c>
      <c r="E182" t="s">
        <v>1637</v>
      </c>
      <c r="K182" t="s">
        <v>2213</v>
      </c>
    </row>
    <row r="183" spans="1:11" hidden="1" x14ac:dyDescent="0.25">
      <c r="A183">
        <v>1081</v>
      </c>
      <c r="B183" t="s">
        <v>539</v>
      </c>
      <c r="C183" t="s">
        <v>1660</v>
      </c>
      <c r="D183" t="str">
        <f t="shared" si="2"/>
        <v>AGE3970</v>
      </c>
      <c r="E183" t="s">
        <v>1648</v>
      </c>
      <c r="K183" t="s">
        <v>2214</v>
      </c>
    </row>
    <row r="184" spans="1:11" hidden="1" x14ac:dyDescent="0.25">
      <c r="A184">
        <v>1081</v>
      </c>
      <c r="B184" t="s">
        <v>539</v>
      </c>
      <c r="C184" t="s">
        <v>515</v>
      </c>
      <c r="D184" t="str">
        <f t="shared" si="2"/>
        <v>AGE3974</v>
      </c>
      <c r="E184" t="s">
        <v>1697</v>
      </c>
      <c r="K184" t="s">
        <v>2215</v>
      </c>
    </row>
    <row r="185" spans="1:11" hidden="1" x14ac:dyDescent="0.25">
      <c r="A185">
        <v>1081</v>
      </c>
      <c r="B185" t="s">
        <v>539</v>
      </c>
      <c r="C185" t="s">
        <v>1661</v>
      </c>
      <c r="D185" t="str">
        <f t="shared" si="2"/>
        <v>AGE3987</v>
      </c>
      <c r="E185" t="s">
        <v>1615</v>
      </c>
      <c r="K185" t="s">
        <v>2216</v>
      </c>
    </row>
    <row r="186" spans="1:11" hidden="1" x14ac:dyDescent="0.25">
      <c r="A186">
        <v>1081</v>
      </c>
      <c r="B186" t="s">
        <v>539</v>
      </c>
      <c r="C186" t="s">
        <v>536</v>
      </c>
      <c r="D186" t="str">
        <f t="shared" si="2"/>
        <v>AGE3997</v>
      </c>
      <c r="E186" t="s">
        <v>1623</v>
      </c>
      <c r="K186" t="s">
        <v>347</v>
      </c>
    </row>
    <row r="187" spans="1:11" hidden="1" x14ac:dyDescent="0.25">
      <c r="A187">
        <v>1081</v>
      </c>
      <c r="B187" t="s">
        <v>539</v>
      </c>
      <c r="C187" t="s">
        <v>1663</v>
      </c>
      <c r="D187" t="str">
        <f t="shared" si="2"/>
        <v>AGE3999</v>
      </c>
      <c r="E187" t="s">
        <v>1623</v>
      </c>
      <c r="K187" t="s">
        <v>2217</v>
      </c>
    </row>
    <row r="188" spans="1:11" hidden="1" x14ac:dyDescent="0.25">
      <c r="A188">
        <v>1081</v>
      </c>
      <c r="B188" t="s">
        <v>539</v>
      </c>
      <c r="C188" t="s">
        <v>1664</v>
      </c>
      <c r="D188" t="str">
        <f t="shared" si="2"/>
        <v>AGE4002</v>
      </c>
      <c r="E188" t="s">
        <v>1648</v>
      </c>
      <c r="K188" t="s">
        <v>2218</v>
      </c>
    </row>
    <row r="189" spans="1:11" hidden="1" x14ac:dyDescent="0.25">
      <c r="A189">
        <v>1081</v>
      </c>
      <c r="B189" t="s">
        <v>539</v>
      </c>
      <c r="C189" t="s">
        <v>1665</v>
      </c>
      <c r="D189" t="str">
        <f t="shared" si="2"/>
        <v>AGE4003</v>
      </c>
      <c r="E189" t="s">
        <v>93</v>
      </c>
      <c r="K189" t="s">
        <v>2219</v>
      </c>
    </row>
    <row r="190" spans="1:11" hidden="1" x14ac:dyDescent="0.25">
      <c r="A190">
        <v>1081</v>
      </c>
      <c r="B190" t="s">
        <v>539</v>
      </c>
      <c r="C190" t="s">
        <v>1666</v>
      </c>
      <c r="D190" t="str">
        <f t="shared" si="2"/>
        <v>AGE4004</v>
      </c>
      <c r="E190" t="s">
        <v>1648</v>
      </c>
      <c r="K190" t="s">
        <v>2220</v>
      </c>
    </row>
    <row r="191" spans="1:11" hidden="1" x14ac:dyDescent="0.25">
      <c r="A191">
        <v>1081</v>
      </c>
      <c r="B191" t="s">
        <v>539</v>
      </c>
      <c r="C191" t="s">
        <v>1667</v>
      </c>
      <c r="D191" t="str">
        <f t="shared" si="2"/>
        <v>AGE4005</v>
      </c>
      <c r="E191" t="s">
        <v>1648</v>
      </c>
      <c r="K191" t="s">
        <v>1864</v>
      </c>
    </row>
    <row r="192" spans="1:11" hidden="1" x14ac:dyDescent="0.25">
      <c r="A192">
        <v>1081</v>
      </c>
      <c r="B192" t="s">
        <v>539</v>
      </c>
      <c r="C192" t="s">
        <v>1698</v>
      </c>
      <c r="D192" t="str">
        <f t="shared" si="2"/>
        <v>AGE4006</v>
      </c>
      <c r="E192" t="s">
        <v>1675</v>
      </c>
      <c r="K192" t="s">
        <v>2221</v>
      </c>
    </row>
    <row r="193" spans="1:11" hidden="1" x14ac:dyDescent="0.25">
      <c r="A193">
        <v>1081</v>
      </c>
      <c r="B193" t="s">
        <v>539</v>
      </c>
      <c r="C193" t="s">
        <v>1699</v>
      </c>
      <c r="D193" t="str">
        <f t="shared" si="2"/>
        <v>AGE4007</v>
      </c>
      <c r="E193" t="s">
        <v>93</v>
      </c>
      <c r="K193" t="s">
        <v>2222</v>
      </c>
    </row>
    <row r="194" spans="1:11" hidden="1" x14ac:dyDescent="0.25">
      <c r="A194">
        <v>1081</v>
      </c>
      <c r="B194" t="s">
        <v>539</v>
      </c>
      <c r="C194" t="s">
        <v>1668</v>
      </c>
      <c r="D194" t="str">
        <f t="shared" ref="D194:D257" si="3">CONCATENATE(B194,LEFT(C194,4))</f>
        <v>AGE4701</v>
      </c>
      <c r="E194" t="s">
        <v>1669</v>
      </c>
      <c r="K194" t="s">
        <v>2223</v>
      </c>
    </row>
    <row r="195" spans="1:11" hidden="1" x14ac:dyDescent="0.25">
      <c r="A195">
        <v>1081</v>
      </c>
      <c r="B195" t="s">
        <v>539</v>
      </c>
      <c r="C195" t="s">
        <v>264</v>
      </c>
      <c r="D195" t="str">
        <f t="shared" si="3"/>
        <v>AGE4703</v>
      </c>
      <c r="E195" t="s">
        <v>1669</v>
      </c>
      <c r="K195" t="s">
        <v>1670</v>
      </c>
    </row>
    <row r="196" spans="1:11" hidden="1" x14ac:dyDescent="0.25">
      <c r="A196">
        <v>1081</v>
      </c>
      <c r="B196" t="s">
        <v>539</v>
      </c>
      <c r="C196" t="s">
        <v>327</v>
      </c>
      <c r="D196" t="str">
        <f t="shared" si="3"/>
        <v>AGE4707</v>
      </c>
      <c r="E196" t="s">
        <v>1669</v>
      </c>
      <c r="K196" t="s">
        <v>1672</v>
      </c>
    </row>
    <row r="197" spans="1:11" hidden="1" x14ac:dyDescent="0.25">
      <c r="A197">
        <v>1081</v>
      </c>
      <c r="B197" t="s">
        <v>539</v>
      </c>
      <c r="C197" t="s">
        <v>328</v>
      </c>
      <c r="D197" t="str">
        <f t="shared" si="3"/>
        <v>AGE5206</v>
      </c>
      <c r="E197" t="s">
        <v>1675</v>
      </c>
      <c r="K197" t="s">
        <v>2224</v>
      </c>
    </row>
    <row r="198" spans="1:11" hidden="1" x14ac:dyDescent="0.25">
      <c r="A198">
        <v>1081</v>
      </c>
      <c r="B198" t="s">
        <v>539</v>
      </c>
      <c r="C198" t="s">
        <v>1676</v>
      </c>
      <c r="D198" t="str">
        <f t="shared" si="3"/>
        <v>AGE5207</v>
      </c>
      <c r="E198" t="s">
        <v>1675</v>
      </c>
      <c r="K198" t="s">
        <v>2225</v>
      </c>
    </row>
    <row r="199" spans="1:11" hidden="1" x14ac:dyDescent="0.25">
      <c r="A199">
        <v>1081</v>
      </c>
      <c r="B199" t="s">
        <v>539</v>
      </c>
      <c r="C199" t="s">
        <v>1677</v>
      </c>
      <c r="D199" t="str">
        <f t="shared" si="3"/>
        <v>AGE5208</v>
      </c>
      <c r="E199" t="s">
        <v>1675</v>
      </c>
      <c r="K199" t="s">
        <v>1768</v>
      </c>
    </row>
    <row r="200" spans="1:11" hidden="1" x14ac:dyDescent="0.25">
      <c r="A200">
        <v>1081</v>
      </c>
      <c r="B200" t="s">
        <v>539</v>
      </c>
      <c r="C200" t="s">
        <v>1678</v>
      </c>
      <c r="D200" t="str">
        <f t="shared" si="3"/>
        <v>AGE5210</v>
      </c>
      <c r="E200" t="s">
        <v>1674</v>
      </c>
      <c r="K200" t="s">
        <v>2226</v>
      </c>
    </row>
    <row r="201" spans="1:11" hidden="1" x14ac:dyDescent="0.25">
      <c r="A201">
        <v>1081</v>
      </c>
      <c r="B201" t="s">
        <v>539</v>
      </c>
      <c r="C201" t="s">
        <v>1679</v>
      </c>
      <c r="D201" t="str">
        <f t="shared" si="3"/>
        <v>AGE5212</v>
      </c>
      <c r="E201" t="s">
        <v>1674</v>
      </c>
      <c r="K201" t="s">
        <v>2227</v>
      </c>
    </row>
    <row r="202" spans="1:11" hidden="1" x14ac:dyDescent="0.25">
      <c r="A202">
        <v>1081</v>
      </c>
      <c r="B202" t="s">
        <v>539</v>
      </c>
      <c r="C202" t="s">
        <v>390</v>
      </c>
      <c r="D202" t="str">
        <f t="shared" si="3"/>
        <v>AGE5214</v>
      </c>
      <c r="E202" t="s">
        <v>1674</v>
      </c>
      <c r="K202" t="s">
        <v>241</v>
      </c>
    </row>
    <row r="203" spans="1:11" hidden="1" x14ac:dyDescent="0.25">
      <c r="A203">
        <v>1081</v>
      </c>
      <c r="B203" t="s">
        <v>539</v>
      </c>
      <c r="C203" t="s">
        <v>408</v>
      </c>
      <c r="D203" t="str">
        <f t="shared" si="3"/>
        <v>AGE5217</v>
      </c>
      <c r="E203" t="s">
        <v>1674</v>
      </c>
      <c r="K203" t="s">
        <v>287</v>
      </c>
    </row>
    <row r="204" spans="1:11" hidden="1" x14ac:dyDescent="0.25">
      <c r="A204">
        <v>1081</v>
      </c>
      <c r="B204" t="s">
        <v>539</v>
      </c>
      <c r="C204" t="s">
        <v>1681</v>
      </c>
      <c r="D204" t="str">
        <f t="shared" si="3"/>
        <v>AGE5220</v>
      </c>
      <c r="E204" t="s">
        <v>1675</v>
      </c>
      <c r="K204" t="s">
        <v>1673</v>
      </c>
    </row>
    <row r="205" spans="1:11" hidden="1" x14ac:dyDescent="0.25">
      <c r="A205">
        <v>1081</v>
      </c>
      <c r="B205" t="s">
        <v>539</v>
      </c>
      <c r="C205" t="s">
        <v>448</v>
      </c>
      <c r="D205" t="str">
        <f t="shared" si="3"/>
        <v>AGE5225</v>
      </c>
      <c r="E205" t="s">
        <v>1674</v>
      </c>
      <c r="K205" t="s">
        <v>2228</v>
      </c>
    </row>
    <row r="206" spans="1:11" hidden="1" x14ac:dyDescent="0.25">
      <c r="A206">
        <v>1081</v>
      </c>
      <c r="B206" t="s">
        <v>539</v>
      </c>
      <c r="C206" t="s">
        <v>1700</v>
      </c>
      <c r="D206" t="str">
        <f t="shared" si="3"/>
        <v>AGE5230</v>
      </c>
      <c r="E206" t="s">
        <v>1674</v>
      </c>
      <c r="K206" t="s">
        <v>1676</v>
      </c>
    </row>
    <row r="207" spans="1:11" hidden="1" x14ac:dyDescent="0.25">
      <c r="A207">
        <v>1081</v>
      </c>
      <c r="B207" t="s">
        <v>539</v>
      </c>
      <c r="C207" t="s">
        <v>1684</v>
      </c>
      <c r="D207" t="str">
        <f t="shared" si="3"/>
        <v>AGE9202</v>
      </c>
      <c r="E207" t="s">
        <v>1685</v>
      </c>
      <c r="K207" t="s">
        <v>1677</v>
      </c>
    </row>
    <row r="208" spans="1:11" hidden="1" x14ac:dyDescent="0.25">
      <c r="A208">
        <v>1081</v>
      </c>
      <c r="B208" t="s">
        <v>539</v>
      </c>
      <c r="C208" t="s">
        <v>249</v>
      </c>
      <c r="D208" t="str">
        <f t="shared" si="3"/>
        <v>AGE9301</v>
      </c>
      <c r="E208" t="s">
        <v>1623</v>
      </c>
      <c r="K208" t="s">
        <v>2229</v>
      </c>
    </row>
    <row r="209" spans="1:11" hidden="1" x14ac:dyDescent="0.25">
      <c r="A209">
        <v>1081</v>
      </c>
      <c r="B209" t="s">
        <v>539</v>
      </c>
      <c r="C209" t="s">
        <v>379</v>
      </c>
      <c r="D209" t="str">
        <f t="shared" si="3"/>
        <v>AGE9312</v>
      </c>
      <c r="E209" t="s">
        <v>1623</v>
      </c>
      <c r="K209" t="s">
        <v>2230</v>
      </c>
    </row>
    <row r="210" spans="1:11" hidden="1" x14ac:dyDescent="0.25">
      <c r="A210">
        <v>1081</v>
      </c>
      <c r="B210" t="s">
        <v>539</v>
      </c>
      <c r="C210" t="s">
        <v>1687</v>
      </c>
      <c r="D210" t="str">
        <f t="shared" si="3"/>
        <v>AGE9399</v>
      </c>
      <c r="E210" t="s">
        <v>2105</v>
      </c>
      <c r="K210" t="s">
        <v>1713</v>
      </c>
    </row>
    <row r="211" spans="1:11" hidden="1" x14ac:dyDescent="0.25">
      <c r="A211">
        <v>1101</v>
      </c>
      <c r="B211" t="s">
        <v>574</v>
      </c>
      <c r="C211" t="s">
        <v>1597</v>
      </c>
      <c r="D211" t="str">
        <f t="shared" si="3"/>
        <v>OGE1401</v>
      </c>
      <c r="E211" t="s">
        <v>43</v>
      </c>
      <c r="K211" t="s">
        <v>2231</v>
      </c>
    </row>
    <row r="212" spans="1:11" hidden="1" x14ac:dyDescent="0.25">
      <c r="A212">
        <v>1101</v>
      </c>
      <c r="B212" t="s">
        <v>574</v>
      </c>
      <c r="C212" t="s">
        <v>1598</v>
      </c>
      <c r="D212" t="str">
        <f t="shared" si="3"/>
        <v>OGE1501</v>
      </c>
      <c r="E212" t="s">
        <v>43</v>
      </c>
      <c r="K212" t="s">
        <v>384</v>
      </c>
    </row>
    <row r="213" spans="1:11" hidden="1" x14ac:dyDescent="0.25">
      <c r="A213">
        <v>1101</v>
      </c>
      <c r="B213" t="s">
        <v>574</v>
      </c>
      <c r="C213" t="s">
        <v>1599</v>
      </c>
      <c r="D213" t="str">
        <f t="shared" si="3"/>
        <v>OGE3001</v>
      </c>
      <c r="E213" t="s">
        <v>1600</v>
      </c>
      <c r="K213" t="s">
        <v>2232</v>
      </c>
    </row>
    <row r="214" spans="1:11" hidden="1" x14ac:dyDescent="0.25">
      <c r="A214">
        <v>1101</v>
      </c>
      <c r="B214" t="s">
        <v>574</v>
      </c>
      <c r="C214" t="s">
        <v>1602</v>
      </c>
      <c r="D214" t="str">
        <f t="shared" si="3"/>
        <v>OGE3004</v>
      </c>
      <c r="E214" t="s">
        <v>1600</v>
      </c>
      <c r="K214" t="s">
        <v>2233</v>
      </c>
    </row>
    <row r="215" spans="1:11" hidden="1" x14ac:dyDescent="0.25">
      <c r="A215">
        <v>1101</v>
      </c>
      <c r="B215" t="s">
        <v>574</v>
      </c>
      <c r="C215" t="s">
        <v>1603</v>
      </c>
      <c r="D215" t="str">
        <f t="shared" si="3"/>
        <v>OGE3005</v>
      </c>
      <c r="E215" t="s">
        <v>1600</v>
      </c>
      <c r="K215" t="s">
        <v>2234</v>
      </c>
    </row>
    <row r="216" spans="1:11" hidden="1" x14ac:dyDescent="0.25">
      <c r="A216">
        <v>1101</v>
      </c>
      <c r="B216" t="s">
        <v>574</v>
      </c>
      <c r="C216" t="s">
        <v>1608</v>
      </c>
      <c r="D216" t="str">
        <f t="shared" si="3"/>
        <v>OGE3015</v>
      </c>
      <c r="E216" t="s">
        <v>1600</v>
      </c>
      <c r="K216" t="s">
        <v>2235</v>
      </c>
    </row>
    <row r="217" spans="1:11" hidden="1" x14ac:dyDescent="0.25">
      <c r="A217">
        <v>1101</v>
      </c>
      <c r="B217" t="s">
        <v>574</v>
      </c>
      <c r="C217" t="s">
        <v>1609</v>
      </c>
      <c r="D217" t="str">
        <f t="shared" si="3"/>
        <v>OGE3016</v>
      </c>
      <c r="E217" t="s">
        <v>1600</v>
      </c>
      <c r="K217" t="s">
        <v>1681</v>
      </c>
    </row>
    <row r="218" spans="1:11" hidden="1" x14ac:dyDescent="0.25">
      <c r="A218">
        <v>1101</v>
      </c>
      <c r="B218" t="s">
        <v>574</v>
      </c>
      <c r="C218" t="s">
        <v>430</v>
      </c>
      <c r="D218" t="str">
        <f t="shared" si="3"/>
        <v>OGE3022</v>
      </c>
      <c r="E218" t="s">
        <v>1600</v>
      </c>
      <c r="K218" t="s">
        <v>2236</v>
      </c>
    </row>
    <row r="219" spans="1:11" hidden="1" x14ac:dyDescent="0.25">
      <c r="A219">
        <v>1101</v>
      </c>
      <c r="B219" t="s">
        <v>574</v>
      </c>
      <c r="C219" t="s">
        <v>1617</v>
      </c>
      <c r="D219" t="str">
        <f t="shared" si="3"/>
        <v>OGE3026</v>
      </c>
      <c r="E219" t="s">
        <v>1615</v>
      </c>
      <c r="K219" t="s">
        <v>433</v>
      </c>
    </row>
    <row r="220" spans="1:11" hidden="1" x14ac:dyDescent="0.25">
      <c r="A220">
        <v>1101</v>
      </c>
      <c r="B220" t="s">
        <v>574</v>
      </c>
      <c r="C220" t="s">
        <v>490</v>
      </c>
      <c r="D220" t="str">
        <f t="shared" si="3"/>
        <v>OGE3099</v>
      </c>
      <c r="E220" t="s">
        <v>1600</v>
      </c>
      <c r="K220" t="s">
        <v>2237</v>
      </c>
    </row>
    <row r="221" spans="1:11" hidden="1" x14ac:dyDescent="0.25">
      <c r="A221">
        <v>1101</v>
      </c>
      <c r="B221" t="s">
        <v>574</v>
      </c>
      <c r="C221" t="s">
        <v>53</v>
      </c>
      <c r="D221" t="str">
        <f t="shared" si="3"/>
        <v>OGE3301</v>
      </c>
      <c r="E221" t="s">
        <v>43</v>
      </c>
      <c r="K221" t="s">
        <v>1682</v>
      </c>
    </row>
    <row r="222" spans="1:11" hidden="1" x14ac:dyDescent="0.25">
      <c r="A222">
        <v>1101</v>
      </c>
      <c r="B222" t="s">
        <v>574</v>
      </c>
      <c r="C222" t="s">
        <v>1626</v>
      </c>
      <c r="D222" t="str">
        <f t="shared" si="3"/>
        <v>OGE3302</v>
      </c>
      <c r="E222" t="s">
        <v>43</v>
      </c>
      <c r="K222" t="s">
        <v>2238</v>
      </c>
    </row>
    <row r="223" spans="1:11" hidden="1" x14ac:dyDescent="0.25">
      <c r="A223">
        <v>1101</v>
      </c>
      <c r="B223" t="s">
        <v>574</v>
      </c>
      <c r="C223" t="s">
        <v>1627</v>
      </c>
      <c r="D223" t="str">
        <f t="shared" si="3"/>
        <v>OGE3304</v>
      </c>
      <c r="E223" t="s">
        <v>43</v>
      </c>
      <c r="K223" t="s">
        <v>1700</v>
      </c>
    </row>
    <row r="224" spans="1:11" hidden="1" x14ac:dyDescent="0.25">
      <c r="A224">
        <v>1101</v>
      </c>
      <c r="B224" t="s">
        <v>574</v>
      </c>
      <c r="C224" t="s">
        <v>296</v>
      </c>
      <c r="D224" t="str">
        <f t="shared" si="3"/>
        <v>OGE3604</v>
      </c>
      <c r="E224" t="s">
        <v>43</v>
      </c>
      <c r="K224" t="s">
        <v>458</v>
      </c>
    </row>
    <row r="225" spans="1:11" hidden="1" x14ac:dyDescent="0.25">
      <c r="A225">
        <v>1101</v>
      </c>
      <c r="B225" t="s">
        <v>574</v>
      </c>
      <c r="C225" t="s">
        <v>354</v>
      </c>
      <c r="D225" t="str">
        <f t="shared" si="3"/>
        <v>OGE3610</v>
      </c>
      <c r="E225" t="s">
        <v>1623</v>
      </c>
      <c r="K225" t="s">
        <v>1822</v>
      </c>
    </row>
    <row r="226" spans="1:11" hidden="1" x14ac:dyDescent="0.25">
      <c r="A226">
        <v>1101</v>
      </c>
      <c r="B226" t="s">
        <v>574</v>
      </c>
      <c r="C226" t="s">
        <v>1628</v>
      </c>
      <c r="D226" t="str">
        <f t="shared" si="3"/>
        <v>OGE3612</v>
      </c>
      <c r="E226" t="s">
        <v>1623</v>
      </c>
      <c r="K226" t="s">
        <v>1755</v>
      </c>
    </row>
    <row r="227" spans="1:11" hidden="1" x14ac:dyDescent="0.25">
      <c r="A227">
        <v>1101</v>
      </c>
      <c r="B227" t="s">
        <v>574</v>
      </c>
      <c r="C227" t="s">
        <v>1632</v>
      </c>
      <c r="D227" t="str">
        <f t="shared" si="3"/>
        <v>OGE3704</v>
      </c>
      <c r="E227" t="s">
        <v>116</v>
      </c>
      <c r="K227" t="s">
        <v>1799</v>
      </c>
    </row>
    <row r="228" spans="1:11" hidden="1" x14ac:dyDescent="0.25">
      <c r="A228">
        <v>1101</v>
      </c>
      <c r="B228" t="s">
        <v>574</v>
      </c>
      <c r="C228" t="s">
        <v>1633</v>
      </c>
      <c r="D228" t="str">
        <f t="shared" si="3"/>
        <v>OGE3705</v>
      </c>
      <c r="E228" t="s">
        <v>116</v>
      </c>
      <c r="K228" t="s">
        <v>2239</v>
      </c>
    </row>
    <row r="229" spans="1:11" hidden="1" x14ac:dyDescent="0.25">
      <c r="A229">
        <v>1101</v>
      </c>
      <c r="B229" t="s">
        <v>574</v>
      </c>
      <c r="C229" t="s">
        <v>1634</v>
      </c>
      <c r="D229" t="str">
        <f t="shared" si="3"/>
        <v>OGE3903</v>
      </c>
      <c r="E229" t="s">
        <v>86</v>
      </c>
      <c r="K229" t="s">
        <v>2240</v>
      </c>
    </row>
    <row r="230" spans="1:11" hidden="1" x14ac:dyDescent="0.25">
      <c r="A230">
        <v>1101</v>
      </c>
      <c r="B230" t="s">
        <v>574</v>
      </c>
      <c r="C230" t="s">
        <v>345</v>
      </c>
      <c r="D230" t="str">
        <f t="shared" si="3"/>
        <v>OGE3910</v>
      </c>
      <c r="E230" t="s">
        <v>1623</v>
      </c>
      <c r="K230" t="s">
        <v>2241</v>
      </c>
    </row>
    <row r="231" spans="1:11" hidden="1" x14ac:dyDescent="0.25">
      <c r="A231">
        <v>1101</v>
      </c>
      <c r="B231" t="s">
        <v>574</v>
      </c>
      <c r="C231" t="s">
        <v>355</v>
      </c>
      <c r="D231" t="str">
        <f t="shared" si="3"/>
        <v>OGE3911</v>
      </c>
      <c r="E231" t="s">
        <v>1623</v>
      </c>
      <c r="K231" t="s">
        <v>2242</v>
      </c>
    </row>
    <row r="232" spans="1:11" hidden="1" x14ac:dyDescent="0.25">
      <c r="A232">
        <v>1101</v>
      </c>
      <c r="B232" t="s">
        <v>574</v>
      </c>
      <c r="C232" t="s">
        <v>1639</v>
      </c>
      <c r="D232" t="str">
        <f t="shared" si="3"/>
        <v>OGE3917</v>
      </c>
      <c r="E232" t="s">
        <v>1615</v>
      </c>
      <c r="K232" t="s">
        <v>2243</v>
      </c>
    </row>
    <row r="233" spans="1:11" hidden="1" x14ac:dyDescent="0.25">
      <c r="A233">
        <v>1101</v>
      </c>
      <c r="B233" t="s">
        <v>574</v>
      </c>
      <c r="C233" t="s">
        <v>1640</v>
      </c>
      <c r="D233" t="str">
        <f t="shared" si="3"/>
        <v>OGE3918</v>
      </c>
      <c r="E233" t="s">
        <v>1615</v>
      </c>
      <c r="K233" t="s">
        <v>2244</v>
      </c>
    </row>
    <row r="234" spans="1:11" hidden="1" x14ac:dyDescent="0.25">
      <c r="A234">
        <v>1101</v>
      </c>
      <c r="B234" t="s">
        <v>574</v>
      </c>
      <c r="C234" t="s">
        <v>1644</v>
      </c>
      <c r="D234" t="str">
        <f t="shared" si="3"/>
        <v>OGE3924</v>
      </c>
      <c r="E234" t="s">
        <v>1645</v>
      </c>
      <c r="K234" t="s">
        <v>2245</v>
      </c>
    </row>
    <row r="235" spans="1:11" hidden="1" x14ac:dyDescent="0.25">
      <c r="A235">
        <v>1101</v>
      </c>
      <c r="B235" t="s">
        <v>574</v>
      </c>
      <c r="C235" t="s">
        <v>442</v>
      </c>
      <c r="D235" t="str">
        <f t="shared" si="3"/>
        <v>OGE3926</v>
      </c>
      <c r="E235" t="s">
        <v>1646</v>
      </c>
      <c r="K235" t="s">
        <v>2246</v>
      </c>
    </row>
    <row r="236" spans="1:11" hidden="1" x14ac:dyDescent="0.25">
      <c r="A236">
        <v>1101</v>
      </c>
      <c r="B236" t="s">
        <v>574</v>
      </c>
      <c r="C236" t="s">
        <v>1647</v>
      </c>
      <c r="D236" t="str">
        <f t="shared" si="3"/>
        <v>OGE3927</v>
      </c>
      <c r="E236" t="s">
        <v>1648</v>
      </c>
      <c r="K236" t="s">
        <v>2247</v>
      </c>
    </row>
    <row r="237" spans="1:11" hidden="1" x14ac:dyDescent="0.25">
      <c r="A237">
        <v>1101</v>
      </c>
      <c r="B237" t="s">
        <v>574</v>
      </c>
      <c r="C237" t="s">
        <v>1650</v>
      </c>
      <c r="D237" t="str">
        <f t="shared" si="3"/>
        <v>OGE3931</v>
      </c>
      <c r="E237" t="s">
        <v>1623</v>
      </c>
      <c r="K237" t="s">
        <v>2248</v>
      </c>
    </row>
    <row r="238" spans="1:11" hidden="1" x14ac:dyDescent="0.25">
      <c r="A238">
        <v>1101</v>
      </c>
      <c r="B238" t="s">
        <v>574</v>
      </c>
      <c r="C238" t="s">
        <v>1652</v>
      </c>
      <c r="D238" t="str">
        <f t="shared" si="3"/>
        <v>OGE3936</v>
      </c>
      <c r="E238" t="s">
        <v>93</v>
      </c>
      <c r="K238" t="s">
        <v>1823</v>
      </c>
    </row>
    <row r="239" spans="1:11" hidden="1" x14ac:dyDescent="0.25">
      <c r="A239">
        <v>1101</v>
      </c>
      <c r="B239" t="s">
        <v>574</v>
      </c>
      <c r="C239" t="s">
        <v>1653</v>
      </c>
      <c r="D239" t="str">
        <f t="shared" si="3"/>
        <v>OGE3940</v>
      </c>
      <c r="E239" t="s">
        <v>1648</v>
      </c>
      <c r="K239" t="s">
        <v>1824</v>
      </c>
    </row>
    <row r="240" spans="1:11" hidden="1" x14ac:dyDescent="0.25">
      <c r="A240">
        <v>1101</v>
      </c>
      <c r="B240" t="s">
        <v>574</v>
      </c>
      <c r="C240" t="s">
        <v>1654</v>
      </c>
      <c r="D240" t="str">
        <f t="shared" si="3"/>
        <v>OGE3943</v>
      </c>
      <c r="E240" t="s">
        <v>1615</v>
      </c>
      <c r="K240" t="s">
        <v>2249</v>
      </c>
    </row>
    <row r="241" spans="1:11" hidden="1" x14ac:dyDescent="0.25">
      <c r="A241">
        <v>1101</v>
      </c>
      <c r="B241" t="s">
        <v>574</v>
      </c>
      <c r="C241" t="s">
        <v>491</v>
      </c>
      <c r="D241" t="str">
        <f t="shared" si="3"/>
        <v>OGE3948</v>
      </c>
      <c r="E241" t="s">
        <v>1645</v>
      </c>
      <c r="K241" t="s">
        <v>2250</v>
      </c>
    </row>
    <row r="242" spans="1:11" hidden="1" x14ac:dyDescent="0.25">
      <c r="A242">
        <v>1101</v>
      </c>
      <c r="B242" t="s">
        <v>574</v>
      </c>
      <c r="C242" t="s">
        <v>1701</v>
      </c>
      <c r="D242" t="str">
        <f t="shared" si="3"/>
        <v>OGE3952</v>
      </c>
      <c r="E242" t="s">
        <v>64</v>
      </c>
      <c r="K242" t="s">
        <v>2251</v>
      </c>
    </row>
    <row r="243" spans="1:11" hidden="1" x14ac:dyDescent="0.25">
      <c r="A243">
        <v>1101</v>
      </c>
      <c r="B243" t="s">
        <v>574</v>
      </c>
      <c r="C243" t="s">
        <v>495</v>
      </c>
      <c r="D243" t="str">
        <f t="shared" si="3"/>
        <v>OGE3953</v>
      </c>
      <c r="E243" t="s">
        <v>1645</v>
      </c>
      <c r="K243" t="s">
        <v>2252</v>
      </c>
    </row>
    <row r="244" spans="1:11" hidden="1" x14ac:dyDescent="0.25">
      <c r="A244">
        <v>1101</v>
      </c>
      <c r="B244" t="s">
        <v>574</v>
      </c>
      <c r="C244" t="s">
        <v>1657</v>
      </c>
      <c r="D244" t="str">
        <f t="shared" si="3"/>
        <v>OGE3961</v>
      </c>
      <c r="E244" t="s">
        <v>1630</v>
      </c>
      <c r="K244" t="s">
        <v>2253</v>
      </c>
    </row>
    <row r="245" spans="1:11" hidden="1" x14ac:dyDescent="0.25">
      <c r="A245">
        <v>1101</v>
      </c>
      <c r="B245" t="s">
        <v>574</v>
      </c>
      <c r="C245" t="s">
        <v>1661</v>
      </c>
      <c r="D245" t="str">
        <f t="shared" si="3"/>
        <v>OGE3987</v>
      </c>
      <c r="E245" t="s">
        <v>1615</v>
      </c>
      <c r="K245" t="s">
        <v>2254</v>
      </c>
    </row>
    <row r="246" spans="1:11" hidden="1" x14ac:dyDescent="0.25">
      <c r="A246">
        <v>1101</v>
      </c>
      <c r="B246" t="s">
        <v>574</v>
      </c>
      <c r="C246" t="s">
        <v>1663</v>
      </c>
      <c r="D246" t="str">
        <f t="shared" si="3"/>
        <v>OGE3999</v>
      </c>
      <c r="E246" t="s">
        <v>1623</v>
      </c>
      <c r="K246" t="s">
        <v>249</v>
      </c>
    </row>
    <row r="247" spans="1:11" hidden="1" x14ac:dyDescent="0.25">
      <c r="A247">
        <v>1101</v>
      </c>
      <c r="B247" t="s">
        <v>574</v>
      </c>
      <c r="C247" t="s">
        <v>1664</v>
      </c>
      <c r="D247" t="str">
        <f t="shared" si="3"/>
        <v>OGE4002</v>
      </c>
      <c r="E247" t="s">
        <v>1648</v>
      </c>
      <c r="K247" t="s">
        <v>271</v>
      </c>
    </row>
    <row r="248" spans="1:11" hidden="1" x14ac:dyDescent="0.25">
      <c r="A248">
        <v>1101</v>
      </c>
      <c r="B248" t="s">
        <v>574</v>
      </c>
      <c r="C248" t="s">
        <v>1665</v>
      </c>
      <c r="D248" t="str">
        <f t="shared" si="3"/>
        <v>OGE4003</v>
      </c>
      <c r="E248" t="s">
        <v>93</v>
      </c>
      <c r="K248" t="s">
        <v>2255</v>
      </c>
    </row>
    <row r="249" spans="1:11" hidden="1" x14ac:dyDescent="0.25">
      <c r="A249">
        <v>1101</v>
      </c>
      <c r="B249" t="s">
        <v>574</v>
      </c>
      <c r="C249" t="s">
        <v>1666</v>
      </c>
      <c r="D249" t="str">
        <f t="shared" si="3"/>
        <v>OGE4004</v>
      </c>
      <c r="E249" t="s">
        <v>1648</v>
      </c>
      <c r="K249" t="s">
        <v>2256</v>
      </c>
    </row>
    <row r="250" spans="1:11" hidden="1" x14ac:dyDescent="0.25">
      <c r="A250">
        <v>1101</v>
      </c>
      <c r="B250" t="s">
        <v>574</v>
      </c>
      <c r="C250" t="s">
        <v>1698</v>
      </c>
      <c r="D250" t="str">
        <f t="shared" si="3"/>
        <v>OGE4006</v>
      </c>
      <c r="E250" t="s">
        <v>1675</v>
      </c>
      <c r="K250" t="s">
        <v>2257</v>
      </c>
    </row>
    <row r="251" spans="1:11" hidden="1" x14ac:dyDescent="0.25">
      <c r="A251">
        <v>1101</v>
      </c>
      <c r="B251" t="s">
        <v>574</v>
      </c>
      <c r="C251" t="s">
        <v>1676</v>
      </c>
      <c r="D251" t="str">
        <f t="shared" si="3"/>
        <v>OGE5207</v>
      </c>
      <c r="E251" t="s">
        <v>1675</v>
      </c>
      <c r="K251" t="s">
        <v>359</v>
      </c>
    </row>
    <row r="252" spans="1:11" hidden="1" x14ac:dyDescent="0.25">
      <c r="A252">
        <v>1101</v>
      </c>
      <c r="B252" t="s">
        <v>574</v>
      </c>
      <c r="C252" t="s">
        <v>1677</v>
      </c>
      <c r="D252" t="str">
        <f t="shared" si="3"/>
        <v>OGE5208</v>
      </c>
      <c r="E252" t="s">
        <v>1675</v>
      </c>
      <c r="K252" t="s">
        <v>2258</v>
      </c>
    </row>
    <row r="253" spans="1:11" hidden="1" x14ac:dyDescent="0.25">
      <c r="A253">
        <v>1101</v>
      </c>
      <c r="B253" t="s">
        <v>574</v>
      </c>
      <c r="C253" t="s">
        <v>390</v>
      </c>
      <c r="D253" t="str">
        <f t="shared" si="3"/>
        <v>OGE5214</v>
      </c>
      <c r="E253" t="s">
        <v>1674</v>
      </c>
      <c r="K253" t="s">
        <v>2259</v>
      </c>
    </row>
    <row r="254" spans="1:11" hidden="1" x14ac:dyDescent="0.25">
      <c r="A254">
        <v>1101</v>
      </c>
      <c r="B254" t="s">
        <v>574</v>
      </c>
      <c r="C254" t="s">
        <v>458</v>
      </c>
      <c r="D254" t="str">
        <f t="shared" si="3"/>
        <v>OGE5299</v>
      </c>
      <c r="E254" t="s">
        <v>1674</v>
      </c>
      <c r="K254" t="s">
        <v>2260</v>
      </c>
    </row>
    <row r="255" spans="1:11" hidden="1" x14ac:dyDescent="0.25">
      <c r="A255">
        <v>1101</v>
      </c>
      <c r="B255" t="s">
        <v>574</v>
      </c>
      <c r="C255" t="s">
        <v>1684</v>
      </c>
      <c r="D255" t="str">
        <f t="shared" si="3"/>
        <v>OGE9202</v>
      </c>
      <c r="E255" t="s">
        <v>1685</v>
      </c>
      <c r="K255" t="s">
        <v>1806</v>
      </c>
    </row>
    <row r="256" spans="1:11" hidden="1" x14ac:dyDescent="0.25">
      <c r="A256">
        <v>1101</v>
      </c>
      <c r="B256" t="s">
        <v>574</v>
      </c>
      <c r="C256" t="s">
        <v>1687</v>
      </c>
      <c r="D256" t="str">
        <f t="shared" si="3"/>
        <v>OGE9399</v>
      </c>
      <c r="E256" t="s">
        <v>1623</v>
      </c>
      <c r="K256" t="s">
        <v>2261</v>
      </c>
    </row>
    <row r="257" spans="1:11" hidden="1" x14ac:dyDescent="0.25">
      <c r="A257">
        <v>1191</v>
      </c>
      <c r="B257" t="s">
        <v>585</v>
      </c>
      <c r="C257" t="s">
        <v>1595</v>
      </c>
      <c r="D257" t="str">
        <f t="shared" si="3"/>
        <v>SEF0810</v>
      </c>
      <c r="E257" t="s">
        <v>1596</v>
      </c>
      <c r="K257" t="s">
        <v>2262</v>
      </c>
    </row>
    <row r="258" spans="1:11" hidden="1" x14ac:dyDescent="0.25">
      <c r="A258">
        <v>1191</v>
      </c>
      <c r="B258" t="s">
        <v>585</v>
      </c>
      <c r="C258" t="s">
        <v>331</v>
      </c>
      <c r="D258" t="str">
        <f t="shared" ref="D258:D321" si="4">CONCATENATE(B258,LEFT(C258,4))</f>
        <v>SEF1314</v>
      </c>
      <c r="E258" t="s">
        <v>1689</v>
      </c>
      <c r="K258" t="s">
        <v>2101</v>
      </c>
    </row>
    <row r="259" spans="1:11" hidden="1" x14ac:dyDescent="0.25">
      <c r="A259">
        <v>1191</v>
      </c>
      <c r="B259" t="s">
        <v>585</v>
      </c>
      <c r="C259" t="s">
        <v>1597</v>
      </c>
      <c r="D259" t="str">
        <f t="shared" si="4"/>
        <v>SEF1401</v>
      </c>
      <c r="E259" t="s">
        <v>43</v>
      </c>
      <c r="K259" t="s">
        <v>2263</v>
      </c>
    </row>
    <row r="260" spans="1:11" hidden="1" x14ac:dyDescent="0.25">
      <c r="A260">
        <v>1191</v>
      </c>
      <c r="B260" t="s">
        <v>585</v>
      </c>
      <c r="C260" t="s">
        <v>1599</v>
      </c>
      <c r="D260" t="str">
        <f t="shared" si="4"/>
        <v>SEF3001</v>
      </c>
      <c r="E260" t="s">
        <v>1600</v>
      </c>
      <c r="K260" t="s">
        <v>2264</v>
      </c>
    </row>
    <row r="261" spans="1:11" hidden="1" x14ac:dyDescent="0.25">
      <c r="A261">
        <v>1191</v>
      </c>
      <c r="B261" t="s">
        <v>585</v>
      </c>
      <c r="C261" t="s">
        <v>1601</v>
      </c>
      <c r="D261" t="str">
        <f t="shared" si="4"/>
        <v>SEF3003</v>
      </c>
      <c r="E261" t="s">
        <v>1600</v>
      </c>
      <c r="K261" t="s">
        <v>2265</v>
      </c>
    </row>
    <row r="262" spans="1:11" hidden="1" x14ac:dyDescent="0.25">
      <c r="A262">
        <v>1191</v>
      </c>
      <c r="B262" t="s">
        <v>585</v>
      </c>
      <c r="C262" t="s">
        <v>1602</v>
      </c>
      <c r="D262" t="str">
        <f t="shared" si="4"/>
        <v>SEF3004</v>
      </c>
      <c r="E262" t="s">
        <v>1600</v>
      </c>
      <c r="K262" t="s">
        <v>1687</v>
      </c>
    </row>
    <row r="263" spans="1:11" hidden="1" x14ac:dyDescent="0.25">
      <c r="A263">
        <v>1191</v>
      </c>
      <c r="B263" t="s">
        <v>585</v>
      </c>
      <c r="C263" t="s">
        <v>1603</v>
      </c>
      <c r="D263" t="str">
        <f t="shared" si="4"/>
        <v>SEF3005</v>
      </c>
      <c r="E263" t="s">
        <v>1600</v>
      </c>
    </row>
    <row r="264" spans="1:11" hidden="1" x14ac:dyDescent="0.25">
      <c r="A264">
        <v>1191</v>
      </c>
      <c r="B264" t="s">
        <v>585</v>
      </c>
      <c r="C264" t="s">
        <v>332</v>
      </c>
      <c r="D264" t="str">
        <f t="shared" si="4"/>
        <v>SEF3007</v>
      </c>
      <c r="E264" t="s">
        <v>1600</v>
      </c>
    </row>
    <row r="265" spans="1:11" hidden="1" x14ac:dyDescent="0.25">
      <c r="A265">
        <v>1191</v>
      </c>
      <c r="B265" t="s">
        <v>585</v>
      </c>
      <c r="C265" t="s">
        <v>1604</v>
      </c>
      <c r="D265" t="str">
        <f t="shared" si="4"/>
        <v>SEF3008</v>
      </c>
      <c r="E265" t="s">
        <v>1600</v>
      </c>
    </row>
    <row r="266" spans="1:11" hidden="1" x14ac:dyDescent="0.25">
      <c r="A266">
        <v>1191</v>
      </c>
      <c r="B266" t="s">
        <v>585</v>
      </c>
      <c r="C266" t="s">
        <v>1605</v>
      </c>
      <c r="D266" t="str">
        <f t="shared" si="4"/>
        <v>SEF3010</v>
      </c>
      <c r="E266" t="s">
        <v>1606</v>
      </c>
    </row>
    <row r="267" spans="1:11" hidden="1" x14ac:dyDescent="0.25">
      <c r="A267">
        <v>1191</v>
      </c>
      <c r="B267" t="s">
        <v>585</v>
      </c>
      <c r="C267" t="s">
        <v>368</v>
      </c>
      <c r="D267" t="str">
        <f t="shared" si="4"/>
        <v>SEF3011</v>
      </c>
      <c r="E267" t="s">
        <v>1600</v>
      </c>
    </row>
    <row r="268" spans="1:11" hidden="1" x14ac:dyDescent="0.25">
      <c r="A268">
        <v>1191</v>
      </c>
      <c r="B268" t="s">
        <v>585</v>
      </c>
      <c r="C268" t="s">
        <v>1607</v>
      </c>
      <c r="D268" t="str">
        <f t="shared" si="4"/>
        <v>SEF3013</v>
      </c>
      <c r="E268" t="s">
        <v>1600</v>
      </c>
    </row>
    <row r="269" spans="1:11" hidden="1" x14ac:dyDescent="0.25">
      <c r="A269">
        <v>1191</v>
      </c>
      <c r="B269" t="s">
        <v>585</v>
      </c>
      <c r="C269" t="s">
        <v>1608</v>
      </c>
      <c r="D269" t="str">
        <f t="shared" si="4"/>
        <v>SEF3015</v>
      </c>
      <c r="E269" t="s">
        <v>1600</v>
      </c>
    </row>
    <row r="270" spans="1:11" hidden="1" x14ac:dyDescent="0.25">
      <c r="A270">
        <v>1191</v>
      </c>
      <c r="B270" t="s">
        <v>585</v>
      </c>
      <c r="C270" t="s">
        <v>1609</v>
      </c>
      <c r="D270" t="str">
        <f t="shared" si="4"/>
        <v>SEF3016</v>
      </c>
      <c r="E270" t="s">
        <v>1600</v>
      </c>
    </row>
    <row r="271" spans="1:11" hidden="1" x14ac:dyDescent="0.25">
      <c r="A271">
        <v>1191</v>
      </c>
      <c r="B271" t="s">
        <v>585</v>
      </c>
      <c r="C271" t="s">
        <v>405</v>
      </c>
      <c r="D271" t="str">
        <f t="shared" si="4"/>
        <v>SEF3017</v>
      </c>
      <c r="E271" t="s">
        <v>1600</v>
      </c>
    </row>
    <row r="272" spans="1:11" hidden="1" x14ac:dyDescent="0.25">
      <c r="A272">
        <v>1191</v>
      </c>
      <c r="B272" t="s">
        <v>585</v>
      </c>
      <c r="C272" t="s">
        <v>410</v>
      </c>
      <c r="D272" t="str">
        <f t="shared" si="4"/>
        <v>SEF3018</v>
      </c>
      <c r="E272" t="s">
        <v>1600</v>
      </c>
    </row>
    <row r="273" spans="1:5" hidden="1" x14ac:dyDescent="0.25">
      <c r="A273">
        <v>1191</v>
      </c>
      <c r="B273" t="s">
        <v>585</v>
      </c>
      <c r="C273" t="s">
        <v>1610</v>
      </c>
      <c r="D273" t="str">
        <f t="shared" si="4"/>
        <v>SEF3019</v>
      </c>
      <c r="E273" t="s">
        <v>1611</v>
      </c>
    </row>
    <row r="274" spans="1:5" hidden="1" x14ac:dyDescent="0.25">
      <c r="A274">
        <v>1191</v>
      </c>
      <c r="B274" t="s">
        <v>585</v>
      </c>
      <c r="C274" t="s">
        <v>1612</v>
      </c>
      <c r="D274" t="str">
        <f t="shared" si="4"/>
        <v>SEF3020</v>
      </c>
      <c r="E274" t="s">
        <v>1600</v>
      </c>
    </row>
    <row r="275" spans="1:5" hidden="1" x14ac:dyDescent="0.25">
      <c r="A275">
        <v>1191</v>
      </c>
      <c r="B275" t="s">
        <v>585</v>
      </c>
      <c r="C275" t="s">
        <v>1613</v>
      </c>
      <c r="D275" t="str">
        <f t="shared" si="4"/>
        <v>SEF3021</v>
      </c>
      <c r="E275" t="s">
        <v>1600</v>
      </c>
    </row>
    <row r="276" spans="1:5" hidden="1" x14ac:dyDescent="0.25">
      <c r="A276">
        <v>1191</v>
      </c>
      <c r="B276" t="s">
        <v>585</v>
      </c>
      <c r="C276" t="s">
        <v>430</v>
      </c>
      <c r="D276" t="str">
        <f t="shared" si="4"/>
        <v>SEF3022</v>
      </c>
      <c r="E276" t="s">
        <v>1600</v>
      </c>
    </row>
    <row r="277" spans="1:5" hidden="1" x14ac:dyDescent="0.25">
      <c r="A277">
        <v>1191</v>
      </c>
      <c r="B277" t="s">
        <v>585</v>
      </c>
      <c r="C277" t="s">
        <v>1614</v>
      </c>
      <c r="D277" t="str">
        <f t="shared" si="4"/>
        <v>SEF3023</v>
      </c>
      <c r="E277" t="s">
        <v>1615</v>
      </c>
    </row>
    <row r="278" spans="1:5" hidden="1" x14ac:dyDescent="0.25">
      <c r="A278">
        <v>1191</v>
      </c>
      <c r="B278" t="s">
        <v>585</v>
      </c>
      <c r="C278" t="s">
        <v>440</v>
      </c>
      <c r="D278" t="str">
        <f t="shared" si="4"/>
        <v>SEF3024</v>
      </c>
      <c r="E278" t="s">
        <v>1600</v>
      </c>
    </row>
    <row r="279" spans="1:5" hidden="1" x14ac:dyDescent="0.25">
      <c r="A279">
        <v>1191</v>
      </c>
      <c r="B279" t="s">
        <v>585</v>
      </c>
      <c r="C279" t="s">
        <v>1616</v>
      </c>
      <c r="D279" t="str">
        <f t="shared" si="4"/>
        <v>SEF3025</v>
      </c>
      <c r="E279" t="s">
        <v>1600</v>
      </c>
    </row>
    <row r="280" spans="1:5" hidden="1" x14ac:dyDescent="0.25">
      <c r="A280">
        <v>1191</v>
      </c>
      <c r="B280" t="s">
        <v>585</v>
      </c>
      <c r="C280" t="s">
        <v>1617</v>
      </c>
      <c r="D280" t="str">
        <f t="shared" si="4"/>
        <v>SEF3026</v>
      </c>
      <c r="E280" t="s">
        <v>1615</v>
      </c>
    </row>
    <row r="281" spans="1:5" hidden="1" x14ac:dyDescent="0.25">
      <c r="A281">
        <v>1191</v>
      </c>
      <c r="B281" t="s">
        <v>585</v>
      </c>
      <c r="C281" t="s">
        <v>1618</v>
      </c>
      <c r="D281" t="str">
        <f t="shared" si="4"/>
        <v>SEF3027</v>
      </c>
      <c r="E281" t="s">
        <v>1600</v>
      </c>
    </row>
    <row r="282" spans="1:5" hidden="1" x14ac:dyDescent="0.25">
      <c r="A282">
        <v>1191</v>
      </c>
      <c r="B282" t="s">
        <v>585</v>
      </c>
      <c r="C282" t="s">
        <v>1702</v>
      </c>
      <c r="D282" t="str">
        <f t="shared" si="4"/>
        <v>SEF3029</v>
      </c>
      <c r="E282" t="s">
        <v>1600</v>
      </c>
    </row>
    <row r="283" spans="1:5" hidden="1" x14ac:dyDescent="0.25">
      <c r="A283">
        <v>1191</v>
      </c>
      <c r="B283" t="s">
        <v>585</v>
      </c>
      <c r="C283" t="s">
        <v>466</v>
      </c>
      <c r="D283" t="str">
        <f t="shared" si="4"/>
        <v>SEF3030</v>
      </c>
      <c r="E283" t="s">
        <v>1600</v>
      </c>
    </row>
    <row r="284" spans="1:5" hidden="1" x14ac:dyDescent="0.25">
      <c r="A284">
        <v>1191</v>
      </c>
      <c r="B284" t="s">
        <v>585</v>
      </c>
      <c r="C284" t="s">
        <v>469</v>
      </c>
      <c r="D284" t="str">
        <f t="shared" si="4"/>
        <v>SEF3031</v>
      </c>
      <c r="E284" t="s">
        <v>1600</v>
      </c>
    </row>
    <row r="285" spans="1:5" hidden="1" x14ac:dyDescent="0.25">
      <c r="A285">
        <v>1191</v>
      </c>
      <c r="B285" t="s">
        <v>585</v>
      </c>
      <c r="C285" t="s">
        <v>486</v>
      </c>
      <c r="D285" t="str">
        <f t="shared" si="4"/>
        <v>SEF3040</v>
      </c>
      <c r="E285" t="s">
        <v>1600</v>
      </c>
    </row>
    <row r="286" spans="1:5" hidden="1" x14ac:dyDescent="0.25">
      <c r="A286">
        <v>1191</v>
      </c>
      <c r="B286" t="s">
        <v>585</v>
      </c>
      <c r="C286" t="s">
        <v>1703</v>
      </c>
      <c r="D286" t="str">
        <f t="shared" si="4"/>
        <v>SEF3041</v>
      </c>
      <c r="E286" t="s">
        <v>1623</v>
      </c>
    </row>
    <row r="287" spans="1:5" hidden="1" x14ac:dyDescent="0.25">
      <c r="A287">
        <v>1191</v>
      </c>
      <c r="B287" t="s">
        <v>585</v>
      </c>
      <c r="C287" t="s">
        <v>490</v>
      </c>
      <c r="D287" t="str">
        <f t="shared" si="4"/>
        <v>SEF3099</v>
      </c>
      <c r="E287" t="s">
        <v>1600</v>
      </c>
    </row>
    <row r="288" spans="1:5" hidden="1" x14ac:dyDescent="0.25">
      <c r="A288">
        <v>1191</v>
      </c>
      <c r="B288" t="s">
        <v>585</v>
      </c>
      <c r="C288" t="s">
        <v>53</v>
      </c>
      <c r="D288" t="str">
        <f t="shared" si="4"/>
        <v>SEF3301</v>
      </c>
      <c r="E288" t="s">
        <v>43</v>
      </c>
    </row>
    <row r="289" spans="1:5" hidden="1" x14ac:dyDescent="0.25">
      <c r="A289">
        <v>1191</v>
      </c>
      <c r="B289" t="s">
        <v>585</v>
      </c>
      <c r="C289" t="s">
        <v>1626</v>
      </c>
      <c r="D289" t="str">
        <f t="shared" si="4"/>
        <v>SEF3302</v>
      </c>
      <c r="E289" t="s">
        <v>43</v>
      </c>
    </row>
    <row r="290" spans="1:5" hidden="1" x14ac:dyDescent="0.25">
      <c r="A290">
        <v>1191</v>
      </c>
      <c r="B290" t="s">
        <v>585</v>
      </c>
      <c r="C290" t="s">
        <v>1704</v>
      </c>
      <c r="D290" t="str">
        <f t="shared" si="4"/>
        <v>SEF3303</v>
      </c>
      <c r="E290" t="s">
        <v>43</v>
      </c>
    </row>
    <row r="291" spans="1:5" hidden="1" x14ac:dyDescent="0.25">
      <c r="A291">
        <v>1191</v>
      </c>
      <c r="B291" t="s">
        <v>585</v>
      </c>
      <c r="C291" t="s">
        <v>1627</v>
      </c>
      <c r="D291" t="str">
        <f t="shared" si="4"/>
        <v>SEF3304</v>
      </c>
      <c r="E291" t="s">
        <v>43</v>
      </c>
    </row>
    <row r="292" spans="1:5" hidden="1" x14ac:dyDescent="0.25">
      <c r="A292">
        <v>1191</v>
      </c>
      <c r="B292" t="s">
        <v>585</v>
      </c>
      <c r="C292" t="s">
        <v>1705</v>
      </c>
      <c r="D292" t="str">
        <f t="shared" si="4"/>
        <v>SEF3502</v>
      </c>
      <c r="E292" t="s">
        <v>1706</v>
      </c>
    </row>
    <row r="293" spans="1:5" hidden="1" x14ac:dyDescent="0.25">
      <c r="A293">
        <v>1191</v>
      </c>
      <c r="B293" t="s">
        <v>585</v>
      </c>
      <c r="C293" t="s">
        <v>1690</v>
      </c>
      <c r="D293" t="str">
        <f t="shared" si="4"/>
        <v>SEF3601</v>
      </c>
      <c r="E293" t="s">
        <v>64</v>
      </c>
    </row>
    <row r="294" spans="1:5" hidden="1" x14ac:dyDescent="0.25">
      <c r="A294">
        <v>1191</v>
      </c>
      <c r="B294" t="s">
        <v>585</v>
      </c>
      <c r="C294" t="s">
        <v>296</v>
      </c>
      <c r="D294" t="str">
        <f t="shared" si="4"/>
        <v>SEF3604</v>
      </c>
      <c r="E294" t="s">
        <v>43</v>
      </c>
    </row>
    <row r="295" spans="1:5" hidden="1" x14ac:dyDescent="0.25">
      <c r="A295">
        <v>1191</v>
      </c>
      <c r="B295" t="s">
        <v>585</v>
      </c>
      <c r="C295" t="s">
        <v>354</v>
      </c>
      <c r="D295" t="str">
        <f t="shared" si="4"/>
        <v>SEF3610</v>
      </c>
      <c r="E295" t="s">
        <v>1623</v>
      </c>
    </row>
    <row r="296" spans="1:5" hidden="1" x14ac:dyDescent="0.25">
      <c r="A296">
        <v>1191</v>
      </c>
      <c r="B296" t="s">
        <v>585</v>
      </c>
      <c r="C296" t="s">
        <v>1707</v>
      </c>
      <c r="D296" t="str">
        <f t="shared" si="4"/>
        <v>SEF3611</v>
      </c>
      <c r="E296" t="s">
        <v>1692</v>
      </c>
    </row>
    <row r="297" spans="1:5" hidden="1" x14ac:dyDescent="0.25">
      <c r="A297">
        <v>1191</v>
      </c>
      <c r="B297" t="s">
        <v>585</v>
      </c>
      <c r="C297" t="s">
        <v>1628</v>
      </c>
      <c r="D297" t="str">
        <f t="shared" si="4"/>
        <v>SEF3612</v>
      </c>
      <c r="E297" t="s">
        <v>1623</v>
      </c>
    </row>
    <row r="298" spans="1:5" hidden="1" x14ac:dyDescent="0.25">
      <c r="A298">
        <v>1191</v>
      </c>
      <c r="B298" t="s">
        <v>585</v>
      </c>
      <c r="C298" t="s">
        <v>388</v>
      </c>
      <c r="D298" t="str">
        <f t="shared" si="4"/>
        <v>SEF3615</v>
      </c>
      <c r="E298" t="s">
        <v>1646</v>
      </c>
    </row>
    <row r="299" spans="1:5" hidden="1" x14ac:dyDescent="0.25">
      <c r="A299">
        <v>1191</v>
      </c>
      <c r="B299" t="s">
        <v>585</v>
      </c>
      <c r="C299" t="s">
        <v>400</v>
      </c>
      <c r="D299" t="str">
        <f t="shared" si="4"/>
        <v>SEF3617</v>
      </c>
      <c r="E299" t="s">
        <v>1623</v>
      </c>
    </row>
    <row r="300" spans="1:5" hidden="1" x14ac:dyDescent="0.25">
      <c r="A300">
        <v>1191</v>
      </c>
      <c r="B300" t="s">
        <v>585</v>
      </c>
      <c r="C300" t="s">
        <v>426</v>
      </c>
      <c r="D300" t="str">
        <f t="shared" si="4"/>
        <v>SEF3622</v>
      </c>
      <c r="E300" t="s">
        <v>1692</v>
      </c>
    </row>
    <row r="301" spans="1:5" hidden="1" x14ac:dyDescent="0.25">
      <c r="A301">
        <v>1191</v>
      </c>
      <c r="B301" t="s">
        <v>585</v>
      </c>
      <c r="C301" t="s">
        <v>446</v>
      </c>
      <c r="D301" t="str">
        <f t="shared" si="4"/>
        <v>SEF3626</v>
      </c>
      <c r="E301" t="s">
        <v>1623</v>
      </c>
    </row>
    <row r="302" spans="1:5" hidden="1" x14ac:dyDescent="0.25">
      <c r="A302">
        <v>1191</v>
      </c>
      <c r="B302" t="s">
        <v>585</v>
      </c>
      <c r="C302" t="s">
        <v>470</v>
      </c>
      <c r="D302" t="str">
        <f t="shared" si="4"/>
        <v>SEF3699</v>
      </c>
      <c r="E302" t="s">
        <v>1623</v>
      </c>
    </row>
    <row r="303" spans="1:5" hidden="1" x14ac:dyDescent="0.25">
      <c r="A303">
        <v>1191</v>
      </c>
      <c r="B303" t="s">
        <v>585</v>
      </c>
      <c r="C303" t="s">
        <v>1629</v>
      </c>
      <c r="D303" t="str">
        <f t="shared" si="4"/>
        <v>SEF3701</v>
      </c>
      <c r="E303" t="s">
        <v>1630</v>
      </c>
    </row>
    <row r="304" spans="1:5" hidden="1" x14ac:dyDescent="0.25">
      <c r="A304">
        <v>1191</v>
      </c>
      <c r="B304" t="s">
        <v>585</v>
      </c>
      <c r="C304" t="s">
        <v>1693</v>
      </c>
      <c r="D304" t="str">
        <f t="shared" si="4"/>
        <v>SEF3702</v>
      </c>
      <c r="E304" t="s">
        <v>1630</v>
      </c>
    </row>
    <row r="305" spans="1:5" hidden="1" x14ac:dyDescent="0.25">
      <c r="A305">
        <v>1191</v>
      </c>
      <c r="B305" t="s">
        <v>585</v>
      </c>
      <c r="C305" t="s">
        <v>1632</v>
      </c>
      <c r="D305" t="str">
        <f t="shared" si="4"/>
        <v>SEF3704</v>
      </c>
      <c r="E305" t="s">
        <v>116</v>
      </c>
    </row>
    <row r="306" spans="1:5" hidden="1" x14ac:dyDescent="0.25">
      <c r="A306">
        <v>1191</v>
      </c>
      <c r="B306" t="s">
        <v>585</v>
      </c>
      <c r="C306" t="s">
        <v>1633</v>
      </c>
      <c r="D306" t="str">
        <f t="shared" si="4"/>
        <v>SEF3705</v>
      </c>
      <c r="E306" t="s">
        <v>116</v>
      </c>
    </row>
    <row r="307" spans="1:5" hidden="1" x14ac:dyDescent="0.25">
      <c r="A307">
        <v>1191</v>
      </c>
      <c r="B307" t="s">
        <v>585</v>
      </c>
      <c r="C307" t="s">
        <v>1634</v>
      </c>
      <c r="D307" t="str">
        <f t="shared" si="4"/>
        <v>SEF3903</v>
      </c>
      <c r="E307" t="s">
        <v>86</v>
      </c>
    </row>
    <row r="308" spans="1:5" hidden="1" x14ac:dyDescent="0.25">
      <c r="A308">
        <v>1191</v>
      </c>
      <c r="B308" t="s">
        <v>585</v>
      </c>
      <c r="C308" t="s">
        <v>298</v>
      </c>
      <c r="D308" t="str">
        <f t="shared" si="4"/>
        <v>SEF3904</v>
      </c>
      <c r="E308" t="s">
        <v>1623</v>
      </c>
    </row>
    <row r="309" spans="1:5" hidden="1" x14ac:dyDescent="0.25">
      <c r="A309">
        <v>1191</v>
      </c>
      <c r="B309" t="s">
        <v>585</v>
      </c>
      <c r="C309" t="s">
        <v>325</v>
      </c>
      <c r="D309" t="str">
        <f t="shared" si="4"/>
        <v>SEF3906</v>
      </c>
      <c r="E309" t="s">
        <v>1623</v>
      </c>
    </row>
    <row r="310" spans="1:5" hidden="1" x14ac:dyDescent="0.25">
      <c r="A310">
        <v>1191</v>
      </c>
      <c r="B310" t="s">
        <v>585</v>
      </c>
      <c r="C310" t="s">
        <v>345</v>
      </c>
      <c r="D310" t="str">
        <f t="shared" si="4"/>
        <v>SEF3910</v>
      </c>
      <c r="E310" t="s">
        <v>1623</v>
      </c>
    </row>
    <row r="311" spans="1:5" hidden="1" x14ac:dyDescent="0.25">
      <c r="A311">
        <v>1191</v>
      </c>
      <c r="B311" t="s">
        <v>585</v>
      </c>
      <c r="C311" t="s">
        <v>355</v>
      </c>
      <c r="D311" t="str">
        <f t="shared" si="4"/>
        <v>SEF3911</v>
      </c>
      <c r="E311" t="s">
        <v>1623</v>
      </c>
    </row>
    <row r="312" spans="1:5" hidden="1" x14ac:dyDescent="0.25">
      <c r="A312">
        <v>1191</v>
      </c>
      <c r="B312" t="s">
        <v>585</v>
      </c>
      <c r="C312" t="s">
        <v>1636</v>
      </c>
      <c r="D312" t="str">
        <f t="shared" si="4"/>
        <v>SEF3912</v>
      </c>
      <c r="E312" t="s">
        <v>1637</v>
      </c>
    </row>
    <row r="313" spans="1:5" hidden="1" x14ac:dyDescent="0.25">
      <c r="A313">
        <v>1191</v>
      </c>
      <c r="B313" t="s">
        <v>585</v>
      </c>
      <c r="C313" t="s">
        <v>1638</v>
      </c>
      <c r="D313" t="str">
        <f t="shared" si="4"/>
        <v>SEF3913</v>
      </c>
      <c r="E313" t="s">
        <v>1637</v>
      </c>
    </row>
    <row r="314" spans="1:5" hidden="1" x14ac:dyDescent="0.25">
      <c r="A314">
        <v>1191</v>
      </c>
      <c r="B314" t="s">
        <v>585</v>
      </c>
      <c r="C314" t="s">
        <v>376</v>
      </c>
      <c r="D314" t="str">
        <f t="shared" si="4"/>
        <v>SEF3914</v>
      </c>
      <c r="E314" t="s">
        <v>1648</v>
      </c>
    </row>
    <row r="315" spans="1:5" hidden="1" x14ac:dyDescent="0.25">
      <c r="A315">
        <v>1191</v>
      </c>
      <c r="B315" t="s">
        <v>585</v>
      </c>
      <c r="C315" t="s">
        <v>383</v>
      </c>
      <c r="D315" t="str">
        <f t="shared" si="4"/>
        <v>SEF3915</v>
      </c>
      <c r="E315" t="s">
        <v>1637</v>
      </c>
    </row>
    <row r="316" spans="1:5" hidden="1" x14ac:dyDescent="0.25">
      <c r="A316">
        <v>1191</v>
      </c>
      <c r="B316" t="s">
        <v>585</v>
      </c>
      <c r="C316" t="s">
        <v>1639</v>
      </c>
      <c r="D316" t="str">
        <f t="shared" si="4"/>
        <v>SEF3917</v>
      </c>
      <c r="E316" t="s">
        <v>1615</v>
      </c>
    </row>
    <row r="317" spans="1:5" hidden="1" x14ac:dyDescent="0.25">
      <c r="A317">
        <v>1191</v>
      </c>
      <c r="B317" t="s">
        <v>585</v>
      </c>
      <c r="C317" t="s">
        <v>1640</v>
      </c>
      <c r="D317" t="str">
        <f t="shared" si="4"/>
        <v>SEF3918</v>
      </c>
      <c r="E317" t="s">
        <v>1615</v>
      </c>
    </row>
    <row r="318" spans="1:5" hidden="1" x14ac:dyDescent="0.25">
      <c r="A318">
        <v>1191</v>
      </c>
      <c r="B318" t="s">
        <v>585</v>
      </c>
      <c r="C318" t="s">
        <v>1641</v>
      </c>
      <c r="D318" t="str">
        <f t="shared" si="4"/>
        <v>SEF3919</v>
      </c>
      <c r="E318" t="s">
        <v>2102</v>
      </c>
    </row>
    <row r="319" spans="1:5" hidden="1" x14ac:dyDescent="0.25">
      <c r="A319">
        <v>1191</v>
      </c>
      <c r="B319" t="s">
        <v>585</v>
      </c>
      <c r="C319" t="s">
        <v>1694</v>
      </c>
      <c r="D319" t="str">
        <f t="shared" si="4"/>
        <v>SEF3920</v>
      </c>
      <c r="E319" t="s">
        <v>1692</v>
      </c>
    </row>
    <row r="320" spans="1:5" hidden="1" x14ac:dyDescent="0.25">
      <c r="A320">
        <v>1191</v>
      </c>
      <c r="B320" t="s">
        <v>585</v>
      </c>
      <c r="C320" t="s">
        <v>1642</v>
      </c>
      <c r="D320" t="str">
        <f t="shared" si="4"/>
        <v>SEF3921</v>
      </c>
      <c r="E320" t="s">
        <v>2102</v>
      </c>
    </row>
    <row r="321" spans="1:5" hidden="1" x14ac:dyDescent="0.25">
      <c r="A321">
        <v>1191</v>
      </c>
      <c r="B321" t="s">
        <v>585</v>
      </c>
      <c r="C321" t="s">
        <v>1643</v>
      </c>
      <c r="D321" t="str">
        <f t="shared" si="4"/>
        <v>SEF3922</v>
      </c>
      <c r="E321" t="s">
        <v>1611</v>
      </c>
    </row>
    <row r="322" spans="1:5" hidden="1" x14ac:dyDescent="0.25">
      <c r="A322">
        <v>1191</v>
      </c>
      <c r="B322" t="s">
        <v>585</v>
      </c>
      <c r="C322" t="s">
        <v>1644</v>
      </c>
      <c r="D322" t="str">
        <f t="shared" ref="D322:D385" si="5">CONCATENATE(B322,LEFT(C322,4))</f>
        <v>SEF3924</v>
      </c>
      <c r="E322" t="s">
        <v>1645</v>
      </c>
    </row>
    <row r="323" spans="1:5" hidden="1" x14ac:dyDescent="0.25">
      <c r="A323">
        <v>1191</v>
      </c>
      <c r="B323" t="s">
        <v>585</v>
      </c>
      <c r="C323" t="s">
        <v>442</v>
      </c>
      <c r="D323" t="str">
        <f t="shared" si="5"/>
        <v>SEF3926</v>
      </c>
      <c r="E323" t="s">
        <v>1646</v>
      </c>
    </row>
    <row r="324" spans="1:5" hidden="1" x14ac:dyDescent="0.25">
      <c r="A324">
        <v>1191</v>
      </c>
      <c r="B324" t="s">
        <v>585</v>
      </c>
      <c r="C324" t="s">
        <v>1647</v>
      </c>
      <c r="D324" t="str">
        <f t="shared" si="5"/>
        <v>SEF3927</v>
      </c>
      <c r="E324" t="s">
        <v>1648</v>
      </c>
    </row>
    <row r="325" spans="1:5" hidden="1" x14ac:dyDescent="0.25">
      <c r="A325">
        <v>1191</v>
      </c>
      <c r="B325" t="s">
        <v>585</v>
      </c>
      <c r="C325" t="s">
        <v>457</v>
      </c>
      <c r="D325" t="str">
        <f t="shared" si="5"/>
        <v>SEF3930</v>
      </c>
      <c r="E325" t="s">
        <v>1646</v>
      </c>
    </row>
    <row r="326" spans="1:5" hidden="1" x14ac:dyDescent="0.25">
      <c r="A326">
        <v>1191</v>
      </c>
      <c r="B326" t="s">
        <v>585</v>
      </c>
      <c r="C326" t="s">
        <v>1650</v>
      </c>
      <c r="D326" t="str">
        <f t="shared" si="5"/>
        <v>SEF3931</v>
      </c>
      <c r="E326" t="s">
        <v>1623</v>
      </c>
    </row>
    <row r="327" spans="1:5" hidden="1" x14ac:dyDescent="0.25">
      <c r="A327">
        <v>1191</v>
      </c>
      <c r="B327" t="s">
        <v>585</v>
      </c>
      <c r="C327" t="s">
        <v>1652</v>
      </c>
      <c r="D327" t="str">
        <f t="shared" si="5"/>
        <v>SEF3936</v>
      </c>
      <c r="E327" t="s">
        <v>93</v>
      </c>
    </row>
    <row r="328" spans="1:5" hidden="1" x14ac:dyDescent="0.25">
      <c r="A328">
        <v>1191</v>
      </c>
      <c r="B328" t="s">
        <v>585</v>
      </c>
      <c r="C328" t="s">
        <v>1695</v>
      </c>
      <c r="D328" t="str">
        <f t="shared" si="5"/>
        <v>SEF3937</v>
      </c>
      <c r="E328" t="s">
        <v>1692</v>
      </c>
    </row>
    <row r="329" spans="1:5" hidden="1" x14ac:dyDescent="0.25">
      <c r="A329">
        <v>1191</v>
      </c>
      <c r="B329" t="s">
        <v>585</v>
      </c>
      <c r="C329" t="s">
        <v>1708</v>
      </c>
      <c r="D329" t="str">
        <f t="shared" si="5"/>
        <v>SEF3938</v>
      </c>
      <c r="E329" t="s">
        <v>1623</v>
      </c>
    </row>
    <row r="330" spans="1:5" hidden="1" x14ac:dyDescent="0.25">
      <c r="A330">
        <v>1191</v>
      </c>
      <c r="B330" t="s">
        <v>585</v>
      </c>
      <c r="C330" t="s">
        <v>1653</v>
      </c>
      <c r="D330" t="str">
        <f t="shared" si="5"/>
        <v>SEF3940</v>
      </c>
      <c r="E330" t="s">
        <v>1648</v>
      </c>
    </row>
    <row r="331" spans="1:5" hidden="1" x14ac:dyDescent="0.25">
      <c r="A331">
        <v>1191</v>
      </c>
      <c r="B331" t="s">
        <v>585</v>
      </c>
      <c r="C331" t="s">
        <v>479</v>
      </c>
      <c r="D331" t="str">
        <f t="shared" si="5"/>
        <v>SEF3941</v>
      </c>
      <c r="E331" t="s">
        <v>1623</v>
      </c>
    </row>
    <row r="332" spans="1:5" hidden="1" x14ac:dyDescent="0.25">
      <c r="A332">
        <v>1191</v>
      </c>
      <c r="B332" t="s">
        <v>585</v>
      </c>
      <c r="C332" t="s">
        <v>481</v>
      </c>
      <c r="D332" t="str">
        <f t="shared" si="5"/>
        <v>SEF3942</v>
      </c>
      <c r="E332" t="s">
        <v>1623</v>
      </c>
    </row>
    <row r="333" spans="1:5" hidden="1" x14ac:dyDescent="0.25">
      <c r="A333">
        <v>1191</v>
      </c>
      <c r="B333" t="s">
        <v>585</v>
      </c>
      <c r="C333" t="s">
        <v>1654</v>
      </c>
      <c r="D333" t="str">
        <f t="shared" si="5"/>
        <v>SEF3943</v>
      </c>
      <c r="E333" t="s">
        <v>1615</v>
      </c>
    </row>
    <row r="334" spans="1:5" hidden="1" x14ac:dyDescent="0.25">
      <c r="A334">
        <v>1191</v>
      </c>
      <c r="B334" t="s">
        <v>585</v>
      </c>
      <c r="C334" t="s">
        <v>491</v>
      </c>
      <c r="D334" t="str">
        <f t="shared" si="5"/>
        <v>SEF3948</v>
      </c>
      <c r="E334" t="s">
        <v>1645</v>
      </c>
    </row>
    <row r="335" spans="1:5" hidden="1" x14ac:dyDescent="0.25">
      <c r="A335">
        <v>1191</v>
      </c>
      <c r="B335" t="s">
        <v>585</v>
      </c>
      <c r="C335" t="s">
        <v>495</v>
      </c>
      <c r="D335" t="str">
        <f t="shared" si="5"/>
        <v>SEF3953</v>
      </c>
      <c r="E335" t="s">
        <v>1645</v>
      </c>
    </row>
    <row r="336" spans="1:5" hidden="1" x14ac:dyDescent="0.25">
      <c r="A336">
        <v>1191</v>
      </c>
      <c r="B336" t="s">
        <v>585</v>
      </c>
      <c r="C336" t="s">
        <v>497</v>
      </c>
      <c r="D336" t="str">
        <f t="shared" si="5"/>
        <v>SEF3955</v>
      </c>
      <c r="E336" t="s">
        <v>1623</v>
      </c>
    </row>
    <row r="337" spans="1:5" hidden="1" x14ac:dyDescent="0.25">
      <c r="A337">
        <v>1191</v>
      </c>
      <c r="B337" t="s">
        <v>585</v>
      </c>
      <c r="C337" t="s">
        <v>498</v>
      </c>
      <c r="D337" t="str">
        <f t="shared" si="5"/>
        <v>SEF3956</v>
      </c>
      <c r="E337" t="s">
        <v>1623</v>
      </c>
    </row>
    <row r="338" spans="1:5" hidden="1" x14ac:dyDescent="0.25">
      <c r="A338">
        <v>1191</v>
      </c>
      <c r="B338" t="s">
        <v>585</v>
      </c>
      <c r="C338" t="s">
        <v>1656</v>
      </c>
      <c r="D338" t="str">
        <f t="shared" si="5"/>
        <v>SEF3959</v>
      </c>
      <c r="E338" t="s">
        <v>1623</v>
      </c>
    </row>
    <row r="339" spans="1:5" hidden="1" x14ac:dyDescent="0.25">
      <c r="A339">
        <v>1191</v>
      </c>
      <c r="B339" t="s">
        <v>585</v>
      </c>
      <c r="C339" t="s">
        <v>1709</v>
      </c>
      <c r="D339" t="str">
        <f t="shared" si="5"/>
        <v>SEF3960</v>
      </c>
      <c r="E339" t="s">
        <v>1623</v>
      </c>
    </row>
    <row r="340" spans="1:5" hidden="1" x14ac:dyDescent="0.25">
      <c r="A340">
        <v>1191</v>
      </c>
      <c r="B340" t="s">
        <v>585</v>
      </c>
      <c r="C340" t="s">
        <v>1657</v>
      </c>
      <c r="D340" t="str">
        <f t="shared" si="5"/>
        <v>SEF3961</v>
      </c>
      <c r="E340" t="s">
        <v>102</v>
      </c>
    </row>
    <row r="341" spans="1:5" hidden="1" x14ac:dyDescent="0.25">
      <c r="A341">
        <v>1191</v>
      </c>
      <c r="B341" t="s">
        <v>585</v>
      </c>
      <c r="C341" t="s">
        <v>1696</v>
      </c>
      <c r="D341" t="str">
        <f t="shared" si="5"/>
        <v>SEF3962</v>
      </c>
      <c r="E341" t="s">
        <v>2103</v>
      </c>
    </row>
    <row r="342" spans="1:5" hidden="1" x14ac:dyDescent="0.25">
      <c r="A342">
        <v>1191</v>
      </c>
      <c r="B342" t="s">
        <v>585</v>
      </c>
      <c r="C342" t="s">
        <v>1659</v>
      </c>
      <c r="D342" t="str">
        <f t="shared" si="5"/>
        <v>SEF3969</v>
      </c>
      <c r="E342" t="s">
        <v>1637</v>
      </c>
    </row>
    <row r="343" spans="1:5" hidden="1" x14ac:dyDescent="0.25">
      <c r="A343">
        <v>1191</v>
      </c>
      <c r="B343" t="s">
        <v>585</v>
      </c>
      <c r="C343" t="s">
        <v>1660</v>
      </c>
      <c r="D343" t="str">
        <f t="shared" si="5"/>
        <v>SEF3970</v>
      </c>
      <c r="E343" t="s">
        <v>1648</v>
      </c>
    </row>
    <row r="344" spans="1:5" hidden="1" x14ac:dyDescent="0.25">
      <c r="A344">
        <v>1191</v>
      </c>
      <c r="B344" t="s">
        <v>585</v>
      </c>
      <c r="C344" t="s">
        <v>512</v>
      </c>
      <c r="D344" t="str">
        <f t="shared" si="5"/>
        <v>SEF3971</v>
      </c>
      <c r="E344" t="s">
        <v>2103</v>
      </c>
    </row>
    <row r="345" spans="1:5" hidden="1" x14ac:dyDescent="0.25">
      <c r="A345">
        <v>1191</v>
      </c>
      <c r="B345" t="s">
        <v>585</v>
      </c>
      <c r="C345" t="s">
        <v>515</v>
      </c>
      <c r="D345" t="str">
        <f t="shared" si="5"/>
        <v>SEF3974</v>
      </c>
      <c r="E345" t="s">
        <v>1697</v>
      </c>
    </row>
    <row r="346" spans="1:5" hidden="1" x14ac:dyDescent="0.25">
      <c r="A346">
        <v>1191</v>
      </c>
      <c r="B346" t="s">
        <v>585</v>
      </c>
      <c r="C346" t="s">
        <v>520</v>
      </c>
      <c r="D346" t="str">
        <f t="shared" si="5"/>
        <v>SEF3981</v>
      </c>
      <c r="E346" t="s">
        <v>1623</v>
      </c>
    </row>
    <row r="347" spans="1:5" hidden="1" x14ac:dyDescent="0.25">
      <c r="A347">
        <v>1191</v>
      </c>
      <c r="B347" t="s">
        <v>585</v>
      </c>
      <c r="C347" t="s">
        <v>1661</v>
      </c>
      <c r="D347" t="str">
        <f t="shared" si="5"/>
        <v>SEF3987</v>
      </c>
      <c r="E347" t="s">
        <v>1615</v>
      </c>
    </row>
    <row r="348" spans="1:5" hidden="1" x14ac:dyDescent="0.25">
      <c r="A348">
        <v>1191</v>
      </c>
      <c r="B348" t="s">
        <v>585</v>
      </c>
      <c r="C348" t="s">
        <v>1710</v>
      </c>
      <c r="D348" t="str">
        <f t="shared" si="5"/>
        <v>SEF3995</v>
      </c>
      <c r="E348" t="s">
        <v>1623</v>
      </c>
    </row>
    <row r="349" spans="1:5" hidden="1" x14ac:dyDescent="0.25">
      <c r="A349">
        <v>1191</v>
      </c>
      <c r="B349" t="s">
        <v>585</v>
      </c>
      <c r="C349" t="s">
        <v>1711</v>
      </c>
      <c r="D349" t="str">
        <f t="shared" si="5"/>
        <v>SEF3996</v>
      </c>
      <c r="E349" t="s">
        <v>1623</v>
      </c>
    </row>
    <row r="350" spans="1:5" hidden="1" x14ac:dyDescent="0.25">
      <c r="A350">
        <v>1191</v>
      </c>
      <c r="B350" t="s">
        <v>585</v>
      </c>
      <c r="C350" t="s">
        <v>1663</v>
      </c>
      <c r="D350" t="str">
        <f t="shared" si="5"/>
        <v>SEF3999</v>
      </c>
      <c r="E350" t="s">
        <v>1623</v>
      </c>
    </row>
    <row r="351" spans="1:5" hidden="1" x14ac:dyDescent="0.25">
      <c r="A351">
        <v>1191</v>
      </c>
      <c r="B351" t="s">
        <v>585</v>
      </c>
      <c r="C351" t="s">
        <v>1664</v>
      </c>
      <c r="D351" t="str">
        <f t="shared" si="5"/>
        <v>SEF4002</v>
      </c>
      <c r="E351" t="s">
        <v>1648</v>
      </c>
    </row>
    <row r="352" spans="1:5" hidden="1" x14ac:dyDescent="0.25">
      <c r="A352">
        <v>1191</v>
      </c>
      <c r="B352" t="s">
        <v>585</v>
      </c>
      <c r="C352" t="s">
        <v>1665</v>
      </c>
      <c r="D352" t="str">
        <f t="shared" si="5"/>
        <v>SEF4003</v>
      </c>
      <c r="E352" t="s">
        <v>93</v>
      </c>
    </row>
    <row r="353" spans="1:5" hidden="1" x14ac:dyDescent="0.25">
      <c r="A353">
        <v>1191</v>
      </c>
      <c r="B353" t="s">
        <v>585</v>
      </c>
      <c r="C353" t="s">
        <v>1666</v>
      </c>
      <c r="D353" t="str">
        <f t="shared" si="5"/>
        <v>SEF4004</v>
      </c>
      <c r="E353" t="s">
        <v>1648</v>
      </c>
    </row>
    <row r="354" spans="1:5" hidden="1" x14ac:dyDescent="0.25">
      <c r="A354">
        <v>1191</v>
      </c>
      <c r="B354" t="s">
        <v>585</v>
      </c>
      <c r="C354" t="s">
        <v>1667</v>
      </c>
      <c r="D354" t="str">
        <f t="shared" si="5"/>
        <v>SEF4005</v>
      </c>
      <c r="E354" t="s">
        <v>1648</v>
      </c>
    </row>
    <row r="355" spans="1:5" hidden="1" x14ac:dyDescent="0.25">
      <c r="A355">
        <v>1191</v>
      </c>
      <c r="B355" t="s">
        <v>585</v>
      </c>
      <c r="C355" t="s">
        <v>1698</v>
      </c>
      <c r="D355" t="str">
        <f t="shared" si="5"/>
        <v>SEF4006</v>
      </c>
      <c r="E355" t="s">
        <v>1675</v>
      </c>
    </row>
    <row r="356" spans="1:5" hidden="1" x14ac:dyDescent="0.25">
      <c r="A356">
        <v>1191</v>
      </c>
      <c r="B356" t="s">
        <v>585</v>
      </c>
      <c r="C356" t="s">
        <v>1699</v>
      </c>
      <c r="D356" t="str">
        <f t="shared" si="5"/>
        <v>SEF4007</v>
      </c>
      <c r="E356" t="s">
        <v>93</v>
      </c>
    </row>
    <row r="357" spans="1:5" hidden="1" x14ac:dyDescent="0.25">
      <c r="A357">
        <v>1191</v>
      </c>
      <c r="B357" t="s">
        <v>585</v>
      </c>
      <c r="C357" t="s">
        <v>1668</v>
      </c>
      <c r="D357" t="str">
        <f t="shared" si="5"/>
        <v>SEF4701</v>
      </c>
      <c r="E357" t="s">
        <v>1669</v>
      </c>
    </row>
    <row r="358" spans="1:5" hidden="1" x14ac:dyDescent="0.25">
      <c r="A358">
        <v>1191</v>
      </c>
      <c r="B358" t="s">
        <v>585</v>
      </c>
      <c r="C358" t="s">
        <v>264</v>
      </c>
      <c r="D358" t="str">
        <f t="shared" si="5"/>
        <v>SEF4703</v>
      </c>
      <c r="E358" t="s">
        <v>1669</v>
      </c>
    </row>
    <row r="359" spans="1:5" hidden="1" x14ac:dyDescent="0.25">
      <c r="A359">
        <v>1191</v>
      </c>
      <c r="B359" t="s">
        <v>585</v>
      </c>
      <c r="C359" t="s">
        <v>327</v>
      </c>
      <c r="D359" t="str">
        <f t="shared" si="5"/>
        <v>SEF4707</v>
      </c>
      <c r="E359" t="s">
        <v>1669</v>
      </c>
    </row>
    <row r="360" spans="1:5" hidden="1" x14ac:dyDescent="0.25">
      <c r="A360">
        <v>1191</v>
      </c>
      <c r="B360" t="s">
        <v>585</v>
      </c>
      <c r="C360" t="s">
        <v>363</v>
      </c>
      <c r="D360" t="str">
        <f t="shared" si="5"/>
        <v>SEF4799</v>
      </c>
      <c r="E360" t="s">
        <v>1669</v>
      </c>
    </row>
    <row r="361" spans="1:5" hidden="1" x14ac:dyDescent="0.25">
      <c r="A361">
        <v>1191</v>
      </c>
      <c r="B361" t="s">
        <v>585</v>
      </c>
      <c r="C361" t="s">
        <v>1712</v>
      </c>
      <c r="D361" t="str">
        <f t="shared" si="5"/>
        <v>SEF4905</v>
      </c>
      <c r="E361" t="s">
        <v>64</v>
      </c>
    </row>
    <row r="362" spans="1:5" hidden="1" x14ac:dyDescent="0.25">
      <c r="A362">
        <v>1191</v>
      </c>
      <c r="B362" t="s">
        <v>585</v>
      </c>
      <c r="C362" t="s">
        <v>1672</v>
      </c>
      <c r="D362" t="str">
        <f t="shared" si="5"/>
        <v>SEF5103</v>
      </c>
      <c r="E362" t="s">
        <v>1671</v>
      </c>
    </row>
    <row r="363" spans="1:5" hidden="1" x14ac:dyDescent="0.25">
      <c r="A363">
        <v>1191</v>
      </c>
      <c r="B363" t="s">
        <v>585</v>
      </c>
      <c r="C363" t="s">
        <v>371</v>
      </c>
      <c r="D363" t="str">
        <f t="shared" si="5"/>
        <v>SEF5113</v>
      </c>
      <c r="E363" t="s">
        <v>1671</v>
      </c>
    </row>
    <row r="364" spans="1:5" hidden="1" x14ac:dyDescent="0.25">
      <c r="A364">
        <v>1191</v>
      </c>
      <c r="B364" t="s">
        <v>585</v>
      </c>
      <c r="C364" t="s">
        <v>1673</v>
      </c>
      <c r="D364" t="str">
        <f t="shared" si="5"/>
        <v>SEF5204</v>
      </c>
      <c r="E364" t="s">
        <v>1674</v>
      </c>
    </row>
    <row r="365" spans="1:5" hidden="1" x14ac:dyDescent="0.25">
      <c r="A365">
        <v>1191</v>
      </c>
      <c r="B365" t="s">
        <v>585</v>
      </c>
      <c r="C365" t="s">
        <v>328</v>
      </c>
      <c r="D365" t="str">
        <f t="shared" si="5"/>
        <v>SEF5206</v>
      </c>
      <c r="E365" t="s">
        <v>1675</v>
      </c>
    </row>
    <row r="366" spans="1:5" hidden="1" x14ac:dyDescent="0.25">
      <c r="A366">
        <v>1191</v>
      </c>
      <c r="B366" t="s">
        <v>585</v>
      </c>
      <c r="C366" t="s">
        <v>1676</v>
      </c>
      <c r="D366" t="str">
        <f t="shared" si="5"/>
        <v>SEF5207</v>
      </c>
      <c r="E366" t="s">
        <v>1675</v>
      </c>
    </row>
    <row r="367" spans="1:5" hidden="1" x14ac:dyDescent="0.25">
      <c r="A367">
        <v>1191</v>
      </c>
      <c r="B367" t="s">
        <v>585</v>
      </c>
      <c r="C367" t="s">
        <v>1677</v>
      </c>
      <c r="D367" t="str">
        <f t="shared" si="5"/>
        <v>SEF5208</v>
      </c>
      <c r="E367" t="s">
        <v>1675</v>
      </c>
    </row>
    <row r="368" spans="1:5" hidden="1" x14ac:dyDescent="0.25">
      <c r="A368">
        <v>1191</v>
      </c>
      <c r="B368" t="s">
        <v>585</v>
      </c>
      <c r="C368" t="s">
        <v>1678</v>
      </c>
      <c r="D368" t="str">
        <f t="shared" si="5"/>
        <v>SEF5210</v>
      </c>
      <c r="E368" t="s">
        <v>1674</v>
      </c>
    </row>
    <row r="369" spans="1:5" hidden="1" x14ac:dyDescent="0.25">
      <c r="A369">
        <v>1191</v>
      </c>
      <c r="B369" t="s">
        <v>585</v>
      </c>
      <c r="C369" t="s">
        <v>1713</v>
      </c>
      <c r="D369" t="str">
        <f t="shared" si="5"/>
        <v>SEF5211</v>
      </c>
      <c r="E369" t="s">
        <v>1606</v>
      </c>
    </row>
    <row r="370" spans="1:5" hidden="1" x14ac:dyDescent="0.25">
      <c r="A370">
        <v>1191</v>
      </c>
      <c r="B370" t="s">
        <v>585</v>
      </c>
      <c r="C370" t="s">
        <v>1679</v>
      </c>
      <c r="D370" t="str">
        <f t="shared" si="5"/>
        <v>SEF5212</v>
      </c>
      <c r="E370" t="s">
        <v>1674</v>
      </c>
    </row>
    <row r="371" spans="1:5" hidden="1" x14ac:dyDescent="0.25">
      <c r="A371">
        <v>1191</v>
      </c>
      <c r="B371" t="s">
        <v>585</v>
      </c>
      <c r="C371" t="s">
        <v>390</v>
      </c>
      <c r="D371" t="str">
        <f t="shared" si="5"/>
        <v>SEF5214</v>
      </c>
      <c r="E371" t="s">
        <v>1674</v>
      </c>
    </row>
    <row r="372" spans="1:5" hidden="1" x14ac:dyDescent="0.25">
      <c r="A372">
        <v>1191</v>
      </c>
      <c r="B372" t="s">
        <v>585</v>
      </c>
      <c r="C372" t="s">
        <v>408</v>
      </c>
      <c r="D372" t="str">
        <f t="shared" si="5"/>
        <v>SEF5217</v>
      </c>
      <c r="E372" t="s">
        <v>1674</v>
      </c>
    </row>
    <row r="373" spans="1:5" hidden="1" x14ac:dyDescent="0.25">
      <c r="A373">
        <v>1191</v>
      </c>
      <c r="B373" t="s">
        <v>585</v>
      </c>
      <c r="C373" t="s">
        <v>1681</v>
      </c>
      <c r="D373" t="str">
        <f t="shared" si="5"/>
        <v>SEF5220</v>
      </c>
      <c r="E373" t="s">
        <v>1675</v>
      </c>
    </row>
    <row r="374" spans="1:5" hidden="1" x14ac:dyDescent="0.25">
      <c r="A374">
        <v>1191</v>
      </c>
      <c r="B374" t="s">
        <v>585</v>
      </c>
      <c r="C374" t="s">
        <v>448</v>
      </c>
      <c r="D374" t="str">
        <f t="shared" si="5"/>
        <v>SEF5225</v>
      </c>
      <c r="E374" t="s">
        <v>1674</v>
      </c>
    </row>
    <row r="375" spans="1:5" hidden="1" x14ac:dyDescent="0.25">
      <c r="A375">
        <v>1191</v>
      </c>
      <c r="B375" t="s">
        <v>585</v>
      </c>
      <c r="C375" t="s">
        <v>458</v>
      </c>
      <c r="D375" t="str">
        <f t="shared" si="5"/>
        <v>SEF5299</v>
      </c>
      <c r="E375" t="s">
        <v>1674</v>
      </c>
    </row>
    <row r="376" spans="1:5" hidden="1" x14ac:dyDescent="0.25">
      <c r="A376">
        <v>1191</v>
      </c>
      <c r="B376" t="s">
        <v>585</v>
      </c>
      <c r="C376" t="s">
        <v>1684</v>
      </c>
      <c r="D376" t="str">
        <f t="shared" si="5"/>
        <v>SEF9202</v>
      </c>
      <c r="E376" t="s">
        <v>1685</v>
      </c>
    </row>
    <row r="377" spans="1:5" hidden="1" x14ac:dyDescent="0.25">
      <c r="A377">
        <v>1191</v>
      </c>
      <c r="B377" t="s">
        <v>585</v>
      </c>
      <c r="C377" t="s">
        <v>249</v>
      </c>
      <c r="D377" t="str">
        <f t="shared" si="5"/>
        <v>SEF9301</v>
      </c>
      <c r="E377" t="s">
        <v>1623</v>
      </c>
    </row>
    <row r="378" spans="1:5" hidden="1" x14ac:dyDescent="0.25">
      <c r="A378">
        <v>1191</v>
      </c>
      <c r="B378" t="s">
        <v>585</v>
      </c>
      <c r="C378" t="s">
        <v>359</v>
      </c>
      <c r="D378" t="str">
        <f t="shared" si="5"/>
        <v>SEF9309</v>
      </c>
      <c r="E378" t="s">
        <v>1623</v>
      </c>
    </row>
    <row r="379" spans="1:5" hidden="1" x14ac:dyDescent="0.25">
      <c r="A379">
        <v>1191</v>
      </c>
      <c r="B379" t="s">
        <v>585</v>
      </c>
      <c r="C379" t="s">
        <v>366</v>
      </c>
      <c r="D379" t="str">
        <f t="shared" si="5"/>
        <v>SEF9310</v>
      </c>
      <c r="E379" t="s">
        <v>1623</v>
      </c>
    </row>
    <row r="380" spans="1:5" hidden="1" x14ac:dyDescent="0.25">
      <c r="A380">
        <v>1191</v>
      </c>
      <c r="B380" t="s">
        <v>585</v>
      </c>
      <c r="C380" t="s">
        <v>1687</v>
      </c>
      <c r="D380" t="str">
        <f t="shared" si="5"/>
        <v>SEF9399</v>
      </c>
      <c r="E380" t="s">
        <v>1623</v>
      </c>
    </row>
    <row r="381" spans="1:5" hidden="1" x14ac:dyDescent="0.25">
      <c r="A381">
        <v>1221</v>
      </c>
      <c r="B381" t="s">
        <v>582</v>
      </c>
      <c r="C381" t="s">
        <v>331</v>
      </c>
      <c r="D381" t="str">
        <f t="shared" si="5"/>
        <v>SEDE1314</v>
      </c>
      <c r="E381" t="s">
        <v>1689</v>
      </c>
    </row>
    <row r="382" spans="1:5" hidden="1" x14ac:dyDescent="0.25">
      <c r="A382">
        <v>1221</v>
      </c>
      <c r="B382" t="s">
        <v>582</v>
      </c>
      <c r="C382" t="s">
        <v>1688</v>
      </c>
      <c r="D382" t="str">
        <f t="shared" si="5"/>
        <v>SEDE1317</v>
      </c>
      <c r="E382" t="s">
        <v>1689</v>
      </c>
    </row>
    <row r="383" spans="1:5" hidden="1" x14ac:dyDescent="0.25">
      <c r="A383">
        <v>1221</v>
      </c>
      <c r="B383" t="s">
        <v>582</v>
      </c>
      <c r="C383" t="s">
        <v>1597</v>
      </c>
      <c r="D383" t="str">
        <f t="shared" si="5"/>
        <v>SEDE1401</v>
      </c>
      <c r="E383" t="s">
        <v>43</v>
      </c>
    </row>
    <row r="384" spans="1:5" hidden="1" x14ac:dyDescent="0.25">
      <c r="A384">
        <v>1221</v>
      </c>
      <c r="B384" t="s">
        <v>582</v>
      </c>
      <c r="C384" t="s">
        <v>1599</v>
      </c>
      <c r="D384" t="str">
        <f t="shared" si="5"/>
        <v>SEDE3001</v>
      </c>
      <c r="E384" t="s">
        <v>1600</v>
      </c>
    </row>
    <row r="385" spans="1:5" hidden="1" x14ac:dyDescent="0.25">
      <c r="A385">
        <v>1221</v>
      </c>
      <c r="B385" t="s">
        <v>582</v>
      </c>
      <c r="C385" t="s">
        <v>1601</v>
      </c>
      <c r="D385" t="str">
        <f t="shared" si="5"/>
        <v>SEDE3003</v>
      </c>
      <c r="E385" t="s">
        <v>1600</v>
      </c>
    </row>
    <row r="386" spans="1:5" hidden="1" x14ac:dyDescent="0.25">
      <c r="A386">
        <v>1221</v>
      </c>
      <c r="B386" t="s">
        <v>582</v>
      </c>
      <c r="C386" t="s">
        <v>1602</v>
      </c>
      <c r="D386" t="str">
        <f t="shared" ref="D386:D449" si="6">CONCATENATE(B386,LEFT(C386,4))</f>
        <v>SEDE3004</v>
      </c>
      <c r="E386" t="s">
        <v>1600</v>
      </c>
    </row>
    <row r="387" spans="1:5" hidden="1" x14ac:dyDescent="0.25">
      <c r="A387">
        <v>1221</v>
      </c>
      <c r="B387" t="s">
        <v>582</v>
      </c>
      <c r="C387" t="s">
        <v>1603</v>
      </c>
      <c r="D387" t="str">
        <f t="shared" si="6"/>
        <v>SEDE3005</v>
      </c>
      <c r="E387" t="s">
        <v>1600</v>
      </c>
    </row>
    <row r="388" spans="1:5" hidden="1" x14ac:dyDescent="0.25">
      <c r="A388">
        <v>1221</v>
      </c>
      <c r="B388" t="s">
        <v>582</v>
      </c>
      <c r="C388" t="s">
        <v>322</v>
      </c>
      <c r="D388" t="str">
        <f t="shared" si="6"/>
        <v>SEDE3006</v>
      </c>
      <c r="E388" t="s">
        <v>1600</v>
      </c>
    </row>
    <row r="389" spans="1:5" hidden="1" x14ac:dyDescent="0.25">
      <c r="A389">
        <v>1221</v>
      </c>
      <c r="B389" t="s">
        <v>582</v>
      </c>
      <c r="C389" t="s">
        <v>1605</v>
      </c>
      <c r="D389" t="str">
        <f t="shared" si="6"/>
        <v>SEDE3010</v>
      </c>
      <c r="E389" t="s">
        <v>1606</v>
      </c>
    </row>
    <row r="390" spans="1:5" hidden="1" x14ac:dyDescent="0.25">
      <c r="A390">
        <v>1221</v>
      </c>
      <c r="B390" t="s">
        <v>582</v>
      </c>
      <c r="C390" t="s">
        <v>368</v>
      </c>
      <c r="D390" t="str">
        <f t="shared" si="6"/>
        <v>SEDE3011</v>
      </c>
      <c r="E390" t="s">
        <v>1600</v>
      </c>
    </row>
    <row r="391" spans="1:5" hidden="1" x14ac:dyDescent="0.25">
      <c r="A391">
        <v>1221</v>
      </c>
      <c r="B391" t="s">
        <v>582</v>
      </c>
      <c r="C391" t="s">
        <v>137</v>
      </c>
      <c r="D391" t="str">
        <f t="shared" si="6"/>
        <v>SEDE3012</v>
      </c>
      <c r="E391" t="s">
        <v>1606</v>
      </c>
    </row>
    <row r="392" spans="1:5" hidden="1" x14ac:dyDescent="0.25">
      <c r="A392">
        <v>1221</v>
      </c>
      <c r="B392" t="s">
        <v>582</v>
      </c>
      <c r="C392" t="s">
        <v>1607</v>
      </c>
      <c r="D392" t="str">
        <f t="shared" si="6"/>
        <v>SEDE3013</v>
      </c>
      <c r="E392" t="s">
        <v>1600</v>
      </c>
    </row>
    <row r="393" spans="1:5" hidden="1" x14ac:dyDescent="0.25">
      <c r="A393">
        <v>1221</v>
      </c>
      <c r="B393" t="s">
        <v>582</v>
      </c>
      <c r="C393" t="s">
        <v>1608</v>
      </c>
      <c r="D393" t="str">
        <f t="shared" si="6"/>
        <v>SEDE3015</v>
      </c>
      <c r="E393" t="s">
        <v>1600</v>
      </c>
    </row>
    <row r="394" spans="1:5" hidden="1" x14ac:dyDescent="0.25">
      <c r="A394">
        <v>1221</v>
      </c>
      <c r="B394" t="s">
        <v>582</v>
      </c>
      <c r="C394" t="s">
        <v>1609</v>
      </c>
      <c r="D394" t="str">
        <f t="shared" si="6"/>
        <v>SEDE3016</v>
      </c>
      <c r="E394" t="s">
        <v>1600</v>
      </c>
    </row>
    <row r="395" spans="1:5" hidden="1" x14ac:dyDescent="0.25">
      <c r="A395">
        <v>1221</v>
      </c>
      <c r="B395" t="s">
        <v>582</v>
      </c>
      <c r="C395" t="s">
        <v>405</v>
      </c>
      <c r="D395" t="str">
        <f t="shared" si="6"/>
        <v>SEDE3017</v>
      </c>
      <c r="E395" t="s">
        <v>1600</v>
      </c>
    </row>
    <row r="396" spans="1:5" hidden="1" x14ac:dyDescent="0.25">
      <c r="A396">
        <v>1221</v>
      </c>
      <c r="B396" t="s">
        <v>582</v>
      </c>
      <c r="C396" t="s">
        <v>1610</v>
      </c>
      <c r="D396" t="str">
        <f t="shared" si="6"/>
        <v>SEDE3019</v>
      </c>
      <c r="E396" t="s">
        <v>1611</v>
      </c>
    </row>
    <row r="397" spans="1:5" hidden="1" x14ac:dyDescent="0.25">
      <c r="A397">
        <v>1221</v>
      </c>
      <c r="B397" t="s">
        <v>582</v>
      </c>
      <c r="C397" t="s">
        <v>1612</v>
      </c>
      <c r="D397" t="str">
        <f t="shared" si="6"/>
        <v>SEDE3020</v>
      </c>
      <c r="E397" t="s">
        <v>1600</v>
      </c>
    </row>
    <row r="398" spans="1:5" hidden="1" x14ac:dyDescent="0.25">
      <c r="A398">
        <v>1221</v>
      </c>
      <c r="B398" t="s">
        <v>582</v>
      </c>
      <c r="C398" t="s">
        <v>430</v>
      </c>
      <c r="D398" t="str">
        <f t="shared" si="6"/>
        <v>SEDE3022</v>
      </c>
      <c r="E398" t="s">
        <v>1600</v>
      </c>
    </row>
    <row r="399" spans="1:5" hidden="1" x14ac:dyDescent="0.25">
      <c r="A399">
        <v>1221</v>
      </c>
      <c r="B399" t="s">
        <v>582</v>
      </c>
      <c r="C399" t="s">
        <v>1614</v>
      </c>
      <c r="D399" t="str">
        <f t="shared" si="6"/>
        <v>SEDE3023</v>
      </c>
      <c r="E399" t="s">
        <v>1615</v>
      </c>
    </row>
    <row r="400" spans="1:5" hidden="1" x14ac:dyDescent="0.25">
      <c r="A400">
        <v>1221</v>
      </c>
      <c r="B400" t="s">
        <v>582</v>
      </c>
      <c r="C400" t="s">
        <v>440</v>
      </c>
      <c r="D400" t="str">
        <f t="shared" si="6"/>
        <v>SEDE3024</v>
      </c>
      <c r="E400" t="s">
        <v>1600</v>
      </c>
    </row>
    <row r="401" spans="1:5" hidden="1" x14ac:dyDescent="0.25">
      <c r="A401">
        <v>1221</v>
      </c>
      <c r="B401" t="s">
        <v>582</v>
      </c>
      <c r="C401" t="s">
        <v>1616</v>
      </c>
      <c r="D401" t="str">
        <f t="shared" si="6"/>
        <v>SEDE3025</v>
      </c>
      <c r="E401" t="s">
        <v>1600</v>
      </c>
    </row>
    <row r="402" spans="1:5" hidden="1" x14ac:dyDescent="0.25">
      <c r="A402">
        <v>1221</v>
      </c>
      <c r="B402" t="s">
        <v>582</v>
      </c>
      <c r="C402" t="s">
        <v>1617</v>
      </c>
      <c r="D402" t="str">
        <f t="shared" si="6"/>
        <v>SEDE3026</v>
      </c>
      <c r="E402" t="s">
        <v>1615</v>
      </c>
    </row>
    <row r="403" spans="1:5" hidden="1" x14ac:dyDescent="0.25">
      <c r="A403">
        <v>1221</v>
      </c>
      <c r="B403" t="s">
        <v>582</v>
      </c>
      <c r="C403" t="s">
        <v>466</v>
      </c>
      <c r="D403" t="str">
        <f t="shared" si="6"/>
        <v>SEDE3030</v>
      </c>
      <c r="E403" t="s">
        <v>1600</v>
      </c>
    </row>
    <row r="404" spans="1:5" hidden="1" x14ac:dyDescent="0.25">
      <c r="A404">
        <v>1221</v>
      </c>
      <c r="B404" t="s">
        <v>582</v>
      </c>
      <c r="C404" t="s">
        <v>490</v>
      </c>
      <c r="D404" t="str">
        <f t="shared" si="6"/>
        <v>SEDE3099</v>
      </c>
      <c r="E404" t="s">
        <v>1600</v>
      </c>
    </row>
    <row r="405" spans="1:5" hidden="1" x14ac:dyDescent="0.25">
      <c r="A405">
        <v>1221</v>
      </c>
      <c r="B405" t="s">
        <v>582</v>
      </c>
      <c r="C405" t="s">
        <v>53</v>
      </c>
      <c r="D405" t="str">
        <f t="shared" si="6"/>
        <v>SEDE3301</v>
      </c>
      <c r="E405" t="s">
        <v>43</v>
      </c>
    </row>
    <row r="406" spans="1:5" hidden="1" x14ac:dyDescent="0.25">
      <c r="A406">
        <v>1221</v>
      </c>
      <c r="B406" t="s">
        <v>582</v>
      </c>
      <c r="C406" t="s">
        <v>1626</v>
      </c>
      <c r="D406" t="str">
        <f t="shared" si="6"/>
        <v>SEDE3302</v>
      </c>
      <c r="E406" t="s">
        <v>43</v>
      </c>
    </row>
    <row r="407" spans="1:5" hidden="1" x14ac:dyDescent="0.25">
      <c r="A407">
        <v>1221</v>
      </c>
      <c r="B407" t="s">
        <v>582</v>
      </c>
      <c r="C407" t="s">
        <v>1627</v>
      </c>
      <c r="D407" t="str">
        <f t="shared" si="6"/>
        <v>SEDE3304</v>
      </c>
      <c r="E407" t="s">
        <v>43</v>
      </c>
    </row>
    <row r="408" spans="1:5" hidden="1" x14ac:dyDescent="0.25">
      <c r="A408">
        <v>1221</v>
      </c>
      <c r="B408" t="s">
        <v>582</v>
      </c>
      <c r="C408" t="s">
        <v>308</v>
      </c>
      <c r="D408" t="str">
        <f t="shared" si="6"/>
        <v>SEDE3305</v>
      </c>
      <c r="E408" t="s">
        <v>43</v>
      </c>
    </row>
    <row r="409" spans="1:5" hidden="1" x14ac:dyDescent="0.25">
      <c r="A409">
        <v>1221</v>
      </c>
      <c r="B409" t="s">
        <v>582</v>
      </c>
      <c r="C409" t="s">
        <v>1705</v>
      </c>
      <c r="D409" t="str">
        <f t="shared" si="6"/>
        <v>SEDE3502</v>
      </c>
      <c r="E409" t="s">
        <v>1706</v>
      </c>
    </row>
    <row r="410" spans="1:5" hidden="1" x14ac:dyDescent="0.25">
      <c r="A410">
        <v>1221</v>
      </c>
      <c r="B410" t="s">
        <v>582</v>
      </c>
      <c r="C410" t="s">
        <v>296</v>
      </c>
      <c r="D410" t="str">
        <f t="shared" si="6"/>
        <v>SEDE3604</v>
      </c>
      <c r="E410" t="s">
        <v>43</v>
      </c>
    </row>
    <row r="411" spans="1:5" hidden="1" x14ac:dyDescent="0.25">
      <c r="A411">
        <v>1221</v>
      </c>
      <c r="B411" t="s">
        <v>582</v>
      </c>
      <c r="C411" t="s">
        <v>354</v>
      </c>
      <c r="D411" t="str">
        <f t="shared" si="6"/>
        <v>SEDE3610</v>
      </c>
      <c r="E411" t="s">
        <v>1623</v>
      </c>
    </row>
    <row r="412" spans="1:5" hidden="1" x14ac:dyDescent="0.25">
      <c r="A412">
        <v>1221</v>
      </c>
      <c r="B412" t="s">
        <v>582</v>
      </c>
      <c r="C412" t="s">
        <v>1628</v>
      </c>
      <c r="D412" t="str">
        <f t="shared" si="6"/>
        <v>SEDE3612</v>
      </c>
      <c r="E412" t="s">
        <v>1623</v>
      </c>
    </row>
    <row r="413" spans="1:5" hidden="1" x14ac:dyDescent="0.25">
      <c r="A413">
        <v>1221</v>
      </c>
      <c r="B413" t="s">
        <v>582</v>
      </c>
      <c r="C413" t="s">
        <v>382</v>
      </c>
      <c r="D413" t="str">
        <f t="shared" si="6"/>
        <v>SEDE3614</v>
      </c>
      <c r="E413" t="s">
        <v>1623</v>
      </c>
    </row>
    <row r="414" spans="1:5" hidden="1" x14ac:dyDescent="0.25">
      <c r="A414">
        <v>1221</v>
      </c>
      <c r="B414" t="s">
        <v>582</v>
      </c>
      <c r="C414" t="s">
        <v>1693</v>
      </c>
      <c r="D414" t="str">
        <f t="shared" si="6"/>
        <v>SEDE3702</v>
      </c>
      <c r="E414" t="s">
        <v>1630</v>
      </c>
    </row>
    <row r="415" spans="1:5" hidden="1" x14ac:dyDescent="0.25">
      <c r="A415">
        <v>1221</v>
      </c>
      <c r="B415" t="s">
        <v>582</v>
      </c>
      <c r="C415" t="s">
        <v>1631</v>
      </c>
      <c r="D415" t="str">
        <f t="shared" si="6"/>
        <v>SEDE3703</v>
      </c>
      <c r="E415" t="s">
        <v>116</v>
      </c>
    </row>
    <row r="416" spans="1:5" hidden="1" x14ac:dyDescent="0.25">
      <c r="A416">
        <v>1221</v>
      </c>
      <c r="B416" t="s">
        <v>582</v>
      </c>
      <c r="C416" t="s">
        <v>1632</v>
      </c>
      <c r="D416" t="str">
        <f t="shared" si="6"/>
        <v>SEDE3704</v>
      </c>
      <c r="E416" t="s">
        <v>116</v>
      </c>
    </row>
    <row r="417" spans="1:5" hidden="1" x14ac:dyDescent="0.25">
      <c r="A417">
        <v>1221</v>
      </c>
      <c r="B417" t="s">
        <v>582</v>
      </c>
      <c r="C417" t="s">
        <v>1633</v>
      </c>
      <c r="D417" t="str">
        <f t="shared" si="6"/>
        <v>SEDE3705</v>
      </c>
      <c r="E417" t="s">
        <v>116</v>
      </c>
    </row>
    <row r="418" spans="1:5" hidden="1" x14ac:dyDescent="0.25">
      <c r="A418">
        <v>1221</v>
      </c>
      <c r="B418" t="s">
        <v>582</v>
      </c>
      <c r="C418" t="s">
        <v>1634</v>
      </c>
      <c r="D418" t="str">
        <f t="shared" si="6"/>
        <v>SEDE3903</v>
      </c>
      <c r="E418" t="s">
        <v>1623</v>
      </c>
    </row>
    <row r="419" spans="1:5" hidden="1" x14ac:dyDescent="0.25">
      <c r="A419">
        <v>1221</v>
      </c>
      <c r="B419" t="s">
        <v>582</v>
      </c>
      <c r="C419" t="s">
        <v>325</v>
      </c>
      <c r="D419" t="str">
        <f t="shared" si="6"/>
        <v>SEDE3906</v>
      </c>
      <c r="E419" t="s">
        <v>1623</v>
      </c>
    </row>
    <row r="420" spans="1:5" hidden="1" x14ac:dyDescent="0.25">
      <c r="A420">
        <v>1221</v>
      </c>
      <c r="B420" t="s">
        <v>582</v>
      </c>
      <c r="C420" t="s">
        <v>335</v>
      </c>
      <c r="D420" t="str">
        <f t="shared" si="6"/>
        <v>SEDE3909</v>
      </c>
      <c r="E420" t="s">
        <v>1623</v>
      </c>
    </row>
    <row r="421" spans="1:5" hidden="1" x14ac:dyDescent="0.25">
      <c r="A421">
        <v>1221</v>
      </c>
      <c r="B421" t="s">
        <v>582</v>
      </c>
      <c r="C421" t="s">
        <v>345</v>
      </c>
      <c r="D421" t="str">
        <f t="shared" si="6"/>
        <v>SEDE3910</v>
      </c>
      <c r="E421" t="s">
        <v>1623</v>
      </c>
    </row>
    <row r="422" spans="1:5" hidden="1" x14ac:dyDescent="0.25">
      <c r="A422">
        <v>1221</v>
      </c>
      <c r="B422" t="s">
        <v>582</v>
      </c>
      <c r="C422" t="s">
        <v>355</v>
      </c>
      <c r="D422" t="str">
        <f t="shared" si="6"/>
        <v>SEDE3911</v>
      </c>
      <c r="E422" t="s">
        <v>1623</v>
      </c>
    </row>
    <row r="423" spans="1:5" hidden="1" x14ac:dyDescent="0.25">
      <c r="A423">
        <v>1221</v>
      </c>
      <c r="B423" t="s">
        <v>582</v>
      </c>
      <c r="C423" t="s">
        <v>1636</v>
      </c>
      <c r="D423" t="str">
        <f t="shared" si="6"/>
        <v>SEDE3912</v>
      </c>
      <c r="E423" t="s">
        <v>1637</v>
      </c>
    </row>
    <row r="424" spans="1:5" hidden="1" x14ac:dyDescent="0.25">
      <c r="A424">
        <v>1221</v>
      </c>
      <c r="B424" t="s">
        <v>582</v>
      </c>
      <c r="C424" t="s">
        <v>1638</v>
      </c>
      <c r="D424" t="str">
        <f t="shared" si="6"/>
        <v>SEDE3913</v>
      </c>
      <c r="E424" t="s">
        <v>1637</v>
      </c>
    </row>
    <row r="425" spans="1:5" hidden="1" x14ac:dyDescent="0.25">
      <c r="A425">
        <v>1221</v>
      </c>
      <c r="B425" t="s">
        <v>582</v>
      </c>
      <c r="C425" t="s">
        <v>1639</v>
      </c>
      <c r="D425" t="str">
        <f t="shared" si="6"/>
        <v>SEDE3917</v>
      </c>
      <c r="E425" t="s">
        <v>1615</v>
      </c>
    </row>
    <row r="426" spans="1:5" hidden="1" x14ac:dyDescent="0.25">
      <c r="A426">
        <v>1221</v>
      </c>
      <c r="B426" t="s">
        <v>582</v>
      </c>
      <c r="C426" t="s">
        <v>1640</v>
      </c>
      <c r="D426" t="str">
        <f t="shared" si="6"/>
        <v>SEDE3918</v>
      </c>
      <c r="E426" t="s">
        <v>1615</v>
      </c>
    </row>
    <row r="427" spans="1:5" hidden="1" x14ac:dyDescent="0.25">
      <c r="A427">
        <v>1221</v>
      </c>
      <c r="B427" t="s">
        <v>582</v>
      </c>
      <c r="C427" t="s">
        <v>1641</v>
      </c>
      <c r="D427" t="str">
        <f t="shared" si="6"/>
        <v>SEDE3919</v>
      </c>
      <c r="E427" t="s">
        <v>2102</v>
      </c>
    </row>
    <row r="428" spans="1:5" hidden="1" x14ac:dyDescent="0.25">
      <c r="A428">
        <v>1221</v>
      </c>
      <c r="B428" t="s">
        <v>582</v>
      </c>
      <c r="C428" t="s">
        <v>1642</v>
      </c>
      <c r="D428" t="str">
        <f t="shared" si="6"/>
        <v>SEDE3921</v>
      </c>
      <c r="E428" t="s">
        <v>2102</v>
      </c>
    </row>
    <row r="429" spans="1:5" hidden="1" x14ac:dyDescent="0.25">
      <c r="A429">
        <v>1221</v>
      </c>
      <c r="B429" t="s">
        <v>582</v>
      </c>
      <c r="C429" t="s">
        <v>427</v>
      </c>
      <c r="D429" t="str">
        <f t="shared" si="6"/>
        <v>SEDE3923</v>
      </c>
      <c r="E429" t="s">
        <v>1623</v>
      </c>
    </row>
    <row r="430" spans="1:5" hidden="1" x14ac:dyDescent="0.25">
      <c r="A430">
        <v>1221</v>
      </c>
      <c r="B430" t="s">
        <v>582</v>
      </c>
      <c r="C430" t="s">
        <v>1644</v>
      </c>
      <c r="D430" t="str">
        <f t="shared" si="6"/>
        <v>SEDE3924</v>
      </c>
      <c r="E430" t="s">
        <v>1645</v>
      </c>
    </row>
    <row r="431" spans="1:5" hidden="1" x14ac:dyDescent="0.25">
      <c r="A431">
        <v>1221</v>
      </c>
      <c r="B431" t="s">
        <v>582</v>
      </c>
      <c r="C431" t="s">
        <v>442</v>
      </c>
      <c r="D431" t="str">
        <f t="shared" si="6"/>
        <v>SEDE3926</v>
      </c>
      <c r="E431" t="s">
        <v>1646</v>
      </c>
    </row>
    <row r="432" spans="1:5" hidden="1" x14ac:dyDescent="0.25">
      <c r="A432">
        <v>1221</v>
      </c>
      <c r="B432" t="s">
        <v>582</v>
      </c>
      <c r="C432" t="s">
        <v>457</v>
      </c>
      <c r="D432" t="str">
        <f t="shared" si="6"/>
        <v>SEDE3930</v>
      </c>
      <c r="E432" t="s">
        <v>1646</v>
      </c>
    </row>
    <row r="433" spans="1:5" hidden="1" x14ac:dyDescent="0.25">
      <c r="A433">
        <v>1221</v>
      </c>
      <c r="B433" t="s">
        <v>582</v>
      </c>
      <c r="C433" t="s">
        <v>1650</v>
      </c>
      <c r="D433" t="str">
        <f t="shared" si="6"/>
        <v>SEDE3931</v>
      </c>
      <c r="E433" t="s">
        <v>1623</v>
      </c>
    </row>
    <row r="434" spans="1:5" hidden="1" x14ac:dyDescent="0.25">
      <c r="A434">
        <v>1221</v>
      </c>
      <c r="B434" t="s">
        <v>582</v>
      </c>
      <c r="C434" t="s">
        <v>1652</v>
      </c>
      <c r="D434" t="str">
        <f t="shared" si="6"/>
        <v>SEDE3936</v>
      </c>
      <c r="E434" t="s">
        <v>93</v>
      </c>
    </row>
    <row r="435" spans="1:5" hidden="1" x14ac:dyDescent="0.25">
      <c r="A435">
        <v>1221</v>
      </c>
      <c r="B435" t="s">
        <v>582</v>
      </c>
      <c r="C435" t="s">
        <v>1695</v>
      </c>
      <c r="D435" t="str">
        <f t="shared" si="6"/>
        <v>SEDE3937</v>
      </c>
      <c r="E435" t="s">
        <v>1692</v>
      </c>
    </row>
    <row r="436" spans="1:5" hidden="1" x14ac:dyDescent="0.25">
      <c r="A436">
        <v>1221</v>
      </c>
      <c r="B436" t="s">
        <v>582</v>
      </c>
      <c r="C436" t="s">
        <v>1714</v>
      </c>
      <c r="D436" t="str">
        <f t="shared" si="6"/>
        <v>SEDE3939</v>
      </c>
      <c r="E436" t="s">
        <v>1623</v>
      </c>
    </row>
    <row r="437" spans="1:5" hidden="1" x14ac:dyDescent="0.25">
      <c r="A437">
        <v>1221</v>
      </c>
      <c r="B437" t="s">
        <v>582</v>
      </c>
      <c r="C437" t="s">
        <v>1653</v>
      </c>
      <c r="D437" t="str">
        <f t="shared" si="6"/>
        <v>SEDE3940</v>
      </c>
      <c r="E437" t="s">
        <v>1648</v>
      </c>
    </row>
    <row r="438" spans="1:5" hidden="1" x14ac:dyDescent="0.25">
      <c r="A438">
        <v>1221</v>
      </c>
      <c r="B438" t="s">
        <v>582</v>
      </c>
      <c r="C438" t="s">
        <v>479</v>
      </c>
      <c r="D438" t="str">
        <f t="shared" si="6"/>
        <v>SEDE3941</v>
      </c>
      <c r="E438" t="s">
        <v>1623</v>
      </c>
    </row>
    <row r="439" spans="1:5" hidden="1" x14ac:dyDescent="0.25">
      <c r="A439">
        <v>1221</v>
      </c>
      <c r="B439" t="s">
        <v>582</v>
      </c>
      <c r="C439" t="s">
        <v>1654</v>
      </c>
      <c r="D439" t="str">
        <f t="shared" si="6"/>
        <v>SEDE3943</v>
      </c>
      <c r="E439" t="s">
        <v>1615</v>
      </c>
    </row>
    <row r="440" spans="1:5" hidden="1" x14ac:dyDescent="0.25">
      <c r="A440">
        <v>1221</v>
      </c>
      <c r="B440" t="s">
        <v>582</v>
      </c>
      <c r="C440" t="s">
        <v>491</v>
      </c>
      <c r="D440" t="str">
        <f t="shared" si="6"/>
        <v>SEDE3948</v>
      </c>
      <c r="E440" t="s">
        <v>1645</v>
      </c>
    </row>
    <row r="441" spans="1:5" hidden="1" x14ac:dyDescent="0.25">
      <c r="A441">
        <v>1221</v>
      </c>
      <c r="B441" t="s">
        <v>582</v>
      </c>
      <c r="C441" t="s">
        <v>1715</v>
      </c>
      <c r="D441" t="str">
        <f t="shared" si="6"/>
        <v>SEDE3949</v>
      </c>
      <c r="E441" t="s">
        <v>1645</v>
      </c>
    </row>
    <row r="442" spans="1:5" hidden="1" x14ac:dyDescent="0.25">
      <c r="A442">
        <v>1221</v>
      </c>
      <c r="B442" t="s">
        <v>582</v>
      </c>
      <c r="C442" t="s">
        <v>1655</v>
      </c>
      <c r="D442" t="str">
        <f t="shared" si="6"/>
        <v>SEDE3950</v>
      </c>
      <c r="E442" t="s">
        <v>43</v>
      </c>
    </row>
    <row r="443" spans="1:5" hidden="1" x14ac:dyDescent="0.25">
      <c r="A443">
        <v>1221</v>
      </c>
      <c r="B443" t="s">
        <v>582</v>
      </c>
      <c r="C443" t="s">
        <v>1701</v>
      </c>
      <c r="D443" t="str">
        <f t="shared" si="6"/>
        <v>SEDE3952</v>
      </c>
      <c r="E443" t="s">
        <v>64</v>
      </c>
    </row>
    <row r="444" spans="1:5" hidden="1" x14ac:dyDescent="0.25">
      <c r="A444">
        <v>1221</v>
      </c>
      <c r="B444" t="s">
        <v>582</v>
      </c>
      <c r="C444" t="s">
        <v>497</v>
      </c>
      <c r="D444" t="str">
        <f t="shared" si="6"/>
        <v>SEDE3955</v>
      </c>
      <c r="E444" t="s">
        <v>1623</v>
      </c>
    </row>
    <row r="445" spans="1:5" hidden="1" x14ac:dyDescent="0.25">
      <c r="A445">
        <v>1221</v>
      </c>
      <c r="B445" t="s">
        <v>582</v>
      </c>
      <c r="C445" t="s">
        <v>1716</v>
      </c>
      <c r="D445" t="str">
        <f t="shared" si="6"/>
        <v>SEDE3963</v>
      </c>
      <c r="E445" t="s">
        <v>1717</v>
      </c>
    </row>
    <row r="446" spans="1:5" hidden="1" x14ac:dyDescent="0.25">
      <c r="A446">
        <v>1221</v>
      </c>
      <c r="B446" t="s">
        <v>582</v>
      </c>
      <c r="C446" t="s">
        <v>1718</v>
      </c>
      <c r="D446" t="str">
        <f t="shared" si="6"/>
        <v>SEDE3964</v>
      </c>
      <c r="E446" t="s">
        <v>1623</v>
      </c>
    </row>
    <row r="447" spans="1:5" hidden="1" x14ac:dyDescent="0.25">
      <c r="A447">
        <v>1221</v>
      </c>
      <c r="B447" t="s">
        <v>582</v>
      </c>
      <c r="C447" t="s">
        <v>1660</v>
      </c>
      <c r="D447" t="str">
        <f t="shared" si="6"/>
        <v>SEDE3970</v>
      </c>
      <c r="E447" t="s">
        <v>1648</v>
      </c>
    </row>
    <row r="448" spans="1:5" hidden="1" x14ac:dyDescent="0.25">
      <c r="A448">
        <v>1221</v>
      </c>
      <c r="B448" t="s">
        <v>582</v>
      </c>
      <c r="C448" t="s">
        <v>525</v>
      </c>
      <c r="D448" t="str">
        <f t="shared" si="6"/>
        <v>SEDE3986</v>
      </c>
      <c r="E448" t="s">
        <v>1623</v>
      </c>
    </row>
    <row r="449" spans="1:5" hidden="1" x14ac:dyDescent="0.25">
      <c r="A449">
        <v>1221</v>
      </c>
      <c r="B449" t="s">
        <v>582</v>
      </c>
      <c r="C449" t="s">
        <v>1661</v>
      </c>
      <c r="D449" t="str">
        <f t="shared" si="6"/>
        <v>SEDE3987</v>
      </c>
      <c r="E449" t="s">
        <v>1615</v>
      </c>
    </row>
    <row r="450" spans="1:5" hidden="1" x14ac:dyDescent="0.25">
      <c r="A450">
        <v>1221</v>
      </c>
      <c r="B450" t="s">
        <v>582</v>
      </c>
      <c r="C450" t="s">
        <v>1663</v>
      </c>
      <c r="D450" t="str">
        <f t="shared" ref="D450:D513" si="7">CONCATENATE(B450,LEFT(C450,4))</f>
        <v>SEDE3999</v>
      </c>
      <c r="E450" t="s">
        <v>1623</v>
      </c>
    </row>
    <row r="451" spans="1:5" hidden="1" x14ac:dyDescent="0.25">
      <c r="A451">
        <v>1221</v>
      </c>
      <c r="B451" t="s">
        <v>582</v>
      </c>
      <c r="C451" t="s">
        <v>1664</v>
      </c>
      <c r="D451" t="str">
        <f t="shared" si="7"/>
        <v>SEDE4002</v>
      </c>
      <c r="E451" t="s">
        <v>1648</v>
      </c>
    </row>
    <row r="452" spans="1:5" hidden="1" x14ac:dyDescent="0.25">
      <c r="A452">
        <v>1221</v>
      </c>
      <c r="B452" t="s">
        <v>582</v>
      </c>
      <c r="C452" t="s">
        <v>1665</v>
      </c>
      <c r="D452" t="str">
        <f t="shared" si="7"/>
        <v>SEDE4003</v>
      </c>
      <c r="E452" t="s">
        <v>93</v>
      </c>
    </row>
    <row r="453" spans="1:5" hidden="1" x14ac:dyDescent="0.25">
      <c r="A453">
        <v>1221</v>
      </c>
      <c r="B453" t="s">
        <v>582</v>
      </c>
      <c r="C453" t="s">
        <v>1666</v>
      </c>
      <c r="D453" t="str">
        <f t="shared" si="7"/>
        <v>SEDE4004</v>
      </c>
      <c r="E453" t="s">
        <v>1648</v>
      </c>
    </row>
    <row r="454" spans="1:5" hidden="1" x14ac:dyDescent="0.25">
      <c r="A454">
        <v>1221</v>
      </c>
      <c r="B454" t="s">
        <v>582</v>
      </c>
      <c r="C454" t="s">
        <v>1698</v>
      </c>
      <c r="D454" t="str">
        <f t="shared" si="7"/>
        <v>SEDE4006</v>
      </c>
      <c r="E454" t="s">
        <v>1675</v>
      </c>
    </row>
    <row r="455" spans="1:5" hidden="1" x14ac:dyDescent="0.25">
      <c r="A455">
        <v>1221</v>
      </c>
      <c r="B455" t="s">
        <v>582</v>
      </c>
      <c r="C455" t="s">
        <v>1719</v>
      </c>
      <c r="D455" t="str">
        <f t="shared" si="7"/>
        <v>SEDE4101</v>
      </c>
      <c r="E455" t="s">
        <v>1720</v>
      </c>
    </row>
    <row r="456" spans="1:5" hidden="1" x14ac:dyDescent="0.25">
      <c r="A456">
        <v>1221</v>
      </c>
      <c r="B456" t="s">
        <v>582</v>
      </c>
      <c r="C456" t="s">
        <v>1668</v>
      </c>
      <c r="D456" t="str">
        <f t="shared" si="7"/>
        <v>SEDE4701</v>
      </c>
      <c r="E456" t="s">
        <v>1669</v>
      </c>
    </row>
    <row r="457" spans="1:5" hidden="1" x14ac:dyDescent="0.25">
      <c r="A457">
        <v>1221</v>
      </c>
      <c r="B457" t="s">
        <v>582</v>
      </c>
      <c r="C457" t="s">
        <v>264</v>
      </c>
      <c r="D457" t="str">
        <f t="shared" si="7"/>
        <v>SEDE4703</v>
      </c>
      <c r="E457" t="s">
        <v>1669</v>
      </c>
    </row>
    <row r="458" spans="1:5" hidden="1" x14ac:dyDescent="0.25">
      <c r="A458">
        <v>1221</v>
      </c>
      <c r="B458" t="s">
        <v>582</v>
      </c>
      <c r="C458" t="s">
        <v>315</v>
      </c>
      <c r="D458" t="str">
        <f t="shared" si="7"/>
        <v>SEDE4706</v>
      </c>
      <c r="E458" t="s">
        <v>1669</v>
      </c>
    </row>
    <row r="459" spans="1:5" hidden="1" x14ac:dyDescent="0.25">
      <c r="A459">
        <v>1221</v>
      </c>
      <c r="B459" t="s">
        <v>582</v>
      </c>
      <c r="C459" t="s">
        <v>327</v>
      </c>
      <c r="D459" t="str">
        <f t="shared" si="7"/>
        <v>SEDE4707</v>
      </c>
      <c r="E459" t="s">
        <v>1669</v>
      </c>
    </row>
    <row r="460" spans="1:5" hidden="1" x14ac:dyDescent="0.25">
      <c r="A460">
        <v>1221</v>
      </c>
      <c r="B460" t="s">
        <v>582</v>
      </c>
      <c r="C460" t="s">
        <v>337</v>
      </c>
      <c r="D460" t="str">
        <f t="shared" si="7"/>
        <v>SEDE4708</v>
      </c>
      <c r="E460" t="s">
        <v>1669</v>
      </c>
    </row>
    <row r="461" spans="1:5" hidden="1" x14ac:dyDescent="0.25">
      <c r="A461">
        <v>1221</v>
      </c>
      <c r="B461" t="s">
        <v>582</v>
      </c>
      <c r="C461" t="s">
        <v>356</v>
      </c>
      <c r="D461" t="str">
        <f t="shared" si="7"/>
        <v>SEDE4710</v>
      </c>
      <c r="E461" t="s">
        <v>1669</v>
      </c>
    </row>
    <row r="462" spans="1:5" hidden="1" x14ac:dyDescent="0.25">
      <c r="A462">
        <v>1221</v>
      </c>
      <c r="B462" t="s">
        <v>582</v>
      </c>
      <c r="C462" t="s">
        <v>363</v>
      </c>
      <c r="D462" t="str">
        <f t="shared" si="7"/>
        <v>SEDE4799</v>
      </c>
      <c r="E462" t="s">
        <v>1669</v>
      </c>
    </row>
    <row r="463" spans="1:5" hidden="1" x14ac:dyDescent="0.25">
      <c r="A463">
        <v>1221</v>
      </c>
      <c r="B463" t="s">
        <v>582</v>
      </c>
      <c r="C463" t="s">
        <v>239</v>
      </c>
      <c r="D463" t="str">
        <f t="shared" si="7"/>
        <v>SEDE4801</v>
      </c>
      <c r="E463" t="s">
        <v>1623</v>
      </c>
    </row>
    <row r="464" spans="1:5" hidden="1" x14ac:dyDescent="0.25">
      <c r="A464">
        <v>1221</v>
      </c>
      <c r="B464" t="s">
        <v>582</v>
      </c>
      <c r="C464" t="s">
        <v>285</v>
      </c>
      <c r="D464" t="str">
        <f t="shared" si="7"/>
        <v>SEDE4803</v>
      </c>
      <c r="E464" t="s">
        <v>1645</v>
      </c>
    </row>
    <row r="465" spans="1:5" hidden="1" x14ac:dyDescent="0.25">
      <c r="A465">
        <v>1221</v>
      </c>
      <c r="B465" t="s">
        <v>582</v>
      </c>
      <c r="C465" t="s">
        <v>1721</v>
      </c>
      <c r="D465" t="str">
        <f t="shared" si="7"/>
        <v>SEDE5114</v>
      </c>
      <c r="E465" t="s">
        <v>1722</v>
      </c>
    </row>
    <row r="466" spans="1:5" hidden="1" x14ac:dyDescent="0.25">
      <c r="A466">
        <v>1221</v>
      </c>
      <c r="B466" t="s">
        <v>582</v>
      </c>
      <c r="C466" t="s">
        <v>1676</v>
      </c>
      <c r="D466" t="str">
        <f t="shared" si="7"/>
        <v>SEDE5207</v>
      </c>
      <c r="E466" t="s">
        <v>1675</v>
      </c>
    </row>
    <row r="467" spans="1:5" hidden="1" x14ac:dyDescent="0.25">
      <c r="A467">
        <v>1221</v>
      </c>
      <c r="B467" t="s">
        <v>582</v>
      </c>
      <c r="C467" t="s">
        <v>1677</v>
      </c>
      <c r="D467" t="str">
        <f t="shared" si="7"/>
        <v>SEDE5208</v>
      </c>
      <c r="E467" t="s">
        <v>1675</v>
      </c>
    </row>
    <row r="468" spans="1:5" hidden="1" x14ac:dyDescent="0.25">
      <c r="A468">
        <v>1221</v>
      </c>
      <c r="B468" t="s">
        <v>582</v>
      </c>
      <c r="C468" t="s">
        <v>1723</v>
      </c>
      <c r="D468" t="str">
        <f t="shared" si="7"/>
        <v>SEDE9108</v>
      </c>
      <c r="E468" t="s">
        <v>1724</v>
      </c>
    </row>
    <row r="469" spans="1:5" hidden="1" x14ac:dyDescent="0.25">
      <c r="A469">
        <v>1221</v>
      </c>
      <c r="B469" t="s">
        <v>582</v>
      </c>
      <c r="C469" t="s">
        <v>1684</v>
      </c>
      <c r="D469" t="str">
        <f t="shared" si="7"/>
        <v>SEDE9202</v>
      </c>
      <c r="E469" t="s">
        <v>1685</v>
      </c>
    </row>
    <row r="470" spans="1:5" hidden="1" x14ac:dyDescent="0.25">
      <c r="A470">
        <v>1221</v>
      </c>
      <c r="B470" t="s">
        <v>582</v>
      </c>
      <c r="C470" t="s">
        <v>330</v>
      </c>
      <c r="D470" t="str">
        <f t="shared" si="7"/>
        <v>SEDE9306</v>
      </c>
      <c r="E470" t="s">
        <v>1686</v>
      </c>
    </row>
    <row r="471" spans="1:5" hidden="1" x14ac:dyDescent="0.25">
      <c r="A471">
        <v>1221</v>
      </c>
      <c r="B471" t="s">
        <v>582</v>
      </c>
      <c r="C471" t="s">
        <v>439</v>
      </c>
      <c r="D471" t="str">
        <f t="shared" si="7"/>
        <v>SEDE9326</v>
      </c>
      <c r="E471" t="s">
        <v>1623</v>
      </c>
    </row>
    <row r="472" spans="1:5" hidden="1" x14ac:dyDescent="0.25">
      <c r="A472">
        <v>1221</v>
      </c>
      <c r="B472" t="s">
        <v>582</v>
      </c>
      <c r="C472" t="s">
        <v>1687</v>
      </c>
      <c r="D472" t="str">
        <f t="shared" si="7"/>
        <v>SEDE9399</v>
      </c>
      <c r="E472" t="s">
        <v>1623</v>
      </c>
    </row>
    <row r="473" spans="1:5" hidden="1" x14ac:dyDescent="0.25">
      <c r="A473">
        <v>1231</v>
      </c>
      <c r="B473" t="s">
        <v>578</v>
      </c>
      <c r="C473" t="s">
        <v>1595</v>
      </c>
      <c r="D473" t="str">
        <f t="shared" si="7"/>
        <v>SEAPA0810</v>
      </c>
      <c r="E473" t="s">
        <v>1596</v>
      </c>
    </row>
    <row r="474" spans="1:5" hidden="1" x14ac:dyDescent="0.25">
      <c r="A474">
        <v>1231</v>
      </c>
      <c r="B474" t="s">
        <v>578</v>
      </c>
      <c r="C474" t="s">
        <v>331</v>
      </c>
      <c r="D474" t="str">
        <f t="shared" si="7"/>
        <v>SEAPA1314</v>
      </c>
      <c r="E474" t="s">
        <v>1689</v>
      </c>
    </row>
    <row r="475" spans="1:5" hidden="1" x14ac:dyDescent="0.25">
      <c r="A475">
        <v>1231</v>
      </c>
      <c r="B475" t="s">
        <v>578</v>
      </c>
      <c r="C475" t="s">
        <v>1597</v>
      </c>
      <c r="D475" t="str">
        <f t="shared" si="7"/>
        <v>SEAPA1401</v>
      </c>
      <c r="E475" t="s">
        <v>43</v>
      </c>
    </row>
    <row r="476" spans="1:5" hidden="1" x14ac:dyDescent="0.25">
      <c r="A476">
        <v>1231</v>
      </c>
      <c r="B476" t="s">
        <v>578</v>
      </c>
      <c r="C476" t="s">
        <v>1598</v>
      </c>
      <c r="D476" t="str">
        <f t="shared" si="7"/>
        <v>SEAPA1501</v>
      </c>
      <c r="E476" t="s">
        <v>43</v>
      </c>
    </row>
    <row r="477" spans="1:5" hidden="1" x14ac:dyDescent="0.25">
      <c r="A477">
        <v>1231</v>
      </c>
      <c r="B477" t="s">
        <v>578</v>
      </c>
      <c r="C477" t="s">
        <v>1599</v>
      </c>
      <c r="D477" t="str">
        <f t="shared" si="7"/>
        <v>SEAPA3001</v>
      </c>
      <c r="E477" t="s">
        <v>1600</v>
      </c>
    </row>
    <row r="478" spans="1:5" hidden="1" x14ac:dyDescent="0.25">
      <c r="A478">
        <v>1231</v>
      </c>
      <c r="B478" t="s">
        <v>578</v>
      </c>
      <c r="C478" t="s">
        <v>1601</v>
      </c>
      <c r="D478" t="str">
        <f t="shared" si="7"/>
        <v>SEAPA3003</v>
      </c>
      <c r="E478" t="s">
        <v>1600</v>
      </c>
    </row>
    <row r="479" spans="1:5" hidden="1" x14ac:dyDescent="0.25">
      <c r="A479">
        <v>1231</v>
      </c>
      <c r="B479" t="s">
        <v>578</v>
      </c>
      <c r="C479" t="s">
        <v>1602</v>
      </c>
      <c r="D479" t="str">
        <f t="shared" si="7"/>
        <v>SEAPA3004</v>
      </c>
      <c r="E479" t="s">
        <v>1600</v>
      </c>
    </row>
    <row r="480" spans="1:5" hidden="1" x14ac:dyDescent="0.25">
      <c r="A480">
        <v>1231</v>
      </c>
      <c r="B480" t="s">
        <v>578</v>
      </c>
      <c r="C480" t="s">
        <v>1603</v>
      </c>
      <c r="D480" t="str">
        <f t="shared" si="7"/>
        <v>SEAPA3005</v>
      </c>
      <c r="E480" t="s">
        <v>1600</v>
      </c>
    </row>
    <row r="481" spans="1:5" hidden="1" x14ac:dyDescent="0.25">
      <c r="A481">
        <v>1231</v>
      </c>
      <c r="B481" t="s">
        <v>578</v>
      </c>
      <c r="C481" t="s">
        <v>1605</v>
      </c>
      <c r="D481" t="str">
        <f t="shared" si="7"/>
        <v>SEAPA3010</v>
      </c>
      <c r="E481" t="s">
        <v>1606</v>
      </c>
    </row>
    <row r="482" spans="1:5" hidden="1" x14ac:dyDescent="0.25">
      <c r="A482">
        <v>1231</v>
      </c>
      <c r="B482" t="s">
        <v>578</v>
      </c>
      <c r="C482" t="s">
        <v>1607</v>
      </c>
      <c r="D482" t="str">
        <f t="shared" si="7"/>
        <v>SEAPA3013</v>
      </c>
      <c r="E482" t="s">
        <v>1600</v>
      </c>
    </row>
    <row r="483" spans="1:5" hidden="1" x14ac:dyDescent="0.25">
      <c r="A483">
        <v>1231</v>
      </c>
      <c r="B483" t="s">
        <v>578</v>
      </c>
      <c r="C483" t="s">
        <v>1609</v>
      </c>
      <c r="D483" t="str">
        <f t="shared" si="7"/>
        <v>SEAPA3016</v>
      </c>
      <c r="E483" t="s">
        <v>1600</v>
      </c>
    </row>
    <row r="484" spans="1:5" hidden="1" x14ac:dyDescent="0.25">
      <c r="A484">
        <v>1231</v>
      </c>
      <c r="B484" t="s">
        <v>578</v>
      </c>
      <c r="C484" t="s">
        <v>405</v>
      </c>
      <c r="D484" t="str">
        <f t="shared" si="7"/>
        <v>SEAPA3017</v>
      </c>
      <c r="E484" t="s">
        <v>1600</v>
      </c>
    </row>
    <row r="485" spans="1:5" hidden="1" x14ac:dyDescent="0.25">
      <c r="A485">
        <v>1231</v>
      </c>
      <c r="B485" t="s">
        <v>578</v>
      </c>
      <c r="C485" t="s">
        <v>410</v>
      </c>
      <c r="D485" t="str">
        <f t="shared" si="7"/>
        <v>SEAPA3018</v>
      </c>
      <c r="E485" t="s">
        <v>1600</v>
      </c>
    </row>
    <row r="486" spans="1:5" hidden="1" x14ac:dyDescent="0.25">
      <c r="A486">
        <v>1231</v>
      </c>
      <c r="B486" t="s">
        <v>578</v>
      </c>
      <c r="C486" t="s">
        <v>1610</v>
      </c>
      <c r="D486" t="str">
        <f t="shared" si="7"/>
        <v>SEAPA3019</v>
      </c>
      <c r="E486" t="s">
        <v>1611</v>
      </c>
    </row>
    <row r="487" spans="1:5" hidden="1" x14ac:dyDescent="0.25">
      <c r="A487">
        <v>1231</v>
      </c>
      <c r="B487" t="s">
        <v>578</v>
      </c>
      <c r="C487" t="s">
        <v>1613</v>
      </c>
      <c r="D487" t="str">
        <f t="shared" si="7"/>
        <v>SEAPA3021</v>
      </c>
      <c r="E487" t="s">
        <v>1600</v>
      </c>
    </row>
    <row r="488" spans="1:5" hidden="1" x14ac:dyDescent="0.25">
      <c r="A488">
        <v>1231</v>
      </c>
      <c r="B488" t="s">
        <v>578</v>
      </c>
      <c r="C488" t="s">
        <v>430</v>
      </c>
      <c r="D488" t="str">
        <f t="shared" si="7"/>
        <v>SEAPA3022</v>
      </c>
      <c r="E488" t="s">
        <v>1600</v>
      </c>
    </row>
    <row r="489" spans="1:5" hidden="1" x14ac:dyDescent="0.25">
      <c r="A489">
        <v>1231</v>
      </c>
      <c r="B489" t="s">
        <v>578</v>
      </c>
      <c r="C489" t="s">
        <v>1614</v>
      </c>
      <c r="D489" t="str">
        <f t="shared" si="7"/>
        <v>SEAPA3023</v>
      </c>
      <c r="E489" t="s">
        <v>1615</v>
      </c>
    </row>
    <row r="490" spans="1:5" hidden="1" x14ac:dyDescent="0.25">
      <c r="A490">
        <v>1231</v>
      </c>
      <c r="B490" t="s">
        <v>578</v>
      </c>
      <c r="C490" t="s">
        <v>440</v>
      </c>
      <c r="D490" t="str">
        <f t="shared" si="7"/>
        <v>SEAPA3024</v>
      </c>
      <c r="E490" t="s">
        <v>1600</v>
      </c>
    </row>
    <row r="491" spans="1:5" hidden="1" x14ac:dyDescent="0.25">
      <c r="A491">
        <v>1231</v>
      </c>
      <c r="B491" t="s">
        <v>578</v>
      </c>
      <c r="C491" t="s">
        <v>1616</v>
      </c>
      <c r="D491" t="str">
        <f t="shared" si="7"/>
        <v>SEAPA3025</v>
      </c>
      <c r="E491" t="s">
        <v>1600</v>
      </c>
    </row>
    <row r="492" spans="1:5" hidden="1" x14ac:dyDescent="0.25">
      <c r="A492">
        <v>1231</v>
      </c>
      <c r="B492" t="s">
        <v>578</v>
      </c>
      <c r="C492" t="s">
        <v>1617</v>
      </c>
      <c r="D492" t="str">
        <f t="shared" si="7"/>
        <v>SEAPA3026</v>
      </c>
      <c r="E492" t="s">
        <v>1615</v>
      </c>
    </row>
    <row r="493" spans="1:5" hidden="1" x14ac:dyDescent="0.25">
      <c r="A493">
        <v>1231</v>
      </c>
      <c r="B493" t="s">
        <v>578</v>
      </c>
      <c r="C493" t="s">
        <v>469</v>
      </c>
      <c r="D493" t="str">
        <f t="shared" si="7"/>
        <v>SEAPA3031</v>
      </c>
      <c r="E493" t="s">
        <v>1600</v>
      </c>
    </row>
    <row r="494" spans="1:5" hidden="1" x14ac:dyDescent="0.25">
      <c r="A494">
        <v>1231</v>
      </c>
      <c r="B494" t="s">
        <v>578</v>
      </c>
      <c r="C494" t="s">
        <v>1620</v>
      </c>
      <c r="D494" t="str">
        <f t="shared" si="7"/>
        <v>SEAPA3033</v>
      </c>
      <c r="E494" t="s">
        <v>1621</v>
      </c>
    </row>
    <row r="495" spans="1:5" hidden="1" x14ac:dyDescent="0.25">
      <c r="A495">
        <v>1231</v>
      </c>
      <c r="B495" t="s">
        <v>578</v>
      </c>
      <c r="C495" t="s">
        <v>1703</v>
      </c>
      <c r="D495" t="str">
        <f t="shared" si="7"/>
        <v>SEAPA3041</v>
      </c>
      <c r="E495" t="s">
        <v>1623</v>
      </c>
    </row>
    <row r="496" spans="1:5" hidden="1" x14ac:dyDescent="0.25">
      <c r="A496">
        <v>1231</v>
      </c>
      <c r="B496" t="s">
        <v>578</v>
      </c>
      <c r="C496" t="s">
        <v>490</v>
      </c>
      <c r="D496" t="str">
        <f t="shared" si="7"/>
        <v>SEAPA3099</v>
      </c>
      <c r="E496" t="s">
        <v>1600</v>
      </c>
    </row>
    <row r="497" spans="1:5" hidden="1" x14ac:dyDescent="0.25">
      <c r="A497">
        <v>1231</v>
      </c>
      <c r="B497" t="s">
        <v>578</v>
      </c>
      <c r="C497" t="s">
        <v>226</v>
      </c>
      <c r="D497" t="str">
        <f t="shared" si="7"/>
        <v>SEAPA3201</v>
      </c>
      <c r="E497" t="s">
        <v>2106</v>
      </c>
    </row>
    <row r="498" spans="1:5" hidden="1" x14ac:dyDescent="0.25">
      <c r="A498">
        <v>1231</v>
      </c>
      <c r="B498" t="s">
        <v>578</v>
      </c>
      <c r="C498" t="s">
        <v>53</v>
      </c>
      <c r="D498" t="str">
        <f t="shared" si="7"/>
        <v>SEAPA3301</v>
      </c>
      <c r="E498" t="s">
        <v>43</v>
      </c>
    </row>
    <row r="499" spans="1:5" hidden="1" x14ac:dyDescent="0.25">
      <c r="A499">
        <v>1231</v>
      </c>
      <c r="B499" t="s">
        <v>578</v>
      </c>
      <c r="C499" t="s">
        <v>1626</v>
      </c>
      <c r="D499" t="str">
        <f t="shared" si="7"/>
        <v>SEAPA3302</v>
      </c>
      <c r="E499" t="s">
        <v>43</v>
      </c>
    </row>
    <row r="500" spans="1:5" hidden="1" x14ac:dyDescent="0.25">
      <c r="A500">
        <v>1231</v>
      </c>
      <c r="B500" t="s">
        <v>578</v>
      </c>
      <c r="C500" t="s">
        <v>1627</v>
      </c>
      <c r="D500" t="str">
        <f t="shared" si="7"/>
        <v>SEAPA3304</v>
      </c>
      <c r="E500" t="s">
        <v>43</v>
      </c>
    </row>
    <row r="501" spans="1:5" hidden="1" x14ac:dyDescent="0.25">
      <c r="A501">
        <v>1231</v>
      </c>
      <c r="B501" t="s">
        <v>578</v>
      </c>
      <c r="C501" t="s">
        <v>1705</v>
      </c>
      <c r="D501" t="str">
        <f t="shared" si="7"/>
        <v>SEAPA3502</v>
      </c>
      <c r="E501" t="s">
        <v>1706</v>
      </c>
    </row>
    <row r="502" spans="1:5" hidden="1" x14ac:dyDescent="0.25">
      <c r="A502">
        <v>1231</v>
      </c>
      <c r="B502" t="s">
        <v>578</v>
      </c>
      <c r="C502" t="s">
        <v>1690</v>
      </c>
      <c r="D502" t="str">
        <f t="shared" si="7"/>
        <v>SEAPA3601</v>
      </c>
      <c r="E502" t="s">
        <v>64</v>
      </c>
    </row>
    <row r="503" spans="1:5" hidden="1" x14ac:dyDescent="0.25">
      <c r="A503">
        <v>1231</v>
      </c>
      <c r="B503" t="s">
        <v>578</v>
      </c>
      <c r="C503" t="s">
        <v>296</v>
      </c>
      <c r="D503" t="str">
        <f t="shared" si="7"/>
        <v>SEAPA3604</v>
      </c>
      <c r="E503" t="s">
        <v>43</v>
      </c>
    </row>
    <row r="504" spans="1:5" hidden="1" x14ac:dyDescent="0.25">
      <c r="A504">
        <v>1231</v>
      </c>
      <c r="B504" t="s">
        <v>578</v>
      </c>
      <c r="C504" t="s">
        <v>354</v>
      </c>
      <c r="D504" t="str">
        <f t="shared" si="7"/>
        <v>SEAPA3610</v>
      </c>
      <c r="E504" t="s">
        <v>1623</v>
      </c>
    </row>
    <row r="505" spans="1:5" hidden="1" x14ac:dyDescent="0.25">
      <c r="A505">
        <v>1231</v>
      </c>
      <c r="B505" t="s">
        <v>578</v>
      </c>
      <c r="C505" t="s">
        <v>1628</v>
      </c>
      <c r="D505" t="str">
        <f t="shared" si="7"/>
        <v>SEAPA3612</v>
      </c>
      <c r="E505" t="s">
        <v>1623</v>
      </c>
    </row>
    <row r="506" spans="1:5" hidden="1" x14ac:dyDescent="0.25">
      <c r="A506">
        <v>1231</v>
      </c>
      <c r="B506" t="s">
        <v>578</v>
      </c>
      <c r="C506" t="s">
        <v>456</v>
      </c>
      <c r="D506" t="str">
        <f t="shared" si="7"/>
        <v>SEAPA3628</v>
      </c>
      <c r="E506" t="s">
        <v>1623</v>
      </c>
    </row>
    <row r="507" spans="1:5" hidden="1" x14ac:dyDescent="0.25">
      <c r="A507">
        <v>1231</v>
      </c>
      <c r="B507" t="s">
        <v>578</v>
      </c>
      <c r="C507" t="s">
        <v>1631</v>
      </c>
      <c r="D507" t="str">
        <f t="shared" si="7"/>
        <v>SEAPA3703</v>
      </c>
      <c r="E507" t="s">
        <v>116</v>
      </c>
    </row>
    <row r="508" spans="1:5" hidden="1" x14ac:dyDescent="0.25">
      <c r="A508">
        <v>1231</v>
      </c>
      <c r="B508" t="s">
        <v>578</v>
      </c>
      <c r="C508" t="s">
        <v>1632</v>
      </c>
      <c r="D508" t="str">
        <f t="shared" si="7"/>
        <v>SEAPA3704</v>
      </c>
      <c r="E508" t="s">
        <v>116</v>
      </c>
    </row>
    <row r="509" spans="1:5" hidden="1" x14ac:dyDescent="0.25">
      <c r="A509">
        <v>1231</v>
      </c>
      <c r="B509" t="s">
        <v>578</v>
      </c>
      <c r="C509" t="s">
        <v>1633</v>
      </c>
      <c r="D509" t="str">
        <f t="shared" si="7"/>
        <v>SEAPA3705</v>
      </c>
      <c r="E509" t="s">
        <v>116</v>
      </c>
    </row>
    <row r="510" spans="1:5" hidden="1" x14ac:dyDescent="0.25">
      <c r="A510">
        <v>1231</v>
      </c>
      <c r="B510" t="s">
        <v>578</v>
      </c>
      <c r="C510" t="s">
        <v>1634</v>
      </c>
      <c r="D510" t="str">
        <f t="shared" si="7"/>
        <v>SEAPA3903</v>
      </c>
      <c r="E510" t="s">
        <v>1623</v>
      </c>
    </row>
    <row r="511" spans="1:5" hidden="1" x14ac:dyDescent="0.25">
      <c r="A511">
        <v>1231</v>
      </c>
      <c r="B511" t="s">
        <v>578</v>
      </c>
      <c r="C511" t="s">
        <v>1635</v>
      </c>
      <c r="D511" t="str">
        <f t="shared" si="7"/>
        <v>SEAPA3908</v>
      </c>
      <c r="E511" t="s">
        <v>1623</v>
      </c>
    </row>
    <row r="512" spans="1:5" hidden="1" x14ac:dyDescent="0.25">
      <c r="A512">
        <v>1231</v>
      </c>
      <c r="B512" t="s">
        <v>578</v>
      </c>
      <c r="C512" t="s">
        <v>345</v>
      </c>
      <c r="D512" t="str">
        <f t="shared" si="7"/>
        <v>SEAPA3910</v>
      </c>
      <c r="E512" t="s">
        <v>1623</v>
      </c>
    </row>
    <row r="513" spans="1:5" hidden="1" x14ac:dyDescent="0.25">
      <c r="A513">
        <v>1231</v>
      </c>
      <c r="B513" t="s">
        <v>578</v>
      </c>
      <c r="C513" t="s">
        <v>355</v>
      </c>
      <c r="D513" t="str">
        <f t="shared" si="7"/>
        <v>SEAPA3911</v>
      </c>
      <c r="E513" t="s">
        <v>1623</v>
      </c>
    </row>
    <row r="514" spans="1:5" hidden="1" x14ac:dyDescent="0.25">
      <c r="A514">
        <v>1231</v>
      </c>
      <c r="B514" t="s">
        <v>578</v>
      </c>
      <c r="C514" t="s">
        <v>1636</v>
      </c>
      <c r="D514" t="str">
        <f t="shared" ref="D514:D577" si="8">CONCATENATE(B514,LEFT(C514,4))</f>
        <v>SEAPA3912</v>
      </c>
      <c r="E514" t="s">
        <v>1637</v>
      </c>
    </row>
    <row r="515" spans="1:5" hidden="1" x14ac:dyDescent="0.25">
      <c r="A515">
        <v>1231</v>
      </c>
      <c r="B515" t="s">
        <v>578</v>
      </c>
      <c r="C515" t="s">
        <v>1638</v>
      </c>
      <c r="D515" t="str">
        <f t="shared" si="8"/>
        <v>SEAPA3913</v>
      </c>
      <c r="E515" t="s">
        <v>1637</v>
      </c>
    </row>
    <row r="516" spans="1:5" hidden="1" x14ac:dyDescent="0.25">
      <c r="A516">
        <v>1231</v>
      </c>
      <c r="B516" t="s">
        <v>578</v>
      </c>
      <c r="C516" t="s">
        <v>376</v>
      </c>
      <c r="D516" t="str">
        <f t="shared" si="8"/>
        <v>SEAPA3914</v>
      </c>
      <c r="E516" t="s">
        <v>1648</v>
      </c>
    </row>
    <row r="517" spans="1:5" hidden="1" x14ac:dyDescent="0.25">
      <c r="A517">
        <v>1231</v>
      </c>
      <c r="B517" t="s">
        <v>578</v>
      </c>
      <c r="C517" t="s">
        <v>1639</v>
      </c>
      <c r="D517" t="str">
        <f t="shared" si="8"/>
        <v>SEAPA3917</v>
      </c>
      <c r="E517" t="s">
        <v>1615</v>
      </c>
    </row>
    <row r="518" spans="1:5" hidden="1" x14ac:dyDescent="0.25">
      <c r="A518">
        <v>1231</v>
      </c>
      <c r="B518" t="s">
        <v>578</v>
      </c>
      <c r="C518" t="s">
        <v>1640</v>
      </c>
      <c r="D518" t="str">
        <f t="shared" si="8"/>
        <v>SEAPA3918</v>
      </c>
      <c r="E518" t="s">
        <v>1615</v>
      </c>
    </row>
    <row r="519" spans="1:5" hidden="1" x14ac:dyDescent="0.25">
      <c r="A519">
        <v>1231</v>
      </c>
      <c r="B519" t="s">
        <v>578</v>
      </c>
      <c r="C519" t="s">
        <v>1694</v>
      </c>
      <c r="D519" t="str">
        <f t="shared" si="8"/>
        <v>SEAPA3920</v>
      </c>
      <c r="E519" t="s">
        <v>1692</v>
      </c>
    </row>
    <row r="520" spans="1:5" hidden="1" x14ac:dyDescent="0.25">
      <c r="A520">
        <v>1231</v>
      </c>
      <c r="B520" t="s">
        <v>578</v>
      </c>
      <c r="C520" t="s">
        <v>1642</v>
      </c>
      <c r="D520" t="str">
        <f t="shared" si="8"/>
        <v>SEAPA3921</v>
      </c>
      <c r="E520" t="s">
        <v>2102</v>
      </c>
    </row>
    <row r="521" spans="1:5" hidden="1" x14ac:dyDescent="0.25">
      <c r="A521">
        <v>1231</v>
      </c>
      <c r="B521" t="s">
        <v>578</v>
      </c>
      <c r="C521" t="s">
        <v>1643</v>
      </c>
      <c r="D521" t="str">
        <f t="shared" si="8"/>
        <v>SEAPA3922</v>
      </c>
      <c r="E521" t="s">
        <v>1611</v>
      </c>
    </row>
    <row r="522" spans="1:5" hidden="1" x14ac:dyDescent="0.25">
      <c r="A522">
        <v>1231</v>
      </c>
      <c r="B522" t="s">
        <v>578</v>
      </c>
      <c r="C522" t="s">
        <v>1644</v>
      </c>
      <c r="D522" t="str">
        <f t="shared" si="8"/>
        <v>SEAPA3924</v>
      </c>
      <c r="E522" t="s">
        <v>1645</v>
      </c>
    </row>
    <row r="523" spans="1:5" hidden="1" x14ac:dyDescent="0.25">
      <c r="A523">
        <v>1231</v>
      </c>
      <c r="B523" t="s">
        <v>578</v>
      </c>
      <c r="C523" t="s">
        <v>437</v>
      </c>
      <c r="D523" t="str">
        <f t="shared" si="8"/>
        <v>SEAPA3925</v>
      </c>
      <c r="E523" t="s">
        <v>1646</v>
      </c>
    </row>
    <row r="524" spans="1:5" hidden="1" x14ac:dyDescent="0.25">
      <c r="A524">
        <v>1231</v>
      </c>
      <c r="B524" t="s">
        <v>578</v>
      </c>
      <c r="C524" t="s">
        <v>442</v>
      </c>
      <c r="D524" t="str">
        <f t="shared" si="8"/>
        <v>SEAPA3926</v>
      </c>
      <c r="E524" t="s">
        <v>1646</v>
      </c>
    </row>
    <row r="525" spans="1:5" hidden="1" x14ac:dyDescent="0.25">
      <c r="A525">
        <v>1231</v>
      </c>
      <c r="B525" t="s">
        <v>578</v>
      </c>
      <c r="C525" t="s">
        <v>1647</v>
      </c>
      <c r="D525" t="str">
        <f t="shared" si="8"/>
        <v>SEAPA3927</v>
      </c>
      <c r="E525" t="s">
        <v>1648</v>
      </c>
    </row>
    <row r="526" spans="1:5" hidden="1" x14ac:dyDescent="0.25">
      <c r="A526">
        <v>1231</v>
      </c>
      <c r="B526" t="s">
        <v>578</v>
      </c>
      <c r="C526" t="s">
        <v>457</v>
      </c>
      <c r="D526" t="str">
        <f t="shared" si="8"/>
        <v>SEAPA3930</v>
      </c>
      <c r="E526" t="s">
        <v>1646</v>
      </c>
    </row>
    <row r="527" spans="1:5" hidden="1" x14ac:dyDescent="0.25">
      <c r="A527">
        <v>1231</v>
      </c>
      <c r="B527" t="s">
        <v>578</v>
      </c>
      <c r="C527" t="s">
        <v>1650</v>
      </c>
      <c r="D527" t="str">
        <f t="shared" si="8"/>
        <v>SEAPA3931</v>
      </c>
      <c r="E527" t="s">
        <v>1623</v>
      </c>
    </row>
    <row r="528" spans="1:5" hidden="1" x14ac:dyDescent="0.25">
      <c r="A528">
        <v>1231</v>
      </c>
      <c r="B528" t="s">
        <v>578</v>
      </c>
      <c r="C528" t="s">
        <v>468</v>
      </c>
      <c r="D528" t="str">
        <f t="shared" si="8"/>
        <v>SEAPA3934</v>
      </c>
      <c r="E528" t="s">
        <v>1621</v>
      </c>
    </row>
    <row r="529" spans="1:5" hidden="1" x14ac:dyDescent="0.25">
      <c r="A529">
        <v>1231</v>
      </c>
      <c r="B529" t="s">
        <v>578</v>
      </c>
      <c r="C529" t="s">
        <v>1651</v>
      </c>
      <c r="D529" t="str">
        <f t="shared" si="8"/>
        <v>SEAPA3935</v>
      </c>
      <c r="E529" t="s">
        <v>1621</v>
      </c>
    </row>
    <row r="530" spans="1:5" hidden="1" x14ac:dyDescent="0.25">
      <c r="A530">
        <v>1231</v>
      </c>
      <c r="B530" t="s">
        <v>578</v>
      </c>
      <c r="C530" t="s">
        <v>1652</v>
      </c>
      <c r="D530" t="str">
        <f t="shared" si="8"/>
        <v>SEAPA3936</v>
      </c>
      <c r="E530" t="s">
        <v>93</v>
      </c>
    </row>
    <row r="531" spans="1:5" hidden="1" x14ac:dyDescent="0.25">
      <c r="A531">
        <v>1231</v>
      </c>
      <c r="B531" t="s">
        <v>578</v>
      </c>
      <c r="C531" t="s">
        <v>1708</v>
      </c>
      <c r="D531" t="str">
        <f t="shared" si="8"/>
        <v>SEAPA3938</v>
      </c>
      <c r="E531" t="s">
        <v>1623</v>
      </c>
    </row>
    <row r="532" spans="1:5" hidden="1" x14ac:dyDescent="0.25">
      <c r="A532">
        <v>1231</v>
      </c>
      <c r="B532" t="s">
        <v>578</v>
      </c>
      <c r="C532" t="s">
        <v>1653</v>
      </c>
      <c r="D532" t="str">
        <f t="shared" si="8"/>
        <v>SEAPA3940</v>
      </c>
      <c r="E532" t="s">
        <v>1648</v>
      </c>
    </row>
    <row r="533" spans="1:5" hidden="1" x14ac:dyDescent="0.25">
      <c r="A533">
        <v>1231</v>
      </c>
      <c r="B533" t="s">
        <v>578</v>
      </c>
      <c r="C533" t="s">
        <v>479</v>
      </c>
      <c r="D533" t="str">
        <f t="shared" si="8"/>
        <v>SEAPA3941</v>
      </c>
      <c r="E533" t="s">
        <v>1623</v>
      </c>
    </row>
    <row r="534" spans="1:5" hidden="1" x14ac:dyDescent="0.25">
      <c r="A534">
        <v>1231</v>
      </c>
      <c r="B534" t="s">
        <v>578</v>
      </c>
      <c r="C534" t="s">
        <v>1654</v>
      </c>
      <c r="D534" t="str">
        <f t="shared" si="8"/>
        <v>SEAPA3943</v>
      </c>
      <c r="E534" t="s">
        <v>1615</v>
      </c>
    </row>
    <row r="535" spans="1:5" hidden="1" x14ac:dyDescent="0.25">
      <c r="A535">
        <v>1231</v>
      </c>
      <c r="B535" t="s">
        <v>578</v>
      </c>
      <c r="C535" t="s">
        <v>491</v>
      </c>
      <c r="D535" t="str">
        <f t="shared" si="8"/>
        <v>SEAPA3948</v>
      </c>
      <c r="E535" t="s">
        <v>1645</v>
      </c>
    </row>
    <row r="536" spans="1:5" hidden="1" x14ac:dyDescent="0.25">
      <c r="A536">
        <v>1231</v>
      </c>
      <c r="B536" t="s">
        <v>578</v>
      </c>
      <c r="C536" t="s">
        <v>1715</v>
      </c>
      <c r="D536" t="str">
        <f t="shared" si="8"/>
        <v>SEAPA3949</v>
      </c>
      <c r="E536" t="s">
        <v>1645</v>
      </c>
    </row>
    <row r="537" spans="1:5" hidden="1" x14ac:dyDescent="0.25">
      <c r="A537">
        <v>1231</v>
      </c>
      <c r="B537" t="s">
        <v>578</v>
      </c>
      <c r="C537" t="s">
        <v>497</v>
      </c>
      <c r="D537" t="str">
        <f t="shared" si="8"/>
        <v>SEAPA3955</v>
      </c>
      <c r="E537" t="s">
        <v>1623</v>
      </c>
    </row>
    <row r="538" spans="1:5" hidden="1" x14ac:dyDescent="0.25">
      <c r="A538">
        <v>1231</v>
      </c>
      <c r="B538" t="s">
        <v>578</v>
      </c>
      <c r="C538" t="s">
        <v>498</v>
      </c>
      <c r="D538" t="str">
        <f t="shared" si="8"/>
        <v>SEAPA3956</v>
      </c>
      <c r="E538" t="s">
        <v>1623</v>
      </c>
    </row>
    <row r="539" spans="1:5" hidden="1" x14ac:dyDescent="0.25">
      <c r="A539">
        <v>1231</v>
      </c>
      <c r="B539" t="s">
        <v>578</v>
      </c>
      <c r="C539" t="s">
        <v>1716</v>
      </c>
      <c r="D539" t="str">
        <f t="shared" si="8"/>
        <v>SEAPA3963</v>
      </c>
      <c r="E539" t="s">
        <v>1623</v>
      </c>
    </row>
    <row r="540" spans="1:5" hidden="1" x14ac:dyDescent="0.25">
      <c r="A540">
        <v>1231</v>
      </c>
      <c r="B540" t="s">
        <v>578</v>
      </c>
      <c r="C540" t="s">
        <v>1718</v>
      </c>
      <c r="D540" t="str">
        <f t="shared" si="8"/>
        <v>SEAPA3964</v>
      </c>
      <c r="E540" t="s">
        <v>1841</v>
      </c>
    </row>
    <row r="541" spans="1:5" hidden="1" x14ac:dyDescent="0.25">
      <c r="A541">
        <v>1231</v>
      </c>
      <c r="B541" t="s">
        <v>578</v>
      </c>
      <c r="C541" t="s">
        <v>1658</v>
      </c>
      <c r="D541" t="str">
        <f t="shared" si="8"/>
        <v>SEAPA3966</v>
      </c>
      <c r="E541" t="s">
        <v>1637</v>
      </c>
    </row>
    <row r="542" spans="1:5" hidden="1" x14ac:dyDescent="0.25">
      <c r="A542">
        <v>1231</v>
      </c>
      <c r="B542" t="s">
        <v>578</v>
      </c>
      <c r="C542" t="s">
        <v>1725</v>
      </c>
      <c r="D542" t="str">
        <f t="shared" si="8"/>
        <v>SEAPA3973</v>
      </c>
      <c r="E542" t="s">
        <v>2107</v>
      </c>
    </row>
    <row r="543" spans="1:5" hidden="1" x14ac:dyDescent="0.25">
      <c r="A543">
        <v>1231</v>
      </c>
      <c r="B543" t="s">
        <v>578</v>
      </c>
      <c r="C543" t="s">
        <v>1726</v>
      </c>
      <c r="D543" t="str">
        <f t="shared" si="8"/>
        <v>SEAPA3980</v>
      </c>
      <c r="E543" t="s">
        <v>1689</v>
      </c>
    </row>
    <row r="544" spans="1:5" hidden="1" x14ac:dyDescent="0.25">
      <c r="A544">
        <v>1231</v>
      </c>
      <c r="B544" t="s">
        <v>578</v>
      </c>
      <c r="C544" t="s">
        <v>1661</v>
      </c>
      <c r="D544" t="str">
        <f t="shared" si="8"/>
        <v>SEAPA3987</v>
      </c>
      <c r="E544" t="s">
        <v>1615</v>
      </c>
    </row>
    <row r="545" spans="1:5" hidden="1" x14ac:dyDescent="0.25">
      <c r="A545">
        <v>1231</v>
      </c>
      <c r="B545" t="s">
        <v>578</v>
      </c>
      <c r="C545" t="s">
        <v>1727</v>
      </c>
      <c r="D545" t="str">
        <f t="shared" si="8"/>
        <v>SEAPA3989</v>
      </c>
      <c r="E545" t="s">
        <v>1621</v>
      </c>
    </row>
    <row r="546" spans="1:5" hidden="1" x14ac:dyDescent="0.25">
      <c r="A546">
        <v>1231</v>
      </c>
      <c r="B546" t="s">
        <v>578</v>
      </c>
      <c r="C546" t="s">
        <v>1663</v>
      </c>
      <c r="D546" t="str">
        <f t="shared" si="8"/>
        <v>SEAPA3999</v>
      </c>
      <c r="E546" t="s">
        <v>1623</v>
      </c>
    </row>
    <row r="547" spans="1:5" hidden="1" x14ac:dyDescent="0.25">
      <c r="A547">
        <v>1231</v>
      </c>
      <c r="B547" t="s">
        <v>578</v>
      </c>
      <c r="C547" t="s">
        <v>1664</v>
      </c>
      <c r="D547" t="str">
        <f t="shared" si="8"/>
        <v>SEAPA4002</v>
      </c>
      <c r="E547" t="s">
        <v>1648</v>
      </c>
    </row>
    <row r="548" spans="1:5" hidden="1" x14ac:dyDescent="0.25">
      <c r="A548">
        <v>1231</v>
      </c>
      <c r="B548" t="s">
        <v>578</v>
      </c>
      <c r="C548" t="s">
        <v>1665</v>
      </c>
      <c r="D548" t="str">
        <f t="shared" si="8"/>
        <v>SEAPA4003</v>
      </c>
      <c r="E548" t="s">
        <v>93</v>
      </c>
    </row>
    <row r="549" spans="1:5" hidden="1" x14ac:dyDescent="0.25">
      <c r="A549">
        <v>1231</v>
      </c>
      <c r="B549" t="s">
        <v>578</v>
      </c>
      <c r="C549" t="s">
        <v>1666</v>
      </c>
      <c r="D549" t="str">
        <f t="shared" si="8"/>
        <v>SEAPA4004</v>
      </c>
      <c r="E549" t="s">
        <v>1648</v>
      </c>
    </row>
    <row r="550" spans="1:5" hidden="1" x14ac:dyDescent="0.25">
      <c r="A550">
        <v>1231</v>
      </c>
      <c r="B550" t="s">
        <v>578</v>
      </c>
      <c r="C550" t="s">
        <v>1698</v>
      </c>
      <c r="D550" t="str">
        <f t="shared" si="8"/>
        <v>SEAPA4006</v>
      </c>
      <c r="E550" t="s">
        <v>1675</v>
      </c>
    </row>
    <row r="551" spans="1:5" hidden="1" x14ac:dyDescent="0.25">
      <c r="A551">
        <v>1231</v>
      </c>
      <c r="B551" t="s">
        <v>578</v>
      </c>
      <c r="C551" t="s">
        <v>1719</v>
      </c>
      <c r="D551" t="str">
        <f t="shared" si="8"/>
        <v>SEAPA4101</v>
      </c>
      <c r="E551" t="s">
        <v>1728</v>
      </c>
    </row>
    <row r="552" spans="1:5" hidden="1" x14ac:dyDescent="0.25">
      <c r="A552">
        <v>1231</v>
      </c>
      <c r="B552" t="s">
        <v>578</v>
      </c>
      <c r="C552" t="s">
        <v>327</v>
      </c>
      <c r="D552" t="str">
        <f t="shared" si="8"/>
        <v>SEAPA4707</v>
      </c>
      <c r="E552" t="s">
        <v>1669</v>
      </c>
    </row>
    <row r="553" spans="1:5" hidden="1" x14ac:dyDescent="0.25">
      <c r="A553">
        <v>1231</v>
      </c>
      <c r="B553" t="s">
        <v>578</v>
      </c>
      <c r="C553" t="s">
        <v>347</v>
      </c>
      <c r="D553" t="str">
        <f t="shared" si="8"/>
        <v>SEAPA4709</v>
      </c>
      <c r="E553" t="s">
        <v>1669</v>
      </c>
    </row>
    <row r="554" spans="1:5" hidden="1" x14ac:dyDescent="0.25">
      <c r="A554">
        <v>1231</v>
      </c>
      <c r="B554" t="s">
        <v>578</v>
      </c>
      <c r="C554" t="s">
        <v>363</v>
      </c>
      <c r="D554" t="str">
        <f t="shared" si="8"/>
        <v>SEAPA4799</v>
      </c>
      <c r="E554" t="s">
        <v>1669</v>
      </c>
    </row>
    <row r="555" spans="1:5" hidden="1" x14ac:dyDescent="0.25">
      <c r="A555">
        <v>1231</v>
      </c>
      <c r="B555" t="s">
        <v>578</v>
      </c>
      <c r="C555" t="s">
        <v>1712</v>
      </c>
      <c r="D555" t="str">
        <f t="shared" si="8"/>
        <v>SEAPA4905</v>
      </c>
      <c r="E555" t="s">
        <v>64</v>
      </c>
    </row>
    <row r="556" spans="1:5" hidden="1" x14ac:dyDescent="0.25">
      <c r="A556">
        <v>1231</v>
      </c>
      <c r="B556" t="s">
        <v>578</v>
      </c>
      <c r="C556" t="s">
        <v>172</v>
      </c>
      <c r="D556" t="str">
        <f t="shared" si="8"/>
        <v>SEAPA5107</v>
      </c>
      <c r="E556" t="s">
        <v>1671</v>
      </c>
    </row>
    <row r="557" spans="1:5" hidden="1" x14ac:dyDescent="0.25">
      <c r="A557">
        <v>1231</v>
      </c>
      <c r="B557" t="s">
        <v>578</v>
      </c>
      <c r="C557" t="s">
        <v>1673</v>
      </c>
      <c r="D557" t="str">
        <f t="shared" si="8"/>
        <v>SEAPA5204</v>
      </c>
      <c r="E557" t="s">
        <v>1674</v>
      </c>
    </row>
    <row r="558" spans="1:5" hidden="1" x14ac:dyDescent="0.25">
      <c r="A558">
        <v>1231</v>
      </c>
      <c r="B558" t="s">
        <v>578</v>
      </c>
      <c r="C558" t="s">
        <v>328</v>
      </c>
      <c r="D558" t="str">
        <f t="shared" si="8"/>
        <v>SEAPA5206</v>
      </c>
      <c r="E558" t="s">
        <v>1675</v>
      </c>
    </row>
    <row r="559" spans="1:5" hidden="1" x14ac:dyDescent="0.25">
      <c r="A559">
        <v>1231</v>
      </c>
      <c r="B559" t="s">
        <v>578</v>
      </c>
      <c r="C559" t="s">
        <v>1676</v>
      </c>
      <c r="D559" t="str">
        <f t="shared" si="8"/>
        <v>SEAPA5207</v>
      </c>
      <c r="E559" t="s">
        <v>1675</v>
      </c>
    </row>
    <row r="560" spans="1:5" hidden="1" x14ac:dyDescent="0.25">
      <c r="A560">
        <v>1231</v>
      </c>
      <c r="B560" t="s">
        <v>578</v>
      </c>
      <c r="C560" t="s">
        <v>1677</v>
      </c>
      <c r="D560" t="str">
        <f t="shared" si="8"/>
        <v>SEAPA5208</v>
      </c>
      <c r="E560" t="s">
        <v>1675</v>
      </c>
    </row>
    <row r="561" spans="1:5" hidden="1" x14ac:dyDescent="0.25">
      <c r="A561">
        <v>1231</v>
      </c>
      <c r="B561" t="s">
        <v>578</v>
      </c>
      <c r="C561" t="s">
        <v>358</v>
      </c>
      <c r="D561" t="str">
        <f t="shared" si="8"/>
        <v>SEAPA5209</v>
      </c>
      <c r="E561" t="s">
        <v>1674</v>
      </c>
    </row>
    <row r="562" spans="1:5" hidden="1" x14ac:dyDescent="0.25">
      <c r="A562">
        <v>1231</v>
      </c>
      <c r="B562" t="s">
        <v>578</v>
      </c>
      <c r="C562" t="s">
        <v>1678</v>
      </c>
      <c r="D562" t="str">
        <f t="shared" si="8"/>
        <v>SEAPA5210</v>
      </c>
      <c r="E562" t="s">
        <v>1674</v>
      </c>
    </row>
    <row r="563" spans="1:5" hidden="1" x14ac:dyDescent="0.25">
      <c r="A563">
        <v>1231</v>
      </c>
      <c r="B563" t="s">
        <v>578</v>
      </c>
      <c r="C563" t="s">
        <v>1679</v>
      </c>
      <c r="D563" t="str">
        <f t="shared" si="8"/>
        <v>SEAPA5212</v>
      </c>
      <c r="E563" t="s">
        <v>1674</v>
      </c>
    </row>
    <row r="564" spans="1:5" hidden="1" x14ac:dyDescent="0.25">
      <c r="A564">
        <v>1231</v>
      </c>
      <c r="B564" t="s">
        <v>578</v>
      </c>
      <c r="C564" t="s">
        <v>402</v>
      </c>
      <c r="D564" t="str">
        <f t="shared" si="8"/>
        <v>SEAPA5216</v>
      </c>
      <c r="E564" t="s">
        <v>1674</v>
      </c>
    </row>
    <row r="565" spans="1:5" hidden="1" x14ac:dyDescent="0.25">
      <c r="A565">
        <v>1231</v>
      </c>
      <c r="B565" t="s">
        <v>578</v>
      </c>
      <c r="C565" t="s">
        <v>408</v>
      </c>
      <c r="D565" t="str">
        <f t="shared" si="8"/>
        <v>SEAPA5217</v>
      </c>
      <c r="E565" t="s">
        <v>1680</v>
      </c>
    </row>
    <row r="566" spans="1:5" hidden="1" x14ac:dyDescent="0.25">
      <c r="A566">
        <v>1231</v>
      </c>
      <c r="B566" t="s">
        <v>578</v>
      </c>
      <c r="C566" t="s">
        <v>433</v>
      </c>
      <c r="D566" t="str">
        <f t="shared" si="8"/>
        <v>SEAPA5222</v>
      </c>
      <c r="E566" t="s">
        <v>1674</v>
      </c>
    </row>
    <row r="567" spans="1:5" hidden="1" x14ac:dyDescent="0.25">
      <c r="A567">
        <v>1231</v>
      </c>
      <c r="B567" t="s">
        <v>578</v>
      </c>
      <c r="C567" t="s">
        <v>1682</v>
      </c>
      <c r="D567" t="str">
        <f t="shared" si="8"/>
        <v>SEAPA5226</v>
      </c>
      <c r="E567" t="s">
        <v>1674</v>
      </c>
    </row>
    <row r="568" spans="1:5" hidden="1" x14ac:dyDescent="0.25">
      <c r="A568">
        <v>1231</v>
      </c>
      <c r="B568" t="s">
        <v>578</v>
      </c>
      <c r="C568" t="s">
        <v>340</v>
      </c>
      <c r="D568" t="str">
        <f t="shared" si="8"/>
        <v>SEAPA6107</v>
      </c>
      <c r="E568" t="s">
        <v>1754</v>
      </c>
    </row>
    <row r="569" spans="1:5" hidden="1" x14ac:dyDescent="0.25">
      <c r="A569">
        <v>1231</v>
      </c>
      <c r="B569" t="s">
        <v>578</v>
      </c>
      <c r="C569" t="s">
        <v>1729</v>
      </c>
      <c r="D569" t="str">
        <f t="shared" si="8"/>
        <v>SEAPA9201</v>
      </c>
      <c r="E569" t="s">
        <v>1685</v>
      </c>
    </row>
    <row r="570" spans="1:5" hidden="1" x14ac:dyDescent="0.25">
      <c r="A570">
        <v>1231</v>
      </c>
      <c r="B570" t="s">
        <v>578</v>
      </c>
      <c r="C570" t="s">
        <v>1684</v>
      </c>
      <c r="D570" t="str">
        <f t="shared" si="8"/>
        <v>SEAPA9202</v>
      </c>
      <c r="E570" t="s">
        <v>1685</v>
      </c>
    </row>
    <row r="571" spans="1:5" hidden="1" x14ac:dyDescent="0.25">
      <c r="A571">
        <v>1231</v>
      </c>
      <c r="B571" t="s">
        <v>578</v>
      </c>
      <c r="C571" t="s">
        <v>330</v>
      </c>
      <c r="D571" t="str">
        <f t="shared" si="8"/>
        <v>SEAPA9306</v>
      </c>
      <c r="E571" t="s">
        <v>1686</v>
      </c>
    </row>
    <row r="572" spans="1:5" hidden="1" x14ac:dyDescent="0.25">
      <c r="A572">
        <v>1231</v>
      </c>
      <c r="B572" t="s">
        <v>578</v>
      </c>
      <c r="C572" t="s">
        <v>1687</v>
      </c>
      <c r="D572" t="str">
        <f t="shared" si="8"/>
        <v>SEAPA9399</v>
      </c>
      <c r="E572" t="s">
        <v>1623</v>
      </c>
    </row>
    <row r="573" spans="1:5" hidden="1" x14ac:dyDescent="0.25">
      <c r="A573">
        <v>1251</v>
      </c>
      <c r="B573" t="s">
        <v>576</v>
      </c>
      <c r="C573" t="s">
        <v>1759</v>
      </c>
      <c r="D573" t="str">
        <f t="shared" si="8"/>
        <v>PMMG0899</v>
      </c>
      <c r="E573" t="s">
        <v>1596</v>
      </c>
    </row>
    <row r="574" spans="1:5" hidden="1" x14ac:dyDescent="0.25">
      <c r="A574">
        <v>1251</v>
      </c>
      <c r="B574" t="s">
        <v>576</v>
      </c>
      <c r="C574" t="s">
        <v>1730</v>
      </c>
      <c r="D574" t="str">
        <f t="shared" si="8"/>
        <v>PMMG1313</v>
      </c>
      <c r="E574" t="s">
        <v>1606</v>
      </c>
    </row>
    <row r="575" spans="1:5" hidden="1" x14ac:dyDescent="0.25">
      <c r="A575">
        <v>1251</v>
      </c>
      <c r="B575" t="s">
        <v>576</v>
      </c>
      <c r="C575" t="s">
        <v>331</v>
      </c>
      <c r="D575" t="str">
        <f t="shared" si="8"/>
        <v>PMMG1314</v>
      </c>
      <c r="E575" t="s">
        <v>1689</v>
      </c>
    </row>
    <row r="576" spans="1:5" hidden="1" x14ac:dyDescent="0.25">
      <c r="A576">
        <v>1251</v>
      </c>
      <c r="B576" t="s">
        <v>576</v>
      </c>
      <c r="C576" t="s">
        <v>1688</v>
      </c>
      <c r="D576" t="str">
        <f t="shared" si="8"/>
        <v>PMMG1317</v>
      </c>
      <c r="E576" t="s">
        <v>1689</v>
      </c>
    </row>
    <row r="577" spans="1:5" hidden="1" x14ac:dyDescent="0.25">
      <c r="A577">
        <v>1251</v>
      </c>
      <c r="B577" t="s">
        <v>576</v>
      </c>
      <c r="C577" t="s">
        <v>1597</v>
      </c>
      <c r="D577" t="str">
        <f t="shared" si="8"/>
        <v>PMMG1401</v>
      </c>
      <c r="E577" t="s">
        <v>43</v>
      </c>
    </row>
    <row r="578" spans="1:5" hidden="1" x14ac:dyDescent="0.25">
      <c r="A578">
        <v>1251</v>
      </c>
      <c r="B578" t="s">
        <v>576</v>
      </c>
      <c r="C578" t="s">
        <v>1598</v>
      </c>
      <c r="D578" t="str">
        <f t="shared" ref="D578:D641" si="9">CONCATENATE(B578,LEFT(C578,4))</f>
        <v>PMMG1501</v>
      </c>
      <c r="E578" t="s">
        <v>43</v>
      </c>
    </row>
    <row r="579" spans="1:5" hidden="1" x14ac:dyDescent="0.25">
      <c r="A579">
        <v>1251</v>
      </c>
      <c r="B579" t="s">
        <v>576</v>
      </c>
      <c r="C579" t="s">
        <v>1731</v>
      </c>
      <c r="D579" t="str">
        <f t="shared" si="9"/>
        <v>PMMG1502</v>
      </c>
      <c r="E579" t="s">
        <v>43</v>
      </c>
    </row>
    <row r="580" spans="1:5" hidden="1" x14ac:dyDescent="0.25">
      <c r="A580">
        <v>1251</v>
      </c>
      <c r="B580" t="s">
        <v>576</v>
      </c>
      <c r="C580" t="s">
        <v>1599</v>
      </c>
      <c r="D580" t="str">
        <f t="shared" si="9"/>
        <v>PMMG3001</v>
      </c>
      <c r="E580" t="s">
        <v>1600</v>
      </c>
    </row>
    <row r="581" spans="1:5" hidden="1" x14ac:dyDescent="0.25">
      <c r="A581">
        <v>1251</v>
      </c>
      <c r="B581" t="s">
        <v>576</v>
      </c>
      <c r="C581" t="s">
        <v>255</v>
      </c>
      <c r="D581" t="str">
        <f t="shared" si="9"/>
        <v>PMMG3002</v>
      </c>
      <c r="E581" t="s">
        <v>1600</v>
      </c>
    </row>
    <row r="582" spans="1:5" hidden="1" x14ac:dyDescent="0.25">
      <c r="A582">
        <v>1251</v>
      </c>
      <c r="B582" t="s">
        <v>576</v>
      </c>
      <c r="C582" t="s">
        <v>1601</v>
      </c>
      <c r="D582" t="str">
        <f t="shared" si="9"/>
        <v>PMMG3003</v>
      </c>
      <c r="E582" t="s">
        <v>1600</v>
      </c>
    </row>
    <row r="583" spans="1:5" hidden="1" x14ac:dyDescent="0.25">
      <c r="A583">
        <v>1251</v>
      </c>
      <c r="B583" t="s">
        <v>576</v>
      </c>
      <c r="C583" t="s">
        <v>1602</v>
      </c>
      <c r="D583" t="str">
        <f t="shared" si="9"/>
        <v>PMMG3004</v>
      </c>
      <c r="E583" t="s">
        <v>1600</v>
      </c>
    </row>
    <row r="584" spans="1:5" hidden="1" x14ac:dyDescent="0.25">
      <c r="A584">
        <v>1251</v>
      </c>
      <c r="B584" t="s">
        <v>576</v>
      </c>
      <c r="C584" t="s">
        <v>1603</v>
      </c>
      <c r="D584" t="str">
        <f t="shared" si="9"/>
        <v>PMMG3005</v>
      </c>
      <c r="E584" t="s">
        <v>1600</v>
      </c>
    </row>
    <row r="585" spans="1:5" hidden="1" x14ac:dyDescent="0.25">
      <c r="A585">
        <v>1251</v>
      </c>
      <c r="B585" t="s">
        <v>576</v>
      </c>
      <c r="C585" t="s">
        <v>322</v>
      </c>
      <c r="D585" t="str">
        <f t="shared" si="9"/>
        <v>PMMG3006</v>
      </c>
      <c r="E585" t="s">
        <v>1600</v>
      </c>
    </row>
    <row r="586" spans="1:5" hidden="1" x14ac:dyDescent="0.25">
      <c r="A586">
        <v>1251</v>
      </c>
      <c r="B586" t="s">
        <v>576</v>
      </c>
      <c r="C586" t="s">
        <v>332</v>
      </c>
      <c r="D586" t="str">
        <f t="shared" si="9"/>
        <v>PMMG3007</v>
      </c>
      <c r="E586" t="s">
        <v>1600</v>
      </c>
    </row>
    <row r="587" spans="1:5" hidden="1" x14ac:dyDescent="0.25">
      <c r="A587">
        <v>1251</v>
      </c>
      <c r="B587" t="s">
        <v>576</v>
      </c>
      <c r="C587" t="s">
        <v>1604</v>
      </c>
      <c r="D587" t="str">
        <f t="shared" si="9"/>
        <v>PMMG3008</v>
      </c>
      <c r="E587" t="s">
        <v>1600</v>
      </c>
    </row>
    <row r="588" spans="1:5" hidden="1" x14ac:dyDescent="0.25">
      <c r="A588">
        <v>1251</v>
      </c>
      <c r="B588" t="s">
        <v>576</v>
      </c>
      <c r="C588" t="s">
        <v>353</v>
      </c>
      <c r="D588" t="str">
        <f t="shared" si="9"/>
        <v>PMMG3009</v>
      </c>
      <c r="E588" t="s">
        <v>1600</v>
      </c>
    </row>
    <row r="589" spans="1:5" hidden="1" x14ac:dyDescent="0.25">
      <c r="A589">
        <v>1251</v>
      </c>
      <c r="B589" t="s">
        <v>576</v>
      </c>
      <c r="C589" t="s">
        <v>1605</v>
      </c>
      <c r="D589" t="str">
        <f t="shared" si="9"/>
        <v>PMMG3010</v>
      </c>
      <c r="E589" t="s">
        <v>1606</v>
      </c>
    </row>
    <row r="590" spans="1:5" hidden="1" x14ac:dyDescent="0.25">
      <c r="A590">
        <v>1251</v>
      </c>
      <c r="B590" t="s">
        <v>576</v>
      </c>
      <c r="C590" t="s">
        <v>368</v>
      </c>
      <c r="D590" t="str">
        <f t="shared" si="9"/>
        <v>PMMG3011</v>
      </c>
      <c r="E590" t="s">
        <v>1600</v>
      </c>
    </row>
    <row r="591" spans="1:5" hidden="1" x14ac:dyDescent="0.25">
      <c r="A591">
        <v>1251</v>
      </c>
      <c r="B591" t="s">
        <v>576</v>
      </c>
      <c r="C591" t="s">
        <v>137</v>
      </c>
      <c r="D591" t="str">
        <f t="shared" si="9"/>
        <v>PMMG3012</v>
      </c>
      <c r="E591" t="s">
        <v>1606</v>
      </c>
    </row>
    <row r="592" spans="1:5" hidden="1" x14ac:dyDescent="0.25">
      <c r="A592">
        <v>1251</v>
      </c>
      <c r="B592" t="s">
        <v>576</v>
      </c>
      <c r="C592" t="s">
        <v>1607</v>
      </c>
      <c r="D592" t="str">
        <f t="shared" si="9"/>
        <v>PMMG3013</v>
      </c>
      <c r="E592" t="s">
        <v>1600</v>
      </c>
    </row>
    <row r="593" spans="1:5" hidden="1" x14ac:dyDescent="0.25">
      <c r="A593">
        <v>1251</v>
      </c>
      <c r="B593" t="s">
        <v>576</v>
      </c>
      <c r="C593" t="s">
        <v>387</v>
      </c>
      <c r="D593" t="str">
        <f t="shared" si="9"/>
        <v>PMMG3014</v>
      </c>
      <c r="E593" t="s">
        <v>1600</v>
      </c>
    </row>
    <row r="594" spans="1:5" hidden="1" x14ac:dyDescent="0.25">
      <c r="A594">
        <v>1251</v>
      </c>
      <c r="B594" t="s">
        <v>576</v>
      </c>
      <c r="C594" t="s">
        <v>1608</v>
      </c>
      <c r="D594" t="str">
        <f t="shared" si="9"/>
        <v>PMMG3015</v>
      </c>
      <c r="E594" t="s">
        <v>1600</v>
      </c>
    </row>
    <row r="595" spans="1:5" hidden="1" x14ac:dyDescent="0.25">
      <c r="A595">
        <v>1251</v>
      </c>
      <c r="B595" t="s">
        <v>576</v>
      </c>
      <c r="C595" t="s">
        <v>1609</v>
      </c>
      <c r="D595" t="str">
        <f t="shared" si="9"/>
        <v>PMMG3016</v>
      </c>
      <c r="E595" t="s">
        <v>1600</v>
      </c>
    </row>
    <row r="596" spans="1:5" hidden="1" x14ac:dyDescent="0.25">
      <c r="A596">
        <v>1251</v>
      </c>
      <c r="B596" t="s">
        <v>576</v>
      </c>
      <c r="C596" t="s">
        <v>405</v>
      </c>
      <c r="D596" t="str">
        <f t="shared" si="9"/>
        <v>PMMG3017</v>
      </c>
      <c r="E596" t="s">
        <v>1600</v>
      </c>
    </row>
    <row r="597" spans="1:5" hidden="1" x14ac:dyDescent="0.25">
      <c r="A597">
        <v>1251</v>
      </c>
      <c r="B597" t="s">
        <v>576</v>
      </c>
      <c r="C597" t="s">
        <v>410</v>
      </c>
      <c r="D597" t="str">
        <f t="shared" si="9"/>
        <v>PMMG3018</v>
      </c>
      <c r="E597" t="s">
        <v>1600</v>
      </c>
    </row>
    <row r="598" spans="1:5" hidden="1" x14ac:dyDescent="0.25">
      <c r="A598">
        <v>1251</v>
      </c>
      <c r="B598" t="s">
        <v>576</v>
      </c>
      <c r="C598" t="s">
        <v>1610</v>
      </c>
      <c r="D598" t="str">
        <f t="shared" si="9"/>
        <v>PMMG3019</v>
      </c>
      <c r="E598" t="s">
        <v>1611</v>
      </c>
    </row>
    <row r="599" spans="1:5" hidden="1" x14ac:dyDescent="0.25">
      <c r="A599">
        <v>1251</v>
      </c>
      <c r="B599" t="s">
        <v>576</v>
      </c>
      <c r="C599" t="s">
        <v>1612</v>
      </c>
      <c r="D599" t="str">
        <f t="shared" si="9"/>
        <v>PMMG3020</v>
      </c>
      <c r="E599" t="s">
        <v>1600</v>
      </c>
    </row>
    <row r="600" spans="1:5" hidden="1" x14ac:dyDescent="0.25">
      <c r="A600">
        <v>1251</v>
      </c>
      <c r="B600" t="s">
        <v>576</v>
      </c>
      <c r="C600" t="s">
        <v>1613</v>
      </c>
      <c r="D600" t="str">
        <f t="shared" si="9"/>
        <v>PMMG3021</v>
      </c>
      <c r="E600" t="s">
        <v>1600</v>
      </c>
    </row>
    <row r="601" spans="1:5" hidden="1" x14ac:dyDescent="0.25">
      <c r="A601">
        <v>1251</v>
      </c>
      <c r="B601" t="s">
        <v>576</v>
      </c>
      <c r="C601" t="s">
        <v>430</v>
      </c>
      <c r="D601" t="str">
        <f t="shared" si="9"/>
        <v>PMMG3022</v>
      </c>
      <c r="E601" t="s">
        <v>1600</v>
      </c>
    </row>
    <row r="602" spans="1:5" hidden="1" x14ac:dyDescent="0.25">
      <c r="A602">
        <v>1251</v>
      </c>
      <c r="B602" t="s">
        <v>576</v>
      </c>
      <c r="C602" t="s">
        <v>1614</v>
      </c>
      <c r="D602" t="str">
        <f t="shared" si="9"/>
        <v>PMMG3023</v>
      </c>
      <c r="E602" t="s">
        <v>1615</v>
      </c>
    </row>
    <row r="603" spans="1:5" hidden="1" x14ac:dyDescent="0.25">
      <c r="A603">
        <v>1251</v>
      </c>
      <c r="B603" t="s">
        <v>576</v>
      </c>
      <c r="C603" t="s">
        <v>440</v>
      </c>
      <c r="D603" t="str">
        <f t="shared" si="9"/>
        <v>PMMG3024</v>
      </c>
      <c r="E603" t="s">
        <v>1600</v>
      </c>
    </row>
    <row r="604" spans="1:5" hidden="1" x14ac:dyDescent="0.25">
      <c r="A604">
        <v>1251</v>
      </c>
      <c r="B604" t="s">
        <v>576</v>
      </c>
      <c r="C604" t="s">
        <v>1616</v>
      </c>
      <c r="D604" t="str">
        <f t="shared" si="9"/>
        <v>PMMG3025</v>
      </c>
      <c r="E604" t="s">
        <v>1600</v>
      </c>
    </row>
    <row r="605" spans="1:5" hidden="1" x14ac:dyDescent="0.25">
      <c r="A605">
        <v>1251</v>
      </c>
      <c r="B605" t="s">
        <v>576</v>
      </c>
      <c r="C605" t="s">
        <v>1617</v>
      </c>
      <c r="D605" t="str">
        <f t="shared" si="9"/>
        <v>PMMG3026</v>
      </c>
      <c r="E605" t="s">
        <v>1615</v>
      </c>
    </row>
    <row r="606" spans="1:5" hidden="1" x14ac:dyDescent="0.25">
      <c r="A606">
        <v>1251</v>
      </c>
      <c r="B606" t="s">
        <v>576</v>
      </c>
      <c r="C606" t="s">
        <v>1618</v>
      </c>
      <c r="D606" t="str">
        <f t="shared" si="9"/>
        <v>PMMG3027</v>
      </c>
      <c r="E606" t="s">
        <v>1600</v>
      </c>
    </row>
    <row r="607" spans="1:5" hidden="1" x14ac:dyDescent="0.25">
      <c r="A607">
        <v>1251</v>
      </c>
      <c r="B607" t="s">
        <v>576</v>
      </c>
      <c r="C607" t="s">
        <v>1702</v>
      </c>
      <c r="D607" t="str">
        <f t="shared" si="9"/>
        <v>PMMG3029</v>
      </c>
      <c r="E607" t="s">
        <v>1600</v>
      </c>
    </row>
    <row r="608" spans="1:5" hidden="1" x14ac:dyDescent="0.25">
      <c r="A608">
        <v>1251</v>
      </c>
      <c r="B608" t="s">
        <v>576</v>
      </c>
      <c r="C608" t="s">
        <v>466</v>
      </c>
      <c r="D608" t="str">
        <f t="shared" si="9"/>
        <v>PMMG3030</v>
      </c>
      <c r="E608" t="s">
        <v>1600</v>
      </c>
    </row>
    <row r="609" spans="1:5" hidden="1" x14ac:dyDescent="0.25">
      <c r="A609">
        <v>1251</v>
      </c>
      <c r="B609" t="s">
        <v>576</v>
      </c>
      <c r="C609" t="s">
        <v>469</v>
      </c>
      <c r="D609" t="str">
        <f t="shared" si="9"/>
        <v>PMMG3031</v>
      </c>
      <c r="E609" t="s">
        <v>1600</v>
      </c>
    </row>
    <row r="610" spans="1:5" hidden="1" x14ac:dyDescent="0.25">
      <c r="A610">
        <v>1251</v>
      </c>
      <c r="B610" t="s">
        <v>576</v>
      </c>
      <c r="C610" t="s">
        <v>1619</v>
      </c>
      <c r="D610" t="str">
        <f t="shared" si="9"/>
        <v>PMMG3032</v>
      </c>
      <c r="E610" t="s">
        <v>1600</v>
      </c>
    </row>
    <row r="611" spans="1:5" hidden="1" x14ac:dyDescent="0.25">
      <c r="A611">
        <v>1251</v>
      </c>
      <c r="B611" t="s">
        <v>576</v>
      </c>
      <c r="C611" t="s">
        <v>1620</v>
      </c>
      <c r="D611" t="str">
        <f t="shared" si="9"/>
        <v>PMMG3033</v>
      </c>
      <c r="E611" t="s">
        <v>1621</v>
      </c>
    </row>
    <row r="612" spans="1:5" hidden="1" x14ac:dyDescent="0.25">
      <c r="A612">
        <v>1251</v>
      </c>
      <c r="B612" t="s">
        <v>576</v>
      </c>
      <c r="C612" t="s">
        <v>476</v>
      </c>
      <c r="D612" t="str">
        <f t="shared" si="9"/>
        <v>PMMG3034</v>
      </c>
      <c r="E612" t="s">
        <v>1621</v>
      </c>
    </row>
    <row r="613" spans="1:5" hidden="1" x14ac:dyDescent="0.25">
      <c r="A613">
        <v>1251</v>
      </c>
      <c r="B613" t="s">
        <v>576</v>
      </c>
      <c r="C613" t="s">
        <v>486</v>
      </c>
      <c r="D613" t="str">
        <f t="shared" si="9"/>
        <v>PMMG3040</v>
      </c>
      <c r="E613" t="s">
        <v>1600</v>
      </c>
    </row>
    <row r="614" spans="1:5" hidden="1" x14ac:dyDescent="0.25">
      <c r="A614">
        <v>1251</v>
      </c>
      <c r="B614" t="s">
        <v>576</v>
      </c>
      <c r="C614" t="s">
        <v>1703</v>
      </c>
      <c r="D614" t="str">
        <f t="shared" si="9"/>
        <v>PMMG3041</v>
      </c>
      <c r="E614" t="s">
        <v>1623</v>
      </c>
    </row>
    <row r="615" spans="1:5" hidden="1" x14ac:dyDescent="0.25">
      <c r="A615">
        <v>1251</v>
      </c>
      <c r="B615" t="s">
        <v>576</v>
      </c>
      <c r="C615" t="s">
        <v>490</v>
      </c>
      <c r="D615" t="str">
        <f t="shared" si="9"/>
        <v>PMMG3099</v>
      </c>
      <c r="E615" t="s">
        <v>1600</v>
      </c>
    </row>
    <row r="616" spans="1:5" hidden="1" x14ac:dyDescent="0.25">
      <c r="A616">
        <v>1251</v>
      </c>
      <c r="B616" t="s">
        <v>576</v>
      </c>
      <c r="C616" t="s">
        <v>1622</v>
      </c>
      <c r="D616" t="str">
        <f t="shared" si="9"/>
        <v>PMMG3101</v>
      </c>
      <c r="E616" t="s">
        <v>1623</v>
      </c>
    </row>
    <row r="617" spans="1:5" hidden="1" x14ac:dyDescent="0.25">
      <c r="A617">
        <v>1251</v>
      </c>
      <c r="B617" t="s">
        <v>576</v>
      </c>
      <c r="C617" t="s">
        <v>226</v>
      </c>
      <c r="D617" t="str">
        <f t="shared" si="9"/>
        <v>PMMG3201</v>
      </c>
      <c r="E617" t="s">
        <v>1623</v>
      </c>
    </row>
    <row r="618" spans="1:5" hidden="1" x14ac:dyDescent="0.25">
      <c r="A618">
        <v>1251</v>
      </c>
      <c r="B618" t="s">
        <v>576</v>
      </c>
      <c r="C618" t="s">
        <v>53</v>
      </c>
      <c r="D618" t="str">
        <f t="shared" si="9"/>
        <v>PMMG3301</v>
      </c>
      <c r="E618" t="s">
        <v>43</v>
      </c>
    </row>
    <row r="619" spans="1:5" hidden="1" x14ac:dyDescent="0.25">
      <c r="A619">
        <v>1251</v>
      </c>
      <c r="B619" t="s">
        <v>576</v>
      </c>
      <c r="C619" t="s">
        <v>1626</v>
      </c>
      <c r="D619" t="str">
        <f t="shared" si="9"/>
        <v>PMMG3302</v>
      </c>
      <c r="E619" t="s">
        <v>43</v>
      </c>
    </row>
    <row r="620" spans="1:5" hidden="1" x14ac:dyDescent="0.25">
      <c r="A620">
        <v>1251</v>
      </c>
      <c r="B620" t="s">
        <v>576</v>
      </c>
      <c r="C620" t="s">
        <v>1704</v>
      </c>
      <c r="D620" t="str">
        <f t="shared" si="9"/>
        <v>PMMG3303</v>
      </c>
      <c r="E620" t="s">
        <v>1623</v>
      </c>
    </row>
    <row r="621" spans="1:5" hidden="1" x14ac:dyDescent="0.25">
      <c r="A621">
        <v>1251</v>
      </c>
      <c r="B621" t="s">
        <v>576</v>
      </c>
      <c r="C621" t="s">
        <v>1627</v>
      </c>
      <c r="D621" t="str">
        <f t="shared" si="9"/>
        <v>PMMG3304</v>
      </c>
      <c r="E621" t="s">
        <v>43</v>
      </c>
    </row>
    <row r="622" spans="1:5" hidden="1" x14ac:dyDescent="0.25">
      <c r="A622">
        <v>1251</v>
      </c>
      <c r="B622" t="s">
        <v>576</v>
      </c>
      <c r="C622" t="s">
        <v>308</v>
      </c>
      <c r="D622" t="str">
        <f t="shared" si="9"/>
        <v>PMMG3305</v>
      </c>
      <c r="E622" t="s">
        <v>1623</v>
      </c>
    </row>
    <row r="623" spans="1:5" hidden="1" x14ac:dyDescent="0.25">
      <c r="A623">
        <v>1251</v>
      </c>
      <c r="B623" t="s">
        <v>576</v>
      </c>
      <c r="C623" t="s">
        <v>1705</v>
      </c>
      <c r="D623" t="str">
        <f t="shared" si="9"/>
        <v>PMMG3502</v>
      </c>
      <c r="E623" t="s">
        <v>1623</v>
      </c>
    </row>
    <row r="624" spans="1:5" hidden="1" x14ac:dyDescent="0.25">
      <c r="A624">
        <v>1251</v>
      </c>
      <c r="B624" t="s">
        <v>576</v>
      </c>
      <c r="C624" t="s">
        <v>1690</v>
      </c>
      <c r="D624" t="str">
        <f t="shared" si="9"/>
        <v>PMMG3601</v>
      </c>
      <c r="E624" t="s">
        <v>64</v>
      </c>
    </row>
    <row r="625" spans="1:5" hidden="1" x14ac:dyDescent="0.25">
      <c r="A625">
        <v>1251</v>
      </c>
      <c r="B625" t="s">
        <v>576</v>
      </c>
      <c r="C625" t="s">
        <v>260</v>
      </c>
      <c r="D625" t="str">
        <f t="shared" si="9"/>
        <v>PMMG3602</v>
      </c>
      <c r="E625" t="s">
        <v>1606</v>
      </c>
    </row>
    <row r="626" spans="1:5" hidden="1" x14ac:dyDescent="0.25">
      <c r="A626">
        <v>1251</v>
      </c>
      <c r="B626" t="s">
        <v>576</v>
      </c>
      <c r="C626" t="s">
        <v>296</v>
      </c>
      <c r="D626" t="str">
        <f t="shared" si="9"/>
        <v>PMMG3604</v>
      </c>
      <c r="E626" t="s">
        <v>43</v>
      </c>
    </row>
    <row r="627" spans="1:5" hidden="1" x14ac:dyDescent="0.25">
      <c r="A627">
        <v>1251</v>
      </c>
      <c r="B627" t="s">
        <v>576</v>
      </c>
      <c r="C627" t="s">
        <v>354</v>
      </c>
      <c r="D627" t="str">
        <f t="shared" si="9"/>
        <v>PMMG3610</v>
      </c>
      <c r="E627" t="s">
        <v>1623</v>
      </c>
    </row>
    <row r="628" spans="1:5" hidden="1" x14ac:dyDescent="0.25">
      <c r="A628">
        <v>1251</v>
      </c>
      <c r="B628" t="s">
        <v>576</v>
      </c>
      <c r="C628" t="s">
        <v>1707</v>
      </c>
      <c r="D628" t="str">
        <f t="shared" si="9"/>
        <v>PMMG3611</v>
      </c>
      <c r="E628" t="s">
        <v>1692</v>
      </c>
    </row>
    <row r="629" spans="1:5" hidden="1" x14ac:dyDescent="0.25">
      <c r="A629">
        <v>1251</v>
      </c>
      <c r="B629" t="s">
        <v>576</v>
      </c>
      <c r="C629" t="s">
        <v>1628</v>
      </c>
      <c r="D629" t="str">
        <f t="shared" si="9"/>
        <v>PMMG3612</v>
      </c>
      <c r="E629" t="s">
        <v>1623</v>
      </c>
    </row>
    <row r="630" spans="1:5" hidden="1" x14ac:dyDescent="0.25">
      <c r="A630">
        <v>1251</v>
      </c>
      <c r="B630" t="s">
        <v>576</v>
      </c>
      <c r="C630" t="s">
        <v>382</v>
      </c>
      <c r="D630" t="str">
        <f t="shared" si="9"/>
        <v>PMMG3614</v>
      </c>
      <c r="E630" t="s">
        <v>1623</v>
      </c>
    </row>
    <row r="631" spans="1:5" hidden="1" x14ac:dyDescent="0.25">
      <c r="A631">
        <v>1251</v>
      </c>
      <c r="B631" t="s">
        <v>576</v>
      </c>
      <c r="C631" t="s">
        <v>406</v>
      </c>
      <c r="D631" t="str">
        <f t="shared" si="9"/>
        <v>PMMG3618</v>
      </c>
      <c r="E631" t="s">
        <v>1611</v>
      </c>
    </row>
    <row r="632" spans="1:5" hidden="1" x14ac:dyDescent="0.25">
      <c r="A632">
        <v>1251</v>
      </c>
      <c r="B632" t="s">
        <v>576</v>
      </c>
      <c r="C632" t="s">
        <v>470</v>
      </c>
      <c r="D632" t="str">
        <f t="shared" si="9"/>
        <v>PMMG3699</v>
      </c>
      <c r="E632" t="s">
        <v>1623</v>
      </c>
    </row>
    <row r="633" spans="1:5" hidden="1" x14ac:dyDescent="0.25">
      <c r="A633">
        <v>1251</v>
      </c>
      <c r="B633" t="s">
        <v>576</v>
      </c>
      <c r="C633" t="s">
        <v>1629</v>
      </c>
      <c r="D633" t="str">
        <f t="shared" si="9"/>
        <v>PMMG3701</v>
      </c>
      <c r="E633" t="s">
        <v>1630</v>
      </c>
    </row>
    <row r="634" spans="1:5" hidden="1" x14ac:dyDescent="0.25">
      <c r="A634">
        <v>1251</v>
      </c>
      <c r="B634" t="s">
        <v>576</v>
      </c>
      <c r="C634" t="s">
        <v>1693</v>
      </c>
      <c r="D634" t="str">
        <f t="shared" si="9"/>
        <v>PMMG3702</v>
      </c>
      <c r="E634" t="s">
        <v>1630</v>
      </c>
    </row>
    <row r="635" spans="1:5" hidden="1" x14ac:dyDescent="0.25">
      <c r="A635">
        <v>1251</v>
      </c>
      <c r="B635" t="s">
        <v>576</v>
      </c>
      <c r="C635" t="s">
        <v>1631</v>
      </c>
      <c r="D635" t="str">
        <f t="shared" si="9"/>
        <v>PMMG3703</v>
      </c>
      <c r="E635" t="s">
        <v>116</v>
      </c>
    </row>
    <row r="636" spans="1:5" hidden="1" x14ac:dyDescent="0.25">
      <c r="A636">
        <v>1251</v>
      </c>
      <c r="B636" t="s">
        <v>576</v>
      </c>
      <c r="C636" t="s">
        <v>1632</v>
      </c>
      <c r="D636" t="str">
        <f t="shared" si="9"/>
        <v>PMMG3704</v>
      </c>
      <c r="E636" t="s">
        <v>116</v>
      </c>
    </row>
    <row r="637" spans="1:5" hidden="1" x14ac:dyDescent="0.25">
      <c r="A637">
        <v>1251</v>
      </c>
      <c r="B637" t="s">
        <v>576</v>
      </c>
      <c r="C637" t="s">
        <v>1633</v>
      </c>
      <c r="D637" t="str">
        <f t="shared" si="9"/>
        <v>PMMG3705</v>
      </c>
      <c r="E637" t="s">
        <v>116</v>
      </c>
    </row>
    <row r="638" spans="1:5" hidden="1" x14ac:dyDescent="0.25">
      <c r="A638">
        <v>1251</v>
      </c>
      <c r="B638" t="s">
        <v>576</v>
      </c>
      <c r="C638" t="s">
        <v>1634</v>
      </c>
      <c r="D638" t="str">
        <f t="shared" si="9"/>
        <v>PMMG3903</v>
      </c>
      <c r="E638" t="s">
        <v>86</v>
      </c>
    </row>
    <row r="639" spans="1:5" hidden="1" x14ac:dyDescent="0.25">
      <c r="A639">
        <v>1251</v>
      </c>
      <c r="B639" t="s">
        <v>576</v>
      </c>
      <c r="C639" t="s">
        <v>298</v>
      </c>
      <c r="D639" t="str">
        <f t="shared" si="9"/>
        <v>PMMG3904</v>
      </c>
      <c r="E639" t="s">
        <v>1623</v>
      </c>
    </row>
    <row r="640" spans="1:5" hidden="1" x14ac:dyDescent="0.25">
      <c r="A640">
        <v>1251</v>
      </c>
      <c r="B640" t="s">
        <v>576</v>
      </c>
      <c r="C640" t="s">
        <v>325</v>
      </c>
      <c r="D640" t="str">
        <f t="shared" si="9"/>
        <v>PMMG3906</v>
      </c>
      <c r="E640" t="s">
        <v>1623</v>
      </c>
    </row>
    <row r="641" spans="1:5" hidden="1" x14ac:dyDescent="0.25">
      <c r="A641">
        <v>1251</v>
      </c>
      <c r="B641" t="s">
        <v>576</v>
      </c>
      <c r="C641" t="s">
        <v>1635</v>
      </c>
      <c r="D641" t="str">
        <f t="shared" si="9"/>
        <v>PMMG3908</v>
      </c>
      <c r="E641" t="s">
        <v>1623</v>
      </c>
    </row>
    <row r="642" spans="1:5" hidden="1" x14ac:dyDescent="0.25">
      <c r="A642">
        <v>1251</v>
      </c>
      <c r="B642" t="s">
        <v>576</v>
      </c>
      <c r="C642" t="s">
        <v>335</v>
      </c>
      <c r="D642" t="str">
        <f t="shared" ref="D642:D705" si="10">CONCATENATE(B642,LEFT(C642,4))</f>
        <v>PMMG3909</v>
      </c>
      <c r="E642" t="s">
        <v>1623</v>
      </c>
    </row>
    <row r="643" spans="1:5" hidden="1" x14ac:dyDescent="0.25">
      <c r="A643">
        <v>1251</v>
      </c>
      <c r="B643" t="s">
        <v>576</v>
      </c>
      <c r="C643" t="s">
        <v>345</v>
      </c>
      <c r="D643" t="str">
        <f t="shared" si="10"/>
        <v>PMMG3910</v>
      </c>
      <c r="E643" t="s">
        <v>1623</v>
      </c>
    </row>
    <row r="644" spans="1:5" hidden="1" x14ac:dyDescent="0.25">
      <c r="A644">
        <v>1251</v>
      </c>
      <c r="B644" t="s">
        <v>576</v>
      </c>
      <c r="C644" t="s">
        <v>355</v>
      </c>
      <c r="D644" t="str">
        <f t="shared" si="10"/>
        <v>PMMG3911</v>
      </c>
      <c r="E644" t="s">
        <v>1623</v>
      </c>
    </row>
    <row r="645" spans="1:5" hidden="1" x14ac:dyDescent="0.25">
      <c r="A645">
        <v>1251</v>
      </c>
      <c r="B645" t="s">
        <v>576</v>
      </c>
      <c r="C645" t="s">
        <v>1636</v>
      </c>
      <c r="D645" t="str">
        <f t="shared" si="10"/>
        <v>PMMG3912</v>
      </c>
      <c r="E645" t="s">
        <v>1637</v>
      </c>
    </row>
    <row r="646" spans="1:5" hidden="1" x14ac:dyDescent="0.25">
      <c r="A646">
        <v>1251</v>
      </c>
      <c r="B646" t="s">
        <v>576</v>
      </c>
      <c r="C646" t="s">
        <v>1638</v>
      </c>
      <c r="D646" t="str">
        <f t="shared" si="10"/>
        <v>PMMG3913</v>
      </c>
      <c r="E646" t="s">
        <v>1637</v>
      </c>
    </row>
    <row r="647" spans="1:5" hidden="1" x14ac:dyDescent="0.25">
      <c r="A647">
        <v>1251</v>
      </c>
      <c r="B647" t="s">
        <v>576</v>
      </c>
      <c r="C647" t="s">
        <v>376</v>
      </c>
      <c r="D647" t="str">
        <f t="shared" si="10"/>
        <v>PMMG3914</v>
      </c>
      <c r="E647" t="s">
        <v>1648</v>
      </c>
    </row>
    <row r="648" spans="1:5" hidden="1" x14ac:dyDescent="0.25">
      <c r="A648">
        <v>1251</v>
      </c>
      <c r="B648" t="s">
        <v>576</v>
      </c>
      <c r="C648" t="s">
        <v>383</v>
      </c>
      <c r="D648" t="str">
        <f t="shared" si="10"/>
        <v>PMMG3915</v>
      </c>
      <c r="E648" t="s">
        <v>1637</v>
      </c>
    </row>
    <row r="649" spans="1:5" hidden="1" x14ac:dyDescent="0.25">
      <c r="A649">
        <v>1251</v>
      </c>
      <c r="B649" t="s">
        <v>576</v>
      </c>
      <c r="C649" t="s">
        <v>389</v>
      </c>
      <c r="D649" t="str">
        <f t="shared" si="10"/>
        <v>PMMG3916</v>
      </c>
      <c r="E649" t="s">
        <v>1623</v>
      </c>
    </row>
    <row r="650" spans="1:5" hidden="1" x14ac:dyDescent="0.25">
      <c r="A650">
        <v>1251</v>
      </c>
      <c r="B650" t="s">
        <v>576</v>
      </c>
      <c r="C650" t="s">
        <v>1639</v>
      </c>
      <c r="D650" t="str">
        <f t="shared" si="10"/>
        <v>PMMG3917</v>
      </c>
      <c r="E650" t="s">
        <v>1615</v>
      </c>
    </row>
    <row r="651" spans="1:5" hidden="1" x14ac:dyDescent="0.25">
      <c r="A651">
        <v>1251</v>
      </c>
      <c r="B651" t="s">
        <v>576</v>
      </c>
      <c r="C651" t="s">
        <v>1640</v>
      </c>
      <c r="D651" t="str">
        <f t="shared" si="10"/>
        <v>PMMG3918</v>
      </c>
      <c r="E651" t="s">
        <v>1615</v>
      </c>
    </row>
    <row r="652" spans="1:5" hidden="1" x14ac:dyDescent="0.25">
      <c r="A652">
        <v>1251</v>
      </c>
      <c r="B652" t="s">
        <v>576</v>
      </c>
      <c r="C652" t="s">
        <v>1641</v>
      </c>
      <c r="D652" t="str">
        <f t="shared" si="10"/>
        <v>PMMG3919</v>
      </c>
      <c r="E652" t="s">
        <v>2102</v>
      </c>
    </row>
    <row r="653" spans="1:5" hidden="1" x14ac:dyDescent="0.25">
      <c r="A653">
        <v>1251</v>
      </c>
      <c r="B653" t="s">
        <v>576</v>
      </c>
      <c r="C653" t="s">
        <v>1694</v>
      </c>
      <c r="D653" t="str">
        <f t="shared" si="10"/>
        <v>PMMG3920</v>
      </c>
      <c r="E653" t="s">
        <v>1692</v>
      </c>
    </row>
    <row r="654" spans="1:5" hidden="1" x14ac:dyDescent="0.25">
      <c r="A654">
        <v>1251</v>
      </c>
      <c r="B654" t="s">
        <v>576</v>
      </c>
      <c r="C654" t="s">
        <v>1642</v>
      </c>
      <c r="D654" t="str">
        <f t="shared" si="10"/>
        <v>PMMG3921</v>
      </c>
      <c r="E654" t="s">
        <v>2102</v>
      </c>
    </row>
    <row r="655" spans="1:5" hidden="1" x14ac:dyDescent="0.25">
      <c r="A655">
        <v>1251</v>
      </c>
      <c r="B655" t="s">
        <v>576</v>
      </c>
      <c r="C655" t="s">
        <v>1643</v>
      </c>
      <c r="D655" t="str">
        <f t="shared" si="10"/>
        <v>PMMG3922</v>
      </c>
      <c r="E655" t="s">
        <v>1611</v>
      </c>
    </row>
    <row r="656" spans="1:5" hidden="1" x14ac:dyDescent="0.25">
      <c r="A656">
        <v>1251</v>
      </c>
      <c r="B656" t="s">
        <v>576</v>
      </c>
      <c r="C656" t="s">
        <v>427</v>
      </c>
      <c r="D656" t="str">
        <f t="shared" si="10"/>
        <v>PMMG3923</v>
      </c>
      <c r="E656" t="s">
        <v>1623</v>
      </c>
    </row>
    <row r="657" spans="1:5" hidden="1" x14ac:dyDescent="0.25">
      <c r="A657">
        <v>1251</v>
      </c>
      <c r="B657" t="s">
        <v>576</v>
      </c>
      <c r="C657" t="s">
        <v>1644</v>
      </c>
      <c r="D657" t="str">
        <f t="shared" si="10"/>
        <v>PMMG3924</v>
      </c>
      <c r="E657" t="s">
        <v>1645</v>
      </c>
    </row>
    <row r="658" spans="1:5" hidden="1" x14ac:dyDescent="0.25">
      <c r="A658">
        <v>1251</v>
      </c>
      <c r="B658" t="s">
        <v>576</v>
      </c>
      <c r="C658" t="s">
        <v>437</v>
      </c>
      <c r="D658" t="str">
        <f t="shared" si="10"/>
        <v>PMMG3925</v>
      </c>
      <c r="E658" t="s">
        <v>1646</v>
      </c>
    </row>
    <row r="659" spans="1:5" hidden="1" x14ac:dyDescent="0.25">
      <c r="A659">
        <v>1251</v>
      </c>
      <c r="B659" t="s">
        <v>576</v>
      </c>
      <c r="C659" t="s">
        <v>442</v>
      </c>
      <c r="D659" t="str">
        <f t="shared" si="10"/>
        <v>PMMG3926</v>
      </c>
      <c r="E659" t="s">
        <v>1646</v>
      </c>
    </row>
    <row r="660" spans="1:5" hidden="1" x14ac:dyDescent="0.25">
      <c r="A660">
        <v>1251</v>
      </c>
      <c r="B660" t="s">
        <v>576</v>
      </c>
      <c r="C660" t="s">
        <v>1647</v>
      </c>
      <c r="D660" t="str">
        <f t="shared" si="10"/>
        <v>PMMG3927</v>
      </c>
      <c r="E660" t="s">
        <v>1648</v>
      </c>
    </row>
    <row r="661" spans="1:5" hidden="1" x14ac:dyDescent="0.25">
      <c r="A661">
        <v>1251</v>
      </c>
      <c r="B661" t="s">
        <v>576</v>
      </c>
      <c r="C661" t="s">
        <v>457</v>
      </c>
      <c r="D661" t="str">
        <f t="shared" si="10"/>
        <v>PMMG3930</v>
      </c>
      <c r="E661" t="s">
        <v>1646</v>
      </c>
    </row>
    <row r="662" spans="1:5" hidden="1" x14ac:dyDescent="0.25">
      <c r="A662">
        <v>1251</v>
      </c>
      <c r="B662" t="s">
        <v>576</v>
      </c>
      <c r="C662" t="s">
        <v>1650</v>
      </c>
      <c r="D662" t="str">
        <f t="shared" si="10"/>
        <v>PMMG3931</v>
      </c>
      <c r="E662" t="s">
        <v>1623</v>
      </c>
    </row>
    <row r="663" spans="1:5" hidden="1" x14ac:dyDescent="0.25">
      <c r="A663">
        <v>1251</v>
      </c>
      <c r="B663" t="s">
        <v>576</v>
      </c>
      <c r="C663" t="s">
        <v>1732</v>
      </c>
      <c r="D663" t="str">
        <f t="shared" si="10"/>
        <v>PMMG3932</v>
      </c>
      <c r="E663" t="s">
        <v>1623</v>
      </c>
    </row>
    <row r="664" spans="1:5" hidden="1" x14ac:dyDescent="0.25">
      <c r="A664">
        <v>1251</v>
      </c>
      <c r="B664" t="s">
        <v>576</v>
      </c>
      <c r="C664" t="s">
        <v>465</v>
      </c>
      <c r="D664" t="str">
        <f t="shared" si="10"/>
        <v>PMMG3933</v>
      </c>
      <c r="E664" t="s">
        <v>1623</v>
      </c>
    </row>
    <row r="665" spans="1:5" hidden="1" x14ac:dyDescent="0.25">
      <c r="A665">
        <v>1251</v>
      </c>
      <c r="B665" t="s">
        <v>576</v>
      </c>
      <c r="C665" t="s">
        <v>468</v>
      </c>
      <c r="D665" t="str">
        <f t="shared" si="10"/>
        <v>PMMG3934</v>
      </c>
      <c r="E665" t="s">
        <v>1621</v>
      </c>
    </row>
    <row r="666" spans="1:5" hidden="1" x14ac:dyDescent="0.25">
      <c r="A666">
        <v>1251</v>
      </c>
      <c r="B666" t="s">
        <v>576</v>
      </c>
      <c r="C666" t="s">
        <v>1651</v>
      </c>
      <c r="D666" t="str">
        <f t="shared" si="10"/>
        <v>PMMG3935</v>
      </c>
      <c r="E666" t="s">
        <v>1621</v>
      </c>
    </row>
    <row r="667" spans="1:5" hidden="1" x14ac:dyDescent="0.25">
      <c r="A667">
        <v>1251</v>
      </c>
      <c r="B667" t="s">
        <v>576</v>
      </c>
      <c r="C667" t="s">
        <v>1652</v>
      </c>
      <c r="D667" t="str">
        <f t="shared" si="10"/>
        <v>PMMG3936</v>
      </c>
      <c r="E667" t="s">
        <v>93</v>
      </c>
    </row>
    <row r="668" spans="1:5" hidden="1" x14ac:dyDescent="0.25">
      <c r="A668">
        <v>1251</v>
      </c>
      <c r="B668" t="s">
        <v>576</v>
      </c>
      <c r="C668" t="s">
        <v>1695</v>
      </c>
      <c r="D668" t="str">
        <f t="shared" si="10"/>
        <v>PMMG3937</v>
      </c>
      <c r="E668" t="s">
        <v>1692</v>
      </c>
    </row>
    <row r="669" spans="1:5" hidden="1" x14ac:dyDescent="0.25">
      <c r="A669">
        <v>1251</v>
      </c>
      <c r="B669" t="s">
        <v>576</v>
      </c>
      <c r="C669" t="s">
        <v>1714</v>
      </c>
      <c r="D669" t="str">
        <f t="shared" si="10"/>
        <v>PMMG3939</v>
      </c>
      <c r="E669" t="s">
        <v>1623</v>
      </c>
    </row>
    <row r="670" spans="1:5" hidden="1" x14ac:dyDescent="0.25">
      <c r="A670">
        <v>1251</v>
      </c>
      <c r="B670" t="s">
        <v>576</v>
      </c>
      <c r="C670" t="s">
        <v>1653</v>
      </c>
      <c r="D670" t="str">
        <f t="shared" si="10"/>
        <v>PMMG3940</v>
      </c>
      <c r="E670" t="s">
        <v>1648</v>
      </c>
    </row>
    <row r="671" spans="1:5" hidden="1" x14ac:dyDescent="0.25">
      <c r="A671">
        <v>1251</v>
      </c>
      <c r="B671" t="s">
        <v>576</v>
      </c>
      <c r="C671" t="s">
        <v>479</v>
      </c>
      <c r="D671" t="str">
        <f t="shared" si="10"/>
        <v>PMMG3941</v>
      </c>
      <c r="E671" t="s">
        <v>1623</v>
      </c>
    </row>
    <row r="672" spans="1:5" hidden="1" x14ac:dyDescent="0.25">
      <c r="A672">
        <v>1251</v>
      </c>
      <c r="B672" t="s">
        <v>576</v>
      </c>
      <c r="C672" t="s">
        <v>481</v>
      </c>
      <c r="D672" t="str">
        <f t="shared" si="10"/>
        <v>PMMG3942</v>
      </c>
      <c r="E672" t="s">
        <v>1623</v>
      </c>
    </row>
    <row r="673" spans="1:5" hidden="1" x14ac:dyDescent="0.25">
      <c r="A673">
        <v>1251</v>
      </c>
      <c r="B673" t="s">
        <v>576</v>
      </c>
      <c r="C673" t="s">
        <v>1654</v>
      </c>
      <c r="D673" t="str">
        <f t="shared" si="10"/>
        <v>PMMG3943</v>
      </c>
      <c r="E673" t="s">
        <v>1615</v>
      </c>
    </row>
    <row r="674" spans="1:5" hidden="1" x14ac:dyDescent="0.25">
      <c r="A674">
        <v>1251</v>
      </c>
      <c r="B674" t="s">
        <v>576</v>
      </c>
      <c r="C674" t="s">
        <v>491</v>
      </c>
      <c r="D674" t="str">
        <f t="shared" si="10"/>
        <v>PMMG3948</v>
      </c>
      <c r="E674" t="s">
        <v>1645</v>
      </c>
    </row>
    <row r="675" spans="1:5" hidden="1" x14ac:dyDescent="0.25">
      <c r="A675">
        <v>1251</v>
      </c>
      <c r="B675" t="s">
        <v>576</v>
      </c>
      <c r="C675" t="s">
        <v>494</v>
      </c>
      <c r="D675" t="str">
        <f t="shared" si="10"/>
        <v>PMMG3951</v>
      </c>
      <c r="E675" t="s">
        <v>1671</v>
      </c>
    </row>
    <row r="676" spans="1:5" hidden="1" x14ac:dyDescent="0.25">
      <c r="A676">
        <v>1251</v>
      </c>
      <c r="B676" t="s">
        <v>576</v>
      </c>
      <c r="C676" t="s">
        <v>1701</v>
      </c>
      <c r="D676" t="str">
        <f t="shared" si="10"/>
        <v>PMMG3952</v>
      </c>
      <c r="E676" t="s">
        <v>64</v>
      </c>
    </row>
    <row r="677" spans="1:5" hidden="1" x14ac:dyDescent="0.25">
      <c r="A677">
        <v>1251</v>
      </c>
      <c r="B677" t="s">
        <v>576</v>
      </c>
      <c r="C677" t="s">
        <v>495</v>
      </c>
      <c r="D677" t="str">
        <f t="shared" si="10"/>
        <v>PMMG3953</v>
      </c>
      <c r="E677" t="s">
        <v>1645</v>
      </c>
    </row>
    <row r="678" spans="1:5" hidden="1" x14ac:dyDescent="0.25">
      <c r="A678">
        <v>1251</v>
      </c>
      <c r="B678" t="s">
        <v>576</v>
      </c>
      <c r="C678" t="s">
        <v>497</v>
      </c>
      <c r="D678" t="str">
        <f t="shared" si="10"/>
        <v>PMMG3955</v>
      </c>
      <c r="E678" t="s">
        <v>1623</v>
      </c>
    </row>
    <row r="679" spans="1:5" hidden="1" x14ac:dyDescent="0.25">
      <c r="A679">
        <v>1251</v>
      </c>
      <c r="B679" t="s">
        <v>576</v>
      </c>
      <c r="C679" t="s">
        <v>498</v>
      </c>
      <c r="D679" t="str">
        <f t="shared" si="10"/>
        <v>PMMG3956</v>
      </c>
      <c r="E679" t="s">
        <v>1623</v>
      </c>
    </row>
    <row r="680" spans="1:5" hidden="1" x14ac:dyDescent="0.25">
      <c r="A680">
        <v>1251</v>
      </c>
      <c r="B680" t="s">
        <v>576</v>
      </c>
      <c r="C680" t="s">
        <v>1656</v>
      </c>
      <c r="D680" t="str">
        <f t="shared" si="10"/>
        <v>PMMG3959</v>
      </c>
      <c r="E680" t="s">
        <v>1623</v>
      </c>
    </row>
    <row r="681" spans="1:5" hidden="1" x14ac:dyDescent="0.25">
      <c r="A681">
        <v>1251</v>
      </c>
      <c r="B681" t="s">
        <v>576</v>
      </c>
      <c r="C681" t="s">
        <v>1657</v>
      </c>
      <c r="D681" t="str">
        <f t="shared" si="10"/>
        <v>PMMG3961</v>
      </c>
      <c r="E681" t="s">
        <v>1630</v>
      </c>
    </row>
    <row r="682" spans="1:5" hidden="1" x14ac:dyDescent="0.25">
      <c r="A682">
        <v>1251</v>
      </c>
      <c r="B682" t="s">
        <v>576</v>
      </c>
      <c r="C682" t="s">
        <v>1696</v>
      </c>
      <c r="D682" t="str">
        <f t="shared" si="10"/>
        <v>PMMG3962</v>
      </c>
      <c r="E682" t="s">
        <v>2103</v>
      </c>
    </row>
    <row r="683" spans="1:5" hidden="1" x14ac:dyDescent="0.25">
      <c r="A683">
        <v>1251</v>
      </c>
      <c r="B683" t="s">
        <v>576</v>
      </c>
      <c r="C683" t="s">
        <v>1718</v>
      </c>
      <c r="D683" t="str">
        <f t="shared" si="10"/>
        <v>PMMG3964</v>
      </c>
      <c r="E683" t="s">
        <v>1623</v>
      </c>
    </row>
    <row r="684" spans="1:5" hidden="1" x14ac:dyDescent="0.25">
      <c r="A684">
        <v>1251</v>
      </c>
      <c r="B684" t="s">
        <v>576</v>
      </c>
      <c r="C684" t="s">
        <v>1659</v>
      </c>
      <c r="D684" t="str">
        <f t="shared" si="10"/>
        <v>PMMG3969</v>
      </c>
      <c r="E684" t="s">
        <v>1637</v>
      </c>
    </row>
    <row r="685" spans="1:5" hidden="1" x14ac:dyDescent="0.25">
      <c r="A685">
        <v>1251</v>
      </c>
      <c r="B685" t="s">
        <v>576</v>
      </c>
      <c r="C685" t="s">
        <v>1660</v>
      </c>
      <c r="D685" t="str">
        <f t="shared" si="10"/>
        <v>PMMG3970</v>
      </c>
      <c r="E685" t="s">
        <v>1648</v>
      </c>
    </row>
    <row r="686" spans="1:5" hidden="1" x14ac:dyDescent="0.25">
      <c r="A686">
        <v>1251</v>
      </c>
      <c r="B686" t="s">
        <v>576</v>
      </c>
      <c r="C686" t="s">
        <v>512</v>
      </c>
      <c r="D686" t="str">
        <f t="shared" si="10"/>
        <v>PMMG3971</v>
      </c>
      <c r="E686" t="s">
        <v>2103</v>
      </c>
    </row>
    <row r="687" spans="1:5" hidden="1" x14ac:dyDescent="0.25">
      <c r="A687">
        <v>1251</v>
      </c>
      <c r="B687" t="s">
        <v>576</v>
      </c>
      <c r="C687" t="s">
        <v>519</v>
      </c>
      <c r="D687" t="str">
        <f t="shared" si="10"/>
        <v>PMMG3978</v>
      </c>
      <c r="E687" t="s">
        <v>102</v>
      </c>
    </row>
    <row r="688" spans="1:5" hidden="1" x14ac:dyDescent="0.25">
      <c r="A688">
        <v>1251</v>
      </c>
      <c r="B688" t="s">
        <v>576</v>
      </c>
      <c r="C688" t="s">
        <v>520</v>
      </c>
      <c r="D688" t="str">
        <f t="shared" si="10"/>
        <v>PMMG3981</v>
      </c>
      <c r="E688" t="s">
        <v>1623</v>
      </c>
    </row>
    <row r="689" spans="1:5" hidden="1" x14ac:dyDescent="0.25">
      <c r="A689">
        <v>1251</v>
      </c>
      <c r="B689" t="s">
        <v>576</v>
      </c>
      <c r="C689" t="s">
        <v>1661</v>
      </c>
      <c r="D689" t="str">
        <f t="shared" si="10"/>
        <v>PMMG3987</v>
      </c>
      <c r="E689" t="s">
        <v>1615</v>
      </c>
    </row>
    <row r="690" spans="1:5" hidden="1" x14ac:dyDescent="0.25">
      <c r="A690">
        <v>1251</v>
      </c>
      <c r="B690" t="s">
        <v>576</v>
      </c>
      <c r="C690" t="s">
        <v>527</v>
      </c>
      <c r="D690" t="str">
        <f t="shared" si="10"/>
        <v>PMMG3988</v>
      </c>
      <c r="E690" t="s">
        <v>1623</v>
      </c>
    </row>
    <row r="691" spans="1:5" hidden="1" x14ac:dyDescent="0.25">
      <c r="A691">
        <v>1251</v>
      </c>
      <c r="B691" t="s">
        <v>576</v>
      </c>
      <c r="C691" t="s">
        <v>1733</v>
      </c>
      <c r="D691" t="str">
        <f t="shared" si="10"/>
        <v>PMMG3990</v>
      </c>
      <c r="E691" t="s">
        <v>1734</v>
      </c>
    </row>
    <row r="692" spans="1:5" hidden="1" x14ac:dyDescent="0.25">
      <c r="A692">
        <v>1251</v>
      </c>
      <c r="B692" t="s">
        <v>576</v>
      </c>
      <c r="C692" t="s">
        <v>1662</v>
      </c>
      <c r="D692" t="str">
        <f t="shared" si="10"/>
        <v>PMMG3994</v>
      </c>
      <c r="E692" t="s">
        <v>1621</v>
      </c>
    </row>
    <row r="693" spans="1:5" hidden="1" x14ac:dyDescent="0.25">
      <c r="A693">
        <v>1251</v>
      </c>
      <c r="B693" t="s">
        <v>576</v>
      </c>
      <c r="C693" t="s">
        <v>1710</v>
      </c>
      <c r="D693" t="str">
        <f t="shared" si="10"/>
        <v>PMMG3995</v>
      </c>
      <c r="E693" t="s">
        <v>1623</v>
      </c>
    </row>
    <row r="694" spans="1:5" hidden="1" x14ac:dyDescent="0.25">
      <c r="A694">
        <v>1251</v>
      </c>
      <c r="B694" t="s">
        <v>576</v>
      </c>
      <c r="C694" t="s">
        <v>1735</v>
      </c>
      <c r="D694" t="str">
        <f t="shared" si="10"/>
        <v>PMMG3998</v>
      </c>
      <c r="E694" t="s">
        <v>1606</v>
      </c>
    </row>
    <row r="695" spans="1:5" hidden="1" x14ac:dyDescent="0.25">
      <c r="A695">
        <v>1251</v>
      </c>
      <c r="B695" t="s">
        <v>576</v>
      </c>
      <c r="C695" t="s">
        <v>1663</v>
      </c>
      <c r="D695" t="str">
        <f t="shared" si="10"/>
        <v>PMMG3999</v>
      </c>
      <c r="E695" t="s">
        <v>1623</v>
      </c>
    </row>
    <row r="696" spans="1:5" hidden="1" x14ac:dyDescent="0.25">
      <c r="A696">
        <v>1251</v>
      </c>
      <c r="B696" t="s">
        <v>576</v>
      </c>
      <c r="C696" t="s">
        <v>1664</v>
      </c>
      <c r="D696" t="str">
        <f t="shared" si="10"/>
        <v>PMMG4002</v>
      </c>
      <c r="E696" t="s">
        <v>1648</v>
      </c>
    </row>
    <row r="697" spans="1:5" hidden="1" x14ac:dyDescent="0.25">
      <c r="A697">
        <v>1251</v>
      </c>
      <c r="B697" t="s">
        <v>576</v>
      </c>
      <c r="C697" t="s">
        <v>1665</v>
      </c>
      <c r="D697" t="str">
        <f t="shared" si="10"/>
        <v>PMMG4003</v>
      </c>
      <c r="E697" t="s">
        <v>93</v>
      </c>
    </row>
    <row r="698" spans="1:5" hidden="1" x14ac:dyDescent="0.25">
      <c r="A698">
        <v>1251</v>
      </c>
      <c r="B698" t="s">
        <v>576</v>
      </c>
      <c r="C698" t="s">
        <v>1666</v>
      </c>
      <c r="D698" t="str">
        <f t="shared" si="10"/>
        <v>PMMG4004</v>
      </c>
      <c r="E698" t="s">
        <v>1648</v>
      </c>
    </row>
    <row r="699" spans="1:5" hidden="1" x14ac:dyDescent="0.25">
      <c r="A699">
        <v>1251</v>
      </c>
      <c r="B699" t="s">
        <v>576</v>
      </c>
      <c r="C699" t="s">
        <v>1667</v>
      </c>
      <c r="D699" t="str">
        <f t="shared" si="10"/>
        <v>PMMG4005</v>
      </c>
      <c r="E699" t="s">
        <v>1648</v>
      </c>
    </row>
    <row r="700" spans="1:5" hidden="1" x14ac:dyDescent="0.25">
      <c r="A700">
        <v>1251</v>
      </c>
      <c r="B700" t="s">
        <v>576</v>
      </c>
      <c r="C700" t="s">
        <v>1698</v>
      </c>
      <c r="D700" t="str">
        <f t="shared" si="10"/>
        <v>PMMG4006</v>
      </c>
      <c r="E700" t="s">
        <v>1675</v>
      </c>
    </row>
    <row r="701" spans="1:5" hidden="1" x14ac:dyDescent="0.25">
      <c r="A701">
        <v>1251</v>
      </c>
      <c r="B701" t="s">
        <v>576</v>
      </c>
      <c r="C701" t="s">
        <v>1699</v>
      </c>
      <c r="D701" t="str">
        <f t="shared" si="10"/>
        <v>PMMG4007</v>
      </c>
      <c r="E701" t="s">
        <v>93</v>
      </c>
    </row>
    <row r="702" spans="1:5" hidden="1" x14ac:dyDescent="0.25">
      <c r="A702">
        <v>1251</v>
      </c>
      <c r="B702" t="s">
        <v>576</v>
      </c>
      <c r="C702" t="s">
        <v>1668</v>
      </c>
      <c r="D702" t="str">
        <f t="shared" si="10"/>
        <v>PMMG4701</v>
      </c>
      <c r="E702" t="s">
        <v>1669</v>
      </c>
    </row>
    <row r="703" spans="1:5" hidden="1" x14ac:dyDescent="0.25">
      <c r="A703">
        <v>1251</v>
      </c>
      <c r="B703" t="s">
        <v>576</v>
      </c>
      <c r="C703" t="s">
        <v>264</v>
      </c>
      <c r="D703" t="str">
        <f t="shared" si="10"/>
        <v>PMMG4703</v>
      </c>
      <c r="E703" t="s">
        <v>1669</v>
      </c>
    </row>
    <row r="704" spans="1:5" hidden="1" x14ac:dyDescent="0.25">
      <c r="A704">
        <v>1251</v>
      </c>
      <c r="B704" t="s">
        <v>576</v>
      </c>
      <c r="C704" t="s">
        <v>327</v>
      </c>
      <c r="D704" t="str">
        <f t="shared" si="10"/>
        <v>PMMG4707</v>
      </c>
      <c r="E704" t="s">
        <v>1669</v>
      </c>
    </row>
    <row r="705" spans="1:5" hidden="1" x14ac:dyDescent="0.25">
      <c r="A705">
        <v>1251</v>
      </c>
      <c r="B705" t="s">
        <v>576</v>
      </c>
      <c r="C705" t="s">
        <v>337</v>
      </c>
      <c r="D705" t="str">
        <f t="shared" si="10"/>
        <v>PMMG4708</v>
      </c>
      <c r="E705" t="s">
        <v>1669</v>
      </c>
    </row>
    <row r="706" spans="1:5" hidden="1" x14ac:dyDescent="0.25">
      <c r="A706">
        <v>1251</v>
      </c>
      <c r="B706" t="s">
        <v>576</v>
      </c>
      <c r="C706" t="s">
        <v>347</v>
      </c>
      <c r="D706" t="str">
        <f t="shared" ref="D706:D769" si="11">CONCATENATE(B706,LEFT(C706,4))</f>
        <v>PMMG4709</v>
      </c>
      <c r="E706" t="s">
        <v>1669</v>
      </c>
    </row>
    <row r="707" spans="1:5" hidden="1" x14ac:dyDescent="0.25">
      <c r="A707">
        <v>1251</v>
      </c>
      <c r="B707" t="s">
        <v>576</v>
      </c>
      <c r="C707" t="s">
        <v>356</v>
      </c>
      <c r="D707" t="str">
        <f t="shared" si="11"/>
        <v>PMMG4710</v>
      </c>
      <c r="E707" t="s">
        <v>1669</v>
      </c>
    </row>
    <row r="708" spans="1:5" hidden="1" x14ac:dyDescent="0.25">
      <c r="A708">
        <v>1251</v>
      </c>
      <c r="B708" t="s">
        <v>576</v>
      </c>
      <c r="C708" t="s">
        <v>363</v>
      </c>
      <c r="D708" t="str">
        <f t="shared" si="11"/>
        <v>PMMG4799</v>
      </c>
      <c r="E708" t="s">
        <v>1669</v>
      </c>
    </row>
    <row r="709" spans="1:5" hidden="1" x14ac:dyDescent="0.25">
      <c r="A709">
        <v>1251</v>
      </c>
      <c r="B709" t="s">
        <v>576</v>
      </c>
      <c r="C709" t="s">
        <v>1712</v>
      </c>
      <c r="D709" t="str">
        <f t="shared" si="11"/>
        <v>PMMG4905</v>
      </c>
      <c r="E709" t="s">
        <v>64</v>
      </c>
    </row>
    <row r="710" spans="1:5" hidden="1" x14ac:dyDescent="0.25">
      <c r="A710">
        <v>1251</v>
      </c>
      <c r="B710" t="s">
        <v>576</v>
      </c>
      <c r="C710" t="s">
        <v>1670</v>
      </c>
      <c r="D710" t="str">
        <f t="shared" si="11"/>
        <v>PMMG5101</v>
      </c>
      <c r="E710" t="s">
        <v>1671</v>
      </c>
    </row>
    <row r="711" spans="1:5" hidden="1" x14ac:dyDescent="0.25">
      <c r="A711">
        <v>1251</v>
      </c>
      <c r="B711" t="s">
        <v>576</v>
      </c>
      <c r="C711" t="s">
        <v>1672</v>
      </c>
      <c r="D711" t="str">
        <f t="shared" si="11"/>
        <v>PMMG5103</v>
      </c>
      <c r="E711" t="s">
        <v>1671</v>
      </c>
    </row>
    <row r="712" spans="1:5" hidden="1" x14ac:dyDescent="0.25">
      <c r="A712">
        <v>1251</v>
      </c>
      <c r="B712" t="s">
        <v>576</v>
      </c>
      <c r="C712" t="s">
        <v>302</v>
      </c>
      <c r="D712" t="str">
        <f t="shared" si="11"/>
        <v>PMMG5104</v>
      </c>
      <c r="E712" t="s">
        <v>1671</v>
      </c>
    </row>
    <row r="713" spans="1:5" hidden="1" x14ac:dyDescent="0.25">
      <c r="A713">
        <v>1251</v>
      </c>
      <c r="B713" t="s">
        <v>576</v>
      </c>
      <c r="C713" t="s">
        <v>316</v>
      </c>
      <c r="D713" t="str">
        <f t="shared" si="11"/>
        <v>PMMG5106</v>
      </c>
      <c r="E713" t="s">
        <v>1671</v>
      </c>
    </row>
    <row r="714" spans="1:5" hidden="1" x14ac:dyDescent="0.25">
      <c r="A714">
        <v>1251</v>
      </c>
      <c r="B714" t="s">
        <v>576</v>
      </c>
      <c r="C714" t="s">
        <v>172</v>
      </c>
      <c r="D714" t="str">
        <f t="shared" si="11"/>
        <v>PMMG5107</v>
      </c>
      <c r="E714" t="s">
        <v>1671</v>
      </c>
    </row>
    <row r="715" spans="1:5" hidden="1" x14ac:dyDescent="0.25">
      <c r="A715">
        <v>1251</v>
      </c>
      <c r="B715" t="s">
        <v>576</v>
      </c>
      <c r="C715" t="s">
        <v>371</v>
      </c>
      <c r="D715" t="str">
        <f t="shared" si="11"/>
        <v>PMMG5113</v>
      </c>
      <c r="E715" t="s">
        <v>1671</v>
      </c>
    </row>
    <row r="716" spans="1:5" hidden="1" x14ac:dyDescent="0.25">
      <c r="A716">
        <v>1251</v>
      </c>
      <c r="B716" t="s">
        <v>576</v>
      </c>
      <c r="C716" t="s">
        <v>241</v>
      </c>
      <c r="D716" t="str">
        <f t="shared" si="11"/>
        <v>PMMG5201</v>
      </c>
      <c r="E716" t="s">
        <v>1621</v>
      </c>
    </row>
    <row r="717" spans="1:5" hidden="1" x14ac:dyDescent="0.25">
      <c r="A717">
        <v>1251</v>
      </c>
      <c r="B717" t="s">
        <v>576</v>
      </c>
      <c r="C717" t="s">
        <v>287</v>
      </c>
      <c r="D717" t="str">
        <f t="shared" si="11"/>
        <v>PMMG5203</v>
      </c>
      <c r="E717" t="s">
        <v>1674</v>
      </c>
    </row>
    <row r="718" spans="1:5" hidden="1" x14ac:dyDescent="0.25">
      <c r="A718">
        <v>1251</v>
      </c>
      <c r="B718" t="s">
        <v>576</v>
      </c>
      <c r="C718" t="s">
        <v>1673</v>
      </c>
      <c r="D718" t="str">
        <f t="shared" si="11"/>
        <v>PMMG5204</v>
      </c>
      <c r="E718" t="s">
        <v>1674</v>
      </c>
    </row>
    <row r="719" spans="1:5" hidden="1" x14ac:dyDescent="0.25">
      <c r="A719">
        <v>1251</v>
      </c>
      <c r="B719" t="s">
        <v>576</v>
      </c>
      <c r="C719" t="s">
        <v>317</v>
      </c>
      <c r="D719" t="str">
        <f t="shared" si="11"/>
        <v>PMMG5205</v>
      </c>
      <c r="E719" t="s">
        <v>1674</v>
      </c>
    </row>
    <row r="720" spans="1:5" hidden="1" x14ac:dyDescent="0.25">
      <c r="A720">
        <v>1251</v>
      </c>
      <c r="B720" t="s">
        <v>576</v>
      </c>
      <c r="C720" t="s">
        <v>328</v>
      </c>
      <c r="D720" t="str">
        <f t="shared" si="11"/>
        <v>PMMG5206</v>
      </c>
      <c r="E720" t="s">
        <v>1675</v>
      </c>
    </row>
    <row r="721" spans="1:5" hidden="1" x14ac:dyDescent="0.25">
      <c r="A721">
        <v>1251</v>
      </c>
      <c r="B721" t="s">
        <v>576</v>
      </c>
      <c r="C721" t="s">
        <v>1676</v>
      </c>
      <c r="D721" t="str">
        <f t="shared" si="11"/>
        <v>PMMG5207</v>
      </c>
      <c r="E721" t="s">
        <v>1675</v>
      </c>
    </row>
    <row r="722" spans="1:5" hidden="1" x14ac:dyDescent="0.25">
      <c r="A722">
        <v>1251</v>
      </c>
      <c r="B722" t="s">
        <v>576</v>
      </c>
      <c r="C722" t="s">
        <v>1677</v>
      </c>
      <c r="D722" t="str">
        <f t="shared" si="11"/>
        <v>PMMG5208</v>
      </c>
      <c r="E722" t="s">
        <v>1675</v>
      </c>
    </row>
    <row r="723" spans="1:5" hidden="1" x14ac:dyDescent="0.25">
      <c r="A723">
        <v>1251</v>
      </c>
      <c r="B723" t="s">
        <v>576</v>
      </c>
      <c r="C723" t="s">
        <v>358</v>
      </c>
      <c r="D723" t="str">
        <f t="shared" si="11"/>
        <v>PMMG5209</v>
      </c>
      <c r="E723" t="s">
        <v>1674</v>
      </c>
    </row>
    <row r="724" spans="1:5" hidden="1" x14ac:dyDescent="0.25">
      <c r="A724">
        <v>1251</v>
      </c>
      <c r="B724" t="s">
        <v>576</v>
      </c>
      <c r="C724" t="s">
        <v>1678</v>
      </c>
      <c r="D724" t="str">
        <f t="shared" si="11"/>
        <v>PMMG5210</v>
      </c>
      <c r="E724" t="s">
        <v>1674</v>
      </c>
    </row>
    <row r="725" spans="1:5" hidden="1" x14ac:dyDescent="0.25">
      <c r="A725">
        <v>1251</v>
      </c>
      <c r="B725" t="s">
        <v>576</v>
      </c>
      <c r="C725" t="s">
        <v>1713</v>
      </c>
      <c r="D725" t="str">
        <f t="shared" si="11"/>
        <v>PMMG5211</v>
      </c>
      <c r="E725" t="s">
        <v>1606</v>
      </c>
    </row>
    <row r="726" spans="1:5" hidden="1" x14ac:dyDescent="0.25">
      <c r="A726">
        <v>1251</v>
      </c>
      <c r="B726" t="s">
        <v>576</v>
      </c>
      <c r="C726" t="s">
        <v>1679</v>
      </c>
      <c r="D726" t="str">
        <f t="shared" si="11"/>
        <v>PMMG5212</v>
      </c>
      <c r="E726" t="s">
        <v>1674</v>
      </c>
    </row>
    <row r="727" spans="1:5" hidden="1" x14ac:dyDescent="0.25">
      <c r="A727">
        <v>1251</v>
      </c>
      <c r="B727" t="s">
        <v>576</v>
      </c>
      <c r="C727" t="s">
        <v>384</v>
      </c>
      <c r="D727" t="str">
        <f t="shared" si="11"/>
        <v>PMMG5213</v>
      </c>
      <c r="E727" t="s">
        <v>1674</v>
      </c>
    </row>
    <row r="728" spans="1:5" hidden="1" x14ac:dyDescent="0.25">
      <c r="A728">
        <v>1251</v>
      </c>
      <c r="B728" t="s">
        <v>576</v>
      </c>
      <c r="C728" t="s">
        <v>390</v>
      </c>
      <c r="D728" t="str">
        <f t="shared" si="11"/>
        <v>PMMG5214</v>
      </c>
      <c r="E728" t="s">
        <v>1674</v>
      </c>
    </row>
    <row r="729" spans="1:5" hidden="1" x14ac:dyDescent="0.25">
      <c r="A729">
        <v>1251</v>
      </c>
      <c r="B729" t="s">
        <v>576</v>
      </c>
      <c r="C729" t="s">
        <v>402</v>
      </c>
      <c r="D729" t="str">
        <f t="shared" si="11"/>
        <v>PMMG5216</v>
      </c>
      <c r="E729" t="s">
        <v>1680</v>
      </c>
    </row>
    <row r="730" spans="1:5" hidden="1" x14ac:dyDescent="0.25">
      <c r="A730">
        <v>1251</v>
      </c>
      <c r="B730" t="s">
        <v>576</v>
      </c>
      <c r="C730" t="s">
        <v>408</v>
      </c>
      <c r="D730" t="str">
        <f t="shared" si="11"/>
        <v>PMMG5217</v>
      </c>
      <c r="E730" t="s">
        <v>1674</v>
      </c>
    </row>
    <row r="731" spans="1:5" hidden="1" x14ac:dyDescent="0.25">
      <c r="A731">
        <v>1251</v>
      </c>
      <c r="B731" t="s">
        <v>576</v>
      </c>
      <c r="C731" t="s">
        <v>418</v>
      </c>
      <c r="D731" t="str">
        <f t="shared" si="11"/>
        <v>PMMG5219</v>
      </c>
      <c r="E731" t="s">
        <v>1674</v>
      </c>
    </row>
    <row r="732" spans="1:5" hidden="1" x14ac:dyDescent="0.25">
      <c r="A732">
        <v>1251</v>
      </c>
      <c r="B732" t="s">
        <v>576</v>
      </c>
      <c r="C732" t="s">
        <v>1681</v>
      </c>
      <c r="D732" t="str">
        <f t="shared" si="11"/>
        <v>PMMG5220</v>
      </c>
      <c r="E732" t="s">
        <v>1675</v>
      </c>
    </row>
    <row r="733" spans="1:5" hidden="1" x14ac:dyDescent="0.25">
      <c r="A733">
        <v>1251</v>
      </c>
      <c r="B733" t="s">
        <v>576</v>
      </c>
      <c r="C733" t="s">
        <v>428</v>
      </c>
      <c r="D733" t="str">
        <f t="shared" si="11"/>
        <v>PMMG5221</v>
      </c>
      <c r="E733" t="s">
        <v>1674</v>
      </c>
    </row>
    <row r="734" spans="1:5" hidden="1" x14ac:dyDescent="0.25">
      <c r="A734">
        <v>1251</v>
      </c>
      <c r="B734" t="s">
        <v>576</v>
      </c>
      <c r="C734" t="s">
        <v>433</v>
      </c>
      <c r="D734" t="str">
        <f t="shared" si="11"/>
        <v>PMMG5222</v>
      </c>
      <c r="E734" t="s">
        <v>1674</v>
      </c>
    </row>
    <row r="735" spans="1:5" hidden="1" x14ac:dyDescent="0.25">
      <c r="A735">
        <v>1251</v>
      </c>
      <c r="B735" t="s">
        <v>576</v>
      </c>
      <c r="C735" t="s">
        <v>448</v>
      </c>
      <c r="D735" t="str">
        <f t="shared" si="11"/>
        <v>PMMG5225</v>
      </c>
      <c r="E735" t="s">
        <v>1674</v>
      </c>
    </row>
    <row r="736" spans="1:5" hidden="1" x14ac:dyDescent="0.25">
      <c r="A736">
        <v>1251</v>
      </c>
      <c r="B736" t="s">
        <v>576</v>
      </c>
      <c r="C736" t="s">
        <v>1682</v>
      </c>
      <c r="D736" t="str">
        <f t="shared" si="11"/>
        <v>PMMG5226</v>
      </c>
      <c r="E736" t="s">
        <v>1674</v>
      </c>
    </row>
    <row r="737" spans="1:5" hidden="1" x14ac:dyDescent="0.25">
      <c r="A737">
        <v>1251</v>
      </c>
      <c r="B737" t="s">
        <v>576</v>
      </c>
      <c r="C737" t="s">
        <v>1683</v>
      </c>
      <c r="D737" t="str">
        <f t="shared" si="11"/>
        <v>PMMG5227</v>
      </c>
      <c r="E737" t="s">
        <v>1674</v>
      </c>
    </row>
    <row r="738" spans="1:5" hidden="1" x14ac:dyDescent="0.25">
      <c r="A738">
        <v>1251</v>
      </c>
      <c r="B738" t="s">
        <v>576</v>
      </c>
      <c r="C738" t="s">
        <v>1700</v>
      </c>
      <c r="D738" t="str">
        <f t="shared" si="11"/>
        <v>PMMG5230</v>
      </c>
      <c r="E738" t="s">
        <v>1674</v>
      </c>
    </row>
    <row r="739" spans="1:5" hidden="1" x14ac:dyDescent="0.25">
      <c r="A739">
        <v>1251</v>
      </c>
      <c r="B739" t="s">
        <v>576</v>
      </c>
      <c r="C739" t="s">
        <v>458</v>
      </c>
      <c r="D739" t="str">
        <f t="shared" si="11"/>
        <v>PMMG5299</v>
      </c>
      <c r="E739" t="s">
        <v>1674</v>
      </c>
    </row>
    <row r="740" spans="1:5" hidden="1" x14ac:dyDescent="0.25">
      <c r="A740">
        <v>1251</v>
      </c>
      <c r="B740" t="s">
        <v>576</v>
      </c>
      <c r="C740" t="s">
        <v>1723</v>
      </c>
      <c r="D740" t="str">
        <f t="shared" si="11"/>
        <v>PMMG9108</v>
      </c>
      <c r="E740" t="s">
        <v>1724</v>
      </c>
    </row>
    <row r="741" spans="1:5" hidden="1" x14ac:dyDescent="0.25">
      <c r="A741">
        <v>1251</v>
      </c>
      <c r="B741" t="s">
        <v>576</v>
      </c>
      <c r="C741" t="s">
        <v>1729</v>
      </c>
      <c r="D741" t="str">
        <f t="shared" si="11"/>
        <v>PMMG9201</v>
      </c>
      <c r="E741" t="s">
        <v>1685</v>
      </c>
    </row>
    <row r="742" spans="1:5" hidden="1" x14ac:dyDescent="0.25">
      <c r="A742">
        <v>1251</v>
      </c>
      <c r="B742" t="s">
        <v>576</v>
      </c>
      <c r="C742" t="s">
        <v>1684</v>
      </c>
      <c r="D742" t="str">
        <f t="shared" si="11"/>
        <v>PMMG9202</v>
      </c>
      <c r="E742" t="s">
        <v>1685</v>
      </c>
    </row>
    <row r="743" spans="1:5" hidden="1" x14ac:dyDescent="0.25">
      <c r="A743">
        <v>1251</v>
      </c>
      <c r="B743" t="s">
        <v>576</v>
      </c>
      <c r="C743" t="s">
        <v>249</v>
      </c>
      <c r="D743" t="str">
        <f t="shared" si="11"/>
        <v>PMMG9301</v>
      </c>
      <c r="E743" t="s">
        <v>1736</v>
      </c>
    </row>
    <row r="744" spans="1:5" hidden="1" x14ac:dyDescent="0.25">
      <c r="A744">
        <v>1251</v>
      </c>
      <c r="B744" t="s">
        <v>576</v>
      </c>
      <c r="C744" t="s">
        <v>271</v>
      </c>
      <c r="D744" t="str">
        <f t="shared" si="11"/>
        <v>PMMG9302</v>
      </c>
      <c r="E744" t="s">
        <v>1623</v>
      </c>
    </row>
    <row r="745" spans="1:5" hidden="1" x14ac:dyDescent="0.25">
      <c r="A745">
        <v>1251</v>
      </c>
      <c r="B745" t="s">
        <v>576</v>
      </c>
      <c r="C745" t="s">
        <v>319</v>
      </c>
      <c r="D745" t="str">
        <f t="shared" si="11"/>
        <v>PMMG9305</v>
      </c>
      <c r="E745" t="s">
        <v>1623</v>
      </c>
    </row>
    <row r="746" spans="1:5" hidden="1" x14ac:dyDescent="0.25">
      <c r="A746">
        <v>1251</v>
      </c>
      <c r="B746" t="s">
        <v>576</v>
      </c>
      <c r="C746" t="s">
        <v>330</v>
      </c>
      <c r="D746" t="str">
        <f t="shared" si="11"/>
        <v>PMMG9306</v>
      </c>
      <c r="E746" t="s">
        <v>1686</v>
      </c>
    </row>
    <row r="747" spans="1:5" hidden="1" x14ac:dyDescent="0.25">
      <c r="A747">
        <v>1251</v>
      </c>
      <c r="B747" t="s">
        <v>576</v>
      </c>
      <c r="C747" t="s">
        <v>366</v>
      </c>
      <c r="D747" t="str">
        <f t="shared" si="11"/>
        <v>PMMG9310</v>
      </c>
      <c r="E747" t="s">
        <v>1623</v>
      </c>
    </row>
    <row r="748" spans="1:5" hidden="1" x14ac:dyDescent="0.25">
      <c r="A748">
        <v>1251</v>
      </c>
      <c r="B748" t="s">
        <v>576</v>
      </c>
      <c r="C748" t="s">
        <v>439</v>
      </c>
      <c r="D748" t="str">
        <f t="shared" si="11"/>
        <v>PMMG9326</v>
      </c>
      <c r="E748" t="s">
        <v>1623</v>
      </c>
    </row>
    <row r="749" spans="1:5" hidden="1" x14ac:dyDescent="0.25">
      <c r="A749">
        <v>1251</v>
      </c>
      <c r="B749" t="s">
        <v>576</v>
      </c>
      <c r="C749" t="s">
        <v>1687</v>
      </c>
      <c r="D749" t="str">
        <f t="shared" si="11"/>
        <v>PMMG9399</v>
      </c>
      <c r="E749" t="s">
        <v>1623</v>
      </c>
    </row>
    <row r="750" spans="1:5" hidden="1" x14ac:dyDescent="0.25">
      <c r="A750">
        <v>1261</v>
      </c>
      <c r="B750" t="s">
        <v>584</v>
      </c>
      <c r="C750" t="s">
        <v>1595</v>
      </c>
      <c r="D750" t="str">
        <f t="shared" si="11"/>
        <v>SEE0810</v>
      </c>
      <c r="E750" t="s">
        <v>1596</v>
      </c>
    </row>
    <row r="751" spans="1:5" hidden="1" x14ac:dyDescent="0.25">
      <c r="A751">
        <v>1261</v>
      </c>
      <c r="B751" t="s">
        <v>584</v>
      </c>
      <c r="C751" t="s">
        <v>1737</v>
      </c>
      <c r="D751" t="str">
        <f t="shared" si="11"/>
        <v>SEE1307</v>
      </c>
      <c r="E751" t="s">
        <v>1689</v>
      </c>
    </row>
    <row r="752" spans="1:5" hidden="1" x14ac:dyDescent="0.25">
      <c r="A752">
        <v>1261</v>
      </c>
      <c r="B752" t="s">
        <v>584</v>
      </c>
      <c r="C752" t="s">
        <v>331</v>
      </c>
      <c r="D752" t="str">
        <f t="shared" si="11"/>
        <v>SEE1314</v>
      </c>
      <c r="E752" t="s">
        <v>1689</v>
      </c>
    </row>
    <row r="753" spans="1:5" hidden="1" x14ac:dyDescent="0.25">
      <c r="A753">
        <v>1261</v>
      </c>
      <c r="B753" t="s">
        <v>584</v>
      </c>
      <c r="C753" t="s">
        <v>1688</v>
      </c>
      <c r="D753" t="str">
        <f t="shared" si="11"/>
        <v>SEE1317</v>
      </c>
      <c r="E753" t="s">
        <v>1689</v>
      </c>
    </row>
    <row r="754" spans="1:5" hidden="1" x14ac:dyDescent="0.25">
      <c r="A754">
        <v>1261</v>
      </c>
      <c r="B754" t="s">
        <v>584</v>
      </c>
      <c r="C754" t="s">
        <v>1597</v>
      </c>
      <c r="D754" t="str">
        <f t="shared" si="11"/>
        <v>SEE1401</v>
      </c>
      <c r="E754" t="s">
        <v>43</v>
      </c>
    </row>
    <row r="755" spans="1:5" hidden="1" x14ac:dyDescent="0.25">
      <c r="A755">
        <v>1261</v>
      </c>
      <c r="B755" t="s">
        <v>584</v>
      </c>
      <c r="C755" t="s">
        <v>1598</v>
      </c>
      <c r="D755" t="str">
        <f t="shared" si="11"/>
        <v>SEE1501</v>
      </c>
      <c r="E755" t="s">
        <v>43</v>
      </c>
    </row>
    <row r="756" spans="1:5" hidden="1" x14ac:dyDescent="0.25">
      <c r="A756">
        <v>1261</v>
      </c>
      <c r="B756" t="s">
        <v>584</v>
      </c>
      <c r="C756" t="s">
        <v>221</v>
      </c>
      <c r="D756" t="str">
        <f t="shared" si="11"/>
        <v>SEE1801</v>
      </c>
      <c r="E756" t="s">
        <v>1738</v>
      </c>
    </row>
    <row r="757" spans="1:5" hidden="1" x14ac:dyDescent="0.25">
      <c r="A757">
        <v>1261</v>
      </c>
      <c r="B757" t="s">
        <v>584</v>
      </c>
      <c r="C757" t="s">
        <v>1599</v>
      </c>
      <c r="D757" t="str">
        <f t="shared" si="11"/>
        <v>SEE3001</v>
      </c>
      <c r="E757" t="s">
        <v>1600</v>
      </c>
    </row>
    <row r="758" spans="1:5" hidden="1" x14ac:dyDescent="0.25">
      <c r="A758">
        <v>1261</v>
      </c>
      <c r="B758" t="s">
        <v>584</v>
      </c>
      <c r="C758" t="s">
        <v>255</v>
      </c>
      <c r="D758" t="str">
        <f t="shared" si="11"/>
        <v>SEE3002</v>
      </c>
      <c r="E758" t="s">
        <v>1600</v>
      </c>
    </row>
    <row r="759" spans="1:5" hidden="1" x14ac:dyDescent="0.25">
      <c r="A759">
        <v>1261</v>
      </c>
      <c r="B759" t="s">
        <v>584</v>
      </c>
      <c r="C759" t="s">
        <v>1601</v>
      </c>
      <c r="D759" t="str">
        <f t="shared" si="11"/>
        <v>SEE3003</v>
      </c>
      <c r="E759" t="s">
        <v>1600</v>
      </c>
    </row>
    <row r="760" spans="1:5" hidden="1" x14ac:dyDescent="0.25">
      <c r="A760">
        <v>1261</v>
      </c>
      <c r="B760" t="s">
        <v>584</v>
      </c>
      <c r="C760" t="s">
        <v>1602</v>
      </c>
      <c r="D760" t="str">
        <f t="shared" si="11"/>
        <v>SEE3004</v>
      </c>
      <c r="E760" t="s">
        <v>1600</v>
      </c>
    </row>
    <row r="761" spans="1:5" hidden="1" x14ac:dyDescent="0.25">
      <c r="A761">
        <v>1261</v>
      </c>
      <c r="B761" t="s">
        <v>584</v>
      </c>
      <c r="C761" t="s">
        <v>1603</v>
      </c>
      <c r="D761" t="str">
        <f t="shared" si="11"/>
        <v>SEE3005</v>
      </c>
      <c r="E761" t="s">
        <v>1600</v>
      </c>
    </row>
    <row r="762" spans="1:5" hidden="1" x14ac:dyDescent="0.25">
      <c r="A762">
        <v>1261</v>
      </c>
      <c r="B762" t="s">
        <v>584</v>
      </c>
      <c r="C762" t="s">
        <v>322</v>
      </c>
      <c r="D762" t="str">
        <f t="shared" si="11"/>
        <v>SEE3006</v>
      </c>
      <c r="E762" t="s">
        <v>1600</v>
      </c>
    </row>
    <row r="763" spans="1:5" hidden="1" x14ac:dyDescent="0.25">
      <c r="A763">
        <v>1261</v>
      </c>
      <c r="B763" t="s">
        <v>584</v>
      </c>
      <c r="C763" t="s">
        <v>332</v>
      </c>
      <c r="D763" t="str">
        <f t="shared" si="11"/>
        <v>SEE3007</v>
      </c>
      <c r="E763" t="s">
        <v>1600</v>
      </c>
    </row>
    <row r="764" spans="1:5" hidden="1" x14ac:dyDescent="0.25">
      <c r="A764">
        <v>1261</v>
      </c>
      <c r="B764" t="s">
        <v>584</v>
      </c>
      <c r="C764" t="s">
        <v>1604</v>
      </c>
      <c r="D764" t="str">
        <f t="shared" si="11"/>
        <v>SEE3008</v>
      </c>
      <c r="E764" t="s">
        <v>1600</v>
      </c>
    </row>
    <row r="765" spans="1:5" hidden="1" x14ac:dyDescent="0.25">
      <c r="A765">
        <v>1261</v>
      </c>
      <c r="B765" t="s">
        <v>584</v>
      </c>
      <c r="C765" t="s">
        <v>1605</v>
      </c>
      <c r="D765" t="str">
        <f t="shared" si="11"/>
        <v>SEE3010</v>
      </c>
      <c r="E765" t="s">
        <v>1606</v>
      </c>
    </row>
    <row r="766" spans="1:5" hidden="1" x14ac:dyDescent="0.25">
      <c r="A766">
        <v>1261</v>
      </c>
      <c r="B766" t="s">
        <v>584</v>
      </c>
      <c r="C766" t="s">
        <v>368</v>
      </c>
      <c r="D766" t="str">
        <f t="shared" si="11"/>
        <v>SEE3011</v>
      </c>
      <c r="E766" t="s">
        <v>1600</v>
      </c>
    </row>
    <row r="767" spans="1:5" hidden="1" x14ac:dyDescent="0.25">
      <c r="A767">
        <v>1261</v>
      </c>
      <c r="B767" t="s">
        <v>584</v>
      </c>
      <c r="C767" t="s">
        <v>137</v>
      </c>
      <c r="D767" t="str">
        <f t="shared" si="11"/>
        <v>SEE3012</v>
      </c>
      <c r="E767" t="s">
        <v>1606</v>
      </c>
    </row>
    <row r="768" spans="1:5" hidden="1" x14ac:dyDescent="0.25">
      <c r="A768">
        <v>1261</v>
      </c>
      <c r="B768" t="s">
        <v>584</v>
      </c>
      <c r="C768" t="s">
        <v>1607</v>
      </c>
      <c r="D768" t="str">
        <f t="shared" si="11"/>
        <v>SEE3013</v>
      </c>
      <c r="E768" t="s">
        <v>1600</v>
      </c>
    </row>
    <row r="769" spans="1:5" hidden="1" x14ac:dyDescent="0.25">
      <c r="A769">
        <v>1261</v>
      </c>
      <c r="B769" t="s">
        <v>584</v>
      </c>
      <c r="C769" t="s">
        <v>1608</v>
      </c>
      <c r="D769" t="str">
        <f t="shared" si="11"/>
        <v>SEE3015</v>
      </c>
      <c r="E769" t="s">
        <v>1600</v>
      </c>
    </row>
    <row r="770" spans="1:5" hidden="1" x14ac:dyDescent="0.25">
      <c r="A770">
        <v>1261</v>
      </c>
      <c r="B770" t="s">
        <v>584</v>
      </c>
      <c r="C770" t="s">
        <v>1609</v>
      </c>
      <c r="D770" t="str">
        <f t="shared" ref="D770:D833" si="12">CONCATENATE(B770,LEFT(C770,4))</f>
        <v>SEE3016</v>
      </c>
      <c r="E770" t="s">
        <v>1600</v>
      </c>
    </row>
    <row r="771" spans="1:5" hidden="1" x14ac:dyDescent="0.25">
      <c r="A771">
        <v>1261</v>
      </c>
      <c r="B771" t="s">
        <v>584</v>
      </c>
      <c r="C771" t="s">
        <v>405</v>
      </c>
      <c r="D771" t="str">
        <f t="shared" si="12"/>
        <v>SEE3017</v>
      </c>
      <c r="E771" t="s">
        <v>1600</v>
      </c>
    </row>
    <row r="772" spans="1:5" hidden="1" x14ac:dyDescent="0.25">
      <c r="A772">
        <v>1261</v>
      </c>
      <c r="B772" t="s">
        <v>584</v>
      </c>
      <c r="C772" t="s">
        <v>1610</v>
      </c>
      <c r="D772" t="str">
        <f t="shared" si="12"/>
        <v>SEE3019</v>
      </c>
      <c r="E772" t="s">
        <v>1611</v>
      </c>
    </row>
    <row r="773" spans="1:5" hidden="1" x14ac:dyDescent="0.25">
      <c r="A773">
        <v>1261</v>
      </c>
      <c r="B773" t="s">
        <v>584</v>
      </c>
      <c r="C773" t="s">
        <v>1612</v>
      </c>
      <c r="D773" t="str">
        <f t="shared" si="12"/>
        <v>SEE3020</v>
      </c>
      <c r="E773" t="s">
        <v>1600</v>
      </c>
    </row>
    <row r="774" spans="1:5" hidden="1" x14ac:dyDescent="0.25">
      <c r="A774">
        <v>1261</v>
      </c>
      <c r="B774" t="s">
        <v>584</v>
      </c>
      <c r="C774" t="s">
        <v>1613</v>
      </c>
      <c r="D774" t="str">
        <f t="shared" si="12"/>
        <v>SEE3021</v>
      </c>
      <c r="E774" t="s">
        <v>1600</v>
      </c>
    </row>
    <row r="775" spans="1:5" hidden="1" x14ac:dyDescent="0.25">
      <c r="A775">
        <v>1261</v>
      </c>
      <c r="B775" t="s">
        <v>584</v>
      </c>
      <c r="C775" t="s">
        <v>430</v>
      </c>
      <c r="D775" t="str">
        <f t="shared" si="12"/>
        <v>SEE3022</v>
      </c>
      <c r="E775" t="s">
        <v>1600</v>
      </c>
    </row>
    <row r="776" spans="1:5" hidden="1" x14ac:dyDescent="0.25">
      <c r="A776">
        <v>1261</v>
      </c>
      <c r="B776" t="s">
        <v>584</v>
      </c>
      <c r="C776" t="s">
        <v>1614</v>
      </c>
      <c r="D776" t="str">
        <f t="shared" si="12"/>
        <v>SEE3023</v>
      </c>
      <c r="E776" t="s">
        <v>1615</v>
      </c>
    </row>
    <row r="777" spans="1:5" hidden="1" x14ac:dyDescent="0.25">
      <c r="A777">
        <v>1261</v>
      </c>
      <c r="B777" t="s">
        <v>584</v>
      </c>
      <c r="C777" t="s">
        <v>440</v>
      </c>
      <c r="D777" t="str">
        <f t="shared" si="12"/>
        <v>SEE3024</v>
      </c>
      <c r="E777" t="s">
        <v>1600</v>
      </c>
    </row>
    <row r="778" spans="1:5" hidden="1" x14ac:dyDescent="0.25">
      <c r="A778">
        <v>1261</v>
      </c>
      <c r="B778" t="s">
        <v>584</v>
      </c>
      <c r="C778" t="s">
        <v>1616</v>
      </c>
      <c r="D778" t="str">
        <f t="shared" si="12"/>
        <v>SEE3025</v>
      </c>
      <c r="E778" t="s">
        <v>1600</v>
      </c>
    </row>
    <row r="779" spans="1:5" hidden="1" x14ac:dyDescent="0.25">
      <c r="A779">
        <v>1261</v>
      </c>
      <c r="B779" t="s">
        <v>584</v>
      </c>
      <c r="C779" t="s">
        <v>1617</v>
      </c>
      <c r="D779" t="str">
        <f t="shared" si="12"/>
        <v>SEE3026</v>
      </c>
      <c r="E779" t="s">
        <v>1615</v>
      </c>
    </row>
    <row r="780" spans="1:5" hidden="1" x14ac:dyDescent="0.25">
      <c r="A780">
        <v>1261</v>
      </c>
      <c r="B780" t="s">
        <v>584</v>
      </c>
      <c r="C780" t="s">
        <v>1618</v>
      </c>
      <c r="D780" t="str">
        <f t="shared" si="12"/>
        <v>SEE3027</v>
      </c>
      <c r="E780" t="s">
        <v>1600</v>
      </c>
    </row>
    <row r="781" spans="1:5" hidden="1" x14ac:dyDescent="0.25">
      <c r="A781">
        <v>1261</v>
      </c>
      <c r="B781" t="s">
        <v>584</v>
      </c>
      <c r="C781" t="s">
        <v>1702</v>
      </c>
      <c r="D781" t="str">
        <f t="shared" si="12"/>
        <v>SEE3029</v>
      </c>
      <c r="E781" t="s">
        <v>1600</v>
      </c>
    </row>
    <row r="782" spans="1:5" hidden="1" x14ac:dyDescent="0.25">
      <c r="A782">
        <v>1261</v>
      </c>
      <c r="B782" t="s">
        <v>584</v>
      </c>
      <c r="C782" t="s">
        <v>466</v>
      </c>
      <c r="D782" t="str">
        <f t="shared" si="12"/>
        <v>SEE3030</v>
      </c>
      <c r="E782" t="s">
        <v>1600</v>
      </c>
    </row>
    <row r="783" spans="1:5" hidden="1" x14ac:dyDescent="0.25">
      <c r="A783">
        <v>1261</v>
      </c>
      <c r="B783" t="s">
        <v>584</v>
      </c>
      <c r="C783" t="s">
        <v>469</v>
      </c>
      <c r="D783" t="str">
        <f t="shared" si="12"/>
        <v>SEE3031</v>
      </c>
      <c r="E783" t="s">
        <v>1600</v>
      </c>
    </row>
    <row r="784" spans="1:5" hidden="1" x14ac:dyDescent="0.25">
      <c r="A784">
        <v>1261</v>
      </c>
      <c r="B784" t="s">
        <v>584</v>
      </c>
      <c r="C784" t="s">
        <v>1619</v>
      </c>
      <c r="D784" t="str">
        <f t="shared" si="12"/>
        <v>SEE3032</v>
      </c>
      <c r="E784" t="s">
        <v>1600</v>
      </c>
    </row>
    <row r="785" spans="1:5" hidden="1" x14ac:dyDescent="0.25">
      <c r="A785">
        <v>1261</v>
      </c>
      <c r="B785" t="s">
        <v>584</v>
      </c>
      <c r="C785" t="s">
        <v>486</v>
      </c>
      <c r="D785" t="str">
        <f t="shared" si="12"/>
        <v>SEE3040</v>
      </c>
      <c r="E785" t="s">
        <v>1600</v>
      </c>
    </row>
    <row r="786" spans="1:5" hidden="1" x14ac:dyDescent="0.25">
      <c r="A786">
        <v>1261</v>
      </c>
      <c r="B786" t="s">
        <v>584</v>
      </c>
      <c r="C786" t="s">
        <v>1703</v>
      </c>
      <c r="D786" t="str">
        <f t="shared" si="12"/>
        <v>SEE3041</v>
      </c>
      <c r="E786" t="s">
        <v>1600</v>
      </c>
    </row>
    <row r="787" spans="1:5" hidden="1" x14ac:dyDescent="0.25">
      <c r="A787">
        <v>1261</v>
      </c>
      <c r="B787" t="s">
        <v>584</v>
      </c>
      <c r="C787" t="s">
        <v>490</v>
      </c>
      <c r="D787" t="str">
        <f t="shared" si="12"/>
        <v>SEE3099</v>
      </c>
      <c r="E787" t="s">
        <v>1600</v>
      </c>
    </row>
    <row r="788" spans="1:5" hidden="1" x14ac:dyDescent="0.25">
      <c r="A788">
        <v>1261</v>
      </c>
      <c r="B788" t="s">
        <v>584</v>
      </c>
      <c r="C788" t="s">
        <v>1622</v>
      </c>
      <c r="D788" t="str">
        <f t="shared" si="12"/>
        <v>SEE3101</v>
      </c>
      <c r="E788" t="s">
        <v>1623</v>
      </c>
    </row>
    <row r="789" spans="1:5" hidden="1" x14ac:dyDescent="0.25">
      <c r="A789">
        <v>1261</v>
      </c>
      <c r="B789" t="s">
        <v>584</v>
      </c>
      <c r="C789" t="s">
        <v>256</v>
      </c>
      <c r="D789" t="str">
        <f t="shared" si="12"/>
        <v>SEE3102</v>
      </c>
      <c r="E789" t="s">
        <v>1623</v>
      </c>
    </row>
    <row r="790" spans="1:5" hidden="1" x14ac:dyDescent="0.25">
      <c r="A790">
        <v>1261</v>
      </c>
      <c r="B790" t="s">
        <v>584</v>
      </c>
      <c r="C790" t="s">
        <v>277</v>
      </c>
      <c r="D790" t="str">
        <f t="shared" si="12"/>
        <v>SEE3103</v>
      </c>
      <c r="E790" t="s">
        <v>1623</v>
      </c>
    </row>
    <row r="791" spans="1:5" hidden="1" x14ac:dyDescent="0.25">
      <c r="A791">
        <v>1261</v>
      </c>
      <c r="B791" t="s">
        <v>584</v>
      </c>
      <c r="C791" t="s">
        <v>293</v>
      </c>
      <c r="D791" t="str">
        <f t="shared" si="12"/>
        <v>SEE3104</v>
      </c>
      <c r="E791" t="s">
        <v>1623</v>
      </c>
    </row>
    <row r="792" spans="1:5" hidden="1" x14ac:dyDescent="0.25">
      <c r="A792">
        <v>1261</v>
      </c>
      <c r="B792" t="s">
        <v>584</v>
      </c>
      <c r="C792" t="s">
        <v>226</v>
      </c>
      <c r="D792" t="str">
        <f t="shared" si="12"/>
        <v>SEE3201</v>
      </c>
      <c r="E792" t="s">
        <v>1623</v>
      </c>
    </row>
    <row r="793" spans="1:5" hidden="1" x14ac:dyDescent="0.25">
      <c r="A793">
        <v>1261</v>
      </c>
      <c r="B793" t="s">
        <v>584</v>
      </c>
      <c r="C793" t="s">
        <v>53</v>
      </c>
      <c r="D793" t="str">
        <f t="shared" si="12"/>
        <v>SEE3301</v>
      </c>
      <c r="E793" t="s">
        <v>43</v>
      </c>
    </row>
    <row r="794" spans="1:5" hidden="1" x14ac:dyDescent="0.25">
      <c r="A794">
        <v>1261</v>
      </c>
      <c r="B794" t="s">
        <v>584</v>
      </c>
      <c r="C794" t="s">
        <v>1626</v>
      </c>
      <c r="D794" t="str">
        <f t="shared" si="12"/>
        <v>SEE3302</v>
      </c>
      <c r="E794" t="s">
        <v>43</v>
      </c>
    </row>
    <row r="795" spans="1:5" hidden="1" x14ac:dyDescent="0.25">
      <c r="A795">
        <v>1261</v>
      </c>
      <c r="B795" t="s">
        <v>584</v>
      </c>
      <c r="C795" t="s">
        <v>1704</v>
      </c>
      <c r="D795" t="str">
        <f t="shared" si="12"/>
        <v>SEE3303</v>
      </c>
      <c r="E795" t="s">
        <v>43</v>
      </c>
    </row>
    <row r="796" spans="1:5" hidden="1" x14ac:dyDescent="0.25">
      <c r="A796">
        <v>1261</v>
      </c>
      <c r="B796" t="s">
        <v>584</v>
      </c>
      <c r="C796" t="s">
        <v>1627</v>
      </c>
      <c r="D796" t="str">
        <f t="shared" si="12"/>
        <v>SEE3304</v>
      </c>
      <c r="E796" t="s">
        <v>43</v>
      </c>
    </row>
    <row r="797" spans="1:5" hidden="1" x14ac:dyDescent="0.25">
      <c r="A797">
        <v>1261</v>
      </c>
      <c r="B797" t="s">
        <v>584</v>
      </c>
      <c r="C797" t="s">
        <v>308</v>
      </c>
      <c r="D797" t="str">
        <f t="shared" si="12"/>
        <v>SEE3305</v>
      </c>
      <c r="E797" t="s">
        <v>1623</v>
      </c>
    </row>
    <row r="798" spans="1:5" hidden="1" x14ac:dyDescent="0.25">
      <c r="A798">
        <v>1261</v>
      </c>
      <c r="B798" t="s">
        <v>584</v>
      </c>
      <c r="C798" t="s">
        <v>227</v>
      </c>
      <c r="D798" t="str">
        <f t="shared" si="12"/>
        <v>SEE3401</v>
      </c>
      <c r="E798" t="s">
        <v>1739</v>
      </c>
    </row>
    <row r="799" spans="1:5" hidden="1" x14ac:dyDescent="0.25">
      <c r="A799">
        <v>1261</v>
      </c>
      <c r="B799" t="s">
        <v>584</v>
      </c>
      <c r="C799" t="s">
        <v>279</v>
      </c>
      <c r="D799" t="str">
        <f t="shared" si="12"/>
        <v>SEE3403</v>
      </c>
      <c r="E799" t="s">
        <v>1689</v>
      </c>
    </row>
    <row r="800" spans="1:5" hidden="1" x14ac:dyDescent="0.25">
      <c r="A800">
        <v>1261</v>
      </c>
      <c r="B800" t="s">
        <v>584</v>
      </c>
      <c r="C800" t="s">
        <v>295</v>
      </c>
      <c r="D800" t="str">
        <f t="shared" si="12"/>
        <v>SEE3404</v>
      </c>
      <c r="E800" t="s">
        <v>1689</v>
      </c>
    </row>
    <row r="801" spans="1:5" hidden="1" x14ac:dyDescent="0.25">
      <c r="A801">
        <v>1261</v>
      </c>
      <c r="B801" t="s">
        <v>584</v>
      </c>
      <c r="C801" t="s">
        <v>1740</v>
      </c>
      <c r="D801" t="str">
        <f t="shared" si="12"/>
        <v>SEE3405</v>
      </c>
      <c r="E801" t="s">
        <v>1596</v>
      </c>
    </row>
    <row r="802" spans="1:5" hidden="1" x14ac:dyDescent="0.25">
      <c r="A802">
        <v>1261</v>
      </c>
      <c r="B802" t="s">
        <v>584</v>
      </c>
      <c r="C802" t="s">
        <v>1741</v>
      </c>
      <c r="D802" t="str">
        <f t="shared" si="12"/>
        <v>SEE3501</v>
      </c>
      <c r="E802" t="s">
        <v>1623</v>
      </c>
    </row>
    <row r="803" spans="1:5" hidden="1" x14ac:dyDescent="0.25">
      <c r="A803">
        <v>1261</v>
      </c>
      <c r="B803" t="s">
        <v>584</v>
      </c>
      <c r="C803" t="s">
        <v>1705</v>
      </c>
      <c r="D803" t="str">
        <f t="shared" si="12"/>
        <v>SEE3502</v>
      </c>
      <c r="E803" t="s">
        <v>1706</v>
      </c>
    </row>
    <row r="804" spans="1:5" hidden="1" x14ac:dyDescent="0.25">
      <c r="A804">
        <v>1261</v>
      </c>
      <c r="B804" t="s">
        <v>584</v>
      </c>
      <c r="C804" t="s">
        <v>280</v>
      </c>
      <c r="D804" t="str">
        <f t="shared" si="12"/>
        <v>SEE3503</v>
      </c>
      <c r="E804" t="s">
        <v>1623</v>
      </c>
    </row>
    <row r="805" spans="1:5" hidden="1" x14ac:dyDescent="0.25">
      <c r="A805">
        <v>1261</v>
      </c>
      <c r="B805" t="s">
        <v>584</v>
      </c>
      <c r="C805" t="s">
        <v>1690</v>
      </c>
      <c r="D805" t="str">
        <f t="shared" si="12"/>
        <v>SEE3601</v>
      </c>
      <c r="E805" t="s">
        <v>64</v>
      </c>
    </row>
    <row r="806" spans="1:5" hidden="1" x14ac:dyDescent="0.25">
      <c r="A806">
        <v>1261</v>
      </c>
      <c r="B806" t="s">
        <v>584</v>
      </c>
      <c r="C806" t="s">
        <v>296</v>
      </c>
      <c r="D806" t="str">
        <f t="shared" si="12"/>
        <v>SEE3604</v>
      </c>
      <c r="E806" t="s">
        <v>43</v>
      </c>
    </row>
    <row r="807" spans="1:5" hidden="1" x14ac:dyDescent="0.25">
      <c r="A807">
        <v>1261</v>
      </c>
      <c r="B807" t="s">
        <v>584</v>
      </c>
      <c r="C807" t="s">
        <v>1742</v>
      </c>
      <c r="D807" t="str">
        <f t="shared" si="12"/>
        <v>SEE3605</v>
      </c>
      <c r="E807" t="s">
        <v>1623</v>
      </c>
    </row>
    <row r="808" spans="1:5" hidden="1" x14ac:dyDescent="0.25">
      <c r="A808">
        <v>1261</v>
      </c>
      <c r="B808" t="s">
        <v>584</v>
      </c>
      <c r="C808" t="s">
        <v>354</v>
      </c>
      <c r="D808" t="str">
        <f t="shared" si="12"/>
        <v>SEE3610</v>
      </c>
      <c r="E808" t="s">
        <v>1623</v>
      </c>
    </row>
    <row r="809" spans="1:5" hidden="1" x14ac:dyDescent="0.25">
      <c r="A809">
        <v>1261</v>
      </c>
      <c r="B809" t="s">
        <v>584</v>
      </c>
      <c r="C809" t="s">
        <v>1707</v>
      </c>
      <c r="D809" t="str">
        <f t="shared" si="12"/>
        <v>SEE3611</v>
      </c>
      <c r="E809" t="s">
        <v>1692</v>
      </c>
    </row>
    <row r="810" spans="1:5" hidden="1" x14ac:dyDescent="0.25">
      <c r="A810">
        <v>1261</v>
      </c>
      <c r="B810" t="s">
        <v>584</v>
      </c>
      <c r="C810" t="s">
        <v>1628</v>
      </c>
      <c r="D810" t="str">
        <f t="shared" si="12"/>
        <v>SEE3612</v>
      </c>
      <c r="E810" t="s">
        <v>1623</v>
      </c>
    </row>
    <row r="811" spans="1:5" hidden="1" x14ac:dyDescent="0.25">
      <c r="A811">
        <v>1261</v>
      </c>
      <c r="B811" t="s">
        <v>584</v>
      </c>
      <c r="C811" t="s">
        <v>382</v>
      </c>
      <c r="D811" t="str">
        <f t="shared" si="12"/>
        <v>SEE3614</v>
      </c>
      <c r="E811" t="s">
        <v>1623</v>
      </c>
    </row>
    <row r="812" spans="1:5" hidden="1" x14ac:dyDescent="0.25">
      <c r="A812">
        <v>1261</v>
      </c>
      <c r="B812" t="s">
        <v>584</v>
      </c>
      <c r="C812" t="s">
        <v>388</v>
      </c>
      <c r="D812" t="str">
        <f t="shared" si="12"/>
        <v>SEE3615</v>
      </c>
      <c r="E812" t="s">
        <v>1646</v>
      </c>
    </row>
    <row r="813" spans="1:5" hidden="1" x14ac:dyDescent="0.25">
      <c r="A813">
        <v>1261</v>
      </c>
      <c r="B813" t="s">
        <v>584</v>
      </c>
      <c r="C813" t="s">
        <v>1743</v>
      </c>
      <c r="D813" t="str">
        <f t="shared" si="12"/>
        <v>SEE3616</v>
      </c>
      <c r="E813" t="s">
        <v>1615</v>
      </c>
    </row>
    <row r="814" spans="1:5" hidden="1" x14ac:dyDescent="0.25">
      <c r="A814">
        <v>1261</v>
      </c>
      <c r="B814" t="s">
        <v>584</v>
      </c>
      <c r="C814" t="s">
        <v>400</v>
      </c>
      <c r="D814" t="str">
        <f t="shared" si="12"/>
        <v>SEE3617</v>
      </c>
      <c r="E814" t="s">
        <v>1623</v>
      </c>
    </row>
    <row r="815" spans="1:5" hidden="1" x14ac:dyDescent="0.25">
      <c r="A815">
        <v>1261</v>
      </c>
      <c r="B815" t="s">
        <v>584</v>
      </c>
      <c r="C815" t="s">
        <v>411</v>
      </c>
      <c r="D815" t="str">
        <f t="shared" si="12"/>
        <v>SEE3619</v>
      </c>
      <c r="E815" t="s">
        <v>1623</v>
      </c>
    </row>
    <row r="816" spans="1:5" hidden="1" x14ac:dyDescent="0.25">
      <c r="A816">
        <v>1261</v>
      </c>
      <c r="B816" t="s">
        <v>584</v>
      </c>
      <c r="C816" t="s">
        <v>426</v>
      </c>
      <c r="D816" t="str">
        <f t="shared" si="12"/>
        <v>SEE3622</v>
      </c>
      <c r="E816" t="s">
        <v>1692</v>
      </c>
    </row>
    <row r="817" spans="1:5" hidden="1" x14ac:dyDescent="0.25">
      <c r="A817">
        <v>1261</v>
      </c>
      <c r="B817" t="s">
        <v>584</v>
      </c>
      <c r="C817" t="s">
        <v>441</v>
      </c>
      <c r="D817" t="str">
        <f t="shared" si="12"/>
        <v>SEE3625</v>
      </c>
      <c r="E817" t="s">
        <v>1623</v>
      </c>
    </row>
    <row r="818" spans="1:5" hidden="1" x14ac:dyDescent="0.25">
      <c r="A818">
        <v>1261</v>
      </c>
      <c r="B818" t="s">
        <v>584</v>
      </c>
      <c r="C818" t="s">
        <v>446</v>
      </c>
      <c r="D818" t="str">
        <f t="shared" si="12"/>
        <v>SEE3626</v>
      </c>
      <c r="E818" t="s">
        <v>1600</v>
      </c>
    </row>
    <row r="819" spans="1:5" hidden="1" x14ac:dyDescent="0.25">
      <c r="A819">
        <v>1261</v>
      </c>
      <c r="B819" t="s">
        <v>584</v>
      </c>
      <c r="C819" t="s">
        <v>467</v>
      </c>
      <c r="D819" t="str">
        <f t="shared" si="12"/>
        <v>SEE3631</v>
      </c>
      <c r="E819" t="s">
        <v>1645</v>
      </c>
    </row>
    <row r="820" spans="1:5" hidden="1" x14ac:dyDescent="0.25">
      <c r="A820">
        <v>1261</v>
      </c>
      <c r="B820" t="s">
        <v>584</v>
      </c>
      <c r="C820" t="s">
        <v>470</v>
      </c>
      <c r="D820" t="str">
        <f t="shared" si="12"/>
        <v>SEE3699</v>
      </c>
      <c r="E820" t="s">
        <v>1623</v>
      </c>
    </row>
    <row r="821" spans="1:5" hidden="1" x14ac:dyDescent="0.25">
      <c r="A821">
        <v>1261</v>
      </c>
      <c r="B821" t="s">
        <v>584</v>
      </c>
      <c r="C821" t="s">
        <v>1693</v>
      </c>
      <c r="D821" t="str">
        <f t="shared" si="12"/>
        <v>SEE3702</v>
      </c>
      <c r="E821" t="s">
        <v>1630</v>
      </c>
    </row>
    <row r="822" spans="1:5" hidden="1" x14ac:dyDescent="0.25">
      <c r="A822">
        <v>1261</v>
      </c>
      <c r="B822" t="s">
        <v>584</v>
      </c>
      <c r="C822" t="s">
        <v>1631</v>
      </c>
      <c r="D822" t="str">
        <f t="shared" si="12"/>
        <v>SEE3703</v>
      </c>
      <c r="E822" t="s">
        <v>116</v>
      </c>
    </row>
    <row r="823" spans="1:5" hidden="1" x14ac:dyDescent="0.25">
      <c r="A823">
        <v>1261</v>
      </c>
      <c r="B823" t="s">
        <v>584</v>
      </c>
      <c r="C823" t="s">
        <v>1632</v>
      </c>
      <c r="D823" t="str">
        <f t="shared" si="12"/>
        <v>SEE3704</v>
      </c>
      <c r="E823" t="s">
        <v>116</v>
      </c>
    </row>
    <row r="824" spans="1:5" hidden="1" x14ac:dyDescent="0.25">
      <c r="A824">
        <v>1261</v>
      </c>
      <c r="B824" t="s">
        <v>584</v>
      </c>
      <c r="C824" t="s">
        <v>1633</v>
      </c>
      <c r="D824" t="str">
        <f t="shared" si="12"/>
        <v>SEE3705</v>
      </c>
      <c r="E824" t="s">
        <v>116</v>
      </c>
    </row>
    <row r="825" spans="1:5" hidden="1" x14ac:dyDescent="0.25">
      <c r="A825">
        <v>1261</v>
      </c>
      <c r="B825" t="s">
        <v>584</v>
      </c>
      <c r="C825" t="s">
        <v>232</v>
      </c>
      <c r="D825" t="str">
        <f t="shared" si="12"/>
        <v>SEE3901</v>
      </c>
      <c r="E825" t="s">
        <v>1596</v>
      </c>
    </row>
    <row r="826" spans="1:5" hidden="1" x14ac:dyDescent="0.25">
      <c r="A826">
        <v>1261</v>
      </c>
      <c r="B826" t="s">
        <v>584</v>
      </c>
      <c r="C826" t="s">
        <v>1634</v>
      </c>
      <c r="D826" t="str">
        <f t="shared" si="12"/>
        <v>SEE3903</v>
      </c>
      <c r="E826" t="s">
        <v>86</v>
      </c>
    </row>
    <row r="827" spans="1:5" hidden="1" x14ac:dyDescent="0.25">
      <c r="A827">
        <v>1261</v>
      </c>
      <c r="B827" t="s">
        <v>584</v>
      </c>
      <c r="C827" t="s">
        <v>298</v>
      </c>
      <c r="D827" t="str">
        <f t="shared" si="12"/>
        <v>SEE3904</v>
      </c>
      <c r="E827" t="s">
        <v>1623</v>
      </c>
    </row>
    <row r="828" spans="1:5" hidden="1" x14ac:dyDescent="0.25">
      <c r="A828">
        <v>1261</v>
      </c>
      <c r="B828" t="s">
        <v>584</v>
      </c>
      <c r="C828" t="s">
        <v>325</v>
      </c>
      <c r="D828" t="str">
        <f t="shared" si="12"/>
        <v>SEE3906</v>
      </c>
      <c r="E828" t="s">
        <v>1623</v>
      </c>
    </row>
    <row r="829" spans="1:5" hidden="1" x14ac:dyDescent="0.25">
      <c r="A829">
        <v>1261</v>
      </c>
      <c r="B829" t="s">
        <v>584</v>
      </c>
      <c r="C829" t="s">
        <v>1635</v>
      </c>
      <c r="D829" t="str">
        <f t="shared" si="12"/>
        <v>SEE3908</v>
      </c>
      <c r="E829" t="s">
        <v>1623</v>
      </c>
    </row>
    <row r="830" spans="1:5" hidden="1" x14ac:dyDescent="0.25">
      <c r="A830">
        <v>1261</v>
      </c>
      <c r="B830" t="s">
        <v>584</v>
      </c>
      <c r="C830" t="s">
        <v>335</v>
      </c>
      <c r="D830" t="str">
        <f t="shared" si="12"/>
        <v>SEE3909</v>
      </c>
      <c r="E830" t="s">
        <v>1623</v>
      </c>
    </row>
    <row r="831" spans="1:5" hidden="1" x14ac:dyDescent="0.25">
      <c r="A831">
        <v>1261</v>
      </c>
      <c r="B831" t="s">
        <v>584</v>
      </c>
      <c r="C831" t="s">
        <v>345</v>
      </c>
      <c r="D831" t="str">
        <f t="shared" si="12"/>
        <v>SEE3910</v>
      </c>
      <c r="E831" t="s">
        <v>1623</v>
      </c>
    </row>
    <row r="832" spans="1:5" hidden="1" x14ac:dyDescent="0.25">
      <c r="A832">
        <v>1261</v>
      </c>
      <c r="B832" t="s">
        <v>584</v>
      </c>
      <c r="C832" t="s">
        <v>355</v>
      </c>
      <c r="D832" t="str">
        <f t="shared" si="12"/>
        <v>SEE3911</v>
      </c>
      <c r="E832" t="s">
        <v>1623</v>
      </c>
    </row>
    <row r="833" spans="1:5" hidden="1" x14ac:dyDescent="0.25">
      <c r="A833">
        <v>1261</v>
      </c>
      <c r="B833" t="s">
        <v>584</v>
      </c>
      <c r="C833" t="s">
        <v>1636</v>
      </c>
      <c r="D833" t="str">
        <f t="shared" si="12"/>
        <v>SEE3912</v>
      </c>
      <c r="E833" t="s">
        <v>1637</v>
      </c>
    </row>
    <row r="834" spans="1:5" hidden="1" x14ac:dyDescent="0.25">
      <c r="A834">
        <v>1261</v>
      </c>
      <c r="B834" t="s">
        <v>584</v>
      </c>
      <c r="C834" t="s">
        <v>1638</v>
      </c>
      <c r="D834" t="str">
        <f t="shared" ref="D834:D897" si="13">CONCATENATE(B834,LEFT(C834,4))</f>
        <v>SEE3913</v>
      </c>
      <c r="E834" t="s">
        <v>1637</v>
      </c>
    </row>
    <row r="835" spans="1:5" hidden="1" x14ac:dyDescent="0.25">
      <c r="A835">
        <v>1261</v>
      </c>
      <c r="B835" t="s">
        <v>584</v>
      </c>
      <c r="C835" t="s">
        <v>376</v>
      </c>
      <c r="D835" t="str">
        <f t="shared" si="13"/>
        <v>SEE3914</v>
      </c>
      <c r="E835" t="s">
        <v>1648</v>
      </c>
    </row>
    <row r="836" spans="1:5" hidden="1" x14ac:dyDescent="0.25">
      <c r="A836">
        <v>1261</v>
      </c>
      <c r="B836" t="s">
        <v>584</v>
      </c>
      <c r="C836" t="s">
        <v>383</v>
      </c>
      <c r="D836" t="str">
        <f t="shared" si="13"/>
        <v>SEE3915</v>
      </c>
      <c r="E836" t="s">
        <v>1637</v>
      </c>
    </row>
    <row r="837" spans="1:5" hidden="1" x14ac:dyDescent="0.25">
      <c r="A837">
        <v>1261</v>
      </c>
      <c r="B837" t="s">
        <v>584</v>
      </c>
      <c r="C837" t="s">
        <v>1639</v>
      </c>
      <c r="D837" t="str">
        <f t="shared" si="13"/>
        <v>SEE3917</v>
      </c>
      <c r="E837" t="s">
        <v>1615</v>
      </c>
    </row>
    <row r="838" spans="1:5" hidden="1" x14ac:dyDescent="0.25">
      <c r="A838">
        <v>1261</v>
      </c>
      <c r="B838" t="s">
        <v>584</v>
      </c>
      <c r="C838" t="s">
        <v>1640</v>
      </c>
      <c r="D838" t="str">
        <f t="shared" si="13"/>
        <v>SEE3918</v>
      </c>
      <c r="E838" t="s">
        <v>1615</v>
      </c>
    </row>
    <row r="839" spans="1:5" hidden="1" x14ac:dyDescent="0.25">
      <c r="A839">
        <v>1261</v>
      </c>
      <c r="B839" t="s">
        <v>584</v>
      </c>
      <c r="C839" t="s">
        <v>1641</v>
      </c>
      <c r="D839" t="str">
        <f t="shared" si="13"/>
        <v>SEE3919</v>
      </c>
      <c r="E839" t="s">
        <v>2102</v>
      </c>
    </row>
    <row r="840" spans="1:5" hidden="1" x14ac:dyDescent="0.25">
      <c r="A840">
        <v>1261</v>
      </c>
      <c r="B840" t="s">
        <v>584</v>
      </c>
      <c r="C840" t="s">
        <v>1694</v>
      </c>
      <c r="D840" t="str">
        <f t="shared" si="13"/>
        <v>SEE3920</v>
      </c>
      <c r="E840" t="s">
        <v>1692</v>
      </c>
    </row>
    <row r="841" spans="1:5" hidden="1" x14ac:dyDescent="0.25">
      <c r="A841">
        <v>1261</v>
      </c>
      <c r="B841" t="s">
        <v>584</v>
      </c>
      <c r="C841" t="s">
        <v>1642</v>
      </c>
      <c r="D841" t="str">
        <f t="shared" si="13"/>
        <v>SEE3921</v>
      </c>
      <c r="E841" t="s">
        <v>2102</v>
      </c>
    </row>
    <row r="842" spans="1:5" hidden="1" x14ac:dyDescent="0.25">
      <c r="A842">
        <v>1261</v>
      </c>
      <c r="B842" t="s">
        <v>584</v>
      </c>
      <c r="C842" t="s">
        <v>1643</v>
      </c>
      <c r="D842" t="str">
        <f t="shared" si="13"/>
        <v>SEE3922</v>
      </c>
      <c r="E842" t="s">
        <v>1611</v>
      </c>
    </row>
    <row r="843" spans="1:5" hidden="1" x14ac:dyDescent="0.25">
      <c r="A843">
        <v>1261</v>
      </c>
      <c r="B843" t="s">
        <v>584</v>
      </c>
      <c r="C843" t="s">
        <v>1644</v>
      </c>
      <c r="D843" t="str">
        <f t="shared" si="13"/>
        <v>SEE3924</v>
      </c>
      <c r="E843" t="s">
        <v>1645</v>
      </c>
    </row>
    <row r="844" spans="1:5" hidden="1" x14ac:dyDescent="0.25">
      <c r="A844">
        <v>1261</v>
      </c>
      <c r="B844" t="s">
        <v>584</v>
      </c>
      <c r="C844" t="s">
        <v>437</v>
      </c>
      <c r="D844" t="str">
        <f t="shared" si="13"/>
        <v>SEE3925</v>
      </c>
      <c r="E844" t="s">
        <v>1646</v>
      </c>
    </row>
    <row r="845" spans="1:5" hidden="1" x14ac:dyDescent="0.25">
      <c r="A845">
        <v>1261</v>
      </c>
      <c r="B845" t="s">
        <v>584</v>
      </c>
      <c r="C845" t="s">
        <v>442</v>
      </c>
      <c r="D845" t="str">
        <f t="shared" si="13"/>
        <v>SEE3926</v>
      </c>
      <c r="E845" t="s">
        <v>1646</v>
      </c>
    </row>
    <row r="846" spans="1:5" hidden="1" x14ac:dyDescent="0.25">
      <c r="A846">
        <v>1261</v>
      </c>
      <c r="B846" t="s">
        <v>584</v>
      </c>
      <c r="C846" t="s">
        <v>1647</v>
      </c>
      <c r="D846" t="str">
        <f t="shared" si="13"/>
        <v>SEE3927</v>
      </c>
      <c r="E846" t="s">
        <v>1648</v>
      </c>
    </row>
    <row r="847" spans="1:5" hidden="1" x14ac:dyDescent="0.25">
      <c r="A847">
        <v>1261</v>
      </c>
      <c r="B847" t="s">
        <v>584</v>
      </c>
      <c r="C847" t="s">
        <v>457</v>
      </c>
      <c r="D847" t="str">
        <f t="shared" si="13"/>
        <v>SEE3930</v>
      </c>
      <c r="E847" t="s">
        <v>1623</v>
      </c>
    </row>
    <row r="848" spans="1:5" hidden="1" x14ac:dyDescent="0.25">
      <c r="A848">
        <v>1261</v>
      </c>
      <c r="B848" t="s">
        <v>584</v>
      </c>
      <c r="C848" t="s">
        <v>1650</v>
      </c>
      <c r="D848" t="str">
        <f t="shared" si="13"/>
        <v>SEE3931</v>
      </c>
      <c r="E848" t="s">
        <v>1623</v>
      </c>
    </row>
    <row r="849" spans="1:5" hidden="1" x14ac:dyDescent="0.25">
      <c r="A849">
        <v>1261</v>
      </c>
      <c r="B849" t="s">
        <v>584</v>
      </c>
      <c r="C849" t="s">
        <v>1652</v>
      </c>
      <c r="D849" t="str">
        <f t="shared" si="13"/>
        <v>SEE3936</v>
      </c>
      <c r="E849" t="s">
        <v>93</v>
      </c>
    </row>
    <row r="850" spans="1:5" hidden="1" x14ac:dyDescent="0.25">
      <c r="A850">
        <v>1261</v>
      </c>
      <c r="B850" t="s">
        <v>584</v>
      </c>
      <c r="C850" t="s">
        <v>1695</v>
      </c>
      <c r="D850" t="str">
        <f t="shared" si="13"/>
        <v>SEE3937</v>
      </c>
      <c r="E850" t="s">
        <v>1692</v>
      </c>
    </row>
    <row r="851" spans="1:5" hidden="1" x14ac:dyDescent="0.25">
      <c r="A851">
        <v>1261</v>
      </c>
      <c r="B851" t="s">
        <v>584</v>
      </c>
      <c r="C851" t="s">
        <v>1708</v>
      </c>
      <c r="D851" t="str">
        <f t="shared" si="13"/>
        <v>SEE3938</v>
      </c>
      <c r="E851" t="s">
        <v>1623</v>
      </c>
    </row>
    <row r="852" spans="1:5" hidden="1" x14ac:dyDescent="0.25">
      <c r="A852">
        <v>1261</v>
      </c>
      <c r="B852" t="s">
        <v>584</v>
      </c>
      <c r="C852" t="s">
        <v>1714</v>
      </c>
      <c r="D852" t="str">
        <f t="shared" si="13"/>
        <v>SEE3939</v>
      </c>
      <c r="E852" t="s">
        <v>1623</v>
      </c>
    </row>
    <row r="853" spans="1:5" hidden="1" x14ac:dyDescent="0.25">
      <c r="A853">
        <v>1261</v>
      </c>
      <c r="B853" t="s">
        <v>584</v>
      </c>
      <c r="C853" t="s">
        <v>1653</v>
      </c>
      <c r="D853" t="str">
        <f t="shared" si="13"/>
        <v>SEE3940</v>
      </c>
      <c r="E853" t="s">
        <v>1648</v>
      </c>
    </row>
    <row r="854" spans="1:5" hidden="1" x14ac:dyDescent="0.25">
      <c r="A854">
        <v>1261</v>
      </c>
      <c r="B854" t="s">
        <v>584</v>
      </c>
      <c r="C854" t="s">
        <v>479</v>
      </c>
      <c r="D854" t="str">
        <f t="shared" si="13"/>
        <v>SEE3941</v>
      </c>
      <c r="E854" t="s">
        <v>1623</v>
      </c>
    </row>
    <row r="855" spans="1:5" hidden="1" x14ac:dyDescent="0.25">
      <c r="A855">
        <v>1261</v>
      </c>
      <c r="B855" t="s">
        <v>584</v>
      </c>
      <c r="C855" t="s">
        <v>481</v>
      </c>
      <c r="D855" t="str">
        <f t="shared" si="13"/>
        <v>SEE3942</v>
      </c>
      <c r="E855" t="s">
        <v>1623</v>
      </c>
    </row>
    <row r="856" spans="1:5" hidden="1" x14ac:dyDescent="0.25">
      <c r="A856">
        <v>1261</v>
      </c>
      <c r="B856" t="s">
        <v>584</v>
      </c>
      <c r="C856" t="s">
        <v>1654</v>
      </c>
      <c r="D856" t="str">
        <f t="shared" si="13"/>
        <v>SEE3943</v>
      </c>
      <c r="E856" t="s">
        <v>1615</v>
      </c>
    </row>
    <row r="857" spans="1:5" hidden="1" x14ac:dyDescent="0.25">
      <c r="A857">
        <v>1261</v>
      </c>
      <c r="B857" t="s">
        <v>584</v>
      </c>
      <c r="C857" t="s">
        <v>487</v>
      </c>
      <c r="D857" t="str">
        <f t="shared" si="13"/>
        <v>SEE3946</v>
      </c>
      <c r="E857" t="s">
        <v>1744</v>
      </c>
    </row>
    <row r="858" spans="1:5" hidden="1" x14ac:dyDescent="0.25">
      <c r="A858">
        <v>1261</v>
      </c>
      <c r="B858" t="s">
        <v>584</v>
      </c>
      <c r="C858" t="s">
        <v>489</v>
      </c>
      <c r="D858" t="str">
        <f t="shared" si="13"/>
        <v>SEE3947</v>
      </c>
      <c r="E858" t="s">
        <v>1669</v>
      </c>
    </row>
    <row r="859" spans="1:5" hidden="1" x14ac:dyDescent="0.25">
      <c r="A859">
        <v>1261</v>
      </c>
      <c r="B859" t="s">
        <v>584</v>
      </c>
      <c r="C859" t="s">
        <v>491</v>
      </c>
      <c r="D859" t="str">
        <f t="shared" si="13"/>
        <v>SEE3948</v>
      </c>
      <c r="E859" t="s">
        <v>1645</v>
      </c>
    </row>
    <row r="860" spans="1:5" hidden="1" x14ac:dyDescent="0.25">
      <c r="A860">
        <v>1261</v>
      </c>
      <c r="B860" t="s">
        <v>584</v>
      </c>
      <c r="C860" t="s">
        <v>1715</v>
      </c>
      <c r="D860" t="str">
        <f t="shared" si="13"/>
        <v>SEE3949</v>
      </c>
      <c r="E860" t="s">
        <v>1645</v>
      </c>
    </row>
    <row r="861" spans="1:5" hidden="1" x14ac:dyDescent="0.25">
      <c r="A861">
        <v>1261</v>
      </c>
      <c r="B861" t="s">
        <v>584</v>
      </c>
      <c r="C861" t="s">
        <v>1655</v>
      </c>
      <c r="D861" t="str">
        <f t="shared" si="13"/>
        <v>SEE3950</v>
      </c>
      <c r="E861" t="s">
        <v>43</v>
      </c>
    </row>
    <row r="862" spans="1:5" hidden="1" x14ac:dyDescent="0.25">
      <c r="A862">
        <v>1261</v>
      </c>
      <c r="B862" t="s">
        <v>584</v>
      </c>
      <c r="C862" t="s">
        <v>494</v>
      </c>
      <c r="D862" t="str">
        <f t="shared" si="13"/>
        <v>SEE3951</v>
      </c>
      <c r="E862" t="s">
        <v>1671</v>
      </c>
    </row>
    <row r="863" spans="1:5" hidden="1" x14ac:dyDescent="0.25">
      <c r="A863">
        <v>1261</v>
      </c>
      <c r="B863" t="s">
        <v>584</v>
      </c>
      <c r="C863" t="s">
        <v>1701</v>
      </c>
      <c r="D863" t="str">
        <f t="shared" si="13"/>
        <v>SEE3952</v>
      </c>
      <c r="E863" t="s">
        <v>64</v>
      </c>
    </row>
    <row r="864" spans="1:5" hidden="1" x14ac:dyDescent="0.25">
      <c r="A864">
        <v>1261</v>
      </c>
      <c r="B864" t="s">
        <v>584</v>
      </c>
      <c r="C864" t="s">
        <v>495</v>
      </c>
      <c r="D864" t="str">
        <f t="shared" si="13"/>
        <v>SEE3953</v>
      </c>
      <c r="E864" t="s">
        <v>1645</v>
      </c>
    </row>
    <row r="865" spans="1:5" hidden="1" x14ac:dyDescent="0.25">
      <c r="A865">
        <v>1261</v>
      </c>
      <c r="B865" t="s">
        <v>584</v>
      </c>
      <c r="C865" t="s">
        <v>497</v>
      </c>
      <c r="D865" t="str">
        <f t="shared" si="13"/>
        <v>SEE3955</v>
      </c>
      <c r="E865" t="s">
        <v>1623</v>
      </c>
    </row>
    <row r="866" spans="1:5" hidden="1" x14ac:dyDescent="0.25">
      <c r="A866">
        <v>1261</v>
      </c>
      <c r="B866" t="s">
        <v>584</v>
      </c>
      <c r="C866" t="s">
        <v>498</v>
      </c>
      <c r="D866" t="str">
        <f t="shared" si="13"/>
        <v>SEE3956</v>
      </c>
      <c r="E866" t="s">
        <v>1623</v>
      </c>
    </row>
    <row r="867" spans="1:5" hidden="1" x14ac:dyDescent="0.25">
      <c r="A867">
        <v>1261</v>
      </c>
      <c r="B867" t="s">
        <v>584</v>
      </c>
      <c r="C867" t="s">
        <v>1656</v>
      </c>
      <c r="D867" t="str">
        <f t="shared" si="13"/>
        <v>SEE3959</v>
      </c>
      <c r="E867" t="s">
        <v>1623</v>
      </c>
    </row>
    <row r="868" spans="1:5" hidden="1" x14ac:dyDescent="0.25">
      <c r="A868">
        <v>1261</v>
      </c>
      <c r="B868" t="s">
        <v>584</v>
      </c>
      <c r="C868" t="s">
        <v>1657</v>
      </c>
      <c r="D868" t="str">
        <f t="shared" si="13"/>
        <v>SEE3961</v>
      </c>
      <c r="E868" t="s">
        <v>1630</v>
      </c>
    </row>
    <row r="869" spans="1:5" hidden="1" x14ac:dyDescent="0.25">
      <c r="A869">
        <v>1261</v>
      </c>
      <c r="B869" t="s">
        <v>584</v>
      </c>
      <c r="C869" t="s">
        <v>1696</v>
      </c>
      <c r="D869" t="str">
        <f t="shared" si="13"/>
        <v>SEE3962</v>
      </c>
      <c r="E869" t="s">
        <v>2103</v>
      </c>
    </row>
    <row r="870" spans="1:5" hidden="1" x14ac:dyDescent="0.25">
      <c r="A870">
        <v>1261</v>
      </c>
      <c r="B870" t="s">
        <v>584</v>
      </c>
      <c r="C870" t="s">
        <v>1718</v>
      </c>
      <c r="D870" t="str">
        <f t="shared" si="13"/>
        <v>SEE3964</v>
      </c>
      <c r="E870" t="s">
        <v>1623</v>
      </c>
    </row>
    <row r="871" spans="1:5" hidden="1" x14ac:dyDescent="0.25">
      <c r="A871">
        <v>1261</v>
      </c>
      <c r="B871" t="s">
        <v>584</v>
      </c>
      <c r="C871" t="s">
        <v>510</v>
      </c>
      <c r="D871" t="str">
        <f t="shared" si="13"/>
        <v>SEE3968</v>
      </c>
      <c r="E871" t="s">
        <v>1623</v>
      </c>
    </row>
    <row r="872" spans="1:5" hidden="1" x14ac:dyDescent="0.25">
      <c r="A872">
        <v>1261</v>
      </c>
      <c r="B872" t="s">
        <v>584</v>
      </c>
      <c r="C872" t="s">
        <v>1659</v>
      </c>
      <c r="D872" t="str">
        <f t="shared" si="13"/>
        <v>SEE3969</v>
      </c>
      <c r="E872" t="s">
        <v>1637</v>
      </c>
    </row>
    <row r="873" spans="1:5" hidden="1" x14ac:dyDescent="0.25">
      <c r="A873">
        <v>1261</v>
      </c>
      <c r="B873" t="s">
        <v>584</v>
      </c>
      <c r="C873" t="s">
        <v>1660</v>
      </c>
      <c r="D873" t="str">
        <f t="shared" si="13"/>
        <v>SEE3970</v>
      </c>
      <c r="E873" t="s">
        <v>1648</v>
      </c>
    </row>
    <row r="874" spans="1:5" hidden="1" x14ac:dyDescent="0.25">
      <c r="A874">
        <v>1261</v>
      </c>
      <c r="B874" t="s">
        <v>584</v>
      </c>
      <c r="C874" t="s">
        <v>512</v>
      </c>
      <c r="D874" t="str">
        <f t="shared" si="13"/>
        <v>SEE3971</v>
      </c>
      <c r="E874" t="s">
        <v>2103</v>
      </c>
    </row>
    <row r="875" spans="1:5" hidden="1" x14ac:dyDescent="0.25">
      <c r="A875">
        <v>1261</v>
      </c>
      <c r="B875" t="s">
        <v>584</v>
      </c>
      <c r="C875" t="s">
        <v>515</v>
      </c>
      <c r="D875" t="str">
        <f t="shared" si="13"/>
        <v>SEE3974</v>
      </c>
      <c r="E875" t="s">
        <v>1697</v>
      </c>
    </row>
    <row r="876" spans="1:5" hidden="1" x14ac:dyDescent="0.25">
      <c r="A876">
        <v>1261</v>
      </c>
      <c r="B876" t="s">
        <v>584</v>
      </c>
      <c r="C876" t="s">
        <v>519</v>
      </c>
      <c r="D876" t="str">
        <f t="shared" si="13"/>
        <v>SEE3978</v>
      </c>
      <c r="E876" t="s">
        <v>1630</v>
      </c>
    </row>
    <row r="877" spans="1:5" hidden="1" x14ac:dyDescent="0.25">
      <c r="A877">
        <v>1261</v>
      </c>
      <c r="B877" t="s">
        <v>584</v>
      </c>
      <c r="C877" t="s">
        <v>520</v>
      </c>
      <c r="D877" t="str">
        <f t="shared" si="13"/>
        <v>SEE3981</v>
      </c>
      <c r="E877" t="s">
        <v>1623</v>
      </c>
    </row>
    <row r="878" spans="1:5" hidden="1" x14ac:dyDescent="0.25">
      <c r="A878">
        <v>1261</v>
      </c>
      <c r="B878" t="s">
        <v>584</v>
      </c>
      <c r="C878" t="s">
        <v>1745</v>
      </c>
      <c r="D878" t="str">
        <f t="shared" si="13"/>
        <v>SEE3983</v>
      </c>
      <c r="E878" t="s">
        <v>1623</v>
      </c>
    </row>
    <row r="879" spans="1:5" hidden="1" x14ac:dyDescent="0.25">
      <c r="A879">
        <v>1261</v>
      </c>
      <c r="B879" t="s">
        <v>584</v>
      </c>
      <c r="C879" t="s">
        <v>1661</v>
      </c>
      <c r="D879" t="str">
        <f t="shared" si="13"/>
        <v>SEE3987</v>
      </c>
      <c r="E879" t="s">
        <v>1615</v>
      </c>
    </row>
    <row r="880" spans="1:5" hidden="1" x14ac:dyDescent="0.25">
      <c r="A880">
        <v>1261</v>
      </c>
      <c r="B880" t="s">
        <v>584</v>
      </c>
      <c r="C880" t="s">
        <v>1746</v>
      </c>
      <c r="D880" t="str">
        <f t="shared" si="13"/>
        <v>SEE3992</v>
      </c>
      <c r="E880" t="s">
        <v>1744</v>
      </c>
    </row>
    <row r="881" spans="1:5" hidden="1" x14ac:dyDescent="0.25">
      <c r="A881">
        <v>1261</v>
      </c>
      <c r="B881" t="s">
        <v>584</v>
      </c>
      <c r="C881" t="s">
        <v>1711</v>
      </c>
      <c r="D881" t="str">
        <f t="shared" si="13"/>
        <v>SEE3996</v>
      </c>
      <c r="E881" t="s">
        <v>1623</v>
      </c>
    </row>
    <row r="882" spans="1:5" hidden="1" x14ac:dyDescent="0.25">
      <c r="A882">
        <v>1261</v>
      </c>
      <c r="B882" t="s">
        <v>584</v>
      </c>
      <c r="C882" t="s">
        <v>1663</v>
      </c>
      <c r="D882" t="str">
        <f t="shared" si="13"/>
        <v>SEE3999</v>
      </c>
      <c r="E882" t="s">
        <v>1623</v>
      </c>
    </row>
    <row r="883" spans="1:5" hidden="1" x14ac:dyDescent="0.25">
      <c r="A883">
        <v>1261</v>
      </c>
      <c r="B883" t="s">
        <v>584</v>
      </c>
      <c r="C883" t="s">
        <v>1664</v>
      </c>
      <c r="D883" t="str">
        <f t="shared" si="13"/>
        <v>SEE4002</v>
      </c>
      <c r="E883" t="s">
        <v>1648</v>
      </c>
    </row>
    <row r="884" spans="1:5" hidden="1" x14ac:dyDescent="0.25">
      <c r="A884">
        <v>1261</v>
      </c>
      <c r="B884" t="s">
        <v>584</v>
      </c>
      <c r="C884" t="s">
        <v>1665</v>
      </c>
      <c r="D884" t="str">
        <f t="shared" si="13"/>
        <v>SEE4003</v>
      </c>
      <c r="E884" t="s">
        <v>93</v>
      </c>
    </row>
    <row r="885" spans="1:5" hidden="1" x14ac:dyDescent="0.25">
      <c r="A885">
        <v>1261</v>
      </c>
      <c r="B885" t="s">
        <v>584</v>
      </c>
      <c r="C885" t="s">
        <v>1666</v>
      </c>
      <c r="D885" t="str">
        <f t="shared" si="13"/>
        <v>SEE4004</v>
      </c>
      <c r="E885" t="s">
        <v>1648</v>
      </c>
    </row>
    <row r="886" spans="1:5" hidden="1" x14ac:dyDescent="0.25">
      <c r="A886">
        <v>1261</v>
      </c>
      <c r="B886" t="s">
        <v>584</v>
      </c>
      <c r="C886" t="s">
        <v>1667</v>
      </c>
      <c r="D886" t="str">
        <f t="shared" si="13"/>
        <v>SEE4005</v>
      </c>
      <c r="E886" t="s">
        <v>1648</v>
      </c>
    </row>
    <row r="887" spans="1:5" hidden="1" x14ac:dyDescent="0.25">
      <c r="A887">
        <v>1261</v>
      </c>
      <c r="B887" t="s">
        <v>584</v>
      </c>
      <c r="C887" t="s">
        <v>1698</v>
      </c>
      <c r="D887" t="str">
        <f t="shared" si="13"/>
        <v>SEE4006</v>
      </c>
      <c r="E887" t="s">
        <v>1675</v>
      </c>
    </row>
    <row r="888" spans="1:5" hidden="1" x14ac:dyDescent="0.25">
      <c r="A888">
        <v>1261</v>
      </c>
      <c r="B888" t="s">
        <v>584</v>
      </c>
      <c r="C888" t="s">
        <v>1699</v>
      </c>
      <c r="D888" t="str">
        <f t="shared" si="13"/>
        <v>SEE4007</v>
      </c>
      <c r="E888" t="s">
        <v>93</v>
      </c>
    </row>
    <row r="889" spans="1:5" hidden="1" x14ac:dyDescent="0.25">
      <c r="A889">
        <v>1261</v>
      </c>
      <c r="B889" t="s">
        <v>584</v>
      </c>
      <c r="C889" t="s">
        <v>1719</v>
      </c>
      <c r="D889" t="str">
        <f t="shared" si="13"/>
        <v>SEE4101</v>
      </c>
      <c r="E889" t="s">
        <v>1623</v>
      </c>
    </row>
    <row r="890" spans="1:5" hidden="1" x14ac:dyDescent="0.25">
      <c r="A890">
        <v>1261</v>
      </c>
      <c r="B890" t="s">
        <v>584</v>
      </c>
      <c r="C890" t="s">
        <v>1747</v>
      </c>
      <c r="D890" t="str">
        <f t="shared" si="13"/>
        <v>SEE4106</v>
      </c>
      <c r="E890" t="s">
        <v>1748</v>
      </c>
    </row>
    <row r="891" spans="1:5" hidden="1" x14ac:dyDescent="0.25">
      <c r="A891">
        <v>1261</v>
      </c>
      <c r="B891" t="s">
        <v>584</v>
      </c>
      <c r="C891" t="s">
        <v>1749</v>
      </c>
      <c r="D891" t="str">
        <f t="shared" si="13"/>
        <v>SEE4201</v>
      </c>
      <c r="E891" t="s">
        <v>1728</v>
      </c>
    </row>
    <row r="892" spans="1:5" hidden="1" x14ac:dyDescent="0.25">
      <c r="A892">
        <v>1261</v>
      </c>
      <c r="B892" t="s">
        <v>584</v>
      </c>
      <c r="C892" t="s">
        <v>1750</v>
      </c>
      <c r="D892" t="str">
        <f t="shared" si="13"/>
        <v>SEE4301</v>
      </c>
      <c r="E892" t="s">
        <v>1751</v>
      </c>
    </row>
    <row r="893" spans="1:5" hidden="1" x14ac:dyDescent="0.25">
      <c r="A893">
        <v>1261</v>
      </c>
      <c r="B893" t="s">
        <v>584</v>
      </c>
      <c r="C893" t="s">
        <v>1668</v>
      </c>
      <c r="D893" t="str">
        <f t="shared" si="13"/>
        <v>SEE4701</v>
      </c>
      <c r="E893" t="s">
        <v>1669</v>
      </c>
    </row>
    <row r="894" spans="1:5" hidden="1" x14ac:dyDescent="0.25">
      <c r="A894">
        <v>1261</v>
      </c>
      <c r="B894" t="s">
        <v>584</v>
      </c>
      <c r="C894" t="s">
        <v>238</v>
      </c>
      <c r="D894" t="str">
        <f t="shared" si="13"/>
        <v>SEE4702</v>
      </c>
      <c r="E894" t="s">
        <v>1669</v>
      </c>
    </row>
    <row r="895" spans="1:5" hidden="1" x14ac:dyDescent="0.25">
      <c r="A895">
        <v>1261</v>
      </c>
      <c r="B895" t="s">
        <v>584</v>
      </c>
      <c r="C895" t="s">
        <v>264</v>
      </c>
      <c r="D895" t="str">
        <f t="shared" si="13"/>
        <v>SEE4703</v>
      </c>
      <c r="E895" t="s">
        <v>1669</v>
      </c>
    </row>
    <row r="896" spans="1:5" hidden="1" x14ac:dyDescent="0.25">
      <c r="A896">
        <v>1261</v>
      </c>
      <c r="B896" t="s">
        <v>584</v>
      </c>
      <c r="C896" t="s">
        <v>315</v>
      </c>
      <c r="D896" t="str">
        <f t="shared" si="13"/>
        <v>SEE4706</v>
      </c>
      <c r="E896" t="s">
        <v>1669</v>
      </c>
    </row>
    <row r="897" spans="1:5" hidden="1" x14ac:dyDescent="0.25">
      <c r="A897">
        <v>1261</v>
      </c>
      <c r="B897" t="s">
        <v>584</v>
      </c>
      <c r="C897" t="s">
        <v>327</v>
      </c>
      <c r="D897" t="str">
        <f t="shared" si="13"/>
        <v>SEE4707</v>
      </c>
      <c r="E897" t="s">
        <v>1669</v>
      </c>
    </row>
    <row r="898" spans="1:5" hidden="1" x14ac:dyDescent="0.25">
      <c r="A898">
        <v>1261</v>
      </c>
      <c r="B898" t="s">
        <v>584</v>
      </c>
      <c r="C898" t="s">
        <v>347</v>
      </c>
      <c r="D898" t="str">
        <f t="shared" ref="D898:D961" si="14">CONCATENATE(B898,LEFT(C898,4))</f>
        <v>SEE4709</v>
      </c>
      <c r="E898" t="s">
        <v>1669</v>
      </c>
    </row>
    <row r="899" spans="1:5" hidden="1" x14ac:dyDescent="0.25">
      <c r="A899">
        <v>1261</v>
      </c>
      <c r="B899" t="s">
        <v>584</v>
      </c>
      <c r="C899" t="s">
        <v>356</v>
      </c>
      <c r="D899" t="str">
        <f t="shared" si="14"/>
        <v>SEE4710</v>
      </c>
      <c r="E899" t="s">
        <v>1669</v>
      </c>
    </row>
    <row r="900" spans="1:5" hidden="1" x14ac:dyDescent="0.25">
      <c r="A900">
        <v>1261</v>
      </c>
      <c r="B900" t="s">
        <v>584</v>
      </c>
      <c r="C900" t="s">
        <v>363</v>
      </c>
      <c r="D900" t="str">
        <f t="shared" si="14"/>
        <v>SEE4799</v>
      </c>
      <c r="E900" t="s">
        <v>1669</v>
      </c>
    </row>
    <row r="901" spans="1:5" hidden="1" x14ac:dyDescent="0.25">
      <c r="A901">
        <v>1261</v>
      </c>
      <c r="B901" t="s">
        <v>584</v>
      </c>
      <c r="C901" t="s">
        <v>239</v>
      </c>
      <c r="D901" t="str">
        <f t="shared" si="14"/>
        <v>SEE4801</v>
      </c>
      <c r="E901" t="s">
        <v>1623</v>
      </c>
    </row>
    <row r="902" spans="1:5" hidden="1" x14ac:dyDescent="0.25">
      <c r="A902">
        <v>1261</v>
      </c>
      <c r="B902" t="s">
        <v>584</v>
      </c>
      <c r="C902" t="s">
        <v>265</v>
      </c>
      <c r="D902" t="str">
        <f t="shared" si="14"/>
        <v>SEE4802</v>
      </c>
      <c r="E902" t="s">
        <v>1736</v>
      </c>
    </row>
    <row r="903" spans="1:5" hidden="1" x14ac:dyDescent="0.25">
      <c r="A903">
        <v>1261</v>
      </c>
      <c r="B903" t="s">
        <v>584</v>
      </c>
      <c r="C903" t="s">
        <v>285</v>
      </c>
      <c r="D903" t="str">
        <f t="shared" si="14"/>
        <v>SEE4803</v>
      </c>
      <c r="E903" t="s">
        <v>1645</v>
      </c>
    </row>
    <row r="904" spans="1:5" hidden="1" x14ac:dyDescent="0.25">
      <c r="A904">
        <v>1261</v>
      </c>
      <c r="B904" t="s">
        <v>584</v>
      </c>
      <c r="C904" t="s">
        <v>1752</v>
      </c>
      <c r="D904" t="str">
        <f t="shared" si="14"/>
        <v>SEE4904</v>
      </c>
      <c r="E904" t="s">
        <v>1596</v>
      </c>
    </row>
    <row r="905" spans="1:5" hidden="1" x14ac:dyDescent="0.25">
      <c r="A905">
        <v>1261</v>
      </c>
      <c r="B905" t="s">
        <v>584</v>
      </c>
      <c r="C905" t="s">
        <v>1670</v>
      </c>
      <c r="D905" t="str">
        <f t="shared" si="14"/>
        <v>SEE5101</v>
      </c>
      <c r="E905" t="s">
        <v>1671</v>
      </c>
    </row>
    <row r="906" spans="1:5" hidden="1" x14ac:dyDescent="0.25">
      <c r="A906">
        <v>1261</v>
      </c>
      <c r="B906" t="s">
        <v>584</v>
      </c>
      <c r="C906" t="s">
        <v>1672</v>
      </c>
      <c r="D906" t="str">
        <f t="shared" si="14"/>
        <v>SEE5103</v>
      </c>
      <c r="E906" t="s">
        <v>1671</v>
      </c>
    </row>
    <row r="907" spans="1:5" hidden="1" x14ac:dyDescent="0.25">
      <c r="A907">
        <v>1261</v>
      </c>
      <c r="B907" t="s">
        <v>584</v>
      </c>
      <c r="C907" t="s">
        <v>316</v>
      </c>
      <c r="D907" t="str">
        <f t="shared" si="14"/>
        <v>SEE5106</v>
      </c>
      <c r="E907" t="s">
        <v>1671</v>
      </c>
    </row>
    <row r="908" spans="1:5" hidden="1" x14ac:dyDescent="0.25">
      <c r="A908">
        <v>1261</v>
      </c>
      <c r="B908" t="s">
        <v>584</v>
      </c>
      <c r="C908" t="s">
        <v>172</v>
      </c>
      <c r="D908" t="str">
        <f t="shared" si="14"/>
        <v>SEE5107</v>
      </c>
      <c r="E908" t="s">
        <v>1671</v>
      </c>
    </row>
    <row r="909" spans="1:5" hidden="1" x14ac:dyDescent="0.25">
      <c r="A909">
        <v>1261</v>
      </c>
      <c r="B909" t="s">
        <v>584</v>
      </c>
      <c r="C909" t="s">
        <v>371</v>
      </c>
      <c r="D909" t="str">
        <f t="shared" si="14"/>
        <v>SEE5113</v>
      </c>
      <c r="E909" t="s">
        <v>1671</v>
      </c>
    </row>
    <row r="910" spans="1:5" hidden="1" x14ac:dyDescent="0.25">
      <c r="A910">
        <v>1261</v>
      </c>
      <c r="B910" t="s">
        <v>584</v>
      </c>
      <c r="C910" t="s">
        <v>241</v>
      </c>
      <c r="D910" t="str">
        <f t="shared" si="14"/>
        <v>SEE5201</v>
      </c>
      <c r="E910" t="s">
        <v>1621</v>
      </c>
    </row>
    <row r="911" spans="1:5" hidden="1" x14ac:dyDescent="0.25">
      <c r="A911">
        <v>1261</v>
      </c>
      <c r="B911" t="s">
        <v>584</v>
      </c>
      <c r="C911" t="s">
        <v>287</v>
      </c>
      <c r="D911" t="str">
        <f t="shared" si="14"/>
        <v>SEE5203</v>
      </c>
      <c r="E911" t="s">
        <v>1674</v>
      </c>
    </row>
    <row r="912" spans="1:5" hidden="1" x14ac:dyDescent="0.25">
      <c r="A912">
        <v>1261</v>
      </c>
      <c r="B912" t="s">
        <v>584</v>
      </c>
      <c r="C912" t="s">
        <v>1673</v>
      </c>
      <c r="D912" t="str">
        <f t="shared" si="14"/>
        <v>SEE5204</v>
      </c>
      <c r="E912" t="s">
        <v>1674</v>
      </c>
    </row>
    <row r="913" spans="1:5" hidden="1" x14ac:dyDescent="0.25">
      <c r="A913">
        <v>1261</v>
      </c>
      <c r="B913" t="s">
        <v>584</v>
      </c>
      <c r="C913" t="s">
        <v>328</v>
      </c>
      <c r="D913" t="str">
        <f t="shared" si="14"/>
        <v>SEE5206</v>
      </c>
      <c r="E913" t="s">
        <v>1675</v>
      </c>
    </row>
    <row r="914" spans="1:5" hidden="1" x14ac:dyDescent="0.25">
      <c r="A914">
        <v>1261</v>
      </c>
      <c r="B914" t="s">
        <v>584</v>
      </c>
      <c r="C914" t="s">
        <v>1676</v>
      </c>
      <c r="D914" t="str">
        <f t="shared" si="14"/>
        <v>SEE5207</v>
      </c>
      <c r="E914" t="s">
        <v>1675</v>
      </c>
    </row>
    <row r="915" spans="1:5" hidden="1" x14ac:dyDescent="0.25">
      <c r="A915">
        <v>1261</v>
      </c>
      <c r="B915" t="s">
        <v>584</v>
      </c>
      <c r="C915" t="s">
        <v>1677</v>
      </c>
      <c r="D915" t="str">
        <f t="shared" si="14"/>
        <v>SEE5208</v>
      </c>
      <c r="E915" t="s">
        <v>1675</v>
      </c>
    </row>
    <row r="916" spans="1:5" hidden="1" x14ac:dyDescent="0.25">
      <c r="A916">
        <v>1261</v>
      </c>
      <c r="B916" t="s">
        <v>584</v>
      </c>
      <c r="C916" t="s">
        <v>358</v>
      </c>
      <c r="D916" t="str">
        <f t="shared" si="14"/>
        <v>SEE5209</v>
      </c>
      <c r="E916" t="s">
        <v>1674</v>
      </c>
    </row>
    <row r="917" spans="1:5" hidden="1" x14ac:dyDescent="0.25">
      <c r="A917">
        <v>1261</v>
      </c>
      <c r="B917" t="s">
        <v>584</v>
      </c>
      <c r="C917" t="s">
        <v>1678</v>
      </c>
      <c r="D917" t="str">
        <f t="shared" si="14"/>
        <v>SEE5210</v>
      </c>
      <c r="E917" t="s">
        <v>1674</v>
      </c>
    </row>
    <row r="918" spans="1:5" hidden="1" x14ac:dyDescent="0.25">
      <c r="A918">
        <v>1261</v>
      </c>
      <c r="B918" t="s">
        <v>584</v>
      </c>
      <c r="C918" t="s">
        <v>1713</v>
      </c>
      <c r="D918" t="str">
        <f t="shared" si="14"/>
        <v>SEE5211</v>
      </c>
      <c r="E918" t="s">
        <v>1606</v>
      </c>
    </row>
    <row r="919" spans="1:5" hidden="1" x14ac:dyDescent="0.25">
      <c r="A919">
        <v>1261</v>
      </c>
      <c r="B919" t="s">
        <v>584</v>
      </c>
      <c r="C919" t="s">
        <v>1679</v>
      </c>
      <c r="D919" t="str">
        <f t="shared" si="14"/>
        <v>SEE5212</v>
      </c>
      <c r="E919" t="s">
        <v>1674</v>
      </c>
    </row>
    <row r="920" spans="1:5" hidden="1" x14ac:dyDescent="0.25">
      <c r="A920">
        <v>1261</v>
      </c>
      <c r="B920" t="s">
        <v>584</v>
      </c>
      <c r="C920" t="s">
        <v>384</v>
      </c>
      <c r="D920" t="str">
        <f t="shared" si="14"/>
        <v>SEE5213</v>
      </c>
      <c r="E920" t="s">
        <v>1674</v>
      </c>
    </row>
    <row r="921" spans="1:5" hidden="1" x14ac:dyDescent="0.25">
      <c r="A921">
        <v>1261</v>
      </c>
      <c r="B921" t="s">
        <v>584</v>
      </c>
      <c r="C921" t="s">
        <v>390</v>
      </c>
      <c r="D921" t="str">
        <f t="shared" si="14"/>
        <v>SEE5214</v>
      </c>
      <c r="E921" t="s">
        <v>1674</v>
      </c>
    </row>
    <row r="922" spans="1:5" hidden="1" x14ac:dyDescent="0.25">
      <c r="A922">
        <v>1261</v>
      </c>
      <c r="B922" t="s">
        <v>584</v>
      </c>
      <c r="C922" t="s">
        <v>408</v>
      </c>
      <c r="D922" t="str">
        <f t="shared" si="14"/>
        <v>SEE5217</v>
      </c>
      <c r="E922" t="s">
        <v>1674</v>
      </c>
    </row>
    <row r="923" spans="1:5" hidden="1" x14ac:dyDescent="0.25">
      <c r="A923">
        <v>1261</v>
      </c>
      <c r="B923" t="s">
        <v>584</v>
      </c>
      <c r="C923" t="s">
        <v>1753</v>
      </c>
      <c r="D923" t="str">
        <f t="shared" si="14"/>
        <v>SEE5218</v>
      </c>
      <c r="E923" t="s">
        <v>1674</v>
      </c>
    </row>
    <row r="924" spans="1:5" hidden="1" x14ac:dyDescent="0.25">
      <c r="A924">
        <v>1261</v>
      </c>
      <c r="B924" t="s">
        <v>584</v>
      </c>
      <c r="C924" t="s">
        <v>418</v>
      </c>
      <c r="D924" t="str">
        <f t="shared" si="14"/>
        <v>SEE5219</v>
      </c>
      <c r="E924" t="s">
        <v>1674</v>
      </c>
    </row>
    <row r="925" spans="1:5" hidden="1" x14ac:dyDescent="0.25">
      <c r="A925">
        <v>1261</v>
      </c>
      <c r="B925" t="s">
        <v>584</v>
      </c>
      <c r="C925" t="s">
        <v>1681</v>
      </c>
      <c r="D925" t="str">
        <f t="shared" si="14"/>
        <v>SEE5220</v>
      </c>
      <c r="E925" t="s">
        <v>1675</v>
      </c>
    </row>
    <row r="926" spans="1:5" hidden="1" x14ac:dyDescent="0.25">
      <c r="A926">
        <v>1261</v>
      </c>
      <c r="B926" t="s">
        <v>584</v>
      </c>
      <c r="C926" t="s">
        <v>428</v>
      </c>
      <c r="D926" t="str">
        <f t="shared" si="14"/>
        <v>SEE5221</v>
      </c>
      <c r="E926" t="s">
        <v>1674</v>
      </c>
    </row>
    <row r="927" spans="1:5" hidden="1" x14ac:dyDescent="0.25">
      <c r="A927">
        <v>1261</v>
      </c>
      <c r="B927" t="s">
        <v>584</v>
      </c>
      <c r="C927" t="s">
        <v>433</v>
      </c>
      <c r="D927" t="str">
        <f t="shared" si="14"/>
        <v>SEE5222</v>
      </c>
      <c r="E927" t="s">
        <v>1674</v>
      </c>
    </row>
    <row r="928" spans="1:5" hidden="1" x14ac:dyDescent="0.25">
      <c r="A928">
        <v>1261</v>
      </c>
      <c r="B928" t="s">
        <v>584</v>
      </c>
      <c r="C928" t="s">
        <v>448</v>
      </c>
      <c r="D928" t="str">
        <f t="shared" si="14"/>
        <v>SEE5225</v>
      </c>
      <c r="E928" t="s">
        <v>1674</v>
      </c>
    </row>
    <row r="929" spans="1:5" hidden="1" x14ac:dyDescent="0.25">
      <c r="A929">
        <v>1261</v>
      </c>
      <c r="B929" t="s">
        <v>584</v>
      </c>
      <c r="C929" t="s">
        <v>1682</v>
      </c>
      <c r="D929" t="str">
        <f t="shared" si="14"/>
        <v>SEE5226</v>
      </c>
      <c r="E929" t="s">
        <v>1674</v>
      </c>
    </row>
    <row r="930" spans="1:5" hidden="1" x14ac:dyDescent="0.25">
      <c r="A930">
        <v>1261</v>
      </c>
      <c r="B930" t="s">
        <v>584</v>
      </c>
      <c r="C930" t="s">
        <v>1683</v>
      </c>
      <c r="D930" t="str">
        <f t="shared" si="14"/>
        <v>SEE5227</v>
      </c>
      <c r="E930" t="s">
        <v>1674</v>
      </c>
    </row>
    <row r="931" spans="1:5" hidden="1" x14ac:dyDescent="0.25">
      <c r="A931">
        <v>1261</v>
      </c>
      <c r="B931" t="s">
        <v>584</v>
      </c>
      <c r="C931" t="s">
        <v>1700</v>
      </c>
      <c r="D931" t="str">
        <f t="shared" si="14"/>
        <v>SEE5230</v>
      </c>
      <c r="E931" t="s">
        <v>1674</v>
      </c>
    </row>
    <row r="932" spans="1:5" hidden="1" x14ac:dyDescent="0.25">
      <c r="A932">
        <v>1261</v>
      </c>
      <c r="B932" t="s">
        <v>584</v>
      </c>
      <c r="C932" t="s">
        <v>458</v>
      </c>
      <c r="D932" t="str">
        <f t="shared" si="14"/>
        <v>SEE5299</v>
      </c>
      <c r="E932" t="s">
        <v>1674</v>
      </c>
    </row>
    <row r="933" spans="1:5" hidden="1" x14ac:dyDescent="0.25">
      <c r="A933">
        <v>1261</v>
      </c>
      <c r="B933" t="s">
        <v>584</v>
      </c>
      <c r="C933" t="s">
        <v>242</v>
      </c>
      <c r="D933" t="str">
        <f t="shared" si="14"/>
        <v>SEE6101</v>
      </c>
      <c r="E933" t="s">
        <v>1754</v>
      </c>
    </row>
    <row r="934" spans="1:5" hidden="1" x14ac:dyDescent="0.25">
      <c r="A934">
        <v>1261</v>
      </c>
      <c r="B934" t="s">
        <v>584</v>
      </c>
      <c r="C934" t="s">
        <v>1755</v>
      </c>
      <c r="D934" t="str">
        <f t="shared" si="14"/>
        <v>SEE6102</v>
      </c>
      <c r="E934" t="s">
        <v>1754</v>
      </c>
    </row>
    <row r="935" spans="1:5" hidden="1" x14ac:dyDescent="0.25">
      <c r="A935">
        <v>1261</v>
      </c>
      <c r="B935" t="s">
        <v>584</v>
      </c>
      <c r="C935" t="s">
        <v>304</v>
      </c>
      <c r="D935" t="str">
        <f t="shared" si="14"/>
        <v>SEE6104</v>
      </c>
      <c r="E935" t="s">
        <v>1754</v>
      </c>
    </row>
    <row r="936" spans="1:5" hidden="1" x14ac:dyDescent="0.25">
      <c r="A936">
        <v>1261</v>
      </c>
      <c r="B936" t="s">
        <v>584</v>
      </c>
      <c r="C936" t="s">
        <v>1723</v>
      </c>
      <c r="D936" t="str">
        <f t="shared" si="14"/>
        <v>SEE9108</v>
      </c>
      <c r="E936" t="s">
        <v>1724</v>
      </c>
    </row>
    <row r="937" spans="1:5" hidden="1" x14ac:dyDescent="0.25">
      <c r="A937">
        <v>1261</v>
      </c>
      <c r="B937" t="s">
        <v>584</v>
      </c>
      <c r="C937" t="s">
        <v>1684</v>
      </c>
      <c r="D937" t="str">
        <f t="shared" si="14"/>
        <v>SEE9202</v>
      </c>
      <c r="E937" t="s">
        <v>1685</v>
      </c>
    </row>
    <row r="938" spans="1:5" hidden="1" x14ac:dyDescent="0.25">
      <c r="A938">
        <v>1261</v>
      </c>
      <c r="B938" t="s">
        <v>584</v>
      </c>
      <c r="C938" t="s">
        <v>249</v>
      </c>
      <c r="D938" t="str">
        <f t="shared" si="14"/>
        <v>SEE9301</v>
      </c>
      <c r="E938" t="s">
        <v>1623</v>
      </c>
    </row>
    <row r="939" spans="1:5" hidden="1" x14ac:dyDescent="0.25">
      <c r="A939">
        <v>1261</v>
      </c>
      <c r="B939" t="s">
        <v>584</v>
      </c>
      <c r="C939" t="s">
        <v>319</v>
      </c>
      <c r="D939" t="str">
        <f t="shared" si="14"/>
        <v>SEE9305</v>
      </c>
      <c r="E939" t="s">
        <v>1623</v>
      </c>
    </row>
    <row r="940" spans="1:5" hidden="1" x14ac:dyDescent="0.25">
      <c r="A940">
        <v>1261</v>
      </c>
      <c r="B940" t="s">
        <v>584</v>
      </c>
      <c r="C940" t="s">
        <v>330</v>
      </c>
      <c r="D940" t="str">
        <f t="shared" si="14"/>
        <v>SEE9306</v>
      </c>
      <c r="E940" t="s">
        <v>1686</v>
      </c>
    </row>
    <row r="941" spans="1:5" hidden="1" x14ac:dyDescent="0.25">
      <c r="A941">
        <v>1261</v>
      </c>
      <c r="B941" t="s">
        <v>584</v>
      </c>
      <c r="C941" t="s">
        <v>359</v>
      </c>
      <c r="D941" t="str">
        <f t="shared" si="14"/>
        <v>SEE9309</v>
      </c>
      <c r="E941" t="s">
        <v>1623</v>
      </c>
    </row>
    <row r="942" spans="1:5" hidden="1" x14ac:dyDescent="0.25">
      <c r="A942">
        <v>1261</v>
      </c>
      <c r="B942" t="s">
        <v>584</v>
      </c>
      <c r="C942" t="s">
        <v>366</v>
      </c>
      <c r="D942" t="str">
        <f t="shared" si="14"/>
        <v>SEE9310</v>
      </c>
      <c r="E942" t="s">
        <v>1623</v>
      </c>
    </row>
    <row r="943" spans="1:5" hidden="1" x14ac:dyDescent="0.25">
      <c r="A943">
        <v>1261</v>
      </c>
      <c r="B943" t="s">
        <v>584</v>
      </c>
      <c r="C943" t="s">
        <v>379</v>
      </c>
      <c r="D943" t="str">
        <f t="shared" si="14"/>
        <v>SEE9312</v>
      </c>
      <c r="E943" t="s">
        <v>1623</v>
      </c>
    </row>
    <row r="944" spans="1:5" hidden="1" x14ac:dyDescent="0.25">
      <c r="A944">
        <v>1261</v>
      </c>
      <c r="B944" t="s">
        <v>584</v>
      </c>
      <c r="C944" t="s">
        <v>385</v>
      </c>
      <c r="D944" t="str">
        <f t="shared" si="14"/>
        <v>SEE9313</v>
      </c>
      <c r="E944" t="s">
        <v>1606</v>
      </c>
    </row>
    <row r="945" spans="1:5" hidden="1" x14ac:dyDescent="0.25">
      <c r="A945">
        <v>1261</v>
      </c>
      <c r="B945" t="s">
        <v>584</v>
      </c>
      <c r="C945" t="s">
        <v>439</v>
      </c>
      <c r="D945" t="str">
        <f t="shared" si="14"/>
        <v>SEE9326</v>
      </c>
      <c r="E945" t="s">
        <v>1623</v>
      </c>
    </row>
    <row r="946" spans="1:5" hidden="1" x14ac:dyDescent="0.25">
      <c r="A946">
        <v>1261</v>
      </c>
      <c r="B946" t="s">
        <v>584</v>
      </c>
      <c r="C946" t="s">
        <v>1687</v>
      </c>
      <c r="D946" t="str">
        <f t="shared" si="14"/>
        <v>SEE9399</v>
      </c>
      <c r="E946" t="s">
        <v>1623</v>
      </c>
    </row>
    <row r="947" spans="1:5" hidden="1" x14ac:dyDescent="0.25">
      <c r="A947">
        <v>1271</v>
      </c>
      <c r="B947" t="s">
        <v>581</v>
      </c>
      <c r="C947" t="s">
        <v>331</v>
      </c>
      <c r="D947" t="str">
        <f t="shared" si="14"/>
        <v>SECULT1314</v>
      </c>
      <c r="E947" t="s">
        <v>1689</v>
      </c>
    </row>
    <row r="948" spans="1:5" hidden="1" x14ac:dyDescent="0.25">
      <c r="A948">
        <v>1271</v>
      </c>
      <c r="B948" t="s">
        <v>581</v>
      </c>
      <c r="C948" t="s">
        <v>1688</v>
      </c>
      <c r="D948" t="str">
        <f t="shared" si="14"/>
        <v>SECULT1317</v>
      </c>
      <c r="E948" t="s">
        <v>1689</v>
      </c>
    </row>
    <row r="949" spans="1:5" hidden="1" x14ac:dyDescent="0.25">
      <c r="A949">
        <v>1271</v>
      </c>
      <c r="B949" t="s">
        <v>581</v>
      </c>
      <c r="C949" t="s">
        <v>1597</v>
      </c>
      <c r="D949" t="str">
        <f t="shared" si="14"/>
        <v>SECULT1401</v>
      </c>
      <c r="E949" t="s">
        <v>43</v>
      </c>
    </row>
    <row r="950" spans="1:5" hidden="1" x14ac:dyDescent="0.25">
      <c r="A950">
        <v>1271</v>
      </c>
      <c r="B950" t="s">
        <v>581</v>
      </c>
      <c r="C950" t="s">
        <v>1599</v>
      </c>
      <c r="D950" t="str">
        <f t="shared" si="14"/>
        <v>SECULT3001</v>
      </c>
      <c r="E950" t="s">
        <v>1600</v>
      </c>
    </row>
    <row r="951" spans="1:5" hidden="1" x14ac:dyDescent="0.25">
      <c r="A951">
        <v>1271</v>
      </c>
      <c r="B951" t="s">
        <v>581</v>
      </c>
      <c r="C951" t="s">
        <v>1601</v>
      </c>
      <c r="D951" t="str">
        <f t="shared" si="14"/>
        <v>SECULT3003</v>
      </c>
      <c r="E951" t="s">
        <v>1600</v>
      </c>
    </row>
    <row r="952" spans="1:5" hidden="1" x14ac:dyDescent="0.25">
      <c r="A952">
        <v>1271</v>
      </c>
      <c r="B952" t="s">
        <v>581</v>
      </c>
      <c r="C952" t="s">
        <v>1602</v>
      </c>
      <c r="D952" t="str">
        <f t="shared" si="14"/>
        <v>SECULT3004</v>
      </c>
      <c r="E952" t="s">
        <v>1600</v>
      </c>
    </row>
    <row r="953" spans="1:5" hidden="1" x14ac:dyDescent="0.25">
      <c r="A953">
        <v>1271</v>
      </c>
      <c r="B953" t="s">
        <v>581</v>
      </c>
      <c r="C953" t="s">
        <v>1603</v>
      </c>
      <c r="D953" t="str">
        <f t="shared" si="14"/>
        <v>SECULT3005</v>
      </c>
      <c r="E953" t="s">
        <v>1600</v>
      </c>
    </row>
    <row r="954" spans="1:5" hidden="1" x14ac:dyDescent="0.25">
      <c r="A954">
        <v>1271</v>
      </c>
      <c r="B954" t="s">
        <v>581</v>
      </c>
      <c r="C954" t="s">
        <v>322</v>
      </c>
      <c r="D954" t="str">
        <f t="shared" si="14"/>
        <v>SECULT3006</v>
      </c>
      <c r="E954" t="s">
        <v>1600</v>
      </c>
    </row>
    <row r="955" spans="1:5" hidden="1" x14ac:dyDescent="0.25">
      <c r="A955">
        <v>1271</v>
      </c>
      <c r="B955" t="s">
        <v>581</v>
      </c>
      <c r="C955" t="s">
        <v>1604</v>
      </c>
      <c r="D955" t="str">
        <f t="shared" si="14"/>
        <v>SECULT3008</v>
      </c>
      <c r="E955" t="s">
        <v>1600</v>
      </c>
    </row>
    <row r="956" spans="1:5" hidden="1" x14ac:dyDescent="0.25">
      <c r="A956">
        <v>1271</v>
      </c>
      <c r="B956" t="s">
        <v>581</v>
      </c>
      <c r="C956" t="s">
        <v>1605</v>
      </c>
      <c r="D956" t="str">
        <f t="shared" si="14"/>
        <v>SECULT3010</v>
      </c>
      <c r="E956" t="s">
        <v>1606</v>
      </c>
    </row>
    <row r="957" spans="1:5" hidden="1" x14ac:dyDescent="0.25">
      <c r="A957">
        <v>1271</v>
      </c>
      <c r="B957" t="s">
        <v>581</v>
      </c>
      <c r="C957" t="s">
        <v>368</v>
      </c>
      <c r="D957" t="str">
        <f t="shared" si="14"/>
        <v>SECULT3011</v>
      </c>
      <c r="E957" t="s">
        <v>1600</v>
      </c>
    </row>
    <row r="958" spans="1:5" hidden="1" x14ac:dyDescent="0.25">
      <c r="A958">
        <v>1271</v>
      </c>
      <c r="B958" t="s">
        <v>581</v>
      </c>
      <c r="C958" t="s">
        <v>1607</v>
      </c>
      <c r="D958" t="str">
        <f t="shared" si="14"/>
        <v>SECULT3013</v>
      </c>
      <c r="E958" t="s">
        <v>1600</v>
      </c>
    </row>
    <row r="959" spans="1:5" hidden="1" x14ac:dyDescent="0.25">
      <c r="A959">
        <v>1271</v>
      </c>
      <c r="B959" t="s">
        <v>581</v>
      </c>
      <c r="C959" t="s">
        <v>1608</v>
      </c>
      <c r="D959" t="str">
        <f t="shared" si="14"/>
        <v>SECULT3015</v>
      </c>
      <c r="E959" t="s">
        <v>1600</v>
      </c>
    </row>
    <row r="960" spans="1:5" hidden="1" x14ac:dyDescent="0.25">
      <c r="A960">
        <v>1271</v>
      </c>
      <c r="B960" t="s">
        <v>581</v>
      </c>
      <c r="C960" t="s">
        <v>1609</v>
      </c>
      <c r="D960" t="str">
        <f t="shared" si="14"/>
        <v>SECULT3016</v>
      </c>
      <c r="E960" t="s">
        <v>1600</v>
      </c>
    </row>
    <row r="961" spans="1:5" hidden="1" x14ac:dyDescent="0.25">
      <c r="A961">
        <v>1271</v>
      </c>
      <c r="B961" t="s">
        <v>581</v>
      </c>
      <c r="C961" t="s">
        <v>405</v>
      </c>
      <c r="D961" t="str">
        <f t="shared" si="14"/>
        <v>SECULT3017</v>
      </c>
      <c r="E961" t="s">
        <v>1600</v>
      </c>
    </row>
    <row r="962" spans="1:5" hidden="1" x14ac:dyDescent="0.25">
      <c r="A962">
        <v>1271</v>
      </c>
      <c r="B962" t="s">
        <v>581</v>
      </c>
      <c r="C962" t="s">
        <v>1610</v>
      </c>
      <c r="D962" t="str">
        <f t="shared" ref="D962:D1025" si="15">CONCATENATE(B962,LEFT(C962,4))</f>
        <v>SECULT3019</v>
      </c>
      <c r="E962" t="s">
        <v>1611</v>
      </c>
    </row>
    <row r="963" spans="1:5" hidden="1" x14ac:dyDescent="0.25">
      <c r="A963">
        <v>1271</v>
      </c>
      <c r="B963" t="s">
        <v>581</v>
      </c>
      <c r="C963" t="s">
        <v>1612</v>
      </c>
      <c r="D963" t="str">
        <f t="shared" si="15"/>
        <v>SECULT3020</v>
      </c>
      <c r="E963" t="s">
        <v>1600</v>
      </c>
    </row>
    <row r="964" spans="1:5" hidden="1" x14ac:dyDescent="0.25">
      <c r="A964">
        <v>1271</v>
      </c>
      <c r="B964" t="s">
        <v>581</v>
      </c>
      <c r="C964" t="s">
        <v>1613</v>
      </c>
      <c r="D964" t="str">
        <f t="shared" si="15"/>
        <v>SECULT3021</v>
      </c>
      <c r="E964" t="s">
        <v>1600</v>
      </c>
    </row>
    <row r="965" spans="1:5" hidden="1" x14ac:dyDescent="0.25">
      <c r="A965">
        <v>1271</v>
      </c>
      <c r="B965" t="s">
        <v>581</v>
      </c>
      <c r="C965" t="s">
        <v>430</v>
      </c>
      <c r="D965" t="str">
        <f t="shared" si="15"/>
        <v>SECULT3022</v>
      </c>
      <c r="E965" t="s">
        <v>1600</v>
      </c>
    </row>
    <row r="966" spans="1:5" hidden="1" x14ac:dyDescent="0.25">
      <c r="A966">
        <v>1271</v>
      </c>
      <c r="B966" t="s">
        <v>581</v>
      </c>
      <c r="C966" t="s">
        <v>1614</v>
      </c>
      <c r="D966" t="str">
        <f t="shared" si="15"/>
        <v>SECULT3023</v>
      </c>
      <c r="E966" t="s">
        <v>1615</v>
      </c>
    </row>
    <row r="967" spans="1:5" hidden="1" x14ac:dyDescent="0.25">
      <c r="A967">
        <v>1271</v>
      </c>
      <c r="B967" t="s">
        <v>581</v>
      </c>
      <c r="C967" t="s">
        <v>440</v>
      </c>
      <c r="D967" t="str">
        <f t="shared" si="15"/>
        <v>SECULT3024</v>
      </c>
      <c r="E967" t="s">
        <v>1600</v>
      </c>
    </row>
    <row r="968" spans="1:5" hidden="1" x14ac:dyDescent="0.25">
      <c r="A968">
        <v>1271</v>
      </c>
      <c r="B968" t="s">
        <v>581</v>
      </c>
      <c r="C968" t="s">
        <v>1616</v>
      </c>
      <c r="D968" t="str">
        <f t="shared" si="15"/>
        <v>SECULT3025</v>
      </c>
      <c r="E968" t="s">
        <v>1600</v>
      </c>
    </row>
    <row r="969" spans="1:5" hidden="1" x14ac:dyDescent="0.25">
      <c r="A969">
        <v>1271</v>
      </c>
      <c r="B969" t="s">
        <v>581</v>
      </c>
      <c r="C969" t="s">
        <v>1617</v>
      </c>
      <c r="D969" t="str">
        <f t="shared" si="15"/>
        <v>SECULT3026</v>
      </c>
      <c r="E969" t="s">
        <v>1615</v>
      </c>
    </row>
    <row r="970" spans="1:5" hidden="1" x14ac:dyDescent="0.25">
      <c r="A970">
        <v>1271</v>
      </c>
      <c r="B970" t="s">
        <v>581</v>
      </c>
      <c r="C970" t="s">
        <v>1618</v>
      </c>
      <c r="D970" t="str">
        <f t="shared" si="15"/>
        <v>SECULT3027</v>
      </c>
      <c r="E970" t="s">
        <v>1600</v>
      </c>
    </row>
    <row r="971" spans="1:5" hidden="1" x14ac:dyDescent="0.25">
      <c r="A971">
        <v>1271</v>
      </c>
      <c r="B971" t="s">
        <v>581</v>
      </c>
      <c r="C971" t="s">
        <v>466</v>
      </c>
      <c r="D971" t="str">
        <f t="shared" si="15"/>
        <v>SECULT3030</v>
      </c>
      <c r="E971" t="s">
        <v>1600</v>
      </c>
    </row>
    <row r="972" spans="1:5" hidden="1" x14ac:dyDescent="0.25">
      <c r="A972">
        <v>1271</v>
      </c>
      <c r="B972" t="s">
        <v>581</v>
      </c>
      <c r="C972" t="s">
        <v>1619</v>
      </c>
      <c r="D972" t="str">
        <f t="shared" si="15"/>
        <v>SECULT3032</v>
      </c>
      <c r="E972" t="s">
        <v>1600</v>
      </c>
    </row>
    <row r="973" spans="1:5" hidden="1" x14ac:dyDescent="0.25">
      <c r="A973">
        <v>1271</v>
      </c>
      <c r="B973" t="s">
        <v>581</v>
      </c>
      <c r="C973" t="s">
        <v>1756</v>
      </c>
      <c r="D973" t="str">
        <f t="shared" si="15"/>
        <v>SECULT3036</v>
      </c>
      <c r="E973" t="s">
        <v>1600</v>
      </c>
    </row>
    <row r="974" spans="1:5" hidden="1" x14ac:dyDescent="0.25">
      <c r="A974">
        <v>1271</v>
      </c>
      <c r="B974" t="s">
        <v>581</v>
      </c>
      <c r="C974" t="s">
        <v>490</v>
      </c>
      <c r="D974" t="str">
        <f t="shared" si="15"/>
        <v>SECULT3099</v>
      </c>
      <c r="E974" t="s">
        <v>1600</v>
      </c>
    </row>
    <row r="975" spans="1:5" hidden="1" x14ac:dyDescent="0.25">
      <c r="A975">
        <v>1271</v>
      </c>
      <c r="B975" t="s">
        <v>581</v>
      </c>
      <c r="C975" t="s">
        <v>1622</v>
      </c>
      <c r="D975" t="str">
        <f t="shared" si="15"/>
        <v>SECULT3101</v>
      </c>
      <c r="E975" t="s">
        <v>1623</v>
      </c>
    </row>
    <row r="976" spans="1:5" hidden="1" x14ac:dyDescent="0.25">
      <c r="A976">
        <v>1271</v>
      </c>
      <c r="B976" t="s">
        <v>581</v>
      </c>
      <c r="C976" t="s">
        <v>293</v>
      </c>
      <c r="D976" t="str">
        <f t="shared" si="15"/>
        <v>SECULT3104</v>
      </c>
      <c r="E976" t="s">
        <v>1623</v>
      </c>
    </row>
    <row r="977" spans="1:5" hidden="1" x14ac:dyDescent="0.25">
      <c r="A977">
        <v>1271</v>
      </c>
      <c r="B977" t="s">
        <v>581</v>
      </c>
      <c r="C977" t="s">
        <v>53</v>
      </c>
      <c r="D977" t="str">
        <f t="shared" si="15"/>
        <v>SECULT3301</v>
      </c>
      <c r="E977" t="s">
        <v>43</v>
      </c>
    </row>
    <row r="978" spans="1:5" hidden="1" x14ac:dyDescent="0.25">
      <c r="A978">
        <v>1271</v>
      </c>
      <c r="B978" t="s">
        <v>581</v>
      </c>
      <c r="C978" t="s">
        <v>1626</v>
      </c>
      <c r="D978" t="str">
        <f t="shared" si="15"/>
        <v>SECULT3302</v>
      </c>
      <c r="E978" t="s">
        <v>43</v>
      </c>
    </row>
    <row r="979" spans="1:5" hidden="1" x14ac:dyDescent="0.25">
      <c r="A979">
        <v>1271</v>
      </c>
      <c r="B979" t="s">
        <v>581</v>
      </c>
      <c r="C979" t="s">
        <v>1627</v>
      </c>
      <c r="D979" t="str">
        <f t="shared" si="15"/>
        <v>SECULT3304</v>
      </c>
      <c r="E979" t="s">
        <v>43</v>
      </c>
    </row>
    <row r="980" spans="1:5" hidden="1" x14ac:dyDescent="0.25">
      <c r="A980">
        <v>1271</v>
      </c>
      <c r="B980" t="s">
        <v>581</v>
      </c>
      <c r="C980" t="s">
        <v>308</v>
      </c>
      <c r="D980" t="str">
        <f t="shared" si="15"/>
        <v>SECULT3305</v>
      </c>
      <c r="E980" t="s">
        <v>43</v>
      </c>
    </row>
    <row r="981" spans="1:5" hidden="1" x14ac:dyDescent="0.25">
      <c r="A981">
        <v>1271</v>
      </c>
      <c r="B981" t="s">
        <v>581</v>
      </c>
      <c r="C981" t="s">
        <v>1705</v>
      </c>
      <c r="D981" t="str">
        <f t="shared" si="15"/>
        <v>SECULT3502</v>
      </c>
      <c r="E981" t="s">
        <v>1706</v>
      </c>
    </row>
    <row r="982" spans="1:5" hidden="1" x14ac:dyDescent="0.25">
      <c r="A982">
        <v>1271</v>
      </c>
      <c r="B982" t="s">
        <v>581</v>
      </c>
      <c r="C982" t="s">
        <v>296</v>
      </c>
      <c r="D982" t="str">
        <f t="shared" si="15"/>
        <v>SECULT3604</v>
      </c>
      <c r="E982" t="s">
        <v>43</v>
      </c>
    </row>
    <row r="983" spans="1:5" hidden="1" x14ac:dyDescent="0.25">
      <c r="A983">
        <v>1271</v>
      </c>
      <c r="B983" t="s">
        <v>581</v>
      </c>
      <c r="C983" t="s">
        <v>1742</v>
      </c>
      <c r="D983" t="str">
        <f t="shared" si="15"/>
        <v>SECULT3605</v>
      </c>
      <c r="E983" t="s">
        <v>1623</v>
      </c>
    </row>
    <row r="984" spans="1:5" hidden="1" x14ac:dyDescent="0.25">
      <c r="A984">
        <v>1271</v>
      </c>
      <c r="B984" t="s">
        <v>581</v>
      </c>
      <c r="C984" t="s">
        <v>354</v>
      </c>
      <c r="D984" t="str">
        <f t="shared" si="15"/>
        <v>SECULT3610</v>
      </c>
      <c r="E984" t="s">
        <v>1623</v>
      </c>
    </row>
    <row r="985" spans="1:5" hidden="1" x14ac:dyDescent="0.25">
      <c r="A985">
        <v>1271</v>
      </c>
      <c r="B985" t="s">
        <v>581</v>
      </c>
      <c r="C985" t="s">
        <v>1628</v>
      </c>
      <c r="D985" t="str">
        <f t="shared" si="15"/>
        <v>SECULT3612</v>
      </c>
      <c r="E985" t="s">
        <v>1623</v>
      </c>
    </row>
    <row r="986" spans="1:5" hidden="1" x14ac:dyDescent="0.25">
      <c r="A986">
        <v>1271</v>
      </c>
      <c r="B986" t="s">
        <v>581</v>
      </c>
      <c r="C986" t="s">
        <v>441</v>
      </c>
      <c r="D986" t="str">
        <f t="shared" si="15"/>
        <v>SECULT3625</v>
      </c>
      <c r="E986" t="s">
        <v>1623</v>
      </c>
    </row>
    <row r="987" spans="1:5" hidden="1" x14ac:dyDescent="0.25">
      <c r="A987">
        <v>1271</v>
      </c>
      <c r="B987" t="s">
        <v>581</v>
      </c>
      <c r="C987" t="s">
        <v>470</v>
      </c>
      <c r="D987" t="str">
        <f t="shared" si="15"/>
        <v>SECULT3699</v>
      </c>
      <c r="E987" t="s">
        <v>1623</v>
      </c>
    </row>
    <row r="988" spans="1:5" hidden="1" x14ac:dyDescent="0.25">
      <c r="A988">
        <v>1271</v>
      </c>
      <c r="B988" t="s">
        <v>581</v>
      </c>
      <c r="C988" t="s">
        <v>1693</v>
      </c>
      <c r="D988" t="str">
        <f t="shared" si="15"/>
        <v>SECULT3702</v>
      </c>
      <c r="E988" t="s">
        <v>1630</v>
      </c>
    </row>
    <row r="989" spans="1:5" hidden="1" x14ac:dyDescent="0.25">
      <c r="A989">
        <v>1271</v>
      </c>
      <c r="B989" t="s">
        <v>581</v>
      </c>
      <c r="C989" t="s">
        <v>1631</v>
      </c>
      <c r="D989" t="str">
        <f t="shared" si="15"/>
        <v>SECULT3703</v>
      </c>
      <c r="E989" t="s">
        <v>116</v>
      </c>
    </row>
    <row r="990" spans="1:5" hidden="1" x14ac:dyDescent="0.25">
      <c r="A990">
        <v>1271</v>
      </c>
      <c r="B990" t="s">
        <v>581</v>
      </c>
      <c r="C990" t="s">
        <v>1632</v>
      </c>
      <c r="D990" t="str">
        <f t="shared" si="15"/>
        <v>SECULT3704</v>
      </c>
      <c r="E990" t="s">
        <v>116</v>
      </c>
    </row>
    <row r="991" spans="1:5" hidden="1" x14ac:dyDescent="0.25">
      <c r="A991">
        <v>1271</v>
      </c>
      <c r="B991" t="s">
        <v>581</v>
      </c>
      <c r="C991" t="s">
        <v>1633</v>
      </c>
      <c r="D991" t="str">
        <f t="shared" si="15"/>
        <v>SECULT3705</v>
      </c>
      <c r="E991" t="s">
        <v>116</v>
      </c>
    </row>
    <row r="992" spans="1:5" hidden="1" x14ac:dyDescent="0.25">
      <c r="A992">
        <v>1271</v>
      </c>
      <c r="B992" t="s">
        <v>581</v>
      </c>
      <c r="C992" t="s">
        <v>232</v>
      </c>
      <c r="D992" t="str">
        <f t="shared" si="15"/>
        <v>SECULT3901</v>
      </c>
      <c r="E992" t="s">
        <v>1596</v>
      </c>
    </row>
    <row r="993" spans="1:5" hidden="1" x14ac:dyDescent="0.25">
      <c r="A993">
        <v>1271</v>
      </c>
      <c r="B993" t="s">
        <v>581</v>
      </c>
      <c r="C993" t="s">
        <v>1634</v>
      </c>
      <c r="D993" t="str">
        <f t="shared" si="15"/>
        <v>SECULT3903</v>
      </c>
      <c r="E993" t="s">
        <v>1623</v>
      </c>
    </row>
    <row r="994" spans="1:5" hidden="1" x14ac:dyDescent="0.25">
      <c r="A994">
        <v>1271</v>
      </c>
      <c r="B994" t="s">
        <v>581</v>
      </c>
      <c r="C994" t="s">
        <v>298</v>
      </c>
      <c r="D994" t="str">
        <f t="shared" si="15"/>
        <v>SECULT3904</v>
      </c>
      <c r="E994" t="s">
        <v>1623</v>
      </c>
    </row>
    <row r="995" spans="1:5" hidden="1" x14ac:dyDescent="0.25">
      <c r="A995">
        <v>1271</v>
      </c>
      <c r="B995" t="s">
        <v>581</v>
      </c>
      <c r="C995" t="s">
        <v>325</v>
      </c>
      <c r="D995" t="str">
        <f t="shared" si="15"/>
        <v>SECULT3906</v>
      </c>
      <c r="E995" t="s">
        <v>1623</v>
      </c>
    </row>
    <row r="996" spans="1:5" hidden="1" x14ac:dyDescent="0.25">
      <c r="A996">
        <v>1271</v>
      </c>
      <c r="B996" t="s">
        <v>581</v>
      </c>
      <c r="C996" t="s">
        <v>335</v>
      </c>
      <c r="D996" t="str">
        <f t="shared" si="15"/>
        <v>SECULT3909</v>
      </c>
      <c r="E996" t="s">
        <v>1623</v>
      </c>
    </row>
    <row r="997" spans="1:5" hidden="1" x14ac:dyDescent="0.25">
      <c r="A997">
        <v>1271</v>
      </c>
      <c r="B997" t="s">
        <v>581</v>
      </c>
      <c r="C997" t="s">
        <v>345</v>
      </c>
      <c r="D997" t="str">
        <f t="shared" si="15"/>
        <v>SECULT3910</v>
      </c>
      <c r="E997" t="s">
        <v>1623</v>
      </c>
    </row>
    <row r="998" spans="1:5" hidden="1" x14ac:dyDescent="0.25">
      <c r="A998">
        <v>1271</v>
      </c>
      <c r="B998" t="s">
        <v>581</v>
      </c>
      <c r="C998" t="s">
        <v>355</v>
      </c>
      <c r="D998" t="str">
        <f t="shared" si="15"/>
        <v>SECULT3911</v>
      </c>
      <c r="E998" t="s">
        <v>1623</v>
      </c>
    </row>
    <row r="999" spans="1:5" hidden="1" x14ac:dyDescent="0.25">
      <c r="A999">
        <v>1271</v>
      </c>
      <c r="B999" t="s">
        <v>581</v>
      </c>
      <c r="C999" t="s">
        <v>1636</v>
      </c>
      <c r="D999" t="str">
        <f t="shared" si="15"/>
        <v>SECULT3912</v>
      </c>
      <c r="E999" t="s">
        <v>1637</v>
      </c>
    </row>
    <row r="1000" spans="1:5" hidden="1" x14ac:dyDescent="0.25">
      <c r="A1000">
        <v>1271</v>
      </c>
      <c r="B1000" t="s">
        <v>581</v>
      </c>
      <c r="C1000" t="s">
        <v>1638</v>
      </c>
      <c r="D1000" t="str">
        <f t="shared" si="15"/>
        <v>SECULT3913</v>
      </c>
      <c r="E1000" t="s">
        <v>1637</v>
      </c>
    </row>
    <row r="1001" spans="1:5" hidden="1" x14ac:dyDescent="0.25">
      <c r="A1001">
        <v>1271</v>
      </c>
      <c r="B1001" t="s">
        <v>581</v>
      </c>
      <c r="C1001" t="s">
        <v>1639</v>
      </c>
      <c r="D1001" t="str">
        <f t="shared" si="15"/>
        <v>SECULT3917</v>
      </c>
      <c r="E1001" t="s">
        <v>1615</v>
      </c>
    </row>
    <row r="1002" spans="1:5" hidden="1" x14ac:dyDescent="0.25">
      <c r="A1002">
        <v>1271</v>
      </c>
      <c r="B1002" t="s">
        <v>581</v>
      </c>
      <c r="C1002" t="s">
        <v>1640</v>
      </c>
      <c r="D1002" t="str">
        <f t="shared" si="15"/>
        <v>SECULT3918</v>
      </c>
      <c r="E1002" t="s">
        <v>1615</v>
      </c>
    </row>
    <row r="1003" spans="1:5" hidden="1" x14ac:dyDescent="0.25">
      <c r="A1003">
        <v>1271</v>
      </c>
      <c r="B1003" t="s">
        <v>581</v>
      </c>
      <c r="C1003" t="s">
        <v>1641</v>
      </c>
      <c r="D1003" t="str">
        <f t="shared" si="15"/>
        <v>SECULT3919</v>
      </c>
      <c r="E1003" t="s">
        <v>2102</v>
      </c>
    </row>
    <row r="1004" spans="1:5" hidden="1" x14ac:dyDescent="0.25">
      <c r="A1004">
        <v>1271</v>
      </c>
      <c r="B1004" t="s">
        <v>581</v>
      </c>
      <c r="C1004" t="s">
        <v>1642</v>
      </c>
      <c r="D1004" t="str">
        <f t="shared" si="15"/>
        <v>SECULT3921</v>
      </c>
      <c r="E1004" t="s">
        <v>2102</v>
      </c>
    </row>
    <row r="1005" spans="1:5" hidden="1" x14ac:dyDescent="0.25">
      <c r="A1005">
        <v>1271</v>
      </c>
      <c r="B1005" t="s">
        <v>581</v>
      </c>
      <c r="C1005" t="s">
        <v>1643</v>
      </c>
      <c r="D1005" t="str">
        <f t="shared" si="15"/>
        <v>SECULT3922</v>
      </c>
      <c r="E1005" t="s">
        <v>1611</v>
      </c>
    </row>
    <row r="1006" spans="1:5" hidden="1" x14ac:dyDescent="0.25">
      <c r="A1006">
        <v>1271</v>
      </c>
      <c r="B1006" t="s">
        <v>581</v>
      </c>
      <c r="C1006" t="s">
        <v>427</v>
      </c>
      <c r="D1006" t="str">
        <f t="shared" si="15"/>
        <v>SECULT3923</v>
      </c>
      <c r="E1006" t="s">
        <v>1623</v>
      </c>
    </row>
    <row r="1007" spans="1:5" hidden="1" x14ac:dyDescent="0.25">
      <c r="A1007">
        <v>1271</v>
      </c>
      <c r="B1007" t="s">
        <v>581</v>
      </c>
      <c r="C1007" t="s">
        <v>442</v>
      </c>
      <c r="D1007" t="str">
        <f t="shared" si="15"/>
        <v>SECULT3926</v>
      </c>
      <c r="E1007" t="s">
        <v>1646</v>
      </c>
    </row>
    <row r="1008" spans="1:5" hidden="1" x14ac:dyDescent="0.25">
      <c r="A1008">
        <v>1271</v>
      </c>
      <c r="B1008" t="s">
        <v>581</v>
      </c>
      <c r="C1008" t="s">
        <v>1647</v>
      </c>
      <c r="D1008" t="str">
        <f t="shared" si="15"/>
        <v>SECULT3927</v>
      </c>
      <c r="E1008" t="s">
        <v>1648</v>
      </c>
    </row>
    <row r="1009" spans="1:5" hidden="1" x14ac:dyDescent="0.25">
      <c r="A1009">
        <v>1271</v>
      </c>
      <c r="B1009" t="s">
        <v>581</v>
      </c>
      <c r="C1009" t="s">
        <v>457</v>
      </c>
      <c r="D1009" t="str">
        <f t="shared" si="15"/>
        <v>SECULT3930</v>
      </c>
      <c r="E1009" t="s">
        <v>1646</v>
      </c>
    </row>
    <row r="1010" spans="1:5" hidden="1" x14ac:dyDescent="0.25">
      <c r="A1010">
        <v>1271</v>
      </c>
      <c r="B1010" t="s">
        <v>581</v>
      </c>
      <c r="C1010" t="s">
        <v>1650</v>
      </c>
      <c r="D1010" t="str">
        <f t="shared" si="15"/>
        <v>SECULT3931</v>
      </c>
      <c r="E1010" t="s">
        <v>1623</v>
      </c>
    </row>
    <row r="1011" spans="1:5" hidden="1" x14ac:dyDescent="0.25">
      <c r="A1011">
        <v>1271</v>
      </c>
      <c r="B1011" t="s">
        <v>581</v>
      </c>
      <c r="C1011" t="s">
        <v>1652</v>
      </c>
      <c r="D1011" t="str">
        <f t="shared" si="15"/>
        <v>SECULT3936</v>
      </c>
      <c r="E1011" t="s">
        <v>93</v>
      </c>
    </row>
    <row r="1012" spans="1:5" hidden="1" x14ac:dyDescent="0.25">
      <c r="A1012">
        <v>1271</v>
      </c>
      <c r="B1012" t="s">
        <v>581</v>
      </c>
      <c r="C1012" t="s">
        <v>1708</v>
      </c>
      <c r="D1012" t="str">
        <f t="shared" si="15"/>
        <v>SECULT3938</v>
      </c>
      <c r="E1012" t="s">
        <v>1623</v>
      </c>
    </row>
    <row r="1013" spans="1:5" hidden="1" x14ac:dyDescent="0.25">
      <c r="A1013">
        <v>1271</v>
      </c>
      <c r="B1013" t="s">
        <v>581</v>
      </c>
      <c r="C1013" t="s">
        <v>1714</v>
      </c>
      <c r="D1013" t="str">
        <f t="shared" si="15"/>
        <v>SECULT3939</v>
      </c>
      <c r="E1013" t="s">
        <v>1623</v>
      </c>
    </row>
    <row r="1014" spans="1:5" hidden="1" x14ac:dyDescent="0.25">
      <c r="A1014">
        <v>1271</v>
      </c>
      <c r="B1014" t="s">
        <v>581</v>
      </c>
      <c r="C1014" t="s">
        <v>1653</v>
      </c>
      <c r="D1014" t="str">
        <f t="shared" si="15"/>
        <v>SECULT3940</v>
      </c>
      <c r="E1014" t="s">
        <v>1648</v>
      </c>
    </row>
    <row r="1015" spans="1:5" hidden="1" x14ac:dyDescent="0.25">
      <c r="A1015">
        <v>1271</v>
      </c>
      <c r="B1015" t="s">
        <v>581</v>
      </c>
      <c r="C1015" t="s">
        <v>1654</v>
      </c>
      <c r="D1015" t="str">
        <f t="shared" si="15"/>
        <v>SECULT3943</v>
      </c>
      <c r="E1015" t="s">
        <v>1615</v>
      </c>
    </row>
    <row r="1016" spans="1:5" hidden="1" x14ac:dyDescent="0.25">
      <c r="A1016">
        <v>1271</v>
      </c>
      <c r="B1016" t="s">
        <v>581</v>
      </c>
      <c r="C1016" t="s">
        <v>487</v>
      </c>
      <c r="D1016" t="str">
        <f t="shared" si="15"/>
        <v>SECULT3946</v>
      </c>
      <c r="E1016" t="s">
        <v>1744</v>
      </c>
    </row>
    <row r="1017" spans="1:5" hidden="1" x14ac:dyDescent="0.25">
      <c r="A1017">
        <v>1271</v>
      </c>
      <c r="B1017" t="s">
        <v>581</v>
      </c>
      <c r="C1017" t="s">
        <v>1715</v>
      </c>
      <c r="D1017" t="str">
        <f t="shared" si="15"/>
        <v>SECULT3949</v>
      </c>
      <c r="E1017" t="s">
        <v>1645</v>
      </c>
    </row>
    <row r="1018" spans="1:5" hidden="1" x14ac:dyDescent="0.25">
      <c r="A1018">
        <v>1271</v>
      </c>
      <c r="B1018" t="s">
        <v>581</v>
      </c>
      <c r="C1018" t="s">
        <v>1701</v>
      </c>
      <c r="D1018" t="str">
        <f t="shared" si="15"/>
        <v>SECULT3952</v>
      </c>
      <c r="E1018" t="s">
        <v>64</v>
      </c>
    </row>
    <row r="1019" spans="1:5" hidden="1" x14ac:dyDescent="0.25">
      <c r="A1019">
        <v>1271</v>
      </c>
      <c r="B1019" t="s">
        <v>581</v>
      </c>
      <c r="C1019" t="s">
        <v>497</v>
      </c>
      <c r="D1019" t="str">
        <f t="shared" si="15"/>
        <v>SECULT3955</v>
      </c>
      <c r="E1019" t="s">
        <v>1623</v>
      </c>
    </row>
    <row r="1020" spans="1:5" hidden="1" x14ac:dyDescent="0.25">
      <c r="A1020">
        <v>1271</v>
      </c>
      <c r="B1020" t="s">
        <v>581</v>
      </c>
      <c r="C1020" t="s">
        <v>498</v>
      </c>
      <c r="D1020" t="str">
        <f t="shared" si="15"/>
        <v>SECULT3956</v>
      </c>
      <c r="E1020" t="s">
        <v>1623</v>
      </c>
    </row>
    <row r="1021" spans="1:5" hidden="1" x14ac:dyDescent="0.25">
      <c r="A1021">
        <v>1271</v>
      </c>
      <c r="B1021" t="s">
        <v>581</v>
      </c>
      <c r="C1021" t="s">
        <v>1656</v>
      </c>
      <c r="D1021" t="str">
        <f t="shared" si="15"/>
        <v>SECULT3959</v>
      </c>
      <c r="E1021" t="s">
        <v>1623</v>
      </c>
    </row>
    <row r="1022" spans="1:5" hidden="1" x14ac:dyDescent="0.25">
      <c r="A1022">
        <v>1271</v>
      </c>
      <c r="B1022" t="s">
        <v>581</v>
      </c>
      <c r="C1022" t="s">
        <v>1657</v>
      </c>
      <c r="D1022" t="str">
        <f t="shared" si="15"/>
        <v>SECULT3961</v>
      </c>
      <c r="E1022" t="s">
        <v>1630</v>
      </c>
    </row>
    <row r="1023" spans="1:5" hidden="1" x14ac:dyDescent="0.25">
      <c r="A1023">
        <v>1271</v>
      </c>
      <c r="B1023" t="s">
        <v>581</v>
      </c>
      <c r="C1023" t="s">
        <v>1696</v>
      </c>
      <c r="D1023" t="str">
        <f t="shared" si="15"/>
        <v>SECULT3962</v>
      </c>
      <c r="E1023" t="s">
        <v>2103</v>
      </c>
    </row>
    <row r="1024" spans="1:5" hidden="1" x14ac:dyDescent="0.25">
      <c r="A1024">
        <v>1271</v>
      </c>
      <c r="B1024" t="s">
        <v>581</v>
      </c>
      <c r="C1024" t="s">
        <v>1660</v>
      </c>
      <c r="D1024" t="str">
        <f t="shared" si="15"/>
        <v>SECULT3970</v>
      </c>
      <c r="E1024" t="s">
        <v>1648</v>
      </c>
    </row>
    <row r="1025" spans="1:5" hidden="1" x14ac:dyDescent="0.25">
      <c r="A1025">
        <v>1271</v>
      </c>
      <c r="B1025" t="s">
        <v>581</v>
      </c>
      <c r="C1025" t="s">
        <v>1661</v>
      </c>
      <c r="D1025" t="str">
        <f t="shared" si="15"/>
        <v>SECULT3987</v>
      </c>
      <c r="E1025" t="s">
        <v>1615</v>
      </c>
    </row>
    <row r="1026" spans="1:5" hidden="1" x14ac:dyDescent="0.25">
      <c r="A1026">
        <v>1271</v>
      </c>
      <c r="B1026" t="s">
        <v>581</v>
      </c>
      <c r="C1026" t="s">
        <v>530</v>
      </c>
      <c r="D1026" t="str">
        <f t="shared" ref="D1026:D1089" si="16">CONCATENATE(B1026,LEFT(C1026,4))</f>
        <v>SECULT3991</v>
      </c>
      <c r="E1026" t="s">
        <v>1623</v>
      </c>
    </row>
    <row r="1027" spans="1:5" hidden="1" x14ac:dyDescent="0.25">
      <c r="A1027">
        <v>1271</v>
      </c>
      <c r="B1027" t="s">
        <v>581</v>
      </c>
      <c r="C1027" t="s">
        <v>1746</v>
      </c>
      <c r="D1027" t="str">
        <f t="shared" si="16"/>
        <v>SECULT3992</v>
      </c>
      <c r="E1027" t="s">
        <v>1744</v>
      </c>
    </row>
    <row r="1028" spans="1:5" hidden="1" x14ac:dyDescent="0.25">
      <c r="A1028">
        <v>1271</v>
      </c>
      <c r="B1028" t="s">
        <v>581</v>
      </c>
      <c r="C1028" t="s">
        <v>1663</v>
      </c>
      <c r="D1028" t="str">
        <f t="shared" si="16"/>
        <v>SECULT3999</v>
      </c>
      <c r="E1028" t="s">
        <v>1623</v>
      </c>
    </row>
    <row r="1029" spans="1:5" hidden="1" x14ac:dyDescent="0.25">
      <c r="A1029">
        <v>1271</v>
      </c>
      <c r="B1029" t="s">
        <v>581</v>
      </c>
      <c r="C1029" t="s">
        <v>1664</v>
      </c>
      <c r="D1029" t="str">
        <f t="shared" si="16"/>
        <v>SECULT4002</v>
      </c>
      <c r="E1029" t="s">
        <v>1648</v>
      </c>
    </row>
    <row r="1030" spans="1:5" hidden="1" x14ac:dyDescent="0.25">
      <c r="A1030">
        <v>1271</v>
      </c>
      <c r="B1030" t="s">
        <v>581</v>
      </c>
      <c r="C1030" t="s">
        <v>1665</v>
      </c>
      <c r="D1030" t="str">
        <f t="shared" si="16"/>
        <v>SECULT4003</v>
      </c>
      <c r="E1030" t="s">
        <v>93</v>
      </c>
    </row>
    <row r="1031" spans="1:5" hidden="1" x14ac:dyDescent="0.25">
      <c r="A1031">
        <v>1271</v>
      </c>
      <c r="B1031" t="s">
        <v>581</v>
      </c>
      <c r="C1031" t="s">
        <v>1666</v>
      </c>
      <c r="D1031" t="str">
        <f t="shared" si="16"/>
        <v>SECULT4004</v>
      </c>
      <c r="E1031" t="s">
        <v>1648</v>
      </c>
    </row>
    <row r="1032" spans="1:5" hidden="1" x14ac:dyDescent="0.25">
      <c r="A1032">
        <v>1271</v>
      </c>
      <c r="B1032" t="s">
        <v>581</v>
      </c>
      <c r="C1032" t="s">
        <v>1667</v>
      </c>
      <c r="D1032" t="str">
        <f t="shared" si="16"/>
        <v>SECULT4005</v>
      </c>
      <c r="E1032" t="s">
        <v>1648</v>
      </c>
    </row>
    <row r="1033" spans="1:5" hidden="1" x14ac:dyDescent="0.25">
      <c r="A1033">
        <v>1271</v>
      </c>
      <c r="B1033" t="s">
        <v>581</v>
      </c>
      <c r="C1033" t="s">
        <v>1698</v>
      </c>
      <c r="D1033" t="str">
        <f t="shared" si="16"/>
        <v>SECULT4006</v>
      </c>
      <c r="E1033" t="s">
        <v>1675</v>
      </c>
    </row>
    <row r="1034" spans="1:5" hidden="1" x14ac:dyDescent="0.25">
      <c r="A1034">
        <v>1271</v>
      </c>
      <c r="B1034" t="s">
        <v>581</v>
      </c>
      <c r="C1034" t="s">
        <v>1719</v>
      </c>
      <c r="D1034" t="str">
        <f t="shared" si="16"/>
        <v>SECULT4101</v>
      </c>
      <c r="E1034" t="s">
        <v>1728</v>
      </c>
    </row>
    <row r="1035" spans="1:5" hidden="1" x14ac:dyDescent="0.25">
      <c r="A1035">
        <v>1271</v>
      </c>
      <c r="B1035" t="s">
        <v>581</v>
      </c>
      <c r="C1035" t="s">
        <v>1749</v>
      </c>
      <c r="D1035" t="str">
        <f t="shared" si="16"/>
        <v>SECULT4201</v>
      </c>
      <c r="E1035" t="s">
        <v>1728</v>
      </c>
    </row>
    <row r="1036" spans="1:5" hidden="1" x14ac:dyDescent="0.25">
      <c r="A1036">
        <v>1271</v>
      </c>
      <c r="B1036" t="s">
        <v>581</v>
      </c>
      <c r="C1036" t="s">
        <v>1750</v>
      </c>
      <c r="D1036" t="str">
        <f t="shared" si="16"/>
        <v>SECULT4301</v>
      </c>
      <c r="E1036" t="s">
        <v>1751</v>
      </c>
    </row>
    <row r="1037" spans="1:5" hidden="1" x14ac:dyDescent="0.25">
      <c r="A1037">
        <v>1271</v>
      </c>
      <c r="B1037" t="s">
        <v>581</v>
      </c>
      <c r="C1037" t="s">
        <v>237</v>
      </c>
      <c r="D1037" t="str">
        <f t="shared" si="16"/>
        <v>SECULT4501</v>
      </c>
      <c r="E1037" t="s">
        <v>1757</v>
      </c>
    </row>
    <row r="1038" spans="1:5" hidden="1" x14ac:dyDescent="0.25">
      <c r="A1038">
        <v>1271</v>
      </c>
      <c r="B1038" t="s">
        <v>581</v>
      </c>
      <c r="C1038" t="s">
        <v>1668</v>
      </c>
      <c r="D1038" t="str">
        <f t="shared" si="16"/>
        <v>SECULT4701</v>
      </c>
      <c r="E1038" t="s">
        <v>1669</v>
      </c>
    </row>
    <row r="1039" spans="1:5" hidden="1" x14ac:dyDescent="0.25">
      <c r="A1039">
        <v>1271</v>
      </c>
      <c r="B1039" t="s">
        <v>581</v>
      </c>
      <c r="C1039" t="s">
        <v>264</v>
      </c>
      <c r="D1039" t="str">
        <f t="shared" si="16"/>
        <v>SECULT4703</v>
      </c>
      <c r="E1039" t="s">
        <v>1669</v>
      </c>
    </row>
    <row r="1040" spans="1:5" hidden="1" x14ac:dyDescent="0.25">
      <c r="A1040">
        <v>1271</v>
      </c>
      <c r="B1040" t="s">
        <v>581</v>
      </c>
      <c r="C1040" t="s">
        <v>363</v>
      </c>
      <c r="D1040" t="str">
        <f t="shared" si="16"/>
        <v>SECULT4799</v>
      </c>
      <c r="E1040" t="s">
        <v>1669</v>
      </c>
    </row>
    <row r="1041" spans="1:5" hidden="1" x14ac:dyDescent="0.25">
      <c r="A1041">
        <v>1271</v>
      </c>
      <c r="B1041" t="s">
        <v>581</v>
      </c>
      <c r="C1041" t="s">
        <v>239</v>
      </c>
      <c r="D1041" t="str">
        <f t="shared" si="16"/>
        <v>SECULT4801</v>
      </c>
      <c r="E1041" t="s">
        <v>1623</v>
      </c>
    </row>
    <row r="1042" spans="1:5" hidden="1" x14ac:dyDescent="0.25">
      <c r="A1042">
        <v>1271</v>
      </c>
      <c r="B1042" t="s">
        <v>581</v>
      </c>
      <c r="C1042" t="s">
        <v>285</v>
      </c>
      <c r="D1042" t="str">
        <f t="shared" si="16"/>
        <v>SECULT4803</v>
      </c>
      <c r="E1042" t="s">
        <v>1645</v>
      </c>
    </row>
    <row r="1043" spans="1:5" hidden="1" x14ac:dyDescent="0.25">
      <c r="A1043">
        <v>1271</v>
      </c>
      <c r="B1043" t="s">
        <v>581</v>
      </c>
      <c r="C1043" t="s">
        <v>1672</v>
      </c>
      <c r="D1043" t="str">
        <f t="shared" si="16"/>
        <v>SECULT5103</v>
      </c>
      <c r="E1043" t="s">
        <v>1671</v>
      </c>
    </row>
    <row r="1044" spans="1:5" hidden="1" x14ac:dyDescent="0.25">
      <c r="A1044">
        <v>1271</v>
      </c>
      <c r="B1044" t="s">
        <v>581</v>
      </c>
      <c r="C1044" t="s">
        <v>241</v>
      </c>
      <c r="D1044" t="str">
        <f t="shared" si="16"/>
        <v>SECULT5201</v>
      </c>
      <c r="E1044" t="s">
        <v>1621</v>
      </c>
    </row>
    <row r="1045" spans="1:5" hidden="1" x14ac:dyDescent="0.25">
      <c r="A1045">
        <v>1271</v>
      </c>
      <c r="B1045" t="s">
        <v>581</v>
      </c>
      <c r="C1045" t="s">
        <v>328</v>
      </c>
      <c r="D1045" t="str">
        <f t="shared" si="16"/>
        <v>SECULT5206</v>
      </c>
      <c r="E1045" t="s">
        <v>1675</v>
      </c>
    </row>
    <row r="1046" spans="1:5" hidden="1" x14ac:dyDescent="0.25">
      <c r="A1046">
        <v>1271</v>
      </c>
      <c r="B1046" t="s">
        <v>581</v>
      </c>
      <c r="C1046" t="s">
        <v>1676</v>
      </c>
      <c r="D1046" t="str">
        <f t="shared" si="16"/>
        <v>SECULT5207</v>
      </c>
      <c r="E1046" t="s">
        <v>1675</v>
      </c>
    </row>
    <row r="1047" spans="1:5" hidden="1" x14ac:dyDescent="0.25">
      <c r="A1047">
        <v>1271</v>
      </c>
      <c r="B1047" t="s">
        <v>581</v>
      </c>
      <c r="C1047" t="s">
        <v>1677</v>
      </c>
      <c r="D1047" t="str">
        <f t="shared" si="16"/>
        <v>SECULT5208</v>
      </c>
      <c r="E1047" t="s">
        <v>1675</v>
      </c>
    </row>
    <row r="1048" spans="1:5" hidden="1" x14ac:dyDescent="0.25">
      <c r="A1048">
        <v>1271</v>
      </c>
      <c r="B1048" t="s">
        <v>581</v>
      </c>
      <c r="C1048" t="s">
        <v>1678</v>
      </c>
      <c r="D1048" t="str">
        <f t="shared" si="16"/>
        <v>SECULT5210</v>
      </c>
      <c r="E1048" t="s">
        <v>1674</v>
      </c>
    </row>
    <row r="1049" spans="1:5" hidden="1" x14ac:dyDescent="0.25">
      <c r="A1049">
        <v>1271</v>
      </c>
      <c r="B1049" t="s">
        <v>581</v>
      </c>
      <c r="C1049" t="s">
        <v>1679</v>
      </c>
      <c r="D1049" t="str">
        <f t="shared" si="16"/>
        <v>SECULT5212</v>
      </c>
      <c r="E1049" t="s">
        <v>1674</v>
      </c>
    </row>
    <row r="1050" spans="1:5" hidden="1" x14ac:dyDescent="0.25">
      <c r="A1050">
        <v>1271</v>
      </c>
      <c r="B1050" t="s">
        <v>581</v>
      </c>
      <c r="C1050" t="s">
        <v>390</v>
      </c>
      <c r="D1050" t="str">
        <f t="shared" si="16"/>
        <v>SECULT5214</v>
      </c>
      <c r="E1050" t="s">
        <v>1674</v>
      </c>
    </row>
    <row r="1051" spans="1:5" hidden="1" x14ac:dyDescent="0.25">
      <c r="A1051">
        <v>1271</v>
      </c>
      <c r="B1051" t="s">
        <v>581</v>
      </c>
      <c r="C1051" t="s">
        <v>408</v>
      </c>
      <c r="D1051" t="str">
        <f t="shared" si="16"/>
        <v>SECULT5217</v>
      </c>
      <c r="E1051" t="s">
        <v>1680</v>
      </c>
    </row>
    <row r="1052" spans="1:5" hidden="1" x14ac:dyDescent="0.25">
      <c r="A1052">
        <v>1271</v>
      </c>
      <c r="B1052" t="s">
        <v>581</v>
      </c>
      <c r="C1052" t="s">
        <v>418</v>
      </c>
      <c r="D1052" t="str">
        <f t="shared" si="16"/>
        <v>SECULT5219</v>
      </c>
      <c r="E1052" t="s">
        <v>1674</v>
      </c>
    </row>
    <row r="1053" spans="1:5" hidden="1" x14ac:dyDescent="0.25">
      <c r="A1053">
        <v>1271</v>
      </c>
      <c r="B1053" t="s">
        <v>581</v>
      </c>
      <c r="C1053" t="s">
        <v>1681</v>
      </c>
      <c r="D1053" t="str">
        <f t="shared" si="16"/>
        <v>SECULT5220</v>
      </c>
      <c r="E1053" t="s">
        <v>1675</v>
      </c>
    </row>
    <row r="1054" spans="1:5" hidden="1" x14ac:dyDescent="0.25">
      <c r="A1054">
        <v>1271</v>
      </c>
      <c r="B1054" t="s">
        <v>581</v>
      </c>
      <c r="C1054" t="s">
        <v>448</v>
      </c>
      <c r="D1054" t="str">
        <f t="shared" si="16"/>
        <v>SECULT5225</v>
      </c>
      <c r="E1054" t="s">
        <v>1674</v>
      </c>
    </row>
    <row r="1055" spans="1:5" hidden="1" x14ac:dyDescent="0.25">
      <c r="A1055">
        <v>1271</v>
      </c>
      <c r="B1055" t="s">
        <v>581</v>
      </c>
      <c r="C1055" t="s">
        <v>1682</v>
      </c>
      <c r="D1055" t="str">
        <f t="shared" si="16"/>
        <v>SECULT5226</v>
      </c>
      <c r="E1055" t="s">
        <v>1674</v>
      </c>
    </row>
    <row r="1056" spans="1:5" hidden="1" x14ac:dyDescent="0.25">
      <c r="A1056">
        <v>1271</v>
      </c>
      <c r="B1056" t="s">
        <v>581</v>
      </c>
      <c r="C1056" t="s">
        <v>1758</v>
      </c>
      <c r="D1056" t="str">
        <f t="shared" si="16"/>
        <v>SECULT8501</v>
      </c>
      <c r="E1056" t="s">
        <v>1744</v>
      </c>
    </row>
    <row r="1057" spans="1:5" hidden="1" x14ac:dyDescent="0.25">
      <c r="A1057">
        <v>1271</v>
      </c>
      <c r="B1057" t="s">
        <v>581</v>
      </c>
      <c r="C1057" t="s">
        <v>1723</v>
      </c>
      <c r="D1057" t="str">
        <f t="shared" si="16"/>
        <v>SECULT9108</v>
      </c>
      <c r="E1057" t="s">
        <v>1724</v>
      </c>
    </row>
    <row r="1058" spans="1:5" hidden="1" x14ac:dyDescent="0.25">
      <c r="A1058">
        <v>1271</v>
      </c>
      <c r="B1058" t="s">
        <v>581</v>
      </c>
      <c r="C1058" t="s">
        <v>1684</v>
      </c>
      <c r="D1058" t="str">
        <f t="shared" si="16"/>
        <v>SECULT9202</v>
      </c>
      <c r="E1058" t="s">
        <v>1685</v>
      </c>
    </row>
    <row r="1059" spans="1:5" hidden="1" x14ac:dyDescent="0.25">
      <c r="A1059">
        <v>1271</v>
      </c>
      <c r="B1059" t="s">
        <v>581</v>
      </c>
      <c r="C1059" t="s">
        <v>330</v>
      </c>
      <c r="D1059" t="str">
        <f t="shared" si="16"/>
        <v>SECULT9306</v>
      </c>
      <c r="E1059" t="s">
        <v>1686</v>
      </c>
    </row>
    <row r="1060" spans="1:5" hidden="1" x14ac:dyDescent="0.25">
      <c r="A1060">
        <v>1271</v>
      </c>
      <c r="B1060" t="s">
        <v>581</v>
      </c>
      <c r="C1060" t="s">
        <v>366</v>
      </c>
      <c r="D1060" t="str">
        <f t="shared" si="16"/>
        <v>SECULT9310</v>
      </c>
      <c r="E1060" t="s">
        <v>1623</v>
      </c>
    </row>
    <row r="1061" spans="1:5" hidden="1" x14ac:dyDescent="0.25">
      <c r="A1061">
        <v>1271</v>
      </c>
      <c r="B1061" t="s">
        <v>581</v>
      </c>
      <c r="C1061" t="s">
        <v>1687</v>
      </c>
      <c r="D1061" t="str">
        <f t="shared" si="16"/>
        <v>SECULT9399</v>
      </c>
      <c r="E1061" t="s">
        <v>1623</v>
      </c>
    </row>
    <row r="1062" spans="1:5" hidden="1" x14ac:dyDescent="0.25">
      <c r="A1062">
        <v>1271</v>
      </c>
      <c r="B1062" t="s">
        <v>581</v>
      </c>
      <c r="C1062" t="s">
        <v>491</v>
      </c>
      <c r="D1062" t="str">
        <f t="shared" si="16"/>
        <v>SECULT3948</v>
      </c>
      <c r="E1062" t="s">
        <v>1645</v>
      </c>
    </row>
    <row r="1063" spans="1:5" hidden="1" x14ac:dyDescent="0.25">
      <c r="A1063">
        <v>1271</v>
      </c>
      <c r="B1063" t="s">
        <v>581</v>
      </c>
      <c r="C1063" t="s">
        <v>439</v>
      </c>
      <c r="D1063" t="str">
        <f t="shared" si="16"/>
        <v>SECULT9326</v>
      </c>
      <c r="E1063" t="s">
        <v>1623</v>
      </c>
    </row>
    <row r="1064" spans="1:5" hidden="1" x14ac:dyDescent="0.25">
      <c r="A1064">
        <v>1301</v>
      </c>
      <c r="B1064" t="s">
        <v>587</v>
      </c>
      <c r="C1064" t="s">
        <v>1759</v>
      </c>
      <c r="D1064" t="str">
        <f t="shared" si="16"/>
        <v>SEINFRA0899</v>
      </c>
      <c r="E1064" t="s">
        <v>1596</v>
      </c>
    </row>
    <row r="1065" spans="1:5" hidden="1" x14ac:dyDescent="0.25">
      <c r="A1065">
        <v>1301</v>
      </c>
      <c r="B1065" t="s">
        <v>587</v>
      </c>
      <c r="C1065" t="s">
        <v>331</v>
      </c>
      <c r="D1065" t="str">
        <f t="shared" si="16"/>
        <v>SEINFRA1314</v>
      </c>
      <c r="E1065" t="s">
        <v>1689</v>
      </c>
    </row>
    <row r="1066" spans="1:5" hidden="1" x14ac:dyDescent="0.25">
      <c r="A1066">
        <v>1301</v>
      </c>
      <c r="B1066" t="s">
        <v>587</v>
      </c>
      <c r="C1066" t="s">
        <v>1688</v>
      </c>
      <c r="D1066" t="str">
        <f t="shared" si="16"/>
        <v>SEINFRA1317</v>
      </c>
      <c r="E1066" t="s">
        <v>1689</v>
      </c>
    </row>
    <row r="1067" spans="1:5" hidden="1" x14ac:dyDescent="0.25">
      <c r="A1067">
        <v>1301</v>
      </c>
      <c r="B1067" t="s">
        <v>587</v>
      </c>
      <c r="C1067" t="s">
        <v>1597</v>
      </c>
      <c r="D1067" t="str">
        <f t="shared" si="16"/>
        <v>SEINFRA1401</v>
      </c>
      <c r="E1067" t="s">
        <v>43</v>
      </c>
    </row>
    <row r="1068" spans="1:5" hidden="1" x14ac:dyDescent="0.25">
      <c r="A1068">
        <v>1301</v>
      </c>
      <c r="B1068" t="s">
        <v>587</v>
      </c>
      <c r="C1068" t="s">
        <v>1760</v>
      </c>
      <c r="D1068" t="str">
        <f t="shared" si="16"/>
        <v>SEINFRA2701</v>
      </c>
      <c r="E1068" t="s">
        <v>2108</v>
      </c>
    </row>
    <row r="1069" spans="1:5" hidden="1" x14ac:dyDescent="0.25">
      <c r="A1069">
        <v>1301</v>
      </c>
      <c r="B1069" t="s">
        <v>587</v>
      </c>
      <c r="C1069" t="s">
        <v>1601</v>
      </c>
      <c r="D1069" t="str">
        <f t="shared" si="16"/>
        <v>SEINFRA3003</v>
      </c>
      <c r="E1069" t="s">
        <v>1600</v>
      </c>
    </row>
    <row r="1070" spans="1:5" hidden="1" x14ac:dyDescent="0.25">
      <c r="A1070">
        <v>1301</v>
      </c>
      <c r="B1070" t="s">
        <v>587</v>
      </c>
      <c r="C1070" t="s">
        <v>1603</v>
      </c>
      <c r="D1070" t="str">
        <f t="shared" si="16"/>
        <v>SEINFRA3005</v>
      </c>
      <c r="E1070" t="s">
        <v>1600</v>
      </c>
    </row>
    <row r="1071" spans="1:5" hidden="1" x14ac:dyDescent="0.25">
      <c r="A1071">
        <v>1301</v>
      </c>
      <c r="B1071" t="s">
        <v>587</v>
      </c>
      <c r="C1071" t="s">
        <v>1605</v>
      </c>
      <c r="D1071" t="str">
        <f t="shared" si="16"/>
        <v>SEINFRA3010</v>
      </c>
      <c r="E1071" t="s">
        <v>1606</v>
      </c>
    </row>
    <row r="1072" spans="1:5" hidden="1" x14ac:dyDescent="0.25">
      <c r="A1072">
        <v>1301</v>
      </c>
      <c r="B1072" t="s">
        <v>587</v>
      </c>
      <c r="C1072" t="s">
        <v>1607</v>
      </c>
      <c r="D1072" t="str">
        <f t="shared" si="16"/>
        <v>SEINFRA3013</v>
      </c>
      <c r="E1072" t="s">
        <v>1600</v>
      </c>
    </row>
    <row r="1073" spans="1:5" hidden="1" x14ac:dyDescent="0.25">
      <c r="A1073">
        <v>1301</v>
      </c>
      <c r="B1073" t="s">
        <v>587</v>
      </c>
      <c r="C1073" t="s">
        <v>1608</v>
      </c>
      <c r="D1073" t="str">
        <f t="shared" si="16"/>
        <v>SEINFRA3015</v>
      </c>
      <c r="E1073" t="s">
        <v>1600</v>
      </c>
    </row>
    <row r="1074" spans="1:5" hidden="1" x14ac:dyDescent="0.25">
      <c r="A1074">
        <v>1301</v>
      </c>
      <c r="B1074" t="s">
        <v>587</v>
      </c>
      <c r="C1074" t="s">
        <v>1609</v>
      </c>
      <c r="D1074" t="str">
        <f t="shared" si="16"/>
        <v>SEINFRA3016</v>
      </c>
      <c r="E1074" t="s">
        <v>1600</v>
      </c>
    </row>
    <row r="1075" spans="1:5" hidden="1" x14ac:dyDescent="0.25">
      <c r="A1075">
        <v>1301</v>
      </c>
      <c r="B1075" t="s">
        <v>587</v>
      </c>
      <c r="C1075" t="s">
        <v>405</v>
      </c>
      <c r="D1075" t="str">
        <f t="shared" si="16"/>
        <v>SEINFRA3017</v>
      </c>
      <c r="E1075" t="s">
        <v>1600</v>
      </c>
    </row>
    <row r="1076" spans="1:5" hidden="1" x14ac:dyDescent="0.25">
      <c r="A1076">
        <v>1301</v>
      </c>
      <c r="B1076" t="s">
        <v>587</v>
      </c>
      <c r="C1076" t="s">
        <v>1614</v>
      </c>
      <c r="D1076" t="str">
        <f t="shared" si="16"/>
        <v>SEINFRA3023</v>
      </c>
      <c r="E1076" t="s">
        <v>1615</v>
      </c>
    </row>
    <row r="1077" spans="1:5" hidden="1" x14ac:dyDescent="0.25">
      <c r="A1077">
        <v>1301</v>
      </c>
      <c r="B1077" t="s">
        <v>587</v>
      </c>
      <c r="C1077" t="s">
        <v>1616</v>
      </c>
      <c r="D1077" t="str">
        <f t="shared" si="16"/>
        <v>SEINFRA3025</v>
      </c>
      <c r="E1077" t="s">
        <v>1600</v>
      </c>
    </row>
    <row r="1078" spans="1:5" hidden="1" x14ac:dyDescent="0.25">
      <c r="A1078">
        <v>1301</v>
      </c>
      <c r="B1078" t="s">
        <v>587</v>
      </c>
      <c r="C1078" t="s">
        <v>1617</v>
      </c>
      <c r="D1078" t="str">
        <f t="shared" si="16"/>
        <v>SEINFRA3026</v>
      </c>
      <c r="E1078" t="s">
        <v>1615</v>
      </c>
    </row>
    <row r="1079" spans="1:5" hidden="1" x14ac:dyDescent="0.25">
      <c r="A1079">
        <v>1301</v>
      </c>
      <c r="B1079" t="s">
        <v>587</v>
      </c>
      <c r="C1079" t="s">
        <v>466</v>
      </c>
      <c r="D1079" t="str">
        <f t="shared" si="16"/>
        <v>SEINFRA3030</v>
      </c>
      <c r="E1079" t="s">
        <v>1600</v>
      </c>
    </row>
    <row r="1080" spans="1:5" hidden="1" x14ac:dyDescent="0.25">
      <c r="A1080">
        <v>1301</v>
      </c>
      <c r="B1080" t="s">
        <v>587</v>
      </c>
      <c r="C1080" t="s">
        <v>469</v>
      </c>
      <c r="D1080" t="str">
        <f t="shared" si="16"/>
        <v>SEINFRA3031</v>
      </c>
      <c r="E1080" t="s">
        <v>1600</v>
      </c>
    </row>
    <row r="1081" spans="1:5" hidden="1" x14ac:dyDescent="0.25">
      <c r="A1081">
        <v>1301</v>
      </c>
      <c r="B1081" t="s">
        <v>587</v>
      </c>
      <c r="C1081" t="s">
        <v>490</v>
      </c>
      <c r="D1081" t="str">
        <f t="shared" si="16"/>
        <v>SEINFRA3099</v>
      </c>
      <c r="E1081" t="s">
        <v>1600</v>
      </c>
    </row>
    <row r="1082" spans="1:5" hidden="1" x14ac:dyDescent="0.25">
      <c r="A1082">
        <v>1301</v>
      </c>
      <c r="B1082" t="s">
        <v>587</v>
      </c>
      <c r="C1082" t="s">
        <v>53</v>
      </c>
      <c r="D1082" t="str">
        <f t="shared" si="16"/>
        <v>SEINFRA3301</v>
      </c>
      <c r="E1082" t="s">
        <v>43</v>
      </c>
    </row>
    <row r="1083" spans="1:5" hidden="1" x14ac:dyDescent="0.25">
      <c r="A1083">
        <v>1301</v>
      </c>
      <c r="B1083" t="s">
        <v>587</v>
      </c>
      <c r="C1083" t="s">
        <v>1626</v>
      </c>
      <c r="D1083" t="str">
        <f t="shared" si="16"/>
        <v>SEINFRA3302</v>
      </c>
      <c r="E1083" t="s">
        <v>43</v>
      </c>
    </row>
    <row r="1084" spans="1:5" hidden="1" x14ac:dyDescent="0.25">
      <c r="A1084">
        <v>1301</v>
      </c>
      <c r="B1084" t="s">
        <v>587</v>
      </c>
      <c r="C1084" t="s">
        <v>1627</v>
      </c>
      <c r="D1084" t="str">
        <f t="shared" si="16"/>
        <v>SEINFRA3304</v>
      </c>
      <c r="E1084" t="s">
        <v>43</v>
      </c>
    </row>
    <row r="1085" spans="1:5" hidden="1" x14ac:dyDescent="0.25">
      <c r="A1085">
        <v>1301</v>
      </c>
      <c r="B1085" t="s">
        <v>587</v>
      </c>
      <c r="C1085" t="s">
        <v>1705</v>
      </c>
      <c r="D1085" t="str">
        <f t="shared" si="16"/>
        <v>SEINFRA3502</v>
      </c>
      <c r="E1085" t="s">
        <v>1706</v>
      </c>
    </row>
    <row r="1086" spans="1:5" hidden="1" x14ac:dyDescent="0.25">
      <c r="A1086">
        <v>1301</v>
      </c>
      <c r="B1086" t="s">
        <v>587</v>
      </c>
      <c r="C1086" t="s">
        <v>354</v>
      </c>
      <c r="D1086" t="str">
        <f t="shared" si="16"/>
        <v>SEINFRA3610</v>
      </c>
      <c r="E1086" t="s">
        <v>1623</v>
      </c>
    </row>
    <row r="1087" spans="1:5" hidden="1" x14ac:dyDescent="0.25">
      <c r="A1087">
        <v>1301</v>
      </c>
      <c r="B1087" t="s">
        <v>587</v>
      </c>
      <c r="C1087" t="s">
        <v>1628</v>
      </c>
      <c r="D1087" t="str">
        <f t="shared" si="16"/>
        <v>SEINFRA3612</v>
      </c>
      <c r="E1087" t="s">
        <v>1623</v>
      </c>
    </row>
    <row r="1088" spans="1:5" hidden="1" x14ac:dyDescent="0.25">
      <c r="A1088">
        <v>1301</v>
      </c>
      <c r="B1088" t="s">
        <v>587</v>
      </c>
      <c r="C1088" t="s">
        <v>456</v>
      </c>
      <c r="D1088" t="str">
        <f t="shared" si="16"/>
        <v>SEINFRA3628</v>
      </c>
      <c r="E1088" t="s">
        <v>1623</v>
      </c>
    </row>
    <row r="1089" spans="1:5" hidden="1" x14ac:dyDescent="0.25">
      <c r="A1089">
        <v>1301</v>
      </c>
      <c r="B1089" t="s">
        <v>587</v>
      </c>
      <c r="C1089" t="s">
        <v>467</v>
      </c>
      <c r="D1089" t="str">
        <f t="shared" si="16"/>
        <v>SEINFRA3631</v>
      </c>
      <c r="E1089" t="s">
        <v>1645</v>
      </c>
    </row>
    <row r="1090" spans="1:5" hidden="1" x14ac:dyDescent="0.25">
      <c r="A1090">
        <v>1301</v>
      </c>
      <c r="B1090" t="s">
        <v>587</v>
      </c>
      <c r="C1090" t="s">
        <v>470</v>
      </c>
      <c r="D1090" t="str">
        <f t="shared" ref="D1090:D1153" si="17">CONCATENATE(B1090,LEFT(C1090,4))</f>
        <v>SEINFRA3699</v>
      </c>
      <c r="E1090" t="s">
        <v>1623</v>
      </c>
    </row>
    <row r="1091" spans="1:5" hidden="1" x14ac:dyDescent="0.25">
      <c r="A1091">
        <v>1301</v>
      </c>
      <c r="B1091" t="s">
        <v>587</v>
      </c>
      <c r="C1091" t="s">
        <v>1631</v>
      </c>
      <c r="D1091" t="str">
        <f t="shared" si="17"/>
        <v>SEINFRA3703</v>
      </c>
      <c r="E1091" t="s">
        <v>116</v>
      </c>
    </row>
    <row r="1092" spans="1:5" hidden="1" x14ac:dyDescent="0.25">
      <c r="A1092">
        <v>1301</v>
      </c>
      <c r="B1092" t="s">
        <v>587</v>
      </c>
      <c r="C1092" t="s">
        <v>1632</v>
      </c>
      <c r="D1092" t="str">
        <f t="shared" si="17"/>
        <v>SEINFRA3704</v>
      </c>
      <c r="E1092" t="s">
        <v>116</v>
      </c>
    </row>
    <row r="1093" spans="1:5" hidden="1" x14ac:dyDescent="0.25">
      <c r="A1093">
        <v>1301</v>
      </c>
      <c r="B1093" t="s">
        <v>587</v>
      </c>
      <c r="C1093" t="s">
        <v>1633</v>
      </c>
      <c r="D1093" t="str">
        <f t="shared" si="17"/>
        <v>SEINFRA3705</v>
      </c>
      <c r="E1093" t="s">
        <v>116</v>
      </c>
    </row>
    <row r="1094" spans="1:5" hidden="1" x14ac:dyDescent="0.25">
      <c r="A1094">
        <v>1301</v>
      </c>
      <c r="B1094" t="s">
        <v>587</v>
      </c>
      <c r="C1094" t="s">
        <v>325</v>
      </c>
      <c r="D1094" t="str">
        <f t="shared" si="17"/>
        <v>SEINFRA3906</v>
      </c>
      <c r="E1094" t="s">
        <v>1623</v>
      </c>
    </row>
    <row r="1095" spans="1:5" hidden="1" x14ac:dyDescent="0.25">
      <c r="A1095">
        <v>1301</v>
      </c>
      <c r="B1095" t="s">
        <v>587</v>
      </c>
      <c r="C1095" t="s">
        <v>345</v>
      </c>
      <c r="D1095" t="str">
        <f t="shared" si="17"/>
        <v>SEINFRA3910</v>
      </c>
      <c r="E1095" t="s">
        <v>1623</v>
      </c>
    </row>
    <row r="1096" spans="1:5" hidden="1" x14ac:dyDescent="0.25">
      <c r="A1096">
        <v>1301</v>
      </c>
      <c r="B1096" t="s">
        <v>587</v>
      </c>
      <c r="C1096" t="s">
        <v>355</v>
      </c>
      <c r="D1096" t="str">
        <f t="shared" si="17"/>
        <v>SEINFRA3911</v>
      </c>
      <c r="E1096" t="s">
        <v>1623</v>
      </c>
    </row>
    <row r="1097" spans="1:5" hidden="1" x14ac:dyDescent="0.25">
      <c r="A1097">
        <v>1301</v>
      </c>
      <c r="B1097" t="s">
        <v>587</v>
      </c>
      <c r="C1097" t="s">
        <v>1636</v>
      </c>
      <c r="D1097" t="str">
        <f t="shared" si="17"/>
        <v>SEINFRA3912</v>
      </c>
      <c r="E1097" t="s">
        <v>1637</v>
      </c>
    </row>
    <row r="1098" spans="1:5" hidden="1" x14ac:dyDescent="0.25">
      <c r="A1098">
        <v>1301</v>
      </c>
      <c r="B1098" t="s">
        <v>587</v>
      </c>
      <c r="C1098" t="s">
        <v>1638</v>
      </c>
      <c r="D1098" t="str">
        <f t="shared" si="17"/>
        <v>SEINFRA3913</v>
      </c>
      <c r="E1098" t="s">
        <v>1637</v>
      </c>
    </row>
    <row r="1099" spans="1:5" hidden="1" x14ac:dyDescent="0.25">
      <c r="A1099">
        <v>1301</v>
      </c>
      <c r="B1099" t="s">
        <v>587</v>
      </c>
      <c r="C1099" t="s">
        <v>383</v>
      </c>
      <c r="D1099" t="str">
        <f t="shared" si="17"/>
        <v>SEINFRA3915</v>
      </c>
      <c r="E1099" t="s">
        <v>1637</v>
      </c>
    </row>
    <row r="1100" spans="1:5" hidden="1" x14ac:dyDescent="0.25">
      <c r="A1100">
        <v>1301</v>
      </c>
      <c r="B1100" t="s">
        <v>587</v>
      </c>
      <c r="C1100" t="s">
        <v>1639</v>
      </c>
      <c r="D1100" t="str">
        <f t="shared" si="17"/>
        <v>SEINFRA3917</v>
      </c>
      <c r="E1100" t="s">
        <v>1615</v>
      </c>
    </row>
    <row r="1101" spans="1:5" hidden="1" x14ac:dyDescent="0.25">
      <c r="A1101">
        <v>1301</v>
      </c>
      <c r="B1101" t="s">
        <v>587</v>
      </c>
      <c r="C1101" t="s">
        <v>1640</v>
      </c>
      <c r="D1101" t="str">
        <f t="shared" si="17"/>
        <v>SEINFRA3918</v>
      </c>
      <c r="E1101" t="s">
        <v>1615</v>
      </c>
    </row>
    <row r="1102" spans="1:5" hidden="1" x14ac:dyDescent="0.25">
      <c r="A1102">
        <v>1301</v>
      </c>
      <c r="B1102" t="s">
        <v>587</v>
      </c>
      <c r="C1102" t="s">
        <v>1641</v>
      </c>
      <c r="D1102" t="str">
        <f t="shared" si="17"/>
        <v>SEINFRA3919</v>
      </c>
      <c r="E1102" t="s">
        <v>2102</v>
      </c>
    </row>
    <row r="1103" spans="1:5" hidden="1" x14ac:dyDescent="0.25">
      <c r="A1103">
        <v>1301</v>
      </c>
      <c r="B1103" t="s">
        <v>587</v>
      </c>
      <c r="C1103" t="s">
        <v>1642</v>
      </c>
      <c r="D1103" t="str">
        <f t="shared" si="17"/>
        <v>SEINFRA3921</v>
      </c>
      <c r="E1103" t="s">
        <v>2102</v>
      </c>
    </row>
    <row r="1104" spans="1:5" hidden="1" x14ac:dyDescent="0.25">
      <c r="A1104">
        <v>1301</v>
      </c>
      <c r="B1104" t="s">
        <v>587</v>
      </c>
      <c r="C1104" t="s">
        <v>1643</v>
      </c>
      <c r="D1104" t="str">
        <f t="shared" si="17"/>
        <v>SEINFRA3922</v>
      </c>
      <c r="E1104" t="s">
        <v>1611</v>
      </c>
    </row>
    <row r="1105" spans="1:5" hidden="1" x14ac:dyDescent="0.25">
      <c r="A1105">
        <v>1301</v>
      </c>
      <c r="B1105" t="s">
        <v>587</v>
      </c>
      <c r="C1105" t="s">
        <v>1644</v>
      </c>
      <c r="D1105" t="str">
        <f t="shared" si="17"/>
        <v>SEINFRA3924</v>
      </c>
      <c r="E1105" t="s">
        <v>1645</v>
      </c>
    </row>
    <row r="1106" spans="1:5" hidden="1" x14ac:dyDescent="0.25">
      <c r="A1106">
        <v>1301</v>
      </c>
      <c r="B1106" t="s">
        <v>587</v>
      </c>
      <c r="C1106" t="s">
        <v>437</v>
      </c>
      <c r="D1106" t="str">
        <f t="shared" si="17"/>
        <v>SEINFRA3925</v>
      </c>
      <c r="E1106" t="s">
        <v>1646</v>
      </c>
    </row>
    <row r="1107" spans="1:5" hidden="1" x14ac:dyDescent="0.25">
      <c r="A1107">
        <v>1301</v>
      </c>
      <c r="B1107" t="s">
        <v>587</v>
      </c>
      <c r="C1107" t="s">
        <v>442</v>
      </c>
      <c r="D1107" t="str">
        <f t="shared" si="17"/>
        <v>SEINFRA3926</v>
      </c>
      <c r="E1107" t="s">
        <v>1646</v>
      </c>
    </row>
    <row r="1108" spans="1:5" hidden="1" x14ac:dyDescent="0.25">
      <c r="A1108">
        <v>1301</v>
      </c>
      <c r="B1108" t="s">
        <v>587</v>
      </c>
      <c r="C1108" t="s">
        <v>1650</v>
      </c>
      <c r="D1108" t="str">
        <f t="shared" si="17"/>
        <v>SEINFRA3931</v>
      </c>
      <c r="E1108" t="s">
        <v>1623</v>
      </c>
    </row>
    <row r="1109" spans="1:5" hidden="1" x14ac:dyDescent="0.25">
      <c r="A1109">
        <v>1301</v>
      </c>
      <c r="B1109" t="s">
        <v>587</v>
      </c>
      <c r="C1109" t="s">
        <v>1652</v>
      </c>
      <c r="D1109" t="str">
        <f t="shared" si="17"/>
        <v>SEINFRA3936</v>
      </c>
      <c r="E1109" t="s">
        <v>93</v>
      </c>
    </row>
    <row r="1110" spans="1:5" hidden="1" x14ac:dyDescent="0.25">
      <c r="A1110">
        <v>1301</v>
      </c>
      <c r="B1110" t="s">
        <v>587</v>
      </c>
      <c r="C1110" t="s">
        <v>1653</v>
      </c>
      <c r="D1110" t="str">
        <f t="shared" si="17"/>
        <v>SEINFRA3940</v>
      </c>
      <c r="E1110" t="s">
        <v>1648</v>
      </c>
    </row>
    <row r="1111" spans="1:5" hidden="1" x14ac:dyDescent="0.25">
      <c r="A1111">
        <v>1301</v>
      </c>
      <c r="B1111" t="s">
        <v>587</v>
      </c>
      <c r="C1111" t="s">
        <v>479</v>
      </c>
      <c r="D1111" t="str">
        <f t="shared" si="17"/>
        <v>SEINFRA3941</v>
      </c>
      <c r="E1111" t="s">
        <v>1623</v>
      </c>
    </row>
    <row r="1112" spans="1:5" hidden="1" x14ac:dyDescent="0.25">
      <c r="A1112">
        <v>1301</v>
      </c>
      <c r="B1112" t="s">
        <v>587</v>
      </c>
      <c r="C1112" t="s">
        <v>1654</v>
      </c>
      <c r="D1112" t="str">
        <f t="shared" si="17"/>
        <v>SEINFRA3943</v>
      </c>
      <c r="E1112" t="s">
        <v>1615</v>
      </c>
    </row>
    <row r="1113" spans="1:5" hidden="1" x14ac:dyDescent="0.25">
      <c r="A1113">
        <v>1301</v>
      </c>
      <c r="B1113" t="s">
        <v>587</v>
      </c>
      <c r="C1113" t="s">
        <v>491</v>
      </c>
      <c r="D1113" t="str">
        <f t="shared" si="17"/>
        <v>SEINFRA3948</v>
      </c>
      <c r="E1113" t="s">
        <v>1645</v>
      </c>
    </row>
    <row r="1114" spans="1:5" hidden="1" x14ac:dyDescent="0.25">
      <c r="A1114">
        <v>1301</v>
      </c>
      <c r="B1114" t="s">
        <v>587</v>
      </c>
      <c r="C1114" t="s">
        <v>494</v>
      </c>
      <c r="D1114" t="str">
        <f t="shared" si="17"/>
        <v>SEINFRA3951</v>
      </c>
      <c r="E1114" t="s">
        <v>1671</v>
      </c>
    </row>
    <row r="1115" spans="1:5" hidden="1" x14ac:dyDescent="0.25">
      <c r="A1115">
        <v>1301</v>
      </c>
      <c r="B1115" t="s">
        <v>587</v>
      </c>
      <c r="C1115" t="s">
        <v>1701</v>
      </c>
      <c r="D1115" t="str">
        <f t="shared" si="17"/>
        <v>SEINFRA3952</v>
      </c>
      <c r="E1115" t="s">
        <v>64</v>
      </c>
    </row>
    <row r="1116" spans="1:5" hidden="1" x14ac:dyDescent="0.25">
      <c r="A1116">
        <v>1301</v>
      </c>
      <c r="B1116" t="s">
        <v>587</v>
      </c>
      <c r="C1116" t="s">
        <v>495</v>
      </c>
      <c r="D1116" t="str">
        <f t="shared" si="17"/>
        <v>SEINFRA3953</v>
      </c>
      <c r="E1116" t="s">
        <v>1645</v>
      </c>
    </row>
    <row r="1117" spans="1:5" hidden="1" x14ac:dyDescent="0.25">
      <c r="A1117">
        <v>1301</v>
      </c>
      <c r="B1117" t="s">
        <v>587</v>
      </c>
      <c r="C1117" t="s">
        <v>498</v>
      </c>
      <c r="D1117" t="str">
        <f t="shared" si="17"/>
        <v>SEINFRA3956</v>
      </c>
      <c r="E1117" t="s">
        <v>1623</v>
      </c>
    </row>
    <row r="1118" spans="1:5" hidden="1" x14ac:dyDescent="0.25">
      <c r="A1118">
        <v>1301</v>
      </c>
      <c r="B1118" t="s">
        <v>587</v>
      </c>
      <c r="C1118" t="s">
        <v>1656</v>
      </c>
      <c r="D1118" t="str">
        <f t="shared" si="17"/>
        <v>SEINFRA3959</v>
      </c>
      <c r="E1118" t="s">
        <v>1623</v>
      </c>
    </row>
    <row r="1119" spans="1:5" hidden="1" x14ac:dyDescent="0.25">
      <c r="A1119">
        <v>1301</v>
      </c>
      <c r="B1119" t="s">
        <v>587</v>
      </c>
      <c r="C1119" t="s">
        <v>1696</v>
      </c>
      <c r="D1119" t="str">
        <f t="shared" si="17"/>
        <v>SEINFRA3962</v>
      </c>
      <c r="E1119" t="s">
        <v>2103</v>
      </c>
    </row>
    <row r="1120" spans="1:5" hidden="1" x14ac:dyDescent="0.25">
      <c r="A1120">
        <v>1301</v>
      </c>
      <c r="B1120" t="s">
        <v>587</v>
      </c>
      <c r="C1120" t="s">
        <v>1718</v>
      </c>
      <c r="D1120" t="str">
        <f t="shared" si="17"/>
        <v>SEINFRA3964</v>
      </c>
      <c r="E1120" t="s">
        <v>1623</v>
      </c>
    </row>
    <row r="1121" spans="1:5" hidden="1" x14ac:dyDescent="0.25">
      <c r="A1121">
        <v>1301</v>
      </c>
      <c r="B1121" t="s">
        <v>587</v>
      </c>
      <c r="C1121" t="s">
        <v>1659</v>
      </c>
      <c r="D1121" t="str">
        <f t="shared" si="17"/>
        <v>SEINFRA3969</v>
      </c>
      <c r="E1121" t="s">
        <v>1637</v>
      </c>
    </row>
    <row r="1122" spans="1:5" hidden="1" x14ac:dyDescent="0.25">
      <c r="A1122">
        <v>1301</v>
      </c>
      <c r="B1122" t="s">
        <v>587</v>
      </c>
      <c r="C1122" t="s">
        <v>1761</v>
      </c>
      <c r="D1122" t="str">
        <f t="shared" si="17"/>
        <v>SEINFRA3975</v>
      </c>
      <c r="E1122" t="s">
        <v>1762</v>
      </c>
    </row>
    <row r="1123" spans="1:5" hidden="1" x14ac:dyDescent="0.25">
      <c r="A1123">
        <v>1301</v>
      </c>
      <c r="B1123" t="s">
        <v>587</v>
      </c>
      <c r="C1123" t="s">
        <v>520</v>
      </c>
      <c r="D1123" t="str">
        <f t="shared" si="17"/>
        <v>SEINFRA3981</v>
      </c>
      <c r="E1123" t="s">
        <v>1763</v>
      </c>
    </row>
    <row r="1124" spans="1:5" hidden="1" x14ac:dyDescent="0.25">
      <c r="A1124">
        <v>1301</v>
      </c>
      <c r="B1124" t="s">
        <v>587</v>
      </c>
      <c r="C1124" t="s">
        <v>1661</v>
      </c>
      <c r="D1124" t="str">
        <f t="shared" si="17"/>
        <v>SEINFRA3987</v>
      </c>
      <c r="E1124" t="s">
        <v>1615</v>
      </c>
    </row>
    <row r="1125" spans="1:5" hidden="1" x14ac:dyDescent="0.25">
      <c r="A1125">
        <v>1301</v>
      </c>
      <c r="B1125" t="s">
        <v>587</v>
      </c>
      <c r="C1125" t="s">
        <v>1764</v>
      </c>
      <c r="D1125" t="str">
        <f t="shared" si="17"/>
        <v>SEINFRA3993</v>
      </c>
      <c r="E1125" t="s">
        <v>1623</v>
      </c>
    </row>
    <row r="1126" spans="1:5" hidden="1" x14ac:dyDescent="0.25">
      <c r="A1126">
        <v>1301</v>
      </c>
      <c r="B1126" t="s">
        <v>587</v>
      </c>
      <c r="C1126" t="s">
        <v>1663</v>
      </c>
      <c r="D1126" t="str">
        <f t="shared" si="17"/>
        <v>SEINFRA3999</v>
      </c>
      <c r="E1126" t="s">
        <v>1623</v>
      </c>
    </row>
    <row r="1127" spans="1:5" hidden="1" x14ac:dyDescent="0.25">
      <c r="A1127">
        <v>1301</v>
      </c>
      <c r="B1127" t="s">
        <v>587</v>
      </c>
      <c r="C1127" t="s">
        <v>1664</v>
      </c>
      <c r="D1127" t="str">
        <f t="shared" si="17"/>
        <v>SEINFRA4002</v>
      </c>
      <c r="E1127" t="s">
        <v>1648</v>
      </c>
    </row>
    <row r="1128" spans="1:5" hidden="1" x14ac:dyDescent="0.25">
      <c r="A1128">
        <v>1301</v>
      </c>
      <c r="B1128" t="s">
        <v>587</v>
      </c>
      <c r="C1128" t="s">
        <v>1665</v>
      </c>
      <c r="D1128" t="str">
        <f t="shared" si="17"/>
        <v>SEINFRA4003</v>
      </c>
      <c r="E1128" t="s">
        <v>93</v>
      </c>
    </row>
    <row r="1129" spans="1:5" hidden="1" x14ac:dyDescent="0.25">
      <c r="A1129">
        <v>1301</v>
      </c>
      <c r="B1129" t="s">
        <v>587</v>
      </c>
      <c r="C1129" t="s">
        <v>1666</v>
      </c>
      <c r="D1129" t="str">
        <f t="shared" si="17"/>
        <v>SEINFRA4004</v>
      </c>
      <c r="E1129" t="s">
        <v>1648</v>
      </c>
    </row>
    <row r="1130" spans="1:5" hidden="1" x14ac:dyDescent="0.25">
      <c r="A1130">
        <v>1301</v>
      </c>
      <c r="B1130" t="s">
        <v>587</v>
      </c>
      <c r="C1130" t="s">
        <v>1698</v>
      </c>
      <c r="D1130" t="str">
        <f t="shared" si="17"/>
        <v>SEINFRA4006</v>
      </c>
      <c r="E1130" t="s">
        <v>1675</v>
      </c>
    </row>
    <row r="1131" spans="1:5" hidden="1" x14ac:dyDescent="0.25">
      <c r="A1131">
        <v>1301</v>
      </c>
      <c r="B1131" t="s">
        <v>587</v>
      </c>
      <c r="C1131" t="s">
        <v>1699</v>
      </c>
      <c r="D1131" t="str">
        <f t="shared" si="17"/>
        <v>SEINFRA4007</v>
      </c>
      <c r="E1131" t="s">
        <v>93</v>
      </c>
    </row>
    <row r="1132" spans="1:5" hidden="1" x14ac:dyDescent="0.25">
      <c r="A1132">
        <v>1301</v>
      </c>
      <c r="B1132" t="s">
        <v>587</v>
      </c>
      <c r="C1132" t="s">
        <v>1749</v>
      </c>
      <c r="D1132" t="str">
        <f t="shared" si="17"/>
        <v>SEINFRA4201</v>
      </c>
      <c r="E1132" t="s">
        <v>1728</v>
      </c>
    </row>
    <row r="1133" spans="1:5" hidden="1" x14ac:dyDescent="0.25">
      <c r="A1133">
        <v>1301</v>
      </c>
      <c r="B1133" t="s">
        <v>587</v>
      </c>
      <c r="C1133" t="s">
        <v>1750</v>
      </c>
      <c r="D1133" t="str">
        <f t="shared" si="17"/>
        <v>SEINFRA4301</v>
      </c>
      <c r="E1133" t="s">
        <v>1751</v>
      </c>
    </row>
    <row r="1134" spans="1:5" hidden="1" x14ac:dyDescent="0.25">
      <c r="A1134">
        <v>1301</v>
      </c>
      <c r="B1134" t="s">
        <v>587</v>
      </c>
      <c r="C1134" t="s">
        <v>237</v>
      </c>
      <c r="D1134" t="str">
        <f t="shared" si="17"/>
        <v>SEINFRA4501</v>
      </c>
      <c r="E1134" t="s">
        <v>1765</v>
      </c>
    </row>
    <row r="1135" spans="1:5" hidden="1" x14ac:dyDescent="0.25">
      <c r="A1135">
        <v>1301</v>
      </c>
      <c r="B1135" t="s">
        <v>587</v>
      </c>
      <c r="C1135" t="s">
        <v>1766</v>
      </c>
      <c r="D1135" t="str">
        <f t="shared" si="17"/>
        <v>SEINFRA4502</v>
      </c>
      <c r="E1135" t="s">
        <v>1767</v>
      </c>
    </row>
    <row r="1136" spans="1:5" hidden="1" x14ac:dyDescent="0.25">
      <c r="A1136">
        <v>1301</v>
      </c>
      <c r="B1136" t="s">
        <v>587</v>
      </c>
      <c r="C1136" t="s">
        <v>1668</v>
      </c>
      <c r="D1136" t="str">
        <f t="shared" si="17"/>
        <v>SEINFRA4701</v>
      </c>
      <c r="E1136" t="s">
        <v>1669</v>
      </c>
    </row>
    <row r="1137" spans="1:5" hidden="1" x14ac:dyDescent="0.25">
      <c r="A1137">
        <v>1301</v>
      </c>
      <c r="B1137" t="s">
        <v>587</v>
      </c>
      <c r="C1137" t="s">
        <v>264</v>
      </c>
      <c r="D1137" t="str">
        <f t="shared" si="17"/>
        <v>SEINFRA4703</v>
      </c>
      <c r="E1137" t="s">
        <v>1669</v>
      </c>
    </row>
    <row r="1138" spans="1:5" hidden="1" x14ac:dyDescent="0.25">
      <c r="A1138">
        <v>1301</v>
      </c>
      <c r="B1138" t="s">
        <v>587</v>
      </c>
      <c r="C1138" t="s">
        <v>327</v>
      </c>
      <c r="D1138" t="str">
        <f t="shared" si="17"/>
        <v>SEINFRA4707</v>
      </c>
      <c r="E1138" t="s">
        <v>1669</v>
      </c>
    </row>
    <row r="1139" spans="1:5" hidden="1" x14ac:dyDescent="0.25">
      <c r="A1139">
        <v>1301</v>
      </c>
      <c r="B1139" t="s">
        <v>587</v>
      </c>
      <c r="C1139" t="s">
        <v>337</v>
      </c>
      <c r="D1139" t="str">
        <f t="shared" si="17"/>
        <v>SEINFRA4708</v>
      </c>
      <c r="E1139" t="s">
        <v>1669</v>
      </c>
    </row>
    <row r="1140" spans="1:5" hidden="1" x14ac:dyDescent="0.25">
      <c r="A1140">
        <v>1301</v>
      </c>
      <c r="B1140" t="s">
        <v>587</v>
      </c>
      <c r="C1140" t="s">
        <v>347</v>
      </c>
      <c r="D1140" t="str">
        <f t="shared" si="17"/>
        <v>SEINFRA4709</v>
      </c>
      <c r="E1140" t="s">
        <v>1669</v>
      </c>
    </row>
    <row r="1141" spans="1:5" hidden="1" x14ac:dyDescent="0.25">
      <c r="A1141">
        <v>1301</v>
      </c>
      <c r="B1141" t="s">
        <v>587</v>
      </c>
      <c r="C1141" t="s">
        <v>363</v>
      </c>
      <c r="D1141" t="str">
        <f t="shared" si="17"/>
        <v>SEINFRA4799</v>
      </c>
      <c r="E1141" t="s">
        <v>1669</v>
      </c>
    </row>
    <row r="1142" spans="1:5" hidden="1" x14ac:dyDescent="0.25">
      <c r="A1142">
        <v>1301</v>
      </c>
      <c r="B1142" t="s">
        <v>587</v>
      </c>
      <c r="C1142" t="s">
        <v>1670</v>
      </c>
      <c r="D1142" t="str">
        <f t="shared" si="17"/>
        <v>SEINFRA5101</v>
      </c>
      <c r="E1142" t="s">
        <v>1671</v>
      </c>
    </row>
    <row r="1143" spans="1:5" hidden="1" x14ac:dyDescent="0.25">
      <c r="A1143">
        <v>1301</v>
      </c>
      <c r="B1143" t="s">
        <v>587</v>
      </c>
      <c r="C1143" t="s">
        <v>1672</v>
      </c>
      <c r="D1143" t="str">
        <f t="shared" si="17"/>
        <v>SEINFRA5103</v>
      </c>
      <c r="E1143" t="s">
        <v>1671</v>
      </c>
    </row>
    <row r="1144" spans="1:5" hidden="1" x14ac:dyDescent="0.25">
      <c r="A1144">
        <v>1301</v>
      </c>
      <c r="B1144" t="s">
        <v>587</v>
      </c>
      <c r="C1144" t="s">
        <v>316</v>
      </c>
      <c r="D1144" t="str">
        <f t="shared" si="17"/>
        <v>SEINFRA5106</v>
      </c>
      <c r="E1144" t="s">
        <v>1671</v>
      </c>
    </row>
    <row r="1145" spans="1:5" hidden="1" x14ac:dyDescent="0.25">
      <c r="A1145">
        <v>1301</v>
      </c>
      <c r="B1145" t="s">
        <v>587</v>
      </c>
      <c r="C1145" t="s">
        <v>172</v>
      </c>
      <c r="D1145" t="str">
        <f t="shared" si="17"/>
        <v>SEINFRA5107</v>
      </c>
      <c r="E1145" t="s">
        <v>1671</v>
      </c>
    </row>
    <row r="1146" spans="1:5" hidden="1" x14ac:dyDescent="0.25">
      <c r="A1146">
        <v>1301</v>
      </c>
      <c r="B1146" t="s">
        <v>587</v>
      </c>
      <c r="C1146" t="s">
        <v>1768</v>
      </c>
      <c r="D1146" t="str">
        <f t="shared" si="17"/>
        <v>SEINFRA5112</v>
      </c>
      <c r="E1146" t="s">
        <v>1671</v>
      </c>
    </row>
    <row r="1147" spans="1:5" hidden="1" x14ac:dyDescent="0.25">
      <c r="A1147">
        <v>1301</v>
      </c>
      <c r="B1147" t="s">
        <v>587</v>
      </c>
      <c r="C1147" t="s">
        <v>1721</v>
      </c>
      <c r="D1147" t="str">
        <f t="shared" si="17"/>
        <v>SEINFRA5114</v>
      </c>
      <c r="E1147" t="s">
        <v>1671</v>
      </c>
    </row>
    <row r="1148" spans="1:5" hidden="1" x14ac:dyDescent="0.25">
      <c r="A1148">
        <v>1301</v>
      </c>
      <c r="B1148" t="s">
        <v>587</v>
      </c>
      <c r="C1148" t="s">
        <v>1769</v>
      </c>
      <c r="D1148" t="str">
        <f t="shared" si="17"/>
        <v>SEINFRA5115</v>
      </c>
      <c r="E1148" t="s">
        <v>1671</v>
      </c>
    </row>
    <row r="1149" spans="1:5" hidden="1" x14ac:dyDescent="0.25">
      <c r="A1149">
        <v>1301</v>
      </c>
      <c r="B1149" t="s">
        <v>587</v>
      </c>
      <c r="C1149" t="s">
        <v>1676</v>
      </c>
      <c r="D1149" t="str">
        <f t="shared" si="17"/>
        <v>SEINFRA5207</v>
      </c>
      <c r="E1149" t="s">
        <v>1675</v>
      </c>
    </row>
    <row r="1150" spans="1:5" hidden="1" x14ac:dyDescent="0.25">
      <c r="A1150">
        <v>1301</v>
      </c>
      <c r="B1150" t="s">
        <v>587</v>
      </c>
      <c r="C1150" t="s">
        <v>1677</v>
      </c>
      <c r="D1150" t="str">
        <f t="shared" si="17"/>
        <v>SEINFRA5208</v>
      </c>
      <c r="E1150" t="s">
        <v>1675</v>
      </c>
    </row>
    <row r="1151" spans="1:5" hidden="1" x14ac:dyDescent="0.25">
      <c r="A1151">
        <v>1301</v>
      </c>
      <c r="B1151" t="s">
        <v>587</v>
      </c>
      <c r="C1151" t="s">
        <v>1679</v>
      </c>
      <c r="D1151" t="str">
        <f t="shared" si="17"/>
        <v>SEINFRA5212</v>
      </c>
      <c r="E1151" t="s">
        <v>1674</v>
      </c>
    </row>
    <row r="1152" spans="1:5" hidden="1" x14ac:dyDescent="0.25">
      <c r="A1152">
        <v>1301</v>
      </c>
      <c r="B1152" t="s">
        <v>587</v>
      </c>
      <c r="C1152" t="s">
        <v>458</v>
      </c>
      <c r="D1152" t="str">
        <f t="shared" si="17"/>
        <v>SEINFRA5299</v>
      </c>
      <c r="E1152" t="s">
        <v>1674</v>
      </c>
    </row>
    <row r="1153" spans="1:5" hidden="1" x14ac:dyDescent="0.25">
      <c r="A1153">
        <v>1301</v>
      </c>
      <c r="B1153" t="s">
        <v>587</v>
      </c>
      <c r="C1153" t="s">
        <v>340</v>
      </c>
      <c r="D1153" t="str">
        <f t="shared" si="17"/>
        <v>SEINFRA6107</v>
      </c>
      <c r="E1153" t="s">
        <v>1754</v>
      </c>
    </row>
    <row r="1154" spans="1:5" hidden="1" x14ac:dyDescent="0.25">
      <c r="A1154">
        <v>1301</v>
      </c>
      <c r="B1154" t="s">
        <v>587</v>
      </c>
      <c r="C1154" t="s">
        <v>1729</v>
      </c>
      <c r="D1154" t="str">
        <f t="shared" ref="D1154:D1217" si="18">CONCATENATE(B1154,LEFT(C1154,4))</f>
        <v>SEINFRA9201</v>
      </c>
      <c r="E1154" t="s">
        <v>1685</v>
      </c>
    </row>
    <row r="1155" spans="1:5" hidden="1" x14ac:dyDescent="0.25">
      <c r="A1155">
        <v>1301</v>
      </c>
      <c r="B1155" t="s">
        <v>587</v>
      </c>
      <c r="C1155" t="s">
        <v>1684</v>
      </c>
      <c r="D1155" t="str">
        <f t="shared" si="18"/>
        <v>SEINFRA9202</v>
      </c>
      <c r="E1155" t="s">
        <v>1685</v>
      </c>
    </row>
    <row r="1156" spans="1:5" hidden="1" x14ac:dyDescent="0.25">
      <c r="A1156">
        <v>1301</v>
      </c>
      <c r="B1156" t="s">
        <v>587</v>
      </c>
      <c r="C1156" t="s">
        <v>319</v>
      </c>
      <c r="D1156" t="str">
        <f t="shared" si="18"/>
        <v>SEINFRA9305</v>
      </c>
      <c r="E1156" t="s">
        <v>1623</v>
      </c>
    </row>
    <row r="1157" spans="1:5" hidden="1" x14ac:dyDescent="0.25">
      <c r="A1157">
        <v>1301</v>
      </c>
      <c r="B1157" t="s">
        <v>587</v>
      </c>
      <c r="C1157" t="s">
        <v>330</v>
      </c>
      <c r="D1157" t="str">
        <f t="shared" si="18"/>
        <v>SEINFRA9306</v>
      </c>
      <c r="E1157" t="s">
        <v>1686</v>
      </c>
    </row>
    <row r="1158" spans="1:5" hidden="1" x14ac:dyDescent="0.25">
      <c r="A1158">
        <v>1301</v>
      </c>
      <c r="B1158" t="s">
        <v>587</v>
      </c>
      <c r="C1158" t="s">
        <v>366</v>
      </c>
      <c r="D1158" t="str">
        <f t="shared" si="18"/>
        <v>SEINFRA9310</v>
      </c>
      <c r="E1158" t="s">
        <v>1623</v>
      </c>
    </row>
    <row r="1159" spans="1:5" hidden="1" x14ac:dyDescent="0.25">
      <c r="A1159">
        <v>1301</v>
      </c>
      <c r="B1159" t="s">
        <v>587</v>
      </c>
      <c r="C1159" t="s">
        <v>391</v>
      </c>
      <c r="D1159" t="str">
        <f t="shared" si="18"/>
        <v>SEINFRA9314</v>
      </c>
      <c r="E1159" t="s">
        <v>1623</v>
      </c>
    </row>
    <row r="1160" spans="1:5" hidden="1" x14ac:dyDescent="0.25">
      <c r="A1160">
        <v>1301</v>
      </c>
      <c r="B1160" t="s">
        <v>587</v>
      </c>
      <c r="C1160" t="s">
        <v>1687</v>
      </c>
      <c r="D1160" t="str">
        <f t="shared" si="18"/>
        <v>SEINFRA9399</v>
      </c>
      <c r="E1160" t="s">
        <v>2105</v>
      </c>
    </row>
    <row r="1161" spans="1:5" hidden="1" x14ac:dyDescent="0.25">
      <c r="A1161">
        <v>1301</v>
      </c>
      <c r="B1161" t="s">
        <v>587</v>
      </c>
      <c r="C1161" t="s">
        <v>497</v>
      </c>
      <c r="D1161" t="str">
        <f t="shared" si="18"/>
        <v>SEINFRA3955</v>
      </c>
      <c r="E1161" t="s">
        <v>1623</v>
      </c>
    </row>
    <row r="1162" spans="1:5" hidden="1" x14ac:dyDescent="0.25">
      <c r="A1162">
        <v>1371</v>
      </c>
      <c r="B1162" t="s">
        <v>589</v>
      </c>
      <c r="C1162" t="s">
        <v>1770</v>
      </c>
      <c r="D1162" t="str">
        <f t="shared" si="18"/>
        <v>SEMAD0409</v>
      </c>
      <c r="E1162" t="s">
        <v>1646</v>
      </c>
    </row>
    <row r="1163" spans="1:5" hidden="1" x14ac:dyDescent="0.25">
      <c r="A1163">
        <v>1371</v>
      </c>
      <c r="B1163" t="s">
        <v>589</v>
      </c>
      <c r="C1163" t="s">
        <v>1595</v>
      </c>
      <c r="D1163" t="str">
        <f t="shared" si="18"/>
        <v>SEMAD0810</v>
      </c>
      <c r="E1163" t="s">
        <v>1596</v>
      </c>
    </row>
    <row r="1164" spans="1:5" hidden="1" x14ac:dyDescent="0.25">
      <c r="A1164">
        <v>1371</v>
      </c>
      <c r="B1164" t="s">
        <v>589</v>
      </c>
      <c r="C1164" t="s">
        <v>331</v>
      </c>
      <c r="D1164" t="str">
        <f t="shared" si="18"/>
        <v>SEMAD1314</v>
      </c>
      <c r="E1164" t="s">
        <v>1689</v>
      </c>
    </row>
    <row r="1165" spans="1:5" hidden="1" x14ac:dyDescent="0.25">
      <c r="A1165">
        <v>1371</v>
      </c>
      <c r="B1165" t="s">
        <v>589</v>
      </c>
      <c r="C1165" t="s">
        <v>1688</v>
      </c>
      <c r="D1165" t="str">
        <f t="shared" si="18"/>
        <v>SEMAD1317</v>
      </c>
      <c r="E1165" t="s">
        <v>1689</v>
      </c>
    </row>
    <row r="1166" spans="1:5" hidden="1" x14ac:dyDescent="0.25">
      <c r="A1166">
        <v>1371</v>
      </c>
      <c r="B1166" t="s">
        <v>589</v>
      </c>
      <c r="C1166" t="s">
        <v>1597</v>
      </c>
      <c r="D1166" t="str">
        <f t="shared" si="18"/>
        <v>SEMAD1401</v>
      </c>
      <c r="E1166" t="s">
        <v>43</v>
      </c>
    </row>
    <row r="1167" spans="1:5" hidden="1" x14ac:dyDescent="0.25">
      <c r="A1167">
        <v>1371</v>
      </c>
      <c r="B1167" t="s">
        <v>589</v>
      </c>
      <c r="C1167" t="s">
        <v>1598</v>
      </c>
      <c r="D1167" t="str">
        <f t="shared" si="18"/>
        <v>SEMAD1501</v>
      </c>
      <c r="E1167" t="s">
        <v>43</v>
      </c>
    </row>
    <row r="1168" spans="1:5" hidden="1" x14ac:dyDescent="0.25">
      <c r="A1168">
        <v>1371</v>
      </c>
      <c r="B1168" t="s">
        <v>589</v>
      </c>
      <c r="C1168" t="s">
        <v>1599</v>
      </c>
      <c r="D1168" t="str">
        <f t="shared" si="18"/>
        <v>SEMAD3001</v>
      </c>
      <c r="E1168" t="s">
        <v>1600</v>
      </c>
    </row>
    <row r="1169" spans="1:5" hidden="1" x14ac:dyDescent="0.25">
      <c r="A1169">
        <v>1371</v>
      </c>
      <c r="B1169" t="s">
        <v>589</v>
      </c>
      <c r="C1169" t="s">
        <v>255</v>
      </c>
      <c r="D1169" t="str">
        <f t="shared" si="18"/>
        <v>SEMAD3002</v>
      </c>
      <c r="E1169" t="s">
        <v>1600</v>
      </c>
    </row>
    <row r="1170" spans="1:5" hidden="1" x14ac:dyDescent="0.25">
      <c r="A1170">
        <v>1371</v>
      </c>
      <c r="B1170" t="s">
        <v>589</v>
      </c>
      <c r="C1170" t="s">
        <v>1601</v>
      </c>
      <c r="D1170" t="str">
        <f t="shared" si="18"/>
        <v>SEMAD3003</v>
      </c>
      <c r="E1170" t="s">
        <v>1600</v>
      </c>
    </row>
    <row r="1171" spans="1:5" hidden="1" x14ac:dyDescent="0.25">
      <c r="A1171">
        <v>1371</v>
      </c>
      <c r="B1171" t="s">
        <v>589</v>
      </c>
      <c r="C1171" t="s">
        <v>1602</v>
      </c>
      <c r="D1171" t="str">
        <f t="shared" si="18"/>
        <v>SEMAD3004</v>
      </c>
      <c r="E1171" t="s">
        <v>1600</v>
      </c>
    </row>
    <row r="1172" spans="1:5" hidden="1" x14ac:dyDescent="0.25">
      <c r="A1172">
        <v>1371</v>
      </c>
      <c r="B1172" t="s">
        <v>589</v>
      </c>
      <c r="C1172" t="s">
        <v>1603</v>
      </c>
      <c r="D1172" t="str">
        <f t="shared" si="18"/>
        <v>SEMAD3005</v>
      </c>
      <c r="E1172" t="s">
        <v>1600</v>
      </c>
    </row>
    <row r="1173" spans="1:5" hidden="1" x14ac:dyDescent="0.25">
      <c r="A1173">
        <v>1371</v>
      </c>
      <c r="B1173" t="s">
        <v>589</v>
      </c>
      <c r="C1173" t="s">
        <v>1604</v>
      </c>
      <c r="D1173" t="str">
        <f t="shared" si="18"/>
        <v>SEMAD3008</v>
      </c>
      <c r="E1173" t="s">
        <v>1600</v>
      </c>
    </row>
    <row r="1174" spans="1:5" hidden="1" x14ac:dyDescent="0.25">
      <c r="A1174">
        <v>1371</v>
      </c>
      <c r="B1174" t="s">
        <v>589</v>
      </c>
      <c r="C1174" t="s">
        <v>1605</v>
      </c>
      <c r="D1174" t="str">
        <f t="shared" si="18"/>
        <v>SEMAD3010</v>
      </c>
      <c r="E1174" t="s">
        <v>1606</v>
      </c>
    </row>
    <row r="1175" spans="1:5" hidden="1" x14ac:dyDescent="0.25">
      <c r="A1175">
        <v>1371</v>
      </c>
      <c r="B1175" t="s">
        <v>589</v>
      </c>
      <c r="C1175" t="s">
        <v>137</v>
      </c>
      <c r="D1175" t="str">
        <f t="shared" si="18"/>
        <v>SEMAD3012</v>
      </c>
      <c r="E1175" t="s">
        <v>1606</v>
      </c>
    </row>
    <row r="1176" spans="1:5" hidden="1" x14ac:dyDescent="0.25">
      <c r="A1176">
        <v>1371</v>
      </c>
      <c r="B1176" t="s">
        <v>589</v>
      </c>
      <c r="C1176" t="s">
        <v>1607</v>
      </c>
      <c r="D1176" t="str">
        <f t="shared" si="18"/>
        <v>SEMAD3013</v>
      </c>
      <c r="E1176" t="s">
        <v>1600</v>
      </c>
    </row>
    <row r="1177" spans="1:5" hidden="1" x14ac:dyDescent="0.25">
      <c r="A1177">
        <v>1371</v>
      </c>
      <c r="B1177" t="s">
        <v>589</v>
      </c>
      <c r="C1177" t="s">
        <v>1608</v>
      </c>
      <c r="D1177" t="str">
        <f t="shared" si="18"/>
        <v>SEMAD3015</v>
      </c>
      <c r="E1177" t="s">
        <v>1600</v>
      </c>
    </row>
    <row r="1178" spans="1:5" hidden="1" x14ac:dyDescent="0.25">
      <c r="A1178">
        <v>1371</v>
      </c>
      <c r="B1178" t="s">
        <v>589</v>
      </c>
      <c r="C1178" t="s">
        <v>1609</v>
      </c>
      <c r="D1178" t="str">
        <f t="shared" si="18"/>
        <v>SEMAD3016</v>
      </c>
      <c r="E1178" t="s">
        <v>1600</v>
      </c>
    </row>
    <row r="1179" spans="1:5" hidden="1" x14ac:dyDescent="0.25">
      <c r="A1179">
        <v>1371</v>
      </c>
      <c r="B1179" t="s">
        <v>589</v>
      </c>
      <c r="C1179" t="s">
        <v>405</v>
      </c>
      <c r="D1179" t="str">
        <f t="shared" si="18"/>
        <v>SEMAD3017</v>
      </c>
      <c r="E1179" t="s">
        <v>1600</v>
      </c>
    </row>
    <row r="1180" spans="1:5" hidden="1" x14ac:dyDescent="0.25">
      <c r="A1180">
        <v>1371</v>
      </c>
      <c r="B1180" t="s">
        <v>589</v>
      </c>
      <c r="C1180" t="s">
        <v>1610</v>
      </c>
      <c r="D1180" t="str">
        <f t="shared" si="18"/>
        <v>SEMAD3019</v>
      </c>
      <c r="E1180" t="s">
        <v>1611</v>
      </c>
    </row>
    <row r="1181" spans="1:5" hidden="1" x14ac:dyDescent="0.25">
      <c r="A1181">
        <v>1371</v>
      </c>
      <c r="B1181" t="s">
        <v>589</v>
      </c>
      <c r="C1181" t="s">
        <v>1612</v>
      </c>
      <c r="D1181" t="str">
        <f t="shared" si="18"/>
        <v>SEMAD3020</v>
      </c>
      <c r="E1181" t="s">
        <v>1600</v>
      </c>
    </row>
    <row r="1182" spans="1:5" hidden="1" x14ac:dyDescent="0.25">
      <c r="A1182">
        <v>1371</v>
      </c>
      <c r="B1182" t="s">
        <v>589</v>
      </c>
      <c r="C1182" t="s">
        <v>1613</v>
      </c>
      <c r="D1182" t="str">
        <f t="shared" si="18"/>
        <v>SEMAD3021</v>
      </c>
      <c r="E1182" t="s">
        <v>1600</v>
      </c>
    </row>
    <row r="1183" spans="1:5" hidden="1" x14ac:dyDescent="0.25">
      <c r="A1183">
        <v>1371</v>
      </c>
      <c r="B1183" t="s">
        <v>589</v>
      </c>
      <c r="C1183" t="s">
        <v>430</v>
      </c>
      <c r="D1183" t="str">
        <f t="shared" si="18"/>
        <v>SEMAD3022</v>
      </c>
      <c r="E1183" t="s">
        <v>1600</v>
      </c>
    </row>
    <row r="1184" spans="1:5" hidden="1" x14ac:dyDescent="0.25">
      <c r="A1184">
        <v>1371</v>
      </c>
      <c r="B1184" t="s">
        <v>589</v>
      </c>
      <c r="C1184" t="s">
        <v>1614</v>
      </c>
      <c r="D1184" t="str">
        <f t="shared" si="18"/>
        <v>SEMAD3023</v>
      </c>
      <c r="E1184" t="s">
        <v>1615</v>
      </c>
    </row>
    <row r="1185" spans="1:5" hidden="1" x14ac:dyDescent="0.25">
      <c r="A1185">
        <v>1371</v>
      </c>
      <c r="B1185" t="s">
        <v>589</v>
      </c>
      <c r="C1185" t="s">
        <v>440</v>
      </c>
      <c r="D1185" t="str">
        <f t="shared" si="18"/>
        <v>SEMAD3024</v>
      </c>
      <c r="E1185" t="s">
        <v>1600</v>
      </c>
    </row>
    <row r="1186" spans="1:5" hidden="1" x14ac:dyDescent="0.25">
      <c r="A1186">
        <v>1371</v>
      </c>
      <c r="B1186" t="s">
        <v>589</v>
      </c>
      <c r="C1186" t="s">
        <v>1616</v>
      </c>
      <c r="D1186" t="str">
        <f t="shared" si="18"/>
        <v>SEMAD3025</v>
      </c>
      <c r="E1186" t="s">
        <v>1600</v>
      </c>
    </row>
    <row r="1187" spans="1:5" hidden="1" x14ac:dyDescent="0.25">
      <c r="A1187">
        <v>1371</v>
      </c>
      <c r="B1187" t="s">
        <v>589</v>
      </c>
      <c r="C1187" t="s">
        <v>1617</v>
      </c>
      <c r="D1187" t="str">
        <f t="shared" si="18"/>
        <v>SEMAD3026</v>
      </c>
      <c r="E1187" t="s">
        <v>1615</v>
      </c>
    </row>
    <row r="1188" spans="1:5" hidden="1" x14ac:dyDescent="0.25">
      <c r="A1188">
        <v>1371</v>
      </c>
      <c r="B1188" t="s">
        <v>589</v>
      </c>
      <c r="C1188" t="s">
        <v>1618</v>
      </c>
      <c r="D1188" t="str">
        <f t="shared" si="18"/>
        <v>SEMAD3027</v>
      </c>
      <c r="E1188" t="s">
        <v>1600</v>
      </c>
    </row>
    <row r="1189" spans="1:5" hidden="1" x14ac:dyDescent="0.25">
      <c r="A1189">
        <v>1371</v>
      </c>
      <c r="B1189" t="s">
        <v>589</v>
      </c>
      <c r="C1189" t="s">
        <v>466</v>
      </c>
      <c r="D1189" t="str">
        <f t="shared" si="18"/>
        <v>SEMAD3030</v>
      </c>
      <c r="E1189" t="s">
        <v>1600</v>
      </c>
    </row>
    <row r="1190" spans="1:5" hidden="1" x14ac:dyDescent="0.25">
      <c r="A1190">
        <v>1371</v>
      </c>
      <c r="B1190" t="s">
        <v>589</v>
      </c>
      <c r="C1190" t="s">
        <v>1619</v>
      </c>
      <c r="D1190" t="str">
        <f t="shared" si="18"/>
        <v>SEMAD3032</v>
      </c>
      <c r="E1190" t="s">
        <v>1600</v>
      </c>
    </row>
    <row r="1191" spans="1:5" hidden="1" x14ac:dyDescent="0.25">
      <c r="A1191">
        <v>1371</v>
      </c>
      <c r="B1191" t="s">
        <v>589</v>
      </c>
      <c r="C1191" t="s">
        <v>1620</v>
      </c>
      <c r="D1191" t="str">
        <f t="shared" si="18"/>
        <v>SEMAD3033</v>
      </c>
      <c r="E1191" t="s">
        <v>1621</v>
      </c>
    </row>
    <row r="1192" spans="1:5" hidden="1" x14ac:dyDescent="0.25">
      <c r="A1192">
        <v>1371</v>
      </c>
      <c r="B1192" t="s">
        <v>589</v>
      </c>
      <c r="C1192" t="s">
        <v>476</v>
      </c>
      <c r="D1192" t="str">
        <f t="shared" si="18"/>
        <v>SEMAD3034</v>
      </c>
      <c r="E1192" t="s">
        <v>1621</v>
      </c>
    </row>
    <row r="1193" spans="1:5" hidden="1" x14ac:dyDescent="0.25">
      <c r="A1193">
        <v>1371</v>
      </c>
      <c r="B1193" t="s">
        <v>589</v>
      </c>
      <c r="C1193" t="s">
        <v>490</v>
      </c>
      <c r="D1193" t="str">
        <f t="shared" si="18"/>
        <v>SEMAD3099</v>
      </c>
      <c r="E1193" t="s">
        <v>1600</v>
      </c>
    </row>
    <row r="1194" spans="1:5" hidden="1" x14ac:dyDescent="0.25">
      <c r="A1194">
        <v>1371</v>
      </c>
      <c r="B1194" t="s">
        <v>589</v>
      </c>
      <c r="C1194" t="s">
        <v>1622</v>
      </c>
      <c r="D1194" t="str">
        <f t="shared" si="18"/>
        <v>SEMAD3101</v>
      </c>
      <c r="E1194" t="s">
        <v>1771</v>
      </c>
    </row>
    <row r="1195" spans="1:5" hidden="1" x14ac:dyDescent="0.25">
      <c r="A1195">
        <v>1371</v>
      </c>
      <c r="B1195" t="s">
        <v>589</v>
      </c>
      <c r="C1195" t="s">
        <v>53</v>
      </c>
      <c r="D1195" t="str">
        <f t="shared" si="18"/>
        <v>SEMAD3301</v>
      </c>
      <c r="E1195" t="s">
        <v>43</v>
      </c>
    </row>
    <row r="1196" spans="1:5" hidden="1" x14ac:dyDescent="0.25">
      <c r="A1196">
        <v>1371</v>
      </c>
      <c r="B1196" t="s">
        <v>589</v>
      </c>
      <c r="C1196" t="s">
        <v>1626</v>
      </c>
      <c r="D1196" t="str">
        <f t="shared" si="18"/>
        <v>SEMAD3302</v>
      </c>
      <c r="E1196" t="s">
        <v>43</v>
      </c>
    </row>
    <row r="1197" spans="1:5" hidden="1" x14ac:dyDescent="0.25">
      <c r="A1197">
        <v>1371</v>
      </c>
      <c r="B1197" t="s">
        <v>589</v>
      </c>
      <c r="C1197" t="s">
        <v>1627</v>
      </c>
      <c r="D1197" t="str">
        <f t="shared" si="18"/>
        <v>SEMAD3304</v>
      </c>
      <c r="E1197" t="s">
        <v>43</v>
      </c>
    </row>
    <row r="1198" spans="1:5" hidden="1" x14ac:dyDescent="0.25">
      <c r="A1198">
        <v>1371</v>
      </c>
      <c r="B1198" t="s">
        <v>589</v>
      </c>
      <c r="C1198" t="s">
        <v>1741</v>
      </c>
      <c r="D1198" t="str">
        <f t="shared" si="18"/>
        <v>SEMAD3501</v>
      </c>
      <c r="E1198" t="s">
        <v>1706</v>
      </c>
    </row>
    <row r="1199" spans="1:5" hidden="1" x14ac:dyDescent="0.25">
      <c r="A1199">
        <v>1371</v>
      </c>
      <c r="B1199" t="s">
        <v>589</v>
      </c>
      <c r="C1199" t="s">
        <v>1705</v>
      </c>
      <c r="D1199" t="str">
        <f t="shared" si="18"/>
        <v>SEMAD3502</v>
      </c>
      <c r="E1199" t="s">
        <v>1706</v>
      </c>
    </row>
    <row r="1200" spans="1:5" hidden="1" x14ac:dyDescent="0.25">
      <c r="A1200">
        <v>1371</v>
      </c>
      <c r="B1200" t="s">
        <v>589</v>
      </c>
      <c r="C1200" t="s">
        <v>296</v>
      </c>
      <c r="D1200" t="str">
        <f t="shared" si="18"/>
        <v>SEMAD3604</v>
      </c>
      <c r="E1200" t="s">
        <v>43</v>
      </c>
    </row>
    <row r="1201" spans="1:5" hidden="1" x14ac:dyDescent="0.25">
      <c r="A1201">
        <v>1371</v>
      </c>
      <c r="B1201" t="s">
        <v>589</v>
      </c>
      <c r="C1201" t="s">
        <v>1742</v>
      </c>
      <c r="D1201" t="str">
        <f t="shared" si="18"/>
        <v>SEMAD3605</v>
      </c>
      <c r="E1201" t="s">
        <v>1772</v>
      </c>
    </row>
    <row r="1202" spans="1:5" hidden="1" x14ac:dyDescent="0.25">
      <c r="A1202">
        <v>1371</v>
      </c>
      <c r="B1202" t="s">
        <v>589</v>
      </c>
      <c r="C1202" t="s">
        <v>354</v>
      </c>
      <c r="D1202" t="str">
        <f t="shared" si="18"/>
        <v>SEMAD3610</v>
      </c>
      <c r="E1202" t="s">
        <v>1773</v>
      </c>
    </row>
    <row r="1203" spans="1:5" hidden="1" x14ac:dyDescent="0.25">
      <c r="A1203">
        <v>1371</v>
      </c>
      <c r="B1203" t="s">
        <v>589</v>
      </c>
      <c r="C1203" t="s">
        <v>1707</v>
      </c>
      <c r="D1203" t="str">
        <f t="shared" si="18"/>
        <v>SEMAD3611</v>
      </c>
      <c r="E1203" t="s">
        <v>1692</v>
      </c>
    </row>
    <row r="1204" spans="1:5" hidden="1" x14ac:dyDescent="0.25">
      <c r="A1204">
        <v>1371</v>
      </c>
      <c r="B1204" t="s">
        <v>589</v>
      </c>
      <c r="C1204" t="s">
        <v>1628</v>
      </c>
      <c r="D1204" t="str">
        <f t="shared" si="18"/>
        <v>SEMAD3612</v>
      </c>
      <c r="E1204" t="s">
        <v>1774</v>
      </c>
    </row>
    <row r="1205" spans="1:5" hidden="1" x14ac:dyDescent="0.25">
      <c r="A1205">
        <v>1371</v>
      </c>
      <c r="B1205" t="s">
        <v>589</v>
      </c>
      <c r="C1205" t="s">
        <v>388</v>
      </c>
      <c r="D1205" t="str">
        <f t="shared" si="18"/>
        <v>SEMAD3615</v>
      </c>
      <c r="E1205" t="s">
        <v>1646</v>
      </c>
    </row>
    <row r="1206" spans="1:5" hidden="1" x14ac:dyDescent="0.25">
      <c r="A1206">
        <v>1371</v>
      </c>
      <c r="B1206" t="s">
        <v>589</v>
      </c>
      <c r="C1206" t="s">
        <v>1743</v>
      </c>
      <c r="D1206" t="str">
        <f t="shared" si="18"/>
        <v>SEMAD3616</v>
      </c>
      <c r="E1206" t="s">
        <v>1615</v>
      </c>
    </row>
    <row r="1207" spans="1:5" hidden="1" x14ac:dyDescent="0.25">
      <c r="A1207">
        <v>1371</v>
      </c>
      <c r="B1207" t="s">
        <v>589</v>
      </c>
      <c r="C1207" t="s">
        <v>400</v>
      </c>
      <c r="D1207" t="str">
        <f t="shared" si="18"/>
        <v>SEMAD3617</v>
      </c>
      <c r="E1207" t="s">
        <v>1775</v>
      </c>
    </row>
    <row r="1208" spans="1:5" hidden="1" x14ac:dyDescent="0.25">
      <c r="A1208">
        <v>1371</v>
      </c>
      <c r="B1208" t="s">
        <v>589</v>
      </c>
      <c r="C1208" t="s">
        <v>470</v>
      </c>
      <c r="D1208" t="str">
        <f t="shared" si="18"/>
        <v>SEMAD3699</v>
      </c>
      <c r="E1208" t="s">
        <v>1776</v>
      </c>
    </row>
    <row r="1209" spans="1:5" hidden="1" x14ac:dyDescent="0.25">
      <c r="A1209">
        <v>1371</v>
      </c>
      <c r="B1209" t="s">
        <v>589</v>
      </c>
      <c r="C1209" t="s">
        <v>1693</v>
      </c>
      <c r="D1209" t="str">
        <f t="shared" si="18"/>
        <v>SEMAD3702</v>
      </c>
      <c r="E1209" t="s">
        <v>1630</v>
      </c>
    </row>
    <row r="1210" spans="1:5" hidden="1" x14ac:dyDescent="0.25">
      <c r="A1210">
        <v>1371</v>
      </c>
      <c r="B1210" t="s">
        <v>589</v>
      </c>
      <c r="C1210" t="s">
        <v>1631</v>
      </c>
      <c r="D1210" t="str">
        <f t="shared" si="18"/>
        <v>SEMAD3703</v>
      </c>
      <c r="E1210" t="s">
        <v>116</v>
      </c>
    </row>
    <row r="1211" spans="1:5" hidden="1" x14ac:dyDescent="0.25">
      <c r="A1211">
        <v>1371</v>
      </c>
      <c r="B1211" t="s">
        <v>589</v>
      </c>
      <c r="C1211" t="s">
        <v>1632</v>
      </c>
      <c r="D1211" t="str">
        <f t="shared" si="18"/>
        <v>SEMAD3704</v>
      </c>
      <c r="E1211" t="s">
        <v>116</v>
      </c>
    </row>
    <row r="1212" spans="1:5" hidden="1" x14ac:dyDescent="0.25">
      <c r="A1212">
        <v>1371</v>
      </c>
      <c r="B1212" t="s">
        <v>589</v>
      </c>
      <c r="C1212" t="s">
        <v>1633</v>
      </c>
      <c r="D1212" t="str">
        <f t="shared" si="18"/>
        <v>SEMAD3705</v>
      </c>
      <c r="E1212" t="s">
        <v>116</v>
      </c>
    </row>
    <row r="1213" spans="1:5" hidden="1" x14ac:dyDescent="0.25">
      <c r="A1213">
        <v>1371</v>
      </c>
      <c r="B1213" t="s">
        <v>589</v>
      </c>
      <c r="C1213" t="s">
        <v>1634</v>
      </c>
      <c r="D1213" t="str">
        <f t="shared" si="18"/>
        <v>SEMAD3903</v>
      </c>
      <c r="E1213" t="s">
        <v>86</v>
      </c>
    </row>
    <row r="1214" spans="1:5" hidden="1" x14ac:dyDescent="0.25">
      <c r="A1214">
        <v>1371</v>
      </c>
      <c r="B1214" t="s">
        <v>589</v>
      </c>
      <c r="C1214" t="s">
        <v>298</v>
      </c>
      <c r="D1214" t="str">
        <f t="shared" si="18"/>
        <v>SEMAD3904</v>
      </c>
      <c r="E1214" t="s">
        <v>1777</v>
      </c>
    </row>
    <row r="1215" spans="1:5" hidden="1" x14ac:dyDescent="0.25">
      <c r="A1215">
        <v>1371</v>
      </c>
      <c r="B1215" t="s">
        <v>589</v>
      </c>
      <c r="C1215" t="s">
        <v>325</v>
      </c>
      <c r="D1215" t="str">
        <f t="shared" si="18"/>
        <v>SEMAD3906</v>
      </c>
      <c r="E1215" t="s">
        <v>1778</v>
      </c>
    </row>
    <row r="1216" spans="1:5" hidden="1" x14ac:dyDescent="0.25">
      <c r="A1216">
        <v>1371</v>
      </c>
      <c r="B1216" t="s">
        <v>589</v>
      </c>
      <c r="C1216" t="s">
        <v>345</v>
      </c>
      <c r="D1216" t="str">
        <f t="shared" si="18"/>
        <v>SEMAD3910</v>
      </c>
      <c r="E1216" t="s">
        <v>2109</v>
      </c>
    </row>
    <row r="1217" spans="1:5" hidden="1" x14ac:dyDescent="0.25">
      <c r="A1217">
        <v>1371</v>
      </c>
      <c r="B1217" t="s">
        <v>589</v>
      </c>
      <c r="C1217" t="s">
        <v>1636</v>
      </c>
      <c r="D1217" t="str">
        <f t="shared" si="18"/>
        <v>SEMAD3912</v>
      </c>
      <c r="E1217" t="s">
        <v>1637</v>
      </c>
    </row>
    <row r="1218" spans="1:5" hidden="1" x14ac:dyDescent="0.25">
      <c r="A1218">
        <v>1371</v>
      </c>
      <c r="B1218" t="s">
        <v>589</v>
      </c>
      <c r="C1218" t="s">
        <v>1638</v>
      </c>
      <c r="D1218" t="str">
        <f t="shared" ref="D1218:D1281" si="19">CONCATENATE(B1218,LEFT(C1218,4))</f>
        <v>SEMAD3913</v>
      </c>
      <c r="E1218" t="s">
        <v>1637</v>
      </c>
    </row>
    <row r="1219" spans="1:5" hidden="1" x14ac:dyDescent="0.25">
      <c r="A1219">
        <v>1371</v>
      </c>
      <c r="B1219" t="s">
        <v>589</v>
      </c>
      <c r="C1219" t="s">
        <v>383</v>
      </c>
      <c r="D1219" t="str">
        <f t="shared" si="19"/>
        <v>SEMAD3915</v>
      </c>
      <c r="E1219" t="s">
        <v>1637</v>
      </c>
    </row>
    <row r="1220" spans="1:5" hidden="1" x14ac:dyDescent="0.25">
      <c r="A1220">
        <v>1371</v>
      </c>
      <c r="B1220" t="s">
        <v>589</v>
      </c>
      <c r="C1220" t="s">
        <v>1639</v>
      </c>
      <c r="D1220" t="str">
        <f t="shared" si="19"/>
        <v>SEMAD3917</v>
      </c>
      <c r="E1220" t="s">
        <v>1615</v>
      </c>
    </row>
    <row r="1221" spans="1:5" hidden="1" x14ac:dyDescent="0.25">
      <c r="A1221">
        <v>1371</v>
      </c>
      <c r="B1221" t="s">
        <v>589</v>
      </c>
      <c r="C1221" t="s">
        <v>1640</v>
      </c>
      <c r="D1221" t="str">
        <f t="shared" si="19"/>
        <v>SEMAD3918</v>
      </c>
      <c r="E1221" t="s">
        <v>1615</v>
      </c>
    </row>
    <row r="1222" spans="1:5" hidden="1" x14ac:dyDescent="0.25">
      <c r="A1222">
        <v>1371</v>
      </c>
      <c r="B1222" t="s">
        <v>589</v>
      </c>
      <c r="C1222" t="s">
        <v>1641</v>
      </c>
      <c r="D1222" t="str">
        <f t="shared" si="19"/>
        <v>SEMAD3919</v>
      </c>
      <c r="E1222" t="s">
        <v>2102</v>
      </c>
    </row>
    <row r="1223" spans="1:5" hidden="1" x14ac:dyDescent="0.25">
      <c r="A1223">
        <v>1371</v>
      </c>
      <c r="B1223" t="s">
        <v>589</v>
      </c>
      <c r="C1223" t="s">
        <v>1694</v>
      </c>
      <c r="D1223" t="str">
        <f t="shared" si="19"/>
        <v>SEMAD3920</v>
      </c>
      <c r="E1223" t="s">
        <v>1692</v>
      </c>
    </row>
    <row r="1224" spans="1:5" hidden="1" x14ac:dyDescent="0.25">
      <c r="A1224">
        <v>1371</v>
      </c>
      <c r="B1224" t="s">
        <v>589</v>
      </c>
      <c r="C1224" t="s">
        <v>1642</v>
      </c>
      <c r="D1224" t="str">
        <f t="shared" si="19"/>
        <v>SEMAD3921</v>
      </c>
      <c r="E1224" t="s">
        <v>2102</v>
      </c>
    </row>
    <row r="1225" spans="1:5" hidden="1" x14ac:dyDescent="0.25">
      <c r="A1225">
        <v>1371</v>
      </c>
      <c r="B1225" t="s">
        <v>589</v>
      </c>
      <c r="C1225" t="s">
        <v>1643</v>
      </c>
      <c r="D1225" t="str">
        <f t="shared" si="19"/>
        <v>SEMAD3922</v>
      </c>
      <c r="E1225" t="s">
        <v>1611</v>
      </c>
    </row>
    <row r="1226" spans="1:5" hidden="1" x14ac:dyDescent="0.25">
      <c r="A1226">
        <v>1371</v>
      </c>
      <c r="B1226" t="s">
        <v>589</v>
      </c>
      <c r="C1226" t="s">
        <v>1644</v>
      </c>
      <c r="D1226" t="str">
        <f t="shared" si="19"/>
        <v>SEMAD3924</v>
      </c>
      <c r="E1226" t="s">
        <v>1645</v>
      </c>
    </row>
    <row r="1227" spans="1:5" hidden="1" x14ac:dyDescent="0.25">
      <c r="A1227">
        <v>1371</v>
      </c>
      <c r="B1227" t="s">
        <v>589</v>
      </c>
      <c r="C1227" t="s">
        <v>437</v>
      </c>
      <c r="D1227" t="str">
        <f t="shared" si="19"/>
        <v>SEMAD3925</v>
      </c>
      <c r="E1227" t="s">
        <v>1646</v>
      </c>
    </row>
    <row r="1228" spans="1:5" hidden="1" x14ac:dyDescent="0.25">
      <c r="A1228">
        <v>1371</v>
      </c>
      <c r="B1228" t="s">
        <v>589</v>
      </c>
      <c r="C1228" t="s">
        <v>442</v>
      </c>
      <c r="D1228" t="str">
        <f t="shared" si="19"/>
        <v>SEMAD3926</v>
      </c>
      <c r="E1228" t="s">
        <v>1646</v>
      </c>
    </row>
    <row r="1229" spans="1:5" hidden="1" x14ac:dyDescent="0.25">
      <c r="A1229">
        <v>1371</v>
      </c>
      <c r="B1229" t="s">
        <v>589</v>
      </c>
      <c r="C1229" t="s">
        <v>1647</v>
      </c>
      <c r="D1229" t="str">
        <f t="shared" si="19"/>
        <v>SEMAD3927</v>
      </c>
      <c r="E1229" t="s">
        <v>1648</v>
      </c>
    </row>
    <row r="1230" spans="1:5" hidden="1" x14ac:dyDescent="0.25">
      <c r="A1230">
        <v>1371</v>
      </c>
      <c r="B1230" t="s">
        <v>589</v>
      </c>
      <c r="C1230" t="s">
        <v>457</v>
      </c>
      <c r="D1230" t="str">
        <f t="shared" si="19"/>
        <v>SEMAD3930</v>
      </c>
      <c r="E1230" t="s">
        <v>1646</v>
      </c>
    </row>
    <row r="1231" spans="1:5" hidden="1" x14ac:dyDescent="0.25">
      <c r="A1231">
        <v>1371</v>
      </c>
      <c r="B1231" t="s">
        <v>589</v>
      </c>
      <c r="C1231" t="s">
        <v>1650</v>
      </c>
      <c r="D1231" t="str">
        <f t="shared" si="19"/>
        <v>SEMAD3931</v>
      </c>
      <c r="E1231" t="s">
        <v>1779</v>
      </c>
    </row>
    <row r="1232" spans="1:5" hidden="1" x14ac:dyDescent="0.25">
      <c r="A1232">
        <v>1371</v>
      </c>
      <c r="B1232" t="s">
        <v>589</v>
      </c>
      <c r="C1232" t="s">
        <v>468</v>
      </c>
      <c r="D1232" t="str">
        <f t="shared" si="19"/>
        <v>SEMAD3934</v>
      </c>
      <c r="E1232" t="s">
        <v>1621</v>
      </c>
    </row>
    <row r="1233" spans="1:5" hidden="1" x14ac:dyDescent="0.25">
      <c r="A1233">
        <v>1371</v>
      </c>
      <c r="B1233" t="s">
        <v>589</v>
      </c>
      <c r="C1233" t="s">
        <v>1651</v>
      </c>
      <c r="D1233" t="str">
        <f t="shared" si="19"/>
        <v>SEMAD3935</v>
      </c>
      <c r="E1233" t="s">
        <v>1621</v>
      </c>
    </row>
    <row r="1234" spans="1:5" hidden="1" x14ac:dyDescent="0.25">
      <c r="A1234">
        <v>1371</v>
      </c>
      <c r="B1234" t="s">
        <v>589</v>
      </c>
      <c r="C1234" t="s">
        <v>1652</v>
      </c>
      <c r="D1234" t="str">
        <f t="shared" si="19"/>
        <v>SEMAD3936</v>
      </c>
      <c r="E1234" t="s">
        <v>93</v>
      </c>
    </row>
    <row r="1235" spans="1:5" hidden="1" x14ac:dyDescent="0.25">
      <c r="A1235">
        <v>1371</v>
      </c>
      <c r="B1235" t="s">
        <v>589</v>
      </c>
      <c r="C1235" t="s">
        <v>1695</v>
      </c>
      <c r="D1235" t="str">
        <f t="shared" si="19"/>
        <v>SEMAD3937</v>
      </c>
      <c r="E1235" t="s">
        <v>1692</v>
      </c>
    </row>
    <row r="1236" spans="1:5" hidden="1" x14ac:dyDescent="0.25">
      <c r="A1236">
        <v>1371</v>
      </c>
      <c r="B1236" t="s">
        <v>589</v>
      </c>
      <c r="C1236" t="s">
        <v>1708</v>
      </c>
      <c r="D1236" t="str">
        <f t="shared" si="19"/>
        <v>SEMAD3938</v>
      </c>
      <c r="E1236" t="s">
        <v>1780</v>
      </c>
    </row>
    <row r="1237" spans="1:5" hidden="1" x14ac:dyDescent="0.25">
      <c r="A1237">
        <v>1371</v>
      </c>
      <c r="B1237" t="s">
        <v>589</v>
      </c>
      <c r="C1237" t="s">
        <v>1714</v>
      </c>
      <c r="D1237" t="str">
        <f t="shared" si="19"/>
        <v>SEMAD3939</v>
      </c>
      <c r="E1237" t="s">
        <v>1781</v>
      </c>
    </row>
    <row r="1238" spans="1:5" hidden="1" x14ac:dyDescent="0.25">
      <c r="A1238">
        <v>1371</v>
      </c>
      <c r="B1238" t="s">
        <v>589</v>
      </c>
      <c r="C1238" t="s">
        <v>1653</v>
      </c>
      <c r="D1238" t="str">
        <f t="shared" si="19"/>
        <v>SEMAD3940</v>
      </c>
      <c r="E1238" t="s">
        <v>1648</v>
      </c>
    </row>
    <row r="1239" spans="1:5" hidden="1" x14ac:dyDescent="0.25">
      <c r="A1239">
        <v>1371</v>
      </c>
      <c r="B1239" t="s">
        <v>589</v>
      </c>
      <c r="C1239" t="s">
        <v>479</v>
      </c>
      <c r="D1239" t="str">
        <f t="shared" si="19"/>
        <v>SEMAD3941</v>
      </c>
      <c r="E1239" t="s">
        <v>1782</v>
      </c>
    </row>
    <row r="1240" spans="1:5" hidden="1" x14ac:dyDescent="0.25">
      <c r="A1240">
        <v>1371</v>
      </c>
      <c r="B1240" t="s">
        <v>589</v>
      </c>
      <c r="C1240" t="s">
        <v>1654</v>
      </c>
      <c r="D1240" t="str">
        <f t="shared" si="19"/>
        <v>SEMAD3943</v>
      </c>
      <c r="E1240" t="s">
        <v>1615</v>
      </c>
    </row>
    <row r="1241" spans="1:5" hidden="1" x14ac:dyDescent="0.25">
      <c r="A1241">
        <v>1371</v>
      </c>
      <c r="B1241" t="s">
        <v>589</v>
      </c>
      <c r="C1241" t="s">
        <v>491</v>
      </c>
      <c r="D1241" t="str">
        <f t="shared" si="19"/>
        <v>SEMAD3948</v>
      </c>
      <c r="E1241" t="s">
        <v>1645</v>
      </c>
    </row>
    <row r="1242" spans="1:5" hidden="1" x14ac:dyDescent="0.25">
      <c r="A1242">
        <v>1371</v>
      </c>
      <c r="B1242" t="s">
        <v>589</v>
      </c>
      <c r="C1242" t="s">
        <v>1715</v>
      </c>
      <c r="D1242" t="str">
        <f t="shared" si="19"/>
        <v>SEMAD3949</v>
      </c>
      <c r="E1242" t="s">
        <v>1645</v>
      </c>
    </row>
    <row r="1243" spans="1:5" hidden="1" x14ac:dyDescent="0.25">
      <c r="A1243">
        <v>1371</v>
      </c>
      <c r="B1243" t="s">
        <v>589</v>
      </c>
      <c r="C1243" t="s">
        <v>494</v>
      </c>
      <c r="D1243" t="str">
        <f t="shared" si="19"/>
        <v>SEMAD3951</v>
      </c>
      <c r="E1243" t="s">
        <v>1671</v>
      </c>
    </row>
    <row r="1244" spans="1:5" hidden="1" x14ac:dyDescent="0.25">
      <c r="A1244">
        <v>1371</v>
      </c>
      <c r="B1244" t="s">
        <v>589</v>
      </c>
      <c r="C1244" t="s">
        <v>1701</v>
      </c>
      <c r="D1244" t="str">
        <f t="shared" si="19"/>
        <v>SEMAD3952</v>
      </c>
      <c r="E1244" t="s">
        <v>64</v>
      </c>
    </row>
    <row r="1245" spans="1:5" hidden="1" x14ac:dyDescent="0.25">
      <c r="A1245">
        <v>1371</v>
      </c>
      <c r="B1245" t="s">
        <v>589</v>
      </c>
      <c r="C1245" t="s">
        <v>495</v>
      </c>
      <c r="D1245" t="str">
        <f t="shared" si="19"/>
        <v>SEMAD3953</v>
      </c>
      <c r="E1245" t="s">
        <v>1645</v>
      </c>
    </row>
    <row r="1246" spans="1:5" hidden="1" x14ac:dyDescent="0.25">
      <c r="A1246">
        <v>1371</v>
      </c>
      <c r="B1246" t="s">
        <v>589</v>
      </c>
      <c r="C1246" t="s">
        <v>497</v>
      </c>
      <c r="D1246" t="str">
        <f t="shared" si="19"/>
        <v>SEMAD3955</v>
      </c>
      <c r="E1246" t="s">
        <v>1783</v>
      </c>
    </row>
    <row r="1247" spans="1:5" hidden="1" x14ac:dyDescent="0.25">
      <c r="A1247">
        <v>1371</v>
      </c>
      <c r="B1247" t="s">
        <v>589</v>
      </c>
      <c r="C1247" t="s">
        <v>498</v>
      </c>
      <c r="D1247" t="str">
        <f t="shared" si="19"/>
        <v>SEMAD3956</v>
      </c>
      <c r="E1247" t="s">
        <v>2110</v>
      </c>
    </row>
    <row r="1248" spans="1:5" hidden="1" x14ac:dyDescent="0.25">
      <c r="A1248">
        <v>1371</v>
      </c>
      <c r="B1248" t="s">
        <v>589</v>
      </c>
      <c r="C1248" t="s">
        <v>1709</v>
      </c>
      <c r="D1248" t="str">
        <f t="shared" si="19"/>
        <v>SEMAD3960</v>
      </c>
      <c r="E1248" t="s">
        <v>1784</v>
      </c>
    </row>
    <row r="1249" spans="1:5" hidden="1" x14ac:dyDescent="0.25">
      <c r="A1249">
        <v>1371</v>
      </c>
      <c r="B1249" t="s">
        <v>589</v>
      </c>
      <c r="C1249" t="s">
        <v>1657</v>
      </c>
      <c r="D1249" t="str">
        <f t="shared" si="19"/>
        <v>SEMAD3961</v>
      </c>
      <c r="E1249" t="s">
        <v>102</v>
      </c>
    </row>
    <row r="1250" spans="1:5" hidden="1" x14ac:dyDescent="0.25">
      <c r="A1250">
        <v>1371</v>
      </c>
      <c r="B1250" t="s">
        <v>589</v>
      </c>
      <c r="C1250" t="s">
        <v>1659</v>
      </c>
      <c r="D1250" t="str">
        <f t="shared" si="19"/>
        <v>SEMAD3969</v>
      </c>
      <c r="E1250" t="s">
        <v>1637</v>
      </c>
    </row>
    <row r="1251" spans="1:5" hidden="1" x14ac:dyDescent="0.25">
      <c r="A1251">
        <v>1371</v>
      </c>
      <c r="B1251" t="s">
        <v>589</v>
      </c>
      <c r="C1251" t="s">
        <v>1660</v>
      </c>
      <c r="D1251" t="str">
        <f t="shared" si="19"/>
        <v>SEMAD3970</v>
      </c>
      <c r="E1251" t="s">
        <v>1648</v>
      </c>
    </row>
    <row r="1252" spans="1:5" hidden="1" x14ac:dyDescent="0.25">
      <c r="A1252">
        <v>1371</v>
      </c>
      <c r="B1252" t="s">
        <v>589</v>
      </c>
      <c r="C1252" t="s">
        <v>512</v>
      </c>
      <c r="D1252" t="str">
        <f t="shared" si="19"/>
        <v>SEMAD3971</v>
      </c>
      <c r="E1252" t="s">
        <v>2103</v>
      </c>
    </row>
    <row r="1253" spans="1:5" hidden="1" x14ac:dyDescent="0.25">
      <c r="A1253">
        <v>1371</v>
      </c>
      <c r="B1253" t="s">
        <v>589</v>
      </c>
      <c r="C1253" t="s">
        <v>1725</v>
      </c>
      <c r="D1253" t="str">
        <f t="shared" si="19"/>
        <v>SEMAD3973</v>
      </c>
      <c r="E1253" t="s">
        <v>1785</v>
      </c>
    </row>
    <row r="1254" spans="1:5" hidden="1" x14ac:dyDescent="0.25">
      <c r="A1254">
        <v>1371</v>
      </c>
      <c r="B1254" t="s">
        <v>589</v>
      </c>
      <c r="C1254" t="s">
        <v>519</v>
      </c>
      <c r="D1254" t="str">
        <f t="shared" si="19"/>
        <v>SEMAD3978</v>
      </c>
      <c r="E1254" t="s">
        <v>1630</v>
      </c>
    </row>
    <row r="1255" spans="1:5" hidden="1" x14ac:dyDescent="0.25">
      <c r="A1255">
        <v>1371</v>
      </c>
      <c r="B1255" t="s">
        <v>589</v>
      </c>
      <c r="C1255" t="s">
        <v>520</v>
      </c>
      <c r="D1255" t="str">
        <f t="shared" si="19"/>
        <v>SEMAD3981</v>
      </c>
      <c r="E1255" t="s">
        <v>1786</v>
      </c>
    </row>
    <row r="1256" spans="1:5" hidden="1" x14ac:dyDescent="0.25">
      <c r="A1256">
        <v>1371</v>
      </c>
      <c r="B1256" t="s">
        <v>589</v>
      </c>
      <c r="C1256" t="s">
        <v>1661</v>
      </c>
      <c r="D1256" t="str">
        <f t="shared" si="19"/>
        <v>SEMAD3987</v>
      </c>
      <c r="E1256" t="s">
        <v>1615</v>
      </c>
    </row>
    <row r="1257" spans="1:5" hidden="1" x14ac:dyDescent="0.25">
      <c r="A1257">
        <v>1371</v>
      </c>
      <c r="B1257" t="s">
        <v>589</v>
      </c>
      <c r="C1257" t="s">
        <v>527</v>
      </c>
      <c r="D1257" t="str">
        <f t="shared" si="19"/>
        <v>SEMAD3988</v>
      </c>
      <c r="E1257" t="s">
        <v>1787</v>
      </c>
    </row>
    <row r="1258" spans="1:5" hidden="1" x14ac:dyDescent="0.25">
      <c r="A1258">
        <v>1371</v>
      </c>
      <c r="B1258" t="s">
        <v>589</v>
      </c>
      <c r="C1258" t="s">
        <v>1711</v>
      </c>
      <c r="D1258" t="str">
        <f t="shared" si="19"/>
        <v>SEMAD3996</v>
      </c>
      <c r="E1258" t="s">
        <v>1788</v>
      </c>
    </row>
    <row r="1259" spans="1:5" hidden="1" x14ac:dyDescent="0.25">
      <c r="A1259">
        <v>1371</v>
      </c>
      <c r="B1259" t="s">
        <v>589</v>
      </c>
      <c r="C1259" t="s">
        <v>1663</v>
      </c>
      <c r="D1259" t="str">
        <f t="shared" si="19"/>
        <v>SEMAD3999</v>
      </c>
      <c r="E1259" t="s">
        <v>1789</v>
      </c>
    </row>
    <row r="1260" spans="1:5" hidden="1" x14ac:dyDescent="0.25">
      <c r="A1260">
        <v>1371</v>
      </c>
      <c r="B1260" t="s">
        <v>589</v>
      </c>
      <c r="C1260" t="s">
        <v>1664</v>
      </c>
      <c r="D1260" t="str">
        <f t="shared" si="19"/>
        <v>SEMAD4002</v>
      </c>
      <c r="E1260" t="s">
        <v>1648</v>
      </c>
    </row>
    <row r="1261" spans="1:5" hidden="1" x14ac:dyDescent="0.25">
      <c r="A1261">
        <v>1371</v>
      </c>
      <c r="B1261" t="s">
        <v>589</v>
      </c>
      <c r="C1261" t="s">
        <v>1665</v>
      </c>
      <c r="D1261" t="str">
        <f t="shared" si="19"/>
        <v>SEMAD4003</v>
      </c>
      <c r="E1261" t="s">
        <v>93</v>
      </c>
    </row>
    <row r="1262" spans="1:5" hidden="1" x14ac:dyDescent="0.25">
      <c r="A1262">
        <v>1371</v>
      </c>
      <c r="B1262" t="s">
        <v>589</v>
      </c>
      <c r="C1262" t="s">
        <v>1666</v>
      </c>
      <c r="D1262" t="str">
        <f t="shared" si="19"/>
        <v>SEMAD4004</v>
      </c>
      <c r="E1262" t="s">
        <v>1648</v>
      </c>
    </row>
    <row r="1263" spans="1:5" hidden="1" x14ac:dyDescent="0.25">
      <c r="A1263">
        <v>1371</v>
      </c>
      <c r="B1263" t="s">
        <v>589</v>
      </c>
      <c r="C1263" t="s">
        <v>1667</v>
      </c>
      <c r="D1263" t="str">
        <f t="shared" si="19"/>
        <v>SEMAD4005</v>
      </c>
      <c r="E1263" t="s">
        <v>1648</v>
      </c>
    </row>
    <row r="1264" spans="1:5" hidden="1" x14ac:dyDescent="0.25">
      <c r="A1264">
        <v>1371</v>
      </c>
      <c r="B1264" t="s">
        <v>589</v>
      </c>
      <c r="C1264" t="s">
        <v>1698</v>
      </c>
      <c r="D1264" t="str">
        <f t="shared" si="19"/>
        <v>SEMAD4006</v>
      </c>
      <c r="E1264" t="s">
        <v>1675</v>
      </c>
    </row>
    <row r="1265" spans="1:5" hidden="1" x14ac:dyDescent="0.25">
      <c r="A1265">
        <v>1371</v>
      </c>
      <c r="B1265" t="s">
        <v>589</v>
      </c>
      <c r="C1265" t="s">
        <v>1699</v>
      </c>
      <c r="D1265" t="str">
        <f t="shared" si="19"/>
        <v>SEMAD4007</v>
      </c>
      <c r="E1265" t="s">
        <v>93</v>
      </c>
    </row>
    <row r="1266" spans="1:5" hidden="1" x14ac:dyDescent="0.25">
      <c r="A1266">
        <v>1371</v>
      </c>
      <c r="B1266" t="s">
        <v>589</v>
      </c>
      <c r="C1266" t="s">
        <v>1719</v>
      </c>
      <c r="D1266" t="str">
        <f t="shared" si="19"/>
        <v>SEMAD4101</v>
      </c>
      <c r="E1266" t="s">
        <v>1720</v>
      </c>
    </row>
    <row r="1267" spans="1:5" hidden="1" x14ac:dyDescent="0.25">
      <c r="A1267">
        <v>1371</v>
      </c>
      <c r="B1267" t="s">
        <v>589</v>
      </c>
      <c r="C1267" t="s">
        <v>1750</v>
      </c>
      <c r="D1267" t="str">
        <f t="shared" si="19"/>
        <v>SEMAD4301</v>
      </c>
      <c r="E1267" t="s">
        <v>1751</v>
      </c>
    </row>
    <row r="1268" spans="1:5" hidden="1" x14ac:dyDescent="0.25">
      <c r="A1268">
        <v>1371</v>
      </c>
      <c r="B1268" t="s">
        <v>589</v>
      </c>
      <c r="C1268" t="s">
        <v>1668</v>
      </c>
      <c r="D1268" t="str">
        <f t="shared" si="19"/>
        <v>SEMAD4701</v>
      </c>
      <c r="E1268" t="s">
        <v>1669</v>
      </c>
    </row>
    <row r="1269" spans="1:5" hidden="1" x14ac:dyDescent="0.25">
      <c r="A1269">
        <v>1371</v>
      </c>
      <c r="B1269" t="s">
        <v>589</v>
      </c>
      <c r="C1269" t="s">
        <v>238</v>
      </c>
      <c r="D1269" t="str">
        <f t="shared" si="19"/>
        <v>SEMAD4702</v>
      </c>
      <c r="E1269" t="s">
        <v>1669</v>
      </c>
    </row>
    <row r="1270" spans="1:5" hidden="1" x14ac:dyDescent="0.25">
      <c r="A1270">
        <v>1371</v>
      </c>
      <c r="B1270" t="s">
        <v>589</v>
      </c>
      <c r="C1270" t="s">
        <v>264</v>
      </c>
      <c r="D1270" t="str">
        <f t="shared" si="19"/>
        <v>SEMAD4703</v>
      </c>
      <c r="E1270" t="s">
        <v>1669</v>
      </c>
    </row>
    <row r="1271" spans="1:5" hidden="1" x14ac:dyDescent="0.25">
      <c r="A1271">
        <v>1371</v>
      </c>
      <c r="B1271" t="s">
        <v>589</v>
      </c>
      <c r="C1271" t="s">
        <v>284</v>
      </c>
      <c r="D1271" t="str">
        <f t="shared" si="19"/>
        <v>SEMAD4704</v>
      </c>
      <c r="E1271" t="s">
        <v>1669</v>
      </c>
    </row>
    <row r="1272" spans="1:5" hidden="1" x14ac:dyDescent="0.25">
      <c r="A1272">
        <v>1371</v>
      </c>
      <c r="B1272" t="s">
        <v>589</v>
      </c>
      <c r="C1272" t="s">
        <v>327</v>
      </c>
      <c r="D1272" t="str">
        <f t="shared" si="19"/>
        <v>SEMAD4707</v>
      </c>
      <c r="E1272" t="s">
        <v>1669</v>
      </c>
    </row>
    <row r="1273" spans="1:5" hidden="1" x14ac:dyDescent="0.25">
      <c r="A1273">
        <v>1371</v>
      </c>
      <c r="B1273" t="s">
        <v>589</v>
      </c>
      <c r="C1273" t="s">
        <v>363</v>
      </c>
      <c r="D1273" t="str">
        <f t="shared" si="19"/>
        <v>SEMAD4799</v>
      </c>
      <c r="E1273" t="s">
        <v>1669</v>
      </c>
    </row>
    <row r="1274" spans="1:5" hidden="1" x14ac:dyDescent="0.25">
      <c r="A1274">
        <v>1371</v>
      </c>
      <c r="B1274" t="s">
        <v>589</v>
      </c>
      <c r="C1274" t="s">
        <v>1672</v>
      </c>
      <c r="D1274" t="str">
        <f t="shared" si="19"/>
        <v>SEMAD5103</v>
      </c>
      <c r="E1274" t="s">
        <v>1671</v>
      </c>
    </row>
    <row r="1275" spans="1:5" hidden="1" x14ac:dyDescent="0.25">
      <c r="A1275">
        <v>1371</v>
      </c>
      <c r="B1275" t="s">
        <v>589</v>
      </c>
      <c r="C1275" t="s">
        <v>172</v>
      </c>
      <c r="D1275" t="str">
        <f t="shared" si="19"/>
        <v>SEMAD5107</v>
      </c>
      <c r="E1275" t="s">
        <v>1671</v>
      </c>
    </row>
    <row r="1276" spans="1:5" hidden="1" x14ac:dyDescent="0.25">
      <c r="A1276">
        <v>1371</v>
      </c>
      <c r="B1276" t="s">
        <v>589</v>
      </c>
      <c r="C1276" t="s">
        <v>348</v>
      </c>
      <c r="D1276" t="str">
        <f t="shared" si="19"/>
        <v>SEMAD5110</v>
      </c>
      <c r="E1276" t="s">
        <v>1671</v>
      </c>
    </row>
    <row r="1277" spans="1:5" hidden="1" x14ac:dyDescent="0.25">
      <c r="A1277">
        <v>1371</v>
      </c>
      <c r="B1277" t="s">
        <v>589</v>
      </c>
      <c r="C1277" t="s">
        <v>1721</v>
      </c>
      <c r="D1277" t="str">
        <f t="shared" si="19"/>
        <v>SEMAD5114</v>
      </c>
      <c r="E1277" t="s">
        <v>1671</v>
      </c>
    </row>
    <row r="1278" spans="1:5" hidden="1" x14ac:dyDescent="0.25">
      <c r="A1278">
        <v>1371</v>
      </c>
      <c r="B1278" t="s">
        <v>589</v>
      </c>
      <c r="C1278" t="s">
        <v>241</v>
      </c>
      <c r="D1278" t="str">
        <f t="shared" si="19"/>
        <v>SEMAD5201</v>
      </c>
      <c r="E1278" t="s">
        <v>1621</v>
      </c>
    </row>
    <row r="1279" spans="1:5" hidden="1" x14ac:dyDescent="0.25">
      <c r="A1279">
        <v>1371</v>
      </c>
      <c r="B1279" t="s">
        <v>589</v>
      </c>
      <c r="C1279" t="s">
        <v>1673</v>
      </c>
      <c r="D1279" t="str">
        <f t="shared" si="19"/>
        <v>SEMAD5204</v>
      </c>
      <c r="E1279" t="s">
        <v>1674</v>
      </c>
    </row>
    <row r="1280" spans="1:5" hidden="1" x14ac:dyDescent="0.25">
      <c r="A1280">
        <v>1371</v>
      </c>
      <c r="B1280" t="s">
        <v>589</v>
      </c>
      <c r="C1280" t="s">
        <v>328</v>
      </c>
      <c r="D1280" t="str">
        <f t="shared" si="19"/>
        <v>SEMAD5206</v>
      </c>
      <c r="E1280" t="s">
        <v>1675</v>
      </c>
    </row>
    <row r="1281" spans="1:5" hidden="1" x14ac:dyDescent="0.25">
      <c r="A1281">
        <v>1371</v>
      </c>
      <c r="B1281" t="s">
        <v>589</v>
      </c>
      <c r="C1281" t="s">
        <v>1676</v>
      </c>
      <c r="D1281" t="str">
        <f t="shared" si="19"/>
        <v>SEMAD5207</v>
      </c>
      <c r="E1281" t="s">
        <v>1675</v>
      </c>
    </row>
    <row r="1282" spans="1:5" hidden="1" x14ac:dyDescent="0.25">
      <c r="A1282">
        <v>1371</v>
      </c>
      <c r="B1282" t="s">
        <v>589</v>
      </c>
      <c r="C1282" t="s">
        <v>1677</v>
      </c>
      <c r="D1282" t="str">
        <f t="shared" ref="D1282:D1345" si="20">CONCATENATE(B1282,LEFT(C1282,4))</f>
        <v>SEMAD5208</v>
      </c>
      <c r="E1282" t="s">
        <v>1675</v>
      </c>
    </row>
    <row r="1283" spans="1:5" hidden="1" x14ac:dyDescent="0.25">
      <c r="A1283">
        <v>1371</v>
      </c>
      <c r="B1283" t="s">
        <v>589</v>
      </c>
      <c r="C1283" t="s">
        <v>1678</v>
      </c>
      <c r="D1283" t="str">
        <f t="shared" si="20"/>
        <v>SEMAD5210</v>
      </c>
      <c r="E1283" t="s">
        <v>1674</v>
      </c>
    </row>
    <row r="1284" spans="1:5" hidden="1" x14ac:dyDescent="0.25">
      <c r="A1284">
        <v>1371</v>
      </c>
      <c r="B1284" t="s">
        <v>589</v>
      </c>
      <c r="C1284" t="s">
        <v>1679</v>
      </c>
      <c r="D1284" t="str">
        <f t="shared" si="20"/>
        <v>SEMAD5212</v>
      </c>
      <c r="E1284" t="s">
        <v>1674</v>
      </c>
    </row>
    <row r="1285" spans="1:5" hidden="1" x14ac:dyDescent="0.25">
      <c r="A1285">
        <v>1371</v>
      </c>
      <c r="B1285" t="s">
        <v>589</v>
      </c>
      <c r="C1285" t="s">
        <v>390</v>
      </c>
      <c r="D1285" t="str">
        <f t="shared" si="20"/>
        <v>SEMAD5214</v>
      </c>
      <c r="E1285" t="s">
        <v>1674</v>
      </c>
    </row>
    <row r="1286" spans="1:5" hidden="1" x14ac:dyDescent="0.25">
      <c r="A1286">
        <v>1371</v>
      </c>
      <c r="B1286" t="s">
        <v>589</v>
      </c>
      <c r="C1286" t="s">
        <v>1681</v>
      </c>
      <c r="D1286" t="str">
        <f t="shared" si="20"/>
        <v>SEMAD5220</v>
      </c>
      <c r="E1286" t="s">
        <v>1675</v>
      </c>
    </row>
    <row r="1287" spans="1:5" hidden="1" x14ac:dyDescent="0.25">
      <c r="A1287">
        <v>1371</v>
      </c>
      <c r="B1287" t="s">
        <v>589</v>
      </c>
      <c r="C1287" t="s">
        <v>448</v>
      </c>
      <c r="D1287" t="str">
        <f t="shared" si="20"/>
        <v>SEMAD5225</v>
      </c>
      <c r="E1287" t="s">
        <v>1674</v>
      </c>
    </row>
    <row r="1288" spans="1:5" hidden="1" x14ac:dyDescent="0.25">
      <c r="A1288">
        <v>1371</v>
      </c>
      <c r="B1288" t="s">
        <v>589</v>
      </c>
      <c r="C1288" t="s">
        <v>1683</v>
      </c>
      <c r="D1288" t="str">
        <f t="shared" si="20"/>
        <v>SEMAD5227</v>
      </c>
      <c r="E1288" t="s">
        <v>1674</v>
      </c>
    </row>
    <row r="1289" spans="1:5" hidden="1" x14ac:dyDescent="0.25">
      <c r="A1289">
        <v>1371</v>
      </c>
      <c r="B1289" t="s">
        <v>589</v>
      </c>
      <c r="C1289" t="s">
        <v>458</v>
      </c>
      <c r="D1289" t="str">
        <f t="shared" si="20"/>
        <v>SEMAD5299</v>
      </c>
      <c r="E1289" t="s">
        <v>1674</v>
      </c>
    </row>
    <row r="1290" spans="1:5" hidden="1" x14ac:dyDescent="0.25">
      <c r="A1290">
        <v>1371</v>
      </c>
      <c r="B1290" t="s">
        <v>589</v>
      </c>
      <c r="C1290" t="s">
        <v>1684</v>
      </c>
      <c r="D1290" t="str">
        <f t="shared" si="20"/>
        <v>SEMAD9202</v>
      </c>
      <c r="E1290" t="s">
        <v>1685</v>
      </c>
    </row>
    <row r="1291" spans="1:5" hidden="1" x14ac:dyDescent="0.25">
      <c r="A1291">
        <v>1371</v>
      </c>
      <c r="B1291" t="s">
        <v>589</v>
      </c>
      <c r="C1291" t="s">
        <v>249</v>
      </c>
      <c r="D1291" t="str">
        <f t="shared" si="20"/>
        <v>SEMAD9301</v>
      </c>
      <c r="E1291" t="s">
        <v>1736</v>
      </c>
    </row>
    <row r="1292" spans="1:5" hidden="1" x14ac:dyDescent="0.25">
      <c r="A1292">
        <v>1371</v>
      </c>
      <c r="B1292" t="s">
        <v>589</v>
      </c>
      <c r="C1292" t="s">
        <v>330</v>
      </c>
      <c r="D1292" t="str">
        <f t="shared" si="20"/>
        <v>SEMAD9306</v>
      </c>
      <c r="E1292" t="s">
        <v>1686</v>
      </c>
    </row>
    <row r="1293" spans="1:5" hidden="1" x14ac:dyDescent="0.25">
      <c r="A1293">
        <v>1371</v>
      </c>
      <c r="B1293" t="s">
        <v>589</v>
      </c>
      <c r="C1293" t="s">
        <v>379</v>
      </c>
      <c r="D1293" t="str">
        <f t="shared" si="20"/>
        <v>SEMAD9312</v>
      </c>
      <c r="E1293" t="s">
        <v>1790</v>
      </c>
    </row>
    <row r="1294" spans="1:5" hidden="1" x14ac:dyDescent="0.25">
      <c r="A1294">
        <v>1371</v>
      </c>
      <c r="B1294" t="s">
        <v>589</v>
      </c>
      <c r="C1294" t="s">
        <v>1687</v>
      </c>
      <c r="D1294" t="str">
        <f t="shared" si="20"/>
        <v>SEMAD9399</v>
      </c>
      <c r="E1294" t="s">
        <v>1791</v>
      </c>
    </row>
    <row r="1295" spans="1:5" hidden="1" x14ac:dyDescent="0.25">
      <c r="A1295">
        <v>1401</v>
      </c>
      <c r="B1295" t="s">
        <v>543</v>
      </c>
      <c r="C1295" t="s">
        <v>331</v>
      </c>
      <c r="D1295" t="str">
        <f t="shared" si="20"/>
        <v>CBMMG1314</v>
      </c>
      <c r="E1295" t="s">
        <v>1689</v>
      </c>
    </row>
    <row r="1296" spans="1:5" hidden="1" x14ac:dyDescent="0.25">
      <c r="A1296">
        <v>1401</v>
      </c>
      <c r="B1296" t="s">
        <v>543</v>
      </c>
      <c r="C1296" t="s">
        <v>1597</v>
      </c>
      <c r="D1296" t="str">
        <f t="shared" si="20"/>
        <v>CBMMG1401</v>
      </c>
      <c r="E1296" t="s">
        <v>43</v>
      </c>
    </row>
    <row r="1297" spans="1:5" hidden="1" x14ac:dyDescent="0.25">
      <c r="A1297">
        <v>1401</v>
      </c>
      <c r="B1297" t="s">
        <v>543</v>
      </c>
      <c r="C1297" t="s">
        <v>1598</v>
      </c>
      <c r="D1297" t="str">
        <f t="shared" si="20"/>
        <v>CBMMG1501</v>
      </c>
      <c r="E1297" t="s">
        <v>43</v>
      </c>
    </row>
    <row r="1298" spans="1:5" hidden="1" x14ac:dyDescent="0.25">
      <c r="A1298">
        <v>1401</v>
      </c>
      <c r="B1298" t="s">
        <v>543</v>
      </c>
      <c r="C1298" t="s">
        <v>221</v>
      </c>
      <c r="D1298" t="str">
        <f t="shared" si="20"/>
        <v>CBMMG1801</v>
      </c>
      <c r="E1298" t="s">
        <v>1738</v>
      </c>
    </row>
    <row r="1299" spans="1:5" hidden="1" x14ac:dyDescent="0.25">
      <c r="A1299">
        <v>1401</v>
      </c>
      <c r="B1299" t="s">
        <v>543</v>
      </c>
      <c r="C1299" t="s">
        <v>1599</v>
      </c>
      <c r="D1299" t="str">
        <f t="shared" si="20"/>
        <v>CBMMG3001</v>
      </c>
      <c r="E1299" t="s">
        <v>1600</v>
      </c>
    </row>
    <row r="1300" spans="1:5" hidden="1" x14ac:dyDescent="0.25">
      <c r="A1300">
        <v>1401</v>
      </c>
      <c r="B1300" t="s">
        <v>543</v>
      </c>
      <c r="C1300" t="s">
        <v>255</v>
      </c>
      <c r="D1300" t="str">
        <f t="shared" si="20"/>
        <v>CBMMG3002</v>
      </c>
      <c r="E1300" t="s">
        <v>1600</v>
      </c>
    </row>
    <row r="1301" spans="1:5" hidden="1" x14ac:dyDescent="0.25">
      <c r="A1301">
        <v>1401</v>
      </c>
      <c r="B1301" t="s">
        <v>543</v>
      </c>
      <c r="C1301" t="s">
        <v>1601</v>
      </c>
      <c r="D1301" t="str">
        <f t="shared" si="20"/>
        <v>CBMMG3003</v>
      </c>
      <c r="E1301" t="s">
        <v>1600</v>
      </c>
    </row>
    <row r="1302" spans="1:5" hidden="1" x14ac:dyDescent="0.25">
      <c r="A1302">
        <v>1401</v>
      </c>
      <c r="B1302" t="s">
        <v>543</v>
      </c>
      <c r="C1302" t="s">
        <v>1602</v>
      </c>
      <c r="D1302" t="str">
        <f t="shared" si="20"/>
        <v>CBMMG3004</v>
      </c>
      <c r="E1302" t="s">
        <v>1600</v>
      </c>
    </row>
    <row r="1303" spans="1:5" hidden="1" x14ac:dyDescent="0.25">
      <c r="A1303">
        <v>1401</v>
      </c>
      <c r="B1303" t="s">
        <v>543</v>
      </c>
      <c r="C1303" t="s">
        <v>1603</v>
      </c>
      <c r="D1303" t="str">
        <f t="shared" si="20"/>
        <v>CBMMG3005</v>
      </c>
      <c r="E1303" t="s">
        <v>1600</v>
      </c>
    </row>
    <row r="1304" spans="1:5" hidden="1" x14ac:dyDescent="0.25">
      <c r="A1304">
        <v>1401</v>
      </c>
      <c r="B1304" t="s">
        <v>543</v>
      </c>
      <c r="C1304" t="s">
        <v>332</v>
      </c>
      <c r="D1304" t="str">
        <f t="shared" si="20"/>
        <v>CBMMG3007</v>
      </c>
      <c r="E1304" t="s">
        <v>1600</v>
      </c>
    </row>
    <row r="1305" spans="1:5" hidden="1" x14ac:dyDescent="0.25">
      <c r="A1305">
        <v>1401</v>
      </c>
      <c r="B1305" t="s">
        <v>543</v>
      </c>
      <c r="C1305" t="s">
        <v>1604</v>
      </c>
      <c r="D1305" t="str">
        <f t="shared" si="20"/>
        <v>CBMMG3008</v>
      </c>
      <c r="E1305" t="s">
        <v>1600</v>
      </c>
    </row>
    <row r="1306" spans="1:5" hidden="1" x14ac:dyDescent="0.25">
      <c r="A1306">
        <v>1401</v>
      </c>
      <c r="B1306" t="s">
        <v>543</v>
      </c>
      <c r="C1306" t="s">
        <v>353</v>
      </c>
      <c r="D1306" t="str">
        <f t="shared" si="20"/>
        <v>CBMMG3009</v>
      </c>
      <c r="E1306" t="s">
        <v>1600</v>
      </c>
    </row>
    <row r="1307" spans="1:5" hidden="1" x14ac:dyDescent="0.25">
      <c r="A1307">
        <v>1401</v>
      </c>
      <c r="B1307" t="s">
        <v>543</v>
      </c>
      <c r="C1307" t="s">
        <v>1605</v>
      </c>
      <c r="D1307" t="str">
        <f t="shared" si="20"/>
        <v>CBMMG3010</v>
      </c>
      <c r="E1307" t="s">
        <v>1606</v>
      </c>
    </row>
    <row r="1308" spans="1:5" hidden="1" x14ac:dyDescent="0.25">
      <c r="A1308">
        <v>1401</v>
      </c>
      <c r="B1308" t="s">
        <v>543</v>
      </c>
      <c r="C1308" t="s">
        <v>368</v>
      </c>
      <c r="D1308" t="str">
        <f t="shared" si="20"/>
        <v>CBMMG3011</v>
      </c>
      <c r="E1308" t="s">
        <v>1600</v>
      </c>
    </row>
    <row r="1309" spans="1:5" hidden="1" x14ac:dyDescent="0.25">
      <c r="A1309">
        <v>1401</v>
      </c>
      <c r="B1309" t="s">
        <v>543</v>
      </c>
      <c r="C1309" t="s">
        <v>137</v>
      </c>
      <c r="D1309" t="str">
        <f t="shared" si="20"/>
        <v>CBMMG3012</v>
      </c>
      <c r="E1309" t="s">
        <v>1606</v>
      </c>
    </row>
    <row r="1310" spans="1:5" hidden="1" x14ac:dyDescent="0.25">
      <c r="A1310">
        <v>1401</v>
      </c>
      <c r="B1310" t="s">
        <v>543</v>
      </c>
      <c r="C1310" t="s">
        <v>1607</v>
      </c>
      <c r="D1310" t="str">
        <f t="shared" si="20"/>
        <v>CBMMG3013</v>
      </c>
      <c r="E1310" t="s">
        <v>1600</v>
      </c>
    </row>
    <row r="1311" spans="1:5" hidden="1" x14ac:dyDescent="0.25">
      <c r="A1311">
        <v>1401</v>
      </c>
      <c r="B1311" t="s">
        <v>543</v>
      </c>
      <c r="C1311" t="s">
        <v>387</v>
      </c>
      <c r="D1311" t="str">
        <f t="shared" si="20"/>
        <v>CBMMG3014</v>
      </c>
      <c r="E1311" t="s">
        <v>1600</v>
      </c>
    </row>
    <row r="1312" spans="1:5" hidden="1" x14ac:dyDescent="0.25">
      <c r="A1312">
        <v>1401</v>
      </c>
      <c r="B1312" t="s">
        <v>543</v>
      </c>
      <c r="C1312" t="s">
        <v>1608</v>
      </c>
      <c r="D1312" t="str">
        <f t="shared" si="20"/>
        <v>CBMMG3015</v>
      </c>
      <c r="E1312" t="s">
        <v>1600</v>
      </c>
    </row>
    <row r="1313" spans="1:5" hidden="1" x14ac:dyDescent="0.25">
      <c r="A1313">
        <v>1401</v>
      </c>
      <c r="B1313" t="s">
        <v>543</v>
      </c>
      <c r="C1313" t="s">
        <v>1609</v>
      </c>
      <c r="D1313" t="str">
        <f t="shared" si="20"/>
        <v>CBMMG3016</v>
      </c>
      <c r="E1313" t="s">
        <v>1600</v>
      </c>
    </row>
    <row r="1314" spans="1:5" hidden="1" x14ac:dyDescent="0.25">
      <c r="A1314">
        <v>1401</v>
      </c>
      <c r="B1314" t="s">
        <v>543</v>
      </c>
      <c r="C1314" t="s">
        <v>405</v>
      </c>
      <c r="D1314" t="str">
        <f t="shared" si="20"/>
        <v>CBMMG3017</v>
      </c>
      <c r="E1314" t="s">
        <v>1600</v>
      </c>
    </row>
    <row r="1315" spans="1:5" hidden="1" x14ac:dyDescent="0.25">
      <c r="A1315">
        <v>1401</v>
      </c>
      <c r="B1315" t="s">
        <v>543</v>
      </c>
      <c r="C1315" t="s">
        <v>1610</v>
      </c>
      <c r="D1315" t="str">
        <f t="shared" si="20"/>
        <v>CBMMG3019</v>
      </c>
      <c r="E1315" t="s">
        <v>1611</v>
      </c>
    </row>
    <row r="1316" spans="1:5" hidden="1" x14ac:dyDescent="0.25">
      <c r="A1316">
        <v>1401</v>
      </c>
      <c r="B1316" t="s">
        <v>543</v>
      </c>
      <c r="C1316" t="s">
        <v>1612</v>
      </c>
      <c r="D1316" t="str">
        <f t="shared" si="20"/>
        <v>CBMMG3020</v>
      </c>
      <c r="E1316" t="s">
        <v>1600</v>
      </c>
    </row>
    <row r="1317" spans="1:5" hidden="1" x14ac:dyDescent="0.25">
      <c r="A1317">
        <v>1401</v>
      </c>
      <c r="B1317" t="s">
        <v>543</v>
      </c>
      <c r="C1317" t="s">
        <v>1613</v>
      </c>
      <c r="D1317" t="str">
        <f t="shared" si="20"/>
        <v>CBMMG3021</v>
      </c>
      <c r="E1317" t="s">
        <v>1600</v>
      </c>
    </row>
    <row r="1318" spans="1:5" hidden="1" x14ac:dyDescent="0.25">
      <c r="A1318">
        <v>1401</v>
      </c>
      <c r="B1318" t="s">
        <v>543</v>
      </c>
      <c r="C1318" t="s">
        <v>430</v>
      </c>
      <c r="D1318" t="str">
        <f t="shared" si="20"/>
        <v>CBMMG3022</v>
      </c>
      <c r="E1318" t="s">
        <v>1600</v>
      </c>
    </row>
    <row r="1319" spans="1:5" hidden="1" x14ac:dyDescent="0.25">
      <c r="A1319">
        <v>1401</v>
      </c>
      <c r="B1319" t="s">
        <v>543</v>
      </c>
      <c r="C1319" t="s">
        <v>1614</v>
      </c>
      <c r="D1319" t="str">
        <f t="shared" si="20"/>
        <v>CBMMG3023</v>
      </c>
      <c r="E1319" t="s">
        <v>1615</v>
      </c>
    </row>
    <row r="1320" spans="1:5" hidden="1" x14ac:dyDescent="0.25">
      <c r="A1320">
        <v>1401</v>
      </c>
      <c r="B1320" t="s">
        <v>543</v>
      </c>
      <c r="C1320" t="s">
        <v>440</v>
      </c>
      <c r="D1320" t="str">
        <f t="shared" si="20"/>
        <v>CBMMG3024</v>
      </c>
      <c r="E1320" t="s">
        <v>1600</v>
      </c>
    </row>
    <row r="1321" spans="1:5" hidden="1" x14ac:dyDescent="0.25">
      <c r="A1321">
        <v>1401</v>
      </c>
      <c r="B1321" t="s">
        <v>543</v>
      </c>
      <c r="C1321" t="s">
        <v>1616</v>
      </c>
      <c r="D1321" t="str">
        <f t="shared" si="20"/>
        <v>CBMMG3025</v>
      </c>
      <c r="E1321" t="s">
        <v>1600</v>
      </c>
    </row>
    <row r="1322" spans="1:5" hidden="1" x14ac:dyDescent="0.25">
      <c r="A1322">
        <v>1401</v>
      </c>
      <c r="B1322" t="s">
        <v>543</v>
      </c>
      <c r="C1322" t="s">
        <v>1617</v>
      </c>
      <c r="D1322" t="str">
        <f t="shared" si="20"/>
        <v>CBMMG3026</v>
      </c>
      <c r="E1322" t="s">
        <v>1615</v>
      </c>
    </row>
    <row r="1323" spans="1:5" hidden="1" x14ac:dyDescent="0.25">
      <c r="A1323">
        <v>1401</v>
      </c>
      <c r="B1323" t="s">
        <v>543</v>
      </c>
      <c r="C1323" t="s">
        <v>1618</v>
      </c>
      <c r="D1323" t="str">
        <f t="shared" si="20"/>
        <v>CBMMG3027</v>
      </c>
      <c r="E1323" t="s">
        <v>1600</v>
      </c>
    </row>
    <row r="1324" spans="1:5" hidden="1" x14ac:dyDescent="0.25">
      <c r="A1324">
        <v>1401</v>
      </c>
      <c r="B1324" t="s">
        <v>543</v>
      </c>
      <c r="C1324" t="s">
        <v>466</v>
      </c>
      <c r="D1324" t="str">
        <f t="shared" si="20"/>
        <v>CBMMG3030</v>
      </c>
      <c r="E1324" t="s">
        <v>1600</v>
      </c>
    </row>
    <row r="1325" spans="1:5" hidden="1" x14ac:dyDescent="0.25">
      <c r="A1325">
        <v>1401</v>
      </c>
      <c r="B1325" t="s">
        <v>543</v>
      </c>
      <c r="C1325" t="s">
        <v>1619</v>
      </c>
      <c r="D1325" t="str">
        <f t="shared" si="20"/>
        <v>CBMMG3032</v>
      </c>
      <c r="E1325" t="s">
        <v>1600</v>
      </c>
    </row>
    <row r="1326" spans="1:5" hidden="1" x14ac:dyDescent="0.25">
      <c r="A1326">
        <v>1401</v>
      </c>
      <c r="B1326" t="s">
        <v>543</v>
      </c>
      <c r="C1326" t="s">
        <v>1620</v>
      </c>
      <c r="D1326" t="str">
        <f t="shared" si="20"/>
        <v>CBMMG3033</v>
      </c>
      <c r="E1326" t="s">
        <v>1621</v>
      </c>
    </row>
    <row r="1327" spans="1:5" hidden="1" x14ac:dyDescent="0.25">
      <c r="A1327">
        <v>1401</v>
      </c>
      <c r="B1327" t="s">
        <v>543</v>
      </c>
      <c r="C1327" t="s">
        <v>476</v>
      </c>
      <c r="D1327" t="str">
        <f t="shared" si="20"/>
        <v>CBMMG3034</v>
      </c>
      <c r="E1327" t="s">
        <v>1621</v>
      </c>
    </row>
    <row r="1328" spans="1:5" hidden="1" x14ac:dyDescent="0.25">
      <c r="A1328">
        <v>1401</v>
      </c>
      <c r="B1328" t="s">
        <v>543</v>
      </c>
      <c r="C1328" t="s">
        <v>1756</v>
      </c>
      <c r="D1328" t="str">
        <f t="shared" si="20"/>
        <v>CBMMG3036</v>
      </c>
      <c r="E1328" t="s">
        <v>1600</v>
      </c>
    </row>
    <row r="1329" spans="1:5" hidden="1" x14ac:dyDescent="0.25">
      <c r="A1329">
        <v>1401</v>
      </c>
      <c r="B1329" t="s">
        <v>543</v>
      </c>
      <c r="C1329" t="s">
        <v>486</v>
      </c>
      <c r="D1329" t="str">
        <f t="shared" si="20"/>
        <v>CBMMG3040</v>
      </c>
      <c r="E1329" t="s">
        <v>1600</v>
      </c>
    </row>
    <row r="1330" spans="1:5" hidden="1" x14ac:dyDescent="0.25">
      <c r="A1330">
        <v>1401</v>
      </c>
      <c r="B1330" t="s">
        <v>543</v>
      </c>
      <c r="C1330" t="s">
        <v>1703</v>
      </c>
      <c r="D1330" t="str">
        <f t="shared" si="20"/>
        <v>CBMMG3041</v>
      </c>
      <c r="E1330" t="s">
        <v>1623</v>
      </c>
    </row>
    <row r="1331" spans="1:5" hidden="1" x14ac:dyDescent="0.25">
      <c r="A1331">
        <v>1401</v>
      </c>
      <c r="B1331" t="s">
        <v>543</v>
      </c>
      <c r="C1331" t="s">
        <v>490</v>
      </c>
      <c r="D1331" t="str">
        <f t="shared" si="20"/>
        <v>CBMMG3099</v>
      </c>
      <c r="E1331" t="s">
        <v>1600</v>
      </c>
    </row>
    <row r="1332" spans="1:5" hidden="1" x14ac:dyDescent="0.25">
      <c r="A1332">
        <v>1401</v>
      </c>
      <c r="B1332" t="s">
        <v>543</v>
      </c>
      <c r="C1332" t="s">
        <v>1622</v>
      </c>
      <c r="D1332" t="str">
        <f t="shared" si="20"/>
        <v>CBMMG3101</v>
      </c>
      <c r="E1332" t="s">
        <v>1792</v>
      </c>
    </row>
    <row r="1333" spans="1:5" hidden="1" x14ac:dyDescent="0.25">
      <c r="A1333">
        <v>1401</v>
      </c>
      <c r="B1333" t="s">
        <v>543</v>
      </c>
      <c r="C1333" t="s">
        <v>226</v>
      </c>
      <c r="D1333" t="str">
        <f t="shared" si="20"/>
        <v>CBMMG3201</v>
      </c>
      <c r="E1333" t="s">
        <v>1623</v>
      </c>
    </row>
    <row r="1334" spans="1:5" hidden="1" x14ac:dyDescent="0.25">
      <c r="A1334">
        <v>1401</v>
      </c>
      <c r="B1334" t="s">
        <v>543</v>
      </c>
      <c r="C1334" t="s">
        <v>53</v>
      </c>
      <c r="D1334" t="str">
        <f t="shared" si="20"/>
        <v>CBMMG3301</v>
      </c>
      <c r="E1334" t="s">
        <v>43</v>
      </c>
    </row>
    <row r="1335" spans="1:5" hidden="1" x14ac:dyDescent="0.25">
      <c r="A1335">
        <v>1401</v>
      </c>
      <c r="B1335" t="s">
        <v>543</v>
      </c>
      <c r="C1335" t="s">
        <v>1626</v>
      </c>
      <c r="D1335" t="str">
        <f t="shared" si="20"/>
        <v>CBMMG3302</v>
      </c>
      <c r="E1335" t="s">
        <v>43</v>
      </c>
    </row>
    <row r="1336" spans="1:5" hidden="1" x14ac:dyDescent="0.25">
      <c r="A1336">
        <v>1401</v>
      </c>
      <c r="B1336" t="s">
        <v>543</v>
      </c>
      <c r="C1336" t="s">
        <v>1704</v>
      </c>
      <c r="D1336" t="str">
        <f t="shared" si="20"/>
        <v>CBMMG3303</v>
      </c>
      <c r="E1336" t="s">
        <v>1623</v>
      </c>
    </row>
    <row r="1337" spans="1:5" hidden="1" x14ac:dyDescent="0.25">
      <c r="A1337">
        <v>1401</v>
      </c>
      <c r="B1337" t="s">
        <v>543</v>
      </c>
      <c r="C1337" t="s">
        <v>1627</v>
      </c>
      <c r="D1337" t="str">
        <f t="shared" si="20"/>
        <v>CBMMG3304</v>
      </c>
      <c r="E1337" t="s">
        <v>43</v>
      </c>
    </row>
    <row r="1338" spans="1:5" hidden="1" x14ac:dyDescent="0.25">
      <c r="A1338">
        <v>1401</v>
      </c>
      <c r="B1338" t="s">
        <v>543</v>
      </c>
      <c r="C1338" t="s">
        <v>1793</v>
      </c>
      <c r="D1338" t="str">
        <f t="shared" si="20"/>
        <v>CBMMG3607</v>
      </c>
      <c r="E1338" t="s">
        <v>1623</v>
      </c>
    </row>
    <row r="1339" spans="1:5" hidden="1" x14ac:dyDescent="0.25">
      <c r="A1339">
        <v>1401</v>
      </c>
      <c r="B1339" t="s">
        <v>543</v>
      </c>
      <c r="C1339" t="s">
        <v>354</v>
      </c>
      <c r="D1339" t="str">
        <f t="shared" si="20"/>
        <v>CBMMG3610</v>
      </c>
      <c r="E1339" t="s">
        <v>1623</v>
      </c>
    </row>
    <row r="1340" spans="1:5" hidden="1" x14ac:dyDescent="0.25">
      <c r="A1340">
        <v>1401</v>
      </c>
      <c r="B1340" t="s">
        <v>543</v>
      </c>
      <c r="C1340" t="s">
        <v>1628</v>
      </c>
      <c r="D1340" t="str">
        <f t="shared" si="20"/>
        <v>CBMMG3612</v>
      </c>
      <c r="E1340" t="s">
        <v>1623</v>
      </c>
    </row>
    <row r="1341" spans="1:5" hidden="1" x14ac:dyDescent="0.25">
      <c r="A1341">
        <v>1401</v>
      </c>
      <c r="B1341" t="s">
        <v>543</v>
      </c>
      <c r="C1341" t="s">
        <v>382</v>
      </c>
      <c r="D1341" t="str">
        <f t="shared" si="20"/>
        <v>CBMMG3614</v>
      </c>
      <c r="E1341" t="s">
        <v>1623</v>
      </c>
    </row>
    <row r="1342" spans="1:5" hidden="1" x14ac:dyDescent="0.25">
      <c r="A1342">
        <v>1401</v>
      </c>
      <c r="B1342" t="s">
        <v>543</v>
      </c>
      <c r="C1342" t="s">
        <v>426</v>
      </c>
      <c r="D1342" t="str">
        <f t="shared" si="20"/>
        <v>CBMMG3622</v>
      </c>
      <c r="E1342" t="s">
        <v>1692</v>
      </c>
    </row>
    <row r="1343" spans="1:5" hidden="1" x14ac:dyDescent="0.25">
      <c r="A1343">
        <v>1401</v>
      </c>
      <c r="B1343" t="s">
        <v>543</v>
      </c>
      <c r="C1343" t="s">
        <v>470</v>
      </c>
      <c r="D1343" t="str">
        <f t="shared" si="20"/>
        <v>CBMMG3699</v>
      </c>
      <c r="E1343" t="s">
        <v>1623</v>
      </c>
    </row>
    <row r="1344" spans="1:5" hidden="1" x14ac:dyDescent="0.25">
      <c r="A1344">
        <v>1401</v>
      </c>
      <c r="B1344" t="s">
        <v>543</v>
      </c>
      <c r="C1344" t="s">
        <v>1629</v>
      </c>
      <c r="D1344" t="str">
        <f t="shared" si="20"/>
        <v>CBMMG3701</v>
      </c>
      <c r="E1344" t="s">
        <v>1630</v>
      </c>
    </row>
    <row r="1345" spans="1:5" hidden="1" x14ac:dyDescent="0.25">
      <c r="A1345">
        <v>1401</v>
      </c>
      <c r="B1345" t="s">
        <v>543</v>
      </c>
      <c r="C1345" t="s">
        <v>1693</v>
      </c>
      <c r="D1345" t="str">
        <f t="shared" si="20"/>
        <v>CBMMG3702</v>
      </c>
      <c r="E1345" t="s">
        <v>1630</v>
      </c>
    </row>
    <row r="1346" spans="1:5" hidden="1" x14ac:dyDescent="0.25">
      <c r="A1346">
        <v>1401</v>
      </c>
      <c r="B1346" t="s">
        <v>543</v>
      </c>
      <c r="C1346" t="s">
        <v>1632</v>
      </c>
      <c r="D1346" t="str">
        <f t="shared" ref="D1346:D1409" si="21">CONCATENATE(B1346,LEFT(C1346,4))</f>
        <v>CBMMG3704</v>
      </c>
      <c r="E1346" t="s">
        <v>116</v>
      </c>
    </row>
    <row r="1347" spans="1:5" hidden="1" x14ac:dyDescent="0.25">
      <c r="A1347">
        <v>1401</v>
      </c>
      <c r="B1347" t="s">
        <v>543</v>
      </c>
      <c r="C1347" t="s">
        <v>1633</v>
      </c>
      <c r="D1347" t="str">
        <f t="shared" si="21"/>
        <v>CBMMG3705</v>
      </c>
      <c r="E1347" t="s">
        <v>116</v>
      </c>
    </row>
    <row r="1348" spans="1:5" hidden="1" x14ac:dyDescent="0.25">
      <c r="A1348">
        <v>1401</v>
      </c>
      <c r="B1348" t="s">
        <v>543</v>
      </c>
      <c r="C1348" t="s">
        <v>1634</v>
      </c>
      <c r="D1348" t="str">
        <f t="shared" si="21"/>
        <v>CBMMG3903</v>
      </c>
      <c r="E1348" t="s">
        <v>1623</v>
      </c>
    </row>
    <row r="1349" spans="1:5" hidden="1" x14ac:dyDescent="0.25">
      <c r="A1349">
        <v>1401</v>
      </c>
      <c r="B1349" t="s">
        <v>543</v>
      </c>
      <c r="C1349" t="s">
        <v>298</v>
      </c>
      <c r="D1349" t="str">
        <f t="shared" si="21"/>
        <v>CBMMG3904</v>
      </c>
      <c r="E1349" t="s">
        <v>1623</v>
      </c>
    </row>
    <row r="1350" spans="1:5" hidden="1" x14ac:dyDescent="0.25">
      <c r="A1350">
        <v>1401</v>
      </c>
      <c r="B1350" t="s">
        <v>543</v>
      </c>
      <c r="C1350" t="s">
        <v>325</v>
      </c>
      <c r="D1350" t="str">
        <f t="shared" si="21"/>
        <v>CBMMG3906</v>
      </c>
      <c r="E1350" t="s">
        <v>1623</v>
      </c>
    </row>
    <row r="1351" spans="1:5" hidden="1" x14ac:dyDescent="0.25">
      <c r="A1351">
        <v>1401</v>
      </c>
      <c r="B1351" t="s">
        <v>543</v>
      </c>
      <c r="C1351" t="s">
        <v>345</v>
      </c>
      <c r="D1351" t="str">
        <f t="shared" si="21"/>
        <v>CBMMG3910</v>
      </c>
      <c r="E1351" t="s">
        <v>1623</v>
      </c>
    </row>
    <row r="1352" spans="1:5" hidden="1" x14ac:dyDescent="0.25">
      <c r="A1352">
        <v>1401</v>
      </c>
      <c r="B1352" t="s">
        <v>543</v>
      </c>
      <c r="C1352" t="s">
        <v>1636</v>
      </c>
      <c r="D1352" t="str">
        <f t="shared" si="21"/>
        <v>CBMMG3912</v>
      </c>
      <c r="E1352" t="s">
        <v>1637</v>
      </c>
    </row>
    <row r="1353" spans="1:5" hidden="1" x14ac:dyDescent="0.25">
      <c r="A1353">
        <v>1401</v>
      </c>
      <c r="B1353" t="s">
        <v>543</v>
      </c>
      <c r="C1353" t="s">
        <v>1638</v>
      </c>
      <c r="D1353" t="str">
        <f t="shared" si="21"/>
        <v>CBMMG3913</v>
      </c>
      <c r="E1353" t="s">
        <v>1637</v>
      </c>
    </row>
    <row r="1354" spans="1:5" hidden="1" x14ac:dyDescent="0.25">
      <c r="A1354">
        <v>1401</v>
      </c>
      <c r="B1354" t="s">
        <v>543</v>
      </c>
      <c r="C1354" t="s">
        <v>383</v>
      </c>
      <c r="D1354" t="str">
        <f t="shared" si="21"/>
        <v>CBMMG3915</v>
      </c>
      <c r="E1354" t="s">
        <v>1637</v>
      </c>
    </row>
    <row r="1355" spans="1:5" hidden="1" x14ac:dyDescent="0.25">
      <c r="A1355">
        <v>1401</v>
      </c>
      <c r="B1355" t="s">
        <v>543</v>
      </c>
      <c r="C1355" t="s">
        <v>1639</v>
      </c>
      <c r="D1355" t="str">
        <f t="shared" si="21"/>
        <v>CBMMG3917</v>
      </c>
      <c r="E1355" t="s">
        <v>1615</v>
      </c>
    </row>
    <row r="1356" spans="1:5" hidden="1" x14ac:dyDescent="0.25">
      <c r="A1356">
        <v>1401</v>
      </c>
      <c r="B1356" t="s">
        <v>543</v>
      </c>
      <c r="C1356" t="s">
        <v>1640</v>
      </c>
      <c r="D1356" t="str">
        <f t="shared" si="21"/>
        <v>CBMMG3918</v>
      </c>
      <c r="E1356" t="s">
        <v>1615</v>
      </c>
    </row>
    <row r="1357" spans="1:5" hidden="1" x14ac:dyDescent="0.25">
      <c r="A1357">
        <v>1401</v>
      </c>
      <c r="B1357" t="s">
        <v>543</v>
      </c>
      <c r="C1357" t="s">
        <v>1641</v>
      </c>
      <c r="D1357" t="str">
        <f t="shared" si="21"/>
        <v>CBMMG3919</v>
      </c>
      <c r="E1357" t="s">
        <v>2102</v>
      </c>
    </row>
    <row r="1358" spans="1:5" hidden="1" x14ac:dyDescent="0.25">
      <c r="A1358">
        <v>1401</v>
      </c>
      <c r="B1358" t="s">
        <v>543</v>
      </c>
      <c r="C1358" t="s">
        <v>1642</v>
      </c>
      <c r="D1358" t="str">
        <f t="shared" si="21"/>
        <v>CBMMG3921</v>
      </c>
      <c r="E1358" t="s">
        <v>2102</v>
      </c>
    </row>
    <row r="1359" spans="1:5" hidden="1" x14ac:dyDescent="0.25">
      <c r="A1359">
        <v>1401</v>
      </c>
      <c r="B1359" t="s">
        <v>543</v>
      </c>
      <c r="C1359" t="s">
        <v>1643</v>
      </c>
      <c r="D1359" t="str">
        <f t="shared" si="21"/>
        <v>CBMMG3922</v>
      </c>
      <c r="E1359" t="s">
        <v>1611</v>
      </c>
    </row>
    <row r="1360" spans="1:5" hidden="1" x14ac:dyDescent="0.25">
      <c r="A1360">
        <v>1401</v>
      </c>
      <c r="B1360" t="s">
        <v>543</v>
      </c>
      <c r="C1360" t="s">
        <v>1644</v>
      </c>
      <c r="D1360" t="str">
        <f t="shared" si="21"/>
        <v>CBMMG3924</v>
      </c>
      <c r="E1360" t="s">
        <v>1645</v>
      </c>
    </row>
    <row r="1361" spans="1:5" hidden="1" x14ac:dyDescent="0.25">
      <c r="A1361">
        <v>1401</v>
      </c>
      <c r="B1361" t="s">
        <v>543</v>
      </c>
      <c r="C1361" t="s">
        <v>442</v>
      </c>
      <c r="D1361" t="str">
        <f t="shared" si="21"/>
        <v>CBMMG3926</v>
      </c>
      <c r="E1361" t="s">
        <v>1646</v>
      </c>
    </row>
    <row r="1362" spans="1:5" hidden="1" x14ac:dyDescent="0.25">
      <c r="A1362">
        <v>1401</v>
      </c>
      <c r="B1362" t="s">
        <v>543</v>
      </c>
      <c r="C1362" t="s">
        <v>1647</v>
      </c>
      <c r="D1362" t="str">
        <f t="shared" si="21"/>
        <v>CBMMG3927</v>
      </c>
      <c r="E1362" t="s">
        <v>1648</v>
      </c>
    </row>
    <row r="1363" spans="1:5" hidden="1" x14ac:dyDescent="0.25">
      <c r="A1363">
        <v>1401</v>
      </c>
      <c r="B1363" t="s">
        <v>543</v>
      </c>
      <c r="C1363" t="s">
        <v>457</v>
      </c>
      <c r="D1363" t="str">
        <f t="shared" si="21"/>
        <v>CBMMG3930</v>
      </c>
      <c r="E1363" t="s">
        <v>1646</v>
      </c>
    </row>
    <row r="1364" spans="1:5" hidden="1" x14ac:dyDescent="0.25">
      <c r="A1364">
        <v>1401</v>
      </c>
      <c r="B1364" t="s">
        <v>543</v>
      </c>
      <c r="C1364" t="s">
        <v>1650</v>
      </c>
      <c r="D1364" t="str">
        <f t="shared" si="21"/>
        <v>CBMMG3931</v>
      </c>
      <c r="E1364" t="s">
        <v>1623</v>
      </c>
    </row>
    <row r="1365" spans="1:5" hidden="1" x14ac:dyDescent="0.25">
      <c r="A1365">
        <v>1401</v>
      </c>
      <c r="B1365" t="s">
        <v>543</v>
      </c>
      <c r="C1365" t="s">
        <v>465</v>
      </c>
      <c r="D1365" t="str">
        <f t="shared" si="21"/>
        <v>CBMMG3933</v>
      </c>
      <c r="E1365" t="s">
        <v>1623</v>
      </c>
    </row>
    <row r="1366" spans="1:5" hidden="1" x14ac:dyDescent="0.25">
      <c r="A1366">
        <v>1401</v>
      </c>
      <c r="B1366" t="s">
        <v>543</v>
      </c>
      <c r="C1366" t="s">
        <v>468</v>
      </c>
      <c r="D1366" t="str">
        <f t="shared" si="21"/>
        <v>CBMMG3934</v>
      </c>
      <c r="E1366" t="s">
        <v>1621</v>
      </c>
    </row>
    <row r="1367" spans="1:5" hidden="1" x14ac:dyDescent="0.25">
      <c r="A1367">
        <v>1401</v>
      </c>
      <c r="B1367" t="s">
        <v>543</v>
      </c>
      <c r="C1367" t="s">
        <v>1651</v>
      </c>
      <c r="D1367" t="str">
        <f t="shared" si="21"/>
        <v>CBMMG3935</v>
      </c>
      <c r="E1367" t="s">
        <v>1621</v>
      </c>
    </row>
    <row r="1368" spans="1:5" hidden="1" x14ac:dyDescent="0.25">
      <c r="A1368">
        <v>1401</v>
      </c>
      <c r="B1368" t="s">
        <v>543</v>
      </c>
      <c r="C1368" t="s">
        <v>1652</v>
      </c>
      <c r="D1368" t="str">
        <f t="shared" si="21"/>
        <v>CBMMG3936</v>
      </c>
      <c r="E1368" t="s">
        <v>93</v>
      </c>
    </row>
    <row r="1369" spans="1:5" hidden="1" x14ac:dyDescent="0.25">
      <c r="A1369">
        <v>1401</v>
      </c>
      <c r="B1369" t="s">
        <v>543</v>
      </c>
      <c r="C1369" t="s">
        <v>1695</v>
      </c>
      <c r="D1369" t="str">
        <f t="shared" si="21"/>
        <v>CBMMG3937</v>
      </c>
      <c r="E1369" t="s">
        <v>1692</v>
      </c>
    </row>
    <row r="1370" spans="1:5" hidden="1" x14ac:dyDescent="0.25">
      <c r="A1370">
        <v>1401</v>
      </c>
      <c r="B1370" t="s">
        <v>543</v>
      </c>
      <c r="C1370" t="s">
        <v>1653</v>
      </c>
      <c r="D1370" t="str">
        <f t="shared" si="21"/>
        <v>CBMMG3940</v>
      </c>
      <c r="E1370" t="s">
        <v>1648</v>
      </c>
    </row>
    <row r="1371" spans="1:5" hidden="1" x14ac:dyDescent="0.25">
      <c r="A1371">
        <v>1401</v>
      </c>
      <c r="B1371" t="s">
        <v>543</v>
      </c>
      <c r="C1371" t="s">
        <v>479</v>
      </c>
      <c r="D1371" t="str">
        <f t="shared" si="21"/>
        <v>CBMMG3941</v>
      </c>
      <c r="E1371" t="s">
        <v>1623</v>
      </c>
    </row>
    <row r="1372" spans="1:5" hidden="1" x14ac:dyDescent="0.25">
      <c r="A1372">
        <v>1401</v>
      </c>
      <c r="B1372" t="s">
        <v>543</v>
      </c>
      <c r="C1372" t="s">
        <v>481</v>
      </c>
      <c r="D1372" t="str">
        <f t="shared" si="21"/>
        <v>CBMMG3942</v>
      </c>
      <c r="E1372" t="s">
        <v>1623</v>
      </c>
    </row>
    <row r="1373" spans="1:5" hidden="1" x14ac:dyDescent="0.25">
      <c r="A1373">
        <v>1401</v>
      </c>
      <c r="B1373" t="s">
        <v>543</v>
      </c>
      <c r="C1373" t="s">
        <v>1654</v>
      </c>
      <c r="D1373" t="str">
        <f t="shared" si="21"/>
        <v>CBMMG3943</v>
      </c>
      <c r="E1373" t="s">
        <v>1615</v>
      </c>
    </row>
    <row r="1374" spans="1:5" hidden="1" x14ac:dyDescent="0.25">
      <c r="A1374">
        <v>1401</v>
      </c>
      <c r="B1374" t="s">
        <v>543</v>
      </c>
      <c r="C1374" t="s">
        <v>491</v>
      </c>
      <c r="D1374" t="str">
        <f t="shared" si="21"/>
        <v>CBMMG3948</v>
      </c>
      <c r="E1374" t="s">
        <v>1645</v>
      </c>
    </row>
    <row r="1375" spans="1:5" hidden="1" x14ac:dyDescent="0.25">
      <c r="A1375">
        <v>1401</v>
      </c>
      <c r="B1375" t="s">
        <v>543</v>
      </c>
      <c r="C1375" t="s">
        <v>495</v>
      </c>
      <c r="D1375" t="str">
        <f t="shared" si="21"/>
        <v>CBMMG3953</v>
      </c>
      <c r="E1375" t="s">
        <v>1645</v>
      </c>
    </row>
    <row r="1376" spans="1:5" hidden="1" x14ac:dyDescent="0.25">
      <c r="A1376">
        <v>1401</v>
      </c>
      <c r="B1376" t="s">
        <v>543</v>
      </c>
      <c r="C1376" t="s">
        <v>497</v>
      </c>
      <c r="D1376" t="str">
        <f t="shared" si="21"/>
        <v>CBMMG3955</v>
      </c>
      <c r="E1376" t="s">
        <v>1623</v>
      </c>
    </row>
    <row r="1377" spans="1:5" hidden="1" x14ac:dyDescent="0.25">
      <c r="A1377">
        <v>1401</v>
      </c>
      <c r="B1377" t="s">
        <v>543</v>
      </c>
      <c r="C1377" t="s">
        <v>1656</v>
      </c>
      <c r="D1377" t="str">
        <f t="shared" si="21"/>
        <v>CBMMG3959</v>
      </c>
      <c r="E1377" t="s">
        <v>1623</v>
      </c>
    </row>
    <row r="1378" spans="1:5" hidden="1" x14ac:dyDescent="0.25">
      <c r="A1378">
        <v>1401</v>
      </c>
      <c r="B1378" t="s">
        <v>543</v>
      </c>
      <c r="C1378" t="s">
        <v>1657</v>
      </c>
      <c r="D1378" t="str">
        <f t="shared" si="21"/>
        <v>CBMMG3961</v>
      </c>
      <c r="E1378" t="s">
        <v>102</v>
      </c>
    </row>
    <row r="1379" spans="1:5" hidden="1" x14ac:dyDescent="0.25">
      <c r="A1379">
        <v>1401</v>
      </c>
      <c r="B1379" t="s">
        <v>543</v>
      </c>
      <c r="C1379" t="s">
        <v>1718</v>
      </c>
      <c r="D1379" t="str">
        <f t="shared" si="21"/>
        <v>CBMMG3964</v>
      </c>
      <c r="E1379" t="s">
        <v>1623</v>
      </c>
    </row>
    <row r="1380" spans="1:5" hidden="1" x14ac:dyDescent="0.25">
      <c r="A1380">
        <v>1401</v>
      </c>
      <c r="B1380" t="s">
        <v>543</v>
      </c>
      <c r="C1380" t="s">
        <v>1660</v>
      </c>
      <c r="D1380" t="str">
        <f t="shared" si="21"/>
        <v>CBMMG3970</v>
      </c>
      <c r="E1380" t="s">
        <v>1648</v>
      </c>
    </row>
    <row r="1381" spans="1:5" hidden="1" x14ac:dyDescent="0.25">
      <c r="A1381">
        <v>1401</v>
      </c>
      <c r="B1381" t="s">
        <v>543</v>
      </c>
      <c r="C1381" t="s">
        <v>512</v>
      </c>
      <c r="D1381" t="str">
        <f t="shared" si="21"/>
        <v>CBMMG3971</v>
      </c>
      <c r="E1381" t="s">
        <v>2103</v>
      </c>
    </row>
    <row r="1382" spans="1:5" hidden="1" x14ac:dyDescent="0.25">
      <c r="A1382">
        <v>1401</v>
      </c>
      <c r="B1382" t="s">
        <v>543</v>
      </c>
      <c r="C1382" t="s">
        <v>1725</v>
      </c>
      <c r="D1382" t="str">
        <f t="shared" si="21"/>
        <v>CBMMG3973</v>
      </c>
      <c r="E1382" t="s">
        <v>1623</v>
      </c>
    </row>
    <row r="1383" spans="1:5" hidden="1" x14ac:dyDescent="0.25">
      <c r="A1383">
        <v>1401</v>
      </c>
      <c r="B1383" t="s">
        <v>543</v>
      </c>
      <c r="C1383" t="s">
        <v>515</v>
      </c>
      <c r="D1383" t="str">
        <f t="shared" si="21"/>
        <v>CBMMG3974</v>
      </c>
      <c r="E1383" t="s">
        <v>1697</v>
      </c>
    </row>
    <row r="1384" spans="1:5" hidden="1" x14ac:dyDescent="0.25">
      <c r="A1384">
        <v>1401</v>
      </c>
      <c r="B1384" t="s">
        <v>543</v>
      </c>
      <c r="C1384" t="s">
        <v>1661</v>
      </c>
      <c r="D1384" t="str">
        <f t="shared" si="21"/>
        <v>CBMMG3987</v>
      </c>
      <c r="E1384" t="s">
        <v>1615</v>
      </c>
    </row>
    <row r="1385" spans="1:5" hidden="1" x14ac:dyDescent="0.25">
      <c r="A1385">
        <v>1401</v>
      </c>
      <c r="B1385" t="s">
        <v>543</v>
      </c>
      <c r="C1385" t="s">
        <v>1662</v>
      </c>
      <c r="D1385" t="str">
        <f t="shared" si="21"/>
        <v>CBMMG3994</v>
      </c>
      <c r="E1385" t="s">
        <v>1621</v>
      </c>
    </row>
    <row r="1386" spans="1:5" hidden="1" x14ac:dyDescent="0.25">
      <c r="A1386">
        <v>1401</v>
      </c>
      <c r="B1386" t="s">
        <v>543</v>
      </c>
      <c r="C1386" t="s">
        <v>1735</v>
      </c>
      <c r="D1386" t="str">
        <f t="shared" si="21"/>
        <v>CBMMG3998</v>
      </c>
      <c r="E1386" t="s">
        <v>1606</v>
      </c>
    </row>
    <row r="1387" spans="1:5" hidden="1" x14ac:dyDescent="0.25">
      <c r="A1387">
        <v>1401</v>
      </c>
      <c r="B1387" t="s">
        <v>543</v>
      </c>
      <c r="C1387" t="s">
        <v>1663</v>
      </c>
      <c r="D1387" t="str">
        <f t="shared" si="21"/>
        <v>CBMMG3999</v>
      </c>
      <c r="E1387" t="s">
        <v>1623</v>
      </c>
    </row>
    <row r="1388" spans="1:5" hidden="1" x14ac:dyDescent="0.25">
      <c r="A1388">
        <v>1401</v>
      </c>
      <c r="B1388" t="s">
        <v>543</v>
      </c>
      <c r="C1388" t="s">
        <v>1664</v>
      </c>
      <c r="D1388" t="str">
        <f t="shared" si="21"/>
        <v>CBMMG4002</v>
      </c>
      <c r="E1388" t="s">
        <v>1648</v>
      </c>
    </row>
    <row r="1389" spans="1:5" hidden="1" x14ac:dyDescent="0.25">
      <c r="A1389">
        <v>1401</v>
      </c>
      <c r="B1389" t="s">
        <v>543</v>
      </c>
      <c r="C1389" t="s">
        <v>1665</v>
      </c>
      <c r="D1389" t="str">
        <f t="shared" si="21"/>
        <v>CBMMG4003</v>
      </c>
      <c r="E1389" t="s">
        <v>93</v>
      </c>
    </row>
    <row r="1390" spans="1:5" hidden="1" x14ac:dyDescent="0.25">
      <c r="A1390">
        <v>1401</v>
      </c>
      <c r="B1390" t="s">
        <v>543</v>
      </c>
      <c r="C1390" t="s">
        <v>1666</v>
      </c>
      <c r="D1390" t="str">
        <f t="shared" si="21"/>
        <v>CBMMG4004</v>
      </c>
      <c r="E1390" t="s">
        <v>1648</v>
      </c>
    </row>
    <row r="1391" spans="1:5" hidden="1" x14ac:dyDescent="0.25">
      <c r="A1391">
        <v>1401</v>
      </c>
      <c r="B1391" t="s">
        <v>543</v>
      </c>
      <c r="C1391" t="s">
        <v>1667</v>
      </c>
      <c r="D1391" t="str">
        <f t="shared" si="21"/>
        <v>CBMMG4005</v>
      </c>
      <c r="E1391" t="s">
        <v>1648</v>
      </c>
    </row>
    <row r="1392" spans="1:5" hidden="1" x14ac:dyDescent="0.25">
      <c r="A1392">
        <v>1401</v>
      </c>
      <c r="B1392" t="s">
        <v>543</v>
      </c>
      <c r="C1392" t="s">
        <v>1698</v>
      </c>
      <c r="D1392" t="str">
        <f t="shared" si="21"/>
        <v>CBMMG4006</v>
      </c>
      <c r="E1392" t="s">
        <v>1675</v>
      </c>
    </row>
    <row r="1393" spans="1:5" hidden="1" x14ac:dyDescent="0.25">
      <c r="A1393">
        <v>1401</v>
      </c>
      <c r="B1393" t="s">
        <v>543</v>
      </c>
      <c r="C1393" t="s">
        <v>1699</v>
      </c>
      <c r="D1393" t="str">
        <f t="shared" si="21"/>
        <v>CBMMG4007</v>
      </c>
      <c r="E1393" t="s">
        <v>93</v>
      </c>
    </row>
    <row r="1394" spans="1:5" hidden="1" x14ac:dyDescent="0.25">
      <c r="A1394">
        <v>1401</v>
      </c>
      <c r="B1394" t="s">
        <v>543</v>
      </c>
      <c r="C1394" t="s">
        <v>1749</v>
      </c>
      <c r="D1394" t="str">
        <f t="shared" si="21"/>
        <v>CBMMG4201</v>
      </c>
      <c r="E1394" t="s">
        <v>1728</v>
      </c>
    </row>
    <row r="1395" spans="1:5" hidden="1" x14ac:dyDescent="0.25">
      <c r="A1395">
        <v>1401</v>
      </c>
      <c r="B1395" t="s">
        <v>543</v>
      </c>
      <c r="C1395" t="s">
        <v>1794</v>
      </c>
      <c r="D1395" t="str">
        <f t="shared" si="21"/>
        <v>CBMMG4602</v>
      </c>
      <c r="E1395" t="s">
        <v>1596</v>
      </c>
    </row>
    <row r="1396" spans="1:5" hidden="1" x14ac:dyDescent="0.25">
      <c r="A1396">
        <v>1401</v>
      </c>
      <c r="B1396" t="s">
        <v>543</v>
      </c>
      <c r="C1396" t="s">
        <v>1668</v>
      </c>
      <c r="D1396" t="str">
        <f t="shared" si="21"/>
        <v>CBMMG4701</v>
      </c>
      <c r="E1396" t="s">
        <v>1669</v>
      </c>
    </row>
    <row r="1397" spans="1:5" hidden="1" x14ac:dyDescent="0.25">
      <c r="A1397">
        <v>1401</v>
      </c>
      <c r="B1397" t="s">
        <v>543</v>
      </c>
      <c r="C1397" t="s">
        <v>327</v>
      </c>
      <c r="D1397" t="str">
        <f t="shared" si="21"/>
        <v>CBMMG4707</v>
      </c>
      <c r="E1397" t="s">
        <v>1669</v>
      </c>
    </row>
    <row r="1398" spans="1:5" hidden="1" x14ac:dyDescent="0.25">
      <c r="A1398">
        <v>1401</v>
      </c>
      <c r="B1398" t="s">
        <v>543</v>
      </c>
      <c r="C1398" t="s">
        <v>347</v>
      </c>
      <c r="D1398" t="str">
        <f t="shared" si="21"/>
        <v>CBMMG4709</v>
      </c>
      <c r="E1398" t="s">
        <v>1669</v>
      </c>
    </row>
    <row r="1399" spans="1:5" hidden="1" x14ac:dyDescent="0.25">
      <c r="A1399">
        <v>1401</v>
      </c>
      <c r="B1399" t="s">
        <v>543</v>
      </c>
      <c r="C1399" t="s">
        <v>363</v>
      </c>
      <c r="D1399" t="str">
        <f t="shared" si="21"/>
        <v>CBMMG4799</v>
      </c>
      <c r="E1399" t="s">
        <v>1669</v>
      </c>
    </row>
    <row r="1400" spans="1:5" hidden="1" x14ac:dyDescent="0.25">
      <c r="A1400">
        <v>1401</v>
      </c>
      <c r="B1400" t="s">
        <v>543</v>
      </c>
      <c r="C1400" t="s">
        <v>1670</v>
      </c>
      <c r="D1400" t="str">
        <f t="shared" si="21"/>
        <v>CBMMG5101</v>
      </c>
      <c r="E1400" t="s">
        <v>1671</v>
      </c>
    </row>
    <row r="1401" spans="1:5" hidden="1" x14ac:dyDescent="0.25">
      <c r="A1401">
        <v>1401</v>
      </c>
      <c r="B1401" t="s">
        <v>543</v>
      </c>
      <c r="C1401" t="s">
        <v>1672</v>
      </c>
      <c r="D1401" t="str">
        <f t="shared" si="21"/>
        <v>CBMMG5103</v>
      </c>
      <c r="E1401" t="s">
        <v>1671</v>
      </c>
    </row>
    <row r="1402" spans="1:5" hidden="1" x14ac:dyDescent="0.25">
      <c r="A1402">
        <v>1401</v>
      </c>
      <c r="B1402" t="s">
        <v>543</v>
      </c>
      <c r="C1402" t="s">
        <v>172</v>
      </c>
      <c r="D1402" t="str">
        <f t="shared" si="21"/>
        <v>CBMMG5107</v>
      </c>
      <c r="E1402" t="s">
        <v>1671</v>
      </c>
    </row>
    <row r="1403" spans="1:5" hidden="1" x14ac:dyDescent="0.25">
      <c r="A1403">
        <v>1401</v>
      </c>
      <c r="B1403" t="s">
        <v>543</v>
      </c>
      <c r="C1403" t="s">
        <v>371</v>
      </c>
      <c r="D1403" t="str">
        <f t="shared" si="21"/>
        <v>CBMMG5113</v>
      </c>
      <c r="E1403" t="s">
        <v>1671</v>
      </c>
    </row>
    <row r="1404" spans="1:5" hidden="1" x14ac:dyDescent="0.25">
      <c r="A1404">
        <v>1401</v>
      </c>
      <c r="B1404" t="s">
        <v>543</v>
      </c>
      <c r="C1404" t="s">
        <v>241</v>
      </c>
      <c r="D1404" t="str">
        <f t="shared" si="21"/>
        <v>CBMMG5201</v>
      </c>
      <c r="E1404" t="s">
        <v>1621</v>
      </c>
    </row>
    <row r="1405" spans="1:5" hidden="1" x14ac:dyDescent="0.25">
      <c r="A1405">
        <v>1401</v>
      </c>
      <c r="B1405" t="s">
        <v>543</v>
      </c>
      <c r="C1405" t="s">
        <v>287</v>
      </c>
      <c r="D1405" t="str">
        <f t="shared" si="21"/>
        <v>CBMMG5203</v>
      </c>
      <c r="E1405" t="s">
        <v>1674</v>
      </c>
    </row>
    <row r="1406" spans="1:5" hidden="1" x14ac:dyDescent="0.25">
      <c r="A1406">
        <v>1401</v>
      </c>
      <c r="B1406" t="s">
        <v>543</v>
      </c>
      <c r="C1406" t="s">
        <v>1673</v>
      </c>
      <c r="D1406" t="str">
        <f t="shared" si="21"/>
        <v>CBMMG5204</v>
      </c>
      <c r="E1406" t="s">
        <v>1674</v>
      </c>
    </row>
    <row r="1407" spans="1:5" hidden="1" x14ac:dyDescent="0.25">
      <c r="A1407">
        <v>1401</v>
      </c>
      <c r="B1407" t="s">
        <v>543</v>
      </c>
      <c r="C1407" t="s">
        <v>317</v>
      </c>
      <c r="D1407" t="str">
        <f t="shared" si="21"/>
        <v>CBMMG5205</v>
      </c>
      <c r="E1407" t="s">
        <v>1674</v>
      </c>
    </row>
    <row r="1408" spans="1:5" hidden="1" x14ac:dyDescent="0.25">
      <c r="A1408">
        <v>1401</v>
      </c>
      <c r="B1408" t="s">
        <v>543</v>
      </c>
      <c r="C1408" t="s">
        <v>328</v>
      </c>
      <c r="D1408" t="str">
        <f t="shared" si="21"/>
        <v>CBMMG5206</v>
      </c>
      <c r="E1408" t="s">
        <v>1675</v>
      </c>
    </row>
    <row r="1409" spans="1:5" hidden="1" x14ac:dyDescent="0.25">
      <c r="A1409">
        <v>1401</v>
      </c>
      <c r="B1409" t="s">
        <v>543</v>
      </c>
      <c r="C1409" t="s">
        <v>1676</v>
      </c>
      <c r="D1409" t="str">
        <f t="shared" si="21"/>
        <v>CBMMG5207</v>
      </c>
      <c r="E1409" t="s">
        <v>1675</v>
      </c>
    </row>
    <row r="1410" spans="1:5" hidden="1" x14ac:dyDescent="0.25">
      <c r="A1410">
        <v>1401</v>
      </c>
      <c r="B1410" t="s">
        <v>543</v>
      </c>
      <c r="C1410" t="s">
        <v>1677</v>
      </c>
      <c r="D1410" t="str">
        <f t="shared" ref="D1410:D1473" si="22">CONCATENATE(B1410,LEFT(C1410,4))</f>
        <v>CBMMG5208</v>
      </c>
      <c r="E1410" t="s">
        <v>1675</v>
      </c>
    </row>
    <row r="1411" spans="1:5" hidden="1" x14ac:dyDescent="0.25">
      <c r="A1411">
        <v>1401</v>
      </c>
      <c r="B1411" t="s">
        <v>543</v>
      </c>
      <c r="C1411" t="s">
        <v>358</v>
      </c>
      <c r="D1411" t="str">
        <f t="shared" si="22"/>
        <v>CBMMG5209</v>
      </c>
      <c r="E1411" t="s">
        <v>1674</v>
      </c>
    </row>
    <row r="1412" spans="1:5" hidden="1" x14ac:dyDescent="0.25">
      <c r="A1412">
        <v>1401</v>
      </c>
      <c r="B1412" t="s">
        <v>543</v>
      </c>
      <c r="C1412" t="s">
        <v>1678</v>
      </c>
      <c r="D1412" t="str">
        <f t="shared" si="22"/>
        <v>CBMMG5210</v>
      </c>
      <c r="E1412" t="s">
        <v>1674</v>
      </c>
    </row>
    <row r="1413" spans="1:5" hidden="1" x14ac:dyDescent="0.25">
      <c r="A1413">
        <v>1401</v>
      </c>
      <c r="B1413" t="s">
        <v>543</v>
      </c>
      <c r="C1413" t="s">
        <v>1713</v>
      </c>
      <c r="D1413" t="str">
        <f t="shared" si="22"/>
        <v>CBMMG5211</v>
      </c>
      <c r="E1413" t="s">
        <v>1606</v>
      </c>
    </row>
    <row r="1414" spans="1:5" hidden="1" x14ac:dyDescent="0.25">
      <c r="A1414">
        <v>1401</v>
      </c>
      <c r="B1414" t="s">
        <v>543</v>
      </c>
      <c r="C1414" t="s">
        <v>1679</v>
      </c>
      <c r="D1414" t="str">
        <f t="shared" si="22"/>
        <v>CBMMG5212</v>
      </c>
      <c r="E1414" t="s">
        <v>1674</v>
      </c>
    </row>
    <row r="1415" spans="1:5" hidden="1" x14ac:dyDescent="0.25">
      <c r="A1415">
        <v>1401</v>
      </c>
      <c r="B1415" t="s">
        <v>543</v>
      </c>
      <c r="C1415" t="s">
        <v>384</v>
      </c>
      <c r="D1415" t="str">
        <f t="shared" si="22"/>
        <v>CBMMG5213</v>
      </c>
      <c r="E1415" t="s">
        <v>1674</v>
      </c>
    </row>
    <row r="1416" spans="1:5" hidden="1" x14ac:dyDescent="0.25">
      <c r="A1416">
        <v>1401</v>
      </c>
      <c r="B1416" t="s">
        <v>543</v>
      </c>
      <c r="C1416" t="s">
        <v>390</v>
      </c>
      <c r="D1416" t="str">
        <f t="shared" si="22"/>
        <v>CBMMG5214</v>
      </c>
      <c r="E1416" t="s">
        <v>1674</v>
      </c>
    </row>
    <row r="1417" spans="1:5" hidden="1" x14ac:dyDescent="0.25">
      <c r="A1417">
        <v>1401</v>
      </c>
      <c r="B1417" t="s">
        <v>543</v>
      </c>
      <c r="C1417" t="s">
        <v>402</v>
      </c>
      <c r="D1417" t="str">
        <f t="shared" si="22"/>
        <v>CBMMG5216</v>
      </c>
      <c r="E1417" t="s">
        <v>1680</v>
      </c>
    </row>
    <row r="1418" spans="1:5" hidden="1" x14ac:dyDescent="0.25">
      <c r="A1418">
        <v>1401</v>
      </c>
      <c r="B1418" t="s">
        <v>543</v>
      </c>
      <c r="C1418" t="s">
        <v>408</v>
      </c>
      <c r="D1418" t="str">
        <f t="shared" si="22"/>
        <v>CBMMG5217</v>
      </c>
      <c r="E1418" t="s">
        <v>1674</v>
      </c>
    </row>
    <row r="1419" spans="1:5" hidden="1" x14ac:dyDescent="0.25">
      <c r="A1419">
        <v>1401</v>
      </c>
      <c r="B1419" t="s">
        <v>543</v>
      </c>
      <c r="C1419" t="s">
        <v>418</v>
      </c>
      <c r="D1419" t="str">
        <f t="shared" si="22"/>
        <v>CBMMG5219</v>
      </c>
      <c r="E1419" t="s">
        <v>1674</v>
      </c>
    </row>
    <row r="1420" spans="1:5" hidden="1" x14ac:dyDescent="0.25">
      <c r="A1420">
        <v>1401</v>
      </c>
      <c r="B1420" t="s">
        <v>543</v>
      </c>
      <c r="C1420" t="s">
        <v>1681</v>
      </c>
      <c r="D1420" t="str">
        <f t="shared" si="22"/>
        <v>CBMMG5220</v>
      </c>
      <c r="E1420" t="s">
        <v>1675</v>
      </c>
    </row>
    <row r="1421" spans="1:5" hidden="1" x14ac:dyDescent="0.25">
      <c r="A1421">
        <v>1401</v>
      </c>
      <c r="B1421" t="s">
        <v>543</v>
      </c>
      <c r="C1421" t="s">
        <v>428</v>
      </c>
      <c r="D1421" t="str">
        <f t="shared" si="22"/>
        <v>CBMMG5221</v>
      </c>
      <c r="E1421" t="s">
        <v>1674</v>
      </c>
    </row>
    <row r="1422" spans="1:5" hidden="1" x14ac:dyDescent="0.25">
      <c r="A1422">
        <v>1401</v>
      </c>
      <c r="B1422" t="s">
        <v>543</v>
      </c>
      <c r="C1422" t="s">
        <v>433</v>
      </c>
      <c r="D1422" t="str">
        <f t="shared" si="22"/>
        <v>CBMMG5222</v>
      </c>
      <c r="E1422" t="s">
        <v>1674</v>
      </c>
    </row>
    <row r="1423" spans="1:5" hidden="1" x14ac:dyDescent="0.25">
      <c r="A1423">
        <v>1401</v>
      </c>
      <c r="B1423" t="s">
        <v>543</v>
      </c>
      <c r="C1423" t="s">
        <v>448</v>
      </c>
      <c r="D1423" t="str">
        <f t="shared" si="22"/>
        <v>CBMMG5225</v>
      </c>
      <c r="E1423" t="s">
        <v>1674</v>
      </c>
    </row>
    <row r="1424" spans="1:5" hidden="1" x14ac:dyDescent="0.25">
      <c r="A1424">
        <v>1401</v>
      </c>
      <c r="B1424" t="s">
        <v>543</v>
      </c>
      <c r="C1424" t="s">
        <v>1682</v>
      </c>
      <c r="D1424" t="str">
        <f t="shared" si="22"/>
        <v>CBMMG5226</v>
      </c>
      <c r="E1424" t="s">
        <v>1674</v>
      </c>
    </row>
    <row r="1425" spans="1:5" hidden="1" x14ac:dyDescent="0.25">
      <c r="A1425">
        <v>1401</v>
      </c>
      <c r="B1425" t="s">
        <v>543</v>
      </c>
      <c r="C1425" t="s">
        <v>1683</v>
      </c>
      <c r="D1425" t="str">
        <f t="shared" si="22"/>
        <v>CBMMG5227</v>
      </c>
      <c r="E1425" t="s">
        <v>1674</v>
      </c>
    </row>
    <row r="1426" spans="1:5" hidden="1" x14ac:dyDescent="0.25">
      <c r="A1426">
        <v>1401</v>
      </c>
      <c r="B1426" t="s">
        <v>543</v>
      </c>
      <c r="C1426" t="s">
        <v>1700</v>
      </c>
      <c r="D1426" t="str">
        <f t="shared" si="22"/>
        <v>CBMMG5230</v>
      </c>
      <c r="E1426" t="s">
        <v>1674</v>
      </c>
    </row>
    <row r="1427" spans="1:5" hidden="1" x14ac:dyDescent="0.25">
      <c r="A1427">
        <v>1401</v>
      </c>
      <c r="B1427" t="s">
        <v>543</v>
      </c>
      <c r="C1427" t="s">
        <v>458</v>
      </c>
      <c r="D1427" t="str">
        <f t="shared" si="22"/>
        <v>CBMMG5299</v>
      </c>
      <c r="E1427" t="s">
        <v>1674</v>
      </c>
    </row>
    <row r="1428" spans="1:5" hidden="1" x14ac:dyDescent="0.25">
      <c r="A1428">
        <v>1401</v>
      </c>
      <c r="B1428" t="s">
        <v>543</v>
      </c>
      <c r="C1428" t="s">
        <v>242</v>
      </c>
      <c r="D1428" t="str">
        <f t="shared" si="22"/>
        <v>CBMMG6101</v>
      </c>
      <c r="E1428" t="s">
        <v>1754</v>
      </c>
    </row>
    <row r="1429" spans="1:5" hidden="1" x14ac:dyDescent="0.25">
      <c r="A1429">
        <v>1401</v>
      </c>
      <c r="B1429" t="s">
        <v>543</v>
      </c>
      <c r="C1429" t="s">
        <v>1723</v>
      </c>
      <c r="D1429" t="str">
        <f t="shared" si="22"/>
        <v>CBMMG9108</v>
      </c>
      <c r="E1429" t="s">
        <v>1724</v>
      </c>
    </row>
    <row r="1430" spans="1:5" hidden="1" x14ac:dyDescent="0.25">
      <c r="A1430">
        <v>1401</v>
      </c>
      <c r="B1430" t="s">
        <v>543</v>
      </c>
      <c r="C1430" t="s">
        <v>1729</v>
      </c>
      <c r="D1430" t="str">
        <f t="shared" si="22"/>
        <v>CBMMG9201</v>
      </c>
      <c r="E1430" t="s">
        <v>1685</v>
      </c>
    </row>
    <row r="1431" spans="1:5" hidden="1" x14ac:dyDescent="0.25">
      <c r="A1431">
        <v>1401</v>
      </c>
      <c r="B1431" t="s">
        <v>543</v>
      </c>
      <c r="C1431" t="s">
        <v>1684</v>
      </c>
      <c r="D1431" t="str">
        <f t="shared" si="22"/>
        <v>CBMMG9202</v>
      </c>
      <c r="E1431" t="s">
        <v>1685</v>
      </c>
    </row>
    <row r="1432" spans="1:5" hidden="1" x14ac:dyDescent="0.25">
      <c r="A1432">
        <v>1401</v>
      </c>
      <c r="B1432" t="s">
        <v>543</v>
      </c>
      <c r="C1432" t="s">
        <v>249</v>
      </c>
      <c r="D1432" t="str">
        <f t="shared" si="22"/>
        <v>CBMMG9301</v>
      </c>
      <c r="E1432" t="s">
        <v>1736</v>
      </c>
    </row>
    <row r="1433" spans="1:5" hidden="1" x14ac:dyDescent="0.25">
      <c r="A1433">
        <v>1401</v>
      </c>
      <c r="B1433" t="s">
        <v>543</v>
      </c>
      <c r="C1433" t="s">
        <v>271</v>
      </c>
      <c r="D1433" t="str">
        <f t="shared" si="22"/>
        <v>CBMMG9302</v>
      </c>
      <c r="E1433" t="s">
        <v>1623</v>
      </c>
    </row>
    <row r="1434" spans="1:5" hidden="1" x14ac:dyDescent="0.25">
      <c r="A1434">
        <v>1401</v>
      </c>
      <c r="B1434" t="s">
        <v>543</v>
      </c>
      <c r="C1434" t="s">
        <v>330</v>
      </c>
      <c r="D1434" t="str">
        <f t="shared" si="22"/>
        <v>CBMMG9306</v>
      </c>
      <c r="E1434" t="s">
        <v>1686</v>
      </c>
    </row>
    <row r="1435" spans="1:5" hidden="1" x14ac:dyDescent="0.25">
      <c r="A1435">
        <v>1401</v>
      </c>
      <c r="B1435" t="s">
        <v>543</v>
      </c>
      <c r="C1435" t="s">
        <v>366</v>
      </c>
      <c r="D1435" t="str">
        <f t="shared" si="22"/>
        <v>CBMMG9310</v>
      </c>
      <c r="E1435" t="s">
        <v>1623</v>
      </c>
    </row>
    <row r="1436" spans="1:5" hidden="1" x14ac:dyDescent="0.25">
      <c r="A1436">
        <v>1401</v>
      </c>
      <c r="B1436" t="s">
        <v>543</v>
      </c>
      <c r="C1436" t="s">
        <v>379</v>
      </c>
      <c r="D1436" t="str">
        <f t="shared" si="22"/>
        <v>CBMMG9312</v>
      </c>
      <c r="E1436" t="s">
        <v>1623</v>
      </c>
    </row>
    <row r="1437" spans="1:5" hidden="1" x14ac:dyDescent="0.25">
      <c r="A1437">
        <v>1401</v>
      </c>
      <c r="B1437" t="s">
        <v>543</v>
      </c>
      <c r="C1437" t="s">
        <v>385</v>
      </c>
      <c r="D1437" t="str">
        <f t="shared" si="22"/>
        <v>CBMMG9313</v>
      </c>
      <c r="E1437" t="s">
        <v>1606</v>
      </c>
    </row>
    <row r="1438" spans="1:5" hidden="1" x14ac:dyDescent="0.25">
      <c r="A1438">
        <v>1401</v>
      </c>
      <c r="B1438" t="s">
        <v>543</v>
      </c>
      <c r="C1438" t="s">
        <v>439</v>
      </c>
      <c r="D1438" t="str">
        <f t="shared" si="22"/>
        <v>CBMMG9326</v>
      </c>
      <c r="E1438" t="s">
        <v>1623</v>
      </c>
    </row>
    <row r="1439" spans="1:5" hidden="1" x14ac:dyDescent="0.25">
      <c r="A1439">
        <v>1401</v>
      </c>
      <c r="B1439" t="s">
        <v>543</v>
      </c>
      <c r="C1439" t="s">
        <v>1687</v>
      </c>
      <c r="D1439" t="str">
        <f t="shared" si="22"/>
        <v>CBMMG9399</v>
      </c>
      <c r="E1439" t="s">
        <v>1623</v>
      </c>
    </row>
    <row r="1440" spans="1:5" hidden="1" x14ac:dyDescent="0.25">
      <c r="A1440">
        <v>1411</v>
      </c>
      <c r="B1440" t="e">
        <v>#N/A</v>
      </c>
      <c r="C1440" t="s">
        <v>1597</v>
      </c>
      <c r="D1440" t="e">
        <f t="shared" si="22"/>
        <v>#N/A</v>
      </c>
      <c r="E1440" t="s">
        <v>43</v>
      </c>
    </row>
    <row r="1441" spans="1:5" hidden="1" x14ac:dyDescent="0.25">
      <c r="A1441">
        <v>1411</v>
      </c>
      <c r="B1441" t="e">
        <v>#N/A</v>
      </c>
      <c r="C1441" t="s">
        <v>1599</v>
      </c>
      <c r="D1441" t="e">
        <f t="shared" si="22"/>
        <v>#N/A</v>
      </c>
      <c r="E1441" t="s">
        <v>1600</v>
      </c>
    </row>
    <row r="1442" spans="1:5" hidden="1" x14ac:dyDescent="0.25">
      <c r="A1442">
        <v>1411</v>
      </c>
      <c r="B1442" t="e">
        <v>#N/A</v>
      </c>
      <c r="C1442" t="s">
        <v>1603</v>
      </c>
      <c r="D1442" t="e">
        <f t="shared" si="22"/>
        <v>#N/A</v>
      </c>
      <c r="E1442" t="s">
        <v>1600</v>
      </c>
    </row>
    <row r="1443" spans="1:5" hidden="1" x14ac:dyDescent="0.25">
      <c r="A1443">
        <v>1411</v>
      </c>
      <c r="B1443" t="e">
        <v>#N/A</v>
      </c>
      <c r="C1443" t="s">
        <v>1617</v>
      </c>
      <c r="D1443" t="e">
        <f t="shared" si="22"/>
        <v>#N/A</v>
      </c>
      <c r="E1443" t="s">
        <v>1615</v>
      </c>
    </row>
    <row r="1444" spans="1:5" hidden="1" x14ac:dyDescent="0.25">
      <c r="A1444">
        <v>1411</v>
      </c>
      <c r="B1444" t="e">
        <v>#N/A</v>
      </c>
      <c r="C1444" t="s">
        <v>53</v>
      </c>
      <c r="D1444" t="e">
        <f t="shared" si="22"/>
        <v>#N/A</v>
      </c>
      <c r="E1444" t="s">
        <v>43</v>
      </c>
    </row>
    <row r="1445" spans="1:5" hidden="1" x14ac:dyDescent="0.25">
      <c r="A1445">
        <v>1411</v>
      </c>
      <c r="B1445" t="e">
        <v>#N/A</v>
      </c>
      <c r="C1445" t="s">
        <v>1626</v>
      </c>
      <c r="D1445" t="e">
        <f t="shared" si="22"/>
        <v>#N/A</v>
      </c>
      <c r="E1445" t="s">
        <v>43</v>
      </c>
    </row>
    <row r="1446" spans="1:5" hidden="1" x14ac:dyDescent="0.25">
      <c r="A1446">
        <v>1411</v>
      </c>
      <c r="B1446" t="e">
        <v>#N/A</v>
      </c>
      <c r="C1446" t="s">
        <v>1627</v>
      </c>
      <c r="D1446" t="e">
        <f t="shared" si="22"/>
        <v>#N/A</v>
      </c>
      <c r="E1446" t="s">
        <v>43</v>
      </c>
    </row>
    <row r="1447" spans="1:5" hidden="1" x14ac:dyDescent="0.25">
      <c r="A1447">
        <v>1411</v>
      </c>
      <c r="B1447" t="e">
        <v>#N/A</v>
      </c>
      <c r="C1447" t="s">
        <v>296</v>
      </c>
      <c r="D1447" t="e">
        <f t="shared" si="22"/>
        <v>#N/A</v>
      </c>
      <c r="E1447" t="s">
        <v>43</v>
      </c>
    </row>
    <row r="1448" spans="1:5" hidden="1" x14ac:dyDescent="0.25">
      <c r="A1448">
        <v>1411</v>
      </c>
      <c r="B1448" t="e">
        <v>#N/A</v>
      </c>
      <c r="C1448" t="s">
        <v>354</v>
      </c>
      <c r="D1448" t="e">
        <f t="shared" si="22"/>
        <v>#N/A</v>
      </c>
      <c r="E1448" t="s">
        <v>1623</v>
      </c>
    </row>
    <row r="1449" spans="1:5" hidden="1" x14ac:dyDescent="0.25">
      <c r="A1449">
        <v>1411</v>
      </c>
      <c r="B1449" t="e">
        <v>#N/A</v>
      </c>
      <c r="C1449" t="s">
        <v>1628</v>
      </c>
      <c r="D1449" t="e">
        <f t="shared" si="22"/>
        <v>#N/A</v>
      </c>
      <c r="E1449" t="s">
        <v>1623</v>
      </c>
    </row>
    <row r="1450" spans="1:5" hidden="1" x14ac:dyDescent="0.25">
      <c r="A1450">
        <v>1411</v>
      </c>
      <c r="B1450" t="e">
        <v>#N/A</v>
      </c>
      <c r="C1450" t="s">
        <v>1632</v>
      </c>
      <c r="D1450" t="e">
        <f t="shared" si="22"/>
        <v>#N/A</v>
      </c>
      <c r="E1450" t="s">
        <v>116</v>
      </c>
    </row>
    <row r="1451" spans="1:5" hidden="1" x14ac:dyDescent="0.25">
      <c r="A1451">
        <v>1411</v>
      </c>
      <c r="B1451" t="e">
        <v>#N/A</v>
      </c>
      <c r="C1451" t="s">
        <v>298</v>
      </c>
      <c r="D1451" t="e">
        <f t="shared" si="22"/>
        <v>#N/A</v>
      </c>
      <c r="E1451" t="s">
        <v>1623</v>
      </c>
    </row>
    <row r="1452" spans="1:5" hidden="1" x14ac:dyDescent="0.25">
      <c r="A1452">
        <v>1411</v>
      </c>
      <c r="B1452" t="e">
        <v>#N/A</v>
      </c>
      <c r="C1452" t="s">
        <v>1635</v>
      </c>
      <c r="D1452" t="e">
        <f t="shared" si="22"/>
        <v>#N/A</v>
      </c>
      <c r="E1452" t="s">
        <v>1623</v>
      </c>
    </row>
    <row r="1453" spans="1:5" hidden="1" x14ac:dyDescent="0.25">
      <c r="A1453">
        <v>1411</v>
      </c>
      <c r="B1453" t="e">
        <v>#N/A</v>
      </c>
      <c r="C1453" t="s">
        <v>345</v>
      </c>
      <c r="D1453" t="e">
        <f t="shared" si="22"/>
        <v>#N/A</v>
      </c>
      <c r="E1453" t="s">
        <v>1623</v>
      </c>
    </row>
    <row r="1454" spans="1:5" hidden="1" x14ac:dyDescent="0.25">
      <c r="A1454">
        <v>1411</v>
      </c>
      <c r="B1454" t="e">
        <v>#N/A</v>
      </c>
      <c r="C1454" t="s">
        <v>1639</v>
      </c>
      <c r="D1454" t="e">
        <f t="shared" si="22"/>
        <v>#N/A</v>
      </c>
      <c r="E1454" t="s">
        <v>1615</v>
      </c>
    </row>
    <row r="1455" spans="1:5" hidden="1" x14ac:dyDescent="0.25">
      <c r="A1455">
        <v>1411</v>
      </c>
      <c r="B1455" t="e">
        <v>#N/A</v>
      </c>
      <c r="C1455" t="s">
        <v>1644</v>
      </c>
      <c r="D1455" t="e">
        <f t="shared" si="22"/>
        <v>#N/A</v>
      </c>
      <c r="E1455" t="s">
        <v>1645</v>
      </c>
    </row>
    <row r="1456" spans="1:5" hidden="1" x14ac:dyDescent="0.25">
      <c r="A1456">
        <v>1411</v>
      </c>
      <c r="B1456" t="e">
        <v>#N/A</v>
      </c>
      <c r="C1456" t="s">
        <v>442</v>
      </c>
      <c r="D1456" t="e">
        <f t="shared" si="22"/>
        <v>#N/A</v>
      </c>
      <c r="E1456" t="s">
        <v>1646</v>
      </c>
    </row>
    <row r="1457" spans="1:5" hidden="1" x14ac:dyDescent="0.25">
      <c r="A1457">
        <v>1411</v>
      </c>
      <c r="B1457" t="e">
        <v>#N/A</v>
      </c>
      <c r="C1457" t="s">
        <v>1652</v>
      </c>
      <c r="D1457" t="e">
        <f t="shared" si="22"/>
        <v>#N/A</v>
      </c>
      <c r="E1457" t="s">
        <v>93</v>
      </c>
    </row>
    <row r="1458" spans="1:5" hidden="1" x14ac:dyDescent="0.25">
      <c r="A1458">
        <v>1411</v>
      </c>
      <c r="B1458" t="e">
        <v>#N/A</v>
      </c>
      <c r="C1458" t="s">
        <v>1653</v>
      </c>
      <c r="D1458" t="e">
        <f t="shared" si="22"/>
        <v>#N/A</v>
      </c>
      <c r="E1458" t="s">
        <v>1648</v>
      </c>
    </row>
    <row r="1459" spans="1:5" hidden="1" x14ac:dyDescent="0.25">
      <c r="A1459">
        <v>1411</v>
      </c>
      <c r="B1459" t="e">
        <v>#N/A</v>
      </c>
      <c r="C1459" t="s">
        <v>1654</v>
      </c>
      <c r="D1459" t="e">
        <f t="shared" si="22"/>
        <v>#N/A</v>
      </c>
      <c r="E1459" t="s">
        <v>1615</v>
      </c>
    </row>
    <row r="1460" spans="1:5" hidden="1" x14ac:dyDescent="0.25">
      <c r="A1460">
        <v>1411</v>
      </c>
      <c r="B1460" t="e">
        <v>#N/A</v>
      </c>
      <c r="C1460" t="s">
        <v>1715</v>
      </c>
      <c r="D1460" t="e">
        <f t="shared" si="22"/>
        <v>#N/A</v>
      </c>
      <c r="E1460" t="s">
        <v>1645</v>
      </c>
    </row>
    <row r="1461" spans="1:5" hidden="1" x14ac:dyDescent="0.25">
      <c r="A1461">
        <v>1411</v>
      </c>
      <c r="B1461" t="e">
        <v>#N/A</v>
      </c>
      <c r="C1461" t="s">
        <v>1701</v>
      </c>
      <c r="D1461" t="e">
        <f t="shared" si="22"/>
        <v>#N/A</v>
      </c>
      <c r="E1461" t="s">
        <v>64</v>
      </c>
    </row>
    <row r="1462" spans="1:5" hidden="1" x14ac:dyDescent="0.25">
      <c r="A1462">
        <v>1411</v>
      </c>
      <c r="B1462" t="e">
        <v>#N/A</v>
      </c>
      <c r="C1462" t="s">
        <v>497</v>
      </c>
      <c r="D1462" t="e">
        <f t="shared" si="22"/>
        <v>#N/A</v>
      </c>
      <c r="E1462" t="s">
        <v>1623</v>
      </c>
    </row>
    <row r="1463" spans="1:5" hidden="1" x14ac:dyDescent="0.25">
      <c r="A1463">
        <v>1411</v>
      </c>
      <c r="B1463" t="e">
        <v>#N/A</v>
      </c>
      <c r="C1463" t="s">
        <v>498</v>
      </c>
      <c r="D1463" t="e">
        <f t="shared" si="22"/>
        <v>#N/A</v>
      </c>
      <c r="E1463" t="s">
        <v>1623</v>
      </c>
    </row>
    <row r="1464" spans="1:5" hidden="1" x14ac:dyDescent="0.25">
      <c r="A1464">
        <v>1411</v>
      </c>
      <c r="B1464" t="e">
        <v>#N/A</v>
      </c>
      <c r="C1464" t="s">
        <v>1661</v>
      </c>
      <c r="D1464" t="e">
        <f t="shared" si="22"/>
        <v>#N/A</v>
      </c>
      <c r="E1464" t="s">
        <v>1615</v>
      </c>
    </row>
    <row r="1465" spans="1:5" hidden="1" x14ac:dyDescent="0.25">
      <c r="A1465">
        <v>1411</v>
      </c>
      <c r="B1465" t="e">
        <v>#N/A</v>
      </c>
      <c r="C1465" t="s">
        <v>1663</v>
      </c>
      <c r="D1465" t="e">
        <f t="shared" si="22"/>
        <v>#N/A</v>
      </c>
      <c r="E1465" t="s">
        <v>1623</v>
      </c>
    </row>
    <row r="1466" spans="1:5" hidden="1" x14ac:dyDescent="0.25">
      <c r="A1466">
        <v>1411</v>
      </c>
      <c r="B1466" t="e">
        <v>#N/A</v>
      </c>
      <c r="C1466" t="s">
        <v>1665</v>
      </c>
      <c r="D1466" t="e">
        <f t="shared" si="22"/>
        <v>#N/A</v>
      </c>
      <c r="E1466" t="s">
        <v>93</v>
      </c>
    </row>
    <row r="1467" spans="1:5" hidden="1" x14ac:dyDescent="0.25">
      <c r="A1467">
        <v>1411</v>
      </c>
      <c r="B1467" t="e">
        <v>#N/A</v>
      </c>
      <c r="C1467" t="s">
        <v>1666</v>
      </c>
      <c r="D1467" t="e">
        <f t="shared" si="22"/>
        <v>#N/A</v>
      </c>
      <c r="E1467" t="s">
        <v>1648</v>
      </c>
    </row>
    <row r="1468" spans="1:5" hidden="1" x14ac:dyDescent="0.25">
      <c r="A1468">
        <v>1411</v>
      </c>
      <c r="B1468" t="e">
        <v>#N/A</v>
      </c>
      <c r="C1468" t="s">
        <v>1749</v>
      </c>
      <c r="D1468" t="e">
        <f t="shared" si="22"/>
        <v>#N/A</v>
      </c>
      <c r="E1468" t="s">
        <v>1728</v>
      </c>
    </row>
    <row r="1469" spans="1:5" hidden="1" x14ac:dyDescent="0.25">
      <c r="A1469">
        <v>1411</v>
      </c>
      <c r="B1469" t="e">
        <v>#N/A</v>
      </c>
      <c r="C1469" t="s">
        <v>328</v>
      </c>
      <c r="D1469" t="e">
        <f t="shared" si="22"/>
        <v>#N/A</v>
      </c>
      <c r="E1469" t="s">
        <v>1675</v>
      </c>
    </row>
    <row r="1470" spans="1:5" hidden="1" x14ac:dyDescent="0.25">
      <c r="A1470">
        <v>1411</v>
      </c>
      <c r="B1470" t="e">
        <v>#N/A</v>
      </c>
      <c r="C1470" t="s">
        <v>1676</v>
      </c>
      <c r="D1470" t="e">
        <f t="shared" si="22"/>
        <v>#N/A</v>
      </c>
      <c r="E1470" t="s">
        <v>1675</v>
      </c>
    </row>
    <row r="1471" spans="1:5" hidden="1" x14ac:dyDescent="0.25">
      <c r="A1471">
        <v>1411</v>
      </c>
      <c r="B1471" t="e">
        <v>#N/A</v>
      </c>
      <c r="C1471" t="s">
        <v>1677</v>
      </c>
      <c r="D1471" t="e">
        <f t="shared" si="22"/>
        <v>#N/A</v>
      </c>
      <c r="E1471" t="s">
        <v>1675</v>
      </c>
    </row>
    <row r="1472" spans="1:5" hidden="1" x14ac:dyDescent="0.25">
      <c r="A1472">
        <v>1411</v>
      </c>
      <c r="B1472" t="e">
        <v>#N/A</v>
      </c>
      <c r="C1472" t="s">
        <v>1684</v>
      </c>
      <c r="D1472" t="e">
        <f t="shared" si="22"/>
        <v>#N/A</v>
      </c>
      <c r="E1472" t="s">
        <v>1685</v>
      </c>
    </row>
    <row r="1473" spans="1:5" hidden="1" x14ac:dyDescent="0.25">
      <c r="A1473">
        <v>1411</v>
      </c>
      <c r="B1473" t="e">
        <v>#N/A</v>
      </c>
      <c r="C1473" t="s">
        <v>1687</v>
      </c>
      <c r="D1473" t="e">
        <f t="shared" si="22"/>
        <v>#N/A</v>
      </c>
      <c r="E1473" t="s">
        <v>1623</v>
      </c>
    </row>
    <row r="1474" spans="1:5" hidden="1" x14ac:dyDescent="0.25">
      <c r="A1474">
        <v>1451</v>
      </c>
      <c r="B1474" t="s">
        <v>588</v>
      </c>
      <c r="C1474" t="s">
        <v>1795</v>
      </c>
      <c r="D1474" t="str">
        <f t="shared" ref="D1474:D1540" si="23">CONCATENATE(B1474,LEFT(C1474,4))</f>
        <v>SEJUSP0805</v>
      </c>
      <c r="E1474" t="s">
        <v>1596</v>
      </c>
    </row>
    <row r="1475" spans="1:5" hidden="1" x14ac:dyDescent="0.25">
      <c r="A1475">
        <v>1451</v>
      </c>
      <c r="B1475" t="s">
        <v>588</v>
      </c>
      <c r="C1475" t="s">
        <v>1595</v>
      </c>
      <c r="D1475" t="str">
        <f t="shared" si="23"/>
        <v>SEJUSP0810</v>
      </c>
      <c r="E1475" t="s">
        <v>1596</v>
      </c>
    </row>
    <row r="1476" spans="1:5" hidden="1" x14ac:dyDescent="0.25">
      <c r="A1476">
        <v>1451</v>
      </c>
      <c r="B1476" t="s">
        <v>588</v>
      </c>
      <c r="C1476" t="s">
        <v>2129</v>
      </c>
      <c r="D1476" t="str">
        <f t="shared" si="23"/>
        <v>SEJUSP0899</v>
      </c>
      <c r="E1476" t="s">
        <v>1596</v>
      </c>
    </row>
    <row r="1477" spans="1:5" hidden="1" x14ac:dyDescent="0.25">
      <c r="A1477">
        <v>1451</v>
      </c>
      <c r="B1477" t="s">
        <v>588</v>
      </c>
      <c r="C1477" t="s">
        <v>1737</v>
      </c>
      <c r="D1477" t="str">
        <f t="shared" si="23"/>
        <v>SEJUSP1307</v>
      </c>
      <c r="E1477" t="s">
        <v>1689</v>
      </c>
    </row>
    <row r="1478" spans="1:5" hidden="1" x14ac:dyDescent="0.25">
      <c r="A1478">
        <v>1451</v>
      </c>
      <c r="B1478" t="s">
        <v>588</v>
      </c>
      <c r="C1478" t="s">
        <v>1730</v>
      </c>
      <c r="D1478" t="str">
        <f t="shared" si="23"/>
        <v>SEJUSP1313</v>
      </c>
      <c r="E1478" t="s">
        <v>1606</v>
      </c>
    </row>
    <row r="1479" spans="1:5" hidden="1" x14ac:dyDescent="0.25">
      <c r="A1479">
        <v>1451</v>
      </c>
      <c r="B1479" t="s">
        <v>588</v>
      </c>
      <c r="C1479" t="s">
        <v>331</v>
      </c>
      <c r="D1479" t="str">
        <f t="shared" si="23"/>
        <v>SEJUSP1314</v>
      </c>
      <c r="E1479" t="s">
        <v>1689</v>
      </c>
    </row>
    <row r="1480" spans="1:5" hidden="1" x14ac:dyDescent="0.25">
      <c r="A1480">
        <v>1451</v>
      </c>
      <c r="B1480" t="s">
        <v>588</v>
      </c>
      <c r="C1480" t="s">
        <v>1796</v>
      </c>
      <c r="D1480" t="str">
        <f t="shared" si="23"/>
        <v>SEJUSP1323</v>
      </c>
      <c r="E1480" t="s">
        <v>1606</v>
      </c>
    </row>
    <row r="1481" spans="1:5" hidden="1" x14ac:dyDescent="0.25">
      <c r="A1481">
        <v>1451</v>
      </c>
      <c r="B1481" t="s">
        <v>588</v>
      </c>
      <c r="C1481" t="s">
        <v>398</v>
      </c>
      <c r="D1481" t="str">
        <f t="shared" si="23"/>
        <v>SEJUSP1325</v>
      </c>
      <c r="E1481" t="s">
        <v>1689</v>
      </c>
    </row>
    <row r="1482" spans="1:5" hidden="1" x14ac:dyDescent="0.25">
      <c r="A1482">
        <v>1451</v>
      </c>
      <c r="B1482" t="s">
        <v>588</v>
      </c>
      <c r="C1482" t="s">
        <v>1597</v>
      </c>
      <c r="D1482" t="str">
        <f t="shared" si="23"/>
        <v>SEJUSP1401</v>
      </c>
      <c r="E1482" t="s">
        <v>43</v>
      </c>
    </row>
    <row r="1483" spans="1:5" hidden="1" x14ac:dyDescent="0.25">
      <c r="A1483">
        <v>1451</v>
      </c>
      <c r="B1483" t="s">
        <v>588</v>
      </c>
      <c r="C1483" t="s">
        <v>1598</v>
      </c>
      <c r="D1483" t="str">
        <f t="shared" si="23"/>
        <v>SEJUSP1501</v>
      </c>
      <c r="E1483" t="s">
        <v>43</v>
      </c>
    </row>
    <row r="1484" spans="1:5" hidden="1" x14ac:dyDescent="0.25">
      <c r="A1484">
        <v>1451</v>
      </c>
      <c r="B1484" t="s">
        <v>588</v>
      </c>
      <c r="C1484" t="s">
        <v>1599</v>
      </c>
      <c r="D1484" t="str">
        <f t="shared" si="23"/>
        <v>SEJUSP3001</v>
      </c>
      <c r="E1484" t="s">
        <v>1600</v>
      </c>
    </row>
    <row r="1485" spans="1:5" hidden="1" x14ac:dyDescent="0.25">
      <c r="A1485">
        <v>1451</v>
      </c>
      <c r="B1485" t="s">
        <v>588</v>
      </c>
      <c r="C1485" t="s">
        <v>255</v>
      </c>
      <c r="D1485" t="str">
        <f t="shared" si="23"/>
        <v>SEJUSP3002</v>
      </c>
      <c r="E1485" t="s">
        <v>1600</v>
      </c>
    </row>
    <row r="1486" spans="1:5" hidden="1" x14ac:dyDescent="0.25">
      <c r="A1486">
        <v>1451</v>
      </c>
      <c r="B1486" t="s">
        <v>588</v>
      </c>
      <c r="C1486" t="s">
        <v>1601</v>
      </c>
      <c r="D1486" t="str">
        <f t="shared" si="23"/>
        <v>SEJUSP3003</v>
      </c>
      <c r="E1486" t="s">
        <v>1600</v>
      </c>
    </row>
    <row r="1487" spans="1:5" hidden="1" x14ac:dyDescent="0.25">
      <c r="A1487">
        <v>1451</v>
      </c>
      <c r="B1487" t="s">
        <v>588</v>
      </c>
      <c r="C1487" t="s">
        <v>1602</v>
      </c>
      <c r="D1487" t="str">
        <f t="shared" si="23"/>
        <v>SEJUSP3004</v>
      </c>
      <c r="E1487" t="s">
        <v>1600</v>
      </c>
    </row>
    <row r="1488" spans="1:5" hidden="1" x14ac:dyDescent="0.25">
      <c r="A1488">
        <v>1451</v>
      </c>
      <c r="B1488" t="s">
        <v>588</v>
      </c>
      <c r="C1488" t="s">
        <v>1603</v>
      </c>
      <c r="D1488" t="str">
        <f t="shared" si="23"/>
        <v>SEJUSP3005</v>
      </c>
      <c r="E1488" t="s">
        <v>1600</v>
      </c>
    </row>
    <row r="1489" spans="1:5" hidden="1" x14ac:dyDescent="0.25">
      <c r="A1489">
        <v>1451</v>
      </c>
      <c r="B1489" t="s">
        <v>588</v>
      </c>
      <c r="C1489" t="s">
        <v>322</v>
      </c>
      <c r="D1489" t="str">
        <f t="shared" si="23"/>
        <v>SEJUSP3006</v>
      </c>
      <c r="E1489" t="s">
        <v>1600</v>
      </c>
    </row>
    <row r="1490" spans="1:5" hidden="1" x14ac:dyDescent="0.25">
      <c r="A1490">
        <v>1451</v>
      </c>
      <c r="B1490" t="s">
        <v>588</v>
      </c>
      <c r="C1490" t="s">
        <v>332</v>
      </c>
      <c r="D1490" t="str">
        <f t="shared" si="23"/>
        <v>SEJUSP3007</v>
      </c>
      <c r="E1490" t="s">
        <v>1600</v>
      </c>
    </row>
    <row r="1491" spans="1:5" hidden="1" x14ac:dyDescent="0.25">
      <c r="A1491">
        <v>1451</v>
      </c>
      <c r="B1491" t="s">
        <v>588</v>
      </c>
      <c r="C1491" t="s">
        <v>1604</v>
      </c>
      <c r="D1491" t="str">
        <f t="shared" si="23"/>
        <v>SEJUSP3008</v>
      </c>
      <c r="E1491" t="s">
        <v>1600</v>
      </c>
    </row>
    <row r="1492" spans="1:5" hidden="1" x14ac:dyDescent="0.25">
      <c r="A1492">
        <v>1451</v>
      </c>
      <c r="B1492" t="s">
        <v>588</v>
      </c>
      <c r="C1492" t="s">
        <v>353</v>
      </c>
      <c r="D1492" t="str">
        <f t="shared" si="23"/>
        <v>SEJUSP3009</v>
      </c>
      <c r="E1492" t="s">
        <v>1600</v>
      </c>
    </row>
    <row r="1493" spans="1:5" hidden="1" x14ac:dyDescent="0.25">
      <c r="A1493">
        <v>1451</v>
      </c>
      <c r="B1493" t="s">
        <v>588</v>
      </c>
      <c r="C1493" t="s">
        <v>1605</v>
      </c>
      <c r="D1493" t="str">
        <f t="shared" si="23"/>
        <v>SEJUSP3010</v>
      </c>
      <c r="E1493" t="s">
        <v>1606</v>
      </c>
    </row>
    <row r="1494" spans="1:5" hidden="1" x14ac:dyDescent="0.25">
      <c r="A1494">
        <v>1451</v>
      </c>
      <c r="B1494" t="s">
        <v>588</v>
      </c>
      <c r="C1494" t="s">
        <v>368</v>
      </c>
      <c r="D1494" t="str">
        <f t="shared" si="23"/>
        <v>SEJUSP3011</v>
      </c>
      <c r="E1494" t="s">
        <v>1600</v>
      </c>
    </row>
    <row r="1495" spans="1:5" hidden="1" x14ac:dyDescent="0.25">
      <c r="A1495">
        <v>1451</v>
      </c>
      <c r="B1495" t="s">
        <v>588</v>
      </c>
      <c r="C1495" t="s">
        <v>137</v>
      </c>
      <c r="D1495" t="str">
        <f t="shared" si="23"/>
        <v>SEJUSP3012</v>
      </c>
      <c r="E1495" t="s">
        <v>1606</v>
      </c>
    </row>
    <row r="1496" spans="1:5" hidden="1" x14ac:dyDescent="0.25">
      <c r="A1496">
        <v>1451</v>
      </c>
      <c r="B1496" t="s">
        <v>588</v>
      </c>
      <c r="C1496" t="s">
        <v>1607</v>
      </c>
      <c r="D1496" t="str">
        <f t="shared" si="23"/>
        <v>SEJUSP3013</v>
      </c>
      <c r="E1496" t="s">
        <v>1600</v>
      </c>
    </row>
    <row r="1497" spans="1:5" hidden="1" x14ac:dyDescent="0.25">
      <c r="A1497">
        <v>1451</v>
      </c>
      <c r="B1497" t="s">
        <v>588</v>
      </c>
      <c r="C1497" t="s">
        <v>1608</v>
      </c>
      <c r="D1497" t="str">
        <f t="shared" si="23"/>
        <v>SEJUSP3015</v>
      </c>
      <c r="E1497" t="s">
        <v>1600</v>
      </c>
    </row>
    <row r="1498" spans="1:5" hidden="1" x14ac:dyDescent="0.25">
      <c r="A1498">
        <v>1451</v>
      </c>
      <c r="B1498" t="s">
        <v>588</v>
      </c>
      <c r="C1498" t="s">
        <v>1609</v>
      </c>
      <c r="D1498" t="str">
        <f t="shared" si="23"/>
        <v>SEJUSP3016</v>
      </c>
      <c r="E1498" t="s">
        <v>1600</v>
      </c>
    </row>
    <row r="1499" spans="1:5" hidden="1" x14ac:dyDescent="0.25">
      <c r="A1499">
        <v>1451</v>
      </c>
      <c r="B1499" t="s">
        <v>588</v>
      </c>
      <c r="C1499" t="s">
        <v>405</v>
      </c>
      <c r="D1499" t="str">
        <f t="shared" si="23"/>
        <v>SEJUSP3017</v>
      </c>
      <c r="E1499" t="s">
        <v>1600</v>
      </c>
    </row>
    <row r="1500" spans="1:5" hidden="1" x14ac:dyDescent="0.25">
      <c r="A1500">
        <v>1451</v>
      </c>
      <c r="B1500" t="s">
        <v>588</v>
      </c>
      <c r="C1500" t="s">
        <v>410</v>
      </c>
      <c r="D1500" t="str">
        <f t="shared" si="23"/>
        <v>SEJUSP3018</v>
      </c>
      <c r="E1500" t="s">
        <v>1600</v>
      </c>
    </row>
    <row r="1501" spans="1:5" hidden="1" x14ac:dyDescent="0.25">
      <c r="A1501">
        <v>1451</v>
      </c>
      <c r="B1501" t="s">
        <v>588</v>
      </c>
      <c r="C1501" t="s">
        <v>1610</v>
      </c>
      <c r="D1501" t="str">
        <f t="shared" si="23"/>
        <v>SEJUSP3019</v>
      </c>
      <c r="E1501" t="s">
        <v>1611</v>
      </c>
    </row>
    <row r="1502" spans="1:5" hidden="1" x14ac:dyDescent="0.25">
      <c r="A1502">
        <v>1451</v>
      </c>
      <c r="B1502" t="s">
        <v>588</v>
      </c>
      <c r="C1502" t="s">
        <v>1612</v>
      </c>
      <c r="D1502" t="str">
        <f t="shared" si="23"/>
        <v>SEJUSP3020</v>
      </c>
      <c r="E1502" t="s">
        <v>1600</v>
      </c>
    </row>
    <row r="1503" spans="1:5" hidden="1" x14ac:dyDescent="0.25">
      <c r="A1503">
        <v>1451</v>
      </c>
      <c r="B1503" t="s">
        <v>588</v>
      </c>
      <c r="C1503" t="s">
        <v>1613</v>
      </c>
      <c r="D1503" t="str">
        <f t="shared" si="23"/>
        <v>SEJUSP3021</v>
      </c>
      <c r="E1503" t="s">
        <v>1600</v>
      </c>
    </row>
    <row r="1504" spans="1:5" hidden="1" x14ac:dyDescent="0.25">
      <c r="A1504">
        <v>1451</v>
      </c>
      <c r="B1504" t="s">
        <v>588</v>
      </c>
      <c r="C1504" t="s">
        <v>430</v>
      </c>
      <c r="D1504" t="str">
        <f t="shared" si="23"/>
        <v>SEJUSP3022</v>
      </c>
      <c r="E1504" t="s">
        <v>1600</v>
      </c>
    </row>
    <row r="1505" spans="1:5" hidden="1" x14ac:dyDescent="0.25">
      <c r="A1505">
        <v>1451</v>
      </c>
      <c r="B1505" t="s">
        <v>588</v>
      </c>
      <c r="C1505" t="s">
        <v>1614</v>
      </c>
      <c r="D1505" t="str">
        <f t="shared" si="23"/>
        <v>SEJUSP3023</v>
      </c>
      <c r="E1505" t="s">
        <v>1615</v>
      </c>
    </row>
    <row r="1506" spans="1:5" hidden="1" x14ac:dyDescent="0.25">
      <c r="A1506">
        <v>1451</v>
      </c>
      <c r="B1506" t="s">
        <v>588</v>
      </c>
      <c r="C1506" t="s">
        <v>440</v>
      </c>
      <c r="D1506" t="str">
        <f t="shared" si="23"/>
        <v>SEJUSP3024</v>
      </c>
      <c r="E1506" t="s">
        <v>1600</v>
      </c>
    </row>
    <row r="1507" spans="1:5" hidden="1" x14ac:dyDescent="0.25">
      <c r="A1507">
        <v>1451</v>
      </c>
      <c r="B1507" t="s">
        <v>588</v>
      </c>
      <c r="C1507" t="s">
        <v>1616</v>
      </c>
      <c r="D1507" t="str">
        <f t="shared" si="23"/>
        <v>SEJUSP3025</v>
      </c>
      <c r="E1507" t="s">
        <v>1600</v>
      </c>
    </row>
    <row r="1508" spans="1:5" hidden="1" x14ac:dyDescent="0.25">
      <c r="A1508">
        <v>1451</v>
      </c>
      <c r="B1508" t="s">
        <v>588</v>
      </c>
      <c r="C1508" t="s">
        <v>1617</v>
      </c>
      <c r="D1508" t="str">
        <f t="shared" si="23"/>
        <v>SEJUSP3026</v>
      </c>
      <c r="E1508" t="s">
        <v>1615</v>
      </c>
    </row>
    <row r="1509" spans="1:5" hidden="1" x14ac:dyDescent="0.25">
      <c r="A1509">
        <v>1451</v>
      </c>
      <c r="B1509" t="s">
        <v>588</v>
      </c>
      <c r="C1509" t="s">
        <v>1618</v>
      </c>
      <c r="D1509" t="str">
        <f t="shared" si="23"/>
        <v>SEJUSP3027</v>
      </c>
      <c r="E1509" t="s">
        <v>1600</v>
      </c>
    </row>
    <row r="1510" spans="1:5" hidden="1" x14ac:dyDescent="0.25">
      <c r="A1510">
        <v>1451</v>
      </c>
      <c r="B1510" t="s">
        <v>588</v>
      </c>
      <c r="C1510" t="s">
        <v>1702</v>
      </c>
      <c r="D1510" t="str">
        <f t="shared" si="23"/>
        <v>SEJUSP3029</v>
      </c>
      <c r="E1510" t="s">
        <v>1600</v>
      </c>
    </row>
    <row r="1511" spans="1:5" hidden="1" x14ac:dyDescent="0.25">
      <c r="A1511">
        <v>1451</v>
      </c>
      <c r="B1511" t="s">
        <v>588</v>
      </c>
      <c r="C1511" t="s">
        <v>466</v>
      </c>
      <c r="D1511" t="str">
        <f t="shared" si="23"/>
        <v>SEJUSP3030</v>
      </c>
      <c r="E1511" t="s">
        <v>1600</v>
      </c>
    </row>
    <row r="1512" spans="1:5" hidden="1" x14ac:dyDescent="0.25">
      <c r="A1512">
        <v>1451</v>
      </c>
      <c r="B1512" t="s">
        <v>588</v>
      </c>
      <c r="C1512" t="s">
        <v>469</v>
      </c>
      <c r="D1512" t="str">
        <f t="shared" si="23"/>
        <v>SEJUSP3031</v>
      </c>
      <c r="E1512" t="s">
        <v>1600</v>
      </c>
    </row>
    <row r="1513" spans="1:5" hidden="1" x14ac:dyDescent="0.25">
      <c r="A1513">
        <v>1451</v>
      </c>
      <c r="B1513" t="s">
        <v>588</v>
      </c>
      <c r="C1513" t="s">
        <v>1619</v>
      </c>
      <c r="D1513" t="str">
        <f t="shared" si="23"/>
        <v>SEJUSP3032</v>
      </c>
      <c r="E1513" t="s">
        <v>1600</v>
      </c>
    </row>
    <row r="1514" spans="1:5" hidden="1" x14ac:dyDescent="0.25">
      <c r="A1514">
        <v>1451</v>
      </c>
      <c r="B1514" t="s">
        <v>588</v>
      </c>
      <c r="C1514" t="s">
        <v>486</v>
      </c>
      <c r="D1514" t="str">
        <f t="shared" si="23"/>
        <v>SEJUSP3040</v>
      </c>
      <c r="E1514" t="s">
        <v>1600</v>
      </c>
    </row>
    <row r="1515" spans="1:5" hidden="1" x14ac:dyDescent="0.25">
      <c r="A1515">
        <v>1451</v>
      </c>
      <c r="B1515" t="s">
        <v>588</v>
      </c>
      <c r="C1515" t="s">
        <v>1703</v>
      </c>
      <c r="D1515" t="str">
        <f t="shared" si="23"/>
        <v>SEJUSP3041</v>
      </c>
      <c r="E1515" t="s">
        <v>1600</v>
      </c>
    </row>
    <row r="1516" spans="1:5" hidden="1" x14ac:dyDescent="0.25">
      <c r="A1516">
        <v>1451</v>
      </c>
      <c r="B1516" t="s">
        <v>588</v>
      </c>
      <c r="C1516" t="s">
        <v>490</v>
      </c>
      <c r="D1516" t="str">
        <f t="shared" si="23"/>
        <v>SEJUSP3099</v>
      </c>
      <c r="E1516" t="s">
        <v>1600</v>
      </c>
    </row>
    <row r="1517" spans="1:5" hidden="1" x14ac:dyDescent="0.25">
      <c r="A1517">
        <v>1451</v>
      </c>
      <c r="B1517" t="s">
        <v>588</v>
      </c>
      <c r="C1517" t="s">
        <v>226</v>
      </c>
      <c r="D1517" t="str">
        <f t="shared" si="23"/>
        <v>SEJUSP3201</v>
      </c>
      <c r="E1517" t="s">
        <v>1623</v>
      </c>
    </row>
    <row r="1518" spans="1:5" hidden="1" x14ac:dyDescent="0.25">
      <c r="A1518">
        <v>1451</v>
      </c>
      <c r="B1518" t="s">
        <v>588</v>
      </c>
      <c r="C1518" t="s">
        <v>1624</v>
      </c>
      <c r="D1518" t="str">
        <f t="shared" si="23"/>
        <v>SEJUSP3202</v>
      </c>
      <c r="E1518" t="s">
        <v>1623</v>
      </c>
    </row>
    <row r="1519" spans="1:5" hidden="1" x14ac:dyDescent="0.25">
      <c r="A1519">
        <v>1451</v>
      </c>
      <c r="B1519" t="s">
        <v>588</v>
      </c>
      <c r="C1519" t="s">
        <v>53</v>
      </c>
      <c r="D1519" t="str">
        <f t="shared" si="23"/>
        <v>SEJUSP3301</v>
      </c>
      <c r="E1519" t="s">
        <v>43</v>
      </c>
    </row>
    <row r="1520" spans="1:5" hidden="1" x14ac:dyDescent="0.25">
      <c r="A1520">
        <v>1451</v>
      </c>
      <c r="B1520" t="s">
        <v>588</v>
      </c>
      <c r="C1520" t="s">
        <v>1626</v>
      </c>
      <c r="D1520" t="str">
        <f t="shared" si="23"/>
        <v>SEJUSP3302</v>
      </c>
      <c r="E1520" t="s">
        <v>43</v>
      </c>
    </row>
    <row r="1521" spans="1:5" hidden="1" x14ac:dyDescent="0.25">
      <c r="A1521">
        <v>1451</v>
      </c>
      <c r="B1521" t="s">
        <v>588</v>
      </c>
      <c r="C1521" t="s">
        <v>1627</v>
      </c>
      <c r="D1521" t="str">
        <f t="shared" si="23"/>
        <v>SEJUSP3304</v>
      </c>
      <c r="E1521" t="s">
        <v>43</v>
      </c>
    </row>
    <row r="1522" spans="1:5" hidden="1" x14ac:dyDescent="0.25">
      <c r="A1522">
        <v>1451</v>
      </c>
      <c r="B1522" t="s">
        <v>588</v>
      </c>
      <c r="C1522" t="s">
        <v>308</v>
      </c>
      <c r="D1522" t="str">
        <f t="shared" si="23"/>
        <v>SEJUSP3305</v>
      </c>
      <c r="E1522" t="s">
        <v>1623</v>
      </c>
    </row>
    <row r="1523" spans="1:5" hidden="1" x14ac:dyDescent="0.25">
      <c r="A1523">
        <v>1451</v>
      </c>
      <c r="B1523" t="s">
        <v>588</v>
      </c>
      <c r="C1523" t="s">
        <v>227</v>
      </c>
      <c r="D1523" t="str">
        <f t="shared" si="23"/>
        <v>SEJUSP3401</v>
      </c>
      <c r="E1523" t="s">
        <v>1739</v>
      </c>
    </row>
    <row r="1524" spans="1:5" hidden="1" x14ac:dyDescent="0.25">
      <c r="A1524">
        <v>1451</v>
      </c>
      <c r="B1524" t="s">
        <v>588</v>
      </c>
      <c r="C1524" t="s">
        <v>259</v>
      </c>
      <c r="D1524" t="str">
        <f t="shared" si="23"/>
        <v>SEJUSP3402</v>
      </c>
      <c r="E1524" t="s">
        <v>1739</v>
      </c>
    </row>
    <row r="1525" spans="1:5" hidden="1" x14ac:dyDescent="0.25">
      <c r="A1525">
        <v>1451</v>
      </c>
      <c r="B1525" t="s">
        <v>588</v>
      </c>
      <c r="C1525" t="s">
        <v>279</v>
      </c>
      <c r="D1525" t="str">
        <f t="shared" si="23"/>
        <v>SEJUSP3403</v>
      </c>
      <c r="E1525" t="s">
        <v>1689</v>
      </c>
    </row>
    <row r="1526" spans="1:5" hidden="1" x14ac:dyDescent="0.25">
      <c r="A1526">
        <v>1451</v>
      </c>
      <c r="B1526" t="s">
        <v>588</v>
      </c>
      <c r="C1526" t="s">
        <v>295</v>
      </c>
      <c r="D1526" t="str">
        <f t="shared" si="23"/>
        <v>SEJUSP3404</v>
      </c>
      <c r="E1526" t="s">
        <v>1689</v>
      </c>
    </row>
    <row r="1527" spans="1:5" hidden="1" x14ac:dyDescent="0.25">
      <c r="A1527">
        <v>1451</v>
      </c>
      <c r="B1527" t="s">
        <v>588</v>
      </c>
      <c r="C1527" t="s">
        <v>1705</v>
      </c>
      <c r="D1527" t="str">
        <f t="shared" si="23"/>
        <v>SEJUSP3502</v>
      </c>
      <c r="E1527" t="s">
        <v>1706</v>
      </c>
    </row>
    <row r="1528" spans="1:5" hidden="1" x14ac:dyDescent="0.25">
      <c r="A1528">
        <v>1451</v>
      </c>
      <c r="B1528" t="s">
        <v>588</v>
      </c>
      <c r="C1528" t="s">
        <v>1690</v>
      </c>
      <c r="D1528" t="str">
        <f t="shared" si="23"/>
        <v>SEJUSP3601</v>
      </c>
      <c r="E1528" t="s">
        <v>64</v>
      </c>
    </row>
    <row r="1529" spans="1:5" hidden="1" x14ac:dyDescent="0.25">
      <c r="A1529">
        <v>1451</v>
      </c>
      <c r="B1529" t="s">
        <v>588</v>
      </c>
      <c r="C1529" t="s">
        <v>281</v>
      </c>
      <c r="D1529" t="str">
        <f t="shared" si="23"/>
        <v>SEJUSP3603</v>
      </c>
      <c r="E1529" t="s">
        <v>1623</v>
      </c>
    </row>
    <row r="1530" spans="1:5" hidden="1" x14ac:dyDescent="0.25">
      <c r="A1530">
        <v>1451</v>
      </c>
      <c r="B1530" t="s">
        <v>588</v>
      </c>
      <c r="C1530" t="s">
        <v>296</v>
      </c>
      <c r="D1530" t="str">
        <f t="shared" si="23"/>
        <v>SEJUSP3604</v>
      </c>
      <c r="E1530" t="s">
        <v>43</v>
      </c>
    </row>
    <row r="1531" spans="1:5" hidden="1" x14ac:dyDescent="0.25">
      <c r="A1531">
        <v>1451</v>
      </c>
      <c r="B1531" t="s">
        <v>588</v>
      </c>
      <c r="C1531" t="s">
        <v>354</v>
      </c>
      <c r="D1531" t="str">
        <f t="shared" si="23"/>
        <v>SEJUSP3610</v>
      </c>
      <c r="E1531" t="s">
        <v>1623</v>
      </c>
    </row>
    <row r="1532" spans="1:5" hidden="1" x14ac:dyDescent="0.25">
      <c r="A1532">
        <v>1451</v>
      </c>
      <c r="B1532" t="s">
        <v>588</v>
      </c>
      <c r="C1532" t="s">
        <v>1707</v>
      </c>
      <c r="D1532" t="str">
        <f t="shared" si="23"/>
        <v>SEJUSP3611</v>
      </c>
      <c r="E1532" t="s">
        <v>1692</v>
      </c>
    </row>
    <row r="1533" spans="1:5" hidden="1" x14ac:dyDescent="0.25">
      <c r="A1533">
        <v>1451</v>
      </c>
      <c r="B1533" t="s">
        <v>588</v>
      </c>
      <c r="C1533" t="s">
        <v>1628</v>
      </c>
      <c r="D1533" t="str">
        <f t="shared" si="23"/>
        <v>SEJUSP3612</v>
      </c>
      <c r="E1533" t="s">
        <v>1797</v>
      </c>
    </row>
    <row r="1534" spans="1:5" hidden="1" x14ac:dyDescent="0.25">
      <c r="A1534">
        <v>1451</v>
      </c>
      <c r="B1534" t="s">
        <v>588</v>
      </c>
      <c r="C1534" t="s">
        <v>1743</v>
      </c>
      <c r="D1534" t="str">
        <f t="shared" si="23"/>
        <v>SEJUSP3616</v>
      </c>
      <c r="E1534" t="s">
        <v>1615</v>
      </c>
    </row>
    <row r="1535" spans="1:5" hidden="1" x14ac:dyDescent="0.25">
      <c r="A1535">
        <v>1451</v>
      </c>
      <c r="B1535" t="s">
        <v>588</v>
      </c>
      <c r="C1535" t="s">
        <v>2160</v>
      </c>
      <c r="D1535" t="str">
        <f t="shared" si="23"/>
        <v>SEJUSP3622</v>
      </c>
      <c r="E1535" t="s">
        <v>1692</v>
      </c>
    </row>
    <row r="1536" spans="1:5" hidden="1" x14ac:dyDescent="0.25">
      <c r="A1536">
        <v>1451</v>
      </c>
      <c r="B1536" t="s">
        <v>588</v>
      </c>
      <c r="C1536" t="s">
        <v>2163</v>
      </c>
      <c r="D1536" t="str">
        <f t="shared" si="23"/>
        <v>SEJUSP3625</v>
      </c>
      <c r="E1536" t="s">
        <v>1623</v>
      </c>
    </row>
    <row r="1537" spans="1:5" hidden="1" x14ac:dyDescent="0.25">
      <c r="A1537">
        <v>1451</v>
      </c>
      <c r="B1537" t="s">
        <v>588</v>
      </c>
      <c r="C1537" t="s">
        <v>467</v>
      </c>
      <c r="D1537" t="str">
        <f t="shared" si="23"/>
        <v>SEJUSP3631</v>
      </c>
      <c r="E1537" t="s">
        <v>1645</v>
      </c>
    </row>
    <row r="1538" spans="1:5" hidden="1" x14ac:dyDescent="0.25">
      <c r="A1538">
        <v>1451</v>
      </c>
      <c r="B1538" t="s">
        <v>588</v>
      </c>
      <c r="C1538" t="s">
        <v>1629</v>
      </c>
      <c r="D1538" t="str">
        <f t="shared" si="23"/>
        <v>SEJUSP3701</v>
      </c>
      <c r="E1538" t="s">
        <v>102</v>
      </c>
    </row>
    <row r="1539" spans="1:5" hidden="1" x14ac:dyDescent="0.25">
      <c r="A1539">
        <v>1451</v>
      </c>
      <c r="B1539" t="s">
        <v>588</v>
      </c>
      <c r="C1539" t="s">
        <v>1693</v>
      </c>
      <c r="D1539" t="str">
        <f t="shared" si="23"/>
        <v>SEJUSP3702</v>
      </c>
      <c r="E1539" t="s">
        <v>1630</v>
      </c>
    </row>
    <row r="1540" spans="1:5" hidden="1" x14ac:dyDescent="0.25">
      <c r="A1540">
        <v>1451</v>
      </c>
      <c r="B1540" t="s">
        <v>588</v>
      </c>
      <c r="C1540" t="s">
        <v>1631</v>
      </c>
      <c r="D1540" t="str">
        <f t="shared" si="23"/>
        <v>SEJUSP3703</v>
      </c>
      <c r="E1540" t="s">
        <v>116</v>
      </c>
    </row>
    <row r="1541" spans="1:5" hidden="1" x14ac:dyDescent="0.25">
      <c r="A1541">
        <v>1451</v>
      </c>
      <c r="B1541" t="s">
        <v>588</v>
      </c>
      <c r="C1541" t="s">
        <v>1632</v>
      </c>
      <c r="D1541" t="str">
        <f t="shared" ref="D1541:D1604" si="24">CONCATENATE(B1541,LEFT(C1541,4))</f>
        <v>SEJUSP3704</v>
      </c>
      <c r="E1541" t="s">
        <v>116</v>
      </c>
    </row>
    <row r="1542" spans="1:5" hidden="1" x14ac:dyDescent="0.25">
      <c r="A1542">
        <v>1451</v>
      </c>
      <c r="B1542" t="s">
        <v>588</v>
      </c>
      <c r="C1542" t="s">
        <v>1633</v>
      </c>
      <c r="D1542" t="str">
        <f t="shared" si="24"/>
        <v>SEJUSP3705</v>
      </c>
      <c r="E1542" t="s">
        <v>116</v>
      </c>
    </row>
    <row r="1543" spans="1:5" hidden="1" x14ac:dyDescent="0.25">
      <c r="A1543">
        <v>1451</v>
      </c>
      <c r="B1543" t="s">
        <v>588</v>
      </c>
      <c r="C1543" t="s">
        <v>232</v>
      </c>
      <c r="D1543" t="str">
        <f t="shared" si="24"/>
        <v>SEJUSP3901</v>
      </c>
      <c r="E1543" t="s">
        <v>1596</v>
      </c>
    </row>
    <row r="1544" spans="1:5" hidden="1" x14ac:dyDescent="0.25">
      <c r="A1544">
        <v>1451</v>
      </c>
      <c r="B1544" t="s">
        <v>588</v>
      </c>
      <c r="C1544" t="s">
        <v>1634</v>
      </c>
      <c r="D1544" t="str">
        <f t="shared" si="24"/>
        <v>SEJUSP3903</v>
      </c>
      <c r="E1544" t="s">
        <v>86</v>
      </c>
    </row>
    <row r="1545" spans="1:5" hidden="1" x14ac:dyDescent="0.25">
      <c r="A1545">
        <v>1451</v>
      </c>
      <c r="B1545" t="s">
        <v>588</v>
      </c>
      <c r="C1545" t="s">
        <v>298</v>
      </c>
      <c r="D1545" t="str">
        <f t="shared" si="24"/>
        <v>SEJUSP3904</v>
      </c>
      <c r="E1545" t="s">
        <v>1623</v>
      </c>
    </row>
    <row r="1546" spans="1:5" hidden="1" x14ac:dyDescent="0.25">
      <c r="A1546">
        <v>1451</v>
      </c>
      <c r="B1546" t="s">
        <v>588</v>
      </c>
      <c r="C1546" t="s">
        <v>325</v>
      </c>
      <c r="D1546" t="str">
        <f t="shared" si="24"/>
        <v>SEJUSP3906</v>
      </c>
      <c r="E1546" t="s">
        <v>1623</v>
      </c>
    </row>
    <row r="1547" spans="1:5" hidden="1" x14ac:dyDescent="0.25">
      <c r="A1547">
        <v>1451</v>
      </c>
      <c r="B1547" t="s">
        <v>588</v>
      </c>
      <c r="C1547" t="s">
        <v>335</v>
      </c>
      <c r="D1547" t="str">
        <f t="shared" si="24"/>
        <v>SEJUSP3909</v>
      </c>
      <c r="E1547" t="s">
        <v>1623</v>
      </c>
    </row>
    <row r="1548" spans="1:5" hidden="1" x14ac:dyDescent="0.25">
      <c r="A1548">
        <v>1451</v>
      </c>
      <c r="B1548" t="s">
        <v>588</v>
      </c>
      <c r="C1548" t="s">
        <v>345</v>
      </c>
      <c r="D1548" t="str">
        <f t="shared" si="24"/>
        <v>SEJUSP3910</v>
      </c>
      <c r="E1548" t="s">
        <v>1623</v>
      </c>
    </row>
    <row r="1549" spans="1:5" hidden="1" x14ac:dyDescent="0.25">
      <c r="A1549">
        <v>1451</v>
      </c>
      <c r="B1549" t="s">
        <v>588</v>
      </c>
      <c r="C1549" t="s">
        <v>1636</v>
      </c>
      <c r="D1549" t="str">
        <f t="shared" si="24"/>
        <v>SEJUSP3912</v>
      </c>
      <c r="E1549" t="s">
        <v>1637</v>
      </c>
    </row>
    <row r="1550" spans="1:5" hidden="1" x14ac:dyDescent="0.25">
      <c r="A1550">
        <v>1451</v>
      </c>
      <c r="B1550" t="s">
        <v>588</v>
      </c>
      <c r="C1550" t="s">
        <v>1638</v>
      </c>
      <c r="D1550" t="str">
        <f t="shared" si="24"/>
        <v>SEJUSP3913</v>
      </c>
      <c r="E1550" t="s">
        <v>1637</v>
      </c>
    </row>
    <row r="1551" spans="1:5" hidden="1" x14ac:dyDescent="0.25">
      <c r="A1551">
        <v>1451</v>
      </c>
      <c r="B1551" t="s">
        <v>588</v>
      </c>
      <c r="C1551" t="s">
        <v>383</v>
      </c>
      <c r="D1551" t="str">
        <f t="shared" si="24"/>
        <v>SEJUSP3915</v>
      </c>
      <c r="E1551" t="s">
        <v>1637</v>
      </c>
    </row>
    <row r="1552" spans="1:5" hidden="1" x14ac:dyDescent="0.25">
      <c r="A1552">
        <v>1451</v>
      </c>
      <c r="B1552" t="s">
        <v>588</v>
      </c>
      <c r="C1552" t="s">
        <v>1639</v>
      </c>
      <c r="D1552" t="str">
        <f t="shared" si="24"/>
        <v>SEJUSP3917</v>
      </c>
      <c r="E1552" t="s">
        <v>1615</v>
      </c>
    </row>
    <row r="1553" spans="1:5" hidden="1" x14ac:dyDescent="0.25">
      <c r="A1553">
        <v>1451</v>
      </c>
      <c r="B1553" t="s">
        <v>588</v>
      </c>
      <c r="C1553" t="s">
        <v>1640</v>
      </c>
      <c r="D1553" t="str">
        <f t="shared" si="24"/>
        <v>SEJUSP3918</v>
      </c>
      <c r="E1553" t="s">
        <v>1615</v>
      </c>
    </row>
    <row r="1554" spans="1:5" x14ac:dyDescent="0.25">
      <c r="A1554">
        <v>1451</v>
      </c>
      <c r="B1554" t="s">
        <v>588</v>
      </c>
      <c r="C1554" t="s">
        <v>1641</v>
      </c>
      <c r="D1554" t="str">
        <f t="shared" si="24"/>
        <v>SEJUSP3919</v>
      </c>
      <c r="E1554" t="s">
        <v>5355</v>
      </c>
    </row>
    <row r="1555" spans="1:5" hidden="1" x14ac:dyDescent="0.25">
      <c r="A1555">
        <v>1451</v>
      </c>
      <c r="B1555" t="s">
        <v>588</v>
      </c>
      <c r="C1555" t="s">
        <v>1694</v>
      </c>
      <c r="D1555" t="str">
        <f t="shared" si="24"/>
        <v>SEJUSP3920</v>
      </c>
      <c r="E1555" t="s">
        <v>1692</v>
      </c>
    </row>
    <row r="1556" spans="1:5" x14ac:dyDescent="0.25">
      <c r="A1556">
        <v>1451</v>
      </c>
      <c r="B1556" t="s">
        <v>588</v>
      </c>
      <c r="C1556" t="s">
        <v>1642</v>
      </c>
      <c r="D1556" t="str">
        <f t="shared" si="24"/>
        <v>SEJUSP3921</v>
      </c>
      <c r="E1556" t="s">
        <v>2102</v>
      </c>
    </row>
    <row r="1557" spans="1:5" hidden="1" x14ac:dyDescent="0.25">
      <c r="A1557">
        <v>1451</v>
      </c>
      <c r="B1557" t="s">
        <v>588</v>
      </c>
      <c r="C1557" t="s">
        <v>1643</v>
      </c>
      <c r="D1557" t="str">
        <f t="shared" si="24"/>
        <v>SEJUSP3922</v>
      </c>
      <c r="E1557" t="s">
        <v>1611</v>
      </c>
    </row>
    <row r="1558" spans="1:5" hidden="1" x14ac:dyDescent="0.25">
      <c r="A1558">
        <v>1451</v>
      </c>
      <c r="B1558" t="s">
        <v>588</v>
      </c>
      <c r="C1558" t="s">
        <v>1644</v>
      </c>
      <c r="D1558" t="str">
        <f t="shared" si="24"/>
        <v>SEJUSP3924</v>
      </c>
      <c r="E1558" t="s">
        <v>1645</v>
      </c>
    </row>
    <row r="1559" spans="1:5" hidden="1" x14ac:dyDescent="0.25">
      <c r="A1559">
        <v>1451</v>
      </c>
      <c r="B1559" t="s">
        <v>588</v>
      </c>
      <c r="C1559" t="s">
        <v>437</v>
      </c>
      <c r="D1559" t="str">
        <f t="shared" si="24"/>
        <v>SEJUSP3925</v>
      </c>
      <c r="E1559" t="s">
        <v>1646</v>
      </c>
    </row>
    <row r="1560" spans="1:5" hidden="1" x14ac:dyDescent="0.25">
      <c r="A1560">
        <v>1451</v>
      </c>
      <c r="B1560" t="s">
        <v>588</v>
      </c>
      <c r="C1560" t="s">
        <v>442</v>
      </c>
      <c r="D1560" t="str">
        <f t="shared" si="24"/>
        <v>SEJUSP3926</v>
      </c>
      <c r="E1560" t="s">
        <v>1646</v>
      </c>
    </row>
    <row r="1561" spans="1:5" hidden="1" x14ac:dyDescent="0.25">
      <c r="A1561">
        <v>1451</v>
      </c>
      <c r="B1561" t="s">
        <v>588</v>
      </c>
      <c r="C1561" t="s">
        <v>1647</v>
      </c>
      <c r="D1561" t="str">
        <f t="shared" si="24"/>
        <v>SEJUSP3927</v>
      </c>
      <c r="E1561" t="s">
        <v>1648</v>
      </c>
    </row>
    <row r="1562" spans="1:5" hidden="1" x14ac:dyDescent="0.25">
      <c r="A1562">
        <v>1451</v>
      </c>
      <c r="B1562" t="s">
        <v>588</v>
      </c>
      <c r="C1562" t="s">
        <v>1649</v>
      </c>
      <c r="D1562" t="str">
        <f t="shared" si="24"/>
        <v>SEJUSP3929</v>
      </c>
      <c r="E1562" t="s">
        <v>1606</v>
      </c>
    </row>
    <row r="1563" spans="1:5" hidden="1" x14ac:dyDescent="0.25">
      <c r="A1563">
        <v>1451</v>
      </c>
      <c r="B1563" t="s">
        <v>588</v>
      </c>
      <c r="C1563" t="s">
        <v>457</v>
      </c>
      <c r="D1563" t="str">
        <f t="shared" si="24"/>
        <v>SEJUSP3930</v>
      </c>
      <c r="E1563" t="s">
        <v>1623</v>
      </c>
    </row>
    <row r="1564" spans="1:5" hidden="1" x14ac:dyDescent="0.25">
      <c r="A1564">
        <v>1451</v>
      </c>
      <c r="B1564" t="s">
        <v>588</v>
      </c>
      <c r="C1564" t="s">
        <v>1650</v>
      </c>
      <c r="D1564" t="str">
        <f t="shared" si="24"/>
        <v>SEJUSP3931</v>
      </c>
      <c r="E1564" t="s">
        <v>1623</v>
      </c>
    </row>
    <row r="1565" spans="1:5" hidden="1" x14ac:dyDescent="0.25">
      <c r="A1565">
        <v>1451</v>
      </c>
      <c r="B1565" t="s">
        <v>588</v>
      </c>
      <c r="C1565" t="s">
        <v>1652</v>
      </c>
      <c r="D1565" t="str">
        <f t="shared" si="24"/>
        <v>SEJUSP3936</v>
      </c>
      <c r="E1565" t="s">
        <v>93</v>
      </c>
    </row>
    <row r="1566" spans="1:5" hidden="1" x14ac:dyDescent="0.25">
      <c r="A1566">
        <v>1451</v>
      </c>
      <c r="B1566" t="s">
        <v>588</v>
      </c>
      <c r="C1566" t="s">
        <v>1695</v>
      </c>
      <c r="D1566" t="str">
        <f t="shared" si="24"/>
        <v>SEJUSP3937</v>
      </c>
      <c r="E1566" t="s">
        <v>1692</v>
      </c>
    </row>
    <row r="1567" spans="1:5" hidden="1" x14ac:dyDescent="0.25">
      <c r="A1567">
        <v>1451</v>
      </c>
      <c r="B1567" t="s">
        <v>588</v>
      </c>
      <c r="C1567" t="s">
        <v>1708</v>
      </c>
      <c r="D1567" t="str">
        <f t="shared" si="24"/>
        <v>SEJUSP3938</v>
      </c>
      <c r="E1567" t="s">
        <v>1623</v>
      </c>
    </row>
    <row r="1568" spans="1:5" hidden="1" x14ac:dyDescent="0.25">
      <c r="A1568">
        <v>1451</v>
      </c>
      <c r="B1568" t="s">
        <v>588</v>
      </c>
      <c r="C1568" t="s">
        <v>1714</v>
      </c>
      <c r="D1568" t="str">
        <f t="shared" si="24"/>
        <v>SEJUSP3939</v>
      </c>
      <c r="E1568" t="s">
        <v>1623</v>
      </c>
    </row>
    <row r="1569" spans="1:5" hidden="1" x14ac:dyDescent="0.25">
      <c r="A1569">
        <v>1451</v>
      </c>
      <c r="B1569" t="s">
        <v>588</v>
      </c>
      <c r="C1569" t="s">
        <v>1653</v>
      </c>
      <c r="D1569" t="str">
        <f t="shared" si="24"/>
        <v>SEJUSP3940</v>
      </c>
      <c r="E1569" t="s">
        <v>1648</v>
      </c>
    </row>
    <row r="1570" spans="1:5" hidden="1" x14ac:dyDescent="0.25">
      <c r="A1570">
        <v>1451</v>
      </c>
      <c r="B1570" t="s">
        <v>588</v>
      </c>
      <c r="C1570" t="s">
        <v>479</v>
      </c>
      <c r="D1570" t="str">
        <f t="shared" si="24"/>
        <v>SEJUSP3941</v>
      </c>
      <c r="E1570" t="s">
        <v>1623</v>
      </c>
    </row>
    <row r="1571" spans="1:5" hidden="1" x14ac:dyDescent="0.25">
      <c r="A1571">
        <v>1451</v>
      </c>
      <c r="B1571" t="s">
        <v>588</v>
      </c>
      <c r="C1571" t="s">
        <v>481</v>
      </c>
      <c r="D1571" t="str">
        <f t="shared" si="24"/>
        <v>SEJUSP3942</v>
      </c>
      <c r="E1571" t="s">
        <v>1623</v>
      </c>
    </row>
    <row r="1572" spans="1:5" hidden="1" x14ac:dyDescent="0.25">
      <c r="A1572">
        <v>1451</v>
      </c>
      <c r="B1572" t="s">
        <v>588</v>
      </c>
      <c r="C1572" t="s">
        <v>1654</v>
      </c>
      <c r="D1572" t="str">
        <f t="shared" si="24"/>
        <v>SEJUSP3943</v>
      </c>
      <c r="E1572" t="s">
        <v>1615</v>
      </c>
    </row>
    <row r="1573" spans="1:5" hidden="1" x14ac:dyDescent="0.25">
      <c r="A1573">
        <v>1451</v>
      </c>
      <c r="B1573" t="s">
        <v>588</v>
      </c>
      <c r="C1573" t="s">
        <v>487</v>
      </c>
      <c r="D1573" t="str">
        <f t="shared" si="24"/>
        <v>SEJUSP3946</v>
      </c>
      <c r="E1573" t="s">
        <v>1744</v>
      </c>
    </row>
    <row r="1574" spans="1:5" hidden="1" x14ac:dyDescent="0.25">
      <c r="A1574">
        <v>1451</v>
      </c>
      <c r="B1574" t="s">
        <v>588</v>
      </c>
      <c r="C1574" t="s">
        <v>491</v>
      </c>
      <c r="D1574" t="str">
        <f t="shared" si="24"/>
        <v>SEJUSP3948</v>
      </c>
      <c r="E1574" t="s">
        <v>1645</v>
      </c>
    </row>
    <row r="1575" spans="1:5" hidden="1" x14ac:dyDescent="0.25">
      <c r="A1575">
        <v>1451</v>
      </c>
      <c r="B1575" t="s">
        <v>588</v>
      </c>
      <c r="C1575" t="s">
        <v>1715</v>
      </c>
      <c r="D1575" t="str">
        <f t="shared" si="24"/>
        <v>SEJUSP3949</v>
      </c>
      <c r="E1575" t="s">
        <v>1645</v>
      </c>
    </row>
    <row r="1576" spans="1:5" hidden="1" x14ac:dyDescent="0.25">
      <c r="A1576">
        <v>1451</v>
      </c>
      <c r="B1576" t="s">
        <v>588</v>
      </c>
      <c r="C1576" t="s">
        <v>1701</v>
      </c>
      <c r="D1576" t="str">
        <f t="shared" si="24"/>
        <v>SEJUSP3952</v>
      </c>
      <c r="E1576" t="s">
        <v>64</v>
      </c>
    </row>
    <row r="1577" spans="1:5" hidden="1" x14ac:dyDescent="0.25">
      <c r="A1577">
        <v>1451</v>
      </c>
      <c r="B1577" t="s">
        <v>588</v>
      </c>
      <c r="C1577" t="s">
        <v>497</v>
      </c>
      <c r="D1577" t="str">
        <f t="shared" si="24"/>
        <v>SEJUSP3955</v>
      </c>
      <c r="E1577" t="s">
        <v>1623</v>
      </c>
    </row>
    <row r="1578" spans="1:5" hidden="1" x14ac:dyDescent="0.25">
      <c r="A1578">
        <v>1451</v>
      </c>
      <c r="B1578" t="s">
        <v>588</v>
      </c>
      <c r="C1578" t="s">
        <v>498</v>
      </c>
      <c r="D1578" t="str">
        <f t="shared" si="24"/>
        <v>SEJUSP3956</v>
      </c>
      <c r="E1578" t="s">
        <v>1623</v>
      </c>
    </row>
    <row r="1579" spans="1:5" hidden="1" x14ac:dyDescent="0.25">
      <c r="A1579">
        <v>1451</v>
      </c>
      <c r="B1579" t="s">
        <v>588</v>
      </c>
      <c r="C1579" t="s">
        <v>1656</v>
      </c>
      <c r="D1579" t="str">
        <f t="shared" si="24"/>
        <v>SEJUSP3959</v>
      </c>
      <c r="E1579" t="s">
        <v>1623</v>
      </c>
    </row>
    <row r="1580" spans="1:5" hidden="1" x14ac:dyDescent="0.25">
      <c r="A1580">
        <v>1451</v>
      </c>
      <c r="B1580" t="s">
        <v>588</v>
      </c>
      <c r="C1580" t="s">
        <v>1657</v>
      </c>
      <c r="D1580" t="str">
        <f t="shared" si="24"/>
        <v>SEJUSP3961</v>
      </c>
      <c r="E1580" t="s">
        <v>1630</v>
      </c>
    </row>
    <row r="1581" spans="1:5" hidden="1" x14ac:dyDescent="0.25">
      <c r="A1581">
        <v>1451</v>
      </c>
      <c r="B1581" t="s">
        <v>588</v>
      </c>
      <c r="C1581" t="s">
        <v>1696</v>
      </c>
      <c r="D1581" t="str">
        <f t="shared" si="24"/>
        <v>SEJUSP3962</v>
      </c>
      <c r="E1581" t="s">
        <v>2103</v>
      </c>
    </row>
    <row r="1582" spans="1:5" hidden="1" x14ac:dyDescent="0.25">
      <c r="A1582">
        <v>1451</v>
      </c>
      <c r="B1582" t="s">
        <v>588</v>
      </c>
      <c r="C1582" t="s">
        <v>1718</v>
      </c>
      <c r="D1582" t="str">
        <f t="shared" si="24"/>
        <v>SEJUSP3964</v>
      </c>
      <c r="E1582" t="s">
        <v>1623</v>
      </c>
    </row>
    <row r="1583" spans="1:5" hidden="1" x14ac:dyDescent="0.25">
      <c r="A1583">
        <v>1451</v>
      </c>
      <c r="B1583" t="s">
        <v>588</v>
      </c>
      <c r="C1583" t="s">
        <v>1658</v>
      </c>
      <c r="D1583" t="str">
        <f t="shared" si="24"/>
        <v>SEJUSP3966</v>
      </c>
      <c r="E1583" t="s">
        <v>1637</v>
      </c>
    </row>
    <row r="1584" spans="1:5" hidden="1" x14ac:dyDescent="0.25">
      <c r="A1584">
        <v>1451</v>
      </c>
      <c r="B1584" t="s">
        <v>588</v>
      </c>
      <c r="C1584" t="s">
        <v>1659</v>
      </c>
      <c r="D1584" t="str">
        <f t="shared" si="24"/>
        <v>SEJUSP3969</v>
      </c>
      <c r="E1584" t="s">
        <v>1637</v>
      </c>
    </row>
    <row r="1585" spans="1:5" hidden="1" x14ac:dyDescent="0.25">
      <c r="A1585">
        <v>1451</v>
      </c>
      <c r="B1585" t="s">
        <v>588</v>
      </c>
      <c r="C1585" t="s">
        <v>1660</v>
      </c>
      <c r="D1585" t="str">
        <f t="shared" si="24"/>
        <v>SEJUSP3970</v>
      </c>
      <c r="E1585" t="s">
        <v>1648</v>
      </c>
    </row>
    <row r="1586" spans="1:5" hidden="1" x14ac:dyDescent="0.25">
      <c r="A1586">
        <v>1451</v>
      </c>
      <c r="B1586" t="s">
        <v>588</v>
      </c>
      <c r="C1586" t="s">
        <v>512</v>
      </c>
      <c r="D1586" t="str">
        <f t="shared" si="24"/>
        <v>SEJUSP3971</v>
      </c>
      <c r="E1586" t="s">
        <v>2103</v>
      </c>
    </row>
    <row r="1587" spans="1:5" hidden="1" x14ac:dyDescent="0.25">
      <c r="A1587">
        <v>1451</v>
      </c>
      <c r="B1587" t="s">
        <v>588</v>
      </c>
      <c r="C1587" t="s">
        <v>1725</v>
      </c>
      <c r="D1587" t="str">
        <f t="shared" si="24"/>
        <v>SEJUSP3973</v>
      </c>
      <c r="E1587" t="s">
        <v>1623</v>
      </c>
    </row>
    <row r="1588" spans="1:5" hidden="1" x14ac:dyDescent="0.25">
      <c r="A1588">
        <v>1451</v>
      </c>
      <c r="B1588" t="s">
        <v>588</v>
      </c>
      <c r="C1588" t="s">
        <v>515</v>
      </c>
      <c r="D1588" t="str">
        <f t="shared" si="24"/>
        <v>SEJUSP3974</v>
      </c>
      <c r="E1588" t="s">
        <v>1697</v>
      </c>
    </row>
    <row r="1589" spans="1:5" hidden="1" x14ac:dyDescent="0.25">
      <c r="A1589">
        <v>1451</v>
      </c>
      <c r="B1589" t="s">
        <v>588</v>
      </c>
      <c r="C1589" t="s">
        <v>1761</v>
      </c>
      <c r="D1589" t="str">
        <f t="shared" si="24"/>
        <v>SEJUSP3975</v>
      </c>
      <c r="E1589" t="s">
        <v>1623</v>
      </c>
    </row>
    <row r="1590" spans="1:5" hidden="1" x14ac:dyDescent="0.25">
      <c r="A1590">
        <v>1451</v>
      </c>
      <c r="B1590" t="s">
        <v>588</v>
      </c>
      <c r="C1590" t="s">
        <v>1726</v>
      </c>
      <c r="D1590" t="str">
        <f t="shared" si="24"/>
        <v>SEJUSP3980</v>
      </c>
      <c r="E1590" t="s">
        <v>1689</v>
      </c>
    </row>
    <row r="1591" spans="1:5" hidden="1" x14ac:dyDescent="0.25">
      <c r="A1591">
        <v>1451</v>
      </c>
      <c r="B1591" t="s">
        <v>588</v>
      </c>
      <c r="C1591" t="s">
        <v>520</v>
      </c>
      <c r="D1591" t="str">
        <f t="shared" si="24"/>
        <v>SEJUSP3981</v>
      </c>
      <c r="E1591" t="s">
        <v>1623</v>
      </c>
    </row>
    <row r="1592" spans="1:5" hidden="1" x14ac:dyDescent="0.25">
      <c r="A1592">
        <v>1451</v>
      </c>
      <c r="B1592" t="s">
        <v>588</v>
      </c>
      <c r="C1592" t="s">
        <v>524</v>
      </c>
      <c r="D1592" t="str">
        <f t="shared" si="24"/>
        <v>SEJUSP3985</v>
      </c>
      <c r="E1592" t="s">
        <v>1623</v>
      </c>
    </row>
    <row r="1593" spans="1:5" hidden="1" x14ac:dyDescent="0.25">
      <c r="A1593">
        <v>1451</v>
      </c>
      <c r="B1593" t="s">
        <v>588</v>
      </c>
      <c r="C1593" t="s">
        <v>1661</v>
      </c>
      <c r="D1593" t="str">
        <f t="shared" si="24"/>
        <v>SEJUSP3987</v>
      </c>
      <c r="E1593" t="s">
        <v>1615</v>
      </c>
    </row>
    <row r="1594" spans="1:5" hidden="1" x14ac:dyDescent="0.25">
      <c r="A1594">
        <v>1451</v>
      </c>
      <c r="B1594" t="s">
        <v>588</v>
      </c>
      <c r="C1594" t="s">
        <v>527</v>
      </c>
      <c r="D1594" t="str">
        <f t="shared" si="24"/>
        <v>SEJUSP3988</v>
      </c>
      <c r="E1594" t="s">
        <v>1623</v>
      </c>
    </row>
    <row r="1595" spans="1:5" hidden="1" x14ac:dyDescent="0.25">
      <c r="A1595">
        <v>1451</v>
      </c>
      <c r="B1595" t="s">
        <v>588</v>
      </c>
      <c r="C1595" t="s">
        <v>1746</v>
      </c>
      <c r="D1595" t="str">
        <f t="shared" si="24"/>
        <v>SEJUSP3992</v>
      </c>
      <c r="E1595" t="s">
        <v>1744</v>
      </c>
    </row>
    <row r="1596" spans="1:5" hidden="1" x14ac:dyDescent="0.25">
      <c r="A1596">
        <v>1451</v>
      </c>
      <c r="B1596" t="s">
        <v>588</v>
      </c>
      <c r="C1596" t="s">
        <v>1764</v>
      </c>
      <c r="D1596" t="str">
        <f t="shared" si="24"/>
        <v>SEJUSP3993</v>
      </c>
      <c r="E1596" t="s">
        <v>1623</v>
      </c>
    </row>
    <row r="1597" spans="1:5" hidden="1" x14ac:dyDescent="0.25">
      <c r="A1597">
        <v>1451</v>
      </c>
      <c r="B1597" t="s">
        <v>588</v>
      </c>
      <c r="C1597" t="s">
        <v>1735</v>
      </c>
      <c r="D1597" t="str">
        <f t="shared" si="24"/>
        <v>SEJUSP3998</v>
      </c>
      <c r="E1597" t="s">
        <v>1606</v>
      </c>
    </row>
    <row r="1598" spans="1:5" hidden="1" x14ac:dyDescent="0.25">
      <c r="A1598">
        <v>1451</v>
      </c>
      <c r="B1598" t="s">
        <v>588</v>
      </c>
      <c r="C1598" t="s">
        <v>1663</v>
      </c>
      <c r="D1598" t="str">
        <f t="shared" si="24"/>
        <v>SEJUSP3999</v>
      </c>
      <c r="E1598" t="s">
        <v>1623</v>
      </c>
    </row>
    <row r="1599" spans="1:5" hidden="1" x14ac:dyDescent="0.25">
      <c r="A1599">
        <v>1451</v>
      </c>
      <c r="B1599" t="s">
        <v>588</v>
      </c>
      <c r="C1599" t="s">
        <v>1664</v>
      </c>
      <c r="D1599" t="str">
        <f t="shared" si="24"/>
        <v>SEJUSP4002</v>
      </c>
      <c r="E1599" t="s">
        <v>1648</v>
      </c>
    </row>
    <row r="1600" spans="1:5" hidden="1" x14ac:dyDescent="0.25">
      <c r="A1600">
        <v>1451</v>
      </c>
      <c r="B1600" t="s">
        <v>588</v>
      </c>
      <c r="C1600" t="s">
        <v>1665</v>
      </c>
      <c r="D1600" t="str">
        <f t="shared" si="24"/>
        <v>SEJUSP4003</v>
      </c>
      <c r="E1600" t="s">
        <v>93</v>
      </c>
    </row>
    <row r="1601" spans="1:5" hidden="1" x14ac:dyDescent="0.25">
      <c r="A1601">
        <v>1451</v>
      </c>
      <c r="B1601" t="s">
        <v>588</v>
      </c>
      <c r="C1601" t="s">
        <v>1666</v>
      </c>
      <c r="D1601" t="str">
        <f t="shared" si="24"/>
        <v>SEJUSP4004</v>
      </c>
      <c r="E1601" t="s">
        <v>1648</v>
      </c>
    </row>
    <row r="1602" spans="1:5" hidden="1" x14ac:dyDescent="0.25">
      <c r="A1602">
        <v>1451</v>
      </c>
      <c r="B1602" t="s">
        <v>588</v>
      </c>
      <c r="C1602" t="s">
        <v>1667</v>
      </c>
      <c r="D1602" t="str">
        <f t="shared" si="24"/>
        <v>SEJUSP4005</v>
      </c>
      <c r="E1602" t="s">
        <v>1648</v>
      </c>
    </row>
    <row r="1603" spans="1:5" hidden="1" x14ac:dyDescent="0.25">
      <c r="A1603">
        <v>1451</v>
      </c>
      <c r="B1603" t="s">
        <v>588</v>
      </c>
      <c r="C1603" t="s">
        <v>1698</v>
      </c>
      <c r="D1603" t="str">
        <f t="shared" si="24"/>
        <v>SEJUSP4006</v>
      </c>
      <c r="E1603" t="s">
        <v>1675</v>
      </c>
    </row>
    <row r="1604" spans="1:5" hidden="1" x14ac:dyDescent="0.25">
      <c r="A1604">
        <v>1451</v>
      </c>
      <c r="B1604" t="s">
        <v>588</v>
      </c>
      <c r="C1604" t="s">
        <v>1699</v>
      </c>
      <c r="D1604" t="str">
        <f t="shared" si="24"/>
        <v>SEJUSP4007</v>
      </c>
      <c r="E1604" t="s">
        <v>93</v>
      </c>
    </row>
    <row r="1605" spans="1:5" hidden="1" x14ac:dyDescent="0.25">
      <c r="A1605">
        <v>1451</v>
      </c>
      <c r="B1605" t="s">
        <v>588</v>
      </c>
      <c r="C1605" t="s">
        <v>1749</v>
      </c>
      <c r="D1605" t="str">
        <f t="shared" ref="D1605:D1668" si="25">CONCATENATE(B1605,LEFT(C1605,4))</f>
        <v>SEJUSP4201</v>
      </c>
      <c r="E1605" t="s">
        <v>1728</v>
      </c>
    </row>
    <row r="1606" spans="1:5" hidden="1" x14ac:dyDescent="0.25">
      <c r="A1606">
        <v>1451</v>
      </c>
      <c r="B1606" t="s">
        <v>588</v>
      </c>
      <c r="C1606" t="s">
        <v>1750</v>
      </c>
      <c r="D1606" t="str">
        <f t="shared" si="25"/>
        <v>SEJUSP4301</v>
      </c>
      <c r="E1606" t="s">
        <v>1751</v>
      </c>
    </row>
    <row r="1607" spans="1:5" hidden="1" x14ac:dyDescent="0.25">
      <c r="A1607">
        <v>1451</v>
      </c>
      <c r="B1607" t="s">
        <v>588</v>
      </c>
      <c r="C1607" t="s">
        <v>1668</v>
      </c>
      <c r="D1607" t="str">
        <f t="shared" si="25"/>
        <v>SEJUSP4701</v>
      </c>
      <c r="E1607" t="s">
        <v>1669</v>
      </c>
    </row>
    <row r="1608" spans="1:5" hidden="1" x14ac:dyDescent="0.25">
      <c r="A1608">
        <v>1451</v>
      </c>
      <c r="B1608" t="s">
        <v>588</v>
      </c>
      <c r="C1608" t="s">
        <v>264</v>
      </c>
      <c r="D1608" t="str">
        <f t="shared" si="25"/>
        <v>SEJUSP4703</v>
      </c>
      <c r="E1608" t="s">
        <v>1669</v>
      </c>
    </row>
    <row r="1609" spans="1:5" hidden="1" x14ac:dyDescent="0.25">
      <c r="A1609">
        <v>1451</v>
      </c>
      <c r="B1609" t="s">
        <v>588</v>
      </c>
      <c r="C1609" t="s">
        <v>327</v>
      </c>
      <c r="D1609" t="str">
        <f t="shared" si="25"/>
        <v>SEJUSP4707</v>
      </c>
      <c r="E1609" t="s">
        <v>1669</v>
      </c>
    </row>
    <row r="1610" spans="1:5" hidden="1" x14ac:dyDescent="0.25">
      <c r="A1610">
        <v>1451</v>
      </c>
      <c r="B1610" t="s">
        <v>588</v>
      </c>
      <c r="C1610" t="s">
        <v>347</v>
      </c>
      <c r="D1610" t="str">
        <f t="shared" si="25"/>
        <v>SEJUSP4709</v>
      </c>
      <c r="E1610" t="s">
        <v>1669</v>
      </c>
    </row>
    <row r="1611" spans="1:5" hidden="1" x14ac:dyDescent="0.25">
      <c r="A1611">
        <v>1451</v>
      </c>
      <c r="B1611" t="s">
        <v>588</v>
      </c>
      <c r="C1611" t="s">
        <v>363</v>
      </c>
      <c r="D1611" t="str">
        <f t="shared" si="25"/>
        <v>SEJUSP4799</v>
      </c>
      <c r="E1611" t="s">
        <v>1669</v>
      </c>
    </row>
    <row r="1612" spans="1:5" hidden="1" x14ac:dyDescent="0.25">
      <c r="A1612">
        <v>1451</v>
      </c>
      <c r="B1612" t="s">
        <v>588</v>
      </c>
      <c r="C1612" t="s">
        <v>239</v>
      </c>
      <c r="D1612" t="str">
        <f t="shared" si="25"/>
        <v>SEJUSP4801</v>
      </c>
      <c r="E1612" t="s">
        <v>1623</v>
      </c>
    </row>
    <row r="1613" spans="1:5" hidden="1" x14ac:dyDescent="0.25">
      <c r="A1613">
        <v>1451</v>
      </c>
      <c r="B1613" t="s">
        <v>588</v>
      </c>
      <c r="C1613" t="s">
        <v>1752</v>
      </c>
      <c r="D1613" t="str">
        <f t="shared" si="25"/>
        <v>SEJUSP4904</v>
      </c>
      <c r="E1613" t="s">
        <v>1596</v>
      </c>
    </row>
    <row r="1614" spans="1:5" hidden="1" x14ac:dyDescent="0.25">
      <c r="A1614">
        <v>1451</v>
      </c>
      <c r="B1614" t="s">
        <v>588</v>
      </c>
      <c r="C1614" t="s">
        <v>1670</v>
      </c>
      <c r="D1614" t="str">
        <f t="shared" si="25"/>
        <v>SEJUSP5101</v>
      </c>
      <c r="E1614" t="s">
        <v>1671</v>
      </c>
    </row>
    <row r="1615" spans="1:5" hidden="1" x14ac:dyDescent="0.25">
      <c r="A1615">
        <v>1451</v>
      </c>
      <c r="B1615" t="s">
        <v>588</v>
      </c>
      <c r="C1615" t="s">
        <v>1798</v>
      </c>
      <c r="D1615" t="str">
        <f t="shared" si="25"/>
        <v>SEJUSP5102</v>
      </c>
      <c r="E1615" t="s">
        <v>1671</v>
      </c>
    </row>
    <row r="1616" spans="1:5" hidden="1" x14ac:dyDescent="0.25">
      <c r="A1616">
        <v>1451</v>
      </c>
      <c r="B1616" t="s">
        <v>588</v>
      </c>
      <c r="C1616" t="s">
        <v>1672</v>
      </c>
      <c r="D1616" t="str">
        <f t="shared" si="25"/>
        <v>SEJUSP5103</v>
      </c>
      <c r="E1616" t="s">
        <v>1671</v>
      </c>
    </row>
    <row r="1617" spans="1:5" hidden="1" x14ac:dyDescent="0.25">
      <c r="A1617">
        <v>1451</v>
      </c>
      <c r="B1617" t="s">
        <v>588</v>
      </c>
      <c r="C1617" t="s">
        <v>172</v>
      </c>
      <c r="D1617" t="str">
        <f t="shared" si="25"/>
        <v>SEJUSP5107</v>
      </c>
      <c r="E1617" t="s">
        <v>1671</v>
      </c>
    </row>
    <row r="1618" spans="1:5" hidden="1" x14ac:dyDescent="0.25">
      <c r="A1618">
        <v>1451</v>
      </c>
      <c r="B1618" t="s">
        <v>588</v>
      </c>
      <c r="C1618" t="s">
        <v>1721</v>
      </c>
      <c r="D1618" t="str">
        <f t="shared" si="25"/>
        <v>SEJUSP5114</v>
      </c>
      <c r="E1618" t="s">
        <v>1671</v>
      </c>
    </row>
    <row r="1619" spans="1:5" hidden="1" x14ac:dyDescent="0.25">
      <c r="A1619">
        <v>1451</v>
      </c>
      <c r="B1619" t="s">
        <v>588</v>
      </c>
      <c r="C1619" t="s">
        <v>287</v>
      </c>
      <c r="D1619" t="str">
        <f t="shared" si="25"/>
        <v>SEJUSP5203</v>
      </c>
      <c r="E1619" t="s">
        <v>1674</v>
      </c>
    </row>
    <row r="1620" spans="1:5" hidden="1" x14ac:dyDescent="0.25">
      <c r="A1620">
        <v>1451</v>
      </c>
      <c r="B1620" t="s">
        <v>588</v>
      </c>
      <c r="C1620" t="s">
        <v>1673</v>
      </c>
      <c r="D1620" t="str">
        <f t="shared" si="25"/>
        <v>SEJUSP5204</v>
      </c>
      <c r="E1620" t="s">
        <v>1674</v>
      </c>
    </row>
    <row r="1621" spans="1:5" hidden="1" x14ac:dyDescent="0.25">
      <c r="A1621">
        <v>1451</v>
      </c>
      <c r="B1621" t="s">
        <v>588</v>
      </c>
      <c r="C1621" t="s">
        <v>328</v>
      </c>
      <c r="D1621" t="str">
        <f t="shared" si="25"/>
        <v>SEJUSP5206</v>
      </c>
      <c r="E1621" t="s">
        <v>1675</v>
      </c>
    </row>
    <row r="1622" spans="1:5" hidden="1" x14ac:dyDescent="0.25">
      <c r="A1622">
        <v>1451</v>
      </c>
      <c r="B1622" t="s">
        <v>588</v>
      </c>
      <c r="C1622" t="s">
        <v>1676</v>
      </c>
      <c r="D1622" t="str">
        <f t="shared" si="25"/>
        <v>SEJUSP5207</v>
      </c>
      <c r="E1622" t="s">
        <v>1675</v>
      </c>
    </row>
    <row r="1623" spans="1:5" hidden="1" x14ac:dyDescent="0.25">
      <c r="A1623">
        <v>1451</v>
      </c>
      <c r="B1623" t="s">
        <v>588</v>
      </c>
      <c r="C1623" t="s">
        <v>1677</v>
      </c>
      <c r="D1623" t="str">
        <f t="shared" si="25"/>
        <v>SEJUSP5208</v>
      </c>
      <c r="E1623" t="s">
        <v>1675</v>
      </c>
    </row>
    <row r="1624" spans="1:5" hidden="1" x14ac:dyDescent="0.25">
      <c r="A1624">
        <v>1451</v>
      </c>
      <c r="B1624" t="s">
        <v>588</v>
      </c>
      <c r="C1624" t="s">
        <v>358</v>
      </c>
      <c r="D1624" t="str">
        <f t="shared" si="25"/>
        <v>SEJUSP5209</v>
      </c>
      <c r="E1624" t="s">
        <v>1674</v>
      </c>
    </row>
    <row r="1625" spans="1:5" hidden="1" x14ac:dyDescent="0.25">
      <c r="A1625">
        <v>1451</v>
      </c>
      <c r="B1625" t="s">
        <v>588</v>
      </c>
      <c r="C1625" t="s">
        <v>1678</v>
      </c>
      <c r="D1625" t="str">
        <f t="shared" si="25"/>
        <v>SEJUSP5210</v>
      </c>
      <c r="E1625" t="s">
        <v>1674</v>
      </c>
    </row>
    <row r="1626" spans="1:5" hidden="1" x14ac:dyDescent="0.25">
      <c r="A1626">
        <v>1451</v>
      </c>
      <c r="B1626" t="s">
        <v>588</v>
      </c>
      <c r="C1626" t="s">
        <v>1713</v>
      </c>
      <c r="D1626" t="str">
        <f t="shared" si="25"/>
        <v>SEJUSP5211</v>
      </c>
      <c r="E1626" t="s">
        <v>1606</v>
      </c>
    </row>
    <row r="1627" spans="1:5" hidden="1" x14ac:dyDescent="0.25">
      <c r="A1627">
        <v>1451</v>
      </c>
      <c r="B1627" t="s">
        <v>588</v>
      </c>
      <c r="C1627" t="s">
        <v>1679</v>
      </c>
      <c r="D1627" t="str">
        <f t="shared" si="25"/>
        <v>SEJUSP5212</v>
      </c>
      <c r="E1627" t="s">
        <v>1674</v>
      </c>
    </row>
    <row r="1628" spans="1:5" hidden="1" x14ac:dyDescent="0.25">
      <c r="A1628">
        <v>1451</v>
      </c>
      <c r="B1628" t="s">
        <v>588</v>
      </c>
      <c r="C1628" t="s">
        <v>384</v>
      </c>
      <c r="D1628" t="str">
        <f t="shared" si="25"/>
        <v>SEJUSP5213</v>
      </c>
      <c r="E1628" t="s">
        <v>1674</v>
      </c>
    </row>
    <row r="1629" spans="1:5" hidden="1" x14ac:dyDescent="0.25">
      <c r="A1629">
        <v>1451</v>
      </c>
      <c r="B1629" t="s">
        <v>588</v>
      </c>
      <c r="C1629" t="s">
        <v>390</v>
      </c>
      <c r="D1629" t="str">
        <f t="shared" si="25"/>
        <v>SEJUSP5214</v>
      </c>
      <c r="E1629" t="s">
        <v>1674</v>
      </c>
    </row>
    <row r="1630" spans="1:5" hidden="1" x14ac:dyDescent="0.25">
      <c r="A1630">
        <v>1451</v>
      </c>
      <c r="B1630" t="s">
        <v>588</v>
      </c>
      <c r="C1630" t="s">
        <v>402</v>
      </c>
      <c r="D1630" t="str">
        <f t="shared" si="25"/>
        <v>SEJUSP5216</v>
      </c>
      <c r="E1630" t="s">
        <v>1674</v>
      </c>
    </row>
    <row r="1631" spans="1:5" hidden="1" x14ac:dyDescent="0.25">
      <c r="A1631">
        <v>1451</v>
      </c>
      <c r="B1631" t="s">
        <v>588</v>
      </c>
      <c r="C1631" t="s">
        <v>408</v>
      </c>
      <c r="D1631" t="str">
        <f t="shared" si="25"/>
        <v>SEJUSP5217</v>
      </c>
      <c r="E1631" t="s">
        <v>1674</v>
      </c>
    </row>
    <row r="1632" spans="1:5" hidden="1" x14ac:dyDescent="0.25">
      <c r="A1632">
        <v>1451</v>
      </c>
      <c r="B1632" t="s">
        <v>588</v>
      </c>
      <c r="C1632" t="s">
        <v>1681</v>
      </c>
      <c r="D1632" t="str">
        <f t="shared" si="25"/>
        <v>SEJUSP5220</v>
      </c>
      <c r="E1632" t="s">
        <v>1675</v>
      </c>
    </row>
    <row r="1633" spans="1:5" hidden="1" x14ac:dyDescent="0.25">
      <c r="A1633">
        <v>1451</v>
      </c>
      <c r="B1633" t="s">
        <v>588</v>
      </c>
      <c r="C1633" t="s">
        <v>428</v>
      </c>
      <c r="D1633" t="str">
        <f t="shared" si="25"/>
        <v>SEJUSP5221</v>
      </c>
      <c r="E1633" t="s">
        <v>1674</v>
      </c>
    </row>
    <row r="1634" spans="1:5" hidden="1" x14ac:dyDescent="0.25">
      <c r="A1634">
        <v>1451</v>
      </c>
      <c r="B1634" t="s">
        <v>588</v>
      </c>
      <c r="C1634" t="s">
        <v>448</v>
      </c>
      <c r="D1634" t="str">
        <f t="shared" si="25"/>
        <v>SEJUSP5225</v>
      </c>
      <c r="E1634" t="s">
        <v>1674</v>
      </c>
    </row>
    <row r="1635" spans="1:5" hidden="1" x14ac:dyDescent="0.25">
      <c r="A1635">
        <v>1451</v>
      </c>
      <c r="B1635" t="s">
        <v>588</v>
      </c>
      <c r="C1635" t="s">
        <v>1682</v>
      </c>
      <c r="D1635" t="str">
        <f t="shared" si="25"/>
        <v>SEJUSP5226</v>
      </c>
      <c r="E1635" t="s">
        <v>1674</v>
      </c>
    </row>
    <row r="1636" spans="1:5" hidden="1" x14ac:dyDescent="0.25">
      <c r="A1636">
        <v>1451</v>
      </c>
      <c r="B1636" t="s">
        <v>588</v>
      </c>
      <c r="C1636" t="s">
        <v>458</v>
      </c>
      <c r="D1636" t="str">
        <f t="shared" si="25"/>
        <v>SEJUSP5299</v>
      </c>
      <c r="E1636" t="s">
        <v>1674</v>
      </c>
    </row>
    <row r="1637" spans="1:5" hidden="1" x14ac:dyDescent="0.25">
      <c r="A1637">
        <v>1451</v>
      </c>
      <c r="B1637" t="s">
        <v>588</v>
      </c>
      <c r="C1637" t="s">
        <v>1799</v>
      </c>
      <c r="D1637" t="str">
        <f t="shared" si="25"/>
        <v>SEJUSP6106</v>
      </c>
      <c r="E1637" t="s">
        <v>1754</v>
      </c>
    </row>
    <row r="1638" spans="1:5" hidden="1" x14ac:dyDescent="0.25">
      <c r="A1638">
        <v>1451</v>
      </c>
      <c r="B1638" t="s">
        <v>588</v>
      </c>
      <c r="C1638" t="s">
        <v>1758</v>
      </c>
      <c r="D1638" t="str">
        <f t="shared" si="25"/>
        <v>SEJUSP8501</v>
      </c>
      <c r="E1638" t="s">
        <v>1744</v>
      </c>
    </row>
    <row r="1639" spans="1:5" hidden="1" x14ac:dyDescent="0.25">
      <c r="A1639">
        <v>1451</v>
      </c>
      <c r="B1639" t="s">
        <v>588</v>
      </c>
      <c r="C1639" t="s">
        <v>1723</v>
      </c>
      <c r="D1639" t="str">
        <f t="shared" si="25"/>
        <v>SEJUSP9108</v>
      </c>
      <c r="E1639" t="s">
        <v>1724</v>
      </c>
    </row>
    <row r="1640" spans="1:5" hidden="1" x14ac:dyDescent="0.25">
      <c r="A1640">
        <v>1451</v>
      </c>
      <c r="B1640" t="s">
        <v>588</v>
      </c>
      <c r="C1640" t="s">
        <v>1800</v>
      </c>
      <c r="D1640" t="str">
        <f t="shared" si="25"/>
        <v>SEJUSP9113</v>
      </c>
      <c r="E1640" t="s">
        <v>1724</v>
      </c>
    </row>
    <row r="1641" spans="1:5" hidden="1" x14ac:dyDescent="0.25">
      <c r="A1641">
        <v>1451</v>
      </c>
      <c r="B1641" t="s">
        <v>588</v>
      </c>
      <c r="C1641" t="s">
        <v>1684</v>
      </c>
      <c r="D1641" t="str">
        <f t="shared" si="25"/>
        <v>SEJUSP9202</v>
      </c>
      <c r="E1641" t="s">
        <v>1685</v>
      </c>
    </row>
    <row r="1642" spans="1:5" hidden="1" x14ac:dyDescent="0.25">
      <c r="A1642">
        <v>1451</v>
      </c>
      <c r="B1642" t="s">
        <v>588</v>
      </c>
      <c r="C1642" t="s">
        <v>249</v>
      </c>
      <c r="D1642" t="str">
        <f t="shared" si="25"/>
        <v>SEJUSP9301</v>
      </c>
      <c r="E1642" t="s">
        <v>1623</v>
      </c>
    </row>
    <row r="1643" spans="1:5" hidden="1" x14ac:dyDescent="0.25">
      <c r="A1643">
        <v>1451</v>
      </c>
      <c r="B1643" t="s">
        <v>588</v>
      </c>
      <c r="C1643" t="s">
        <v>271</v>
      </c>
      <c r="D1643" t="str">
        <f t="shared" si="25"/>
        <v>SEJUSP9302</v>
      </c>
      <c r="E1643" t="s">
        <v>1623</v>
      </c>
    </row>
    <row r="1644" spans="1:5" hidden="1" x14ac:dyDescent="0.25">
      <c r="A1644">
        <v>1451</v>
      </c>
      <c r="B1644" t="s">
        <v>588</v>
      </c>
      <c r="C1644" t="s">
        <v>330</v>
      </c>
      <c r="D1644" t="str">
        <f t="shared" si="25"/>
        <v>SEJUSP9306</v>
      </c>
      <c r="E1644" t="s">
        <v>1686</v>
      </c>
    </row>
    <row r="1645" spans="1:5" hidden="1" x14ac:dyDescent="0.25">
      <c r="A1645">
        <v>1451</v>
      </c>
      <c r="B1645" t="s">
        <v>588</v>
      </c>
      <c r="C1645" t="s">
        <v>1687</v>
      </c>
      <c r="D1645" t="str">
        <f t="shared" si="25"/>
        <v>SEJUSP9399</v>
      </c>
      <c r="E1645" t="s">
        <v>1623</v>
      </c>
    </row>
    <row r="1646" spans="1:5" hidden="1" x14ac:dyDescent="0.25">
      <c r="A1646">
        <v>1471</v>
      </c>
      <c r="B1646" t="e">
        <v>#N/A</v>
      </c>
      <c r="C1646" t="s">
        <v>1597</v>
      </c>
      <c r="D1646" t="e">
        <f t="shared" si="25"/>
        <v>#N/A</v>
      </c>
      <c r="E1646" t="s">
        <v>43</v>
      </c>
    </row>
    <row r="1647" spans="1:5" hidden="1" x14ac:dyDescent="0.25">
      <c r="A1647">
        <v>1471</v>
      </c>
      <c r="B1647" t="e">
        <v>#N/A</v>
      </c>
      <c r="C1647" t="s">
        <v>1601</v>
      </c>
      <c r="D1647" t="e">
        <f t="shared" si="25"/>
        <v>#N/A</v>
      </c>
      <c r="E1647" t="s">
        <v>1600</v>
      </c>
    </row>
    <row r="1648" spans="1:5" hidden="1" x14ac:dyDescent="0.25">
      <c r="A1648">
        <v>1471</v>
      </c>
      <c r="B1648" t="e">
        <v>#N/A</v>
      </c>
      <c r="C1648" t="s">
        <v>1603</v>
      </c>
      <c r="D1648" t="e">
        <f t="shared" si="25"/>
        <v>#N/A</v>
      </c>
      <c r="E1648" t="s">
        <v>1600</v>
      </c>
    </row>
    <row r="1649" spans="1:5" hidden="1" x14ac:dyDescent="0.25">
      <c r="A1649">
        <v>1471</v>
      </c>
      <c r="B1649" t="e">
        <v>#N/A</v>
      </c>
      <c r="C1649" t="s">
        <v>1613</v>
      </c>
      <c r="D1649" t="e">
        <f t="shared" si="25"/>
        <v>#N/A</v>
      </c>
      <c r="E1649" t="s">
        <v>1600</v>
      </c>
    </row>
    <row r="1650" spans="1:5" hidden="1" x14ac:dyDescent="0.25">
      <c r="A1650">
        <v>1471</v>
      </c>
      <c r="B1650" t="e">
        <v>#N/A</v>
      </c>
      <c r="C1650" t="s">
        <v>430</v>
      </c>
      <c r="D1650" t="e">
        <f t="shared" si="25"/>
        <v>#N/A</v>
      </c>
      <c r="E1650" t="s">
        <v>1600</v>
      </c>
    </row>
    <row r="1651" spans="1:5" hidden="1" x14ac:dyDescent="0.25">
      <c r="A1651">
        <v>1471</v>
      </c>
      <c r="B1651" t="e">
        <v>#N/A</v>
      </c>
      <c r="C1651" t="s">
        <v>1617</v>
      </c>
      <c r="D1651" t="e">
        <f t="shared" si="25"/>
        <v>#N/A</v>
      </c>
      <c r="E1651" t="s">
        <v>1615</v>
      </c>
    </row>
    <row r="1652" spans="1:5" hidden="1" x14ac:dyDescent="0.25">
      <c r="A1652">
        <v>1471</v>
      </c>
      <c r="B1652" t="e">
        <v>#N/A</v>
      </c>
      <c r="C1652" t="s">
        <v>53</v>
      </c>
      <c r="D1652" t="e">
        <f t="shared" si="25"/>
        <v>#N/A</v>
      </c>
      <c r="E1652" t="s">
        <v>43</v>
      </c>
    </row>
    <row r="1653" spans="1:5" hidden="1" x14ac:dyDescent="0.25">
      <c r="A1653">
        <v>1471</v>
      </c>
      <c r="B1653" t="e">
        <v>#N/A</v>
      </c>
      <c r="C1653" t="s">
        <v>1626</v>
      </c>
      <c r="D1653" t="e">
        <f t="shared" si="25"/>
        <v>#N/A</v>
      </c>
      <c r="E1653" t="s">
        <v>43</v>
      </c>
    </row>
    <row r="1654" spans="1:5" hidden="1" x14ac:dyDescent="0.25">
      <c r="A1654">
        <v>1471</v>
      </c>
      <c r="B1654" t="e">
        <v>#N/A</v>
      </c>
      <c r="C1654" t="s">
        <v>1627</v>
      </c>
      <c r="D1654" t="e">
        <f t="shared" si="25"/>
        <v>#N/A</v>
      </c>
      <c r="E1654" t="s">
        <v>43</v>
      </c>
    </row>
    <row r="1655" spans="1:5" hidden="1" x14ac:dyDescent="0.25">
      <c r="A1655">
        <v>1471</v>
      </c>
      <c r="B1655" t="e">
        <v>#N/A</v>
      </c>
      <c r="C1655" t="s">
        <v>1705</v>
      </c>
      <c r="D1655" t="e">
        <f t="shared" si="25"/>
        <v>#N/A</v>
      </c>
      <c r="E1655" t="s">
        <v>1623</v>
      </c>
    </row>
    <row r="1656" spans="1:5" hidden="1" x14ac:dyDescent="0.25">
      <c r="A1656">
        <v>1471</v>
      </c>
      <c r="B1656" t="e">
        <v>#N/A</v>
      </c>
      <c r="C1656" t="s">
        <v>296</v>
      </c>
      <c r="D1656" t="e">
        <f t="shared" si="25"/>
        <v>#N/A</v>
      </c>
      <c r="E1656" t="s">
        <v>43</v>
      </c>
    </row>
    <row r="1657" spans="1:5" hidden="1" x14ac:dyDescent="0.25">
      <c r="A1657">
        <v>1471</v>
      </c>
      <c r="B1657" t="e">
        <v>#N/A</v>
      </c>
      <c r="C1657" t="s">
        <v>354</v>
      </c>
      <c r="D1657" t="e">
        <f t="shared" si="25"/>
        <v>#N/A</v>
      </c>
      <c r="E1657" t="s">
        <v>1623</v>
      </c>
    </row>
    <row r="1658" spans="1:5" hidden="1" x14ac:dyDescent="0.25">
      <c r="A1658">
        <v>1471</v>
      </c>
      <c r="B1658" t="e">
        <v>#N/A</v>
      </c>
      <c r="C1658" t="s">
        <v>1628</v>
      </c>
      <c r="D1658" t="e">
        <f t="shared" si="25"/>
        <v>#N/A</v>
      </c>
      <c r="E1658" t="s">
        <v>1623</v>
      </c>
    </row>
    <row r="1659" spans="1:5" hidden="1" x14ac:dyDescent="0.25">
      <c r="A1659">
        <v>1471</v>
      </c>
      <c r="B1659" t="e">
        <v>#N/A</v>
      </c>
      <c r="C1659" t="s">
        <v>1632</v>
      </c>
      <c r="D1659" t="e">
        <f t="shared" si="25"/>
        <v>#N/A</v>
      </c>
      <c r="E1659" t="s">
        <v>116</v>
      </c>
    </row>
    <row r="1660" spans="1:5" hidden="1" x14ac:dyDescent="0.25">
      <c r="A1660">
        <v>1471</v>
      </c>
      <c r="B1660" t="e">
        <v>#N/A</v>
      </c>
      <c r="C1660" t="s">
        <v>383</v>
      </c>
      <c r="D1660" t="e">
        <f t="shared" si="25"/>
        <v>#N/A</v>
      </c>
      <c r="E1660" t="s">
        <v>1637</v>
      </c>
    </row>
    <row r="1661" spans="1:5" hidden="1" x14ac:dyDescent="0.25">
      <c r="A1661">
        <v>1471</v>
      </c>
      <c r="B1661" t="e">
        <v>#N/A</v>
      </c>
      <c r="C1661" t="s">
        <v>1639</v>
      </c>
      <c r="D1661" t="e">
        <f t="shared" si="25"/>
        <v>#N/A</v>
      </c>
      <c r="E1661" t="s">
        <v>1615</v>
      </c>
    </row>
    <row r="1662" spans="1:5" hidden="1" x14ac:dyDescent="0.25">
      <c r="A1662">
        <v>1471</v>
      </c>
      <c r="B1662" t="e">
        <v>#N/A</v>
      </c>
      <c r="C1662" t="s">
        <v>1640</v>
      </c>
      <c r="D1662" t="e">
        <f t="shared" si="25"/>
        <v>#N/A</v>
      </c>
      <c r="E1662" t="s">
        <v>1615</v>
      </c>
    </row>
    <row r="1663" spans="1:5" hidden="1" x14ac:dyDescent="0.25">
      <c r="A1663">
        <v>1471</v>
      </c>
      <c r="B1663" t="e">
        <v>#N/A</v>
      </c>
      <c r="C1663" t="s">
        <v>1644</v>
      </c>
      <c r="D1663" t="e">
        <f t="shared" si="25"/>
        <v>#N/A</v>
      </c>
      <c r="E1663" t="s">
        <v>1645</v>
      </c>
    </row>
    <row r="1664" spans="1:5" hidden="1" x14ac:dyDescent="0.25">
      <c r="A1664">
        <v>1471</v>
      </c>
      <c r="B1664" t="e">
        <v>#N/A</v>
      </c>
      <c r="C1664" t="s">
        <v>442</v>
      </c>
      <c r="D1664" t="e">
        <f t="shared" si="25"/>
        <v>#N/A</v>
      </c>
      <c r="E1664" t="s">
        <v>1646</v>
      </c>
    </row>
    <row r="1665" spans="1:5" hidden="1" x14ac:dyDescent="0.25">
      <c r="A1665">
        <v>1471</v>
      </c>
      <c r="B1665" t="e">
        <v>#N/A</v>
      </c>
      <c r="C1665" t="s">
        <v>1650</v>
      </c>
      <c r="D1665" t="e">
        <f t="shared" si="25"/>
        <v>#N/A</v>
      </c>
      <c r="E1665" t="s">
        <v>1623</v>
      </c>
    </row>
    <row r="1666" spans="1:5" hidden="1" x14ac:dyDescent="0.25">
      <c r="A1666">
        <v>1471</v>
      </c>
      <c r="B1666" t="e">
        <v>#N/A</v>
      </c>
      <c r="C1666" t="s">
        <v>1652</v>
      </c>
      <c r="D1666" t="e">
        <f t="shared" si="25"/>
        <v>#N/A</v>
      </c>
      <c r="E1666" t="s">
        <v>93</v>
      </c>
    </row>
    <row r="1667" spans="1:5" hidden="1" x14ac:dyDescent="0.25">
      <c r="A1667">
        <v>1471</v>
      </c>
      <c r="B1667" t="e">
        <v>#N/A</v>
      </c>
      <c r="C1667" t="s">
        <v>1653</v>
      </c>
      <c r="D1667" t="e">
        <f t="shared" si="25"/>
        <v>#N/A</v>
      </c>
      <c r="E1667" t="s">
        <v>1648</v>
      </c>
    </row>
    <row r="1668" spans="1:5" hidden="1" x14ac:dyDescent="0.25">
      <c r="A1668">
        <v>1471</v>
      </c>
      <c r="B1668" t="e">
        <v>#N/A</v>
      </c>
      <c r="C1668" t="s">
        <v>1654</v>
      </c>
      <c r="D1668" t="e">
        <f t="shared" si="25"/>
        <v>#N/A</v>
      </c>
      <c r="E1668" t="s">
        <v>1615</v>
      </c>
    </row>
    <row r="1669" spans="1:5" hidden="1" x14ac:dyDescent="0.25">
      <c r="A1669">
        <v>1471</v>
      </c>
      <c r="B1669" t="e">
        <v>#N/A</v>
      </c>
      <c r="C1669" t="s">
        <v>1701</v>
      </c>
      <c r="D1669" t="e">
        <f t="shared" ref="D1669:D1732" si="26">CONCATENATE(B1669,LEFT(C1669,4))</f>
        <v>#N/A</v>
      </c>
      <c r="E1669" t="s">
        <v>64</v>
      </c>
    </row>
    <row r="1670" spans="1:5" hidden="1" x14ac:dyDescent="0.25">
      <c r="A1670">
        <v>1471</v>
      </c>
      <c r="B1670" t="e">
        <v>#N/A</v>
      </c>
      <c r="C1670" t="s">
        <v>1718</v>
      </c>
      <c r="D1670" t="e">
        <f t="shared" si="26"/>
        <v>#N/A</v>
      </c>
      <c r="E1670" t="s">
        <v>1623</v>
      </c>
    </row>
    <row r="1671" spans="1:5" hidden="1" x14ac:dyDescent="0.25">
      <c r="A1671">
        <v>1471</v>
      </c>
      <c r="B1671" t="e">
        <v>#N/A</v>
      </c>
      <c r="C1671" t="s">
        <v>1726</v>
      </c>
      <c r="D1671" t="e">
        <f t="shared" si="26"/>
        <v>#N/A</v>
      </c>
      <c r="E1671" t="s">
        <v>1689</v>
      </c>
    </row>
    <row r="1672" spans="1:5" hidden="1" x14ac:dyDescent="0.25">
      <c r="A1672">
        <v>1471</v>
      </c>
      <c r="B1672" t="e">
        <v>#N/A</v>
      </c>
      <c r="C1672" t="s">
        <v>1661</v>
      </c>
      <c r="D1672" t="e">
        <f t="shared" si="26"/>
        <v>#N/A</v>
      </c>
      <c r="E1672" t="s">
        <v>1615</v>
      </c>
    </row>
    <row r="1673" spans="1:5" hidden="1" x14ac:dyDescent="0.25">
      <c r="A1673">
        <v>1471</v>
      </c>
      <c r="B1673" t="e">
        <v>#N/A</v>
      </c>
      <c r="C1673" t="s">
        <v>1663</v>
      </c>
      <c r="D1673" t="e">
        <f t="shared" si="26"/>
        <v>#N/A</v>
      </c>
      <c r="E1673" t="s">
        <v>1623</v>
      </c>
    </row>
    <row r="1674" spans="1:5" hidden="1" x14ac:dyDescent="0.25">
      <c r="A1674">
        <v>1471</v>
      </c>
      <c r="B1674" t="e">
        <v>#N/A</v>
      </c>
      <c r="C1674" t="s">
        <v>1665</v>
      </c>
      <c r="D1674" t="e">
        <f t="shared" si="26"/>
        <v>#N/A</v>
      </c>
      <c r="E1674" t="s">
        <v>93</v>
      </c>
    </row>
    <row r="1675" spans="1:5" hidden="1" x14ac:dyDescent="0.25">
      <c r="A1675">
        <v>1471</v>
      </c>
      <c r="B1675" t="e">
        <v>#N/A</v>
      </c>
      <c r="C1675" t="s">
        <v>1666</v>
      </c>
      <c r="D1675" t="e">
        <f t="shared" si="26"/>
        <v>#N/A</v>
      </c>
      <c r="E1675" t="s">
        <v>1648</v>
      </c>
    </row>
    <row r="1676" spans="1:5" hidden="1" x14ac:dyDescent="0.25">
      <c r="A1676">
        <v>1471</v>
      </c>
      <c r="B1676" t="e">
        <v>#N/A</v>
      </c>
      <c r="C1676" t="s">
        <v>1719</v>
      </c>
      <c r="D1676" t="e">
        <f t="shared" si="26"/>
        <v>#N/A</v>
      </c>
      <c r="E1676" t="s">
        <v>1623</v>
      </c>
    </row>
    <row r="1677" spans="1:5" hidden="1" x14ac:dyDescent="0.25">
      <c r="A1677">
        <v>1471</v>
      </c>
      <c r="B1677" t="e">
        <v>#N/A</v>
      </c>
      <c r="C1677" t="s">
        <v>1721</v>
      </c>
      <c r="D1677" t="e">
        <f t="shared" si="26"/>
        <v>#N/A</v>
      </c>
      <c r="E1677" t="s">
        <v>1671</v>
      </c>
    </row>
    <row r="1678" spans="1:5" hidden="1" x14ac:dyDescent="0.25">
      <c r="A1678">
        <v>1471</v>
      </c>
      <c r="B1678" t="e">
        <v>#N/A</v>
      </c>
      <c r="C1678" t="s">
        <v>1684</v>
      </c>
      <c r="D1678" t="e">
        <f t="shared" si="26"/>
        <v>#N/A</v>
      </c>
      <c r="E1678" t="s">
        <v>1685</v>
      </c>
    </row>
    <row r="1679" spans="1:5" hidden="1" x14ac:dyDescent="0.25">
      <c r="A1679">
        <v>1471</v>
      </c>
      <c r="B1679" t="e">
        <v>#N/A</v>
      </c>
      <c r="C1679" t="s">
        <v>330</v>
      </c>
      <c r="D1679" t="e">
        <f t="shared" si="26"/>
        <v>#N/A</v>
      </c>
      <c r="E1679" t="s">
        <v>1686</v>
      </c>
    </row>
    <row r="1680" spans="1:5" hidden="1" x14ac:dyDescent="0.25">
      <c r="A1680">
        <v>1471</v>
      </c>
      <c r="B1680" t="e">
        <v>#N/A</v>
      </c>
      <c r="C1680" t="s">
        <v>1687</v>
      </c>
      <c r="D1680" t="e">
        <f t="shared" si="26"/>
        <v>#N/A</v>
      </c>
      <c r="E1680" t="s">
        <v>1623</v>
      </c>
    </row>
    <row r="1681" spans="1:5" hidden="1" x14ac:dyDescent="0.25">
      <c r="A1681">
        <v>1481</v>
      </c>
      <c r="B1681" t="s">
        <v>583</v>
      </c>
      <c r="C1681" t="s">
        <v>1595</v>
      </c>
      <c r="D1681" t="str">
        <f t="shared" si="26"/>
        <v>SEDESE0810</v>
      </c>
      <c r="E1681" t="s">
        <v>1596</v>
      </c>
    </row>
    <row r="1682" spans="1:5" hidden="1" x14ac:dyDescent="0.25">
      <c r="A1682">
        <v>1481</v>
      </c>
      <c r="B1682" t="s">
        <v>583</v>
      </c>
      <c r="C1682" t="s">
        <v>331</v>
      </c>
      <c r="D1682" t="str">
        <f t="shared" si="26"/>
        <v>SEDESE1314</v>
      </c>
      <c r="E1682" t="s">
        <v>1689</v>
      </c>
    </row>
    <row r="1683" spans="1:5" hidden="1" x14ac:dyDescent="0.25">
      <c r="A1683">
        <v>1481</v>
      </c>
      <c r="B1683" t="s">
        <v>583</v>
      </c>
      <c r="C1683" t="s">
        <v>1688</v>
      </c>
      <c r="D1683" t="str">
        <f t="shared" si="26"/>
        <v>SEDESE1317</v>
      </c>
      <c r="E1683" t="s">
        <v>1689</v>
      </c>
    </row>
    <row r="1684" spans="1:5" hidden="1" x14ac:dyDescent="0.25">
      <c r="A1684">
        <v>1481</v>
      </c>
      <c r="B1684" t="s">
        <v>583</v>
      </c>
      <c r="C1684" t="s">
        <v>1597</v>
      </c>
      <c r="D1684" t="str">
        <f t="shared" si="26"/>
        <v>SEDESE1401</v>
      </c>
      <c r="E1684" t="s">
        <v>43</v>
      </c>
    </row>
    <row r="1685" spans="1:5" hidden="1" x14ac:dyDescent="0.25">
      <c r="A1685">
        <v>1481</v>
      </c>
      <c r="B1685" t="s">
        <v>583</v>
      </c>
      <c r="C1685" t="s">
        <v>1599</v>
      </c>
      <c r="D1685" t="str">
        <f t="shared" si="26"/>
        <v>SEDESE3001</v>
      </c>
      <c r="E1685" t="s">
        <v>1600</v>
      </c>
    </row>
    <row r="1686" spans="1:5" hidden="1" x14ac:dyDescent="0.25">
      <c r="A1686">
        <v>1481</v>
      </c>
      <c r="B1686" t="s">
        <v>583</v>
      </c>
      <c r="C1686" t="s">
        <v>255</v>
      </c>
      <c r="D1686" t="str">
        <f t="shared" si="26"/>
        <v>SEDESE3002</v>
      </c>
      <c r="E1686" t="s">
        <v>1600</v>
      </c>
    </row>
    <row r="1687" spans="1:5" hidden="1" x14ac:dyDescent="0.25">
      <c r="A1687">
        <v>1481</v>
      </c>
      <c r="B1687" t="s">
        <v>583</v>
      </c>
      <c r="C1687" t="s">
        <v>1603</v>
      </c>
      <c r="D1687" t="str">
        <f t="shared" si="26"/>
        <v>SEDESE3005</v>
      </c>
      <c r="E1687" t="s">
        <v>1600</v>
      </c>
    </row>
    <row r="1688" spans="1:5" hidden="1" x14ac:dyDescent="0.25">
      <c r="A1688">
        <v>1481</v>
      </c>
      <c r="B1688" t="s">
        <v>583</v>
      </c>
      <c r="C1688" t="s">
        <v>1604</v>
      </c>
      <c r="D1688" t="str">
        <f t="shared" si="26"/>
        <v>SEDESE3008</v>
      </c>
      <c r="E1688" t="s">
        <v>1600</v>
      </c>
    </row>
    <row r="1689" spans="1:5" hidden="1" x14ac:dyDescent="0.25">
      <c r="A1689">
        <v>1481</v>
      </c>
      <c r="B1689" t="s">
        <v>583</v>
      </c>
      <c r="C1689" t="s">
        <v>1605</v>
      </c>
      <c r="D1689" t="str">
        <f t="shared" si="26"/>
        <v>SEDESE3010</v>
      </c>
      <c r="E1689" t="s">
        <v>1606</v>
      </c>
    </row>
    <row r="1690" spans="1:5" hidden="1" x14ac:dyDescent="0.25">
      <c r="A1690">
        <v>1481</v>
      </c>
      <c r="B1690" t="s">
        <v>583</v>
      </c>
      <c r="C1690" t="s">
        <v>1607</v>
      </c>
      <c r="D1690" t="str">
        <f t="shared" si="26"/>
        <v>SEDESE3013</v>
      </c>
      <c r="E1690" t="s">
        <v>1600</v>
      </c>
    </row>
    <row r="1691" spans="1:5" hidden="1" x14ac:dyDescent="0.25">
      <c r="A1691">
        <v>1481</v>
      </c>
      <c r="B1691" t="s">
        <v>583</v>
      </c>
      <c r="C1691" t="s">
        <v>1608</v>
      </c>
      <c r="D1691" t="str">
        <f t="shared" si="26"/>
        <v>SEDESE3015</v>
      </c>
      <c r="E1691" t="s">
        <v>1600</v>
      </c>
    </row>
    <row r="1692" spans="1:5" hidden="1" x14ac:dyDescent="0.25">
      <c r="A1692">
        <v>1481</v>
      </c>
      <c r="B1692" t="s">
        <v>583</v>
      </c>
      <c r="C1692" t="s">
        <v>1609</v>
      </c>
      <c r="D1692" t="str">
        <f t="shared" si="26"/>
        <v>SEDESE3016</v>
      </c>
      <c r="E1692" t="s">
        <v>1600</v>
      </c>
    </row>
    <row r="1693" spans="1:5" hidden="1" x14ac:dyDescent="0.25">
      <c r="A1693">
        <v>1481</v>
      </c>
      <c r="B1693" t="s">
        <v>583</v>
      </c>
      <c r="C1693" t="s">
        <v>405</v>
      </c>
      <c r="D1693" t="str">
        <f t="shared" si="26"/>
        <v>SEDESE3017</v>
      </c>
      <c r="E1693" t="s">
        <v>1600</v>
      </c>
    </row>
    <row r="1694" spans="1:5" hidden="1" x14ac:dyDescent="0.25">
      <c r="A1694">
        <v>1481</v>
      </c>
      <c r="B1694" t="s">
        <v>583</v>
      </c>
      <c r="C1694" t="s">
        <v>1610</v>
      </c>
      <c r="D1694" t="str">
        <f t="shared" si="26"/>
        <v>SEDESE3019</v>
      </c>
      <c r="E1694" t="s">
        <v>1611</v>
      </c>
    </row>
    <row r="1695" spans="1:5" hidden="1" x14ac:dyDescent="0.25">
      <c r="A1695">
        <v>1481</v>
      </c>
      <c r="B1695" t="s">
        <v>583</v>
      </c>
      <c r="C1695" t="s">
        <v>1612</v>
      </c>
      <c r="D1695" t="str">
        <f t="shared" si="26"/>
        <v>SEDESE3020</v>
      </c>
      <c r="E1695" t="s">
        <v>1600</v>
      </c>
    </row>
    <row r="1696" spans="1:5" hidden="1" x14ac:dyDescent="0.25">
      <c r="A1696">
        <v>1481</v>
      </c>
      <c r="B1696" t="s">
        <v>583</v>
      </c>
      <c r="C1696" t="s">
        <v>1613</v>
      </c>
      <c r="D1696" t="str">
        <f t="shared" si="26"/>
        <v>SEDESE3021</v>
      </c>
      <c r="E1696" t="s">
        <v>1600</v>
      </c>
    </row>
    <row r="1697" spans="1:5" hidden="1" x14ac:dyDescent="0.25">
      <c r="A1697">
        <v>1481</v>
      </c>
      <c r="B1697" t="s">
        <v>583</v>
      </c>
      <c r="C1697" t="s">
        <v>430</v>
      </c>
      <c r="D1697" t="str">
        <f t="shared" si="26"/>
        <v>SEDESE3022</v>
      </c>
      <c r="E1697" t="s">
        <v>1600</v>
      </c>
    </row>
    <row r="1698" spans="1:5" hidden="1" x14ac:dyDescent="0.25">
      <c r="A1698">
        <v>1481</v>
      </c>
      <c r="B1698" t="s">
        <v>583</v>
      </c>
      <c r="C1698" t="s">
        <v>1616</v>
      </c>
      <c r="D1698" t="str">
        <f t="shared" si="26"/>
        <v>SEDESE3025</v>
      </c>
      <c r="E1698" t="s">
        <v>1600</v>
      </c>
    </row>
    <row r="1699" spans="1:5" hidden="1" x14ac:dyDescent="0.25">
      <c r="A1699">
        <v>1481</v>
      </c>
      <c r="B1699" t="s">
        <v>583</v>
      </c>
      <c r="C1699" t="s">
        <v>1617</v>
      </c>
      <c r="D1699" t="str">
        <f t="shared" si="26"/>
        <v>SEDESE3026</v>
      </c>
      <c r="E1699" t="s">
        <v>1615</v>
      </c>
    </row>
    <row r="1700" spans="1:5" hidden="1" x14ac:dyDescent="0.25">
      <c r="A1700">
        <v>1481</v>
      </c>
      <c r="B1700" t="s">
        <v>583</v>
      </c>
      <c r="C1700" t="s">
        <v>1618</v>
      </c>
      <c r="D1700" t="str">
        <f t="shared" si="26"/>
        <v>SEDESE3027</v>
      </c>
      <c r="E1700" t="s">
        <v>1600</v>
      </c>
    </row>
    <row r="1701" spans="1:5" hidden="1" x14ac:dyDescent="0.25">
      <c r="A1701">
        <v>1481</v>
      </c>
      <c r="B1701" t="s">
        <v>583</v>
      </c>
      <c r="C1701" t="s">
        <v>466</v>
      </c>
      <c r="D1701" t="str">
        <f t="shared" si="26"/>
        <v>SEDESE3030</v>
      </c>
      <c r="E1701" t="s">
        <v>1600</v>
      </c>
    </row>
    <row r="1702" spans="1:5" hidden="1" x14ac:dyDescent="0.25">
      <c r="A1702">
        <v>1481</v>
      </c>
      <c r="B1702" t="s">
        <v>583</v>
      </c>
      <c r="C1702" t="s">
        <v>486</v>
      </c>
      <c r="D1702" t="str">
        <f t="shared" si="26"/>
        <v>SEDESE3040</v>
      </c>
      <c r="E1702" t="s">
        <v>1600</v>
      </c>
    </row>
    <row r="1703" spans="1:5" hidden="1" x14ac:dyDescent="0.25">
      <c r="A1703">
        <v>1481</v>
      </c>
      <c r="B1703" t="s">
        <v>583</v>
      </c>
      <c r="C1703" t="s">
        <v>490</v>
      </c>
      <c r="D1703" t="str">
        <f t="shared" si="26"/>
        <v>SEDESE3099</v>
      </c>
      <c r="E1703" t="s">
        <v>1600</v>
      </c>
    </row>
    <row r="1704" spans="1:5" hidden="1" x14ac:dyDescent="0.25">
      <c r="A1704">
        <v>1481</v>
      </c>
      <c r="B1704" t="s">
        <v>583</v>
      </c>
      <c r="C1704" t="s">
        <v>1622</v>
      </c>
      <c r="D1704" t="str">
        <f t="shared" si="26"/>
        <v>SEDESE3101</v>
      </c>
      <c r="E1704" t="s">
        <v>1623</v>
      </c>
    </row>
    <row r="1705" spans="1:5" hidden="1" x14ac:dyDescent="0.25">
      <c r="A1705">
        <v>1481</v>
      </c>
      <c r="B1705" t="s">
        <v>583</v>
      </c>
      <c r="C1705" t="s">
        <v>293</v>
      </c>
      <c r="D1705" t="str">
        <f t="shared" si="26"/>
        <v>SEDESE3104</v>
      </c>
      <c r="E1705" t="s">
        <v>1623</v>
      </c>
    </row>
    <row r="1706" spans="1:5" hidden="1" x14ac:dyDescent="0.25">
      <c r="A1706">
        <v>1481</v>
      </c>
      <c r="B1706" t="s">
        <v>583</v>
      </c>
      <c r="C1706" t="s">
        <v>226</v>
      </c>
      <c r="D1706" t="str">
        <f t="shared" si="26"/>
        <v>SEDESE3201</v>
      </c>
      <c r="E1706" t="s">
        <v>1623</v>
      </c>
    </row>
    <row r="1707" spans="1:5" hidden="1" x14ac:dyDescent="0.25">
      <c r="A1707">
        <v>1481</v>
      </c>
      <c r="B1707" t="s">
        <v>583</v>
      </c>
      <c r="C1707" t="s">
        <v>1624</v>
      </c>
      <c r="D1707" t="str">
        <f t="shared" si="26"/>
        <v>SEDESE3202</v>
      </c>
      <c r="E1707" t="s">
        <v>1623</v>
      </c>
    </row>
    <row r="1708" spans="1:5" hidden="1" x14ac:dyDescent="0.25">
      <c r="A1708">
        <v>1481</v>
      </c>
      <c r="B1708" t="s">
        <v>583</v>
      </c>
      <c r="C1708" t="s">
        <v>53</v>
      </c>
      <c r="D1708" t="str">
        <f t="shared" si="26"/>
        <v>SEDESE3301</v>
      </c>
      <c r="E1708" t="s">
        <v>43</v>
      </c>
    </row>
    <row r="1709" spans="1:5" hidden="1" x14ac:dyDescent="0.25">
      <c r="A1709">
        <v>1481</v>
      </c>
      <c r="B1709" t="s">
        <v>583</v>
      </c>
      <c r="C1709" t="s">
        <v>1626</v>
      </c>
      <c r="D1709" t="str">
        <f t="shared" si="26"/>
        <v>SEDESE3302</v>
      </c>
      <c r="E1709" t="s">
        <v>43</v>
      </c>
    </row>
    <row r="1710" spans="1:5" hidden="1" x14ac:dyDescent="0.25">
      <c r="A1710">
        <v>1481</v>
      </c>
      <c r="B1710" t="s">
        <v>583</v>
      </c>
      <c r="C1710" t="s">
        <v>1627</v>
      </c>
      <c r="D1710" t="str">
        <f t="shared" si="26"/>
        <v>SEDESE3304</v>
      </c>
      <c r="E1710" t="s">
        <v>43</v>
      </c>
    </row>
    <row r="1711" spans="1:5" hidden="1" x14ac:dyDescent="0.25">
      <c r="A1711">
        <v>1481</v>
      </c>
      <c r="B1711" t="s">
        <v>583</v>
      </c>
      <c r="C1711" t="s">
        <v>308</v>
      </c>
      <c r="D1711" t="str">
        <f t="shared" si="26"/>
        <v>SEDESE3305</v>
      </c>
      <c r="E1711" t="s">
        <v>1623</v>
      </c>
    </row>
    <row r="1712" spans="1:5" hidden="1" x14ac:dyDescent="0.25">
      <c r="A1712">
        <v>1481</v>
      </c>
      <c r="B1712" t="s">
        <v>583</v>
      </c>
      <c r="C1712" t="s">
        <v>1705</v>
      </c>
      <c r="D1712" t="str">
        <f t="shared" si="26"/>
        <v>SEDESE3502</v>
      </c>
      <c r="E1712" t="s">
        <v>1706</v>
      </c>
    </row>
    <row r="1713" spans="1:5" hidden="1" x14ac:dyDescent="0.25">
      <c r="A1713">
        <v>1481</v>
      </c>
      <c r="B1713" t="s">
        <v>583</v>
      </c>
      <c r="C1713" t="s">
        <v>296</v>
      </c>
      <c r="D1713" t="str">
        <f t="shared" si="26"/>
        <v>SEDESE3604</v>
      </c>
      <c r="E1713" t="s">
        <v>43</v>
      </c>
    </row>
    <row r="1714" spans="1:5" hidden="1" x14ac:dyDescent="0.25">
      <c r="A1714">
        <v>1481</v>
      </c>
      <c r="B1714" t="s">
        <v>583</v>
      </c>
      <c r="C1714" t="s">
        <v>1742</v>
      </c>
      <c r="D1714" t="str">
        <f t="shared" si="26"/>
        <v>SEDESE3605</v>
      </c>
      <c r="E1714" t="s">
        <v>1623</v>
      </c>
    </row>
    <row r="1715" spans="1:5" hidden="1" x14ac:dyDescent="0.25">
      <c r="A1715">
        <v>1481</v>
      </c>
      <c r="B1715" t="s">
        <v>583</v>
      </c>
      <c r="C1715" t="s">
        <v>354</v>
      </c>
      <c r="D1715" t="str">
        <f t="shared" si="26"/>
        <v>SEDESE3610</v>
      </c>
      <c r="E1715" t="s">
        <v>1623</v>
      </c>
    </row>
    <row r="1716" spans="1:5" hidden="1" x14ac:dyDescent="0.25">
      <c r="A1716">
        <v>1481</v>
      </c>
      <c r="B1716" t="s">
        <v>583</v>
      </c>
      <c r="C1716" t="s">
        <v>1707</v>
      </c>
      <c r="D1716" t="str">
        <f t="shared" si="26"/>
        <v>SEDESE3611</v>
      </c>
      <c r="E1716" t="s">
        <v>1692</v>
      </c>
    </row>
    <row r="1717" spans="1:5" hidden="1" x14ac:dyDescent="0.25">
      <c r="A1717">
        <v>1481</v>
      </c>
      <c r="B1717" t="s">
        <v>583</v>
      </c>
      <c r="C1717" t="s">
        <v>1628</v>
      </c>
      <c r="D1717" t="str">
        <f t="shared" si="26"/>
        <v>SEDESE3612</v>
      </c>
      <c r="E1717" t="s">
        <v>1623</v>
      </c>
    </row>
    <row r="1718" spans="1:5" hidden="1" x14ac:dyDescent="0.25">
      <c r="A1718">
        <v>1481</v>
      </c>
      <c r="B1718" t="s">
        <v>583</v>
      </c>
      <c r="C1718" t="s">
        <v>400</v>
      </c>
      <c r="D1718" t="str">
        <f t="shared" si="26"/>
        <v>SEDESE3617</v>
      </c>
      <c r="E1718" t="s">
        <v>1623</v>
      </c>
    </row>
    <row r="1719" spans="1:5" hidden="1" x14ac:dyDescent="0.25">
      <c r="A1719">
        <v>1481</v>
      </c>
      <c r="B1719" t="s">
        <v>583</v>
      </c>
      <c r="C1719" t="s">
        <v>406</v>
      </c>
      <c r="D1719" t="str">
        <f t="shared" si="26"/>
        <v>SEDESE3618</v>
      </c>
      <c r="E1719" t="s">
        <v>1611</v>
      </c>
    </row>
    <row r="1720" spans="1:5" hidden="1" x14ac:dyDescent="0.25">
      <c r="A1720">
        <v>1481</v>
      </c>
      <c r="B1720" t="s">
        <v>583</v>
      </c>
      <c r="C1720" t="s">
        <v>426</v>
      </c>
      <c r="D1720" t="str">
        <f t="shared" si="26"/>
        <v>SEDESE3622</v>
      </c>
      <c r="E1720" t="s">
        <v>1692</v>
      </c>
    </row>
    <row r="1721" spans="1:5" hidden="1" x14ac:dyDescent="0.25">
      <c r="A1721">
        <v>1481</v>
      </c>
      <c r="B1721" t="s">
        <v>583</v>
      </c>
      <c r="C1721" t="s">
        <v>470</v>
      </c>
      <c r="D1721" t="str">
        <f t="shared" si="26"/>
        <v>SEDESE3699</v>
      </c>
      <c r="E1721" t="s">
        <v>1623</v>
      </c>
    </row>
    <row r="1722" spans="1:5" hidden="1" x14ac:dyDescent="0.25">
      <c r="A1722">
        <v>1481</v>
      </c>
      <c r="B1722" t="s">
        <v>583</v>
      </c>
      <c r="C1722" t="s">
        <v>1631</v>
      </c>
      <c r="D1722" t="str">
        <f t="shared" si="26"/>
        <v>SEDESE3703</v>
      </c>
      <c r="E1722" t="s">
        <v>116</v>
      </c>
    </row>
    <row r="1723" spans="1:5" hidden="1" x14ac:dyDescent="0.25">
      <c r="A1723">
        <v>1481</v>
      </c>
      <c r="B1723" t="s">
        <v>583</v>
      </c>
      <c r="C1723" t="s">
        <v>1632</v>
      </c>
      <c r="D1723" t="str">
        <f t="shared" si="26"/>
        <v>SEDESE3704</v>
      </c>
      <c r="E1723" t="s">
        <v>116</v>
      </c>
    </row>
    <row r="1724" spans="1:5" hidden="1" x14ac:dyDescent="0.25">
      <c r="A1724">
        <v>1481</v>
      </c>
      <c r="B1724" t="s">
        <v>583</v>
      </c>
      <c r="C1724" t="s">
        <v>1633</v>
      </c>
      <c r="D1724" t="str">
        <f t="shared" si="26"/>
        <v>SEDESE3705</v>
      </c>
      <c r="E1724" t="s">
        <v>116</v>
      </c>
    </row>
    <row r="1725" spans="1:5" hidden="1" x14ac:dyDescent="0.25">
      <c r="A1725">
        <v>1481</v>
      </c>
      <c r="B1725" t="s">
        <v>583</v>
      </c>
      <c r="C1725" t="s">
        <v>1634</v>
      </c>
      <c r="D1725" t="str">
        <f t="shared" si="26"/>
        <v>SEDESE3903</v>
      </c>
      <c r="E1725" t="s">
        <v>1623</v>
      </c>
    </row>
    <row r="1726" spans="1:5" hidden="1" x14ac:dyDescent="0.25">
      <c r="A1726">
        <v>1481</v>
      </c>
      <c r="B1726" t="s">
        <v>583</v>
      </c>
      <c r="C1726" t="s">
        <v>298</v>
      </c>
      <c r="D1726" t="str">
        <f t="shared" si="26"/>
        <v>SEDESE3904</v>
      </c>
      <c r="E1726" t="s">
        <v>1623</v>
      </c>
    </row>
    <row r="1727" spans="1:5" hidden="1" x14ac:dyDescent="0.25">
      <c r="A1727">
        <v>1481</v>
      </c>
      <c r="B1727" t="s">
        <v>583</v>
      </c>
      <c r="C1727" t="s">
        <v>325</v>
      </c>
      <c r="D1727" t="str">
        <f t="shared" si="26"/>
        <v>SEDESE3906</v>
      </c>
      <c r="E1727" t="s">
        <v>1623</v>
      </c>
    </row>
    <row r="1728" spans="1:5" hidden="1" x14ac:dyDescent="0.25">
      <c r="A1728">
        <v>1481</v>
      </c>
      <c r="B1728" t="s">
        <v>583</v>
      </c>
      <c r="C1728" t="s">
        <v>335</v>
      </c>
      <c r="D1728" t="str">
        <f t="shared" si="26"/>
        <v>SEDESE3909</v>
      </c>
      <c r="E1728" t="s">
        <v>1623</v>
      </c>
    </row>
    <row r="1729" spans="1:5" hidden="1" x14ac:dyDescent="0.25">
      <c r="A1729">
        <v>1481</v>
      </c>
      <c r="B1729" t="s">
        <v>583</v>
      </c>
      <c r="C1729" t="s">
        <v>345</v>
      </c>
      <c r="D1729" t="str">
        <f t="shared" si="26"/>
        <v>SEDESE3910</v>
      </c>
      <c r="E1729" t="s">
        <v>1623</v>
      </c>
    </row>
    <row r="1730" spans="1:5" hidden="1" x14ac:dyDescent="0.25">
      <c r="A1730">
        <v>1481</v>
      </c>
      <c r="B1730" t="s">
        <v>583</v>
      </c>
      <c r="C1730" t="s">
        <v>1636</v>
      </c>
      <c r="D1730" t="str">
        <f t="shared" si="26"/>
        <v>SEDESE3912</v>
      </c>
      <c r="E1730" t="s">
        <v>1637</v>
      </c>
    </row>
    <row r="1731" spans="1:5" hidden="1" x14ac:dyDescent="0.25">
      <c r="A1731">
        <v>1481</v>
      </c>
      <c r="B1731" t="s">
        <v>583</v>
      </c>
      <c r="C1731" t="s">
        <v>1638</v>
      </c>
      <c r="D1731" t="str">
        <f t="shared" si="26"/>
        <v>SEDESE3913</v>
      </c>
      <c r="E1731" t="s">
        <v>1637</v>
      </c>
    </row>
    <row r="1732" spans="1:5" hidden="1" x14ac:dyDescent="0.25">
      <c r="A1732">
        <v>1481</v>
      </c>
      <c r="B1732" t="s">
        <v>583</v>
      </c>
      <c r="C1732" t="s">
        <v>383</v>
      </c>
      <c r="D1732" t="str">
        <f t="shared" si="26"/>
        <v>SEDESE3915</v>
      </c>
      <c r="E1732" t="s">
        <v>1637</v>
      </c>
    </row>
    <row r="1733" spans="1:5" hidden="1" x14ac:dyDescent="0.25">
      <c r="A1733">
        <v>1481</v>
      </c>
      <c r="B1733" t="s">
        <v>583</v>
      </c>
      <c r="C1733" t="s">
        <v>1639</v>
      </c>
      <c r="D1733" t="str">
        <f t="shared" ref="D1733:D1796" si="27">CONCATENATE(B1733,LEFT(C1733,4))</f>
        <v>SEDESE3917</v>
      </c>
      <c r="E1733" t="s">
        <v>1615</v>
      </c>
    </row>
    <row r="1734" spans="1:5" hidden="1" x14ac:dyDescent="0.25">
      <c r="A1734">
        <v>1481</v>
      </c>
      <c r="B1734" t="s">
        <v>583</v>
      </c>
      <c r="C1734" t="s">
        <v>1640</v>
      </c>
      <c r="D1734" t="str">
        <f t="shared" si="27"/>
        <v>SEDESE3918</v>
      </c>
      <c r="E1734" t="s">
        <v>1615</v>
      </c>
    </row>
    <row r="1735" spans="1:5" hidden="1" x14ac:dyDescent="0.25">
      <c r="A1735">
        <v>1481</v>
      </c>
      <c r="B1735" t="s">
        <v>583</v>
      </c>
      <c r="C1735" t="s">
        <v>1641</v>
      </c>
      <c r="D1735" t="str">
        <f t="shared" si="27"/>
        <v>SEDESE3919</v>
      </c>
      <c r="E1735" t="s">
        <v>2102</v>
      </c>
    </row>
    <row r="1736" spans="1:5" hidden="1" x14ac:dyDescent="0.25">
      <c r="A1736">
        <v>1481</v>
      </c>
      <c r="B1736" t="s">
        <v>583</v>
      </c>
      <c r="C1736" t="s">
        <v>1694</v>
      </c>
      <c r="D1736" t="str">
        <f t="shared" si="27"/>
        <v>SEDESE3920</v>
      </c>
      <c r="E1736" t="s">
        <v>1692</v>
      </c>
    </row>
    <row r="1737" spans="1:5" hidden="1" x14ac:dyDescent="0.25">
      <c r="A1737">
        <v>1481</v>
      </c>
      <c r="B1737" t="s">
        <v>583</v>
      </c>
      <c r="C1737" t="s">
        <v>1642</v>
      </c>
      <c r="D1737" t="str">
        <f t="shared" si="27"/>
        <v>SEDESE3921</v>
      </c>
      <c r="E1737" t="s">
        <v>2102</v>
      </c>
    </row>
    <row r="1738" spans="1:5" hidden="1" x14ac:dyDescent="0.25">
      <c r="A1738">
        <v>1481</v>
      </c>
      <c r="B1738" t="s">
        <v>583</v>
      </c>
      <c r="C1738" t="s">
        <v>1643</v>
      </c>
      <c r="D1738" t="str">
        <f t="shared" si="27"/>
        <v>SEDESE3922</v>
      </c>
      <c r="E1738" t="s">
        <v>1611</v>
      </c>
    </row>
    <row r="1739" spans="1:5" hidden="1" x14ac:dyDescent="0.25">
      <c r="A1739">
        <v>1481</v>
      </c>
      <c r="B1739" t="s">
        <v>583</v>
      </c>
      <c r="C1739" t="s">
        <v>427</v>
      </c>
      <c r="D1739" t="str">
        <f t="shared" si="27"/>
        <v>SEDESE3923</v>
      </c>
      <c r="E1739" t="s">
        <v>1623</v>
      </c>
    </row>
    <row r="1740" spans="1:5" hidden="1" x14ac:dyDescent="0.25">
      <c r="A1740">
        <v>1481</v>
      </c>
      <c r="B1740" t="s">
        <v>583</v>
      </c>
      <c r="C1740" t="s">
        <v>1644</v>
      </c>
      <c r="D1740" t="str">
        <f t="shared" si="27"/>
        <v>SEDESE3924</v>
      </c>
      <c r="E1740" t="s">
        <v>1645</v>
      </c>
    </row>
    <row r="1741" spans="1:5" hidden="1" x14ac:dyDescent="0.25">
      <c r="A1741">
        <v>1481</v>
      </c>
      <c r="B1741" t="s">
        <v>583</v>
      </c>
      <c r="C1741" t="s">
        <v>442</v>
      </c>
      <c r="D1741" t="str">
        <f t="shared" si="27"/>
        <v>SEDESE3926</v>
      </c>
      <c r="E1741" t="s">
        <v>1646</v>
      </c>
    </row>
    <row r="1742" spans="1:5" hidden="1" x14ac:dyDescent="0.25">
      <c r="A1742">
        <v>1481</v>
      </c>
      <c r="B1742" t="s">
        <v>583</v>
      </c>
      <c r="C1742" t="s">
        <v>1647</v>
      </c>
      <c r="D1742" t="str">
        <f t="shared" si="27"/>
        <v>SEDESE3927</v>
      </c>
      <c r="E1742" t="s">
        <v>1648</v>
      </c>
    </row>
    <row r="1743" spans="1:5" hidden="1" x14ac:dyDescent="0.25">
      <c r="A1743">
        <v>1481</v>
      </c>
      <c r="B1743" t="s">
        <v>583</v>
      </c>
      <c r="C1743" t="s">
        <v>457</v>
      </c>
      <c r="D1743" t="str">
        <f t="shared" si="27"/>
        <v>SEDESE3930</v>
      </c>
      <c r="E1743" t="s">
        <v>1646</v>
      </c>
    </row>
    <row r="1744" spans="1:5" hidden="1" x14ac:dyDescent="0.25">
      <c r="A1744">
        <v>1481</v>
      </c>
      <c r="B1744" t="s">
        <v>583</v>
      </c>
      <c r="C1744" t="s">
        <v>1650</v>
      </c>
      <c r="D1744" t="str">
        <f t="shared" si="27"/>
        <v>SEDESE3931</v>
      </c>
      <c r="E1744" t="s">
        <v>1623</v>
      </c>
    </row>
    <row r="1745" spans="1:5" hidden="1" x14ac:dyDescent="0.25">
      <c r="A1745">
        <v>1481</v>
      </c>
      <c r="B1745" t="s">
        <v>583</v>
      </c>
      <c r="C1745" t="s">
        <v>1652</v>
      </c>
      <c r="D1745" t="str">
        <f t="shared" si="27"/>
        <v>SEDESE3936</v>
      </c>
      <c r="E1745" t="s">
        <v>93</v>
      </c>
    </row>
    <row r="1746" spans="1:5" hidden="1" x14ac:dyDescent="0.25">
      <c r="A1746">
        <v>1481</v>
      </c>
      <c r="B1746" t="s">
        <v>583</v>
      </c>
      <c r="C1746" t="s">
        <v>1695</v>
      </c>
      <c r="D1746" t="str">
        <f t="shared" si="27"/>
        <v>SEDESE3937</v>
      </c>
      <c r="E1746" t="s">
        <v>1692</v>
      </c>
    </row>
    <row r="1747" spans="1:5" hidden="1" x14ac:dyDescent="0.25">
      <c r="A1747">
        <v>1481</v>
      </c>
      <c r="B1747" t="s">
        <v>583</v>
      </c>
      <c r="C1747" t="s">
        <v>1653</v>
      </c>
      <c r="D1747" t="str">
        <f t="shared" si="27"/>
        <v>SEDESE3940</v>
      </c>
      <c r="E1747" t="s">
        <v>1648</v>
      </c>
    </row>
    <row r="1748" spans="1:5" hidden="1" x14ac:dyDescent="0.25">
      <c r="A1748">
        <v>1481</v>
      </c>
      <c r="B1748" t="s">
        <v>583</v>
      </c>
      <c r="C1748" t="s">
        <v>479</v>
      </c>
      <c r="D1748" t="str">
        <f t="shared" si="27"/>
        <v>SEDESE3941</v>
      </c>
      <c r="E1748" t="s">
        <v>1623</v>
      </c>
    </row>
    <row r="1749" spans="1:5" hidden="1" x14ac:dyDescent="0.25">
      <c r="A1749">
        <v>1481</v>
      </c>
      <c r="B1749" t="s">
        <v>583</v>
      </c>
      <c r="C1749" t="s">
        <v>1654</v>
      </c>
      <c r="D1749" t="str">
        <f t="shared" si="27"/>
        <v>SEDESE3943</v>
      </c>
      <c r="E1749" t="s">
        <v>1615</v>
      </c>
    </row>
    <row r="1750" spans="1:5" hidden="1" x14ac:dyDescent="0.25">
      <c r="A1750">
        <v>1481</v>
      </c>
      <c r="B1750" t="s">
        <v>583</v>
      </c>
      <c r="C1750" t="s">
        <v>487</v>
      </c>
      <c r="D1750" t="str">
        <f t="shared" si="27"/>
        <v>SEDESE3946</v>
      </c>
      <c r="E1750" t="s">
        <v>1744</v>
      </c>
    </row>
    <row r="1751" spans="1:5" hidden="1" x14ac:dyDescent="0.25">
      <c r="A1751">
        <v>1481</v>
      </c>
      <c r="B1751" t="s">
        <v>583</v>
      </c>
      <c r="C1751" t="s">
        <v>1715</v>
      </c>
      <c r="D1751" t="str">
        <f t="shared" si="27"/>
        <v>SEDESE3949</v>
      </c>
      <c r="E1751" t="s">
        <v>1645</v>
      </c>
    </row>
    <row r="1752" spans="1:5" hidden="1" x14ac:dyDescent="0.25">
      <c r="A1752">
        <v>1481</v>
      </c>
      <c r="B1752" t="s">
        <v>583</v>
      </c>
      <c r="C1752" t="s">
        <v>1655</v>
      </c>
      <c r="D1752" t="str">
        <f t="shared" si="27"/>
        <v>SEDESE3950</v>
      </c>
      <c r="E1752" t="s">
        <v>43</v>
      </c>
    </row>
    <row r="1753" spans="1:5" hidden="1" x14ac:dyDescent="0.25">
      <c r="A1753">
        <v>1481</v>
      </c>
      <c r="B1753" t="s">
        <v>583</v>
      </c>
      <c r="C1753" t="s">
        <v>1701</v>
      </c>
      <c r="D1753" t="str">
        <f t="shared" si="27"/>
        <v>SEDESE3952</v>
      </c>
      <c r="E1753" t="s">
        <v>64</v>
      </c>
    </row>
    <row r="1754" spans="1:5" hidden="1" x14ac:dyDescent="0.25">
      <c r="A1754">
        <v>1481</v>
      </c>
      <c r="B1754" t="s">
        <v>583</v>
      </c>
      <c r="C1754" t="s">
        <v>495</v>
      </c>
      <c r="D1754" t="str">
        <f t="shared" si="27"/>
        <v>SEDESE3953</v>
      </c>
      <c r="E1754" t="s">
        <v>1645</v>
      </c>
    </row>
    <row r="1755" spans="1:5" hidden="1" x14ac:dyDescent="0.25">
      <c r="A1755">
        <v>1481</v>
      </c>
      <c r="B1755" t="s">
        <v>583</v>
      </c>
      <c r="C1755" t="s">
        <v>497</v>
      </c>
      <c r="D1755" t="str">
        <f t="shared" si="27"/>
        <v>SEDESE3955</v>
      </c>
      <c r="E1755" t="s">
        <v>1623</v>
      </c>
    </row>
    <row r="1756" spans="1:5" hidden="1" x14ac:dyDescent="0.25">
      <c r="A1756">
        <v>1481</v>
      </c>
      <c r="B1756" t="s">
        <v>583</v>
      </c>
      <c r="C1756" t="s">
        <v>498</v>
      </c>
      <c r="D1756" t="str">
        <f t="shared" si="27"/>
        <v>SEDESE3956</v>
      </c>
      <c r="E1756" t="s">
        <v>1623</v>
      </c>
    </row>
    <row r="1757" spans="1:5" hidden="1" x14ac:dyDescent="0.25">
      <c r="A1757">
        <v>1481</v>
      </c>
      <c r="B1757" t="s">
        <v>583</v>
      </c>
      <c r="C1757" t="s">
        <v>1709</v>
      </c>
      <c r="D1757" t="str">
        <f t="shared" si="27"/>
        <v>SEDESE3960</v>
      </c>
      <c r="E1757" t="s">
        <v>1623</v>
      </c>
    </row>
    <row r="1758" spans="1:5" hidden="1" x14ac:dyDescent="0.25">
      <c r="A1758">
        <v>1481</v>
      </c>
      <c r="B1758" t="s">
        <v>583</v>
      </c>
      <c r="C1758" t="s">
        <v>1657</v>
      </c>
      <c r="D1758" t="str">
        <f t="shared" si="27"/>
        <v>SEDESE3961</v>
      </c>
      <c r="E1758" t="s">
        <v>102</v>
      </c>
    </row>
    <row r="1759" spans="1:5" hidden="1" x14ac:dyDescent="0.25">
      <c r="A1759">
        <v>1481</v>
      </c>
      <c r="B1759" t="s">
        <v>583</v>
      </c>
      <c r="C1759" t="s">
        <v>1659</v>
      </c>
      <c r="D1759" t="str">
        <f t="shared" si="27"/>
        <v>SEDESE3969</v>
      </c>
      <c r="E1759" t="s">
        <v>1637</v>
      </c>
    </row>
    <row r="1760" spans="1:5" hidden="1" x14ac:dyDescent="0.25">
      <c r="A1760">
        <v>1481</v>
      </c>
      <c r="B1760" t="s">
        <v>583</v>
      </c>
      <c r="C1760" t="s">
        <v>1660</v>
      </c>
      <c r="D1760" t="str">
        <f t="shared" si="27"/>
        <v>SEDESE3970</v>
      </c>
      <c r="E1760" t="s">
        <v>1648</v>
      </c>
    </row>
    <row r="1761" spans="1:5" hidden="1" x14ac:dyDescent="0.25">
      <c r="A1761">
        <v>1481</v>
      </c>
      <c r="B1761" t="s">
        <v>583</v>
      </c>
      <c r="C1761" t="s">
        <v>1761</v>
      </c>
      <c r="D1761" t="str">
        <f t="shared" si="27"/>
        <v>SEDESE3975</v>
      </c>
      <c r="E1761" t="s">
        <v>1623</v>
      </c>
    </row>
    <row r="1762" spans="1:5" hidden="1" x14ac:dyDescent="0.25">
      <c r="A1762">
        <v>1481</v>
      </c>
      <c r="B1762" t="s">
        <v>583</v>
      </c>
      <c r="C1762" t="s">
        <v>519</v>
      </c>
      <c r="D1762" t="str">
        <f t="shared" si="27"/>
        <v>SEDESE3978</v>
      </c>
      <c r="E1762" t="s">
        <v>1630</v>
      </c>
    </row>
    <row r="1763" spans="1:5" hidden="1" x14ac:dyDescent="0.25">
      <c r="A1763">
        <v>1481</v>
      </c>
      <c r="B1763" t="s">
        <v>583</v>
      </c>
      <c r="C1763" t="s">
        <v>1726</v>
      </c>
      <c r="D1763" t="str">
        <f t="shared" si="27"/>
        <v>SEDESE3980</v>
      </c>
      <c r="E1763" t="s">
        <v>1689</v>
      </c>
    </row>
    <row r="1764" spans="1:5" hidden="1" x14ac:dyDescent="0.25">
      <c r="A1764">
        <v>1481</v>
      </c>
      <c r="B1764" t="s">
        <v>583</v>
      </c>
      <c r="C1764" t="s">
        <v>1661</v>
      </c>
      <c r="D1764" t="str">
        <f t="shared" si="27"/>
        <v>SEDESE3987</v>
      </c>
      <c r="E1764" t="s">
        <v>1615</v>
      </c>
    </row>
    <row r="1765" spans="1:5" hidden="1" x14ac:dyDescent="0.25">
      <c r="A1765">
        <v>1481</v>
      </c>
      <c r="B1765" t="s">
        <v>583</v>
      </c>
      <c r="C1765" t="s">
        <v>527</v>
      </c>
      <c r="D1765" t="str">
        <f t="shared" si="27"/>
        <v>SEDESE3988</v>
      </c>
      <c r="E1765" t="s">
        <v>1623</v>
      </c>
    </row>
    <row r="1766" spans="1:5" hidden="1" x14ac:dyDescent="0.25">
      <c r="A1766">
        <v>1481</v>
      </c>
      <c r="B1766" t="s">
        <v>583</v>
      </c>
      <c r="C1766" t="s">
        <v>1663</v>
      </c>
      <c r="D1766" t="str">
        <f t="shared" si="27"/>
        <v>SEDESE3999</v>
      </c>
      <c r="E1766" t="s">
        <v>1623</v>
      </c>
    </row>
    <row r="1767" spans="1:5" hidden="1" x14ac:dyDescent="0.25">
      <c r="A1767">
        <v>1481</v>
      </c>
      <c r="B1767" t="s">
        <v>583</v>
      </c>
      <c r="C1767" t="s">
        <v>1664</v>
      </c>
      <c r="D1767" t="str">
        <f t="shared" si="27"/>
        <v>SEDESE4002</v>
      </c>
      <c r="E1767" t="s">
        <v>1648</v>
      </c>
    </row>
    <row r="1768" spans="1:5" hidden="1" x14ac:dyDescent="0.25">
      <c r="A1768">
        <v>1481</v>
      </c>
      <c r="B1768" t="s">
        <v>583</v>
      </c>
      <c r="C1768" t="s">
        <v>1665</v>
      </c>
      <c r="D1768" t="str">
        <f t="shared" si="27"/>
        <v>SEDESE4003</v>
      </c>
      <c r="E1768" t="s">
        <v>93</v>
      </c>
    </row>
    <row r="1769" spans="1:5" hidden="1" x14ac:dyDescent="0.25">
      <c r="A1769">
        <v>1481</v>
      </c>
      <c r="B1769" t="s">
        <v>583</v>
      </c>
      <c r="C1769" t="s">
        <v>1666</v>
      </c>
      <c r="D1769" t="str">
        <f t="shared" si="27"/>
        <v>SEDESE4004</v>
      </c>
      <c r="E1769" t="s">
        <v>1648</v>
      </c>
    </row>
    <row r="1770" spans="1:5" hidden="1" x14ac:dyDescent="0.25">
      <c r="A1770">
        <v>1481</v>
      </c>
      <c r="B1770" t="s">
        <v>583</v>
      </c>
      <c r="C1770" t="s">
        <v>1667</v>
      </c>
      <c r="D1770" t="str">
        <f t="shared" si="27"/>
        <v>SEDESE4005</v>
      </c>
      <c r="E1770" t="s">
        <v>1648</v>
      </c>
    </row>
    <row r="1771" spans="1:5" hidden="1" x14ac:dyDescent="0.25">
      <c r="A1771">
        <v>1481</v>
      </c>
      <c r="B1771" t="s">
        <v>583</v>
      </c>
      <c r="C1771" t="s">
        <v>1698</v>
      </c>
      <c r="D1771" t="str">
        <f t="shared" si="27"/>
        <v>SEDESE4006</v>
      </c>
      <c r="E1771" t="s">
        <v>1675</v>
      </c>
    </row>
    <row r="1772" spans="1:5" hidden="1" x14ac:dyDescent="0.25">
      <c r="A1772">
        <v>1481</v>
      </c>
      <c r="B1772" t="s">
        <v>583</v>
      </c>
      <c r="C1772" t="s">
        <v>1699</v>
      </c>
      <c r="D1772" t="str">
        <f t="shared" si="27"/>
        <v>SEDESE4007</v>
      </c>
      <c r="E1772" t="s">
        <v>93</v>
      </c>
    </row>
    <row r="1773" spans="1:5" hidden="1" x14ac:dyDescent="0.25">
      <c r="A1773">
        <v>1481</v>
      </c>
      <c r="B1773" t="s">
        <v>583</v>
      </c>
      <c r="C1773" t="s">
        <v>1719</v>
      </c>
      <c r="D1773" t="str">
        <f t="shared" si="27"/>
        <v>SEDESE4101</v>
      </c>
      <c r="E1773" t="s">
        <v>1623</v>
      </c>
    </row>
    <row r="1774" spans="1:5" hidden="1" x14ac:dyDescent="0.25">
      <c r="A1774">
        <v>1481</v>
      </c>
      <c r="B1774" t="s">
        <v>583</v>
      </c>
      <c r="C1774" t="s">
        <v>1749</v>
      </c>
      <c r="D1774" t="str">
        <f t="shared" si="27"/>
        <v>SEDESE4201</v>
      </c>
      <c r="E1774" t="s">
        <v>1728</v>
      </c>
    </row>
    <row r="1775" spans="1:5" hidden="1" x14ac:dyDescent="0.25">
      <c r="A1775">
        <v>1481</v>
      </c>
      <c r="B1775" t="s">
        <v>583</v>
      </c>
      <c r="C1775" t="s">
        <v>1750</v>
      </c>
      <c r="D1775" t="str">
        <f t="shared" si="27"/>
        <v>SEDESE4301</v>
      </c>
      <c r="E1775" t="s">
        <v>1751</v>
      </c>
    </row>
    <row r="1776" spans="1:5" hidden="1" x14ac:dyDescent="0.25">
      <c r="A1776">
        <v>1481</v>
      </c>
      <c r="B1776" t="s">
        <v>583</v>
      </c>
      <c r="C1776" t="s">
        <v>1668</v>
      </c>
      <c r="D1776" t="str">
        <f t="shared" si="27"/>
        <v>SEDESE4701</v>
      </c>
      <c r="E1776" t="s">
        <v>1669</v>
      </c>
    </row>
    <row r="1777" spans="1:5" hidden="1" x14ac:dyDescent="0.25">
      <c r="A1777">
        <v>1481</v>
      </c>
      <c r="B1777" t="s">
        <v>583</v>
      </c>
      <c r="C1777" t="s">
        <v>264</v>
      </c>
      <c r="D1777" t="str">
        <f t="shared" si="27"/>
        <v>SEDESE4703</v>
      </c>
      <c r="E1777" t="s">
        <v>1669</v>
      </c>
    </row>
    <row r="1778" spans="1:5" hidden="1" x14ac:dyDescent="0.25">
      <c r="A1778">
        <v>1481</v>
      </c>
      <c r="B1778" t="s">
        <v>583</v>
      </c>
      <c r="C1778" t="s">
        <v>327</v>
      </c>
      <c r="D1778" t="str">
        <f t="shared" si="27"/>
        <v>SEDESE4707</v>
      </c>
      <c r="E1778" t="s">
        <v>1669</v>
      </c>
    </row>
    <row r="1779" spans="1:5" hidden="1" x14ac:dyDescent="0.25">
      <c r="A1779">
        <v>1481</v>
      </c>
      <c r="B1779" t="s">
        <v>583</v>
      </c>
      <c r="C1779" t="s">
        <v>239</v>
      </c>
      <c r="D1779" t="str">
        <f t="shared" si="27"/>
        <v>SEDESE4801</v>
      </c>
      <c r="E1779" t="s">
        <v>1623</v>
      </c>
    </row>
    <row r="1780" spans="1:5" hidden="1" x14ac:dyDescent="0.25">
      <c r="A1780">
        <v>1481</v>
      </c>
      <c r="B1780" t="s">
        <v>583</v>
      </c>
      <c r="C1780" t="s">
        <v>1672</v>
      </c>
      <c r="D1780" t="str">
        <f t="shared" si="27"/>
        <v>SEDESE5103</v>
      </c>
      <c r="E1780" t="s">
        <v>1671</v>
      </c>
    </row>
    <row r="1781" spans="1:5" hidden="1" x14ac:dyDescent="0.25">
      <c r="A1781">
        <v>1481</v>
      </c>
      <c r="B1781" t="s">
        <v>583</v>
      </c>
      <c r="C1781" t="s">
        <v>1801</v>
      </c>
      <c r="D1781" t="str">
        <f t="shared" si="27"/>
        <v>SEDESE5109</v>
      </c>
      <c r="E1781" t="s">
        <v>1671</v>
      </c>
    </row>
    <row r="1782" spans="1:5" hidden="1" x14ac:dyDescent="0.25">
      <c r="A1782">
        <v>1481</v>
      </c>
      <c r="B1782" t="s">
        <v>583</v>
      </c>
      <c r="C1782" t="s">
        <v>1673</v>
      </c>
      <c r="D1782" t="str">
        <f t="shared" si="27"/>
        <v>SEDESE5204</v>
      </c>
      <c r="E1782" t="s">
        <v>1674</v>
      </c>
    </row>
    <row r="1783" spans="1:5" hidden="1" x14ac:dyDescent="0.25">
      <c r="A1783">
        <v>1481</v>
      </c>
      <c r="B1783" t="s">
        <v>583</v>
      </c>
      <c r="C1783" t="s">
        <v>1676</v>
      </c>
      <c r="D1783" t="str">
        <f t="shared" si="27"/>
        <v>SEDESE5207</v>
      </c>
      <c r="E1783" t="s">
        <v>1675</v>
      </c>
    </row>
    <row r="1784" spans="1:5" hidden="1" x14ac:dyDescent="0.25">
      <c r="A1784">
        <v>1481</v>
      </c>
      <c r="B1784" t="s">
        <v>583</v>
      </c>
      <c r="C1784" t="s">
        <v>1677</v>
      </c>
      <c r="D1784" t="str">
        <f t="shared" si="27"/>
        <v>SEDESE5208</v>
      </c>
      <c r="E1784" t="s">
        <v>1675</v>
      </c>
    </row>
    <row r="1785" spans="1:5" hidden="1" x14ac:dyDescent="0.25">
      <c r="A1785">
        <v>1481</v>
      </c>
      <c r="B1785" t="s">
        <v>583</v>
      </c>
      <c r="C1785" t="s">
        <v>1678</v>
      </c>
      <c r="D1785" t="str">
        <f t="shared" si="27"/>
        <v>SEDESE5210</v>
      </c>
      <c r="E1785" t="s">
        <v>1674</v>
      </c>
    </row>
    <row r="1786" spans="1:5" hidden="1" x14ac:dyDescent="0.25">
      <c r="A1786">
        <v>1481</v>
      </c>
      <c r="B1786" t="s">
        <v>583</v>
      </c>
      <c r="C1786" t="s">
        <v>1679</v>
      </c>
      <c r="D1786" t="str">
        <f t="shared" si="27"/>
        <v>SEDESE5212</v>
      </c>
      <c r="E1786" t="s">
        <v>1674</v>
      </c>
    </row>
    <row r="1787" spans="1:5" hidden="1" x14ac:dyDescent="0.25">
      <c r="A1787">
        <v>1481</v>
      </c>
      <c r="B1787" t="s">
        <v>583</v>
      </c>
      <c r="C1787" t="s">
        <v>384</v>
      </c>
      <c r="D1787" t="str">
        <f t="shared" si="27"/>
        <v>SEDESE5213</v>
      </c>
      <c r="E1787" t="s">
        <v>1674</v>
      </c>
    </row>
    <row r="1788" spans="1:5" hidden="1" x14ac:dyDescent="0.25">
      <c r="A1788">
        <v>1481</v>
      </c>
      <c r="B1788" t="s">
        <v>583</v>
      </c>
      <c r="C1788" t="s">
        <v>390</v>
      </c>
      <c r="D1788" t="str">
        <f t="shared" si="27"/>
        <v>SEDESE5214</v>
      </c>
      <c r="E1788" t="s">
        <v>1674</v>
      </c>
    </row>
    <row r="1789" spans="1:5" hidden="1" x14ac:dyDescent="0.25">
      <c r="A1789">
        <v>1481</v>
      </c>
      <c r="B1789" t="s">
        <v>583</v>
      </c>
      <c r="C1789" t="s">
        <v>402</v>
      </c>
      <c r="D1789" t="str">
        <f t="shared" si="27"/>
        <v>SEDESE5216</v>
      </c>
      <c r="E1789" t="s">
        <v>1680</v>
      </c>
    </row>
    <row r="1790" spans="1:5" hidden="1" x14ac:dyDescent="0.25">
      <c r="A1790">
        <v>1481</v>
      </c>
      <c r="B1790" t="s">
        <v>583</v>
      </c>
      <c r="C1790" t="s">
        <v>408</v>
      </c>
      <c r="D1790" t="str">
        <f t="shared" si="27"/>
        <v>SEDESE5217</v>
      </c>
      <c r="E1790" t="s">
        <v>1680</v>
      </c>
    </row>
    <row r="1791" spans="1:5" hidden="1" x14ac:dyDescent="0.25">
      <c r="A1791">
        <v>1481</v>
      </c>
      <c r="B1791" t="s">
        <v>583</v>
      </c>
      <c r="C1791" t="s">
        <v>433</v>
      </c>
      <c r="D1791" t="str">
        <f t="shared" si="27"/>
        <v>SEDESE5222</v>
      </c>
      <c r="E1791" t="s">
        <v>1674</v>
      </c>
    </row>
    <row r="1792" spans="1:5" hidden="1" x14ac:dyDescent="0.25">
      <c r="A1792">
        <v>1481</v>
      </c>
      <c r="B1792" t="s">
        <v>583</v>
      </c>
      <c r="C1792" t="s">
        <v>1802</v>
      </c>
      <c r="D1792" t="str">
        <f t="shared" si="27"/>
        <v>SEDESE5224</v>
      </c>
      <c r="E1792" t="s">
        <v>1674</v>
      </c>
    </row>
    <row r="1793" spans="1:5" hidden="1" x14ac:dyDescent="0.25">
      <c r="A1793">
        <v>1481</v>
      </c>
      <c r="B1793" t="s">
        <v>583</v>
      </c>
      <c r="C1793" t="s">
        <v>448</v>
      </c>
      <c r="D1793" t="str">
        <f t="shared" si="27"/>
        <v>SEDESE5225</v>
      </c>
      <c r="E1793" t="s">
        <v>1674</v>
      </c>
    </row>
    <row r="1794" spans="1:5" hidden="1" x14ac:dyDescent="0.25">
      <c r="A1794">
        <v>1481</v>
      </c>
      <c r="B1794" t="s">
        <v>583</v>
      </c>
      <c r="C1794" t="s">
        <v>1682</v>
      </c>
      <c r="D1794" t="str">
        <f t="shared" si="27"/>
        <v>SEDESE5226</v>
      </c>
      <c r="E1794" t="s">
        <v>1674</v>
      </c>
    </row>
    <row r="1795" spans="1:5" hidden="1" x14ac:dyDescent="0.25">
      <c r="A1795">
        <v>1481</v>
      </c>
      <c r="B1795" t="s">
        <v>583</v>
      </c>
      <c r="C1795" t="s">
        <v>458</v>
      </c>
      <c r="D1795" t="str">
        <f t="shared" si="27"/>
        <v>SEDESE5299</v>
      </c>
      <c r="E1795" t="s">
        <v>1674</v>
      </c>
    </row>
    <row r="1796" spans="1:5" hidden="1" x14ac:dyDescent="0.25">
      <c r="A1796">
        <v>1481</v>
      </c>
      <c r="B1796" t="s">
        <v>583</v>
      </c>
      <c r="C1796" t="s">
        <v>1723</v>
      </c>
      <c r="D1796" t="str">
        <f t="shared" si="27"/>
        <v>SEDESE9108</v>
      </c>
      <c r="E1796" t="s">
        <v>1724</v>
      </c>
    </row>
    <row r="1797" spans="1:5" hidden="1" x14ac:dyDescent="0.25">
      <c r="A1797">
        <v>1481</v>
      </c>
      <c r="B1797" t="s">
        <v>583</v>
      </c>
      <c r="C1797" t="s">
        <v>1684</v>
      </c>
      <c r="D1797" t="str">
        <f t="shared" ref="D1797:D1860" si="28">CONCATENATE(B1797,LEFT(C1797,4))</f>
        <v>SEDESE9202</v>
      </c>
      <c r="E1797" t="s">
        <v>1685</v>
      </c>
    </row>
    <row r="1798" spans="1:5" hidden="1" x14ac:dyDescent="0.25">
      <c r="A1798">
        <v>1481</v>
      </c>
      <c r="B1798" t="s">
        <v>583</v>
      </c>
      <c r="C1798" t="s">
        <v>330</v>
      </c>
      <c r="D1798" t="str">
        <f t="shared" si="28"/>
        <v>SEDESE9306</v>
      </c>
      <c r="E1798" t="s">
        <v>1686</v>
      </c>
    </row>
    <row r="1799" spans="1:5" hidden="1" x14ac:dyDescent="0.25">
      <c r="A1799">
        <v>1481</v>
      </c>
      <c r="B1799" t="s">
        <v>583</v>
      </c>
      <c r="C1799" t="s">
        <v>379</v>
      </c>
      <c r="D1799" t="str">
        <f t="shared" si="28"/>
        <v>SEDESE9312</v>
      </c>
      <c r="E1799" t="s">
        <v>1623</v>
      </c>
    </row>
    <row r="1800" spans="1:5" hidden="1" x14ac:dyDescent="0.25">
      <c r="A1800">
        <v>1481</v>
      </c>
      <c r="B1800" t="s">
        <v>583</v>
      </c>
      <c r="C1800" t="s">
        <v>1687</v>
      </c>
      <c r="D1800" t="str">
        <f t="shared" si="28"/>
        <v>SEDESE9399</v>
      </c>
      <c r="E1800" t="s">
        <v>1623</v>
      </c>
    </row>
    <row r="1801" spans="1:5" hidden="1" x14ac:dyDescent="0.25">
      <c r="A1801">
        <v>1491</v>
      </c>
      <c r="B1801" t="s">
        <v>586</v>
      </c>
      <c r="C1801" t="s">
        <v>1595</v>
      </c>
      <c r="D1801" t="str">
        <f t="shared" si="28"/>
        <v>SEGOV0810</v>
      </c>
      <c r="E1801" t="s">
        <v>1596</v>
      </c>
    </row>
    <row r="1802" spans="1:5" hidden="1" x14ac:dyDescent="0.25">
      <c r="A1802">
        <v>1491</v>
      </c>
      <c r="B1802" t="s">
        <v>586</v>
      </c>
      <c r="C1802" t="s">
        <v>1597</v>
      </c>
      <c r="D1802" t="str">
        <f t="shared" si="28"/>
        <v>SEGOV1401</v>
      </c>
      <c r="E1802" t="s">
        <v>43</v>
      </c>
    </row>
    <row r="1803" spans="1:5" hidden="1" x14ac:dyDescent="0.25">
      <c r="A1803">
        <v>1491</v>
      </c>
      <c r="B1803" t="s">
        <v>586</v>
      </c>
      <c r="C1803" t="s">
        <v>1599</v>
      </c>
      <c r="D1803" t="str">
        <f t="shared" si="28"/>
        <v>SEGOV3001</v>
      </c>
      <c r="E1803" t="s">
        <v>1600</v>
      </c>
    </row>
    <row r="1804" spans="1:5" hidden="1" x14ac:dyDescent="0.25">
      <c r="A1804">
        <v>1491</v>
      </c>
      <c r="B1804" t="s">
        <v>586</v>
      </c>
      <c r="C1804" t="s">
        <v>1602</v>
      </c>
      <c r="D1804" t="str">
        <f t="shared" si="28"/>
        <v>SEGOV3004</v>
      </c>
      <c r="E1804" t="s">
        <v>1600</v>
      </c>
    </row>
    <row r="1805" spans="1:5" hidden="1" x14ac:dyDescent="0.25">
      <c r="A1805">
        <v>1491</v>
      </c>
      <c r="B1805" t="s">
        <v>586</v>
      </c>
      <c r="C1805" t="s">
        <v>1603</v>
      </c>
      <c r="D1805" t="str">
        <f t="shared" si="28"/>
        <v>SEGOV3005</v>
      </c>
      <c r="E1805" t="s">
        <v>1600</v>
      </c>
    </row>
    <row r="1806" spans="1:5" hidden="1" x14ac:dyDescent="0.25">
      <c r="A1806">
        <v>1491</v>
      </c>
      <c r="B1806" t="s">
        <v>586</v>
      </c>
      <c r="C1806" t="s">
        <v>1608</v>
      </c>
      <c r="D1806" t="str">
        <f t="shared" si="28"/>
        <v>SEGOV3015</v>
      </c>
      <c r="E1806" t="s">
        <v>1600</v>
      </c>
    </row>
    <row r="1807" spans="1:5" hidden="1" x14ac:dyDescent="0.25">
      <c r="A1807">
        <v>1491</v>
      </c>
      <c r="B1807" t="s">
        <v>586</v>
      </c>
      <c r="C1807" t="s">
        <v>1609</v>
      </c>
      <c r="D1807" t="str">
        <f t="shared" si="28"/>
        <v>SEGOV3016</v>
      </c>
      <c r="E1807" t="s">
        <v>1600</v>
      </c>
    </row>
    <row r="1808" spans="1:5" hidden="1" x14ac:dyDescent="0.25">
      <c r="A1808">
        <v>1491</v>
      </c>
      <c r="B1808" t="s">
        <v>586</v>
      </c>
      <c r="C1808" t="s">
        <v>405</v>
      </c>
      <c r="D1808" t="str">
        <f t="shared" si="28"/>
        <v>SEGOV3017</v>
      </c>
      <c r="E1808" t="s">
        <v>1600</v>
      </c>
    </row>
    <row r="1809" spans="1:5" hidden="1" x14ac:dyDescent="0.25">
      <c r="A1809">
        <v>1491</v>
      </c>
      <c r="B1809" t="s">
        <v>586</v>
      </c>
      <c r="C1809" t="s">
        <v>1610</v>
      </c>
      <c r="D1809" t="str">
        <f t="shared" si="28"/>
        <v>SEGOV3019</v>
      </c>
      <c r="E1809" t="s">
        <v>1611</v>
      </c>
    </row>
    <row r="1810" spans="1:5" hidden="1" x14ac:dyDescent="0.25">
      <c r="A1810">
        <v>1491</v>
      </c>
      <c r="B1810" t="s">
        <v>586</v>
      </c>
      <c r="C1810" t="s">
        <v>1612</v>
      </c>
      <c r="D1810" t="str">
        <f t="shared" si="28"/>
        <v>SEGOV3020</v>
      </c>
      <c r="E1810" t="s">
        <v>1600</v>
      </c>
    </row>
    <row r="1811" spans="1:5" hidden="1" x14ac:dyDescent="0.25">
      <c r="A1811">
        <v>1491</v>
      </c>
      <c r="B1811" t="s">
        <v>586</v>
      </c>
      <c r="C1811" t="s">
        <v>1613</v>
      </c>
      <c r="D1811" t="str">
        <f t="shared" si="28"/>
        <v>SEGOV3021</v>
      </c>
      <c r="E1811" t="s">
        <v>1600</v>
      </c>
    </row>
    <row r="1812" spans="1:5" hidden="1" x14ac:dyDescent="0.25">
      <c r="A1812">
        <v>1491</v>
      </c>
      <c r="B1812" t="s">
        <v>586</v>
      </c>
      <c r="C1812" t="s">
        <v>430</v>
      </c>
      <c r="D1812" t="str">
        <f t="shared" si="28"/>
        <v>SEGOV3022</v>
      </c>
      <c r="E1812" t="s">
        <v>1600</v>
      </c>
    </row>
    <row r="1813" spans="1:5" hidden="1" x14ac:dyDescent="0.25">
      <c r="A1813">
        <v>1491</v>
      </c>
      <c r="B1813" t="s">
        <v>586</v>
      </c>
      <c r="C1813" t="s">
        <v>1614</v>
      </c>
      <c r="D1813" t="str">
        <f t="shared" si="28"/>
        <v>SEGOV3023</v>
      </c>
      <c r="E1813" t="s">
        <v>1615</v>
      </c>
    </row>
    <row r="1814" spans="1:5" hidden="1" x14ac:dyDescent="0.25">
      <c r="A1814">
        <v>1491</v>
      </c>
      <c r="B1814" t="s">
        <v>586</v>
      </c>
      <c r="C1814" t="s">
        <v>440</v>
      </c>
      <c r="D1814" t="str">
        <f t="shared" si="28"/>
        <v>SEGOV3024</v>
      </c>
      <c r="E1814" t="s">
        <v>1600</v>
      </c>
    </row>
    <row r="1815" spans="1:5" hidden="1" x14ac:dyDescent="0.25">
      <c r="A1815">
        <v>1491</v>
      </c>
      <c r="B1815" t="s">
        <v>586</v>
      </c>
      <c r="C1815" t="s">
        <v>1616</v>
      </c>
      <c r="D1815" t="str">
        <f t="shared" si="28"/>
        <v>SEGOV3025</v>
      </c>
      <c r="E1815" t="s">
        <v>1600</v>
      </c>
    </row>
    <row r="1816" spans="1:5" hidden="1" x14ac:dyDescent="0.25">
      <c r="A1816">
        <v>1491</v>
      </c>
      <c r="B1816" t="s">
        <v>586</v>
      </c>
      <c r="C1816" t="s">
        <v>1617</v>
      </c>
      <c r="D1816" t="str">
        <f t="shared" si="28"/>
        <v>SEGOV3026</v>
      </c>
      <c r="E1816" t="s">
        <v>1615</v>
      </c>
    </row>
    <row r="1817" spans="1:5" hidden="1" x14ac:dyDescent="0.25">
      <c r="A1817">
        <v>1491</v>
      </c>
      <c r="B1817" t="s">
        <v>586</v>
      </c>
      <c r="C1817" t="s">
        <v>466</v>
      </c>
      <c r="D1817" t="str">
        <f t="shared" si="28"/>
        <v>SEGOV3030</v>
      </c>
      <c r="E1817" t="s">
        <v>1600</v>
      </c>
    </row>
    <row r="1818" spans="1:5" hidden="1" x14ac:dyDescent="0.25">
      <c r="A1818">
        <v>1491</v>
      </c>
      <c r="B1818" t="s">
        <v>586</v>
      </c>
      <c r="C1818" t="s">
        <v>469</v>
      </c>
      <c r="D1818" t="str">
        <f t="shared" si="28"/>
        <v>SEGOV3031</v>
      </c>
      <c r="E1818" t="s">
        <v>1600</v>
      </c>
    </row>
    <row r="1819" spans="1:5" hidden="1" x14ac:dyDescent="0.25">
      <c r="A1819">
        <v>1491</v>
      </c>
      <c r="B1819" t="s">
        <v>586</v>
      </c>
      <c r="C1819" t="s">
        <v>1619</v>
      </c>
      <c r="D1819" t="str">
        <f t="shared" si="28"/>
        <v>SEGOV3032</v>
      </c>
      <c r="E1819" t="s">
        <v>1600</v>
      </c>
    </row>
    <row r="1820" spans="1:5" hidden="1" x14ac:dyDescent="0.25">
      <c r="A1820">
        <v>1491</v>
      </c>
      <c r="B1820" t="s">
        <v>586</v>
      </c>
      <c r="C1820" t="s">
        <v>1703</v>
      </c>
      <c r="D1820" t="str">
        <f t="shared" si="28"/>
        <v>SEGOV3041</v>
      </c>
      <c r="E1820" t="s">
        <v>1600</v>
      </c>
    </row>
    <row r="1821" spans="1:5" hidden="1" x14ac:dyDescent="0.25">
      <c r="A1821">
        <v>1491</v>
      </c>
      <c r="B1821" t="s">
        <v>586</v>
      </c>
      <c r="C1821" t="s">
        <v>490</v>
      </c>
      <c r="D1821" t="str">
        <f t="shared" si="28"/>
        <v>SEGOV3099</v>
      </c>
      <c r="E1821" t="s">
        <v>1600</v>
      </c>
    </row>
    <row r="1822" spans="1:5" hidden="1" x14ac:dyDescent="0.25">
      <c r="A1822">
        <v>1491</v>
      </c>
      <c r="B1822" t="s">
        <v>586</v>
      </c>
      <c r="C1822" t="s">
        <v>1622</v>
      </c>
      <c r="D1822" t="str">
        <f t="shared" si="28"/>
        <v>SEGOV3101</v>
      </c>
      <c r="E1822" t="s">
        <v>1623</v>
      </c>
    </row>
    <row r="1823" spans="1:5" hidden="1" x14ac:dyDescent="0.25">
      <c r="A1823">
        <v>1491</v>
      </c>
      <c r="B1823" t="s">
        <v>586</v>
      </c>
      <c r="C1823" t="s">
        <v>53</v>
      </c>
      <c r="D1823" t="str">
        <f t="shared" si="28"/>
        <v>SEGOV3301</v>
      </c>
      <c r="E1823" t="s">
        <v>43</v>
      </c>
    </row>
    <row r="1824" spans="1:5" hidden="1" x14ac:dyDescent="0.25">
      <c r="A1824">
        <v>1491</v>
      </c>
      <c r="B1824" t="s">
        <v>586</v>
      </c>
      <c r="C1824" t="s">
        <v>1626</v>
      </c>
      <c r="D1824" t="str">
        <f t="shared" si="28"/>
        <v>SEGOV3302</v>
      </c>
      <c r="E1824" t="s">
        <v>43</v>
      </c>
    </row>
    <row r="1825" spans="1:5" hidden="1" x14ac:dyDescent="0.25">
      <c r="A1825">
        <v>1491</v>
      </c>
      <c r="B1825" t="s">
        <v>586</v>
      </c>
      <c r="C1825" t="s">
        <v>1627</v>
      </c>
      <c r="D1825" t="str">
        <f t="shared" si="28"/>
        <v>SEGOV3304</v>
      </c>
      <c r="E1825" t="s">
        <v>43</v>
      </c>
    </row>
    <row r="1826" spans="1:5" hidden="1" x14ac:dyDescent="0.25">
      <c r="A1826">
        <v>1491</v>
      </c>
      <c r="B1826" t="s">
        <v>586</v>
      </c>
      <c r="C1826" t="s">
        <v>308</v>
      </c>
      <c r="D1826" t="str">
        <f t="shared" si="28"/>
        <v>SEGOV3305</v>
      </c>
      <c r="E1826" t="s">
        <v>43</v>
      </c>
    </row>
    <row r="1827" spans="1:5" hidden="1" x14ac:dyDescent="0.25">
      <c r="A1827">
        <v>1491</v>
      </c>
      <c r="B1827" t="s">
        <v>586</v>
      </c>
      <c r="C1827" t="s">
        <v>1705</v>
      </c>
      <c r="D1827" t="str">
        <f t="shared" si="28"/>
        <v>SEGOV3502</v>
      </c>
      <c r="E1827" t="s">
        <v>1706</v>
      </c>
    </row>
    <row r="1828" spans="1:5" hidden="1" x14ac:dyDescent="0.25">
      <c r="A1828">
        <v>1491</v>
      </c>
      <c r="B1828" t="s">
        <v>586</v>
      </c>
      <c r="C1828" t="s">
        <v>1690</v>
      </c>
      <c r="D1828" t="str">
        <f t="shared" si="28"/>
        <v>SEGOV3601</v>
      </c>
      <c r="E1828" t="s">
        <v>64</v>
      </c>
    </row>
    <row r="1829" spans="1:5" hidden="1" x14ac:dyDescent="0.25">
      <c r="A1829">
        <v>1491</v>
      </c>
      <c r="B1829" t="s">
        <v>586</v>
      </c>
      <c r="C1829" t="s">
        <v>296</v>
      </c>
      <c r="D1829" t="str">
        <f t="shared" si="28"/>
        <v>SEGOV3604</v>
      </c>
      <c r="E1829" t="s">
        <v>43</v>
      </c>
    </row>
    <row r="1830" spans="1:5" hidden="1" x14ac:dyDescent="0.25">
      <c r="A1830">
        <v>1491</v>
      </c>
      <c r="B1830" t="s">
        <v>586</v>
      </c>
      <c r="C1830" t="s">
        <v>354</v>
      </c>
      <c r="D1830" t="str">
        <f t="shared" si="28"/>
        <v>SEGOV3610</v>
      </c>
      <c r="E1830" t="s">
        <v>1623</v>
      </c>
    </row>
    <row r="1831" spans="1:5" hidden="1" x14ac:dyDescent="0.25">
      <c r="A1831">
        <v>1491</v>
      </c>
      <c r="B1831" t="s">
        <v>586</v>
      </c>
      <c r="C1831" t="s">
        <v>1628</v>
      </c>
      <c r="D1831" t="str">
        <f t="shared" si="28"/>
        <v>SEGOV3612</v>
      </c>
      <c r="E1831" t="s">
        <v>1623</v>
      </c>
    </row>
    <row r="1832" spans="1:5" hidden="1" x14ac:dyDescent="0.25">
      <c r="A1832">
        <v>1491</v>
      </c>
      <c r="B1832" t="s">
        <v>586</v>
      </c>
      <c r="C1832" t="s">
        <v>400</v>
      </c>
      <c r="D1832" t="str">
        <f t="shared" si="28"/>
        <v>SEGOV3617</v>
      </c>
      <c r="E1832" t="s">
        <v>1623</v>
      </c>
    </row>
    <row r="1833" spans="1:5" hidden="1" x14ac:dyDescent="0.25">
      <c r="A1833">
        <v>1491</v>
      </c>
      <c r="B1833" t="s">
        <v>586</v>
      </c>
      <c r="C1833" t="s">
        <v>470</v>
      </c>
      <c r="D1833" t="str">
        <f t="shared" si="28"/>
        <v>SEGOV3699</v>
      </c>
      <c r="E1833" t="s">
        <v>1623</v>
      </c>
    </row>
    <row r="1834" spans="1:5" hidden="1" x14ac:dyDescent="0.25">
      <c r="A1834">
        <v>1491</v>
      </c>
      <c r="B1834" t="s">
        <v>586</v>
      </c>
      <c r="C1834" t="s">
        <v>1631</v>
      </c>
      <c r="D1834" t="str">
        <f t="shared" si="28"/>
        <v>SEGOV3703</v>
      </c>
      <c r="E1834" t="s">
        <v>116</v>
      </c>
    </row>
    <row r="1835" spans="1:5" hidden="1" x14ac:dyDescent="0.25">
      <c r="A1835">
        <v>1491</v>
      </c>
      <c r="B1835" t="s">
        <v>586</v>
      </c>
      <c r="C1835" t="s">
        <v>1632</v>
      </c>
      <c r="D1835" t="str">
        <f t="shared" si="28"/>
        <v>SEGOV3704</v>
      </c>
      <c r="E1835" t="s">
        <v>116</v>
      </c>
    </row>
    <row r="1836" spans="1:5" hidden="1" x14ac:dyDescent="0.25">
      <c r="A1836">
        <v>1491</v>
      </c>
      <c r="B1836" t="s">
        <v>586</v>
      </c>
      <c r="C1836" t="s">
        <v>1633</v>
      </c>
      <c r="D1836" t="str">
        <f t="shared" si="28"/>
        <v>SEGOV3705</v>
      </c>
      <c r="E1836" t="s">
        <v>116</v>
      </c>
    </row>
    <row r="1837" spans="1:5" hidden="1" x14ac:dyDescent="0.25">
      <c r="A1837">
        <v>1491</v>
      </c>
      <c r="B1837" t="s">
        <v>586</v>
      </c>
      <c r="C1837" t="s">
        <v>1634</v>
      </c>
      <c r="D1837" t="str">
        <f t="shared" si="28"/>
        <v>SEGOV3903</v>
      </c>
      <c r="E1837" t="s">
        <v>86</v>
      </c>
    </row>
    <row r="1838" spans="1:5" hidden="1" x14ac:dyDescent="0.25">
      <c r="A1838">
        <v>1491</v>
      </c>
      <c r="B1838" t="s">
        <v>586</v>
      </c>
      <c r="C1838" t="s">
        <v>298</v>
      </c>
      <c r="D1838" t="str">
        <f t="shared" si="28"/>
        <v>SEGOV3904</v>
      </c>
      <c r="E1838" t="s">
        <v>1623</v>
      </c>
    </row>
    <row r="1839" spans="1:5" hidden="1" x14ac:dyDescent="0.25">
      <c r="A1839">
        <v>1491</v>
      </c>
      <c r="B1839" t="s">
        <v>586</v>
      </c>
      <c r="C1839" t="s">
        <v>1635</v>
      </c>
      <c r="D1839" t="str">
        <f t="shared" si="28"/>
        <v>SEGOV3908</v>
      </c>
      <c r="E1839" t="s">
        <v>1623</v>
      </c>
    </row>
    <row r="1840" spans="1:5" hidden="1" x14ac:dyDescent="0.25">
      <c r="A1840">
        <v>1491</v>
      </c>
      <c r="B1840" t="s">
        <v>586</v>
      </c>
      <c r="C1840" t="s">
        <v>335</v>
      </c>
      <c r="D1840" t="str">
        <f t="shared" si="28"/>
        <v>SEGOV3909</v>
      </c>
      <c r="E1840" t="s">
        <v>1623</v>
      </c>
    </row>
    <row r="1841" spans="1:5" hidden="1" x14ac:dyDescent="0.25">
      <c r="A1841">
        <v>1491</v>
      </c>
      <c r="B1841" t="s">
        <v>586</v>
      </c>
      <c r="C1841" t="s">
        <v>345</v>
      </c>
      <c r="D1841" t="str">
        <f t="shared" si="28"/>
        <v>SEGOV3910</v>
      </c>
      <c r="E1841" t="s">
        <v>1623</v>
      </c>
    </row>
    <row r="1842" spans="1:5" hidden="1" x14ac:dyDescent="0.25">
      <c r="A1842">
        <v>1491</v>
      </c>
      <c r="B1842" t="s">
        <v>586</v>
      </c>
      <c r="C1842" t="s">
        <v>355</v>
      </c>
      <c r="D1842" t="str">
        <f t="shared" si="28"/>
        <v>SEGOV3911</v>
      </c>
      <c r="E1842" t="s">
        <v>1623</v>
      </c>
    </row>
    <row r="1843" spans="1:5" hidden="1" x14ac:dyDescent="0.25">
      <c r="A1843">
        <v>1491</v>
      </c>
      <c r="B1843" t="s">
        <v>586</v>
      </c>
      <c r="C1843" t="s">
        <v>1636</v>
      </c>
      <c r="D1843" t="str">
        <f t="shared" si="28"/>
        <v>SEGOV3912</v>
      </c>
      <c r="E1843" t="s">
        <v>1637</v>
      </c>
    </row>
    <row r="1844" spans="1:5" hidden="1" x14ac:dyDescent="0.25">
      <c r="A1844">
        <v>1491</v>
      </c>
      <c r="B1844" t="s">
        <v>586</v>
      </c>
      <c r="C1844" t="s">
        <v>376</v>
      </c>
      <c r="D1844" t="str">
        <f t="shared" si="28"/>
        <v>SEGOV3914</v>
      </c>
      <c r="E1844" t="s">
        <v>1648</v>
      </c>
    </row>
    <row r="1845" spans="1:5" hidden="1" x14ac:dyDescent="0.25">
      <c r="A1845">
        <v>1491</v>
      </c>
      <c r="B1845" t="s">
        <v>586</v>
      </c>
      <c r="C1845" t="s">
        <v>1639</v>
      </c>
      <c r="D1845" t="str">
        <f t="shared" si="28"/>
        <v>SEGOV3917</v>
      </c>
      <c r="E1845" t="s">
        <v>1615</v>
      </c>
    </row>
    <row r="1846" spans="1:5" hidden="1" x14ac:dyDescent="0.25">
      <c r="A1846">
        <v>1491</v>
      </c>
      <c r="B1846" t="s">
        <v>586</v>
      </c>
      <c r="C1846" t="s">
        <v>1640</v>
      </c>
      <c r="D1846" t="str">
        <f t="shared" si="28"/>
        <v>SEGOV3918</v>
      </c>
      <c r="E1846" t="s">
        <v>1615</v>
      </c>
    </row>
    <row r="1847" spans="1:5" hidden="1" x14ac:dyDescent="0.25">
      <c r="A1847">
        <v>1491</v>
      </c>
      <c r="B1847" t="s">
        <v>586</v>
      </c>
      <c r="C1847" t="s">
        <v>1641</v>
      </c>
      <c r="D1847" t="str">
        <f t="shared" si="28"/>
        <v>SEGOV3919</v>
      </c>
      <c r="E1847" t="s">
        <v>2102</v>
      </c>
    </row>
    <row r="1848" spans="1:5" hidden="1" x14ac:dyDescent="0.25">
      <c r="A1848">
        <v>1491</v>
      </c>
      <c r="B1848" t="s">
        <v>586</v>
      </c>
      <c r="C1848" t="s">
        <v>1694</v>
      </c>
      <c r="D1848" t="str">
        <f t="shared" si="28"/>
        <v>SEGOV3920</v>
      </c>
      <c r="E1848" t="s">
        <v>1692</v>
      </c>
    </row>
    <row r="1849" spans="1:5" hidden="1" x14ac:dyDescent="0.25">
      <c r="A1849">
        <v>1491</v>
      </c>
      <c r="B1849" t="s">
        <v>586</v>
      </c>
      <c r="C1849" t="s">
        <v>1642</v>
      </c>
      <c r="D1849" t="str">
        <f t="shared" si="28"/>
        <v>SEGOV3921</v>
      </c>
      <c r="E1849" t="s">
        <v>2102</v>
      </c>
    </row>
    <row r="1850" spans="1:5" hidden="1" x14ac:dyDescent="0.25">
      <c r="A1850">
        <v>1491</v>
      </c>
      <c r="B1850" t="s">
        <v>586</v>
      </c>
      <c r="C1850" t="s">
        <v>427</v>
      </c>
      <c r="D1850" t="str">
        <f t="shared" si="28"/>
        <v>SEGOV3923</v>
      </c>
      <c r="E1850" t="s">
        <v>1623</v>
      </c>
    </row>
    <row r="1851" spans="1:5" hidden="1" x14ac:dyDescent="0.25">
      <c r="A1851">
        <v>1491</v>
      </c>
      <c r="B1851" t="s">
        <v>586</v>
      </c>
      <c r="C1851" t="s">
        <v>1644</v>
      </c>
      <c r="D1851" t="str">
        <f t="shared" si="28"/>
        <v>SEGOV3924</v>
      </c>
      <c r="E1851" t="s">
        <v>1645</v>
      </c>
    </row>
    <row r="1852" spans="1:5" hidden="1" x14ac:dyDescent="0.25">
      <c r="A1852">
        <v>1491</v>
      </c>
      <c r="B1852" t="s">
        <v>586</v>
      </c>
      <c r="C1852" t="s">
        <v>442</v>
      </c>
      <c r="D1852" t="str">
        <f t="shared" si="28"/>
        <v>SEGOV3926</v>
      </c>
      <c r="E1852" t="s">
        <v>1646</v>
      </c>
    </row>
    <row r="1853" spans="1:5" hidden="1" x14ac:dyDescent="0.25">
      <c r="A1853">
        <v>1491</v>
      </c>
      <c r="B1853" t="s">
        <v>586</v>
      </c>
      <c r="C1853" t="s">
        <v>457</v>
      </c>
      <c r="D1853" t="str">
        <f t="shared" si="28"/>
        <v>SEGOV3930</v>
      </c>
      <c r="E1853" t="s">
        <v>1646</v>
      </c>
    </row>
    <row r="1854" spans="1:5" hidden="1" x14ac:dyDescent="0.25">
      <c r="A1854">
        <v>1491</v>
      </c>
      <c r="B1854" t="s">
        <v>586</v>
      </c>
      <c r="C1854" t="s">
        <v>1650</v>
      </c>
      <c r="D1854" t="str">
        <f t="shared" si="28"/>
        <v>SEGOV3931</v>
      </c>
      <c r="E1854" t="s">
        <v>1623</v>
      </c>
    </row>
    <row r="1855" spans="1:5" hidden="1" x14ac:dyDescent="0.25">
      <c r="A1855">
        <v>1491</v>
      </c>
      <c r="B1855" t="s">
        <v>586</v>
      </c>
      <c r="C1855" t="s">
        <v>1652</v>
      </c>
      <c r="D1855" t="str">
        <f t="shared" si="28"/>
        <v>SEGOV3936</v>
      </c>
      <c r="E1855" t="s">
        <v>93</v>
      </c>
    </row>
    <row r="1856" spans="1:5" hidden="1" x14ac:dyDescent="0.25">
      <c r="A1856">
        <v>1491</v>
      </c>
      <c r="B1856" t="s">
        <v>586</v>
      </c>
      <c r="C1856" t="s">
        <v>1695</v>
      </c>
      <c r="D1856" t="str">
        <f t="shared" si="28"/>
        <v>SEGOV3937</v>
      </c>
      <c r="E1856" t="s">
        <v>1692</v>
      </c>
    </row>
    <row r="1857" spans="1:5" hidden="1" x14ac:dyDescent="0.25">
      <c r="A1857">
        <v>1491</v>
      </c>
      <c r="B1857" t="s">
        <v>586</v>
      </c>
      <c r="C1857" t="s">
        <v>1653</v>
      </c>
      <c r="D1857" t="str">
        <f t="shared" si="28"/>
        <v>SEGOV3940</v>
      </c>
      <c r="E1857" t="s">
        <v>1648</v>
      </c>
    </row>
    <row r="1858" spans="1:5" hidden="1" x14ac:dyDescent="0.25">
      <c r="A1858">
        <v>1491</v>
      </c>
      <c r="B1858" t="s">
        <v>586</v>
      </c>
      <c r="C1858" t="s">
        <v>1654</v>
      </c>
      <c r="D1858" t="str">
        <f t="shared" si="28"/>
        <v>SEGOV3943</v>
      </c>
      <c r="E1858" t="s">
        <v>1615</v>
      </c>
    </row>
    <row r="1859" spans="1:5" hidden="1" x14ac:dyDescent="0.25">
      <c r="A1859">
        <v>1491</v>
      </c>
      <c r="B1859" t="s">
        <v>586</v>
      </c>
      <c r="C1859" t="s">
        <v>491</v>
      </c>
      <c r="D1859" t="str">
        <f t="shared" si="28"/>
        <v>SEGOV3948</v>
      </c>
      <c r="E1859" t="s">
        <v>1645</v>
      </c>
    </row>
    <row r="1860" spans="1:5" hidden="1" x14ac:dyDescent="0.25">
      <c r="A1860">
        <v>1491</v>
      </c>
      <c r="B1860" t="s">
        <v>586</v>
      </c>
      <c r="C1860" t="s">
        <v>1655</v>
      </c>
      <c r="D1860" t="str">
        <f t="shared" si="28"/>
        <v>SEGOV3950</v>
      </c>
      <c r="E1860" t="s">
        <v>43</v>
      </c>
    </row>
    <row r="1861" spans="1:5" hidden="1" x14ac:dyDescent="0.25">
      <c r="A1861">
        <v>1491</v>
      </c>
      <c r="B1861" t="s">
        <v>586</v>
      </c>
      <c r="C1861" t="s">
        <v>1701</v>
      </c>
      <c r="D1861" t="str">
        <f t="shared" ref="D1861:D1924" si="29">CONCATENATE(B1861,LEFT(C1861,4))</f>
        <v>SEGOV3952</v>
      </c>
      <c r="E1861" t="s">
        <v>64</v>
      </c>
    </row>
    <row r="1862" spans="1:5" hidden="1" x14ac:dyDescent="0.25">
      <c r="A1862">
        <v>1491</v>
      </c>
      <c r="B1862" t="s">
        <v>586</v>
      </c>
      <c r="C1862" t="s">
        <v>497</v>
      </c>
      <c r="D1862" t="str">
        <f t="shared" si="29"/>
        <v>SEGOV3955</v>
      </c>
      <c r="E1862" t="s">
        <v>1783</v>
      </c>
    </row>
    <row r="1863" spans="1:5" hidden="1" x14ac:dyDescent="0.25">
      <c r="A1863">
        <v>1491</v>
      </c>
      <c r="B1863" t="s">
        <v>586</v>
      </c>
      <c r="C1863" t="s">
        <v>1657</v>
      </c>
      <c r="D1863" t="str">
        <f t="shared" si="29"/>
        <v>SEGOV3961</v>
      </c>
      <c r="E1863" t="s">
        <v>102</v>
      </c>
    </row>
    <row r="1864" spans="1:5" hidden="1" x14ac:dyDescent="0.25">
      <c r="A1864">
        <v>1491</v>
      </c>
      <c r="B1864" t="s">
        <v>586</v>
      </c>
      <c r="C1864" t="s">
        <v>510</v>
      </c>
      <c r="D1864" t="str">
        <f t="shared" si="29"/>
        <v>SEGOV3968</v>
      </c>
      <c r="E1864" t="s">
        <v>1623</v>
      </c>
    </row>
    <row r="1865" spans="1:5" hidden="1" x14ac:dyDescent="0.25">
      <c r="A1865">
        <v>1491</v>
      </c>
      <c r="B1865" t="s">
        <v>586</v>
      </c>
      <c r="C1865" t="s">
        <v>1659</v>
      </c>
      <c r="D1865" t="str">
        <f t="shared" si="29"/>
        <v>SEGOV3969</v>
      </c>
      <c r="E1865" t="s">
        <v>1637</v>
      </c>
    </row>
    <row r="1866" spans="1:5" hidden="1" x14ac:dyDescent="0.25">
      <c r="A1866">
        <v>1491</v>
      </c>
      <c r="B1866" t="s">
        <v>586</v>
      </c>
      <c r="C1866" t="s">
        <v>1660</v>
      </c>
      <c r="D1866" t="str">
        <f t="shared" si="29"/>
        <v>SEGOV3970</v>
      </c>
      <c r="E1866" t="s">
        <v>1648</v>
      </c>
    </row>
    <row r="1867" spans="1:5" hidden="1" x14ac:dyDescent="0.25">
      <c r="A1867">
        <v>1491</v>
      </c>
      <c r="B1867" t="s">
        <v>586</v>
      </c>
      <c r="C1867" t="s">
        <v>518</v>
      </c>
      <c r="D1867" t="str">
        <f t="shared" si="29"/>
        <v>SEGOV3977</v>
      </c>
      <c r="E1867" t="s">
        <v>1623</v>
      </c>
    </row>
    <row r="1868" spans="1:5" hidden="1" x14ac:dyDescent="0.25">
      <c r="A1868">
        <v>1491</v>
      </c>
      <c r="B1868" t="s">
        <v>586</v>
      </c>
      <c r="C1868" t="s">
        <v>519</v>
      </c>
      <c r="D1868" t="str">
        <f t="shared" si="29"/>
        <v>SEGOV3978</v>
      </c>
      <c r="E1868" t="s">
        <v>1630</v>
      </c>
    </row>
    <row r="1869" spans="1:5" hidden="1" x14ac:dyDescent="0.25">
      <c r="A1869">
        <v>1491</v>
      </c>
      <c r="B1869" t="s">
        <v>586</v>
      </c>
      <c r="C1869" t="s">
        <v>525</v>
      </c>
      <c r="D1869" t="str">
        <f t="shared" si="29"/>
        <v>SEGOV3986</v>
      </c>
      <c r="E1869" t="s">
        <v>1623</v>
      </c>
    </row>
    <row r="1870" spans="1:5" hidden="1" x14ac:dyDescent="0.25">
      <c r="A1870">
        <v>1491</v>
      </c>
      <c r="B1870" t="s">
        <v>586</v>
      </c>
      <c r="C1870" t="s">
        <v>1661</v>
      </c>
      <c r="D1870" t="str">
        <f t="shared" si="29"/>
        <v>SEGOV3987</v>
      </c>
      <c r="E1870" t="s">
        <v>1615</v>
      </c>
    </row>
    <row r="1871" spans="1:5" hidden="1" x14ac:dyDescent="0.25">
      <c r="A1871">
        <v>1491</v>
      </c>
      <c r="B1871" t="s">
        <v>586</v>
      </c>
      <c r="C1871" t="s">
        <v>1663</v>
      </c>
      <c r="D1871" t="str">
        <f t="shared" si="29"/>
        <v>SEGOV3999</v>
      </c>
      <c r="E1871" t="s">
        <v>1623</v>
      </c>
    </row>
    <row r="1872" spans="1:5" hidden="1" x14ac:dyDescent="0.25">
      <c r="A1872">
        <v>1491</v>
      </c>
      <c r="B1872" t="s">
        <v>586</v>
      </c>
      <c r="C1872" t="s">
        <v>1664</v>
      </c>
      <c r="D1872" t="str">
        <f t="shared" si="29"/>
        <v>SEGOV4002</v>
      </c>
      <c r="E1872" t="s">
        <v>1648</v>
      </c>
    </row>
    <row r="1873" spans="1:5" hidden="1" x14ac:dyDescent="0.25">
      <c r="A1873">
        <v>1491</v>
      </c>
      <c r="B1873" t="s">
        <v>586</v>
      </c>
      <c r="C1873" t="s">
        <v>1665</v>
      </c>
      <c r="D1873" t="str">
        <f t="shared" si="29"/>
        <v>SEGOV4003</v>
      </c>
      <c r="E1873" t="s">
        <v>93</v>
      </c>
    </row>
    <row r="1874" spans="1:5" hidden="1" x14ac:dyDescent="0.25">
      <c r="A1874">
        <v>1491</v>
      </c>
      <c r="B1874" t="s">
        <v>586</v>
      </c>
      <c r="C1874" t="s">
        <v>1666</v>
      </c>
      <c r="D1874" t="str">
        <f t="shared" si="29"/>
        <v>SEGOV4004</v>
      </c>
      <c r="E1874" t="s">
        <v>1648</v>
      </c>
    </row>
    <row r="1875" spans="1:5" hidden="1" x14ac:dyDescent="0.25">
      <c r="A1875">
        <v>1491</v>
      </c>
      <c r="B1875" t="s">
        <v>586</v>
      </c>
      <c r="C1875" t="s">
        <v>1667</v>
      </c>
      <c r="D1875" t="str">
        <f t="shared" si="29"/>
        <v>SEGOV4005</v>
      </c>
      <c r="E1875" t="s">
        <v>1648</v>
      </c>
    </row>
    <row r="1876" spans="1:5" hidden="1" x14ac:dyDescent="0.25">
      <c r="A1876">
        <v>1491</v>
      </c>
      <c r="B1876" t="s">
        <v>586</v>
      </c>
      <c r="C1876" t="s">
        <v>1698</v>
      </c>
      <c r="D1876" t="str">
        <f t="shared" si="29"/>
        <v>SEGOV4006</v>
      </c>
      <c r="E1876" t="s">
        <v>1675</v>
      </c>
    </row>
    <row r="1877" spans="1:5" hidden="1" x14ac:dyDescent="0.25">
      <c r="A1877">
        <v>1491</v>
      </c>
      <c r="B1877" t="s">
        <v>586</v>
      </c>
      <c r="C1877" t="s">
        <v>1699</v>
      </c>
      <c r="D1877" t="str">
        <f t="shared" si="29"/>
        <v>SEGOV4007</v>
      </c>
      <c r="E1877" t="s">
        <v>93</v>
      </c>
    </row>
    <row r="1878" spans="1:5" hidden="1" x14ac:dyDescent="0.25">
      <c r="A1878">
        <v>1491</v>
      </c>
      <c r="B1878" t="s">
        <v>586</v>
      </c>
      <c r="C1878" t="s">
        <v>1803</v>
      </c>
      <c r="D1878" t="str">
        <f t="shared" si="29"/>
        <v>SEGOV4109</v>
      </c>
      <c r="E1878" t="s">
        <v>1804</v>
      </c>
    </row>
    <row r="1879" spans="1:5" hidden="1" x14ac:dyDescent="0.25">
      <c r="A1879">
        <v>1491</v>
      </c>
      <c r="B1879" t="s">
        <v>586</v>
      </c>
      <c r="C1879" t="s">
        <v>1749</v>
      </c>
      <c r="D1879" t="str">
        <f t="shared" si="29"/>
        <v>SEGOV4201</v>
      </c>
      <c r="E1879" t="s">
        <v>1728</v>
      </c>
    </row>
    <row r="1880" spans="1:5" hidden="1" x14ac:dyDescent="0.25">
      <c r="A1880">
        <v>1491</v>
      </c>
      <c r="B1880" t="s">
        <v>586</v>
      </c>
      <c r="C1880" t="s">
        <v>327</v>
      </c>
      <c r="D1880" t="str">
        <f t="shared" si="29"/>
        <v>SEGOV4707</v>
      </c>
      <c r="E1880" t="s">
        <v>1669</v>
      </c>
    </row>
    <row r="1881" spans="1:5" hidden="1" x14ac:dyDescent="0.25">
      <c r="A1881">
        <v>1491</v>
      </c>
      <c r="B1881" t="s">
        <v>586</v>
      </c>
      <c r="C1881" t="s">
        <v>328</v>
      </c>
      <c r="D1881" t="str">
        <f t="shared" si="29"/>
        <v>SEGOV5206</v>
      </c>
      <c r="E1881" t="s">
        <v>1675</v>
      </c>
    </row>
    <row r="1882" spans="1:5" hidden="1" x14ac:dyDescent="0.25">
      <c r="A1882">
        <v>1491</v>
      </c>
      <c r="B1882" t="s">
        <v>586</v>
      </c>
      <c r="C1882" t="s">
        <v>1676</v>
      </c>
      <c r="D1882" t="str">
        <f t="shared" si="29"/>
        <v>SEGOV5207</v>
      </c>
      <c r="E1882" t="s">
        <v>1675</v>
      </c>
    </row>
    <row r="1883" spans="1:5" hidden="1" x14ac:dyDescent="0.25">
      <c r="A1883">
        <v>1491</v>
      </c>
      <c r="B1883" t="s">
        <v>586</v>
      </c>
      <c r="C1883" t="s">
        <v>1677</v>
      </c>
      <c r="D1883" t="str">
        <f t="shared" si="29"/>
        <v>SEGOV5208</v>
      </c>
      <c r="E1883" t="s">
        <v>1675</v>
      </c>
    </row>
    <row r="1884" spans="1:5" hidden="1" x14ac:dyDescent="0.25">
      <c r="A1884">
        <v>1491</v>
      </c>
      <c r="B1884" t="s">
        <v>586</v>
      </c>
      <c r="C1884" t="s">
        <v>1678</v>
      </c>
      <c r="D1884" t="str">
        <f t="shared" si="29"/>
        <v>SEGOV5210</v>
      </c>
      <c r="E1884" t="s">
        <v>1674</v>
      </c>
    </row>
    <row r="1885" spans="1:5" hidden="1" x14ac:dyDescent="0.25">
      <c r="A1885">
        <v>1491</v>
      </c>
      <c r="B1885" t="s">
        <v>586</v>
      </c>
      <c r="C1885" t="s">
        <v>1679</v>
      </c>
      <c r="D1885" t="str">
        <f t="shared" si="29"/>
        <v>SEGOV5212</v>
      </c>
      <c r="E1885" t="s">
        <v>1674</v>
      </c>
    </row>
    <row r="1886" spans="1:5" hidden="1" x14ac:dyDescent="0.25">
      <c r="A1886">
        <v>1491</v>
      </c>
      <c r="B1886" t="s">
        <v>586</v>
      </c>
      <c r="C1886" t="s">
        <v>390</v>
      </c>
      <c r="D1886" t="str">
        <f t="shared" si="29"/>
        <v>SEGOV5214</v>
      </c>
      <c r="E1886" t="s">
        <v>1674</v>
      </c>
    </row>
    <row r="1887" spans="1:5" hidden="1" x14ac:dyDescent="0.25">
      <c r="A1887">
        <v>1491</v>
      </c>
      <c r="B1887" t="s">
        <v>586</v>
      </c>
      <c r="C1887" t="s">
        <v>408</v>
      </c>
      <c r="D1887" t="str">
        <f t="shared" si="29"/>
        <v>SEGOV5217</v>
      </c>
      <c r="E1887" t="s">
        <v>1680</v>
      </c>
    </row>
    <row r="1888" spans="1:5" hidden="1" x14ac:dyDescent="0.25">
      <c r="A1888">
        <v>1491</v>
      </c>
      <c r="B1888" t="s">
        <v>586</v>
      </c>
      <c r="C1888" t="s">
        <v>1684</v>
      </c>
      <c r="D1888" t="str">
        <f t="shared" si="29"/>
        <v>SEGOV9202</v>
      </c>
      <c r="E1888" t="s">
        <v>1685</v>
      </c>
    </row>
    <row r="1889" spans="1:5" hidden="1" x14ac:dyDescent="0.25">
      <c r="A1889">
        <v>1491</v>
      </c>
      <c r="B1889" t="s">
        <v>586</v>
      </c>
      <c r="C1889" t="s">
        <v>249</v>
      </c>
      <c r="D1889" t="str">
        <f t="shared" si="29"/>
        <v>SEGOV9301</v>
      </c>
      <c r="E1889" t="s">
        <v>1623</v>
      </c>
    </row>
    <row r="1890" spans="1:5" hidden="1" x14ac:dyDescent="0.25">
      <c r="A1890">
        <v>1491</v>
      </c>
      <c r="B1890" t="s">
        <v>586</v>
      </c>
      <c r="C1890" t="s">
        <v>330</v>
      </c>
      <c r="D1890" t="str">
        <f t="shared" si="29"/>
        <v>SEGOV9306</v>
      </c>
      <c r="E1890" t="s">
        <v>1686</v>
      </c>
    </row>
    <row r="1891" spans="1:5" hidden="1" x14ac:dyDescent="0.25">
      <c r="A1891">
        <v>1491</v>
      </c>
      <c r="B1891" t="s">
        <v>586</v>
      </c>
      <c r="C1891" t="s">
        <v>1687</v>
      </c>
      <c r="D1891" t="str">
        <f t="shared" si="29"/>
        <v>SEGOV9399</v>
      </c>
      <c r="E1891" t="s">
        <v>1623</v>
      </c>
    </row>
    <row r="1892" spans="1:5" hidden="1" x14ac:dyDescent="0.25">
      <c r="A1892">
        <v>1501</v>
      </c>
      <c r="B1892" t="s">
        <v>590</v>
      </c>
      <c r="C1892" t="s">
        <v>1737</v>
      </c>
      <c r="D1892" t="str">
        <f t="shared" si="29"/>
        <v>SEPLAG1307</v>
      </c>
      <c r="E1892" t="s">
        <v>1689</v>
      </c>
    </row>
    <row r="1893" spans="1:5" hidden="1" x14ac:dyDescent="0.25">
      <c r="A1893">
        <v>1501</v>
      </c>
      <c r="B1893" t="s">
        <v>590</v>
      </c>
      <c r="C1893" t="s">
        <v>1597</v>
      </c>
      <c r="D1893" t="str">
        <f t="shared" si="29"/>
        <v>SEPLAG1401</v>
      </c>
      <c r="E1893" t="s">
        <v>43</v>
      </c>
    </row>
    <row r="1894" spans="1:5" hidden="1" x14ac:dyDescent="0.25">
      <c r="A1894">
        <v>1501</v>
      </c>
      <c r="B1894" t="s">
        <v>590</v>
      </c>
      <c r="C1894" t="s">
        <v>1599</v>
      </c>
      <c r="D1894" t="str">
        <f t="shared" si="29"/>
        <v>SEPLAG3001</v>
      </c>
      <c r="E1894" t="s">
        <v>1600</v>
      </c>
    </row>
    <row r="1895" spans="1:5" hidden="1" x14ac:dyDescent="0.25">
      <c r="A1895">
        <v>1501</v>
      </c>
      <c r="B1895" t="s">
        <v>590</v>
      </c>
      <c r="C1895" t="s">
        <v>1601</v>
      </c>
      <c r="D1895" t="str">
        <f t="shared" si="29"/>
        <v>SEPLAG3003</v>
      </c>
      <c r="E1895" t="s">
        <v>1600</v>
      </c>
    </row>
    <row r="1896" spans="1:5" hidden="1" x14ac:dyDescent="0.25">
      <c r="A1896">
        <v>1501</v>
      </c>
      <c r="B1896" t="s">
        <v>590</v>
      </c>
      <c r="C1896" t="s">
        <v>1602</v>
      </c>
      <c r="D1896" t="str">
        <f t="shared" si="29"/>
        <v>SEPLAG3004</v>
      </c>
      <c r="E1896" t="s">
        <v>1600</v>
      </c>
    </row>
    <row r="1897" spans="1:5" hidden="1" x14ac:dyDescent="0.25">
      <c r="A1897">
        <v>1501</v>
      </c>
      <c r="B1897" t="s">
        <v>590</v>
      </c>
      <c r="C1897" t="s">
        <v>1603</v>
      </c>
      <c r="D1897" t="str">
        <f t="shared" si="29"/>
        <v>SEPLAG3005</v>
      </c>
      <c r="E1897" t="s">
        <v>1600</v>
      </c>
    </row>
    <row r="1898" spans="1:5" hidden="1" x14ac:dyDescent="0.25">
      <c r="A1898">
        <v>1501</v>
      </c>
      <c r="B1898" t="s">
        <v>590</v>
      </c>
      <c r="C1898" t="s">
        <v>322</v>
      </c>
      <c r="D1898" t="str">
        <f t="shared" si="29"/>
        <v>SEPLAG3006</v>
      </c>
      <c r="E1898" t="s">
        <v>1600</v>
      </c>
    </row>
    <row r="1899" spans="1:5" hidden="1" x14ac:dyDescent="0.25">
      <c r="A1899">
        <v>1501</v>
      </c>
      <c r="B1899" t="s">
        <v>590</v>
      </c>
      <c r="C1899" t="s">
        <v>1604</v>
      </c>
      <c r="D1899" t="str">
        <f t="shared" si="29"/>
        <v>SEPLAG3008</v>
      </c>
      <c r="E1899" t="s">
        <v>1600</v>
      </c>
    </row>
    <row r="1900" spans="1:5" hidden="1" x14ac:dyDescent="0.25">
      <c r="A1900">
        <v>1501</v>
      </c>
      <c r="B1900" t="s">
        <v>590</v>
      </c>
      <c r="C1900" t="s">
        <v>1605</v>
      </c>
      <c r="D1900" t="str">
        <f t="shared" si="29"/>
        <v>SEPLAG3010</v>
      </c>
      <c r="E1900" t="s">
        <v>1606</v>
      </c>
    </row>
    <row r="1901" spans="1:5" hidden="1" x14ac:dyDescent="0.25">
      <c r="A1901">
        <v>1501</v>
      </c>
      <c r="B1901" t="s">
        <v>590</v>
      </c>
      <c r="C1901" t="s">
        <v>137</v>
      </c>
      <c r="D1901" t="str">
        <f t="shared" si="29"/>
        <v>SEPLAG3012</v>
      </c>
      <c r="E1901" t="s">
        <v>1606</v>
      </c>
    </row>
    <row r="1902" spans="1:5" hidden="1" x14ac:dyDescent="0.25">
      <c r="A1902">
        <v>1501</v>
      </c>
      <c r="B1902" t="s">
        <v>590</v>
      </c>
      <c r="C1902" t="s">
        <v>1607</v>
      </c>
      <c r="D1902" t="str">
        <f t="shared" si="29"/>
        <v>SEPLAG3013</v>
      </c>
      <c r="E1902" t="s">
        <v>1600</v>
      </c>
    </row>
    <row r="1903" spans="1:5" hidden="1" x14ac:dyDescent="0.25">
      <c r="A1903">
        <v>1501</v>
      </c>
      <c r="B1903" t="s">
        <v>590</v>
      </c>
      <c r="C1903" t="s">
        <v>1608</v>
      </c>
      <c r="D1903" t="str">
        <f t="shared" si="29"/>
        <v>SEPLAG3015</v>
      </c>
      <c r="E1903" t="s">
        <v>1600</v>
      </c>
    </row>
    <row r="1904" spans="1:5" hidden="1" x14ac:dyDescent="0.25">
      <c r="A1904">
        <v>1501</v>
      </c>
      <c r="B1904" t="s">
        <v>590</v>
      </c>
      <c r="C1904" t="s">
        <v>1609</v>
      </c>
      <c r="D1904" t="str">
        <f t="shared" si="29"/>
        <v>SEPLAG3016</v>
      </c>
      <c r="E1904" t="s">
        <v>1600</v>
      </c>
    </row>
    <row r="1905" spans="1:5" hidden="1" x14ac:dyDescent="0.25">
      <c r="A1905">
        <v>1501</v>
      </c>
      <c r="B1905" t="s">
        <v>590</v>
      </c>
      <c r="C1905" t="s">
        <v>405</v>
      </c>
      <c r="D1905" t="str">
        <f t="shared" si="29"/>
        <v>SEPLAG3017</v>
      </c>
      <c r="E1905" t="s">
        <v>1600</v>
      </c>
    </row>
    <row r="1906" spans="1:5" hidden="1" x14ac:dyDescent="0.25">
      <c r="A1906">
        <v>1501</v>
      </c>
      <c r="B1906" t="s">
        <v>590</v>
      </c>
      <c r="C1906" t="s">
        <v>410</v>
      </c>
      <c r="D1906" t="str">
        <f t="shared" si="29"/>
        <v>SEPLAG3018</v>
      </c>
      <c r="E1906" t="s">
        <v>1600</v>
      </c>
    </row>
    <row r="1907" spans="1:5" hidden="1" x14ac:dyDescent="0.25">
      <c r="A1907">
        <v>1501</v>
      </c>
      <c r="B1907" t="s">
        <v>590</v>
      </c>
      <c r="C1907" t="s">
        <v>1610</v>
      </c>
      <c r="D1907" t="str">
        <f t="shared" si="29"/>
        <v>SEPLAG3019</v>
      </c>
      <c r="E1907" t="s">
        <v>1611</v>
      </c>
    </row>
    <row r="1908" spans="1:5" hidden="1" x14ac:dyDescent="0.25">
      <c r="A1908">
        <v>1501</v>
      </c>
      <c r="B1908" t="s">
        <v>590</v>
      </c>
      <c r="C1908" t="s">
        <v>1612</v>
      </c>
      <c r="D1908" t="str">
        <f t="shared" si="29"/>
        <v>SEPLAG3020</v>
      </c>
      <c r="E1908" t="s">
        <v>1600</v>
      </c>
    </row>
    <row r="1909" spans="1:5" hidden="1" x14ac:dyDescent="0.25">
      <c r="A1909">
        <v>1501</v>
      </c>
      <c r="B1909" t="s">
        <v>590</v>
      </c>
      <c r="C1909" t="s">
        <v>1613</v>
      </c>
      <c r="D1909" t="str">
        <f t="shared" si="29"/>
        <v>SEPLAG3021</v>
      </c>
      <c r="E1909" t="s">
        <v>1600</v>
      </c>
    </row>
    <row r="1910" spans="1:5" hidden="1" x14ac:dyDescent="0.25">
      <c r="A1910">
        <v>1501</v>
      </c>
      <c r="B1910" t="s">
        <v>590</v>
      </c>
      <c r="C1910" t="s">
        <v>430</v>
      </c>
      <c r="D1910" t="str">
        <f t="shared" si="29"/>
        <v>SEPLAG3022</v>
      </c>
      <c r="E1910" t="s">
        <v>1600</v>
      </c>
    </row>
    <row r="1911" spans="1:5" hidden="1" x14ac:dyDescent="0.25">
      <c r="A1911">
        <v>1501</v>
      </c>
      <c r="B1911" t="s">
        <v>590</v>
      </c>
      <c r="C1911" t="s">
        <v>1614</v>
      </c>
      <c r="D1911" t="str">
        <f t="shared" si="29"/>
        <v>SEPLAG3023</v>
      </c>
      <c r="E1911" t="s">
        <v>1615</v>
      </c>
    </row>
    <row r="1912" spans="1:5" hidden="1" x14ac:dyDescent="0.25">
      <c r="A1912">
        <v>1501</v>
      </c>
      <c r="B1912" t="s">
        <v>590</v>
      </c>
      <c r="C1912" t="s">
        <v>440</v>
      </c>
      <c r="D1912" t="str">
        <f t="shared" si="29"/>
        <v>SEPLAG3024</v>
      </c>
      <c r="E1912" t="s">
        <v>1600</v>
      </c>
    </row>
    <row r="1913" spans="1:5" hidden="1" x14ac:dyDescent="0.25">
      <c r="A1913">
        <v>1501</v>
      </c>
      <c r="B1913" t="s">
        <v>590</v>
      </c>
      <c r="C1913" t="s">
        <v>1616</v>
      </c>
      <c r="D1913" t="str">
        <f t="shared" si="29"/>
        <v>SEPLAG3025</v>
      </c>
      <c r="E1913" t="s">
        <v>1600</v>
      </c>
    </row>
    <row r="1914" spans="1:5" hidden="1" x14ac:dyDescent="0.25">
      <c r="A1914">
        <v>1501</v>
      </c>
      <c r="B1914" t="s">
        <v>590</v>
      </c>
      <c r="C1914" t="s">
        <v>1617</v>
      </c>
      <c r="D1914" t="str">
        <f t="shared" si="29"/>
        <v>SEPLAG3026</v>
      </c>
      <c r="E1914" t="s">
        <v>1615</v>
      </c>
    </row>
    <row r="1915" spans="1:5" hidden="1" x14ac:dyDescent="0.25">
      <c r="A1915">
        <v>1501</v>
      </c>
      <c r="B1915" t="s">
        <v>590</v>
      </c>
      <c r="C1915" t="s">
        <v>1618</v>
      </c>
      <c r="D1915" t="str">
        <f t="shared" si="29"/>
        <v>SEPLAG3027</v>
      </c>
      <c r="E1915" t="s">
        <v>1600</v>
      </c>
    </row>
    <row r="1916" spans="1:5" hidden="1" x14ac:dyDescent="0.25">
      <c r="A1916">
        <v>1501</v>
      </c>
      <c r="B1916" t="s">
        <v>590</v>
      </c>
      <c r="C1916" t="s">
        <v>1702</v>
      </c>
      <c r="D1916" t="str">
        <f t="shared" si="29"/>
        <v>SEPLAG3029</v>
      </c>
      <c r="E1916" t="s">
        <v>1600</v>
      </c>
    </row>
    <row r="1917" spans="1:5" hidden="1" x14ac:dyDescent="0.25">
      <c r="A1917">
        <v>1501</v>
      </c>
      <c r="B1917" t="s">
        <v>590</v>
      </c>
      <c r="C1917" t="s">
        <v>466</v>
      </c>
      <c r="D1917" t="str">
        <f t="shared" si="29"/>
        <v>SEPLAG3030</v>
      </c>
      <c r="E1917" t="s">
        <v>1600</v>
      </c>
    </row>
    <row r="1918" spans="1:5" hidden="1" x14ac:dyDescent="0.25">
      <c r="A1918">
        <v>1501</v>
      </c>
      <c r="B1918" t="s">
        <v>590</v>
      </c>
      <c r="C1918" t="s">
        <v>486</v>
      </c>
      <c r="D1918" t="str">
        <f t="shared" si="29"/>
        <v>SEPLAG3040</v>
      </c>
      <c r="E1918" t="s">
        <v>1600</v>
      </c>
    </row>
    <row r="1919" spans="1:5" hidden="1" x14ac:dyDescent="0.25">
      <c r="A1919">
        <v>1501</v>
      </c>
      <c r="B1919" t="s">
        <v>590</v>
      </c>
      <c r="C1919" t="s">
        <v>1703</v>
      </c>
      <c r="D1919" t="str">
        <f t="shared" si="29"/>
        <v>SEPLAG3041</v>
      </c>
      <c r="E1919" t="s">
        <v>1600</v>
      </c>
    </row>
    <row r="1920" spans="1:5" hidden="1" x14ac:dyDescent="0.25">
      <c r="A1920">
        <v>1501</v>
      </c>
      <c r="B1920" t="s">
        <v>590</v>
      </c>
      <c r="C1920" t="s">
        <v>490</v>
      </c>
      <c r="D1920" t="str">
        <f t="shared" si="29"/>
        <v>SEPLAG3099</v>
      </c>
      <c r="E1920" t="s">
        <v>1600</v>
      </c>
    </row>
    <row r="1921" spans="1:5" hidden="1" x14ac:dyDescent="0.25">
      <c r="A1921">
        <v>1501</v>
      </c>
      <c r="B1921" t="s">
        <v>590</v>
      </c>
      <c r="C1921" t="s">
        <v>1622</v>
      </c>
      <c r="D1921" t="str">
        <f t="shared" si="29"/>
        <v>SEPLAG3101</v>
      </c>
      <c r="E1921" t="s">
        <v>1623</v>
      </c>
    </row>
    <row r="1922" spans="1:5" hidden="1" x14ac:dyDescent="0.25">
      <c r="A1922">
        <v>1501</v>
      </c>
      <c r="B1922" t="s">
        <v>590</v>
      </c>
      <c r="C1922" t="s">
        <v>293</v>
      </c>
      <c r="D1922" t="str">
        <f t="shared" si="29"/>
        <v>SEPLAG3104</v>
      </c>
      <c r="E1922" t="s">
        <v>1623</v>
      </c>
    </row>
    <row r="1923" spans="1:5" hidden="1" x14ac:dyDescent="0.25">
      <c r="A1923">
        <v>1501</v>
      </c>
      <c r="B1923" t="s">
        <v>590</v>
      </c>
      <c r="C1923" t="s">
        <v>53</v>
      </c>
      <c r="D1923" t="str">
        <f t="shared" si="29"/>
        <v>SEPLAG3301</v>
      </c>
      <c r="E1923" t="s">
        <v>43</v>
      </c>
    </row>
    <row r="1924" spans="1:5" hidden="1" x14ac:dyDescent="0.25">
      <c r="A1924">
        <v>1501</v>
      </c>
      <c r="B1924" t="s">
        <v>590</v>
      </c>
      <c r="C1924" t="s">
        <v>1626</v>
      </c>
      <c r="D1924" t="str">
        <f t="shared" si="29"/>
        <v>SEPLAG3302</v>
      </c>
      <c r="E1924" t="s">
        <v>43</v>
      </c>
    </row>
    <row r="1925" spans="1:5" hidden="1" x14ac:dyDescent="0.25">
      <c r="A1925">
        <v>1501</v>
      </c>
      <c r="B1925" t="s">
        <v>590</v>
      </c>
      <c r="C1925" t="s">
        <v>1627</v>
      </c>
      <c r="D1925" t="str">
        <f t="shared" ref="D1925:D1988" si="30">CONCATENATE(B1925,LEFT(C1925,4))</f>
        <v>SEPLAG3304</v>
      </c>
      <c r="E1925" t="s">
        <v>43</v>
      </c>
    </row>
    <row r="1926" spans="1:5" hidden="1" x14ac:dyDescent="0.25">
      <c r="A1926">
        <v>1501</v>
      </c>
      <c r="B1926" t="s">
        <v>590</v>
      </c>
      <c r="C1926" t="s">
        <v>308</v>
      </c>
      <c r="D1926" t="str">
        <f t="shared" si="30"/>
        <v>SEPLAG3305</v>
      </c>
      <c r="E1926" t="s">
        <v>1623</v>
      </c>
    </row>
    <row r="1927" spans="1:5" hidden="1" x14ac:dyDescent="0.25">
      <c r="A1927">
        <v>1501</v>
      </c>
      <c r="B1927" t="s">
        <v>590</v>
      </c>
      <c r="C1927" t="s">
        <v>227</v>
      </c>
      <c r="D1927" t="str">
        <f t="shared" si="30"/>
        <v>SEPLAG3401</v>
      </c>
      <c r="E1927" t="s">
        <v>1739</v>
      </c>
    </row>
    <row r="1928" spans="1:5" hidden="1" x14ac:dyDescent="0.25">
      <c r="A1928">
        <v>1501</v>
      </c>
      <c r="B1928" t="s">
        <v>590</v>
      </c>
      <c r="C1928" t="s">
        <v>279</v>
      </c>
      <c r="D1928" t="str">
        <f t="shared" si="30"/>
        <v>SEPLAG3403</v>
      </c>
      <c r="E1928" t="s">
        <v>1689</v>
      </c>
    </row>
    <row r="1929" spans="1:5" hidden="1" x14ac:dyDescent="0.25">
      <c r="A1929">
        <v>1501</v>
      </c>
      <c r="B1929" t="s">
        <v>590</v>
      </c>
      <c r="C1929" t="s">
        <v>295</v>
      </c>
      <c r="D1929" t="str">
        <f t="shared" si="30"/>
        <v>SEPLAG3404</v>
      </c>
      <c r="E1929" t="s">
        <v>1689</v>
      </c>
    </row>
    <row r="1930" spans="1:5" hidden="1" x14ac:dyDescent="0.25">
      <c r="A1930">
        <v>1501</v>
      </c>
      <c r="B1930" t="s">
        <v>590</v>
      </c>
      <c r="C1930" t="s">
        <v>1705</v>
      </c>
      <c r="D1930" t="str">
        <f t="shared" si="30"/>
        <v>SEPLAG3502</v>
      </c>
      <c r="E1930" t="s">
        <v>1706</v>
      </c>
    </row>
    <row r="1931" spans="1:5" hidden="1" x14ac:dyDescent="0.25">
      <c r="A1931">
        <v>1501</v>
      </c>
      <c r="B1931" t="s">
        <v>590</v>
      </c>
      <c r="C1931" t="s">
        <v>1690</v>
      </c>
      <c r="D1931" t="str">
        <f t="shared" si="30"/>
        <v>SEPLAG3601</v>
      </c>
      <c r="E1931" t="s">
        <v>64</v>
      </c>
    </row>
    <row r="1932" spans="1:5" hidden="1" x14ac:dyDescent="0.25">
      <c r="A1932">
        <v>1501</v>
      </c>
      <c r="B1932" t="s">
        <v>590</v>
      </c>
      <c r="C1932" t="s">
        <v>296</v>
      </c>
      <c r="D1932" t="str">
        <f t="shared" si="30"/>
        <v>SEPLAG3604</v>
      </c>
      <c r="E1932" t="s">
        <v>43</v>
      </c>
    </row>
    <row r="1933" spans="1:5" hidden="1" x14ac:dyDescent="0.25">
      <c r="A1933">
        <v>1501</v>
      </c>
      <c r="B1933" t="s">
        <v>590</v>
      </c>
      <c r="C1933" t="s">
        <v>354</v>
      </c>
      <c r="D1933" t="str">
        <f t="shared" si="30"/>
        <v>SEPLAG3610</v>
      </c>
      <c r="E1933" t="s">
        <v>1623</v>
      </c>
    </row>
    <row r="1934" spans="1:5" hidden="1" x14ac:dyDescent="0.25">
      <c r="A1934">
        <v>1501</v>
      </c>
      <c r="B1934" t="s">
        <v>590</v>
      </c>
      <c r="C1934" t="s">
        <v>1707</v>
      </c>
      <c r="D1934" t="str">
        <f t="shared" si="30"/>
        <v>SEPLAG3611</v>
      </c>
      <c r="E1934" t="s">
        <v>1692</v>
      </c>
    </row>
    <row r="1935" spans="1:5" hidden="1" x14ac:dyDescent="0.25">
      <c r="A1935">
        <v>1501</v>
      </c>
      <c r="B1935" t="s">
        <v>590</v>
      </c>
      <c r="C1935" t="s">
        <v>1628</v>
      </c>
      <c r="D1935" t="str">
        <f t="shared" si="30"/>
        <v>SEPLAG3612</v>
      </c>
      <c r="E1935" t="s">
        <v>1623</v>
      </c>
    </row>
    <row r="1936" spans="1:5" hidden="1" x14ac:dyDescent="0.25">
      <c r="A1936">
        <v>1501</v>
      </c>
      <c r="B1936" t="s">
        <v>590</v>
      </c>
      <c r="C1936" t="s">
        <v>400</v>
      </c>
      <c r="D1936" t="str">
        <f t="shared" si="30"/>
        <v>SEPLAG3617</v>
      </c>
      <c r="E1936" t="s">
        <v>1623</v>
      </c>
    </row>
    <row r="1937" spans="1:5" hidden="1" x14ac:dyDescent="0.25">
      <c r="A1937">
        <v>1501</v>
      </c>
      <c r="B1937" t="s">
        <v>590</v>
      </c>
      <c r="C1937" t="s">
        <v>1629</v>
      </c>
      <c r="D1937" t="str">
        <f t="shared" si="30"/>
        <v>SEPLAG3701</v>
      </c>
      <c r="E1937" t="s">
        <v>102</v>
      </c>
    </row>
    <row r="1938" spans="1:5" hidden="1" x14ac:dyDescent="0.25">
      <c r="A1938">
        <v>1501</v>
      </c>
      <c r="B1938" t="s">
        <v>590</v>
      </c>
      <c r="C1938" t="s">
        <v>1693</v>
      </c>
      <c r="D1938" t="str">
        <f t="shared" si="30"/>
        <v>SEPLAG3702</v>
      </c>
      <c r="E1938" t="s">
        <v>1630</v>
      </c>
    </row>
    <row r="1939" spans="1:5" hidden="1" x14ac:dyDescent="0.25">
      <c r="A1939">
        <v>1501</v>
      </c>
      <c r="B1939" t="s">
        <v>590</v>
      </c>
      <c r="C1939" t="s">
        <v>1631</v>
      </c>
      <c r="D1939" t="str">
        <f t="shared" si="30"/>
        <v>SEPLAG3703</v>
      </c>
      <c r="E1939" t="s">
        <v>116</v>
      </c>
    </row>
    <row r="1940" spans="1:5" hidden="1" x14ac:dyDescent="0.25">
      <c r="A1940">
        <v>1501</v>
      </c>
      <c r="B1940" t="s">
        <v>590</v>
      </c>
      <c r="C1940" t="s">
        <v>1632</v>
      </c>
      <c r="D1940" t="str">
        <f t="shared" si="30"/>
        <v>SEPLAG3704</v>
      </c>
      <c r="E1940" t="s">
        <v>116</v>
      </c>
    </row>
    <row r="1941" spans="1:5" hidden="1" x14ac:dyDescent="0.25">
      <c r="A1941">
        <v>1501</v>
      </c>
      <c r="B1941" t="s">
        <v>590</v>
      </c>
      <c r="C1941" t="s">
        <v>1633</v>
      </c>
      <c r="D1941" t="str">
        <f t="shared" si="30"/>
        <v>SEPLAG3705</v>
      </c>
      <c r="E1941" t="s">
        <v>116</v>
      </c>
    </row>
    <row r="1942" spans="1:5" hidden="1" x14ac:dyDescent="0.25">
      <c r="A1942">
        <v>1501</v>
      </c>
      <c r="B1942" t="s">
        <v>590</v>
      </c>
      <c r="C1942" t="s">
        <v>1634</v>
      </c>
      <c r="D1942" t="str">
        <f t="shared" si="30"/>
        <v>SEPLAG3903</v>
      </c>
      <c r="E1942" t="s">
        <v>1623</v>
      </c>
    </row>
    <row r="1943" spans="1:5" hidden="1" x14ac:dyDescent="0.25">
      <c r="A1943">
        <v>1501</v>
      </c>
      <c r="B1943" t="s">
        <v>590</v>
      </c>
      <c r="C1943" t="s">
        <v>298</v>
      </c>
      <c r="D1943" t="str">
        <f t="shared" si="30"/>
        <v>SEPLAG3904</v>
      </c>
      <c r="E1943" t="s">
        <v>1623</v>
      </c>
    </row>
    <row r="1944" spans="1:5" hidden="1" x14ac:dyDescent="0.25">
      <c r="A1944">
        <v>1501</v>
      </c>
      <c r="B1944" t="s">
        <v>590</v>
      </c>
      <c r="C1944" t="s">
        <v>325</v>
      </c>
      <c r="D1944" t="str">
        <f t="shared" si="30"/>
        <v>SEPLAG3906</v>
      </c>
      <c r="E1944" t="s">
        <v>1623</v>
      </c>
    </row>
    <row r="1945" spans="1:5" hidden="1" x14ac:dyDescent="0.25">
      <c r="A1945">
        <v>1501</v>
      </c>
      <c r="B1945" t="s">
        <v>590</v>
      </c>
      <c r="C1945" t="s">
        <v>1635</v>
      </c>
      <c r="D1945" t="str">
        <f t="shared" si="30"/>
        <v>SEPLAG3908</v>
      </c>
      <c r="E1945" t="s">
        <v>1623</v>
      </c>
    </row>
    <row r="1946" spans="1:5" hidden="1" x14ac:dyDescent="0.25">
      <c r="A1946">
        <v>1501</v>
      </c>
      <c r="B1946" t="s">
        <v>590</v>
      </c>
      <c r="C1946" t="s">
        <v>345</v>
      </c>
      <c r="D1946" t="str">
        <f t="shared" si="30"/>
        <v>SEPLAG3910</v>
      </c>
      <c r="E1946" t="s">
        <v>1623</v>
      </c>
    </row>
    <row r="1947" spans="1:5" hidden="1" x14ac:dyDescent="0.25">
      <c r="A1947">
        <v>1501</v>
      </c>
      <c r="B1947" t="s">
        <v>590</v>
      </c>
      <c r="C1947" t="s">
        <v>355</v>
      </c>
      <c r="D1947" t="str">
        <f t="shared" si="30"/>
        <v>SEPLAG3911</v>
      </c>
      <c r="E1947" t="s">
        <v>1623</v>
      </c>
    </row>
    <row r="1948" spans="1:5" hidden="1" x14ac:dyDescent="0.25">
      <c r="A1948">
        <v>1501</v>
      </c>
      <c r="B1948" t="s">
        <v>590</v>
      </c>
      <c r="C1948" t="s">
        <v>1636</v>
      </c>
      <c r="D1948" t="str">
        <f t="shared" si="30"/>
        <v>SEPLAG3912</v>
      </c>
      <c r="E1948" t="s">
        <v>1637</v>
      </c>
    </row>
    <row r="1949" spans="1:5" hidden="1" x14ac:dyDescent="0.25">
      <c r="A1949">
        <v>1501</v>
      </c>
      <c r="B1949" t="s">
        <v>590</v>
      </c>
      <c r="C1949" t="s">
        <v>1638</v>
      </c>
      <c r="D1949" t="str">
        <f t="shared" si="30"/>
        <v>SEPLAG3913</v>
      </c>
      <c r="E1949" t="s">
        <v>1637</v>
      </c>
    </row>
    <row r="1950" spans="1:5" hidden="1" x14ac:dyDescent="0.25">
      <c r="A1950">
        <v>1501</v>
      </c>
      <c r="B1950" t="s">
        <v>590</v>
      </c>
      <c r="C1950" t="s">
        <v>376</v>
      </c>
      <c r="D1950" t="str">
        <f t="shared" si="30"/>
        <v>SEPLAG3914</v>
      </c>
      <c r="E1950" t="s">
        <v>1648</v>
      </c>
    </row>
    <row r="1951" spans="1:5" hidden="1" x14ac:dyDescent="0.25">
      <c r="A1951">
        <v>1501</v>
      </c>
      <c r="B1951" t="s">
        <v>590</v>
      </c>
      <c r="C1951" t="s">
        <v>383</v>
      </c>
      <c r="D1951" t="str">
        <f t="shared" si="30"/>
        <v>SEPLAG3915</v>
      </c>
      <c r="E1951" t="s">
        <v>1637</v>
      </c>
    </row>
    <row r="1952" spans="1:5" hidden="1" x14ac:dyDescent="0.25">
      <c r="A1952">
        <v>1501</v>
      </c>
      <c r="B1952" t="s">
        <v>590</v>
      </c>
      <c r="C1952" t="s">
        <v>389</v>
      </c>
      <c r="D1952" t="str">
        <f t="shared" si="30"/>
        <v>SEPLAG3916</v>
      </c>
      <c r="E1952" t="s">
        <v>1623</v>
      </c>
    </row>
    <row r="1953" spans="1:5" hidden="1" x14ac:dyDescent="0.25">
      <c r="A1953">
        <v>1501</v>
      </c>
      <c r="B1953" t="s">
        <v>590</v>
      </c>
      <c r="C1953" t="s">
        <v>1639</v>
      </c>
      <c r="D1953" t="str">
        <f t="shared" si="30"/>
        <v>SEPLAG3917</v>
      </c>
      <c r="E1953" t="s">
        <v>1615</v>
      </c>
    </row>
    <row r="1954" spans="1:5" hidden="1" x14ac:dyDescent="0.25">
      <c r="A1954">
        <v>1501</v>
      </c>
      <c r="B1954" t="s">
        <v>590</v>
      </c>
      <c r="C1954" t="s">
        <v>1640</v>
      </c>
      <c r="D1954" t="str">
        <f t="shared" si="30"/>
        <v>SEPLAG3918</v>
      </c>
      <c r="E1954" t="s">
        <v>1615</v>
      </c>
    </row>
    <row r="1955" spans="1:5" hidden="1" x14ac:dyDescent="0.25">
      <c r="A1955">
        <v>1501</v>
      </c>
      <c r="B1955" t="s">
        <v>590</v>
      </c>
      <c r="C1955" t="s">
        <v>1641</v>
      </c>
      <c r="D1955" t="str">
        <f t="shared" si="30"/>
        <v>SEPLAG3919</v>
      </c>
      <c r="E1955" t="s">
        <v>2102</v>
      </c>
    </row>
    <row r="1956" spans="1:5" hidden="1" x14ac:dyDescent="0.25">
      <c r="A1956">
        <v>1501</v>
      </c>
      <c r="B1956" t="s">
        <v>590</v>
      </c>
      <c r="C1956" t="s">
        <v>1694</v>
      </c>
      <c r="D1956" t="str">
        <f t="shared" si="30"/>
        <v>SEPLAG3920</v>
      </c>
      <c r="E1956" t="s">
        <v>1692</v>
      </c>
    </row>
    <row r="1957" spans="1:5" hidden="1" x14ac:dyDescent="0.25">
      <c r="A1957">
        <v>1501</v>
      </c>
      <c r="B1957" t="s">
        <v>590</v>
      </c>
      <c r="C1957" t="s">
        <v>1642</v>
      </c>
      <c r="D1957" t="str">
        <f t="shared" si="30"/>
        <v>SEPLAG3921</v>
      </c>
      <c r="E1957" t="s">
        <v>2102</v>
      </c>
    </row>
    <row r="1958" spans="1:5" hidden="1" x14ac:dyDescent="0.25">
      <c r="A1958">
        <v>1501</v>
      </c>
      <c r="B1958" t="s">
        <v>590</v>
      </c>
      <c r="C1958" t="s">
        <v>1643</v>
      </c>
      <c r="D1958" t="str">
        <f t="shared" si="30"/>
        <v>SEPLAG3922</v>
      </c>
      <c r="E1958" t="s">
        <v>1611</v>
      </c>
    </row>
    <row r="1959" spans="1:5" hidden="1" x14ac:dyDescent="0.25">
      <c r="A1959">
        <v>1501</v>
      </c>
      <c r="B1959" t="s">
        <v>590</v>
      </c>
      <c r="C1959" t="s">
        <v>1644</v>
      </c>
      <c r="D1959" t="str">
        <f t="shared" si="30"/>
        <v>SEPLAG3924</v>
      </c>
      <c r="E1959" t="s">
        <v>1645</v>
      </c>
    </row>
    <row r="1960" spans="1:5" hidden="1" x14ac:dyDescent="0.25">
      <c r="A1960">
        <v>1501</v>
      </c>
      <c r="B1960" t="s">
        <v>590</v>
      </c>
      <c r="C1960" t="s">
        <v>442</v>
      </c>
      <c r="D1960" t="str">
        <f t="shared" si="30"/>
        <v>SEPLAG3926</v>
      </c>
      <c r="E1960" t="s">
        <v>1646</v>
      </c>
    </row>
    <row r="1961" spans="1:5" hidden="1" x14ac:dyDescent="0.25">
      <c r="A1961">
        <v>1501</v>
      </c>
      <c r="B1961" t="s">
        <v>590</v>
      </c>
      <c r="C1961" t="s">
        <v>1647</v>
      </c>
      <c r="D1961" t="str">
        <f t="shared" si="30"/>
        <v>SEPLAG3927</v>
      </c>
      <c r="E1961" t="s">
        <v>1648</v>
      </c>
    </row>
    <row r="1962" spans="1:5" hidden="1" x14ac:dyDescent="0.25">
      <c r="A1962">
        <v>1501</v>
      </c>
      <c r="B1962" t="s">
        <v>590</v>
      </c>
      <c r="C1962" t="s">
        <v>457</v>
      </c>
      <c r="D1962" t="str">
        <f t="shared" si="30"/>
        <v>SEPLAG3930</v>
      </c>
      <c r="E1962" t="s">
        <v>1646</v>
      </c>
    </row>
    <row r="1963" spans="1:5" hidden="1" x14ac:dyDescent="0.25">
      <c r="A1963">
        <v>1501</v>
      </c>
      <c r="B1963" t="s">
        <v>590</v>
      </c>
      <c r="C1963" t="s">
        <v>1650</v>
      </c>
      <c r="D1963" t="str">
        <f t="shared" si="30"/>
        <v>SEPLAG3931</v>
      </c>
      <c r="E1963" t="s">
        <v>1623</v>
      </c>
    </row>
    <row r="1964" spans="1:5" hidden="1" x14ac:dyDescent="0.25">
      <c r="A1964">
        <v>1501</v>
      </c>
      <c r="B1964" t="s">
        <v>590</v>
      </c>
      <c r="C1964" t="s">
        <v>1652</v>
      </c>
      <c r="D1964" t="str">
        <f t="shared" si="30"/>
        <v>SEPLAG3936</v>
      </c>
      <c r="E1964" t="s">
        <v>93</v>
      </c>
    </row>
    <row r="1965" spans="1:5" hidden="1" x14ac:dyDescent="0.25">
      <c r="A1965">
        <v>1501</v>
      </c>
      <c r="B1965" t="s">
        <v>590</v>
      </c>
      <c r="C1965" t="s">
        <v>1695</v>
      </c>
      <c r="D1965" t="str">
        <f t="shared" si="30"/>
        <v>SEPLAG3937</v>
      </c>
      <c r="E1965" t="s">
        <v>1692</v>
      </c>
    </row>
    <row r="1966" spans="1:5" hidden="1" x14ac:dyDescent="0.25">
      <c r="A1966">
        <v>1501</v>
      </c>
      <c r="B1966" t="s">
        <v>590</v>
      </c>
      <c r="C1966" t="s">
        <v>1653</v>
      </c>
      <c r="D1966" t="str">
        <f t="shared" si="30"/>
        <v>SEPLAG3940</v>
      </c>
      <c r="E1966" t="s">
        <v>1648</v>
      </c>
    </row>
    <row r="1967" spans="1:5" hidden="1" x14ac:dyDescent="0.25">
      <c r="A1967">
        <v>1501</v>
      </c>
      <c r="B1967" t="s">
        <v>590</v>
      </c>
      <c r="C1967" t="s">
        <v>479</v>
      </c>
      <c r="D1967" t="str">
        <f t="shared" si="30"/>
        <v>SEPLAG3941</v>
      </c>
      <c r="E1967" t="s">
        <v>1623</v>
      </c>
    </row>
    <row r="1968" spans="1:5" hidden="1" x14ac:dyDescent="0.25">
      <c r="A1968">
        <v>1501</v>
      </c>
      <c r="B1968" t="s">
        <v>590</v>
      </c>
      <c r="C1968" t="s">
        <v>481</v>
      </c>
      <c r="D1968" t="str">
        <f t="shared" si="30"/>
        <v>SEPLAG3942</v>
      </c>
      <c r="E1968" t="s">
        <v>1623</v>
      </c>
    </row>
    <row r="1969" spans="1:5" hidden="1" x14ac:dyDescent="0.25">
      <c r="A1969">
        <v>1501</v>
      </c>
      <c r="B1969" t="s">
        <v>590</v>
      </c>
      <c r="C1969" t="s">
        <v>1654</v>
      </c>
      <c r="D1969" t="str">
        <f t="shared" si="30"/>
        <v>SEPLAG3943</v>
      </c>
      <c r="E1969" t="s">
        <v>1615</v>
      </c>
    </row>
    <row r="1970" spans="1:5" hidden="1" x14ac:dyDescent="0.25">
      <c r="A1970">
        <v>1501</v>
      </c>
      <c r="B1970" t="s">
        <v>590</v>
      </c>
      <c r="C1970" t="s">
        <v>491</v>
      </c>
      <c r="D1970" t="str">
        <f t="shared" si="30"/>
        <v>SEPLAG3948</v>
      </c>
      <c r="E1970" t="s">
        <v>1645</v>
      </c>
    </row>
    <row r="1971" spans="1:5" hidden="1" x14ac:dyDescent="0.25">
      <c r="A1971">
        <v>1501</v>
      </c>
      <c r="B1971" t="s">
        <v>590</v>
      </c>
      <c r="C1971" t="s">
        <v>495</v>
      </c>
      <c r="D1971" t="str">
        <f t="shared" si="30"/>
        <v>SEPLAG3953</v>
      </c>
      <c r="E1971" t="s">
        <v>1645</v>
      </c>
    </row>
    <row r="1972" spans="1:5" hidden="1" x14ac:dyDescent="0.25">
      <c r="A1972">
        <v>1501</v>
      </c>
      <c r="B1972" t="s">
        <v>590</v>
      </c>
      <c r="C1972" t="s">
        <v>497</v>
      </c>
      <c r="D1972" t="str">
        <f t="shared" si="30"/>
        <v>SEPLAG3955</v>
      </c>
      <c r="E1972" t="s">
        <v>1623</v>
      </c>
    </row>
    <row r="1973" spans="1:5" hidden="1" x14ac:dyDescent="0.25">
      <c r="A1973">
        <v>1501</v>
      </c>
      <c r="B1973" t="s">
        <v>590</v>
      </c>
      <c r="C1973" t="s">
        <v>498</v>
      </c>
      <c r="D1973" t="str">
        <f t="shared" si="30"/>
        <v>SEPLAG3956</v>
      </c>
      <c r="E1973" t="s">
        <v>1623</v>
      </c>
    </row>
    <row r="1974" spans="1:5" hidden="1" x14ac:dyDescent="0.25">
      <c r="A1974">
        <v>1501</v>
      </c>
      <c r="B1974" t="s">
        <v>590</v>
      </c>
      <c r="C1974" t="s">
        <v>1656</v>
      </c>
      <c r="D1974" t="str">
        <f t="shared" si="30"/>
        <v>SEPLAG3959</v>
      </c>
      <c r="E1974" t="s">
        <v>1623</v>
      </c>
    </row>
    <row r="1975" spans="1:5" hidden="1" x14ac:dyDescent="0.25">
      <c r="A1975">
        <v>1501</v>
      </c>
      <c r="B1975" t="s">
        <v>590</v>
      </c>
      <c r="C1975" t="s">
        <v>1709</v>
      </c>
      <c r="D1975" t="str">
        <f t="shared" si="30"/>
        <v>SEPLAG3960</v>
      </c>
      <c r="E1975" t="s">
        <v>1623</v>
      </c>
    </row>
    <row r="1976" spans="1:5" hidden="1" x14ac:dyDescent="0.25">
      <c r="A1976">
        <v>1501</v>
      </c>
      <c r="B1976" t="s">
        <v>590</v>
      </c>
      <c r="C1976" t="s">
        <v>1657</v>
      </c>
      <c r="D1976" t="str">
        <f t="shared" si="30"/>
        <v>SEPLAG3961</v>
      </c>
      <c r="E1976" t="s">
        <v>1630</v>
      </c>
    </row>
    <row r="1977" spans="1:5" hidden="1" x14ac:dyDescent="0.25">
      <c r="A1977">
        <v>1501</v>
      </c>
      <c r="B1977" t="s">
        <v>590</v>
      </c>
      <c r="C1977" t="s">
        <v>1718</v>
      </c>
      <c r="D1977" t="str">
        <f t="shared" si="30"/>
        <v>SEPLAG3964</v>
      </c>
      <c r="E1977" t="s">
        <v>1623</v>
      </c>
    </row>
    <row r="1978" spans="1:5" hidden="1" x14ac:dyDescent="0.25">
      <c r="A1978">
        <v>1501</v>
      </c>
      <c r="B1978" t="s">
        <v>590</v>
      </c>
      <c r="C1978" t="s">
        <v>1659</v>
      </c>
      <c r="D1978" t="str">
        <f t="shared" si="30"/>
        <v>SEPLAG3969</v>
      </c>
      <c r="E1978" t="s">
        <v>1637</v>
      </c>
    </row>
    <row r="1979" spans="1:5" hidden="1" x14ac:dyDescent="0.25">
      <c r="A1979">
        <v>1501</v>
      </c>
      <c r="B1979" t="s">
        <v>590</v>
      </c>
      <c r="C1979" t="s">
        <v>1660</v>
      </c>
      <c r="D1979" t="str">
        <f t="shared" si="30"/>
        <v>SEPLAG3970</v>
      </c>
      <c r="E1979" t="s">
        <v>1648</v>
      </c>
    </row>
    <row r="1980" spans="1:5" hidden="1" x14ac:dyDescent="0.25">
      <c r="A1980">
        <v>1501</v>
      </c>
      <c r="B1980" t="s">
        <v>590</v>
      </c>
      <c r="C1980" t="s">
        <v>513</v>
      </c>
      <c r="D1980" t="str">
        <f t="shared" si="30"/>
        <v>SEPLAG3972</v>
      </c>
      <c r="E1980" t="s">
        <v>1637</v>
      </c>
    </row>
    <row r="1981" spans="1:5" hidden="1" x14ac:dyDescent="0.25">
      <c r="A1981">
        <v>1501</v>
      </c>
      <c r="B1981" t="s">
        <v>590</v>
      </c>
      <c r="C1981" t="s">
        <v>515</v>
      </c>
      <c r="D1981" t="str">
        <f t="shared" si="30"/>
        <v>SEPLAG3974</v>
      </c>
      <c r="E1981" t="s">
        <v>1697</v>
      </c>
    </row>
    <row r="1982" spans="1:5" hidden="1" x14ac:dyDescent="0.25">
      <c r="A1982">
        <v>1501</v>
      </c>
      <c r="B1982" t="s">
        <v>590</v>
      </c>
      <c r="C1982" t="s">
        <v>1761</v>
      </c>
      <c r="D1982" t="str">
        <f t="shared" si="30"/>
        <v>SEPLAG3975</v>
      </c>
      <c r="E1982" t="s">
        <v>1623</v>
      </c>
    </row>
    <row r="1983" spans="1:5" hidden="1" x14ac:dyDescent="0.25">
      <c r="A1983">
        <v>1501</v>
      </c>
      <c r="B1983" t="s">
        <v>590</v>
      </c>
      <c r="C1983" t="s">
        <v>519</v>
      </c>
      <c r="D1983" t="str">
        <f t="shared" si="30"/>
        <v>SEPLAG3978</v>
      </c>
      <c r="E1983" t="s">
        <v>1630</v>
      </c>
    </row>
    <row r="1984" spans="1:5" hidden="1" x14ac:dyDescent="0.25">
      <c r="A1984">
        <v>1501</v>
      </c>
      <c r="B1984" t="s">
        <v>590</v>
      </c>
      <c r="C1984" t="s">
        <v>520</v>
      </c>
      <c r="D1984" t="str">
        <f t="shared" si="30"/>
        <v>SEPLAG3981</v>
      </c>
      <c r="E1984" t="s">
        <v>1623</v>
      </c>
    </row>
    <row r="1985" spans="1:5" hidden="1" x14ac:dyDescent="0.25">
      <c r="A1985">
        <v>1501</v>
      </c>
      <c r="B1985" t="s">
        <v>590</v>
      </c>
      <c r="C1985" t="s">
        <v>1661</v>
      </c>
      <c r="D1985" t="str">
        <f t="shared" si="30"/>
        <v>SEPLAG3987</v>
      </c>
      <c r="E1985" t="s">
        <v>1615</v>
      </c>
    </row>
    <row r="1986" spans="1:5" hidden="1" x14ac:dyDescent="0.25">
      <c r="A1986">
        <v>1501</v>
      </c>
      <c r="B1986" t="s">
        <v>590</v>
      </c>
      <c r="C1986" t="s">
        <v>530</v>
      </c>
      <c r="D1986" t="str">
        <f t="shared" si="30"/>
        <v>SEPLAG3991</v>
      </c>
      <c r="E1986" t="s">
        <v>1623</v>
      </c>
    </row>
    <row r="1987" spans="1:5" hidden="1" x14ac:dyDescent="0.25">
      <c r="A1987">
        <v>1501</v>
      </c>
      <c r="B1987" t="s">
        <v>590</v>
      </c>
      <c r="C1987" t="s">
        <v>1711</v>
      </c>
      <c r="D1987" t="str">
        <f t="shared" si="30"/>
        <v>SEPLAG3996</v>
      </c>
      <c r="E1987" t="s">
        <v>1623</v>
      </c>
    </row>
    <row r="1988" spans="1:5" hidden="1" x14ac:dyDescent="0.25">
      <c r="A1988">
        <v>1501</v>
      </c>
      <c r="B1988" t="s">
        <v>590</v>
      </c>
      <c r="C1988" t="s">
        <v>1663</v>
      </c>
      <c r="D1988" t="str">
        <f t="shared" si="30"/>
        <v>SEPLAG3999</v>
      </c>
      <c r="E1988" t="s">
        <v>1623</v>
      </c>
    </row>
    <row r="1989" spans="1:5" hidden="1" x14ac:dyDescent="0.25">
      <c r="A1989">
        <v>1501</v>
      </c>
      <c r="B1989" t="s">
        <v>590</v>
      </c>
      <c r="C1989" t="s">
        <v>1664</v>
      </c>
      <c r="D1989" t="str">
        <f t="shared" ref="D1989:D2052" si="31">CONCATENATE(B1989,LEFT(C1989,4))</f>
        <v>SEPLAG4002</v>
      </c>
      <c r="E1989" t="s">
        <v>1648</v>
      </c>
    </row>
    <row r="1990" spans="1:5" hidden="1" x14ac:dyDescent="0.25">
      <c r="A1990">
        <v>1501</v>
      </c>
      <c r="B1990" t="s">
        <v>590</v>
      </c>
      <c r="C1990" t="s">
        <v>1665</v>
      </c>
      <c r="D1990" t="str">
        <f t="shared" si="31"/>
        <v>SEPLAG4003</v>
      </c>
      <c r="E1990" t="s">
        <v>93</v>
      </c>
    </row>
    <row r="1991" spans="1:5" hidden="1" x14ac:dyDescent="0.25">
      <c r="A1991">
        <v>1501</v>
      </c>
      <c r="B1991" t="s">
        <v>590</v>
      </c>
      <c r="C1991" t="s">
        <v>1666</v>
      </c>
      <c r="D1991" t="str">
        <f t="shared" si="31"/>
        <v>SEPLAG4004</v>
      </c>
      <c r="E1991" t="s">
        <v>1648</v>
      </c>
    </row>
    <row r="1992" spans="1:5" hidden="1" x14ac:dyDescent="0.25">
      <c r="A1992">
        <v>1501</v>
      </c>
      <c r="B1992" t="s">
        <v>590</v>
      </c>
      <c r="C1992" t="s">
        <v>1667</v>
      </c>
      <c r="D1992" t="str">
        <f t="shared" si="31"/>
        <v>SEPLAG4005</v>
      </c>
      <c r="E1992" t="s">
        <v>1648</v>
      </c>
    </row>
    <row r="1993" spans="1:5" hidden="1" x14ac:dyDescent="0.25">
      <c r="A1993">
        <v>1501</v>
      </c>
      <c r="B1993" t="s">
        <v>590</v>
      </c>
      <c r="C1993" t="s">
        <v>1698</v>
      </c>
      <c r="D1993" t="str">
        <f t="shared" si="31"/>
        <v>SEPLAG4006</v>
      </c>
      <c r="E1993" t="s">
        <v>1675</v>
      </c>
    </row>
    <row r="1994" spans="1:5" hidden="1" x14ac:dyDescent="0.25">
      <c r="A1994">
        <v>1501</v>
      </c>
      <c r="B1994" t="s">
        <v>590</v>
      </c>
      <c r="C1994" t="s">
        <v>1699</v>
      </c>
      <c r="D1994" t="str">
        <f t="shared" si="31"/>
        <v>SEPLAG4007</v>
      </c>
      <c r="E1994" t="s">
        <v>93</v>
      </c>
    </row>
    <row r="1995" spans="1:5" hidden="1" x14ac:dyDescent="0.25">
      <c r="A1995">
        <v>1501</v>
      </c>
      <c r="B1995" t="s">
        <v>590</v>
      </c>
      <c r="C1995" t="s">
        <v>1668</v>
      </c>
      <c r="D1995" t="str">
        <f t="shared" si="31"/>
        <v>SEPLAG4701</v>
      </c>
      <c r="E1995" t="s">
        <v>1669</v>
      </c>
    </row>
    <row r="1996" spans="1:5" hidden="1" x14ac:dyDescent="0.25">
      <c r="A1996">
        <v>1501</v>
      </c>
      <c r="B1996" t="s">
        <v>590</v>
      </c>
      <c r="C1996" t="s">
        <v>264</v>
      </c>
      <c r="D1996" t="str">
        <f t="shared" si="31"/>
        <v>SEPLAG4703</v>
      </c>
      <c r="E1996" t="s">
        <v>1669</v>
      </c>
    </row>
    <row r="1997" spans="1:5" hidden="1" x14ac:dyDescent="0.25">
      <c r="A1997">
        <v>1501</v>
      </c>
      <c r="B1997" t="s">
        <v>590</v>
      </c>
      <c r="C1997" t="s">
        <v>327</v>
      </c>
      <c r="D1997" t="str">
        <f t="shared" si="31"/>
        <v>SEPLAG4707</v>
      </c>
      <c r="E1997" t="s">
        <v>1669</v>
      </c>
    </row>
    <row r="1998" spans="1:5" hidden="1" x14ac:dyDescent="0.25">
      <c r="A1998">
        <v>1501</v>
      </c>
      <c r="B1998" t="s">
        <v>590</v>
      </c>
      <c r="C1998" t="s">
        <v>363</v>
      </c>
      <c r="D1998" t="str">
        <f t="shared" si="31"/>
        <v>SEPLAG4799</v>
      </c>
      <c r="E1998" t="s">
        <v>1669</v>
      </c>
    </row>
    <row r="1999" spans="1:5" hidden="1" x14ac:dyDescent="0.25">
      <c r="A1999">
        <v>1501</v>
      </c>
      <c r="B1999" t="s">
        <v>590</v>
      </c>
      <c r="C1999" t="s">
        <v>239</v>
      </c>
      <c r="D1999" t="str">
        <f t="shared" si="31"/>
        <v>SEPLAG4801</v>
      </c>
      <c r="E1999" t="s">
        <v>1623</v>
      </c>
    </row>
    <row r="2000" spans="1:5" hidden="1" x14ac:dyDescent="0.25">
      <c r="A2000">
        <v>1501</v>
      </c>
      <c r="B2000" t="s">
        <v>590</v>
      </c>
      <c r="C2000" t="s">
        <v>1712</v>
      </c>
      <c r="D2000" t="str">
        <f t="shared" si="31"/>
        <v>SEPLAG4905</v>
      </c>
      <c r="E2000" t="s">
        <v>64</v>
      </c>
    </row>
    <row r="2001" spans="1:5" hidden="1" x14ac:dyDescent="0.25">
      <c r="A2001">
        <v>1501</v>
      </c>
      <c r="B2001" t="s">
        <v>590</v>
      </c>
      <c r="C2001" t="s">
        <v>1670</v>
      </c>
      <c r="D2001" t="str">
        <f t="shared" si="31"/>
        <v>SEPLAG5101</v>
      </c>
      <c r="E2001" t="s">
        <v>1671</v>
      </c>
    </row>
    <row r="2002" spans="1:5" hidden="1" x14ac:dyDescent="0.25">
      <c r="A2002">
        <v>1501</v>
      </c>
      <c r="B2002" t="s">
        <v>590</v>
      </c>
      <c r="C2002" t="s">
        <v>1672</v>
      </c>
      <c r="D2002" t="str">
        <f t="shared" si="31"/>
        <v>SEPLAG5103</v>
      </c>
      <c r="E2002" t="s">
        <v>1671</v>
      </c>
    </row>
    <row r="2003" spans="1:5" hidden="1" x14ac:dyDescent="0.25">
      <c r="A2003">
        <v>1501</v>
      </c>
      <c r="B2003" t="s">
        <v>590</v>
      </c>
      <c r="C2003" t="s">
        <v>1721</v>
      </c>
      <c r="D2003" t="str">
        <f t="shared" si="31"/>
        <v>SEPLAG5114</v>
      </c>
      <c r="E2003" t="s">
        <v>1674</v>
      </c>
    </row>
    <row r="2004" spans="1:5" hidden="1" x14ac:dyDescent="0.25">
      <c r="A2004">
        <v>1501</v>
      </c>
      <c r="B2004" t="s">
        <v>590</v>
      </c>
      <c r="C2004" t="s">
        <v>1673</v>
      </c>
      <c r="D2004" t="str">
        <f t="shared" si="31"/>
        <v>SEPLAG5204</v>
      </c>
      <c r="E2004" t="s">
        <v>1674</v>
      </c>
    </row>
    <row r="2005" spans="1:5" hidden="1" x14ac:dyDescent="0.25">
      <c r="A2005">
        <v>1501</v>
      </c>
      <c r="B2005" t="s">
        <v>590</v>
      </c>
      <c r="C2005" t="s">
        <v>328</v>
      </c>
      <c r="D2005" t="str">
        <f t="shared" si="31"/>
        <v>SEPLAG5206</v>
      </c>
      <c r="E2005" t="s">
        <v>1675</v>
      </c>
    </row>
    <row r="2006" spans="1:5" hidden="1" x14ac:dyDescent="0.25">
      <c r="A2006">
        <v>1501</v>
      </c>
      <c r="B2006" t="s">
        <v>590</v>
      </c>
      <c r="C2006" t="s">
        <v>1676</v>
      </c>
      <c r="D2006" t="str">
        <f t="shared" si="31"/>
        <v>SEPLAG5207</v>
      </c>
      <c r="E2006" t="s">
        <v>1675</v>
      </c>
    </row>
    <row r="2007" spans="1:5" hidden="1" x14ac:dyDescent="0.25">
      <c r="A2007">
        <v>1501</v>
      </c>
      <c r="B2007" t="s">
        <v>590</v>
      </c>
      <c r="C2007" t="s">
        <v>1677</v>
      </c>
      <c r="D2007" t="str">
        <f t="shared" si="31"/>
        <v>SEPLAG5208</v>
      </c>
      <c r="E2007" t="s">
        <v>1675</v>
      </c>
    </row>
    <row r="2008" spans="1:5" hidden="1" x14ac:dyDescent="0.25">
      <c r="A2008">
        <v>1501</v>
      </c>
      <c r="B2008" t="s">
        <v>590</v>
      </c>
      <c r="C2008" t="s">
        <v>358</v>
      </c>
      <c r="D2008" t="str">
        <f t="shared" si="31"/>
        <v>SEPLAG5209</v>
      </c>
      <c r="E2008" t="s">
        <v>1674</v>
      </c>
    </row>
    <row r="2009" spans="1:5" hidden="1" x14ac:dyDescent="0.25">
      <c r="A2009">
        <v>1501</v>
      </c>
      <c r="B2009" t="s">
        <v>590</v>
      </c>
      <c r="C2009" t="s">
        <v>1678</v>
      </c>
      <c r="D2009" t="str">
        <f t="shared" si="31"/>
        <v>SEPLAG5210</v>
      </c>
      <c r="E2009" t="s">
        <v>1674</v>
      </c>
    </row>
    <row r="2010" spans="1:5" hidden="1" x14ac:dyDescent="0.25">
      <c r="A2010">
        <v>1501</v>
      </c>
      <c r="B2010" t="s">
        <v>590</v>
      </c>
      <c r="C2010" t="s">
        <v>1679</v>
      </c>
      <c r="D2010" t="str">
        <f t="shared" si="31"/>
        <v>SEPLAG5212</v>
      </c>
      <c r="E2010" t="s">
        <v>1674</v>
      </c>
    </row>
    <row r="2011" spans="1:5" hidden="1" x14ac:dyDescent="0.25">
      <c r="A2011">
        <v>1501</v>
      </c>
      <c r="B2011" t="s">
        <v>590</v>
      </c>
      <c r="C2011" t="s">
        <v>390</v>
      </c>
      <c r="D2011" t="str">
        <f t="shared" si="31"/>
        <v>SEPLAG5214</v>
      </c>
      <c r="E2011" t="s">
        <v>1674</v>
      </c>
    </row>
    <row r="2012" spans="1:5" hidden="1" x14ac:dyDescent="0.25">
      <c r="A2012">
        <v>1501</v>
      </c>
      <c r="B2012" t="s">
        <v>590</v>
      </c>
      <c r="C2012" t="s">
        <v>402</v>
      </c>
      <c r="D2012" t="str">
        <f t="shared" si="31"/>
        <v>SEPLAG5216</v>
      </c>
      <c r="E2012" t="s">
        <v>1680</v>
      </c>
    </row>
    <row r="2013" spans="1:5" hidden="1" x14ac:dyDescent="0.25">
      <c r="A2013">
        <v>1501</v>
      </c>
      <c r="B2013" t="s">
        <v>590</v>
      </c>
      <c r="C2013" t="s">
        <v>1681</v>
      </c>
      <c r="D2013" t="str">
        <f t="shared" si="31"/>
        <v>SEPLAG5220</v>
      </c>
      <c r="E2013" t="s">
        <v>1675</v>
      </c>
    </row>
    <row r="2014" spans="1:5" hidden="1" x14ac:dyDescent="0.25">
      <c r="A2014">
        <v>1501</v>
      </c>
      <c r="B2014" t="s">
        <v>590</v>
      </c>
      <c r="C2014" t="s">
        <v>448</v>
      </c>
      <c r="D2014" t="str">
        <f t="shared" si="31"/>
        <v>SEPLAG5225</v>
      </c>
      <c r="E2014" t="s">
        <v>1674</v>
      </c>
    </row>
    <row r="2015" spans="1:5" hidden="1" x14ac:dyDescent="0.25">
      <c r="A2015">
        <v>1501</v>
      </c>
      <c r="B2015" t="s">
        <v>590</v>
      </c>
      <c r="C2015" t="s">
        <v>1682</v>
      </c>
      <c r="D2015" t="str">
        <f t="shared" si="31"/>
        <v>SEPLAG5226</v>
      </c>
      <c r="E2015" t="s">
        <v>1674</v>
      </c>
    </row>
    <row r="2016" spans="1:5" hidden="1" x14ac:dyDescent="0.25">
      <c r="A2016">
        <v>1501</v>
      </c>
      <c r="B2016" t="s">
        <v>590</v>
      </c>
      <c r="C2016" t="s">
        <v>458</v>
      </c>
      <c r="D2016" t="str">
        <f t="shared" si="31"/>
        <v>SEPLAG5299</v>
      </c>
      <c r="E2016" t="s">
        <v>1674</v>
      </c>
    </row>
    <row r="2017" spans="1:5" hidden="1" x14ac:dyDescent="0.25">
      <c r="A2017">
        <v>1501</v>
      </c>
      <c r="B2017" t="s">
        <v>590</v>
      </c>
      <c r="C2017" t="s">
        <v>242</v>
      </c>
      <c r="D2017" t="str">
        <f t="shared" si="31"/>
        <v>SEPLAG6101</v>
      </c>
      <c r="E2017" t="s">
        <v>1754</v>
      </c>
    </row>
    <row r="2018" spans="1:5" hidden="1" x14ac:dyDescent="0.25">
      <c r="A2018">
        <v>1501</v>
      </c>
      <c r="B2018" t="s">
        <v>590</v>
      </c>
      <c r="C2018" t="s">
        <v>1723</v>
      </c>
      <c r="D2018" t="str">
        <f t="shared" si="31"/>
        <v>SEPLAG9108</v>
      </c>
      <c r="E2018" t="s">
        <v>1724</v>
      </c>
    </row>
    <row r="2019" spans="1:5" hidden="1" x14ac:dyDescent="0.25">
      <c r="A2019">
        <v>1501</v>
      </c>
      <c r="B2019" t="s">
        <v>590</v>
      </c>
      <c r="C2019" t="s">
        <v>1805</v>
      </c>
      <c r="D2019" t="str">
        <f t="shared" si="31"/>
        <v>SEPLAG9117</v>
      </c>
      <c r="E2019" t="s">
        <v>1724</v>
      </c>
    </row>
    <row r="2020" spans="1:5" hidden="1" x14ac:dyDescent="0.25">
      <c r="A2020">
        <v>1501</v>
      </c>
      <c r="B2020" t="s">
        <v>590</v>
      </c>
      <c r="C2020" t="s">
        <v>1684</v>
      </c>
      <c r="D2020" t="str">
        <f t="shared" si="31"/>
        <v>SEPLAG9202</v>
      </c>
      <c r="E2020" t="s">
        <v>1685</v>
      </c>
    </row>
    <row r="2021" spans="1:5" hidden="1" x14ac:dyDescent="0.25">
      <c r="A2021">
        <v>1501</v>
      </c>
      <c r="B2021" t="s">
        <v>590</v>
      </c>
      <c r="C2021" t="s">
        <v>319</v>
      </c>
      <c r="D2021" t="str">
        <f t="shared" si="31"/>
        <v>SEPLAG9305</v>
      </c>
      <c r="E2021" t="s">
        <v>1623</v>
      </c>
    </row>
    <row r="2022" spans="1:5" hidden="1" x14ac:dyDescent="0.25">
      <c r="A2022">
        <v>1501</v>
      </c>
      <c r="B2022" t="s">
        <v>590</v>
      </c>
      <c r="C2022" t="s">
        <v>330</v>
      </c>
      <c r="D2022" t="str">
        <f t="shared" si="31"/>
        <v>SEPLAG9306</v>
      </c>
      <c r="E2022" t="s">
        <v>1686</v>
      </c>
    </row>
    <row r="2023" spans="1:5" hidden="1" x14ac:dyDescent="0.25">
      <c r="A2023">
        <v>1501</v>
      </c>
      <c r="B2023" t="s">
        <v>590</v>
      </c>
      <c r="C2023" t="s">
        <v>366</v>
      </c>
      <c r="D2023" t="str">
        <f t="shared" si="31"/>
        <v>SEPLAG9310</v>
      </c>
      <c r="E2023" t="s">
        <v>1623</v>
      </c>
    </row>
    <row r="2024" spans="1:5" hidden="1" x14ac:dyDescent="0.25">
      <c r="A2024">
        <v>1501</v>
      </c>
      <c r="B2024" t="s">
        <v>590</v>
      </c>
      <c r="C2024" t="s">
        <v>1687</v>
      </c>
      <c r="D2024" t="str">
        <f t="shared" si="31"/>
        <v>SEPLAG9399</v>
      </c>
      <c r="E2024" t="s">
        <v>1623</v>
      </c>
    </row>
    <row r="2025" spans="1:5" hidden="1" x14ac:dyDescent="0.25">
      <c r="A2025">
        <v>1502</v>
      </c>
      <c r="B2025" t="e">
        <v>#N/A</v>
      </c>
      <c r="C2025" t="s">
        <v>255</v>
      </c>
      <c r="D2025" t="e">
        <f t="shared" si="31"/>
        <v>#N/A</v>
      </c>
      <c r="E2025" t="s">
        <v>1600</v>
      </c>
    </row>
    <row r="2026" spans="1:5" hidden="1" x14ac:dyDescent="0.25">
      <c r="A2026">
        <v>1502</v>
      </c>
      <c r="B2026" t="e">
        <v>#N/A</v>
      </c>
      <c r="C2026" t="s">
        <v>1601</v>
      </c>
      <c r="D2026" t="e">
        <f t="shared" si="31"/>
        <v>#N/A</v>
      </c>
      <c r="E2026" t="s">
        <v>1600</v>
      </c>
    </row>
    <row r="2027" spans="1:5" hidden="1" x14ac:dyDescent="0.25">
      <c r="A2027">
        <v>1502</v>
      </c>
      <c r="B2027" t="e">
        <v>#N/A</v>
      </c>
      <c r="C2027" t="s">
        <v>1602</v>
      </c>
      <c r="D2027" t="e">
        <f t="shared" si="31"/>
        <v>#N/A</v>
      </c>
      <c r="E2027" t="s">
        <v>1600</v>
      </c>
    </row>
    <row r="2028" spans="1:5" hidden="1" x14ac:dyDescent="0.25">
      <c r="A2028">
        <v>1502</v>
      </c>
      <c r="B2028" t="e">
        <v>#N/A</v>
      </c>
      <c r="C2028" t="s">
        <v>1603</v>
      </c>
      <c r="D2028" t="e">
        <f t="shared" si="31"/>
        <v>#N/A</v>
      </c>
      <c r="E2028" t="s">
        <v>1600</v>
      </c>
    </row>
    <row r="2029" spans="1:5" hidden="1" x14ac:dyDescent="0.25">
      <c r="A2029">
        <v>1502</v>
      </c>
      <c r="B2029" t="e">
        <v>#N/A</v>
      </c>
      <c r="C2029" t="s">
        <v>1604</v>
      </c>
      <c r="D2029" t="e">
        <f t="shared" si="31"/>
        <v>#N/A</v>
      </c>
      <c r="E2029" t="s">
        <v>1600</v>
      </c>
    </row>
    <row r="2030" spans="1:5" hidden="1" x14ac:dyDescent="0.25">
      <c r="A2030">
        <v>1502</v>
      </c>
      <c r="B2030" t="e">
        <v>#N/A</v>
      </c>
      <c r="C2030" t="s">
        <v>1605</v>
      </c>
      <c r="D2030" t="e">
        <f t="shared" si="31"/>
        <v>#N/A</v>
      </c>
      <c r="E2030" t="s">
        <v>1606</v>
      </c>
    </row>
    <row r="2031" spans="1:5" hidden="1" x14ac:dyDescent="0.25">
      <c r="A2031">
        <v>1502</v>
      </c>
      <c r="B2031" t="e">
        <v>#N/A</v>
      </c>
      <c r="C2031" t="s">
        <v>137</v>
      </c>
      <c r="D2031" t="e">
        <f t="shared" si="31"/>
        <v>#N/A</v>
      </c>
      <c r="E2031" t="s">
        <v>1606</v>
      </c>
    </row>
    <row r="2032" spans="1:5" hidden="1" x14ac:dyDescent="0.25">
      <c r="A2032">
        <v>1502</v>
      </c>
      <c r="B2032" t="e">
        <v>#N/A</v>
      </c>
      <c r="C2032" t="s">
        <v>1608</v>
      </c>
      <c r="D2032" t="e">
        <f t="shared" si="31"/>
        <v>#N/A</v>
      </c>
      <c r="E2032" t="s">
        <v>1600</v>
      </c>
    </row>
    <row r="2033" spans="1:5" hidden="1" x14ac:dyDescent="0.25">
      <c r="A2033">
        <v>1502</v>
      </c>
      <c r="B2033" t="e">
        <v>#N/A</v>
      </c>
      <c r="C2033" t="s">
        <v>1609</v>
      </c>
      <c r="D2033" t="e">
        <f t="shared" si="31"/>
        <v>#N/A</v>
      </c>
      <c r="E2033" t="s">
        <v>1600</v>
      </c>
    </row>
    <row r="2034" spans="1:5" hidden="1" x14ac:dyDescent="0.25">
      <c r="A2034">
        <v>1502</v>
      </c>
      <c r="B2034" t="e">
        <v>#N/A</v>
      </c>
      <c r="C2034" t="s">
        <v>405</v>
      </c>
      <c r="D2034" t="e">
        <f t="shared" si="31"/>
        <v>#N/A</v>
      </c>
      <c r="E2034" t="s">
        <v>1600</v>
      </c>
    </row>
    <row r="2035" spans="1:5" hidden="1" x14ac:dyDescent="0.25">
      <c r="A2035">
        <v>1502</v>
      </c>
      <c r="B2035" t="e">
        <v>#N/A</v>
      </c>
      <c r="C2035" t="s">
        <v>1610</v>
      </c>
      <c r="D2035" t="e">
        <f t="shared" si="31"/>
        <v>#N/A</v>
      </c>
      <c r="E2035" t="s">
        <v>1611</v>
      </c>
    </row>
    <row r="2036" spans="1:5" hidden="1" x14ac:dyDescent="0.25">
      <c r="A2036">
        <v>1502</v>
      </c>
      <c r="B2036" t="e">
        <v>#N/A</v>
      </c>
      <c r="C2036" t="s">
        <v>1612</v>
      </c>
      <c r="D2036" t="e">
        <f t="shared" si="31"/>
        <v>#N/A</v>
      </c>
      <c r="E2036" t="s">
        <v>1600</v>
      </c>
    </row>
    <row r="2037" spans="1:5" hidden="1" x14ac:dyDescent="0.25">
      <c r="A2037">
        <v>1502</v>
      </c>
      <c r="B2037" t="e">
        <v>#N/A</v>
      </c>
      <c r="C2037" t="s">
        <v>1613</v>
      </c>
      <c r="D2037" t="e">
        <f t="shared" si="31"/>
        <v>#N/A</v>
      </c>
      <c r="E2037" t="s">
        <v>1600</v>
      </c>
    </row>
    <row r="2038" spans="1:5" hidden="1" x14ac:dyDescent="0.25">
      <c r="A2038">
        <v>1502</v>
      </c>
      <c r="B2038" t="e">
        <v>#N/A</v>
      </c>
      <c r="C2038" t="s">
        <v>430</v>
      </c>
      <c r="D2038" t="e">
        <f t="shared" si="31"/>
        <v>#N/A</v>
      </c>
      <c r="E2038" t="s">
        <v>1600</v>
      </c>
    </row>
    <row r="2039" spans="1:5" hidden="1" x14ac:dyDescent="0.25">
      <c r="A2039">
        <v>1502</v>
      </c>
      <c r="B2039" t="e">
        <v>#N/A</v>
      </c>
      <c r="C2039" t="s">
        <v>1614</v>
      </c>
      <c r="D2039" t="e">
        <f t="shared" si="31"/>
        <v>#N/A</v>
      </c>
      <c r="E2039" t="s">
        <v>1615</v>
      </c>
    </row>
    <row r="2040" spans="1:5" hidden="1" x14ac:dyDescent="0.25">
      <c r="A2040">
        <v>1502</v>
      </c>
      <c r="B2040" t="e">
        <v>#N/A</v>
      </c>
      <c r="C2040" t="s">
        <v>440</v>
      </c>
      <c r="D2040" t="e">
        <f t="shared" si="31"/>
        <v>#N/A</v>
      </c>
      <c r="E2040" t="s">
        <v>1600</v>
      </c>
    </row>
    <row r="2041" spans="1:5" hidden="1" x14ac:dyDescent="0.25">
      <c r="A2041">
        <v>1502</v>
      </c>
      <c r="B2041" t="e">
        <v>#N/A</v>
      </c>
      <c r="C2041" t="s">
        <v>1616</v>
      </c>
      <c r="D2041" t="e">
        <f t="shared" si="31"/>
        <v>#N/A</v>
      </c>
      <c r="E2041" t="s">
        <v>1600</v>
      </c>
    </row>
    <row r="2042" spans="1:5" hidden="1" x14ac:dyDescent="0.25">
      <c r="A2042">
        <v>1502</v>
      </c>
      <c r="B2042" t="e">
        <v>#N/A</v>
      </c>
      <c r="C2042" t="s">
        <v>1618</v>
      </c>
      <c r="D2042" t="e">
        <f t="shared" si="31"/>
        <v>#N/A</v>
      </c>
      <c r="E2042" t="s">
        <v>1600</v>
      </c>
    </row>
    <row r="2043" spans="1:5" hidden="1" x14ac:dyDescent="0.25">
      <c r="A2043">
        <v>1502</v>
      </c>
      <c r="B2043" t="e">
        <v>#N/A</v>
      </c>
      <c r="C2043" t="s">
        <v>1702</v>
      </c>
      <c r="D2043" t="e">
        <f t="shared" si="31"/>
        <v>#N/A</v>
      </c>
      <c r="E2043" t="s">
        <v>1600</v>
      </c>
    </row>
    <row r="2044" spans="1:5" hidden="1" x14ac:dyDescent="0.25">
      <c r="A2044">
        <v>1502</v>
      </c>
      <c r="B2044" t="e">
        <v>#N/A</v>
      </c>
      <c r="C2044" t="s">
        <v>466</v>
      </c>
      <c r="D2044" t="e">
        <f t="shared" si="31"/>
        <v>#N/A</v>
      </c>
      <c r="E2044" t="s">
        <v>1600</v>
      </c>
    </row>
    <row r="2045" spans="1:5" hidden="1" x14ac:dyDescent="0.25">
      <c r="A2045">
        <v>1502</v>
      </c>
      <c r="B2045" t="e">
        <v>#N/A</v>
      </c>
      <c r="C2045" t="s">
        <v>490</v>
      </c>
      <c r="D2045" t="e">
        <f t="shared" si="31"/>
        <v>#N/A</v>
      </c>
      <c r="E2045" t="s">
        <v>1600</v>
      </c>
    </row>
    <row r="2046" spans="1:5" hidden="1" x14ac:dyDescent="0.25">
      <c r="A2046">
        <v>1502</v>
      </c>
      <c r="B2046" t="e">
        <v>#N/A</v>
      </c>
      <c r="C2046" t="s">
        <v>1627</v>
      </c>
      <c r="D2046" t="e">
        <f t="shared" si="31"/>
        <v>#N/A</v>
      </c>
      <c r="E2046" t="s">
        <v>43</v>
      </c>
    </row>
    <row r="2047" spans="1:5" hidden="1" x14ac:dyDescent="0.25">
      <c r="A2047">
        <v>1502</v>
      </c>
      <c r="B2047" t="e">
        <v>#N/A</v>
      </c>
      <c r="C2047" t="s">
        <v>308</v>
      </c>
      <c r="D2047" t="e">
        <f t="shared" si="31"/>
        <v>#N/A</v>
      </c>
      <c r="E2047" t="s">
        <v>1623</v>
      </c>
    </row>
    <row r="2048" spans="1:5" hidden="1" x14ac:dyDescent="0.25">
      <c r="A2048">
        <v>1502</v>
      </c>
      <c r="B2048" t="e">
        <v>#N/A</v>
      </c>
      <c r="C2048" t="s">
        <v>1705</v>
      </c>
      <c r="D2048" t="e">
        <f t="shared" si="31"/>
        <v>#N/A</v>
      </c>
      <c r="E2048" t="s">
        <v>1706</v>
      </c>
    </row>
    <row r="2049" spans="1:5" hidden="1" x14ac:dyDescent="0.25">
      <c r="A2049">
        <v>1502</v>
      </c>
      <c r="B2049" t="e">
        <v>#N/A</v>
      </c>
      <c r="C2049" t="s">
        <v>1629</v>
      </c>
      <c r="D2049" t="e">
        <f t="shared" si="31"/>
        <v>#N/A</v>
      </c>
      <c r="E2049" t="s">
        <v>1630</v>
      </c>
    </row>
    <row r="2050" spans="1:5" hidden="1" x14ac:dyDescent="0.25">
      <c r="A2050">
        <v>1502</v>
      </c>
      <c r="B2050" t="e">
        <v>#N/A</v>
      </c>
      <c r="C2050" t="s">
        <v>1631</v>
      </c>
      <c r="D2050" t="e">
        <f t="shared" si="31"/>
        <v>#N/A</v>
      </c>
      <c r="E2050" t="s">
        <v>116</v>
      </c>
    </row>
    <row r="2051" spans="1:5" hidden="1" x14ac:dyDescent="0.25">
      <c r="A2051">
        <v>1502</v>
      </c>
      <c r="B2051" t="e">
        <v>#N/A</v>
      </c>
      <c r="C2051" t="s">
        <v>1632</v>
      </c>
      <c r="D2051" t="e">
        <f t="shared" si="31"/>
        <v>#N/A</v>
      </c>
      <c r="E2051" t="s">
        <v>116</v>
      </c>
    </row>
    <row r="2052" spans="1:5" hidden="1" x14ac:dyDescent="0.25">
      <c r="A2052">
        <v>1502</v>
      </c>
      <c r="B2052" t="e">
        <v>#N/A</v>
      </c>
      <c r="C2052" t="s">
        <v>1633</v>
      </c>
      <c r="D2052" t="e">
        <f t="shared" si="31"/>
        <v>#N/A</v>
      </c>
      <c r="E2052" t="s">
        <v>116</v>
      </c>
    </row>
    <row r="2053" spans="1:5" hidden="1" x14ac:dyDescent="0.25">
      <c r="A2053">
        <v>1502</v>
      </c>
      <c r="B2053" t="e">
        <v>#N/A</v>
      </c>
      <c r="C2053" t="s">
        <v>1634</v>
      </c>
      <c r="D2053" t="e">
        <f t="shared" ref="D2053:D2116" si="32">CONCATENATE(B2053,LEFT(C2053,4))</f>
        <v>#N/A</v>
      </c>
      <c r="E2053" t="s">
        <v>86</v>
      </c>
    </row>
    <row r="2054" spans="1:5" hidden="1" x14ac:dyDescent="0.25">
      <c r="A2054">
        <v>1502</v>
      </c>
      <c r="B2054" t="e">
        <v>#N/A</v>
      </c>
      <c r="C2054" t="s">
        <v>298</v>
      </c>
      <c r="D2054" t="e">
        <f t="shared" si="32"/>
        <v>#N/A</v>
      </c>
      <c r="E2054" t="s">
        <v>1623</v>
      </c>
    </row>
    <row r="2055" spans="1:5" hidden="1" x14ac:dyDescent="0.25">
      <c r="A2055">
        <v>1502</v>
      </c>
      <c r="B2055" t="e">
        <v>#N/A</v>
      </c>
      <c r="C2055" t="s">
        <v>1636</v>
      </c>
      <c r="D2055" t="e">
        <f t="shared" si="32"/>
        <v>#N/A</v>
      </c>
      <c r="E2055" t="s">
        <v>1637</v>
      </c>
    </row>
    <row r="2056" spans="1:5" hidden="1" x14ac:dyDescent="0.25">
      <c r="A2056">
        <v>1502</v>
      </c>
      <c r="B2056" t="e">
        <v>#N/A</v>
      </c>
      <c r="C2056" t="s">
        <v>1638</v>
      </c>
      <c r="D2056" t="e">
        <f t="shared" si="32"/>
        <v>#N/A</v>
      </c>
      <c r="E2056" t="s">
        <v>1637</v>
      </c>
    </row>
    <row r="2057" spans="1:5" hidden="1" x14ac:dyDescent="0.25">
      <c r="A2057">
        <v>1502</v>
      </c>
      <c r="B2057" t="e">
        <v>#N/A</v>
      </c>
      <c r="C2057" t="s">
        <v>389</v>
      </c>
      <c r="D2057" t="e">
        <f t="shared" si="32"/>
        <v>#N/A</v>
      </c>
      <c r="E2057" t="s">
        <v>1623</v>
      </c>
    </row>
    <row r="2058" spans="1:5" hidden="1" x14ac:dyDescent="0.25">
      <c r="A2058">
        <v>1502</v>
      </c>
      <c r="B2058" t="e">
        <v>#N/A</v>
      </c>
      <c r="C2058" t="s">
        <v>1639</v>
      </c>
      <c r="D2058" t="e">
        <f t="shared" si="32"/>
        <v>#N/A</v>
      </c>
      <c r="E2058" t="s">
        <v>1615</v>
      </c>
    </row>
    <row r="2059" spans="1:5" hidden="1" x14ac:dyDescent="0.25">
      <c r="A2059">
        <v>1502</v>
      </c>
      <c r="B2059" t="e">
        <v>#N/A</v>
      </c>
      <c r="C2059" t="s">
        <v>1641</v>
      </c>
      <c r="D2059" t="e">
        <f t="shared" si="32"/>
        <v>#N/A</v>
      </c>
      <c r="E2059" t="s">
        <v>2102</v>
      </c>
    </row>
    <row r="2060" spans="1:5" hidden="1" x14ac:dyDescent="0.25">
      <c r="A2060">
        <v>1502</v>
      </c>
      <c r="B2060" t="e">
        <v>#N/A</v>
      </c>
      <c r="C2060" t="s">
        <v>1694</v>
      </c>
      <c r="D2060" t="e">
        <f t="shared" si="32"/>
        <v>#N/A</v>
      </c>
      <c r="E2060" t="s">
        <v>1692</v>
      </c>
    </row>
    <row r="2061" spans="1:5" hidden="1" x14ac:dyDescent="0.25">
      <c r="A2061">
        <v>1502</v>
      </c>
      <c r="B2061" t="e">
        <v>#N/A</v>
      </c>
      <c r="C2061" t="s">
        <v>1642</v>
      </c>
      <c r="D2061" t="e">
        <f t="shared" si="32"/>
        <v>#N/A</v>
      </c>
      <c r="E2061" t="s">
        <v>2102</v>
      </c>
    </row>
    <row r="2062" spans="1:5" hidden="1" x14ac:dyDescent="0.25">
      <c r="A2062">
        <v>1502</v>
      </c>
      <c r="B2062" t="e">
        <v>#N/A</v>
      </c>
      <c r="C2062" t="s">
        <v>1643</v>
      </c>
      <c r="D2062" t="e">
        <f t="shared" si="32"/>
        <v>#N/A</v>
      </c>
      <c r="E2062" t="s">
        <v>1611</v>
      </c>
    </row>
    <row r="2063" spans="1:5" hidden="1" x14ac:dyDescent="0.25">
      <c r="A2063">
        <v>1502</v>
      </c>
      <c r="B2063" t="e">
        <v>#N/A</v>
      </c>
      <c r="C2063" t="s">
        <v>442</v>
      </c>
      <c r="D2063" t="e">
        <f t="shared" si="32"/>
        <v>#N/A</v>
      </c>
      <c r="E2063" t="s">
        <v>1646</v>
      </c>
    </row>
    <row r="2064" spans="1:5" hidden="1" x14ac:dyDescent="0.25">
      <c r="A2064">
        <v>1502</v>
      </c>
      <c r="B2064" t="e">
        <v>#N/A</v>
      </c>
      <c r="C2064" t="s">
        <v>1647</v>
      </c>
      <c r="D2064" t="e">
        <f t="shared" si="32"/>
        <v>#N/A</v>
      </c>
      <c r="E2064" t="s">
        <v>1648</v>
      </c>
    </row>
    <row r="2065" spans="1:5" hidden="1" x14ac:dyDescent="0.25">
      <c r="A2065">
        <v>1502</v>
      </c>
      <c r="B2065" t="e">
        <v>#N/A</v>
      </c>
      <c r="C2065" t="s">
        <v>1650</v>
      </c>
      <c r="D2065" t="e">
        <f t="shared" si="32"/>
        <v>#N/A</v>
      </c>
      <c r="E2065" t="s">
        <v>1623</v>
      </c>
    </row>
    <row r="2066" spans="1:5" hidden="1" x14ac:dyDescent="0.25">
      <c r="A2066">
        <v>1502</v>
      </c>
      <c r="B2066" t="e">
        <v>#N/A</v>
      </c>
      <c r="C2066" t="s">
        <v>1652</v>
      </c>
      <c r="D2066" t="e">
        <f t="shared" si="32"/>
        <v>#N/A</v>
      </c>
      <c r="E2066" t="s">
        <v>93</v>
      </c>
    </row>
    <row r="2067" spans="1:5" hidden="1" x14ac:dyDescent="0.25">
      <c r="A2067">
        <v>1502</v>
      </c>
      <c r="B2067" t="e">
        <v>#N/A</v>
      </c>
      <c r="C2067" t="s">
        <v>1653</v>
      </c>
      <c r="D2067" t="e">
        <f t="shared" si="32"/>
        <v>#N/A</v>
      </c>
      <c r="E2067" t="s">
        <v>1648</v>
      </c>
    </row>
    <row r="2068" spans="1:5" hidden="1" x14ac:dyDescent="0.25">
      <c r="A2068">
        <v>1502</v>
      </c>
      <c r="B2068" t="e">
        <v>#N/A</v>
      </c>
      <c r="C2068" t="s">
        <v>1654</v>
      </c>
      <c r="D2068" t="e">
        <f t="shared" si="32"/>
        <v>#N/A</v>
      </c>
      <c r="E2068" t="s">
        <v>1615</v>
      </c>
    </row>
    <row r="2069" spans="1:5" hidden="1" x14ac:dyDescent="0.25">
      <c r="A2069">
        <v>1502</v>
      </c>
      <c r="B2069" t="e">
        <v>#N/A</v>
      </c>
      <c r="C2069" t="s">
        <v>1656</v>
      </c>
      <c r="D2069" t="e">
        <f t="shared" si="32"/>
        <v>#N/A</v>
      </c>
      <c r="E2069" t="s">
        <v>1623</v>
      </c>
    </row>
    <row r="2070" spans="1:5" hidden="1" x14ac:dyDescent="0.25">
      <c r="A2070">
        <v>1502</v>
      </c>
      <c r="B2070" t="e">
        <v>#N/A</v>
      </c>
      <c r="C2070" t="s">
        <v>1657</v>
      </c>
      <c r="D2070" t="e">
        <f t="shared" si="32"/>
        <v>#N/A</v>
      </c>
      <c r="E2070" t="s">
        <v>1630</v>
      </c>
    </row>
    <row r="2071" spans="1:5" hidden="1" x14ac:dyDescent="0.25">
      <c r="A2071">
        <v>1502</v>
      </c>
      <c r="B2071" t="e">
        <v>#N/A</v>
      </c>
      <c r="C2071" t="s">
        <v>1659</v>
      </c>
      <c r="D2071" t="e">
        <f t="shared" si="32"/>
        <v>#N/A</v>
      </c>
      <c r="E2071" t="s">
        <v>1637</v>
      </c>
    </row>
    <row r="2072" spans="1:5" hidden="1" x14ac:dyDescent="0.25">
      <c r="A2072">
        <v>1502</v>
      </c>
      <c r="B2072" t="e">
        <v>#N/A</v>
      </c>
      <c r="C2072" t="s">
        <v>1660</v>
      </c>
      <c r="D2072" t="e">
        <f t="shared" si="32"/>
        <v>#N/A</v>
      </c>
      <c r="E2072" t="s">
        <v>1648</v>
      </c>
    </row>
    <row r="2073" spans="1:5" hidden="1" x14ac:dyDescent="0.25">
      <c r="A2073">
        <v>1502</v>
      </c>
      <c r="B2073" t="e">
        <v>#N/A</v>
      </c>
      <c r="C2073" t="s">
        <v>513</v>
      </c>
      <c r="D2073" t="e">
        <f t="shared" si="32"/>
        <v>#N/A</v>
      </c>
      <c r="E2073" t="s">
        <v>1637</v>
      </c>
    </row>
    <row r="2074" spans="1:5" hidden="1" x14ac:dyDescent="0.25">
      <c r="A2074">
        <v>1502</v>
      </c>
      <c r="B2074" t="e">
        <v>#N/A</v>
      </c>
      <c r="C2074" t="s">
        <v>520</v>
      </c>
      <c r="D2074" t="e">
        <f t="shared" si="32"/>
        <v>#N/A</v>
      </c>
      <c r="E2074" t="s">
        <v>1623</v>
      </c>
    </row>
    <row r="2075" spans="1:5" hidden="1" x14ac:dyDescent="0.25">
      <c r="A2075">
        <v>1502</v>
      </c>
      <c r="B2075" t="e">
        <v>#N/A</v>
      </c>
      <c r="C2075" t="s">
        <v>1661</v>
      </c>
      <c r="D2075" t="e">
        <f t="shared" si="32"/>
        <v>#N/A</v>
      </c>
      <c r="E2075" t="s">
        <v>1615</v>
      </c>
    </row>
    <row r="2076" spans="1:5" hidden="1" x14ac:dyDescent="0.25">
      <c r="A2076">
        <v>1502</v>
      </c>
      <c r="B2076" t="e">
        <v>#N/A</v>
      </c>
      <c r="C2076" t="s">
        <v>1663</v>
      </c>
      <c r="D2076" t="e">
        <f t="shared" si="32"/>
        <v>#N/A</v>
      </c>
      <c r="E2076" t="s">
        <v>1623</v>
      </c>
    </row>
    <row r="2077" spans="1:5" hidden="1" x14ac:dyDescent="0.25">
      <c r="A2077">
        <v>1502</v>
      </c>
      <c r="B2077" t="e">
        <v>#N/A</v>
      </c>
      <c r="C2077" t="s">
        <v>1664</v>
      </c>
      <c r="D2077" t="e">
        <f t="shared" si="32"/>
        <v>#N/A</v>
      </c>
      <c r="E2077" t="s">
        <v>1648</v>
      </c>
    </row>
    <row r="2078" spans="1:5" hidden="1" x14ac:dyDescent="0.25">
      <c r="A2078">
        <v>1502</v>
      </c>
      <c r="B2078" t="e">
        <v>#N/A</v>
      </c>
      <c r="C2078" t="s">
        <v>1665</v>
      </c>
      <c r="D2078" t="e">
        <f t="shared" si="32"/>
        <v>#N/A</v>
      </c>
      <c r="E2078" t="s">
        <v>93</v>
      </c>
    </row>
    <row r="2079" spans="1:5" hidden="1" x14ac:dyDescent="0.25">
      <c r="A2079">
        <v>1502</v>
      </c>
      <c r="B2079" t="e">
        <v>#N/A</v>
      </c>
      <c r="C2079" t="s">
        <v>1666</v>
      </c>
      <c r="D2079" t="e">
        <f t="shared" si="32"/>
        <v>#N/A</v>
      </c>
      <c r="E2079" t="s">
        <v>1648</v>
      </c>
    </row>
    <row r="2080" spans="1:5" hidden="1" x14ac:dyDescent="0.25">
      <c r="A2080">
        <v>1502</v>
      </c>
      <c r="B2080" t="e">
        <v>#N/A</v>
      </c>
      <c r="C2080" t="s">
        <v>1667</v>
      </c>
      <c r="D2080" t="e">
        <f t="shared" si="32"/>
        <v>#N/A</v>
      </c>
      <c r="E2080" t="s">
        <v>1648</v>
      </c>
    </row>
    <row r="2081" spans="1:5" hidden="1" x14ac:dyDescent="0.25">
      <c r="A2081">
        <v>1502</v>
      </c>
      <c r="B2081" t="e">
        <v>#N/A</v>
      </c>
      <c r="C2081" t="s">
        <v>1668</v>
      </c>
      <c r="D2081" t="e">
        <f t="shared" si="32"/>
        <v>#N/A</v>
      </c>
      <c r="E2081" t="s">
        <v>1669</v>
      </c>
    </row>
    <row r="2082" spans="1:5" hidden="1" x14ac:dyDescent="0.25">
      <c r="A2082">
        <v>1502</v>
      </c>
      <c r="B2082" t="e">
        <v>#N/A</v>
      </c>
      <c r="C2082" t="s">
        <v>264</v>
      </c>
      <c r="D2082" t="e">
        <f t="shared" si="32"/>
        <v>#N/A</v>
      </c>
      <c r="E2082" t="s">
        <v>1669</v>
      </c>
    </row>
    <row r="2083" spans="1:5" hidden="1" x14ac:dyDescent="0.25">
      <c r="A2083">
        <v>1502</v>
      </c>
      <c r="B2083" t="e">
        <v>#N/A</v>
      </c>
      <c r="C2083" t="s">
        <v>327</v>
      </c>
      <c r="D2083" t="e">
        <f t="shared" si="32"/>
        <v>#N/A</v>
      </c>
      <c r="E2083" t="s">
        <v>1669</v>
      </c>
    </row>
    <row r="2084" spans="1:5" hidden="1" x14ac:dyDescent="0.25">
      <c r="A2084">
        <v>1502</v>
      </c>
      <c r="B2084" t="e">
        <v>#N/A</v>
      </c>
      <c r="C2084" t="s">
        <v>363</v>
      </c>
      <c r="D2084" t="e">
        <f t="shared" si="32"/>
        <v>#N/A</v>
      </c>
      <c r="E2084" t="s">
        <v>1669</v>
      </c>
    </row>
    <row r="2085" spans="1:5" hidden="1" x14ac:dyDescent="0.25">
      <c r="A2085">
        <v>1502</v>
      </c>
      <c r="B2085" t="e">
        <v>#N/A</v>
      </c>
      <c r="C2085" t="s">
        <v>1672</v>
      </c>
      <c r="D2085" t="e">
        <f t="shared" si="32"/>
        <v>#N/A</v>
      </c>
      <c r="E2085" t="s">
        <v>1671</v>
      </c>
    </row>
    <row r="2086" spans="1:5" hidden="1" x14ac:dyDescent="0.25">
      <c r="A2086">
        <v>1502</v>
      </c>
      <c r="B2086" t="e">
        <v>#N/A</v>
      </c>
      <c r="C2086" t="s">
        <v>316</v>
      </c>
      <c r="D2086" t="e">
        <f t="shared" si="32"/>
        <v>#N/A</v>
      </c>
      <c r="E2086" t="s">
        <v>1671</v>
      </c>
    </row>
    <row r="2087" spans="1:5" hidden="1" x14ac:dyDescent="0.25">
      <c r="A2087">
        <v>1502</v>
      </c>
      <c r="B2087" t="e">
        <v>#N/A</v>
      </c>
      <c r="C2087" t="s">
        <v>1673</v>
      </c>
      <c r="D2087" t="e">
        <f t="shared" si="32"/>
        <v>#N/A</v>
      </c>
      <c r="E2087" t="s">
        <v>1674</v>
      </c>
    </row>
    <row r="2088" spans="1:5" hidden="1" x14ac:dyDescent="0.25">
      <c r="A2088">
        <v>1502</v>
      </c>
      <c r="B2088" t="e">
        <v>#N/A</v>
      </c>
      <c r="C2088" t="s">
        <v>1676</v>
      </c>
      <c r="D2088" t="e">
        <f t="shared" si="32"/>
        <v>#N/A</v>
      </c>
      <c r="E2088" t="s">
        <v>1675</v>
      </c>
    </row>
    <row r="2089" spans="1:5" hidden="1" x14ac:dyDescent="0.25">
      <c r="A2089">
        <v>1502</v>
      </c>
      <c r="B2089" t="e">
        <v>#N/A</v>
      </c>
      <c r="C2089" t="s">
        <v>1677</v>
      </c>
      <c r="D2089" t="e">
        <f t="shared" si="32"/>
        <v>#N/A</v>
      </c>
      <c r="E2089" t="s">
        <v>1675</v>
      </c>
    </row>
    <row r="2090" spans="1:5" hidden="1" x14ac:dyDescent="0.25">
      <c r="A2090">
        <v>1502</v>
      </c>
      <c r="B2090" t="e">
        <v>#N/A</v>
      </c>
      <c r="C2090" t="s">
        <v>358</v>
      </c>
      <c r="D2090" t="e">
        <f t="shared" si="32"/>
        <v>#N/A</v>
      </c>
      <c r="E2090" t="s">
        <v>1674</v>
      </c>
    </row>
    <row r="2091" spans="1:5" hidden="1" x14ac:dyDescent="0.25">
      <c r="A2091">
        <v>1502</v>
      </c>
      <c r="B2091" t="e">
        <v>#N/A</v>
      </c>
      <c r="C2091" t="s">
        <v>1678</v>
      </c>
      <c r="D2091" t="e">
        <f t="shared" si="32"/>
        <v>#N/A</v>
      </c>
      <c r="E2091" t="s">
        <v>1674</v>
      </c>
    </row>
    <row r="2092" spans="1:5" hidden="1" x14ac:dyDescent="0.25">
      <c r="A2092">
        <v>1502</v>
      </c>
      <c r="B2092" t="e">
        <v>#N/A</v>
      </c>
      <c r="C2092" t="s">
        <v>1679</v>
      </c>
      <c r="D2092" t="e">
        <f t="shared" si="32"/>
        <v>#N/A</v>
      </c>
      <c r="E2092" t="s">
        <v>1674</v>
      </c>
    </row>
    <row r="2093" spans="1:5" hidden="1" x14ac:dyDescent="0.25">
      <c r="A2093">
        <v>1502</v>
      </c>
      <c r="B2093" t="e">
        <v>#N/A</v>
      </c>
      <c r="C2093" t="s">
        <v>390</v>
      </c>
      <c r="D2093" t="e">
        <f t="shared" si="32"/>
        <v>#N/A</v>
      </c>
      <c r="E2093" t="s">
        <v>1674</v>
      </c>
    </row>
    <row r="2094" spans="1:5" hidden="1" x14ac:dyDescent="0.25">
      <c r="A2094">
        <v>1502</v>
      </c>
      <c r="B2094" t="e">
        <v>#N/A</v>
      </c>
      <c r="C2094" t="s">
        <v>402</v>
      </c>
      <c r="D2094" t="e">
        <f t="shared" si="32"/>
        <v>#N/A</v>
      </c>
      <c r="E2094" t="s">
        <v>1680</v>
      </c>
    </row>
    <row r="2095" spans="1:5" hidden="1" x14ac:dyDescent="0.25">
      <c r="A2095">
        <v>1502</v>
      </c>
      <c r="B2095" t="e">
        <v>#N/A</v>
      </c>
      <c r="C2095" t="s">
        <v>418</v>
      </c>
      <c r="D2095" t="e">
        <f t="shared" si="32"/>
        <v>#N/A</v>
      </c>
      <c r="E2095" t="s">
        <v>1674</v>
      </c>
    </row>
    <row r="2096" spans="1:5" hidden="1" x14ac:dyDescent="0.25">
      <c r="A2096">
        <v>1502</v>
      </c>
      <c r="B2096" t="e">
        <v>#N/A</v>
      </c>
      <c r="C2096" t="s">
        <v>1681</v>
      </c>
      <c r="D2096" t="e">
        <f t="shared" si="32"/>
        <v>#N/A</v>
      </c>
      <c r="E2096" t="s">
        <v>1675</v>
      </c>
    </row>
    <row r="2097" spans="1:5" hidden="1" x14ac:dyDescent="0.25">
      <c r="A2097">
        <v>1502</v>
      </c>
      <c r="B2097" t="e">
        <v>#N/A</v>
      </c>
      <c r="C2097" t="s">
        <v>1723</v>
      </c>
      <c r="D2097" t="e">
        <f t="shared" si="32"/>
        <v>#N/A</v>
      </c>
      <c r="E2097" t="s">
        <v>1724</v>
      </c>
    </row>
    <row r="2098" spans="1:5" hidden="1" x14ac:dyDescent="0.25">
      <c r="A2098">
        <v>1502</v>
      </c>
      <c r="B2098" t="e">
        <v>#N/A</v>
      </c>
      <c r="C2098" t="s">
        <v>1684</v>
      </c>
      <c r="D2098" t="e">
        <f t="shared" si="32"/>
        <v>#N/A</v>
      </c>
      <c r="E2098" t="s">
        <v>1685</v>
      </c>
    </row>
    <row r="2099" spans="1:5" hidden="1" x14ac:dyDescent="0.25">
      <c r="A2099">
        <v>1502</v>
      </c>
      <c r="B2099" t="e">
        <v>#N/A</v>
      </c>
      <c r="C2099" t="s">
        <v>1687</v>
      </c>
      <c r="D2099" t="e">
        <f t="shared" si="32"/>
        <v>#N/A</v>
      </c>
      <c r="E2099" t="s">
        <v>1623</v>
      </c>
    </row>
    <row r="2100" spans="1:5" hidden="1" x14ac:dyDescent="0.25">
      <c r="A2100">
        <v>1511</v>
      </c>
      <c r="B2100" t="s">
        <v>575</v>
      </c>
      <c r="C2100" t="s">
        <v>1795</v>
      </c>
      <c r="D2100" t="str">
        <f t="shared" si="32"/>
        <v>PCMG0805</v>
      </c>
      <c r="E2100" t="s">
        <v>1596</v>
      </c>
    </row>
    <row r="2101" spans="1:5" hidden="1" x14ac:dyDescent="0.25">
      <c r="A2101">
        <v>1511</v>
      </c>
      <c r="B2101" t="s">
        <v>575</v>
      </c>
      <c r="C2101" t="s">
        <v>331</v>
      </c>
      <c r="D2101" t="str">
        <f t="shared" si="32"/>
        <v>PCMG1314</v>
      </c>
      <c r="E2101" t="s">
        <v>1689</v>
      </c>
    </row>
    <row r="2102" spans="1:5" hidden="1" x14ac:dyDescent="0.25">
      <c r="A2102">
        <v>1511</v>
      </c>
      <c r="B2102" t="s">
        <v>575</v>
      </c>
      <c r="C2102" t="s">
        <v>1688</v>
      </c>
      <c r="D2102" t="str">
        <f t="shared" si="32"/>
        <v>PCMG1317</v>
      </c>
      <c r="E2102" t="s">
        <v>1689</v>
      </c>
    </row>
    <row r="2103" spans="1:5" hidden="1" x14ac:dyDescent="0.25">
      <c r="A2103">
        <v>1511</v>
      </c>
      <c r="B2103" t="s">
        <v>575</v>
      </c>
      <c r="C2103" t="s">
        <v>1597</v>
      </c>
      <c r="D2103" t="str">
        <f t="shared" si="32"/>
        <v>PCMG1401</v>
      </c>
      <c r="E2103" t="s">
        <v>43</v>
      </c>
    </row>
    <row r="2104" spans="1:5" hidden="1" x14ac:dyDescent="0.25">
      <c r="A2104">
        <v>1511</v>
      </c>
      <c r="B2104" t="s">
        <v>575</v>
      </c>
      <c r="C2104" t="s">
        <v>221</v>
      </c>
      <c r="D2104" t="str">
        <f t="shared" si="32"/>
        <v>PCMG1801</v>
      </c>
      <c r="E2104" t="s">
        <v>1738</v>
      </c>
    </row>
    <row r="2105" spans="1:5" hidden="1" x14ac:dyDescent="0.25">
      <c r="A2105">
        <v>1511</v>
      </c>
      <c r="B2105" t="s">
        <v>575</v>
      </c>
      <c r="C2105" t="s">
        <v>1599</v>
      </c>
      <c r="D2105" t="str">
        <f t="shared" si="32"/>
        <v>PCMG3001</v>
      </c>
      <c r="E2105" t="s">
        <v>1600</v>
      </c>
    </row>
    <row r="2106" spans="1:5" hidden="1" x14ac:dyDescent="0.25">
      <c r="A2106">
        <v>1511</v>
      </c>
      <c r="B2106" t="s">
        <v>575</v>
      </c>
      <c r="C2106" t="s">
        <v>255</v>
      </c>
      <c r="D2106" t="str">
        <f t="shared" si="32"/>
        <v>PCMG3002</v>
      </c>
      <c r="E2106" t="s">
        <v>1600</v>
      </c>
    </row>
    <row r="2107" spans="1:5" hidden="1" x14ac:dyDescent="0.25">
      <c r="A2107">
        <v>1511</v>
      </c>
      <c r="B2107" t="s">
        <v>575</v>
      </c>
      <c r="C2107" t="s">
        <v>1601</v>
      </c>
      <c r="D2107" t="str">
        <f t="shared" si="32"/>
        <v>PCMG3003</v>
      </c>
      <c r="E2107" t="s">
        <v>1600</v>
      </c>
    </row>
    <row r="2108" spans="1:5" hidden="1" x14ac:dyDescent="0.25">
      <c r="A2108">
        <v>1511</v>
      </c>
      <c r="B2108" t="s">
        <v>575</v>
      </c>
      <c r="C2108" t="s">
        <v>1602</v>
      </c>
      <c r="D2108" t="str">
        <f t="shared" si="32"/>
        <v>PCMG3004</v>
      </c>
      <c r="E2108" t="s">
        <v>1600</v>
      </c>
    </row>
    <row r="2109" spans="1:5" hidden="1" x14ac:dyDescent="0.25">
      <c r="A2109">
        <v>1511</v>
      </c>
      <c r="B2109" t="s">
        <v>575</v>
      </c>
      <c r="C2109" t="s">
        <v>1603</v>
      </c>
      <c r="D2109" t="str">
        <f t="shared" si="32"/>
        <v>PCMG3005</v>
      </c>
      <c r="E2109" t="s">
        <v>1600</v>
      </c>
    </row>
    <row r="2110" spans="1:5" hidden="1" x14ac:dyDescent="0.25">
      <c r="A2110">
        <v>1511</v>
      </c>
      <c r="B2110" t="s">
        <v>575</v>
      </c>
      <c r="C2110" t="s">
        <v>332</v>
      </c>
      <c r="D2110" t="str">
        <f t="shared" si="32"/>
        <v>PCMG3007</v>
      </c>
      <c r="E2110" t="s">
        <v>1600</v>
      </c>
    </row>
    <row r="2111" spans="1:5" hidden="1" x14ac:dyDescent="0.25">
      <c r="A2111">
        <v>1511</v>
      </c>
      <c r="B2111" t="s">
        <v>575</v>
      </c>
      <c r="C2111" t="s">
        <v>1604</v>
      </c>
      <c r="D2111" t="str">
        <f t="shared" si="32"/>
        <v>PCMG3008</v>
      </c>
      <c r="E2111" t="s">
        <v>1600</v>
      </c>
    </row>
    <row r="2112" spans="1:5" hidden="1" x14ac:dyDescent="0.25">
      <c r="A2112">
        <v>1511</v>
      </c>
      <c r="B2112" t="s">
        <v>575</v>
      </c>
      <c r="C2112" t="s">
        <v>353</v>
      </c>
      <c r="D2112" t="str">
        <f t="shared" si="32"/>
        <v>PCMG3009</v>
      </c>
      <c r="E2112" t="s">
        <v>1600</v>
      </c>
    </row>
    <row r="2113" spans="1:5" hidden="1" x14ac:dyDescent="0.25">
      <c r="A2113">
        <v>1511</v>
      </c>
      <c r="B2113" t="s">
        <v>575</v>
      </c>
      <c r="C2113" t="s">
        <v>1605</v>
      </c>
      <c r="D2113" t="str">
        <f t="shared" si="32"/>
        <v>PCMG3010</v>
      </c>
      <c r="E2113" t="s">
        <v>1606</v>
      </c>
    </row>
    <row r="2114" spans="1:5" hidden="1" x14ac:dyDescent="0.25">
      <c r="A2114">
        <v>1511</v>
      </c>
      <c r="B2114" t="s">
        <v>575</v>
      </c>
      <c r="C2114" t="s">
        <v>368</v>
      </c>
      <c r="D2114" t="str">
        <f t="shared" si="32"/>
        <v>PCMG3011</v>
      </c>
      <c r="E2114" t="s">
        <v>1600</v>
      </c>
    </row>
    <row r="2115" spans="1:5" hidden="1" x14ac:dyDescent="0.25">
      <c r="A2115">
        <v>1511</v>
      </c>
      <c r="B2115" t="s">
        <v>575</v>
      </c>
      <c r="C2115" t="s">
        <v>137</v>
      </c>
      <c r="D2115" t="str">
        <f t="shared" si="32"/>
        <v>PCMG3012</v>
      </c>
      <c r="E2115" t="s">
        <v>1606</v>
      </c>
    </row>
    <row r="2116" spans="1:5" hidden="1" x14ac:dyDescent="0.25">
      <c r="A2116">
        <v>1511</v>
      </c>
      <c r="B2116" t="s">
        <v>575</v>
      </c>
      <c r="C2116" t="s">
        <v>1607</v>
      </c>
      <c r="D2116" t="str">
        <f t="shared" si="32"/>
        <v>PCMG3013</v>
      </c>
      <c r="E2116" t="s">
        <v>1600</v>
      </c>
    </row>
    <row r="2117" spans="1:5" hidden="1" x14ac:dyDescent="0.25">
      <c r="A2117">
        <v>1511</v>
      </c>
      <c r="B2117" t="s">
        <v>575</v>
      </c>
      <c r="C2117" t="s">
        <v>387</v>
      </c>
      <c r="D2117" t="str">
        <f t="shared" ref="D2117:D2180" si="33">CONCATENATE(B2117,LEFT(C2117,4))</f>
        <v>PCMG3014</v>
      </c>
      <c r="E2117" t="s">
        <v>1600</v>
      </c>
    </row>
    <row r="2118" spans="1:5" hidden="1" x14ac:dyDescent="0.25">
      <c r="A2118">
        <v>1511</v>
      </c>
      <c r="B2118" t="s">
        <v>575</v>
      </c>
      <c r="C2118" t="s">
        <v>1608</v>
      </c>
      <c r="D2118" t="str">
        <f t="shared" si="33"/>
        <v>PCMG3015</v>
      </c>
      <c r="E2118" t="s">
        <v>1600</v>
      </c>
    </row>
    <row r="2119" spans="1:5" hidden="1" x14ac:dyDescent="0.25">
      <c r="A2119">
        <v>1511</v>
      </c>
      <c r="B2119" t="s">
        <v>575</v>
      </c>
      <c r="C2119" t="s">
        <v>1609</v>
      </c>
      <c r="D2119" t="str">
        <f t="shared" si="33"/>
        <v>PCMG3016</v>
      </c>
      <c r="E2119" t="s">
        <v>1600</v>
      </c>
    </row>
    <row r="2120" spans="1:5" hidden="1" x14ac:dyDescent="0.25">
      <c r="A2120">
        <v>1511</v>
      </c>
      <c r="B2120" t="s">
        <v>575</v>
      </c>
      <c r="C2120" t="s">
        <v>405</v>
      </c>
      <c r="D2120" t="str">
        <f t="shared" si="33"/>
        <v>PCMG3017</v>
      </c>
      <c r="E2120" t="s">
        <v>1600</v>
      </c>
    </row>
    <row r="2121" spans="1:5" hidden="1" x14ac:dyDescent="0.25">
      <c r="A2121">
        <v>1511</v>
      </c>
      <c r="B2121" t="s">
        <v>575</v>
      </c>
      <c r="C2121" t="s">
        <v>410</v>
      </c>
      <c r="D2121" t="str">
        <f t="shared" si="33"/>
        <v>PCMG3018</v>
      </c>
      <c r="E2121" t="s">
        <v>1600</v>
      </c>
    </row>
    <row r="2122" spans="1:5" hidden="1" x14ac:dyDescent="0.25">
      <c r="A2122">
        <v>1511</v>
      </c>
      <c r="B2122" t="s">
        <v>575</v>
      </c>
      <c r="C2122" t="s">
        <v>1610</v>
      </c>
      <c r="D2122" t="str">
        <f t="shared" si="33"/>
        <v>PCMG3019</v>
      </c>
      <c r="E2122" t="s">
        <v>1611</v>
      </c>
    </row>
    <row r="2123" spans="1:5" hidden="1" x14ac:dyDescent="0.25">
      <c r="A2123">
        <v>1511</v>
      </c>
      <c r="B2123" t="s">
        <v>575</v>
      </c>
      <c r="C2123" t="s">
        <v>1612</v>
      </c>
      <c r="D2123" t="str">
        <f t="shared" si="33"/>
        <v>PCMG3020</v>
      </c>
      <c r="E2123" t="s">
        <v>1600</v>
      </c>
    </row>
    <row r="2124" spans="1:5" hidden="1" x14ac:dyDescent="0.25">
      <c r="A2124">
        <v>1511</v>
      </c>
      <c r="B2124" t="s">
        <v>575</v>
      </c>
      <c r="C2124" t="s">
        <v>1613</v>
      </c>
      <c r="D2124" t="str">
        <f t="shared" si="33"/>
        <v>PCMG3021</v>
      </c>
      <c r="E2124" t="s">
        <v>1600</v>
      </c>
    </row>
    <row r="2125" spans="1:5" hidden="1" x14ac:dyDescent="0.25">
      <c r="A2125">
        <v>1511</v>
      </c>
      <c r="B2125" t="s">
        <v>575</v>
      </c>
      <c r="C2125" t="s">
        <v>430</v>
      </c>
      <c r="D2125" t="str">
        <f t="shared" si="33"/>
        <v>PCMG3022</v>
      </c>
      <c r="E2125" t="s">
        <v>1600</v>
      </c>
    </row>
    <row r="2126" spans="1:5" hidden="1" x14ac:dyDescent="0.25">
      <c r="A2126">
        <v>1511</v>
      </c>
      <c r="B2126" t="s">
        <v>575</v>
      </c>
      <c r="C2126" t="s">
        <v>1614</v>
      </c>
      <c r="D2126" t="str">
        <f t="shared" si="33"/>
        <v>PCMG3023</v>
      </c>
      <c r="E2126" t="s">
        <v>1615</v>
      </c>
    </row>
    <row r="2127" spans="1:5" hidden="1" x14ac:dyDescent="0.25">
      <c r="A2127">
        <v>1511</v>
      </c>
      <c r="B2127" t="s">
        <v>575</v>
      </c>
      <c r="C2127" t="s">
        <v>440</v>
      </c>
      <c r="D2127" t="str">
        <f t="shared" si="33"/>
        <v>PCMG3024</v>
      </c>
      <c r="E2127" t="s">
        <v>1600</v>
      </c>
    </row>
    <row r="2128" spans="1:5" hidden="1" x14ac:dyDescent="0.25">
      <c r="A2128">
        <v>1511</v>
      </c>
      <c r="B2128" t="s">
        <v>575</v>
      </c>
      <c r="C2128" t="s">
        <v>1616</v>
      </c>
      <c r="D2128" t="str">
        <f t="shared" si="33"/>
        <v>PCMG3025</v>
      </c>
      <c r="E2128" t="s">
        <v>1600</v>
      </c>
    </row>
    <row r="2129" spans="1:5" hidden="1" x14ac:dyDescent="0.25">
      <c r="A2129">
        <v>1511</v>
      </c>
      <c r="B2129" t="s">
        <v>575</v>
      </c>
      <c r="C2129" t="s">
        <v>1617</v>
      </c>
      <c r="D2129" t="str">
        <f t="shared" si="33"/>
        <v>PCMG3026</v>
      </c>
      <c r="E2129" t="s">
        <v>1615</v>
      </c>
    </row>
    <row r="2130" spans="1:5" hidden="1" x14ac:dyDescent="0.25">
      <c r="A2130">
        <v>1511</v>
      </c>
      <c r="B2130" t="s">
        <v>575</v>
      </c>
      <c r="C2130" t="s">
        <v>1618</v>
      </c>
      <c r="D2130" t="str">
        <f t="shared" si="33"/>
        <v>PCMG3027</v>
      </c>
      <c r="E2130" t="s">
        <v>1600</v>
      </c>
    </row>
    <row r="2131" spans="1:5" hidden="1" x14ac:dyDescent="0.25">
      <c r="A2131">
        <v>1511</v>
      </c>
      <c r="B2131" t="s">
        <v>575</v>
      </c>
      <c r="C2131" t="s">
        <v>466</v>
      </c>
      <c r="D2131" t="str">
        <f t="shared" si="33"/>
        <v>PCMG3030</v>
      </c>
      <c r="E2131" t="s">
        <v>1600</v>
      </c>
    </row>
    <row r="2132" spans="1:5" hidden="1" x14ac:dyDescent="0.25">
      <c r="A2132">
        <v>1511</v>
      </c>
      <c r="B2132" t="s">
        <v>575</v>
      </c>
      <c r="C2132" t="s">
        <v>469</v>
      </c>
      <c r="D2132" t="str">
        <f t="shared" si="33"/>
        <v>PCMG3031</v>
      </c>
      <c r="E2132" t="s">
        <v>1600</v>
      </c>
    </row>
    <row r="2133" spans="1:5" hidden="1" x14ac:dyDescent="0.25">
      <c r="A2133">
        <v>1511</v>
      </c>
      <c r="B2133" t="s">
        <v>575</v>
      </c>
      <c r="C2133" t="s">
        <v>1619</v>
      </c>
      <c r="D2133" t="str">
        <f t="shared" si="33"/>
        <v>PCMG3032</v>
      </c>
      <c r="E2133" t="s">
        <v>1600</v>
      </c>
    </row>
    <row r="2134" spans="1:5" hidden="1" x14ac:dyDescent="0.25">
      <c r="A2134">
        <v>1511</v>
      </c>
      <c r="B2134" t="s">
        <v>575</v>
      </c>
      <c r="C2134" t="s">
        <v>1620</v>
      </c>
      <c r="D2134" t="str">
        <f t="shared" si="33"/>
        <v>PCMG3033</v>
      </c>
      <c r="E2134" t="s">
        <v>1621</v>
      </c>
    </row>
    <row r="2135" spans="1:5" hidden="1" x14ac:dyDescent="0.25">
      <c r="A2135">
        <v>1511</v>
      </c>
      <c r="B2135" t="s">
        <v>575</v>
      </c>
      <c r="C2135" t="s">
        <v>476</v>
      </c>
      <c r="D2135" t="str">
        <f t="shared" si="33"/>
        <v>PCMG3034</v>
      </c>
      <c r="E2135" t="s">
        <v>1621</v>
      </c>
    </row>
    <row r="2136" spans="1:5" hidden="1" x14ac:dyDescent="0.25">
      <c r="A2136">
        <v>1511</v>
      </c>
      <c r="B2136" t="s">
        <v>575</v>
      </c>
      <c r="C2136" t="s">
        <v>486</v>
      </c>
      <c r="D2136" t="str">
        <f t="shared" si="33"/>
        <v>PCMG3040</v>
      </c>
      <c r="E2136" t="s">
        <v>1600</v>
      </c>
    </row>
    <row r="2137" spans="1:5" hidden="1" x14ac:dyDescent="0.25">
      <c r="A2137">
        <v>1511</v>
      </c>
      <c r="B2137" t="s">
        <v>575</v>
      </c>
      <c r="C2137" t="s">
        <v>1703</v>
      </c>
      <c r="D2137" t="str">
        <f t="shared" si="33"/>
        <v>PCMG3041</v>
      </c>
      <c r="E2137" t="s">
        <v>1623</v>
      </c>
    </row>
    <row r="2138" spans="1:5" hidden="1" x14ac:dyDescent="0.25">
      <c r="A2138">
        <v>1511</v>
      </c>
      <c r="B2138" t="s">
        <v>575</v>
      </c>
      <c r="C2138" t="s">
        <v>490</v>
      </c>
      <c r="D2138" t="str">
        <f t="shared" si="33"/>
        <v>PCMG3099</v>
      </c>
      <c r="E2138" t="s">
        <v>1600</v>
      </c>
    </row>
    <row r="2139" spans="1:5" hidden="1" x14ac:dyDescent="0.25">
      <c r="A2139">
        <v>1511</v>
      </c>
      <c r="B2139" t="s">
        <v>575</v>
      </c>
      <c r="C2139" t="s">
        <v>1622</v>
      </c>
      <c r="D2139" t="str">
        <f t="shared" si="33"/>
        <v>PCMG3101</v>
      </c>
      <c r="E2139" t="s">
        <v>1623</v>
      </c>
    </row>
    <row r="2140" spans="1:5" hidden="1" x14ac:dyDescent="0.25">
      <c r="A2140">
        <v>1511</v>
      </c>
      <c r="B2140" t="s">
        <v>575</v>
      </c>
      <c r="C2140" t="s">
        <v>1626</v>
      </c>
      <c r="D2140" t="str">
        <f t="shared" si="33"/>
        <v>PCMG3302</v>
      </c>
      <c r="E2140" t="s">
        <v>43</v>
      </c>
    </row>
    <row r="2141" spans="1:5" hidden="1" x14ac:dyDescent="0.25">
      <c r="A2141">
        <v>1511</v>
      </c>
      <c r="B2141" t="s">
        <v>575</v>
      </c>
      <c r="C2141" t="s">
        <v>1627</v>
      </c>
      <c r="D2141" t="str">
        <f t="shared" si="33"/>
        <v>PCMG3304</v>
      </c>
      <c r="E2141" t="s">
        <v>43</v>
      </c>
    </row>
    <row r="2142" spans="1:5" hidden="1" x14ac:dyDescent="0.25">
      <c r="A2142">
        <v>1511</v>
      </c>
      <c r="B2142" t="s">
        <v>575</v>
      </c>
      <c r="C2142" t="s">
        <v>1705</v>
      </c>
      <c r="D2142" t="str">
        <f t="shared" si="33"/>
        <v>PCMG3502</v>
      </c>
      <c r="E2142" t="s">
        <v>1706</v>
      </c>
    </row>
    <row r="2143" spans="1:5" hidden="1" x14ac:dyDescent="0.25">
      <c r="A2143">
        <v>1511</v>
      </c>
      <c r="B2143" t="s">
        <v>575</v>
      </c>
      <c r="C2143" t="s">
        <v>296</v>
      </c>
      <c r="D2143" t="str">
        <f t="shared" si="33"/>
        <v>PCMG3604</v>
      </c>
      <c r="E2143" t="s">
        <v>43</v>
      </c>
    </row>
    <row r="2144" spans="1:5" hidden="1" x14ac:dyDescent="0.25">
      <c r="A2144">
        <v>1511</v>
      </c>
      <c r="B2144" t="s">
        <v>575</v>
      </c>
      <c r="C2144" t="s">
        <v>1707</v>
      </c>
      <c r="D2144" t="str">
        <f t="shared" si="33"/>
        <v>PCMG3611</v>
      </c>
      <c r="E2144" t="s">
        <v>1692</v>
      </c>
    </row>
    <row r="2145" spans="1:5" hidden="1" x14ac:dyDescent="0.25">
      <c r="A2145">
        <v>1511</v>
      </c>
      <c r="B2145" t="s">
        <v>575</v>
      </c>
      <c r="C2145" t="s">
        <v>1628</v>
      </c>
      <c r="D2145" t="str">
        <f t="shared" si="33"/>
        <v>PCMG3612</v>
      </c>
      <c r="E2145" t="s">
        <v>1623</v>
      </c>
    </row>
    <row r="2146" spans="1:5" hidden="1" x14ac:dyDescent="0.25">
      <c r="A2146">
        <v>1511</v>
      </c>
      <c r="B2146" t="s">
        <v>575</v>
      </c>
      <c r="C2146" t="s">
        <v>406</v>
      </c>
      <c r="D2146" t="str">
        <f t="shared" si="33"/>
        <v>PCMG3618</v>
      </c>
      <c r="E2146" t="s">
        <v>1611</v>
      </c>
    </row>
    <row r="2147" spans="1:5" hidden="1" x14ac:dyDescent="0.25">
      <c r="A2147">
        <v>1511</v>
      </c>
      <c r="B2147" t="s">
        <v>575</v>
      </c>
      <c r="C2147" t="s">
        <v>1693</v>
      </c>
      <c r="D2147" t="str">
        <f t="shared" si="33"/>
        <v>PCMG3702</v>
      </c>
      <c r="E2147" t="s">
        <v>1630</v>
      </c>
    </row>
    <row r="2148" spans="1:5" hidden="1" x14ac:dyDescent="0.25">
      <c r="A2148">
        <v>1511</v>
      </c>
      <c r="B2148" t="s">
        <v>575</v>
      </c>
      <c r="C2148" t="s">
        <v>1631</v>
      </c>
      <c r="D2148" t="str">
        <f t="shared" si="33"/>
        <v>PCMG3703</v>
      </c>
      <c r="E2148" t="s">
        <v>116</v>
      </c>
    </row>
    <row r="2149" spans="1:5" hidden="1" x14ac:dyDescent="0.25">
      <c r="A2149">
        <v>1511</v>
      </c>
      <c r="B2149" t="s">
        <v>575</v>
      </c>
      <c r="C2149" t="s">
        <v>1632</v>
      </c>
      <c r="D2149" t="str">
        <f t="shared" si="33"/>
        <v>PCMG3704</v>
      </c>
      <c r="E2149" t="s">
        <v>116</v>
      </c>
    </row>
    <row r="2150" spans="1:5" hidden="1" x14ac:dyDescent="0.25">
      <c r="A2150">
        <v>1511</v>
      </c>
      <c r="B2150" t="s">
        <v>575</v>
      </c>
      <c r="C2150" t="s">
        <v>1633</v>
      </c>
      <c r="D2150" t="str">
        <f t="shared" si="33"/>
        <v>PCMG3705</v>
      </c>
      <c r="E2150" t="s">
        <v>116</v>
      </c>
    </row>
    <row r="2151" spans="1:5" hidden="1" x14ac:dyDescent="0.25">
      <c r="A2151">
        <v>1511</v>
      </c>
      <c r="B2151" t="s">
        <v>575</v>
      </c>
      <c r="C2151" t="s">
        <v>1634</v>
      </c>
      <c r="D2151" t="str">
        <f t="shared" si="33"/>
        <v>PCMG3903</v>
      </c>
      <c r="E2151" t="s">
        <v>86</v>
      </c>
    </row>
    <row r="2152" spans="1:5" hidden="1" x14ac:dyDescent="0.25">
      <c r="A2152">
        <v>1511</v>
      </c>
      <c r="B2152" t="s">
        <v>575</v>
      </c>
      <c r="C2152" t="s">
        <v>298</v>
      </c>
      <c r="D2152" t="str">
        <f t="shared" si="33"/>
        <v>PCMG3904</v>
      </c>
      <c r="E2152" t="s">
        <v>1623</v>
      </c>
    </row>
    <row r="2153" spans="1:5" hidden="1" x14ac:dyDescent="0.25">
      <c r="A2153">
        <v>1511</v>
      </c>
      <c r="B2153" t="s">
        <v>575</v>
      </c>
      <c r="C2153" t="s">
        <v>325</v>
      </c>
      <c r="D2153" t="str">
        <f t="shared" si="33"/>
        <v>PCMG3906</v>
      </c>
      <c r="E2153" t="s">
        <v>1623</v>
      </c>
    </row>
    <row r="2154" spans="1:5" hidden="1" x14ac:dyDescent="0.25">
      <c r="A2154">
        <v>1511</v>
      </c>
      <c r="B2154" t="s">
        <v>575</v>
      </c>
      <c r="C2154" t="s">
        <v>345</v>
      </c>
      <c r="D2154" t="str">
        <f t="shared" si="33"/>
        <v>PCMG3910</v>
      </c>
      <c r="E2154" t="s">
        <v>1623</v>
      </c>
    </row>
    <row r="2155" spans="1:5" hidden="1" x14ac:dyDescent="0.25">
      <c r="A2155">
        <v>1511</v>
      </c>
      <c r="B2155" t="s">
        <v>575</v>
      </c>
      <c r="C2155" t="s">
        <v>355</v>
      </c>
      <c r="D2155" t="str">
        <f t="shared" si="33"/>
        <v>PCMG3911</v>
      </c>
      <c r="E2155" t="s">
        <v>1623</v>
      </c>
    </row>
    <row r="2156" spans="1:5" hidden="1" x14ac:dyDescent="0.25">
      <c r="A2156">
        <v>1511</v>
      </c>
      <c r="B2156" t="s">
        <v>575</v>
      </c>
      <c r="C2156" t="s">
        <v>1636</v>
      </c>
      <c r="D2156" t="str">
        <f t="shared" si="33"/>
        <v>PCMG3912</v>
      </c>
      <c r="E2156" t="s">
        <v>1637</v>
      </c>
    </row>
    <row r="2157" spans="1:5" hidden="1" x14ac:dyDescent="0.25">
      <c r="A2157">
        <v>1511</v>
      </c>
      <c r="B2157" t="s">
        <v>575</v>
      </c>
      <c r="C2157" t="s">
        <v>1638</v>
      </c>
      <c r="D2157" t="str">
        <f t="shared" si="33"/>
        <v>PCMG3913</v>
      </c>
      <c r="E2157" t="s">
        <v>1637</v>
      </c>
    </row>
    <row r="2158" spans="1:5" hidden="1" x14ac:dyDescent="0.25">
      <c r="A2158">
        <v>1511</v>
      </c>
      <c r="B2158" t="s">
        <v>575</v>
      </c>
      <c r="C2158" t="s">
        <v>383</v>
      </c>
      <c r="D2158" t="str">
        <f t="shared" si="33"/>
        <v>PCMG3915</v>
      </c>
      <c r="E2158" t="s">
        <v>1637</v>
      </c>
    </row>
    <row r="2159" spans="1:5" hidden="1" x14ac:dyDescent="0.25">
      <c r="A2159">
        <v>1511</v>
      </c>
      <c r="B2159" t="s">
        <v>575</v>
      </c>
      <c r="C2159" t="s">
        <v>1639</v>
      </c>
      <c r="D2159" t="str">
        <f t="shared" si="33"/>
        <v>PCMG3917</v>
      </c>
      <c r="E2159" t="s">
        <v>1615</v>
      </c>
    </row>
    <row r="2160" spans="1:5" hidden="1" x14ac:dyDescent="0.25">
      <c r="A2160">
        <v>1511</v>
      </c>
      <c r="B2160" t="s">
        <v>575</v>
      </c>
      <c r="C2160" t="s">
        <v>1640</v>
      </c>
      <c r="D2160" t="str">
        <f t="shared" si="33"/>
        <v>PCMG3918</v>
      </c>
      <c r="E2160" t="s">
        <v>1615</v>
      </c>
    </row>
    <row r="2161" spans="1:5" hidden="1" x14ac:dyDescent="0.25">
      <c r="A2161">
        <v>1511</v>
      </c>
      <c r="B2161" t="s">
        <v>575</v>
      </c>
      <c r="C2161" t="s">
        <v>1641</v>
      </c>
      <c r="D2161" t="str">
        <f t="shared" si="33"/>
        <v>PCMG3919</v>
      </c>
      <c r="E2161" t="s">
        <v>2102</v>
      </c>
    </row>
    <row r="2162" spans="1:5" hidden="1" x14ac:dyDescent="0.25">
      <c r="A2162">
        <v>1511</v>
      </c>
      <c r="B2162" t="s">
        <v>575</v>
      </c>
      <c r="C2162" t="s">
        <v>1694</v>
      </c>
      <c r="D2162" t="str">
        <f t="shared" si="33"/>
        <v>PCMG3920</v>
      </c>
      <c r="E2162" t="s">
        <v>1692</v>
      </c>
    </row>
    <row r="2163" spans="1:5" hidden="1" x14ac:dyDescent="0.25">
      <c r="A2163">
        <v>1511</v>
      </c>
      <c r="B2163" t="s">
        <v>575</v>
      </c>
      <c r="C2163" t="s">
        <v>1642</v>
      </c>
      <c r="D2163" t="str">
        <f t="shared" si="33"/>
        <v>PCMG3921</v>
      </c>
      <c r="E2163" t="s">
        <v>2102</v>
      </c>
    </row>
    <row r="2164" spans="1:5" hidden="1" x14ac:dyDescent="0.25">
      <c r="A2164">
        <v>1511</v>
      </c>
      <c r="B2164" t="s">
        <v>575</v>
      </c>
      <c r="C2164" t="s">
        <v>1643</v>
      </c>
      <c r="D2164" t="str">
        <f t="shared" si="33"/>
        <v>PCMG3922</v>
      </c>
      <c r="E2164" t="s">
        <v>1611</v>
      </c>
    </row>
    <row r="2165" spans="1:5" hidden="1" x14ac:dyDescent="0.25">
      <c r="A2165">
        <v>1511</v>
      </c>
      <c r="B2165" t="s">
        <v>575</v>
      </c>
      <c r="C2165" t="s">
        <v>1644</v>
      </c>
      <c r="D2165" t="str">
        <f t="shared" si="33"/>
        <v>PCMG3924</v>
      </c>
      <c r="E2165" t="s">
        <v>1645</v>
      </c>
    </row>
    <row r="2166" spans="1:5" hidden="1" x14ac:dyDescent="0.25">
      <c r="A2166">
        <v>1511</v>
      </c>
      <c r="B2166" t="s">
        <v>575</v>
      </c>
      <c r="C2166" t="s">
        <v>442</v>
      </c>
      <c r="D2166" t="str">
        <f t="shared" si="33"/>
        <v>PCMG3926</v>
      </c>
      <c r="E2166" t="s">
        <v>1646</v>
      </c>
    </row>
    <row r="2167" spans="1:5" hidden="1" x14ac:dyDescent="0.25">
      <c r="A2167">
        <v>1511</v>
      </c>
      <c r="B2167" t="s">
        <v>575</v>
      </c>
      <c r="C2167" t="s">
        <v>1647</v>
      </c>
      <c r="D2167" t="str">
        <f t="shared" si="33"/>
        <v>PCMG3927</v>
      </c>
      <c r="E2167" t="s">
        <v>1648</v>
      </c>
    </row>
    <row r="2168" spans="1:5" hidden="1" x14ac:dyDescent="0.25">
      <c r="A2168">
        <v>1511</v>
      </c>
      <c r="B2168" t="s">
        <v>575</v>
      </c>
      <c r="C2168" t="s">
        <v>457</v>
      </c>
      <c r="D2168" t="str">
        <f t="shared" si="33"/>
        <v>PCMG3930</v>
      </c>
      <c r="E2168" t="s">
        <v>1646</v>
      </c>
    </row>
    <row r="2169" spans="1:5" hidden="1" x14ac:dyDescent="0.25">
      <c r="A2169">
        <v>1511</v>
      </c>
      <c r="B2169" t="s">
        <v>575</v>
      </c>
      <c r="C2169" t="s">
        <v>1650</v>
      </c>
      <c r="D2169" t="str">
        <f t="shared" si="33"/>
        <v>PCMG3931</v>
      </c>
      <c r="E2169" t="s">
        <v>1623</v>
      </c>
    </row>
    <row r="2170" spans="1:5" hidden="1" x14ac:dyDescent="0.25">
      <c r="A2170">
        <v>1511</v>
      </c>
      <c r="B2170" t="s">
        <v>575</v>
      </c>
      <c r="C2170" t="s">
        <v>468</v>
      </c>
      <c r="D2170" t="str">
        <f t="shared" si="33"/>
        <v>PCMG3934</v>
      </c>
      <c r="E2170" t="s">
        <v>1621</v>
      </c>
    </row>
    <row r="2171" spans="1:5" hidden="1" x14ac:dyDescent="0.25">
      <c r="A2171">
        <v>1511</v>
      </c>
      <c r="B2171" t="s">
        <v>575</v>
      </c>
      <c r="C2171" t="s">
        <v>1651</v>
      </c>
      <c r="D2171" t="str">
        <f t="shared" si="33"/>
        <v>PCMG3935</v>
      </c>
      <c r="E2171" t="s">
        <v>1621</v>
      </c>
    </row>
    <row r="2172" spans="1:5" hidden="1" x14ac:dyDescent="0.25">
      <c r="A2172">
        <v>1511</v>
      </c>
      <c r="B2172" t="s">
        <v>575</v>
      </c>
      <c r="C2172" t="s">
        <v>1652</v>
      </c>
      <c r="D2172" t="str">
        <f t="shared" si="33"/>
        <v>PCMG3936</v>
      </c>
      <c r="E2172" t="s">
        <v>93</v>
      </c>
    </row>
    <row r="2173" spans="1:5" hidden="1" x14ac:dyDescent="0.25">
      <c r="A2173">
        <v>1511</v>
      </c>
      <c r="B2173" t="s">
        <v>575</v>
      </c>
      <c r="C2173" t="s">
        <v>1695</v>
      </c>
      <c r="D2173" t="str">
        <f t="shared" si="33"/>
        <v>PCMG3937</v>
      </c>
      <c r="E2173" t="s">
        <v>1692</v>
      </c>
    </row>
    <row r="2174" spans="1:5" hidden="1" x14ac:dyDescent="0.25">
      <c r="A2174">
        <v>1511</v>
      </c>
      <c r="B2174" t="s">
        <v>575</v>
      </c>
      <c r="C2174" t="s">
        <v>1714</v>
      </c>
      <c r="D2174" t="str">
        <f t="shared" si="33"/>
        <v>PCMG3939</v>
      </c>
      <c r="E2174" t="s">
        <v>1623</v>
      </c>
    </row>
    <row r="2175" spans="1:5" hidden="1" x14ac:dyDescent="0.25">
      <c r="A2175">
        <v>1511</v>
      </c>
      <c r="B2175" t="s">
        <v>575</v>
      </c>
      <c r="C2175" t="s">
        <v>1653</v>
      </c>
      <c r="D2175" t="str">
        <f t="shared" si="33"/>
        <v>PCMG3940</v>
      </c>
      <c r="E2175" t="s">
        <v>1648</v>
      </c>
    </row>
    <row r="2176" spans="1:5" hidden="1" x14ac:dyDescent="0.25">
      <c r="A2176">
        <v>1511</v>
      </c>
      <c r="B2176" t="s">
        <v>575</v>
      </c>
      <c r="C2176" t="s">
        <v>481</v>
      </c>
      <c r="D2176" t="str">
        <f t="shared" si="33"/>
        <v>PCMG3942</v>
      </c>
      <c r="E2176" t="s">
        <v>1623</v>
      </c>
    </row>
    <row r="2177" spans="1:5" hidden="1" x14ac:dyDescent="0.25">
      <c r="A2177">
        <v>1511</v>
      </c>
      <c r="B2177" t="s">
        <v>575</v>
      </c>
      <c r="C2177" t="s">
        <v>1654</v>
      </c>
      <c r="D2177" t="str">
        <f t="shared" si="33"/>
        <v>PCMG3943</v>
      </c>
      <c r="E2177" t="s">
        <v>1615</v>
      </c>
    </row>
    <row r="2178" spans="1:5" hidden="1" x14ac:dyDescent="0.25">
      <c r="A2178">
        <v>1511</v>
      </c>
      <c r="B2178" t="s">
        <v>575</v>
      </c>
      <c r="C2178" t="s">
        <v>491</v>
      </c>
      <c r="D2178" t="str">
        <f t="shared" si="33"/>
        <v>PCMG3948</v>
      </c>
      <c r="E2178" t="s">
        <v>1645</v>
      </c>
    </row>
    <row r="2179" spans="1:5" hidden="1" x14ac:dyDescent="0.25">
      <c r="A2179">
        <v>1511</v>
      </c>
      <c r="B2179" t="s">
        <v>575</v>
      </c>
      <c r="C2179" t="s">
        <v>497</v>
      </c>
      <c r="D2179" t="str">
        <f t="shared" si="33"/>
        <v>PCMG3955</v>
      </c>
      <c r="E2179" t="s">
        <v>1623</v>
      </c>
    </row>
    <row r="2180" spans="1:5" hidden="1" x14ac:dyDescent="0.25">
      <c r="A2180">
        <v>1511</v>
      </c>
      <c r="B2180" t="s">
        <v>575</v>
      </c>
      <c r="C2180" t="s">
        <v>1656</v>
      </c>
      <c r="D2180" t="str">
        <f t="shared" si="33"/>
        <v>PCMG3959</v>
      </c>
      <c r="E2180" t="s">
        <v>1623</v>
      </c>
    </row>
    <row r="2181" spans="1:5" hidden="1" x14ac:dyDescent="0.25">
      <c r="A2181">
        <v>1511</v>
      </c>
      <c r="B2181" t="s">
        <v>575</v>
      </c>
      <c r="C2181" t="s">
        <v>1709</v>
      </c>
      <c r="D2181" t="str">
        <f t="shared" ref="D2181:D2244" si="34">CONCATENATE(B2181,LEFT(C2181,4))</f>
        <v>PCMG3960</v>
      </c>
      <c r="E2181" t="s">
        <v>102</v>
      </c>
    </row>
    <row r="2182" spans="1:5" hidden="1" x14ac:dyDescent="0.25">
      <c r="A2182">
        <v>1511</v>
      </c>
      <c r="B2182" t="s">
        <v>575</v>
      </c>
      <c r="C2182" t="s">
        <v>1657</v>
      </c>
      <c r="D2182" t="str">
        <f t="shared" si="34"/>
        <v>PCMG3961</v>
      </c>
      <c r="E2182" t="s">
        <v>1630</v>
      </c>
    </row>
    <row r="2183" spans="1:5" hidden="1" x14ac:dyDescent="0.25">
      <c r="A2183">
        <v>1511</v>
      </c>
      <c r="B2183" t="s">
        <v>575</v>
      </c>
      <c r="C2183" t="s">
        <v>1696</v>
      </c>
      <c r="D2183" t="str">
        <f t="shared" si="34"/>
        <v>PCMG3962</v>
      </c>
      <c r="E2183" t="s">
        <v>2103</v>
      </c>
    </row>
    <row r="2184" spans="1:5" hidden="1" x14ac:dyDescent="0.25">
      <c r="A2184">
        <v>1511</v>
      </c>
      <c r="B2184" t="s">
        <v>575</v>
      </c>
      <c r="C2184" t="s">
        <v>1718</v>
      </c>
      <c r="D2184" t="str">
        <f t="shared" si="34"/>
        <v>PCMG3964</v>
      </c>
      <c r="E2184" t="s">
        <v>1623</v>
      </c>
    </row>
    <row r="2185" spans="1:5" hidden="1" x14ac:dyDescent="0.25">
      <c r="A2185">
        <v>1511</v>
      </c>
      <c r="B2185" t="s">
        <v>575</v>
      </c>
      <c r="C2185" t="s">
        <v>1659</v>
      </c>
      <c r="D2185" t="str">
        <f t="shared" si="34"/>
        <v>PCMG3969</v>
      </c>
      <c r="E2185" t="s">
        <v>1637</v>
      </c>
    </row>
    <row r="2186" spans="1:5" hidden="1" x14ac:dyDescent="0.25">
      <c r="A2186">
        <v>1511</v>
      </c>
      <c r="B2186" t="s">
        <v>575</v>
      </c>
      <c r="C2186" t="s">
        <v>1660</v>
      </c>
      <c r="D2186" t="str">
        <f t="shared" si="34"/>
        <v>PCMG3970</v>
      </c>
      <c r="E2186" t="s">
        <v>1648</v>
      </c>
    </row>
    <row r="2187" spans="1:5" hidden="1" x14ac:dyDescent="0.25">
      <c r="A2187">
        <v>1511</v>
      </c>
      <c r="B2187" t="s">
        <v>575</v>
      </c>
      <c r="C2187" t="s">
        <v>512</v>
      </c>
      <c r="D2187" t="str">
        <f t="shared" si="34"/>
        <v>PCMG3971</v>
      </c>
      <c r="E2187" t="s">
        <v>2103</v>
      </c>
    </row>
    <row r="2188" spans="1:5" hidden="1" x14ac:dyDescent="0.25">
      <c r="A2188">
        <v>1511</v>
      </c>
      <c r="B2188" t="s">
        <v>575</v>
      </c>
      <c r="C2188" t="s">
        <v>515</v>
      </c>
      <c r="D2188" t="str">
        <f t="shared" si="34"/>
        <v>PCMG3974</v>
      </c>
      <c r="E2188" t="s">
        <v>1697</v>
      </c>
    </row>
    <row r="2189" spans="1:5" hidden="1" x14ac:dyDescent="0.25">
      <c r="A2189">
        <v>1511</v>
      </c>
      <c r="B2189" t="s">
        <v>575</v>
      </c>
      <c r="C2189" t="s">
        <v>519</v>
      </c>
      <c r="D2189" t="str">
        <f t="shared" si="34"/>
        <v>PCMG3978</v>
      </c>
      <c r="E2189" t="s">
        <v>102</v>
      </c>
    </row>
    <row r="2190" spans="1:5" hidden="1" x14ac:dyDescent="0.25">
      <c r="A2190">
        <v>1511</v>
      </c>
      <c r="B2190" t="s">
        <v>575</v>
      </c>
      <c r="C2190" t="s">
        <v>520</v>
      </c>
      <c r="D2190" t="str">
        <f t="shared" si="34"/>
        <v>PCMG3981</v>
      </c>
      <c r="E2190" t="s">
        <v>1623</v>
      </c>
    </row>
    <row r="2191" spans="1:5" hidden="1" x14ac:dyDescent="0.25">
      <c r="A2191">
        <v>1511</v>
      </c>
      <c r="B2191" t="s">
        <v>575</v>
      </c>
      <c r="C2191" t="s">
        <v>1661</v>
      </c>
      <c r="D2191" t="str">
        <f t="shared" si="34"/>
        <v>PCMG3987</v>
      </c>
      <c r="E2191" t="s">
        <v>1615</v>
      </c>
    </row>
    <row r="2192" spans="1:5" hidden="1" x14ac:dyDescent="0.25">
      <c r="A2192">
        <v>1511</v>
      </c>
      <c r="B2192" t="s">
        <v>575</v>
      </c>
      <c r="C2192" t="s">
        <v>530</v>
      </c>
      <c r="D2192" t="str">
        <f t="shared" si="34"/>
        <v>PCMG3991</v>
      </c>
      <c r="E2192" t="s">
        <v>1623</v>
      </c>
    </row>
    <row r="2193" spans="1:5" hidden="1" x14ac:dyDescent="0.25">
      <c r="A2193">
        <v>1511</v>
      </c>
      <c r="B2193" t="s">
        <v>575</v>
      </c>
      <c r="C2193" t="s">
        <v>1735</v>
      </c>
      <c r="D2193" t="str">
        <f t="shared" si="34"/>
        <v>PCMG3998</v>
      </c>
      <c r="E2193" t="s">
        <v>1606</v>
      </c>
    </row>
    <row r="2194" spans="1:5" hidden="1" x14ac:dyDescent="0.25">
      <c r="A2194">
        <v>1511</v>
      </c>
      <c r="B2194" t="s">
        <v>575</v>
      </c>
      <c r="C2194" t="s">
        <v>1663</v>
      </c>
      <c r="D2194" t="str">
        <f t="shared" si="34"/>
        <v>PCMG3999</v>
      </c>
      <c r="E2194" t="s">
        <v>1623</v>
      </c>
    </row>
    <row r="2195" spans="1:5" hidden="1" x14ac:dyDescent="0.25">
      <c r="A2195">
        <v>1511</v>
      </c>
      <c r="B2195" t="s">
        <v>575</v>
      </c>
      <c r="C2195" t="s">
        <v>1664</v>
      </c>
      <c r="D2195" t="str">
        <f t="shared" si="34"/>
        <v>PCMG4002</v>
      </c>
      <c r="E2195" t="s">
        <v>1648</v>
      </c>
    </row>
    <row r="2196" spans="1:5" hidden="1" x14ac:dyDescent="0.25">
      <c r="A2196">
        <v>1511</v>
      </c>
      <c r="B2196" t="s">
        <v>575</v>
      </c>
      <c r="C2196" t="s">
        <v>1665</v>
      </c>
      <c r="D2196" t="str">
        <f t="shared" si="34"/>
        <v>PCMG4003</v>
      </c>
      <c r="E2196" t="s">
        <v>93</v>
      </c>
    </row>
    <row r="2197" spans="1:5" hidden="1" x14ac:dyDescent="0.25">
      <c r="A2197">
        <v>1511</v>
      </c>
      <c r="B2197" t="s">
        <v>575</v>
      </c>
      <c r="C2197" t="s">
        <v>1666</v>
      </c>
      <c r="D2197" t="str">
        <f t="shared" si="34"/>
        <v>PCMG4004</v>
      </c>
      <c r="E2197" t="s">
        <v>1648</v>
      </c>
    </row>
    <row r="2198" spans="1:5" hidden="1" x14ac:dyDescent="0.25">
      <c r="A2198">
        <v>1511</v>
      </c>
      <c r="B2198" t="s">
        <v>575</v>
      </c>
      <c r="C2198" t="s">
        <v>1667</v>
      </c>
      <c r="D2198" t="str">
        <f t="shared" si="34"/>
        <v>PCMG4005</v>
      </c>
      <c r="E2198" t="s">
        <v>1648</v>
      </c>
    </row>
    <row r="2199" spans="1:5" hidden="1" x14ac:dyDescent="0.25">
      <c r="A2199">
        <v>1511</v>
      </c>
      <c r="B2199" t="s">
        <v>575</v>
      </c>
      <c r="C2199" t="s">
        <v>1698</v>
      </c>
      <c r="D2199" t="str">
        <f t="shared" si="34"/>
        <v>PCMG4006</v>
      </c>
      <c r="E2199" t="s">
        <v>1675</v>
      </c>
    </row>
    <row r="2200" spans="1:5" hidden="1" x14ac:dyDescent="0.25">
      <c r="A2200">
        <v>1511</v>
      </c>
      <c r="B2200" t="s">
        <v>575</v>
      </c>
      <c r="C2200" t="s">
        <v>1699</v>
      </c>
      <c r="D2200" t="str">
        <f t="shared" si="34"/>
        <v>PCMG4007</v>
      </c>
      <c r="E2200" t="s">
        <v>93</v>
      </c>
    </row>
    <row r="2201" spans="1:5" hidden="1" x14ac:dyDescent="0.25">
      <c r="A2201">
        <v>1511</v>
      </c>
      <c r="B2201" t="s">
        <v>575</v>
      </c>
      <c r="C2201" t="s">
        <v>1668</v>
      </c>
      <c r="D2201" t="str">
        <f t="shared" si="34"/>
        <v>PCMG4701</v>
      </c>
      <c r="E2201" t="s">
        <v>1669</v>
      </c>
    </row>
    <row r="2202" spans="1:5" hidden="1" x14ac:dyDescent="0.25">
      <c r="A2202">
        <v>1511</v>
      </c>
      <c r="B2202" t="s">
        <v>575</v>
      </c>
      <c r="C2202" t="s">
        <v>264</v>
      </c>
      <c r="D2202" t="str">
        <f t="shared" si="34"/>
        <v>PCMG4703</v>
      </c>
      <c r="E2202" t="s">
        <v>1669</v>
      </c>
    </row>
    <row r="2203" spans="1:5" hidden="1" x14ac:dyDescent="0.25">
      <c r="A2203">
        <v>1511</v>
      </c>
      <c r="B2203" t="s">
        <v>575</v>
      </c>
      <c r="C2203" t="s">
        <v>327</v>
      </c>
      <c r="D2203" t="str">
        <f t="shared" si="34"/>
        <v>PCMG4707</v>
      </c>
      <c r="E2203" t="s">
        <v>1669</v>
      </c>
    </row>
    <row r="2204" spans="1:5" hidden="1" x14ac:dyDescent="0.25">
      <c r="A2204">
        <v>1511</v>
      </c>
      <c r="B2204" t="s">
        <v>575</v>
      </c>
      <c r="C2204" t="s">
        <v>356</v>
      </c>
      <c r="D2204" t="str">
        <f t="shared" si="34"/>
        <v>PCMG4710</v>
      </c>
      <c r="E2204" t="s">
        <v>1669</v>
      </c>
    </row>
    <row r="2205" spans="1:5" hidden="1" x14ac:dyDescent="0.25">
      <c r="A2205">
        <v>1511</v>
      </c>
      <c r="B2205" t="s">
        <v>575</v>
      </c>
      <c r="C2205" t="s">
        <v>1670</v>
      </c>
      <c r="D2205" t="str">
        <f t="shared" si="34"/>
        <v>PCMG5101</v>
      </c>
      <c r="E2205" t="s">
        <v>1671</v>
      </c>
    </row>
    <row r="2206" spans="1:5" hidden="1" x14ac:dyDescent="0.25">
      <c r="A2206">
        <v>1511</v>
      </c>
      <c r="B2206" t="s">
        <v>575</v>
      </c>
      <c r="C2206" t="s">
        <v>1672</v>
      </c>
      <c r="D2206" t="str">
        <f t="shared" si="34"/>
        <v>PCMG5103</v>
      </c>
      <c r="E2206" t="s">
        <v>1671</v>
      </c>
    </row>
    <row r="2207" spans="1:5" hidden="1" x14ac:dyDescent="0.25">
      <c r="A2207">
        <v>1511</v>
      </c>
      <c r="B2207" t="s">
        <v>575</v>
      </c>
      <c r="C2207" t="s">
        <v>172</v>
      </c>
      <c r="D2207" t="str">
        <f t="shared" si="34"/>
        <v>PCMG5107</v>
      </c>
      <c r="E2207" t="s">
        <v>1671</v>
      </c>
    </row>
    <row r="2208" spans="1:5" hidden="1" x14ac:dyDescent="0.25">
      <c r="A2208">
        <v>1511</v>
      </c>
      <c r="B2208" t="s">
        <v>575</v>
      </c>
      <c r="C2208" t="s">
        <v>241</v>
      </c>
      <c r="D2208" t="str">
        <f t="shared" si="34"/>
        <v>PCMG5201</v>
      </c>
      <c r="E2208" t="s">
        <v>1621</v>
      </c>
    </row>
    <row r="2209" spans="1:5" hidden="1" x14ac:dyDescent="0.25">
      <c r="A2209">
        <v>1511</v>
      </c>
      <c r="B2209" t="s">
        <v>575</v>
      </c>
      <c r="C2209" t="s">
        <v>287</v>
      </c>
      <c r="D2209" t="str">
        <f t="shared" si="34"/>
        <v>PCMG5203</v>
      </c>
      <c r="E2209" t="s">
        <v>1674</v>
      </c>
    </row>
    <row r="2210" spans="1:5" hidden="1" x14ac:dyDescent="0.25">
      <c r="A2210">
        <v>1511</v>
      </c>
      <c r="B2210" t="s">
        <v>575</v>
      </c>
      <c r="C2210" t="s">
        <v>1673</v>
      </c>
      <c r="D2210" t="str">
        <f t="shared" si="34"/>
        <v>PCMG5204</v>
      </c>
      <c r="E2210" t="s">
        <v>1674</v>
      </c>
    </row>
    <row r="2211" spans="1:5" hidden="1" x14ac:dyDescent="0.25">
      <c r="A2211">
        <v>1511</v>
      </c>
      <c r="B2211" t="s">
        <v>575</v>
      </c>
      <c r="C2211" t="s">
        <v>328</v>
      </c>
      <c r="D2211" t="str">
        <f t="shared" si="34"/>
        <v>PCMG5206</v>
      </c>
      <c r="E2211" t="s">
        <v>1675</v>
      </c>
    </row>
    <row r="2212" spans="1:5" hidden="1" x14ac:dyDescent="0.25">
      <c r="A2212">
        <v>1511</v>
      </c>
      <c r="B2212" t="s">
        <v>575</v>
      </c>
      <c r="C2212" t="s">
        <v>1676</v>
      </c>
      <c r="D2212" t="str">
        <f t="shared" si="34"/>
        <v>PCMG5207</v>
      </c>
      <c r="E2212" t="s">
        <v>1675</v>
      </c>
    </row>
    <row r="2213" spans="1:5" hidden="1" x14ac:dyDescent="0.25">
      <c r="A2213">
        <v>1511</v>
      </c>
      <c r="B2213" t="s">
        <v>575</v>
      </c>
      <c r="C2213" t="s">
        <v>1677</v>
      </c>
      <c r="D2213" t="str">
        <f t="shared" si="34"/>
        <v>PCMG5208</v>
      </c>
      <c r="E2213" t="s">
        <v>1675</v>
      </c>
    </row>
    <row r="2214" spans="1:5" hidden="1" x14ac:dyDescent="0.25">
      <c r="A2214">
        <v>1511</v>
      </c>
      <c r="B2214" t="s">
        <v>575</v>
      </c>
      <c r="C2214" t="s">
        <v>358</v>
      </c>
      <c r="D2214" t="str">
        <f t="shared" si="34"/>
        <v>PCMG5209</v>
      </c>
      <c r="E2214" t="s">
        <v>1674</v>
      </c>
    </row>
    <row r="2215" spans="1:5" hidden="1" x14ac:dyDescent="0.25">
      <c r="A2215">
        <v>1511</v>
      </c>
      <c r="B2215" t="s">
        <v>575</v>
      </c>
      <c r="C2215" t="s">
        <v>1678</v>
      </c>
      <c r="D2215" t="str">
        <f t="shared" si="34"/>
        <v>PCMG5210</v>
      </c>
      <c r="E2215" t="s">
        <v>1674</v>
      </c>
    </row>
    <row r="2216" spans="1:5" hidden="1" x14ac:dyDescent="0.25">
      <c r="A2216">
        <v>1511</v>
      </c>
      <c r="B2216" t="s">
        <v>575</v>
      </c>
      <c r="C2216" t="s">
        <v>1713</v>
      </c>
      <c r="D2216" t="str">
        <f t="shared" si="34"/>
        <v>PCMG5211</v>
      </c>
      <c r="E2216" t="s">
        <v>1606</v>
      </c>
    </row>
    <row r="2217" spans="1:5" hidden="1" x14ac:dyDescent="0.25">
      <c r="A2217">
        <v>1511</v>
      </c>
      <c r="B2217" t="s">
        <v>575</v>
      </c>
      <c r="C2217" t="s">
        <v>1679</v>
      </c>
      <c r="D2217" t="str">
        <f t="shared" si="34"/>
        <v>PCMG5212</v>
      </c>
      <c r="E2217" t="s">
        <v>1674</v>
      </c>
    </row>
    <row r="2218" spans="1:5" hidden="1" x14ac:dyDescent="0.25">
      <c r="A2218">
        <v>1511</v>
      </c>
      <c r="B2218" t="s">
        <v>575</v>
      </c>
      <c r="C2218" t="s">
        <v>384</v>
      </c>
      <c r="D2218" t="str">
        <f t="shared" si="34"/>
        <v>PCMG5213</v>
      </c>
      <c r="E2218" t="s">
        <v>1674</v>
      </c>
    </row>
    <row r="2219" spans="1:5" hidden="1" x14ac:dyDescent="0.25">
      <c r="A2219">
        <v>1511</v>
      </c>
      <c r="B2219" t="s">
        <v>575</v>
      </c>
      <c r="C2219" t="s">
        <v>390</v>
      </c>
      <c r="D2219" t="str">
        <f t="shared" si="34"/>
        <v>PCMG5214</v>
      </c>
      <c r="E2219" t="s">
        <v>1674</v>
      </c>
    </row>
    <row r="2220" spans="1:5" hidden="1" x14ac:dyDescent="0.25">
      <c r="A2220">
        <v>1511</v>
      </c>
      <c r="B2220" t="s">
        <v>575</v>
      </c>
      <c r="C2220" t="s">
        <v>402</v>
      </c>
      <c r="D2220" t="str">
        <f t="shared" si="34"/>
        <v>PCMG5216</v>
      </c>
      <c r="E2220" t="s">
        <v>1674</v>
      </c>
    </row>
    <row r="2221" spans="1:5" hidden="1" x14ac:dyDescent="0.25">
      <c r="A2221">
        <v>1511</v>
      </c>
      <c r="B2221" t="s">
        <v>575</v>
      </c>
      <c r="C2221" t="s">
        <v>408</v>
      </c>
      <c r="D2221" t="str">
        <f t="shared" si="34"/>
        <v>PCMG5217</v>
      </c>
      <c r="E2221" t="s">
        <v>1674</v>
      </c>
    </row>
    <row r="2222" spans="1:5" hidden="1" x14ac:dyDescent="0.25">
      <c r="A2222">
        <v>1511</v>
      </c>
      <c r="B2222" t="s">
        <v>575</v>
      </c>
      <c r="C2222" t="s">
        <v>1681</v>
      </c>
      <c r="D2222" t="str">
        <f t="shared" si="34"/>
        <v>PCMG5220</v>
      </c>
      <c r="E2222" t="s">
        <v>1675</v>
      </c>
    </row>
    <row r="2223" spans="1:5" hidden="1" x14ac:dyDescent="0.25">
      <c r="A2223">
        <v>1511</v>
      </c>
      <c r="B2223" t="s">
        <v>575</v>
      </c>
      <c r="C2223" t="s">
        <v>433</v>
      </c>
      <c r="D2223" t="str">
        <f t="shared" si="34"/>
        <v>PCMG5222</v>
      </c>
      <c r="E2223" t="s">
        <v>1674</v>
      </c>
    </row>
    <row r="2224" spans="1:5" hidden="1" x14ac:dyDescent="0.25">
      <c r="A2224">
        <v>1511</v>
      </c>
      <c r="B2224" t="s">
        <v>575</v>
      </c>
      <c r="C2224" t="s">
        <v>448</v>
      </c>
      <c r="D2224" t="str">
        <f t="shared" si="34"/>
        <v>PCMG5225</v>
      </c>
      <c r="E2224" t="s">
        <v>1674</v>
      </c>
    </row>
    <row r="2225" spans="1:5" hidden="1" x14ac:dyDescent="0.25">
      <c r="A2225">
        <v>1511</v>
      </c>
      <c r="B2225" t="s">
        <v>575</v>
      </c>
      <c r="C2225" t="s">
        <v>1683</v>
      </c>
      <c r="D2225" t="str">
        <f t="shared" si="34"/>
        <v>PCMG5227</v>
      </c>
      <c r="E2225" t="s">
        <v>1674</v>
      </c>
    </row>
    <row r="2226" spans="1:5" hidden="1" x14ac:dyDescent="0.25">
      <c r="A2226">
        <v>1511</v>
      </c>
      <c r="B2226" t="s">
        <v>575</v>
      </c>
      <c r="C2226" t="s">
        <v>1684</v>
      </c>
      <c r="D2226" t="str">
        <f t="shared" si="34"/>
        <v>PCMG9202</v>
      </c>
      <c r="E2226" t="s">
        <v>1685</v>
      </c>
    </row>
    <row r="2227" spans="1:5" hidden="1" x14ac:dyDescent="0.25">
      <c r="A2227">
        <v>1511</v>
      </c>
      <c r="B2227" t="s">
        <v>575</v>
      </c>
      <c r="C2227" t="s">
        <v>249</v>
      </c>
      <c r="D2227" t="str">
        <f t="shared" si="34"/>
        <v>PCMG9301</v>
      </c>
      <c r="E2227" t="s">
        <v>1623</v>
      </c>
    </row>
    <row r="2228" spans="1:5" hidden="1" x14ac:dyDescent="0.25">
      <c r="A2228">
        <v>1511</v>
      </c>
      <c r="B2228" t="s">
        <v>575</v>
      </c>
      <c r="C2228" t="s">
        <v>330</v>
      </c>
      <c r="D2228" t="str">
        <f t="shared" si="34"/>
        <v>PCMG9306</v>
      </c>
      <c r="E2228" t="s">
        <v>1686</v>
      </c>
    </row>
    <row r="2229" spans="1:5" hidden="1" x14ac:dyDescent="0.25">
      <c r="A2229">
        <v>1511</v>
      </c>
      <c r="B2229" t="s">
        <v>575</v>
      </c>
      <c r="C2229" t="s">
        <v>359</v>
      </c>
      <c r="D2229" t="str">
        <f t="shared" si="34"/>
        <v>PCMG9309</v>
      </c>
      <c r="E2229" t="s">
        <v>1623</v>
      </c>
    </row>
    <row r="2230" spans="1:5" hidden="1" x14ac:dyDescent="0.25">
      <c r="A2230">
        <v>1511</v>
      </c>
      <c r="B2230" t="s">
        <v>575</v>
      </c>
      <c r="C2230" t="s">
        <v>366</v>
      </c>
      <c r="D2230" t="str">
        <f t="shared" si="34"/>
        <v>PCMG9310</v>
      </c>
      <c r="E2230" t="s">
        <v>1623</v>
      </c>
    </row>
    <row r="2231" spans="1:5" hidden="1" x14ac:dyDescent="0.25">
      <c r="A2231">
        <v>1511</v>
      </c>
      <c r="B2231" t="s">
        <v>575</v>
      </c>
      <c r="C2231" t="s">
        <v>379</v>
      </c>
      <c r="D2231" t="str">
        <f t="shared" si="34"/>
        <v>PCMG9312</v>
      </c>
      <c r="E2231" t="s">
        <v>1623</v>
      </c>
    </row>
    <row r="2232" spans="1:5" hidden="1" x14ac:dyDescent="0.25">
      <c r="A2232">
        <v>1511</v>
      </c>
      <c r="B2232" t="s">
        <v>575</v>
      </c>
      <c r="C2232" t="s">
        <v>1806</v>
      </c>
      <c r="D2232" t="str">
        <f t="shared" si="34"/>
        <v>PCMG9316</v>
      </c>
      <c r="E2232" t="s">
        <v>1623</v>
      </c>
    </row>
    <row r="2233" spans="1:5" hidden="1" x14ac:dyDescent="0.25">
      <c r="A2233">
        <v>1511</v>
      </c>
      <c r="B2233" t="s">
        <v>575</v>
      </c>
      <c r="C2233" t="s">
        <v>1687</v>
      </c>
      <c r="D2233" t="str">
        <f t="shared" si="34"/>
        <v>PCMG9399</v>
      </c>
      <c r="E2233" t="s">
        <v>1623</v>
      </c>
    </row>
    <row r="2234" spans="1:5" hidden="1" x14ac:dyDescent="0.25">
      <c r="A2234">
        <v>1521</v>
      </c>
      <c r="B2234" t="s">
        <v>544</v>
      </c>
      <c r="C2234" t="s">
        <v>1597</v>
      </c>
      <c r="D2234" t="str">
        <f t="shared" si="34"/>
        <v>CGE1401</v>
      </c>
      <c r="E2234" t="s">
        <v>43</v>
      </c>
    </row>
    <row r="2235" spans="1:5" hidden="1" x14ac:dyDescent="0.25">
      <c r="A2235">
        <v>1521</v>
      </c>
      <c r="B2235" t="s">
        <v>544</v>
      </c>
      <c r="C2235" t="s">
        <v>1598</v>
      </c>
      <c r="D2235" t="str">
        <f t="shared" si="34"/>
        <v>CGE1501</v>
      </c>
      <c r="E2235" t="s">
        <v>43</v>
      </c>
    </row>
    <row r="2236" spans="1:5" hidden="1" x14ac:dyDescent="0.25">
      <c r="A2236">
        <v>1521</v>
      </c>
      <c r="B2236" t="s">
        <v>544</v>
      </c>
      <c r="C2236" t="s">
        <v>1599</v>
      </c>
      <c r="D2236" t="str">
        <f t="shared" si="34"/>
        <v>CGE3001</v>
      </c>
      <c r="E2236" t="s">
        <v>1600</v>
      </c>
    </row>
    <row r="2237" spans="1:5" hidden="1" x14ac:dyDescent="0.25">
      <c r="A2237">
        <v>1521</v>
      </c>
      <c r="B2237" t="s">
        <v>544</v>
      </c>
      <c r="C2237" t="s">
        <v>1601</v>
      </c>
      <c r="D2237" t="str">
        <f t="shared" si="34"/>
        <v>CGE3003</v>
      </c>
      <c r="E2237" t="s">
        <v>1600</v>
      </c>
    </row>
    <row r="2238" spans="1:5" hidden="1" x14ac:dyDescent="0.25">
      <c r="A2238">
        <v>1521</v>
      </c>
      <c r="B2238" t="s">
        <v>544</v>
      </c>
      <c r="C2238" t="s">
        <v>1603</v>
      </c>
      <c r="D2238" t="str">
        <f t="shared" si="34"/>
        <v>CGE3005</v>
      </c>
      <c r="E2238" t="s">
        <v>1600</v>
      </c>
    </row>
    <row r="2239" spans="1:5" hidden="1" x14ac:dyDescent="0.25">
      <c r="A2239">
        <v>1521</v>
      </c>
      <c r="B2239" t="s">
        <v>544</v>
      </c>
      <c r="C2239" t="s">
        <v>1608</v>
      </c>
      <c r="D2239" t="str">
        <f t="shared" si="34"/>
        <v>CGE3015</v>
      </c>
      <c r="E2239" t="s">
        <v>1600</v>
      </c>
    </row>
    <row r="2240" spans="1:5" hidden="1" x14ac:dyDescent="0.25">
      <c r="A2240">
        <v>1521</v>
      </c>
      <c r="B2240" t="s">
        <v>544</v>
      </c>
      <c r="C2240" t="s">
        <v>1609</v>
      </c>
      <c r="D2240" t="str">
        <f t="shared" si="34"/>
        <v>CGE3016</v>
      </c>
      <c r="E2240" t="s">
        <v>1600</v>
      </c>
    </row>
    <row r="2241" spans="1:5" hidden="1" x14ac:dyDescent="0.25">
      <c r="A2241">
        <v>1521</v>
      </c>
      <c r="B2241" t="s">
        <v>544</v>
      </c>
      <c r="C2241" t="s">
        <v>405</v>
      </c>
      <c r="D2241" t="str">
        <f t="shared" si="34"/>
        <v>CGE3017</v>
      </c>
      <c r="E2241" t="s">
        <v>1600</v>
      </c>
    </row>
    <row r="2242" spans="1:5" hidden="1" x14ac:dyDescent="0.25">
      <c r="A2242">
        <v>1521</v>
      </c>
      <c r="B2242" t="s">
        <v>544</v>
      </c>
      <c r="C2242" t="s">
        <v>430</v>
      </c>
      <c r="D2242" t="str">
        <f t="shared" si="34"/>
        <v>CGE3022</v>
      </c>
      <c r="E2242" t="s">
        <v>1600</v>
      </c>
    </row>
    <row r="2243" spans="1:5" hidden="1" x14ac:dyDescent="0.25">
      <c r="A2243">
        <v>1521</v>
      </c>
      <c r="B2243" t="s">
        <v>544</v>
      </c>
      <c r="C2243" t="s">
        <v>440</v>
      </c>
      <c r="D2243" t="str">
        <f t="shared" si="34"/>
        <v>CGE3024</v>
      </c>
      <c r="E2243" t="s">
        <v>1600</v>
      </c>
    </row>
    <row r="2244" spans="1:5" hidden="1" x14ac:dyDescent="0.25">
      <c r="A2244">
        <v>1521</v>
      </c>
      <c r="B2244" t="s">
        <v>544</v>
      </c>
      <c r="C2244" t="s">
        <v>1617</v>
      </c>
      <c r="D2244" t="str">
        <f t="shared" si="34"/>
        <v>CGE3026</v>
      </c>
      <c r="E2244" t="s">
        <v>1615</v>
      </c>
    </row>
    <row r="2245" spans="1:5" hidden="1" x14ac:dyDescent="0.25">
      <c r="A2245">
        <v>1521</v>
      </c>
      <c r="B2245" t="s">
        <v>544</v>
      </c>
      <c r="C2245" t="s">
        <v>469</v>
      </c>
      <c r="D2245" t="str">
        <f t="shared" ref="D2245:D2308" si="35">CONCATENATE(B2245,LEFT(C2245,4))</f>
        <v>CGE3031</v>
      </c>
      <c r="E2245" t="s">
        <v>1600</v>
      </c>
    </row>
    <row r="2246" spans="1:5" hidden="1" x14ac:dyDescent="0.25">
      <c r="A2246">
        <v>1521</v>
      </c>
      <c r="B2246" t="s">
        <v>544</v>
      </c>
      <c r="C2246" t="s">
        <v>1622</v>
      </c>
      <c r="D2246" t="str">
        <f t="shared" si="35"/>
        <v>CGE3101</v>
      </c>
      <c r="E2246" t="s">
        <v>1623</v>
      </c>
    </row>
    <row r="2247" spans="1:5" hidden="1" x14ac:dyDescent="0.25">
      <c r="A2247">
        <v>1521</v>
      </c>
      <c r="B2247" t="s">
        <v>544</v>
      </c>
      <c r="C2247" t="s">
        <v>53</v>
      </c>
      <c r="D2247" t="str">
        <f t="shared" si="35"/>
        <v>CGE3301</v>
      </c>
      <c r="E2247" t="s">
        <v>43</v>
      </c>
    </row>
    <row r="2248" spans="1:5" hidden="1" x14ac:dyDescent="0.25">
      <c r="A2248">
        <v>1521</v>
      </c>
      <c r="B2248" t="s">
        <v>544</v>
      </c>
      <c r="C2248" t="s">
        <v>1626</v>
      </c>
      <c r="D2248" t="str">
        <f t="shared" si="35"/>
        <v>CGE3302</v>
      </c>
      <c r="E2248" t="s">
        <v>43</v>
      </c>
    </row>
    <row r="2249" spans="1:5" hidden="1" x14ac:dyDescent="0.25">
      <c r="A2249">
        <v>1521</v>
      </c>
      <c r="B2249" t="s">
        <v>544</v>
      </c>
      <c r="C2249" t="s">
        <v>1627</v>
      </c>
      <c r="D2249" t="str">
        <f t="shared" si="35"/>
        <v>CGE3304</v>
      </c>
      <c r="E2249" t="s">
        <v>43</v>
      </c>
    </row>
    <row r="2250" spans="1:5" hidden="1" x14ac:dyDescent="0.25">
      <c r="A2250">
        <v>1521</v>
      </c>
      <c r="B2250" t="s">
        <v>544</v>
      </c>
      <c r="C2250" t="s">
        <v>1741</v>
      </c>
      <c r="D2250" t="str">
        <f t="shared" si="35"/>
        <v>CGE3501</v>
      </c>
      <c r="E2250" t="s">
        <v>1623</v>
      </c>
    </row>
    <row r="2251" spans="1:5" hidden="1" x14ac:dyDescent="0.25">
      <c r="A2251">
        <v>1521</v>
      </c>
      <c r="B2251" t="s">
        <v>544</v>
      </c>
      <c r="C2251" t="s">
        <v>1690</v>
      </c>
      <c r="D2251" t="str">
        <f t="shared" si="35"/>
        <v>CGE3601</v>
      </c>
      <c r="E2251" t="s">
        <v>64</v>
      </c>
    </row>
    <row r="2252" spans="1:5" hidden="1" x14ac:dyDescent="0.25">
      <c r="A2252">
        <v>1521</v>
      </c>
      <c r="B2252" t="s">
        <v>544</v>
      </c>
      <c r="C2252" t="s">
        <v>296</v>
      </c>
      <c r="D2252" t="str">
        <f t="shared" si="35"/>
        <v>CGE3604</v>
      </c>
      <c r="E2252" t="s">
        <v>43</v>
      </c>
    </row>
    <row r="2253" spans="1:5" hidden="1" x14ac:dyDescent="0.25">
      <c r="A2253">
        <v>1521</v>
      </c>
      <c r="B2253" t="s">
        <v>544</v>
      </c>
      <c r="C2253" t="s">
        <v>354</v>
      </c>
      <c r="D2253" t="str">
        <f t="shared" si="35"/>
        <v>CGE3610</v>
      </c>
      <c r="E2253" t="s">
        <v>1623</v>
      </c>
    </row>
    <row r="2254" spans="1:5" hidden="1" x14ac:dyDescent="0.25">
      <c r="A2254">
        <v>1521</v>
      </c>
      <c r="B2254" t="s">
        <v>544</v>
      </c>
      <c r="C2254" t="s">
        <v>1628</v>
      </c>
      <c r="D2254" t="str">
        <f t="shared" si="35"/>
        <v>CGE3612</v>
      </c>
      <c r="E2254" t="s">
        <v>1623</v>
      </c>
    </row>
    <row r="2255" spans="1:5" hidden="1" x14ac:dyDescent="0.25">
      <c r="A2255">
        <v>1521</v>
      </c>
      <c r="B2255" t="s">
        <v>544</v>
      </c>
      <c r="C2255" t="s">
        <v>470</v>
      </c>
      <c r="D2255" t="str">
        <f t="shared" si="35"/>
        <v>CGE3699</v>
      </c>
      <c r="E2255" t="s">
        <v>1623</v>
      </c>
    </row>
    <row r="2256" spans="1:5" hidden="1" x14ac:dyDescent="0.25">
      <c r="A2256">
        <v>1521</v>
      </c>
      <c r="B2256" t="s">
        <v>544</v>
      </c>
      <c r="C2256" t="s">
        <v>1632</v>
      </c>
      <c r="D2256" t="str">
        <f t="shared" si="35"/>
        <v>CGE3704</v>
      </c>
      <c r="E2256" t="s">
        <v>116</v>
      </c>
    </row>
    <row r="2257" spans="1:5" hidden="1" x14ac:dyDescent="0.25">
      <c r="A2257">
        <v>1521</v>
      </c>
      <c r="B2257" t="s">
        <v>544</v>
      </c>
      <c r="C2257" t="s">
        <v>1633</v>
      </c>
      <c r="D2257" t="str">
        <f t="shared" si="35"/>
        <v>CGE3705</v>
      </c>
      <c r="E2257" t="s">
        <v>116</v>
      </c>
    </row>
    <row r="2258" spans="1:5" hidden="1" x14ac:dyDescent="0.25">
      <c r="A2258">
        <v>1521</v>
      </c>
      <c r="B2258" t="s">
        <v>544</v>
      </c>
      <c r="C2258" t="s">
        <v>1634</v>
      </c>
      <c r="D2258" t="str">
        <f t="shared" si="35"/>
        <v>CGE3903</v>
      </c>
      <c r="E2258" t="s">
        <v>1623</v>
      </c>
    </row>
    <row r="2259" spans="1:5" hidden="1" x14ac:dyDescent="0.25">
      <c r="A2259">
        <v>1521</v>
      </c>
      <c r="B2259" t="s">
        <v>544</v>
      </c>
      <c r="C2259" t="s">
        <v>298</v>
      </c>
      <c r="D2259" t="str">
        <f t="shared" si="35"/>
        <v>CGE3904</v>
      </c>
      <c r="E2259" t="s">
        <v>1623</v>
      </c>
    </row>
    <row r="2260" spans="1:5" hidden="1" x14ac:dyDescent="0.25">
      <c r="A2260">
        <v>1521</v>
      </c>
      <c r="B2260" t="s">
        <v>544</v>
      </c>
      <c r="C2260" t="s">
        <v>345</v>
      </c>
      <c r="D2260" t="str">
        <f t="shared" si="35"/>
        <v>CGE3910</v>
      </c>
      <c r="E2260" t="s">
        <v>1623</v>
      </c>
    </row>
    <row r="2261" spans="1:5" hidden="1" x14ac:dyDescent="0.25">
      <c r="A2261">
        <v>1521</v>
      </c>
      <c r="B2261" t="s">
        <v>544</v>
      </c>
      <c r="C2261" t="s">
        <v>355</v>
      </c>
      <c r="D2261" t="str">
        <f t="shared" si="35"/>
        <v>CGE3911</v>
      </c>
      <c r="E2261" t="s">
        <v>1623</v>
      </c>
    </row>
    <row r="2262" spans="1:5" hidden="1" x14ac:dyDescent="0.25">
      <c r="A2262">
        <v>1521</v>
      </c>
      <c r="B2262" t="s">
        <v>544</v>
      </c>
      <c r="C2262" t="s">
        <v>383</v>
      </c>
      <c r="D2262" t="str">
        <f t="shared" si="35"/>
        <v>CGE3915</v>
      </c>
      <c r="E2262" t="s">
        <v>1637</v>
      </c>
    </row>
    <row r="2263" spans="1:5" hidden="1" x14ac:dyDescent="0.25">
      <c r="A2263">
        <v>1521</v>
      </c>
      <c r="B2263" t="s">
        <v>544</v>
      </c>
      <c r="C2263" t="s">
        <v>1639</v>
      </c>
      <c r="D2263" t="str">
        <f t="shared" si="35"/>
        <v>CGE3917</v>
      </c>
      <c r="E2263" t="s">
        <v>1615</v>
      </c>
    </row>
    <row r="2264" spans="1:5" hidden="1" x14ac:dyDescent="0.25">
      <c r="A2264">
        <v>1521</v>
      </c>
      <c r="B2264" t="s">
        <v>544</v>
      </c>
      <c r="C2264" t="s">
        <v>1640</v>
      </c>
      <c r="D2264" t="str">
        <f t="shared" si="35"/>
        <v>CGE3918</v>
      </c>
      <c r="E2264" t="s">
        <v>1615</v>
      </c>
    </row>
    <row r="2265" spans="1:5" hidden="1" x14ac:dyDescent="0.25">
      <c r="A2265">
        <v>1521</v>
      </c>
      <c r="B2265" t="s">
        <v>544</v>
      </c>
      <c r="C2265" t="s">
        <v>1642</v>
      </c>
      <c r="D2265" t="str">
        <f t="shared" si="35"/>
        <v>CGE3921</v>
      </c>
      <c r="E2265" t="s">
        <v>2102</v>
      </c>
    </row>
    <row r="2266" spans="1:5" hidden="1" x14ac:dyDescent="0.25">
      <c r="A2266">
        <v>1521</v>
      </c>
      <c r="B2266" t="s">
        <v>544</v>
      </c>
      <c r="C2266" t="s">
        <v>1644</v>
      </c>
      <c r="D2266" t="str">
        <f t="shared" si="35"/>
        <v>CGE3924</v>
      </c>
      <c r="E2266" t="s">
        <v>1645</v>
      </c>
    </row>
    <row r="2267" spans="1:5" hidden="1" x14ac:dyDescent="0.25">
      <c r="A2267">
        <v>1521</v>
      </c>
      <c r="B2267" t="s">
        <v>544</v>
      </c>
      <c r="C2267" t="s">
        <v>442</v>
      </c>
      <c r="D2267" t="str">
        <f t="shared" si="35"/>
        <v>CGE3926</v>
      </c>
      <c r="E2267" t="s">
        <v>1646</v>
      </c>
    </row>
    <row r="2268" spans="1:5" hidden="1" x14ac:dyDescent="0.25">
      <c r="A2268">
        <v>1521</v>
      </c>
      <c r="B2268" t="s">
        <v>544</v>
      </c>
      <c r="C2268" t="s">
        <v>1647</v>
      </c>
      <c r="D2268" t="str">
        <f t="shared" si="35"/>
        <v>CGE3927</v>
      </c>
      <c r="E2268" t="s">
        <v>1648</v>
      </c>
    </row>
    <row r="2269" spans="1:5" hidden="1" x14ac:dyDescent="0.25">
      <c r="A2269">
        <v>1521</v>
      </c>
      <c r="B2269" t="s">
        <v>544</v>
      </c>
      <c r="C2269" t="s">
        <v>1650</v>
      </c>
      <c r="D2269" t="str">
        <f t="shared" si="35"/>
        <v>CGE3931</v>
      </c>
      <c r="E2269" t="s">
        <v>1623</v>
      </c>
    </row>
    <row r="2270" spans="1:5" hidden="1" x14ac:dyDescent="0.25">
      <c r="A2270">
        <v>1521</v>
      </c>
      <c r="B2270" t="s">
        <v>544</v>
      </c>
      <c r="C2270" t="s">
        <v>1652</v>
      </c>
      <c r="D2270" t="str">
        <f t="shared" si="35"/>
        <v>CGE3936</v>
      </c>
      <c r="E2270" t="s">
        <v>93</v>
      </c>
    </row>
    <row r="2271" spans="1:5" hidden="1" x14ac:dyDescent="0.25">
      <c r="A2271">
        <v>1521</v>
      </c>
      <c r="B2271" t="s">
        <v>544</v>
      </c>
      <c r="C2271" t="s">
        <v>1653</v>
      </c>
      <c r="D2271" t="str">
        <f t="shared" si="35"/>
        <v>CGE3940</v>
      </c>
      <c r="E2271" t="s">
        <v>1648</v>
      </c>
    </row>
    <row r="2272" spans="1:5" hidden="1" x14ac:dyDescent="0.25">
      <c r="A2272">
        <v>1521</v>
      </c>
      <c r="B2272" t="s">
        <v>544</v>
      </c>
      <c r="C2272" t="s">
        <v>479</v>
      </c>
      <c r="D2272" t="str">
        <f t="shared" si="35"/>
        <v>CGE3941</v>
      </c>
      <c r="E2272" t="s">
        <v>1623</v>
      </c>
    </row>
    <row r="2273" spans="1:5" hidden="1" x14ac:dyDescent="0.25">
      <c r="A2273">
        <v>1521</v>
      </c>
      <c r="B2273" t="s">
        <v>544</v>
      </c>
      <c r="C2273" t="s">
        <v>1654</v>
      </c>
      <c r="D2273" t="str">
        <f t="shared" si="35"/>
        <v>CGE3943</v>
      </c>
      <c r="E2273" t="s">
        <v>1615</v>
      </c>
    </row>
    <row r="2274" spans="1:5" hidden="1" x14ac:dyDescent="0.25">
      <c r="A2274">
        <v>1521</v>
      </c>
      <c r="B2274" t="s">
        <v>544</v>
      </c>
      <c r="C2274" t="s">
        <v>491</v>
      </c>
      <c r="D2274" t="str">
        <f t="shared" si="35"/>
        <v>CGE3948</v>
      </c>
      <c r="E2274" t="s">
        <v>1645</v>
      </c>
    </row>
    <row r="2275" spans="1:5" hidden="1" x14ac:dyDescent="0.25">
      <c r="A2275">
        <v>1521</v>
      </c>
      <c r="B2275" t="s">
        <v>544</v>
      </c>
      <c r="C2275" t="s">
        <v>497</v>
      </c>
      <c r="D2275" t="str">
        <f t="shared" si="35"/>
        <v>CGE3955</v>
      </c>
      <c r="E2275" t="s">
        <v>1623</v>
      </c>
    </row>
    <row r="2276" spans="1:5" hidden="1" x14ac:dyDescent="0.25">
      <c r="A2276">
        <v>1521</v>
      </c>
      <c r="B2276" t="s">
        <v>544</v>
      </c>
      <c r="C2276" t="s">
        <v>1663</v>
      </c>
      <c r="D2276" t="str">
        <f t="shared" si="35"/>
        <v>CGE3999</v>
      </c>
      <c r="E2276" t="s">
        <v>1623</v>
      </c>
    </row>
    <row r="2277" spans="1:5" hidden="1" x14ac:dyDescent="0.25">
      <c r="A2277">
        <v>1521</v>
      </c>
      <c r="B2277" t="s">
        <v>544</v>
      </c>
      <c r="C2277" t="s">
        <v>1664</v>
      </c>
      <c r="D2277" t="str">
        <f t="shared" si="35"/>
        <v>CGE4002</v>
      </c>
      <c r="E2277" t="s">
        <v>1648</v>
      </c>
    </row>
    <row r="2278" spans="1:5" hidden="1" x14ac:dyDescent="0.25">
      <c r="A2278">
        <v>1521</v>
      </c>
      <c r="B2278" t="s">
        <v>544</v>
      </c>
      <c r="C2278" t="s">
        <v>1665</v>
      </c>
      <c r="D2278" t="str">
        <f t="shared" si="35"/>
        <v>CGE4003</v>
      </c>
      <c r="E2278" t="s">
        <v>93</v>
      </c>
    </row>
    <row r="2279" spans="1:5" hidden="1" x14ac:dyDescent="0.25">
      <c r="A2279">
        <v>1521</v>
      </c>
      <c r="B2279" t="s">
        <v>544</v>
      </c>
      <c r="C2279" t="s">
        <v>1666</v>
      </c>
      <c r="D2279" t="str">
        <f t="shared" si="35"/>
        <v>CGE4004</v>
      </c>
      <c r="E2279" t="s">
        <v>1648</v>
      </c>
    </row>
    <row r="2280" spans="1:5" hidden="1" x14ac:dyDescent="0.25">
      <c r="A2280">
        <v>1521</v>
      </c>
      <c r="B2280" t="s">
        <v>544</v>
      </c>
      <c r="C2280" t="s">
        <v>1698</v>
      </c>
      <c r="D2280" t="str">
        <f t="shared" si="35"/>
        <v>CGE4006</v>
      </c>
      <c r="E2280" t="s">
        <v>1675</v>
      </c>
    </row>
    <row r="2281" spans="1:5" hidden="1" x14ac:dyDescent="0.25">
      <c r="A2281">
        <v>1521</v>
      </c>
      <c r="B2281" t="s">
        <v>544</v>
      </c>
      <c r="C2281" t="s">
        <v>1699</v>
      </c>
      <c r="D2281" t="str">
        <f t="shared" si="35"/>
        <v>CGE4007</v>
      </c>
      <c r="E2281" t="s">
        <v>93</v>
      </c>
    </row>
    <row r="2282" spans="1:5" hidden="1" x14ac:dyDescent="0.25">
      <c r="A2282">
        <v>1521</v>
      </c>
      <c r="B2282" t="s">
        <v>544</v>
      </c>
      <c r="C2282" t="s">
        <v>363</v>
      </c>
      <c r="D2282" t="str">
        <f t="shared" si="35"/>
        <v>CGE4799</v>
      </c>
      <c r="E2282" t="s">
        <v>1669</v>
      </c>
    </row>
    <row r="2283" spans="1:5" hidden="1" x14ac:dyDescent="0.25">
      <c r="A2283">
        <v>1521</v>
      </c>
      <c r="B2283" t="s">
        <v>544</v>
      </c>
      <c r="C2283" t="s">
        <v>1712</v>
      </c>
      <c r="D2283" t="str">
        <f t="shared" si="35"/>
        <v>CGE4905</v>
      </c>
      <c r="E2283" t="s">
        <v>64</v>
      </c>
    </row>
    <row r="2284" spans="1:5" hidden="1" x14ac:dyDescent="0.25">
      <c r="A2284">
        <v>1521</v>
      </c>
      <c r="B2284" t="s">
        <v>544</v>
      </c>
      <c r="C2284" t="s">
        <v>1676</v>
      </c>
      <c r="D2284" t="str">
        <f t="shared" si="35"/>
        <v>CGE5207</v>
      </c>
      <c r="E2284" t="s">
        <v>1675</v>
      </c>
    </row>
    <row r="2285" spans="1:5" hidden="1" x14ac:dyDescent="0.25">
      <c r="A2285">
        <v>1521</v>
      </c>
      <c r="B2285" t="s">
        <v>544</v>
      </c>
      <c r="C2285" t="s">
        <v>1677</v>
      </c>
      <c r="D2285" t="str">
        <f t="shared" si="35"/>
        <v>CGE5208</v>
      </c>
      <c r="E2285" t="s">
        <v>1675</v>
      </c>
    </row>
    <row r="2286" spans="1:5" hidden="1" x14ac:dyDescent="0.25">
      <c r="A2286">
        <v>1521</v>
      </c>
      <c r="B2286" t="s">
        <v>544</v>
      </c>
      <c r="C2286" t="s">
        <v>1679</v>
      </c>
      <c r="D2286" t="str">
        <f t="shared" si="35"/>
        <v>CGE5212</v>
      </c>
      <c r="E2286" t="s">
        <v>1674</v>
      </c>
    </row>
    <row r="2287" spans="1:5" hidden="1" x14ac:dyDescent="0.25">
      <c r="A2287">
        <v>1521</v>
      </c>
      <c r="B2287" t="s">
        <v>544</v>
      </c>
      <c r="C2287" t="s">
        <v>390</v>
      </c>
      <c r="D2287" t="str">
        <f t="shared" si="35"/>
        <v>CGE5214</v>
      </c>
      <c r="E2287" t="s">
        <v>1674</v>
      </c>
    </row>
    <row r="2288" spans="1:5" hidden="1" x14ac:dyDescent="0.25">
      <c r="A2288">
        <v>1521</v>
      </c>
      <c r="B2288" t="s">
        <v>544</v>
      </c>
      <c r="C2288" t="s">
        <v>1684</v>
      </c>
      <c r="D2288" t="str">
        <f t="shared" si="35"/>
        <v>CGE9202</v>
      </c>
      <c r="E2288" t="s">
        <v>1685</v>
      </c>
    </row>
    <row r="2289" spans="1:5" hidden="1" x14ac:dyDescent="0.25">
      <c r="A2289">
        <v>1521</v>
      </c>
      <c r="B2289" t="s">
        <v>544</v>
      </c>
      <c r="C2289" t="s">
        <v>359</v>
      </c>
      <c r="D2289" t="str">
        <f t="shared" si="35"/>
        <v>CGE9309</v>
      </c>
      <c r="E2289" t="s">
        <v>1623</v>
      </c>
    </row>
    <row r="2290" spans="1:5" hidden="1" x14ac:dyDescent="0.25">
      <c r="A2290">
        <v>1521</v>
      </c>
      <c r="B2290" t="s">
        <v>544</v>
      </c>
      <c r="C2290" t="s">
        <v>439</v>
      </c>
      <c r="D2290" t="str">
        <f t="shared" si="35"/>
        <v>CGE9326</v>
      </c>
      <c r="E2290" t="s">
        <v>1623</v>
      </c>
    </row>
    <row r="2291" spans="1:5" hidden="1" x14ac:dyDescent="0.25">
      <c r="A2291">
        <v>1521</v>
      </c>
      <c r="B2291" t="s">
        <v>544</v>
      </c>
      <c r="C2291" t="s">
        <v>1687</v>
      </c>
      <c r="D2291" t="str">
        <f t="shared" si="35"/>
        <v>CGE9399</v>
      </c>
      <c r="E2291" t="s">
        <v>1623</v>
      </c>
    </row>
    <row r="2292" spans="1:5" hidden="1" x14ac:dyDescent="0.25">
      <c r="A2292">
        <v>1541</v>
      </c>
      <c r="B2292" t="s">
        <v>548</v>
      </c>
      <c r="C2292" t="s">
        <v>331</v>
      </c>
      <c r="D2292" t="str">
        <f t="shared" si="35"/>
        <v>ESPMG1314</v>
      </c>
      <c r="E2292" t="s">
        <v>1689</v>
      </c>
    </row>
    <row r="2293" spans="1:5" hidden="1" x14ac:dyDescent="0.25">
      <c r="A2293">
        <v>1541</v>
      </c>
      <c r="B2293" t="s">
        <v>548</v>
      </c>
      <c r="C2293" t="s">
        <v>1688</v>
      </c>
      <c r="D2293" t="str">
        <f t="shared" si="35"/>
        <v>ESPMG1317</v>
      </c>
      <c r="E2293" t="s">
        <v>1689</v>
      </c>
    </row>
    <row r="2294" spans="1:5" hidden="1" x14ac:dyDescent="0.25">
      <c r="A2294">
        <v>1541</v>
      </c>
      <c r="B2294" t="s">
        <v>548</v>
      </c>
      <c r="C2294" t="s">
        <v>1597</v>
      </c>
      <c r="D2294" t="str">
        <f t="shared" si="35"/>
        <v>ESPMG1401</v>
      </c>
      <c r="E2294" t="s">
        <v>43</v>
      </c>
    </row>
    <row r="2295" spans="1:5" hidden="1" x14ac:dyDescent="0.25">
      <c r="A2295">
        <v>1541</v>
      </c>
      <c r="B2295" t="s">
        <v>548</v>
      </c>
      <c r="C2295" t="s">
        <v>1807</v>
      </c>
      <c r="D2295" t="str">
        <f t="shared" si="35"/>
        <v>ESPMG2001</v>
      </c>
      <c r="E2295" t="s">
        <v>1596</v>
      </c>
    </row>
    <row r="2296" spans="1:5" hidden="1" x14ac:dyDescent="0.25">
      <c r="A2296">
        <v>1541</v>
      </c>
      <c r="B2296" t="s">
        <v>548</v>
      </c>
      <c r="C2296" t="s">
        <v>1601</v>
      </c>
      <c r="D2296" t="str">
        <f t="shared" si="35"/>
        <v>ESPMG3003</v>
      </c>
      <c r="E2296" t="s">
        <v>1600</v>
      </c>
    </row>
    <row r="2297" spans="1:5" hidden="1" x14ac:dyDescent="0.25">
      <c r="A2297">
        <v>1541</v>
      </c>
      <c r="B2297" t="s">
        <v>548</v>
      </c>
      <c r="C2297" t="s">
        <v>1602</v>
      </c>
      <c r="D2297" t="str">
        <f t="shared" si="35"/>
        <v>ESPMG3004</v>
      </c>
      <c r="E2297" t="s">
        <v>1600</v>
      </c>
    </row>
    <row r="2298" spans="1:5" hidden="1" x14ac:dyDescent="0.25">
      <c r="A2298">
        <v>1541</v>
      </c>
      <c r="B2298" t="s">
        <v>548</v>
      </c>
      <c r="C2298" t="s">
        <v>1603</v>
      </c>
      <c r="D2298" t="str">
        <f t="shared" si="35"/>
        <v>ESPMG3005</v>
      </c>
      <c r="E2298" t="s">
        <v>1600</v>
      </c>
    </row>
    <row r="2299" spans="1:5" hidden="1" x14ac:dyDescent="0.25">
      <c r="A2299">
        <v>1541</v>
      </c>
      <c r="B2299" t="s">
        <v>548</v>
      </c>
      <c r="C2299" t="s">
        <v>1604</v>
      </c>
      <c r="D2299" t="str">
        <f t="shared" si="35"/>
        <v>ESPMG3008</v>
      </c>
      <c r="E2299" t="s">
        <v>1600</v>
      </c>
    </row>
    <row r="2300" spans="1:5" hidden="1" x14ac:dyDescent="0.25">
      <c r="A2300">
        <v>1541</v>
      </c>
      <c r="B2300" t="s">
        <v>548</v>
      </c>
      <c r="C2300" t="s">
        <v>1605</v>
      </c>
      <c r="D2300" t="str">
        <f t="shared" si="35"/>
        <v>ESPMG3010</v>
      </c>
      <c r="E2300" t="s">
        <v>1606</v>
      </c>
    </row>
    <row r="2301" spans="1:5" hidden="1" x14ac:dyDescent="0.25">
      <c r="A2301">
        <v>1541</v>
      </c>
      <c r="B2301" t="s">
        <v>548</v>
      </c>
      <c r="C2301" t="s">
        <v>1607</v>
      </c>
      <c r="D2301" t="str">
        <f t="shared" si="35"/>
        <v>ESPMG3013</v>
      </c>
      <c r="E2301" t="s">
        <v>1600</v>
      </c>
    </row>
    <row r="2302" spans="1:5" hidden="1" x14ac:dyDescent="0.25">
      <c r="A2302">
        <v>1541</v>
      </c>
      <c r="B2302" t="s">
        <v>548</v>
      </c>
      <c r="C2302" t="s">
        <v>1608</v>
      </c>
      <c r="D2302" t="str">
        <f t="shared" si="35"/>
        <v>ESPMG3015</v>
      </c>
      <c r="E2302" t="s">
        <v>1600</v>
      </c>
    </row>
    <row r="2303" spans="1:5" hidden="1" x14ac:dyDescent="0.25">
      <c r="A2303">
        <v>1541</v>
      </c>
      <c r="B2303" t="s">
        <v>548</v>
      </c>
      <c r="C2303" t="s">
        <v>1609</v>
      </c>
      <c r="D2303" t="str">
        <f t="shared" si="35"/>
        <v>ESPMG3016</v>
      </c>
      <c r="E2303" t="s">
        <v>1600</v>
      </c>
    </row>
    <row r="2304" spans="1:5" hidden="1" x14ac:dyDescent="0.25">
      <c r="A2304">
        <v>1541</v>
      </c>
      <c r="B2304" t="s">
        <v>548</v>
      </c>
      <c r="C2304" t="s">
        <v>405</v>
      </c>
      <c r="D2304" t="str">
        <f t="shared" si="35"/>
        <v>ESPMG3017</v>
      </c>
      <c r="E2304" t="s">
        <v>1600</v>
      </c>
    </row>
    <row r="2305" spans="1:5" hidden="1" x14ac:dyDescent="0.25">
      <c r="A2305">
        <v>1541</v>
      </c>
      <c r="B2305" t="s">
        <v>548</v>
      </c>
      <c r="C2305" t="s">
        <v>1610</v>
      </c>
      <c r="D2305" t="str">
        <f t="shared" si="35"/>
        <v>ESPMG3019</v>
      </c>
      <c r="E2305" t="s">
        <v>1611</v>
      </c>
    </row>
    <row r="2306" spans="1:5" hidden="1" x14ac:dyDescent="0.25">
      <c r="A2306">
        <v>1541</v>
      </c>
      <c r="B2306" t="s">
        <v>548</v>
      </c>
      <c r="C2306" t="s">
        <v>1612</v>
      </c>
      <c r="D2306" t="str">
        <f t="shared" si="35"/>
        <v>ESPMG3020</v>
      </c>
      <c r="E2306" t="s">
        <v>1600</v>
      </c>
    </row>
    <row r="2307" spans="1:5" hidden="1" x14ac:dyDescent="0.25">
      <c r="A2307">
        <v>1541</v>
      </c>
      <c r="B2307" t="s">
        <v>548</v>
      </c>
      <c r="C2307" t="s">
        <v>430</v>
      </c>
      <c r="D2307" t="str">
        <f t="shared" si="35"/>
        <v>ESPMG3022</v>
      </c>
      <c r="E2307" t="s">
        <v>1600</v>
      </c>
    </row>
    <row r="2308" spans="1:5" hidden="1" x14ac:dyDescent="0.25">
      <c r="A2308">
        <v>1541</v>
      </c>
      <c r="B2308" t="s">
        <v>548</v>
      </c>
      <c r="C2308" t="s">
        <v>440</v>
      </c>
      <c r="D2308" t="str">
        <f t="shared" si="35"/>
        <v>ESPMG3024</v>
      </c>
      <c r="E2308" t="s">
        <v>1600</v>
      </c>
    </row>
    <row r="2309" spans="1:5" hidden="1" x14ac:dyDescent="0.25">
      <c r="A2309">
        <v>1541</v>
      </c>
      <c r="B2309" t="s">
        <v>548</v>
      </c>
      <c r="C2309" t="s">
        <v>1616</v>
      </c>
      <c r="D2309" t="str">
        <f t="shared" ref="D2309:D2372" si="36">CONCATENATE(B2309,LEFT(C2309,4))</f>
        <v>ESPMG3025</v>
      </c>
      <c r="E2309" t="s">
        <v>1600</v>
      </c>
    </row>
    <row r="2310" spans="1:5" hidden="1" x14ac:dyDescent="0.25">
      <c r="A2310">
        <v>1541</v>
      </c>
      <c r="B2310" t="s">
        <v>548</v>
      </c>
      <c r="C2310" t="s">
        <v>1617</v>
      </c>
      <c r="D2310" t="str">
        <f t="shared" si="36"/>
        <v>ESPMG3026</v>
      </c>
      <c r="E2310" t="s">
        <v>1615</v>
      </c>
    </row>
    <row r="2311" spans="1:5" hidden="1" x14ac:dyDescent="0.25">
      <c r="A2311">
        <v>1541</v>
      </c>
      <c r="B2311" t="s">
        <v>548</v>
      </c>
      <c r="C2311" t="s">
        <v>1618</v>
      </c>
      <c r="D2311" t="str">
        <f t="shared" si="36"/>
        <v>ESPMG3027</v>
      </c>
      <c r="E2311" t="s">
        <v>1600</v>
      </c>
    </row>
    <row r="2312" spans="1:5" hidden="1" x14ac:dyDescent="0.25">
      <c r="A2312">
        <v>1541</v>
      </c>
      <c r="B2312" t="s">
        <v>548</v>
      </c>
      <c r="C2312" t="s">
        <v>466</v>
      </c>
      <c r="D2312" t="str">
        <f t="shared" si="36"/>
        <v>ESPMG3030</v>
      </c>
      <c r="E2312" t="s">
        <v>1600</v>
      </c>
    </row>
    <row r="2313" spans="1:5" hidden="1" x14ac:dyDescent="0.25">
      <c r="A2313">
        <v>1541</v>
      </c>
      <c r="B2313" t="s">
        <v>548</v>
      </c>
      <c r="C2313" t="s">
        <v>1756</v>
      </c>
      <c r="D2313" t="str">
        <f t="shared" si="36"/>
        <v>ESPMG3036</v>
      </c>
      <c r="E2313" t="s">
        <v>1600</v>
      </c>
    </row>
    <row r="2314" spans="1:5" hidden="1" x14ac:dyDescent="0.25">
      <c r="A2314">
        <v>1541</v>
      </c>
      <c r="B2314" t="s">
        <v>548</v>
      </c>
      <c r="C2314" t="s">
        <v>490</v>
      </c>
      <c r="D2314" t="str">
        <f t="shared" si="36"/>
        <v>ESPMG3099</v>
      </c>
      <c r="E2314" t="s">
        <v>1600</v>
      </c>
    </row>
    <row r="2315" spans="1:5" hidden="1" x14ac:dyDescent="0.25">
      <c r="A2315">
        <v>1541</v>
      </c>
      <c r="B2315" t="s">
        <v>548</v>
      </c>
      <c r="C2315" t="s">
        <v>226</v>
      </c>
      <c r="D2315" t="str">
        <f t="shared" si="36"/>
        <v>ESPMG3201</v>
      </c>
      <c r="E2315" t="s">
        <v>1623</v>
      </c>
    </row>
    <row r="2316" spans="1:5" hidden="1" x14ac:dyDescent="0.25">
      <c r="A2316">
        <v>1541</v>
      </c>
      <c r="B2316" t="s">
        <v>548</v>
      </c>
      <c r="C2316" t="s">
        <v>53</v>
      </c>
      <c r="D2316" t="str">
        <f t="shared" si="36"/>
        <v>ESPMG3301</v>
      </c>
      <c r="E2316" t="s">
        <v>43</v>
      </c>
    </row>
    <row r="2317" spans="1:5" hidden="1" x14ac:dyDescent="0.25">
      <c r="A2317">
        <v>1541</v>
      </c>
      <c r="B2317" t="s">
        <v>548</v>
      </c>
      <c r="C2317" t="s">
        <v>1626</v>
      </c>
      <c r="D2317" t="str">
        <f t="shared" si="36"/>
        <v>ESPMG3302</v>
      </c>
      <c r="E2317" t="s">
        <v>43</v>
      </c>
    </row>
    <row r="2318" spans="1:5" hidden="1" x14ac:dyDescent="0.25">
      <c r="A2318">
        <v>1541</v>
      </c>
      <c r="B2318" t="s">
        <v>548</v>
      </c>
      <c r="C2318" t="s">
        <v>1704</v>
      </c>
      <c r="D2318" t="str">
        <f t="shared" si="36"/>
        <v>ESPMG3303</v>
      </c>
      <c r="E2318" t="s">
        <v>43</v>
      </c>
    </row>
    <row r="2319" spans="1:5" hidden="1" x14ac:dyDescent="0.25">
      <c r="A2319">
        <v>1541</v>
      </c>
      <c r="B2319" t="s">
        <v>548</v>
      </c>
      <c r="C2319" t="s">
        <v>1627</v>
      </c>
      <c r="D2319" t="str">
        <f t="shared" si="36"/>
        <v>ESPMG3304</v>
      </c>
      <c r="E2319" t="s">
        <v>43</v>
      </c>
    </row>
    <row r="2320" spans="1:5" hidden="1" x14ac:dyDescent="0.25">
      <c r="A2320">
        <v>1541</v>
      </c>
      <c r="B2320" t="s">
        <v>548</v>
      </c>
      <c r="C2320" t="s">
        <v>308</v>
      </c>
      <c r="D2320" t="str">
        <f t="shared" si="36"/>
        <v>ESPMG3305</v>
      </c>
      <c r="E2320" t="s">
        <v>43</v>
      </c>
    </row>
    <row r="2321" spans="1:5" hidden="1" x14ac:dyDescent="0.25">
      <c r="A2321">
        <v>1541</v>
      </c>
      <c r="B2321" t="s">
        <v>548</v>
      </c>
      <c r="C2321" t="s">
        <v>227</v>
      </c>
      <c r="D2321" t="str">
        <f t="shared" si="36"/>
        <v>ESPMG3401</v>
      </c>
      <c r="E2321" t="s">
        <v>1623</v>
      </c>
    </row>
    <row r="2322" spans="1:5" hidden="1" x14ac:dyDescent="0.25">
      <c r="A2322">
        <v>1541</v>
      </c>
      <c r="B2322" t="s">
        <v>548</v>
      </c>
      <c r="C2322" t="s">
        <v>1741</v>
      </c>
      <c r="D2322" t="str">
        <f t="shared" si="36"/>
        <v>ESPMG3501</v>
      </c>
      <c r="E2322" t="s">
        <v>1623</v>
      </c>
    </row>
    <row r="2323" spans="1:5" hidden="1" x14ac:dyDescent="0.25">
      <c r="A2323">
        <v>1541</v>
      </c>
      <c r="B2323" t="s">
        <v>548</v>
      </c>
      <c r="C2323" t="s">
        <v>1705</v>
      </c>
      <c r="D2323" t="str">
        <f t="shared" si="36"/>
        <v>ESPMG3502</v>
      </c>
      <c r="E2323" t="s">
        <v>1706</v>
      </c>
    </row>
    <row r="2324" spans="1:5" hidden="1" x14ac:dyDescent="0.25">
      <c r="A2324">
        <v>1541</v>
      </c>
      <c r="B2324" t="s">
        <v>548</v>
      </c>
      <c r="C2324" t="s">
        <v>296</v>
      </c>
      <c r="D2324" t="str">
        <f t="shared" si="36"/>
        <v>ESPMG3604</v>
      </c>
      <c r="E2324" t="s">
        <v>43</v>
      </c>
    </row>
    <row r="2325" spans="1:5" hidden="1" x14ac:dyDescent="0.25">
      <c r="A2325">
        <v>1541</v>
      </c>
      <c r="B2325" t="s">
        <v>548</v>
      </c>
      <c r="C2325" t="s">
        <v>1742</v>
      </c>
      <c r="D2325" t="str">
        <f t="shared" si="36"/>
        <v>ESPMG3605</v>
      </c>
      <c r="E2325" t="s">
        <v>1623</v>
      </c>
    </row>
    <row r="2326" spans="1:5" hidden="1" x14ac:dyDescent="0.25">
      <c r="A2326">
        <v>1541</v>
      </c>
      <c r="B2326" t="s">
        <v>548</v>
      </c>
      <c r="C2326" t="s">
        <v>354</v>
      </c>
      <c r="D2326" t="str">
        <f t="shared" si="36"/>
        <v>ESPMG3610</v>
      </c>
      <c r="E2326" t="s">
        <v>1623</v>
      </c>
    </row>
    <row r="2327" spans="1:5" hidden="1" x14ac:dyDescent="0.25">
      <c r="A2327">
        <v>1541</v>
      </c>
      <c r="B2327" t="s">
        <v>548</v>
      </c>
      <c r="C2327" t="s">
        <v>1628</v>
      </c>
      <c r="D2327" t="str">
        <f t="shared" si="36"/>
        <v>ESPMG3612</v>
      </c>
      <c r="E2327" t="s">
        <v>1623</v>
      </c>
    </row>
    <row r="2328" spans="1:5" hidden="1" x14ac:dyDescent="0.25">
      <c r="A2328">
        <v>1541</v>
      </c>
      <c r="B2328" t="s">
        <v>548</v>
      </c>
      <c r="C2328" t="s">
        <v>406</v>
      </c>
      <c r="D2328" t="str">
        <f t="shared" si="36"/>
        <v>ESPMG3618</v>
      </c>
      <c r="E2328" t="s">
        <v>1611</v>
      </c>
    </row>
    <row r="2329" spans="1:5" hidden="1" x14ac:dyDescent="0.25">
      <c r="A2329">
        <v>1541</v>
      </c>
      <c r="B2329" t="s">
        <v>548</v>
      </c>
      <c r="C2329" t="s">
        <v>431</v>
      </c>
      <c r="D2329" t="str">
        <f t="shared" si="36"/>
        <v>ESPMG3623</v>
      </c>
      <c r="E2329" t="s">
        <v>1646</v>
      </c>
    </row>
    <row r="2330" spans="1:5" hidden="1" x14ac:dyDescent="0.25">
      <c r="A2330">
        <v>1541</v>
      </c>
      <c r="B2330" t="s">
        <v>548</v>
      </c>
      <c r="C2330" t="s">
        <v>441</v>
      </c>
      <c r="D2330" t="str">
        <f t="shared" si="36"/>
        <v>ESPMG3625</v>
      </c>
      <c r="E2330" t="s">
        <v>1623</v>
      </c>
    </row>
    <row r="2331" spans="1:5" hidden="1" x14ac:dyDescent="0.25">
      <c r="A2331">
        <v>1541</v>
      </c>
      <c r="B2331" t="s">
        <v>548</v>
      </c>
      <c r="C2331" t="s">
        <v>446</v>
      </c>
      <c r="D2331" t="str">
        <f t="shared" si="36"/>
        <v>ESPMG3626</v>
      </c>
      <c r="E2331" t="s">
        <v>1623</v>
      </c>
    </row>
    <row r="2332" spans="1:5" hidden="1" x14ac:dyDescent="0.25">
      <c r="A2332">
        <v>1541</v>
      </c>
      <c r="B2332" t="s">
        <v>548</v>
      </c>
      <c r="C2332" t="s">
        <v>467</v>
      </c>
      <c r="D2332" t="str">
        <f t="shared" si="36"/>
        <v>ESPMG3631</v>
      </c>
      <c r="E2332" t="s">
        <v>1645</v>
      </c>
    </row>
    <row r="2333" spans="1:5" hidden="1" x14ac:dyDescent="0.25">
      <c r="A2333">
        <v>1541</v>
      </c>
      <c r="B2333" t="s">
        <v>548</v>
      </c>
      <c r="C2333" t="s">
        <v>470</v>
      </c>
      <c r="D2333" t="str">
        <f t="shared" si="36"/>
        <v>ESPMG3699</v>
      </c>
      <c r="E2333" t="s">
        <v>1623</v>
      </c>
    </row>
    <row r="2334" spans="1:5" hidden="1" x14ac:dyDescent="0.25">
      <c r="A2334">
        <v>1541</v>
      </c>
      <c r="B2334" t="s">
        <v>548</v>
      </c>
      <c r="C2334" t="s">
        <v>1629</v>
      </c>
      <c r="D2334" t="str">
        <f t="shared" si="36"/>
        <v>ESPMG3701</v>
      </c>
      <c r="E2334" t="s">
        <v>102</v>
      </c>
    </row>
    <row r="2335" spans="1:5" hidden="1" x14ac:dyDescent="0.25">
      <c r="A2335">
        <v>1541</v>
      </c>
      <c r="B2335" t="s">
        <v>548</v>
      </c>
      <c r="C2335" t="s">
        <v>1693</v>
      </c>
      <c r="D2335" t="str">
        <f t="shared" si="36"/>
        <v>ESPMG3702</v>
      </c>
      <c r="E2335" t="s">
        <v>1630</v>
      </c>
    </row>
    <row r="2336" spans="1:5" hidden="1" x14ac:dyDescent="0.25">
      <c r="A2336">
        <v>1541</v>
      </c>
      <c r="B2336" t="s">
        <v>548</v>
      </c>
      <c r="C2336" t="s">
        <v>1631</v>
      </c>
      <c r="D2336" t="str">
        <f t="shared" si="36"/>
        <v>ESPMG3703</v>
      </c>
      <c r="E2336" t="s">
        <v>116</v>
      </c>
    </row>
    <row r="2337" spans="1:5" hidden="1" x14ac:dyDescent="0.25">
      <c r="A2337">
        <v>1541</v>
      </c>
      <c r="B2337" t="s">
        <v>548</v>
      </c>
      <c r="C2337" t="s">
        <v>1632</v>
      </c>
      <c r="D2337" t="str">
        <f t="shared" si="36"/>
        <v>ESPMG3704</v>
      </c>
      <c r="E2337" t="s">
        <v>116</v>
      </c>
    </row>
    <row r="2338" spans="1:5" hidden="1" x14ac:dyDescent="0.25">
      <c r="A2338">
        <v>1541</v>
      </c>
      <c r="B2338" t="s">
        <v>548</v>
      </c>
      <c r="C2338" t="s">
        <v>1633</v>
      </c>
      <c r="D2338" t="str">
        <f t="shared" si="36"/>
        <v>ESPMG3705</v>
      </c>
      <c r="E2338" t="s">
        <v>116</v>
      </c>
    </row>
    <row r="2339" spans="1:5" hidden="1" x14ac:dyDescent="0.25">
      <c r="A2339">
        <v>1541</v>
      </c>
      <c r="B2339" t="s">
        <v>548</v>
      </c>
      <c r="C2339" t="s">
        <v>1634</v>
      </c>
      <c r="D2339" t="str">
        <f t="shared" si="36"/>
        <v>ESPMG3903</v>
      </c>
      <c r="E2339" t="s">
        <v>86</v>
      </c>
    </row>
    <row r="2340" spans="1:5" hidden="1" x14ac:dyDescent="0.25">
      <c r="A2340">
        <v>1541</v>
      </c>
      <c r="B2340" t="s">
        <v>548</v>
      </c>
      <c r="C2340" t="s">
        <v>298</v>
      </c>
      <c r="D2340" t="str">
        <f t="shared" si="36"/>
        <v>ESPMG3904</v>
      </c>
      <c r="E2340" t="s">
        <v>1623</v>
      </c>
    </row>
    <row r="2341" spans="1:5" hidden="1" x14ac:dyDescent="0.25">
      <c r="A2341">
        <v>1541</v>
      </c>
      <c r="B2341" t="s">
        <v>548</v>
      </c>
      <c r="C2341" t="s">
        <v>325</v>
      </c>
      <c r="D2341" t="str">
        <f t="shared" si="36"/>
        <v>ESPMG3906</v>
      </c>
      <c r="E2341" t="s">
        <v>1623</v>
      </c>
    </row>
    <row r="2342" spans="1:5" hidden="1" x14ac:dyDescent="0.25">
      <c r="A2342">
        <v>1541</v>
      </c>
      <c r="B2342" t="s">
        <v>548</v>
      </c>
      <c r="C2342" t="s">
        <v>345</v>
      </c>
      <c r="D2342" t="str">
        <f t="shared" si="36"/>
        <v>ESPMG3910</v>
      </c>
      <c r="E2342" t="s">
        <v>1623</v>
      </c>
    </row>
    <row r="2343" spans="1:5" hidden="1" x14ac:dyDescent="0.25">
      <c r="A2343">
        <v>1541</v>
      </c>
      <c r="B2343" t="s">
        <v>548</v>
      </c>
      <c r="C2343" t="s">
        <v>1636</v>
      </c>
      <c r="D2343" t="str">
        <f t="shared" si="36"/>
        <v>ESPMG3912</v>
      </c>
      <c r="E2343" t="s">
        <v>1637</v>
      </c>
    </row>
    <row r="2344" spans="1:5" hidden="1" x14ac:dyDescent="0.25">
      <c r="A2344">
        <v>1541</v>
      </c>
      <c r="B2344" t="s">
        <v>548</v>
      </c>
      <c r="C2344" t="s">
        <v>376</v>
      </c>
      <c r="D2344" t="str">
        <f t="shared" si="36"/>
        <v>ESPMG3914</v>
      </c>
      <c r="E2344" t="s">
        <v>1648</v>
      </c>
    </row>
    <row r="2345" spans="1:5" hidden="1" x14ac:dyDescent="0.25">
      <c r="A2345">
        <v>1541</v>
      </c>
      <c r="B2345" t="s">
        <v>548</v>
      </c>
      <c r="C2345" t="s">
        <v>383</v>
      </c>
      <c r="D2345" t="str">
        <f t="shared" si="36"/>
        <v>ESPMG3915</v>
      </c>
      <c r="E2345" t="s">
        <v>1637</v>
      </c>
    </row>
    <row r="2346" spans="1:5" hidden="1" x14ac:dyDescent="0.25">
      <c r="A2346">
        <v>1541</v>
      </c>
      <c r="B2346" t="s">
        <v>548</v>
      </c>
      <c r="C2346" t="s">
        <v>1639</v>
      </c>
      <c r="D2346" t="str">
        <f t="shared" si="36"/>
        <v>ESPMG3917</v>
      </c>
      <c r="E2346" t="s">
        <v>1615</v>
      </c>
    </row>
    <row r="2347" spans="1:5" hidden="1" x14ac:dyDescent="0.25">
      <c r="A2347">
        <v>1541</v>
      </c>
      <c r="B2347" t="s">
        <v>548</v>
      </c>
      <c r="C2347" t="s">
        <v>1641</v>
      </c>
      <c r="D2347" t="str">
        <f t="shared" si="36"/>
        <v>ESPMG3919</v>
      </c>
      <c r="E2347" t="s">
        <v>2102</v>
      </c>
    </row>
    <row r="2348" spans="1:5" hidden="1" x14ac:dyDescent="0.25">
      <c r="A2348">
        <v>1541</v>
      </c>
      <c r="B2348" t="s">
        <v>548</v>
      </c>
      <c r="C2348" t="s">
        <v>1642</v>
      </c>
      <c r="D2348" t="str">
        <f t="shared" si="36"/>
        <v>ESPMG3921</v>
      </c>
      <c r="E2348" t="s">
        <v>2102</v>
      </c>
    </row>
    <row r="2349" spans="1:5" hidden="1" x14ac:dyDescent="0.25">
      <c r="A2349">
        <v>1541</v>
      </c>
      <c r="B2349" t="s">
        <v>548</v>
      </c>
      <c r="C2349" t="s">
        <v>1643</v>
      </c>
      <c r="D2349" t="str">
        <f t="shared" si="36"/>
        <v>ESPMG3922</v>
      </c>
      <c r="E2349" t="s">
        <v>1611</v>
      </c>
    </row>
    <row r="2350" spans="1:5" hidden="1" x14ac:dyDescent="0.25">
      <c r="A2350">
        <v>1541</v>
      </c>
      <c r="B2350" t="s">
        <v>548</v>
      </c>
      <c r="C2350" t="s">
        <v>1644</v>
      </c>
      <c r="D2350" t="str">
        <f t="shared" si="36"/>
        <v>ESPMG3924</v>
      </c>
      <c r="E2350" t="s">
        <v>1645</v>
      </c>
    </row>
    <row r="2351" spans="1:5" hidden="1" x14ac:dyDescent="0.25">
      <c r="A2351">
        <v>1541</v>
      </c>
      <c r="B2351" t="s">
        <v>548</v>
      </c>
      <c r="C2351" t="s">
        <v>442</v>
      </c>
      <c r="D2351" t="str">
        <f t="shared" si="36"/>
        <v>ESPMG3926</v>
      </c>
      <c r="E2351" t="s">
        <v>1646</v>
      </c>
    </row>
    <row r="2352" spans="1:5" hidden="1" x14ac:dyDescent="0.25">
      <c r="A2352">
        <v>1541</v>
      </c>
      <c r="B2352" t="s">
        <v>548</v>
      </c>
      <c r="C2352" t="s">
        <v>1647</v>
      </c>
      <c r="D2352" t="str">
        <f t="shared" si="36"/>
        <v>ESPMG3927</v>
      </c>
      <c r="E2352" t="s">
        <v>1648</v>
      </c>
    </row>
    <row r="2353" spans="1:5" hidden="1" x14ac:dyDescent="0.25">
      <c r="A2353">
        <v>1541</v>
      </c>
      <c r="B2353" t="s">
        <v>548</v>
      </c>
      <c r="C2353" t="s">
        <v>457</v>
      </c>
      <c r="D2353" t="str">
        <f t="shared" si="36"/>
        <v>ESPMG3930</v>
      </c>
      <c r="E2353" t="s">
        <v>1646</v>
      </c>
    </row>
    <row r="2354" spans="1:5" hidden="1" x14ac:dyDescent="0.25">
      <c r="A2354">
        <v>1541</v>
      </c>
      <c r="B2354" t="s">
        <v>548</v>
      </c>
      <c r="C2354" t="s">
        <v>1650</v>
      </c>
      <c r="D2354" t="str">
        <f t="shared" si="36"/>
        <v>ESPMG3931</v>
      </c>
      <c r="E2354" t="s">
        <v>1623</v>
      </c>
    </row>
    <row r="2355" spans="1:5" hidden="1" x14ac:dyDescent="0.25">
      <c r="A2355">
        <v>1541</v>
      </c>
      <c r="B2355" t="s">
        <v>548</v>
      </c>
      <c r="C2355" t="s">
        <v>1652</v>
      </c>
      <c r="D2355" t="str">
        <f t="shared" si="36"/>
        <v>ESPMG3936</v>
      </c>
      <c r="E2355" t="s">
        <v>93</v>
      </c>
    </row>
    <row r="2356" spans="1:5" hidden="1" x14ac:dyDescent="0.25">
      <c r="A2356">
        <v>1541</v>
      </c>
      <c r="B2356" t="s">
        <v>548</v>
      </c>
      <c r="C2356" t="s">
        <v>1708</v>
      </c>
      <c r="D2356" t="str">
        <f t="shared" si="36"/>
        <v>ESPMG3938</v>
      </c>
      <c r="E2356" t="s">
        <v>1808</v>
      </c>
    </row>
    <row r="2357" spans="1:5" hidden="1" x14ac:dyDescent="0.25">
      <c r="A2357">
        <v>1541</v>
      </c>
      <c r="B2357" t="s">
        <v>548</v>
      </c>
      <c r="C2357" t="s">
        <v>1653</v>
      </c>
      <c r="D2357" t="str">
        <f t="shared" si="36"/>
        <v>ESPMG3940</v>
      </c>
      <c r="E2357" t="s">
        <v>1648</v>
      </c>
    </row>
    <row r="2358" spans="1:5" hidden="1" x14ac:dyDescent="0.25">
      <c r="A2358">
        <v>1541</v>
      </c>
      <c r="B2358" t="s">
        <v>548</v>
      </c>
      <c r="C2358" t="s">
        <v>1654</v>
      </c>
      <c r="D2358" t="str">
        <f t="shared" si="36"/>
        <v>ESPMG3943</v>
      </c>
      <c r="E2358" t="s">
        <v>1615</v>
      </c>
    </row>
    <row r="2359" spans="1:5" hidden="1" x14ac:dyDescent="0.25">
      <c r="A2359">
        <v>1541</v>
      </c>
      <c r="B2359" t="s">
        <v>548</v>
      </c>
      <c r="C2359" t="s">
        <v>491</v>
      </c>
      <c r="D2359" t="str">
        <f t="shared" si="36"/>
        <v>ESPMG3948</v>
      </c>
      <c r="E2359" t="s">
        <v>1645</v>
      </c>
    </row>
    <row r="2360" spans="1:5" hidden="1" x14ac:dyDescent="0.25">
      <c r="A2360">
        <v>1541</v>
      </c>
      <c r="B2360" t="s">
        <v>548</v>
      </c>
      <c r="C2360" t="s">
        <v>1655</v>
      </c>
      <c r="D2360" t="str">
        <f t="shared" si="36"/>
        <v>ESPMG3950</v>
      </c>
      <c r="E2360" t="s">
        <v>43</v>
      </c>
    </row>
    <row r="2361" spans="1:5" hidden="1" x14ac:dyDescent="0.25">
      <c r="A2361">
        <v>1541</v>
      </c>
      <c r="B2361" t="s">
        <v>548</v>
      </c>
      <c r="C2361" t="s">
        <v>1701</v>
      </c>
      <c r="D2361" t="str">
        <f t="shared" si="36"/>
        <v>ESPMG3952</v>
      </c>
      <c r="E2361" t="s">
        <v>64</v>
      </c>
    </row>
    <row r="2362" spans="1:5" hidden="1" x14ac:dyDescent="0.25">
      <c r="A2362">
        <v>1541</v>
      </c>
      <c r="B2362" t="s">
        <v>548</v>
      </c>
      <c r="C2362" t="s">
        <v>497</v>
      </c>
      <c r="D2362" t="str">
        <f t="shared" si="36"/>
        <v>ESPMG3955</v>
      </c>
      <c r="E2362" t="s">
        <v>1623</v>
      </c>
    </row>
    <row r="2363" spans="1:5" hidden="1" x14ac:dyDescent="0.25">
      <c r="A2363">
        <v>1541</v>
      </c>
      <c r="B2363" t="s">
        <v>548</v>
      </c>
      <c r="C2363" t="s">
        <v>498</v>
      </c>
      <c r="D2363" t="str">
        <f t="shared" si="36"/>
        <v>ESPMG3956</v>
      </c>
      <c r="E2363" t="s">
        <v>1623</v>
      </c>
    </row>
    <row r="2364" spans="1:5" hidden="1" x14ac:dyDescent="0.25">
      <c r="A2364">
        <v>1541</v>
      </c>
      <c r="B2364" t="s">
        <v>548</v>
      </c>
      <c r="C2364" t="s">
        <v>1657</v>
      </c>
      <c r="D2364" t="str">
        <f t="shared" si="36"/>
        <v>ESPMG3961</v>
      </c>
      <c r="E2364" t="s">
        <v>1630</v>
      </c>
    </row>
    <row r="2365" spans="1:5" hidden="1" x14ac:dyDescent="0.25">
      <c r="A2365">
        <v>1541</v>
      </c>
      <c r="B2365" t="s">
        <v>548</v>
      </c>
      <c r="C2365" t="s">
        <v>1659</v>
      </c>
      <c r="D2365" t="str">
        <f t="shared" si="36"/>
        <v>ESPMG3969</v>
      </c>
      <c r="E2365" t="s">
        <v>1637</v>
      </c>
    </row>
    <row r="2366" spans="1:5" hidden="1" x14ac:dyDescent="0.25">
      <c r="A2366">
        <v>1541</v>
      </c>
      <c r="B2366" t="s">
        <v>548</v>
      </c>
      <c r="C2366" t="s">
        <v>1660</v>
      </c>
      <c r="D2366" t="str">
        <f t="shared" si="36"/>
        <v>ESPMG3970</v>
      </c>
      <c r="E2366" t="s">
        <v>1648</v>
      </c>
    </row>
    <row r="2367" spans="1:5" hidden="1" x14ac:dyDescent="0.25">
      <c r="A2367">
        <v>1541</v>
      </c>
      <c r="B2367" t="s">
        <v>548</v>
      </c>
      <c r="C2367" t="s">
        <v>513</v>
      </c>
      <c r="D2367" t="str">
        <f t="shared" si="36"/>
        <v>ESPMG3972</v>
      </c>
      <c r="E2367" t="s">
        <v>1637</v>
      </c>
    </row>
    <row r="2368" spans="1:5" hidden="1" x14ac:dyDescent="0.25">
      <c r="A2368">
        <v>1541</v>
      </c>
      <c r="B2368" t="s">
        <v>548</v>
      </c>
      <c r="C2368" t="s">
        <v>520</v>
      </c>
      <c r="D2368" t="str">
        <f t="shared" si="36"/>
        <v>ESPMG3981</v>
      </c>
      <c r="E2368" t="s">
        <v>1623</v>
      </c>
    </row>
    <row r="2369" spans="1:5" hidden="1" x14ac:dyDescent="0.25">
      <c r="A2369">
        <v>1541</v>
      </c>
      <c r="B2369" t="s">
        <v>548</v>
      </c>
      <c r="C2369" t="s">
        <v>530</v>
      </c>
      <c r="D2369" t="str">
        <f t="shared" si="36"/>
        <v>ESPMG3991</v>
      </c>
      <c r="E2369" t="s">
        <v>1623</v>
      </c>
    </row>
    <row r="2370" spans="1:5" hidden="1" x14ac:dyDescent="0.25">
      <c r="A2370">
        <v>1541</v>
      </c>
      <c r="B2370" t="s">
        <v>548</v>
      </c>
      <c r="C2370" t="s">
        <v>1663</v>
      </c>
      <c r="D2370" t="str">
        <f t="shared" si="36"/>
        <v>ESPMG3999</v>
      </c>
      <c r="E2370" t="s">
        <v>1623</v>
      </c>
    </row>
    <row r="2371" spans="1:5" hidden="1" x14ac:dyDescent="0.25">
      <c r="A2371">
        <v>1541</v>
      </c>
      <c r="B2371" t="s">
        <v>548</v>
      </c>
      <c r="C2371" t="s">
        <v>1664</v>
      </c>
      <c r="D2371" t="str">
        <f t="shared" si="36"/>
        <v>ESPMG4002</v>
      </c>
      <c r="E2371" t="s">
        <v>1648</v>
      </c>
    </row>
    <row r="2372" spans="1:5" hidden="1" x14ac:dyDescent="0.25">
      <c r="A2372">
        <v>1541</v>
      </c>
      <c r="B2372" t="s">
        <v>548</v>
      </c>
      <c r="C2372" t="s">
        <v>1665</v>
      </c>
      <c r="D2372" t="str">
        <f t="shared" si="36"/>
        <v>ESPMG4003</v>
      </c>
      <c r="E2372" t="s">
        <v>93</v>
      </c>
    </row>
    <row r="2373" spans="1:5" hidden="1" x14ac:dyDescent="0.25">
      <c r="A2373">
        <v>1541</v>
      </c>
      <c r="B2373" t="s">
        <v>548</v>
      </c>
      <c r="C2373" t="s">
        <v>1666</v>
      </c>
      <c r="D2373" t="str">
        <f t="shared" ref="D2373:D2436" si="37">CONCATENATE(B2373,LEFT(C2373,4))</f>
        <v>ESPMG4004</v>
      </c>
      <c r="E2373" t="s">
        <v>1648</v>
      </c>
    </row>
    <row r="2374" spans="1:5" hidden="1" x14ac:dyDescent="0.25">
      <c r="A2374">
        <v>1541</v>
      </c>
      <c r="B2374" t="s">
        <v>548</v>
      </c>
      <c r="C2374" t="s">
        <v>1667</v>
      </c>
      <c r="D2374" t="str">
        <f t="shared" si="37"/>
        <v>ESPMG4005</v>
      </c>
      <c r="E2374" t="s">
        <v>1648</v>
      </c>
    </row>
    <row r="2375" spans="1:5" hidden="1" x14ac:dyDescent="0.25">
      <c r="A2375">
        <v>1541</v>
      </c>
      <c r="B2375" t="s">
        <v>548</v>
      </c>
      <c r="C2375" t="s">
        <v>1698</v>
      </c>
      <c r="D2375" t="str">
        <f t="shared" si="37"/>
        <v>ESPMG4006</v>
      </c>
      <c r="E2375" t="s">
        <v>1675</v>
      </c>
    </row>
    <row r="2376" spans="1:5" hidden="1" x14ac:dyDescent="0.25">
      <c r="A2376">
        <v>1541</v>
      </c>
      <c r="B2376" t="s">
        <v>548</v>
      </c>
      <c r="C2376" t="s">
        <v>1668</v>
      </c>
      <c r="D2376" t="str">
        <f t="shared" si="37"/>
        <v>ESPMG4701</v>
      </c>
      <c r="E2376" t="s">
        <v>1669</v>
      </c>
    </row>
    <row r="2377" spans="1:5" hidden="1" x14ac:dyDescent="0.25">
      <c r="A2377">
        <v>1541</v>
      </c>
      <c r="B2377" t="s">
        <v>548</v>
      </c>
      <c r="C2377" t="s">
        <v>264</v>
      </c>
      <c r="D2377" t="str">
        <f t="shared" si="37"/>
        <v>ESPMG4703</v>
      </c>
      <c r="E2377" t="s">
        <v>1669</v>
      </c>
    </row>
    <row r="2378" spans="1:5" hidden="1" x14ac:dyDescent="0.25">
      <c r="A2378">
        <v>1541</v>
      </c>
      <c r="B2378" t="s">
        <v>548</v>
      </c>
      <c r="C2378" t="s">
        <v>327</v>
      </c>
      <c r="D2378" t="str">
        <f t="shared" si="37"/>
        <v>ESPMG4707</v>
      </c>
      <c r="E2378" t="s">
        <v>1669</v>
      </c>
    </row>
    <row r="2379" spans="1:5" hidden="1" x14ac:dyDescent="0.25">
      <c r="A2379">
        <v>1541</v>
      </c>
      <c r="B2379" t="s">
        <v>548</v>
      </c>
      <c r="C2379" t="s">
        <v>363</v>
      </c>
      <c r="D2379" t="str">
        <f t="shared" si="37"/>
        <v>ESPMG4799</v>
      </c>
      <c r="E2379" t="s">
        <v>1669</v>
      </c>
    </row>
    <row r="2380" spans="1:5" hidden="1" x14ac:dyDescent="0.25">
      <c r="A2380">
        <v>1541</v>
      </c>
      <c r="B2380" t="s">
        <v>548</v>
      </c>
      <c r="C2380" t="s">
        <v>1752</v>
      </c>
      <c r="D2380" t="str">
        <f t="shared" si="37"/>
        <v>ESPMG4904</v>
      </c>
      <c r="E2380" t="s">
        <v>1596</v>
      </c>
    </row>
    <row r="2381" spans="1:5" hidden="1" x14ac:dyDescent="0.25">
      <c r="A2381">
        <v>1541</v>
      </c>
      <c r="B2381" t="s">
        <v>548</v>
      </c>
      <c r="C2381" t="s">
        <v>1670</v>
      </c>
      <c r="D2381" t="str">
        <f t="shared" si="37"/>
        <v>ESPMG5101</v>
      </c>
      <c r="E2381" t="s">
        <v>1671</v>
      </c>
    </row>
    <row r="2382" spans="1:5" hidden="1" x14ac:dyDescent="0.25">
      <c r="A2382">
        <v>1541</v>
      </c>
      <c r="B2382" t="s">
        <v>548</v>
      </c>
      <c r="C2382" t="s">
        <v>1798</v>
      </c>
      <c r="D2382" t="str">
        <f t="shared" si="37"/>
        <v>ESPMG5102</v>
      </c>
      <c r="E2382" t="s">
        <v>1808</v>
      </c>
    </row>
    <row r="2383" spans="1:5" hidden="1" x14ac:dyDescent="0.25">
      <c r="A2383">
        <v>1541</v>
      </c>
      <c r="B2383" t="s">
        <v>548</v>
      </c>
      <c r="C2383" t="s">
        <v>1673</v>
      </c>
      <c r="D2383" t="str">
        <f t="shared" si="37"/>
        <v>ESPMG5204</v>
      </c>
      <c r="E2383" t="s">
        <v>1674</v>
      </c>
    </row>
    <row r="2384" spans="1:5" hidden="1" x14ac:dyDescent="0.25">
      <c r="A2384">
        <v>1541</v>
      </c>
      <c r="B2384" t="s">
        <v>548</v>
      </c>
      <c r="C2384" t="s">
        <v>1676</v>
      </c>
      <c r="D2384" t="str">
        <f t="shared" si="37"/>
        <v>ESPMG5207</v>
      </c>
      <c r="E2384" t="s">
        <v>1675</v>
      </c>
    </row>
    <row r="2385" spans="1:5" hidden="1" x14ac:dyDescent="0.25">
      <c r="A2385">
        <v>1541</v>
      </c>
      <c r="B2385" t="s">
        <v>548</v>
      </c>
      <c r="C2385" t="s">
        <v>1677</v>
      </c>
      <c r="D2385" t="str">
        <f t="shared" si="37"/>
        <v>ESPMG5208</v>
      </c>
      <c r="E2385" t="s">
        <v>1675</v>
      </c>
    </row>
    <row r="2386" spans="1:5" hidden="1" x14ac:dyDescent="0.25">
      <c r="A2386">
        <v>1541</v>
      </c>
      <c r="B2386" t="s">
        <v>548</v>
      </c>
      <c r="C2386" t="s">
        <v>1678</v>
      </c>
      <c r="D2386" t="str">
        <f t="shared" si="37"/>
        <v>ESPMG5210</v>
      </c>
      <c r="E2386" t="s">
        <v>1674</v>
      </c>
    </row>
    <row r="2387" spans="1:5" hidden="1" x14ac:dyDescent="0.25">
      <c r="A2387">
        <v>1541</v>
      </c>
      <c r="B2387" t="s">
        <v>548</v>
      </c>
      <c r="C2387" t="s">
        <v>1679</v>
      </c>
      <c r="D2387" t="str">
        <f t="shared" si="37"/>
        <v>ESPMG5212</v>
      </c>
      <c r="E2387" t="s">
        <v>1674</v>
      </c>
    </row>
    <row r="2388" spans="1:5" hidden="1" x14ac:dyDescent="0.25">
      <c r="A2388">
        <v>1541</v>
      </c>
      <c r="B2388" t="s">
        <v>548</v>
      </c>
      <c r="C2388" t="s">
        <v>390</v>
      </c>
      <c r="D2388" t="str">
        <f t="shared" si="37"/>
        <v>ESPMG5214</v>
      </c>
      <c r="E2388" t="s">
        <v>1674</v>
      </c>
    </row>
    <row r="2389" spans="1:5" hidden="1" x14ac:dyDescent="0.25">
      <c r="A2389">
        <v>1541</v>
      </c>
      <c r="B2389" t="s">
        <v>548</v>
      </c>
      <c r="C2389" t="s">
        <v>448</v>
      </c>
      <c r="D2389" t="str">
        <f t="shared" si="37"/>
        <v>ESPMG5225</v>
      </c>
      <c r="E2389" t="s">
        <v>1674</v>
      </c>
    </row>
    <row r="2390" spans="1:5" hidden="1" x14ac:dyDescent="0.25">
      <c r="A2390">
        <v>1541</v>
      </c>
      <c r="B2390" t="s">
        <v>548</v>
      </c>
      <c r="C2390" t="s">
        <v>1682</v>
      </c>
      <c r="D2390" t="str">
        <f t="shared" si="37"/>
        <v>ESPMG5226</v>
      </c>
      <c r="E2390" t="s">
        <v>1674</v>
      </c>
    </row>
    <row r="2391" spans="1:5" hidden="1" x14ac:dyDescent="0.25">
      <c r="A2391">
        <v>1541</v>
      </c>
      <c r="B2391" t="s">
        <v>548</v>
      </c>
      <c r="C2391" t="s">
        <v>1729</v>
      </c>
      <c r="D2391" t="str">
        <f t="shared" si="37"/>
        <v>ESPMG9201</v>
      </c>
      <c r="E2391" t="s">
        <v>1685</v>
      </c>
    </row>
    <row r="2392" spans="1:5" hidden="1" x14ac:dyDescent="0.25">
      <c r="A2392">
        <v>1541</v>
      </c>
      <c r="B2392" t="s">
        <v>548</v>
      </c>
      <c r="C2392" t="s">
        <v>1684</v>
      </c>
      <c r="D2392" t="str">
        <f t="shared" si="37"/>
        <v>ESPMG9202</v>
      </c>
      <c r="E2392" t="s">
        <v>1685</v>
      </c>
    </row>
    <row r="2393" spans="1:5" hidden="1" x14ac:dyDescent="0.25">
      <c r="A2393">
        <v>1541</v>
      </c>
      <c r="B2393" t="s">
        <v>548</v>
      </c>
      <c r="C2393" t="s">
        <v>330</v>
      </c>
      <c r="D2393" t="str">
        <f t="shared" si="37"/>
        <v>ESPMG9306</v>
      </c>
      <c r="E2393" t="s">
        <v>1686</v>
      </c>
    </row>
    <row r="2394" spans="1:5" hidden="1" x14ac:dyDescent="0.25">
      <c r="A2394">
        <v>1541</v>
      </c>
      <c r="B2394" t="s">
        <v>548</v>
      </c>
      <c r="C2394" t="s">
        <v>359</v>
      </c>
      <c r="D2394" t="str">
        <f t="shared" si="37"/>
        <v>ESPMG9309</v>
      </c>
      <c r="E2394" t="s">
        <v>1623</v>
      </c>
    </row>
    <row r="2395" spans="1:5" hidden="1" x14ac:dyDescent="0.25">
      <c r="A2395">
        <v>1541</v>
      </c>
      <c r="B2395" t="s">
        <v>548</v>
      </c>
      <c r="C2395" t="s">
        <v>366</v>
      </c>
      <c r="D2395" t="str">
        <f t="shared" si="37"/>
        <v>ESPMG9310</v>
      </c>
      <c r="E2395" t="s">
        <v>1623</v>
      </c>
    </row>
    <row r="2396" spans="1:5" hidden="1" x14ac:dyDescent="0.25">
      <c r="A2396">
        <v>1541</v>
      </c>
      <c r="B2396" t="s">
        <v>548</v>
      </c>
      <c r="C2396" t="s">
        <v>439</v>
      </c>
      <c r="D2396" t="str">
        <f t="shared" si="37"/>
        <v>ESPMG9326</v>
      </c>
      <c r="E2396" t="s">
        <v>1623</v>
      </c>
    </row>
    <row r="2397" spans="1:5" hidden="1" x14ac:dyDescent="0.25">
      <c r="A2397">
        <v>1541</v>
      </c>
      <c r="B2397" t="s">
        <v>548</v>
      </c>
      <c r="C2397" t="s">
        <v>1687</v>
      </c>
      <c r="D2397" t="str">
        <f t="shared" si="37"/>
        <v>ESPMG9399</v>
      </c>
      <c r="E2397" t="s">
        <v>1623</v>
      </c>
    </row>
    <row r="2398" spans="1:5" hidden="1" x14ac:dyDescent="0.25">
      <c r="A2398">
        <v>1551</v>
      </c>
      <c r="B2398" t="e">
        <v>#N/A</v>
      </c>
      <c r="C2398" t="s">
        <v>1597</v>
      </c>
      <c r="D2398" t="e">
        <f t="shared" si="37"/>
        <v>#N/A</v>
      </c>
      <c r="E2398" t="s">
        <v>43</v>
      </c>
    </row>
    <row r="2399" spans="1:5" hidden="1" x14ac:dyDescent="0.25">
      <c r="A2399">
        <v>1551</v>
      </c>
      <c r="B2399" t="e">
        <v>#N/A</v>
      </c>
      <c r="C2399" t="s">
        <v>1602</v>
      </c>
      <c r="D2399" t="e">
        <f t="shared" si="37"/>
        <v>#N/A</v>
      </c>
      <c r="E2399" t="s">
        <v>1600</v>
      </c>
    </row>
    <row r="2400" spans="1:5" hidden="1" x14ac:dyDescent="0.25">
      <c r="A2400">
        <v>1551</v>
      </c>
      <c r="B2400" t="e">
        <v>#N/A</v>
      </c>
      <c r="C2400" t="s">
        <v>1603</v>
      </c>
      <c r="D2400" t="e">
        <f t="shared" si="37"/>
        <v>#N/A</v>
      </c>
      <c r="E2400" t="s">
        <v>1600</v>
      </c>
    </row>
    <row r="2401" spans="1:5" hidden="1" x14ac:dyDescent="0.25">
      <c r="A2401">
        <v>1551</v>
      </c>
      <c r="B2401" t="e">
        <v>#N/A</v>
      </c>
      <c r="C2401" t="s">
        <v>1607</v>
      </c>
      <c r="D2401" t="e">
        <f t="shared" si="37"/>
        <v>#N/A</v>
      </c>
      <c r="E2401" t="s">
        <v>1600</v>
      </c>
    </row>
    <row r="2402" spans="1:5" hidden="1" x14ac:dyDescent="0.25">
      <c r="A2402">
        <v>1551</v>
      </c>
      <c r="B2402" t="e">
        <v>#N/A</v>
      </c>
      <c r="C2402" t="s">
        <v>1609</v>
      </c>
      <c r="D2402" t="e">
        <f t="shared" si="37"/>
        <v>#N/A</v>
      </c>
      <c r="E2402" t="s">
        <v>1600</v>
      </c>
    </row>
    <row r="2403" spans="1:5" hidden="1" x14ac:dyDescent="0.25">
      <c r="A2403">
        <v>1551</v>
      </c>
      <c r="B2403" t="e">
        <v>#N/A</v>
      </c>
      <c r="C2403" t="s">
        <v>430</v>
      </c>
      <c r="D2403" t="e">
        <f t="shared" si="37"/>
        <v>#N/A</v>
      </c>
      <c r="E2403" t="s">
        <v>1600</v>
      </c>
    </row>
    <row r="2404" spans="1:5" hidden="1" x14ac:dyDescent="0.25">
      <c r="A2404">
        <v>1551</v>
      </c>
      <c r="B2404" t="e">
        <v>#N/A</v>
      </c>
      <c r="C2404" t="s">
        <v>440</v>
      </c>
      <c r="D2404" t="e">
        <f t="shared" si="37"/>
        <v>#N/A</v>
      </c>
      <c r="E2404" t="s">
        <v>1600</v>
      </c>
    </row>
    <row r="2405" spans="1:5" hidden="1" x14ac:dyDescent="0.25">
      <c r="A2405">
        <v>1551</v>
      </c>
      <c r="B2405" t="e">
        <v>#N/A</v>
      </c>
      <c r="C2405" t="s">
        <v>1617</v>
      </c>
      <c r="D2405" t="e">
        <f t="shared" si="37"/>
        <v>#N/A</v>
      </c>
      <c r="E2405" t="s">
        <v>1615</v>
      </c>
    </row>
    <row r="2406" spans="1:5" hidden="1" x14ac:dyDescent="0.25">
      <c r="A2406">
        <v>1551</v>
      </c>
      <c r="B2406" t="e">
        <v>#N/A</v>
      </c>
      <c r="C2406" t="s">
        <v>466</v>
      </c>
      <c r="D2406" t="e">
        <f t="shared" si="37"/>
        <v>#N/A</v>
      </c>
      <c r="E2406" t="s">
        <v>1600</v>
      </c>
    </row>
    <row r="2407" spans="1:5" hidden="1" x14ac:dyDescent="0.25">
      <c r="A2407">
        <v>1551</v>
      </c>
      <c r="B2407" t="e">
        <v>#N/A</v>
      </c>
      <c r="C2407" t="s">
        <v>469</v>
      </c>
      <c r="D2407" t="e">
        <f t="shared" si="37"/>
        <v>#N/A</v>
      </c>
      <c r="E2407" t="s">
        <v>1600</v>
      </c>
    </row>
    <row r="2408" spans="1:5" hidden="1" x14ac:dyDescent="0.25">
      <c r="A2408">
        <v>1551</v>
      </c>
      <c r="B2408" t="e">
        <v>#N/A</v>
      </c>
      <c r="C2408" t="s">
        <v>1619</v>
      </c>
      <c r="D2408" t="e">
        <f t="shared" si="37"/>
        <v>#N/A</v>
      </c>
      <c r="E2408" t="s">
        <v>1600</v>
      </c>
    </row>
    <row r="2409" spans="1:5" hidden="1" x14ac:dyDescent="0.25">
      <c r="A2409">
        <v>1551</v>
      </c>
      <c r="B2409" t="e">
        <v>#N/A</v>
      </c>
      <c r="C2409" t="s">
        <v>1622</v>
      </c>
      <c r="D2409" t="e">
        <f t="shared" si="37"/>
        <v>#N/A</v>
      </c>
      <c r="E2409" t="s">
        <v>1623</v>
      </c>
    </row>
    <row r="2410" spans="1:5" hidden="1" x14ac:dyDescent="0.25">
      <c r="A2410">
        <v>1551</v>
      </c>
      <c r="B2410" t="e">
        <v>#N/A</v>
      </c>
      <c r="C2410" t="s">
        <v>1626</v>
      </c>
      <c r="D2410" t="e">
        <f t="shared" si="37"/>
        <v>#N/A</v>
      </c>
      <c r="E2410" t="s">
        <v>43</v>
      </c>
    </row>
    <row r="2411" spans="1:5" hidden="1" x14ac:dyDescent="0.25">
      <c r="A2411">
        <v>1551</v>
      </c>
      <c r="B2411" t="e">
        <v>#N/A</v>
      </c>
      <c r="C2411" t="s">
        <v>1627</v>
      </c>
      <c r="D2411" t="e">
        <f t="shared" si="37"/>
        <v>#N/A</v>
      </c>
      <c r="E2411" t="s">
        <v>43</v>
      </c>
    </row>
    <row r="2412" spans="1:5" hidden="1" x14ac:dyDescent="0.25">
      <c r="A2412">
        <v>1551</v>
      </c>
      <c r="B2412" t="e">
        <v>#N/A</v>
      </c>
      <c r="C2412" t="s">
        <v>1690</v>
      </c>
      <c r="D2412" t="e">
        <f t="shared" si="37"/>
        <v>#N/A</v>
      </c>
      <c r="E2412" t="s">
        <v>64</v>
      </c>
    </row>
    <row r="2413" spans="1:5" hidden="1" x14ac:dyDescent="0.25">
      <c r="A2413">
        <v>1551</v>
      </c>
      <c r="B2413" t="e">
        <v>#N/A</v>
      </c>
      <c r="C2413" t="s">
        <v>1693</v>
      </c>
      <c r="D2413" t="e">
        <f t="shared" si="37"/>
        <v>#N/A</v>
      </c>
      <c r="E2413" t="s">
        <v>1630</v>
      </c>
    </row>
    <row r="2414" spans="1:5" hidden="1" x14ac:dyDescent="0.25">
      <c r="A2414">
        <v>1551</v>
      </c>
      <c r="B2414" t="e">
        <v>#N/A</v>
      </c>
      <c r="C2414" t="s">
        <v>1631</v>
      </c>
      <c r="D2414" t="e">
        <f t="shared" si="37"/>
        <v>#N/A</v>
      </c>
      <c r="E2414" t="s">
        <v>116</v>
      </c>
    </row>
    <row r="2415" spans="1:5" hidden="1" x14ac:dyDescent="0.25">
      <c r="A2415">
        <v>1551</v>
      </c>
      <c r="B2415" t="e">
        <v>#N/A</v>
      </c>
      <c r="C2415" t="s">
        <v>1632</v>
      </c>
      <c r="D2415" t="e">
        <f t="shared" si="37"/>
        <v>#N/A</v>
      </c>
      <c r="E2415" t="s">
        <v>116</v>
      </c>
    </row>
    <row r="2416" spans="1:5" hidden="1" x14ac:dyDescent="0.25">
      <c r="A2416">
        <v>1551</v>
      </c>
      <c r="B2416" t="e">
        <v>#N/A</v>
      </c>
      <c r="C2416" t="s">
        <v>298</v>
      </c>
      <c r="D2416" t="e">
        <f t="shared" si="37"/>
        <v>#N/A</v>
      </c>
      <c r="E2416" t="s">
        <v>1623</v>
      </c>
    </row>
    <row r="2417" spans="1:5" hidden="1" x14ac:dyDescent="0.25">
      <c r="A2417">
        <v>1551</v>
      </c>
      <c r="B2417" t="e">
        <v>#N/A</v>
      </c>
      <c r="C2417" t="s">
        <v>1638</v>
      </c>
      <c r="D2417" t="e">
        <f t="shared" si="37"/>
        <v>#N/A</v>
      </c>
      <c r="E2417" t="s">
        <v>1637</v>
      </c>
    </row>
    <row r="2418" spans="1:5" hidden="1" x14ac:dyDescent="0.25">
      <c r="A2418">
        <v>1551</v>
      </c>
      <c r="B2418" t="e">
        <v>#N/A</v>
      </c>
      <c r="C2418" t="s">
        <v>383</v>
      </c>
      <c r="D2418" t="e">
        <f t="shared" si="37"/>
        <v>#N/A</v>
      </c>
      <c r="E2418" t="s">
        <v>1637</v>
      </c>
    </row>
    <row r="2419" spans="1:5" hidden="1" x14ac:dyDescent="0.25">
      <c r="A2419">
        <v>1551</v>
      </c>
      <c r="B2419" t="e">
        <v>#N/A</v>
      </c>
      <c r="C2419" t="s">
        <v>1639</v>
      </c>
      <c r="D2419" t="e">
        <f t="shared" si="37"/>
        <v>#N/A</v>
      </c>
      <c r="E2419" t="s">
        <v>1615</v>
      </c>
    </row>
    <row r="2420" spans="1:5" hidden="1" x14ac:dyDescent="0.25">
      <c r="A2420">
        <v>1551</v>
      </c>
      <c r="B2420" t="e">
        <v>#N/A</v>
      </c>
      <c r="C2420" t="s">
        <v>1641</v>
      </c>
      <c r="D2420" t="e">
        <f t="shared" si="37"/>
        <v>#N/A</v>
      </c>
      <c r="E2420" t="s">
        <v>2102</v>
      </c>
    </row>
    <row r="2421" spans="1:5" hidden="1" x14ac:dyDescent="0.25">
      <c r="A2421">
        <v>1551</v>
      </c>
      <c r="B2421" t="e">
        <v>#N/A</v>
      </c>
      <c r="C2421" t="s">
        <v>1694</v>
      </c>
      <c r="D2421" t="e">
        <f t="shared" si="37"/>
        <v>#N/A</v>
      </c>
      <c r="E2421" t="s">
        <v>1692</v>
      </c>
    </row>
    <row r="2422" spans="1:5" hidden="1" x14ac:dyDescent="0.25">
      <c r="A2422">
        <v>1551</v>
      </c>
      <c r="B2422" t="e">
        <v>#N/A</v>
      </c>
      <c r="C2422" t="s">
        <v>1642</v>
      </c>
      <c r="D2422" t="e">
        <f t="shared" si="37"/>
        <v>#N/A</v>
      </c>
      <c r="E2422" t="s">
        <v>2102</v>
      </c>
    </row>
    <row r="2423" spans="1:5" hidden="1" x14ac:dyDescent="0.25">
      <c r="A2423">
        <v>1551</v>
      </c>
      <c r="B2423" t="e">
        <v>#N/A</v>
      </c>
      <c r="C2423" t="s">
        <v>1643</v>
      </c>
      <c r="D2423" t="e">
        <f t="shared" si="37"/>
        <v>#N/A</v>
      </c>
      <c r="E2423" t="s">
        <v>1611</v>
      </c>
    </row>
    <row r="2424" spans="1:5" hidden="1" x14ac:dyDescent="0.25">
      <c r="A2424">
        <v>1551</v>
      </c>
      <c r="B2424" t="e">
        <v>#N/A</v>
      </c>
      <c r="C2424" t="s">
        <v>1647</v>
      </c>
      <c r="D2424" t="e">
        <f t="shared" si="37"/>
        <v>#N/A</v>
      </c>
      <c r="E2424" t="s">
        <v>1648</v>
      </c>
    </row>
    <row r="2425" spans="1:5" hidden="1" x14ac:dyDescent="0.25">
      <c r="A2425">
        <v>1551</v>
      </c>
      <c r="B2425" t="e">
        <v>#N/A</v>
      </c>
      <c r="C2425" t="s">
        <v>1650</v>
      </c>
      <c r="D2425" t="e">
        <f t="shared" si="37"/>
        <v>#N/A</v>
      </c>
      <c r="E2425" t="s">
        <v>1623</v>
      </c>
    </row>
    <row r="2426" spans="1:5" hidden="1" x14ac:dyDescent="0.25">
      <c r="A2426">
        <v>1551</v>
      </c>
      <c r="B2426" t="e">
        <v>#N/A</v>
      </c>
      <c r="C2426" t="s">
        <v>1652</v>
      </c>
      <c r="D2426" t="e">
        <f t="shared" si="37"/>
        <v>#N/A</v>
      </c>
      <c r="E2426" t="s">
        <v>93</v>
      </c>
    </row>
    <row r="2427" spans="1:5" hidden="1" x14ac:dyDescent="0.25">
      <c r="A2427">
        <v>1551</v>
      </c>
      <c r="B2427" t="e">
        <v>#N/A</v>
      </c>
      <c r="C2427" t="s">
        <v>481</v>
      </c>
      <c r="D2427" t="e">
        <f t="shared" si="37"/>
        <v>#N/A</v>
      </c>
      <c r="E2427" t="s">
        <v>1623</v>
      </c>
    </row>
    <row r="2428" spans="1:5" hidden="1" x14ac:dyDescent="0.25">
      <c r="A2428">
        <v>1551</v>
      </c>
      <c r="B2428" t="e">
        <v>#N/A</v>
      </c>
      <c r="C2428" t="s">
        <v>1654</v>
      </c>
      <c r="D2428" t="e">
        <f t="shared" si="37"/>
        <v>#N/A</v>
      </c>
      <c r="E2428" t="s">
        <v>1615</v>
      </c>
    </row>
    <row r="2429" spans="1:5" hidden="1" x14ac:dyDescent="0.25">
      <c r="A2429">
        <v>1551</v>
      </c>
      <c r="B2429" t="e">
        <v>#N/A</v>
      </c>
      <c r="C2429" t="s">
        <v>1715</v>
      </c>
      <c r="D2429" t="e">
        <f t="shared" si="37"/>
        <v>#N/A</v>
      </c>
      <c r="E2429" t="s">
        <v>1645</v>
      </c>
    </row>
    <row r="2430" spans="1:5" hidden="1" x14ac:dyDescent="0.25">
      <c r="A2430">
        <v>1551</v>
      </c>
      <c r="B2430" t="e">
        <v>#N/A</v>
      </c>
      <c r="C2430" t="s">
        <v>1709</v>
      </c>
      <c r="D2430" t="e">
        <f t="shared" si="37"/>
        <v>#N/A</v>
      </c>
      <c r="E2430" t="s">
        <v>1623</v>
      </c>
    </row>
    <row r="2431" spans="1:5" hidden="1" x14ac:dyDescent="0.25">
      <c r="A2431">
        <v>1551</v>
      </c>
      <c r="B2431" t="e">
        <v>#N/A</v>
      </c>
      <c r="C2431" t="s">
        <v>1659</v>
      </c>
      <c r="D2431" t="e">
        <f t="shared" si="37"/>
        <v>#N/A</v>
      </c>
      <c r="E2431" t="s">
        <v>1637</v>
      </c>
    </row>
    <row r="2432" spans="1:5" hidden="1" x14ac:dyDescent="0.25">
      <c r="A2432">
        <v>1551</v>
      </c>
      <c r="B2432" t="e">
        <v>#N/A</v>
      </c>
      <c r="C2432" t="s">
        <v>519</v>
      </c>
      <c r="D2432" t="e">
        <f t="shared" si="37"/>
        <v>#N/A</v>
      </c>
      <c r="E2432" t="s">
        <v>1630</v>
      </c>
    </row>
    <row r="2433" spans="1:5" hidden="1" x14ac:dyDescent="0.25">
      <c r="A2433">
        <v>1551</v>
      </c>
      <c r="B2433" t="e">
        <v>#N/A</v>
      </c>
      <c r="C2433" t="s">
        <v>530</v>
      </c>
      <c r="D2433" t="e">
        <f t="shared" si="37"/>
        <v>#N/A</v>
      </c>
      <c r="E2433" t="s">
        <v>1623</v>
      </c>
    </row>
    <row r="2434" spans="1:5" hidden="1" x14ac:dyDescent="0.25">
      <c r="A2434">
        <v>1551</v>
      </c>
      <c r="B2434" t="e">
        <v>#N/A</v>
      </c>
      <c r="C2434" t="s">
        <v>1663</v>
      </c>
      <c r="D2434" t="e">
        <f t="shared" si="37"/>
        <v>#N/A</v>
      </c>
      <c r="E2434" t="s">
        <v>1623</v>
      </c>
    </row>
    <row r="2435" spans="1:5" hidden="1" x14ac:dyDescent="0.25">
      <c r="A2435">
        <v>1551</v>
      </c>
      <c r="B2435" t="e">
        <v>#N/A</v>
      </c>
      <c r="C2435" t="s">
        <v>1664</v>
      </c>
      <c r="D2435" t="e">
        <f t="shared" si="37"/>
        <v>#N/A</v>
      </c>
      <c r="E2435" t="s">
        <v>1648</v>
      </c>
    </row>
    <row r="2436" spans="1:5" hidden="1" x14ac:dyDescent="0.25">
      <c r="A2436">
        <v>1551</v>
      </c>
      <c r="B2436" t="e">
        <v>#N/A</v>
      </c>
      <c r="C2436" t="s">
        <v>1665</v>
      </c>
      <c r="D2436" t="e">
        <f t="shared" si="37"/>
        <v>#N/A</v>
      </c>
      <c r="E2436" t="s">
        <v>93</v>
      </c>
    </row>
    <row r="2437" spans="1:5" hidden="1" x14ac:dyDescent="0.25">
      <c r="A2437">
        <v>1551</v>
      </c>
      <c r="B2437" t="e">
        <v>#N/A</v>
      </c>
      <c r="C2437" t="s">
        <v>1698</v>
      </c>
      <c r="D2437" t="e">
        <f t="shared" ref="D2437:D2500" si="38">CONCATENATE(B2437,LEFT(C2437,4))</f>
        <v>#N/A</v>
      </c>
      <c r="E2437" t="s">
        <v>1675</v>
      </c>
    </row>
    <row r="2438" spans="1:5" hidden="1" x14ac:dyDescent="0.25">
      <c r="A2438">
        <v>1551</v>
      </c>
      <c r="B2438" t="e">
        <v>#N/A</v>
      </c>
      <c r="C2438" t="s">
        <v>1699</v>
      </c>
      <c r="D2438" t="e">
        <f t="shared" si="38"/>
        <v>#N/A</v>
      </c>
      <c r="E2438" t="s">
        <v>93</v>
      </c>
    </row>
    <row r="2439" spans="1:5" hidden="1" x14ac:dyDescent="0.25">
      <c r="A2439">
        <v>1551</v>
      </c>
      <c r="B2439" t="e">
        <v>#N/A</v>
      </c>
      <c r="C2439" t="s">
        <v>1676</v>
      </c>
      <c r="D2439" t="e">
        <f t="shared" si="38"/>
        <v>#N/A</v>
      </c>
      <c r="E2439" t="s">
        <v>1675</v>
      </c>
    </row>
    <row r="2440" spans="1:5" hidden="1" x14ac:dyDescent="0.25">
      <c r="A2440">
        <v>1551</v>
      </c>
      <c r="B2440" t="e">
        <v>#N/A</v>
      </c>
      <c r="C2440" t="s">
        <v>1677</v>
      </c>
      <c r="D2440" t="e">
        <f t="shared" si="38"/>
        <v>#N/A</v>
      </c>
      <c r="E2440" t="s">
        <v>1675</v>
      </c>
    </row>
    <row r="2441" spans="1:5" hidden="1" x14ac:dyDescent="0.25">
      <c r="A2441">
        <v>1551</v>
      </c>
      <c r="B2441" t="e">
        <v>#N/A</v>
      </c>
      <c r="C2441" t="s">
        <v>390</v>
      </c>
      <c r="D2441" t="e">
        <f t="shared" si="38"/>
        <v>#N/A</v>
      </c>
      <c r="E2441" t="s">
        <v>1674</v>
      </c>
    </row>
    <row r="2442" spans="1:5" hidden="1" x14ac:dyDescent="0.25">
      <c r="A2442">
        <v>1551</v>
      </c>
      <c r="B2442" t="e">
        <v>#N/A</v>
      </c>
      <c r="C2442" t="s">
        <v>428</v>
      </c>
      <c r="D2442" t="e">
        <f t="shared" si="38"/>
        <v>#N/A</v>
      </c>
      <c r="E2442" t="s">
        <v>1674</v>
      </c>
    </row>
    <row r="2443" spans="1:5" hidden="1" x14ac:dyDescent="0.25">
      <c r="A2443">
        <v>1551</v>
      </c>
      <c r="B2443" t="e">
        <v>#N/A</v>
      </c>
      <c r="C2443" t="s">
        <v>1729</v>
      </c>
      <c r="D2443" t="e">
        <f t="shared" si="38"/>
        <v>#N/A</v>
      </c>
      <c r="E2443" t="s">
        <v>1685</v>
      </c>
    </row>
    <row r="2444" spans="1:5" hidden="1" x14ac:dyDescent="0.25">
      <c r="A2444">
        <v>1551</v>
      </c>
      <c r="B2444" t="e">
        <v>#N/A</v>
      </c>
      <c r="C2444" t="s">
        <v>1684</v>
      </c>
      <c r="D2444" t="e">
        <f t="shared" si="38"/>
        <v>#N/A</v>
      </c>
      <c r="E2444" t="s">
        <v>1685</v>
      </c>
    </row>
    <row r="2445" spans="1:5" hidden="1" x14ac:dyDescent="0.25">
      <c r="A2445">
        <v>1551</v>
      </c>
      <c r="B2445" t="e">
        <v>#N/A</v>
      </c>
      <c r="C2445" t="s">
        <v>319</v>
      </c>
      <c r="D2445" t="e">
        <f t="shared" si="38"/>
        <v>#N/A</v>
      </c>
      <c r="E2445" t="s">
        <v>1623</v>
      </c>
    </row>
    <row r="2446" spans="1:5" hidden="1" x14ac:dyDescent="0.25">
      <c r="A2446">
        <v>1551</v>
      </c>
      <c r="B2446" t="e">
        <v>#N/A</v>
      </c>
      <c r="C2446" t="s">
        <v>1687</v>
      </c>
      <c r="D2446" t="e">
        <f t="shared" si="38"/>
        <v>#N/A</v>
      </c>
      <c r="E2446" t="s">
        <v>1623</v>
      </c>
    </row>
    <row r="2447" spans="1:5" hidden="1" x14ac:dyDescent="0.25">
      <c r="A2447">
        <v>1571</v>
      </c>
      <c r="B2447" t="e">
        <v>#N/A</v>
      </c>
      <c r="C2447" t="s">
        <v>331</v>
      </c>
      <c r="D2447" t="e">
        <f t="shared" si="38"/>
        <v>#N/A</v>
      </c>
      <c r="E2447" t="s">
        <v>1689</v>
      </c>
    </row>
    <row r="2448" spans="1:5" hidden="1" x14ac:dyDescent="0.25">
      <c r="A2448">
        <v>1571</v>
      </c>
      <c r="B2448" t="e">
        <v>#N/A</v>
      </c>
      <c r="C2448" t="s">
        <v>1597</v>
      </c>
      <c r="D2448" t="e">
        <f t="shared" si="38"/>
        <v>#N/A</v>
      </c>
      <c r="E2448" t="s">
        <v>43</v>
      </c>
    </row>
    <row r="2449" spans="1:5" hidden="1" x14ac:dyDescent="0.25">
      <c r="A2449">
        <v>1571</v>
      </c>
      <c r="B2449" t="e">
        <v>#N/A</v>
      </c>
      <c r="C2449" t="s">
        <v>1602</v>
      </c>
      <c r="D2449" t="e">
        <f t="shared" si="38"/>
        <v>#N/A</v>
      </c>
      <c r="E2449" t="s">
        <v>1600</v>
      </c>
    </row>
    <row r="2450" spans="1:5" hidden="1" x14ac:dyDescent="0.25">
      <c r="A2450">
        <v>1571</v>
      </c>
      <c r="B2450" t="e">
        <v>#N/A</v>
      </c>
      <c r="C2450" t="s">
        <v>1603</v>
      </c>
      <c r="D2450" t="e">
        <f t="shared" si="38"/>
        <v>#N/A</v>
      </c>
      <c r="E2450" t="s">
        <v>1600</v>
      </c>
    </row>
    <row r="2451" spans="1:5" hidden="1" x14ac:dyDescent="0.25">
      <c r="A2451">
        <v>1571</v>
      </c>
      <c r="B2451" t="e">
        <v>#N/A</v>
      </c>
      <c r="C2451" t="s">
        <v>1605</v>
      </c>
      <c r="D2451" t="e">
        <f t="shared" si="38"/>
        <v>#N/A</v>
      </c>
      <c r="E2451" t="s">
        <v>1606</v>
      </c>
    </row>
    <row r="2452" spans="1:5" hidden="1" x14ac:dyDescent="0.25">
      <c r="A2452">
        <v>1571</v>
      </c>
      <c r="B2452" t="e">
        <v>#N/A</v>
      </c>
      <c r="C2452" t="s">
        <v>1608</v>
      </c>
      <c r="D2452" t="e">
        <f t="shared" si="38"/>
        <v>#N/A</v>
      </c>
      <c r="E2452" t="s">
        <v>1600</v>
      </c>
    </row>
    <row r="2453" spans="1:5" hidden="1" x14ac:dyDescent="0.25">
      <c r="A2453">
        <v>1571</v>
      </c>
      <c r="B2453" t="e">
        <v>#N/A</v>
      </c>
      <c r="C2453" t="s">
        <v>1609</v>
      </c>
      <c r="D2453" t="e">
        <f t="shared" si="38"/>
        <v>#N/A</v>
      </c>
      <c r="E2453" t="s">
        <v>1600</v>
      </c>
    </row>
    <row r="2454" spans="1:5" hidden="1" x14ac:dyDescent="0.25">
      <c r="A2454">
        <v>1571</v>
      </c>
      <c r="B2454" t="e">
        <v>#N/A</v>
      </c>
      <c r="C2454" t="s">
        <v>405</v>
      </c>
      <c r="D2454" t="e">
        <f t="shared" si="38"/>
        <v>#N/A</v>
      </c>
      <c r="E2454" t="s">
        <v>1600</v>
      </c>
    </row>
    <row r="2455" spans="1:5" hidden="1" x14ac:dyDescent="0.25">
      <c r="A2455">
        <v>1571</v>
      </c>
      <c r="B2455" t="e">
        <v>#N/A</v>
      </c>
      <c r="C2455" t="s">
        <v>1612</v>
      </c>
      <c r="D2455" t="e">
        <f t="shared" si="38"/>
        <v>#N/A</v>
      </c>
      <c r="E2455" t="s">
        <v>1600</v>
      </c>
    </row>
    <row r="2456" spans="1:5" hidden="1" x14ac:dyDescent="0.25">
      <c r="A2456">
        <v>1571</v>
      </c>
      <c r="B2456" t="e">
        <v>#N/A</v>
      </c>
      <c r="C2456" t="s">
        <v>430</v>
      </c>
      <c r="D2456" t="e">
        <f t="shared" si="38"/>
        <v>#N/A</v>
      </c>
      <c r="E2456" t="s">
        <v>1600</v>
      </c>
    </row>
    <row r="2457" spans="1:5" hidden="1" x14ac:dyDescent="0.25">
      <c r="A2457">
        <v>1571</v>
      </c>
      <c r="B2457" t="e">
        <v>#N/A</v>
      </c>
      <c r="C2457" t="s">
        <v>1617</v>
      </c>
      <c r="D2457" t="e">
        <f t="shared" si="38"/>
        <v>#N/A</v>
      </c>
      <c r="E2457" t="s">
        <v>1615</v>
      </c>
    </row>
    <row r="2458" spans="1:5" hidden="1" x14ac:dyDescent="0.25">
      <c r="A2458">
        <v>1571</v>
      </c>
      <c r="B2458" t="e">
        <v>#N/A</v>
      </c>
      <c r="C2458" t="s">
        <v>1626</v>
      </c>
      <c r="D2458" t="e">
        <f t="shared" si="38"/>
        <v>#N/A</v>
      </c>
      <c r="E2458" t="s">
        <v>43</v>
      </c>
    </row>
    <row r="2459" spans="1:5" hidden="1" x14ac:dyDescent="0.25">
      <c r="A2459">
        <v>1571</v>
      </c>
      <c r="B2459" t="e">
        <v>#N/A</v>
      </c>
      <c r="C2459" t="s">
        <v>1627</v>
      </c>
      <c r="D2459" t="e">
        <f t="shared" si="38"/>
        <v>#N/A</v>
      </c>
      <c r="E2459" t="s">
        <v>43</v>
      </c>
    </row>
    <row r="2460" spans="1:5" hidden="1" x14ac:dyDescent="0.25">
      <c r="A2460">
        <v>1571</v>
      </c>
      <c r="B2460" t="e">
        <v>#N/A</v>
      </c>
      <c r="C2460" t="s">
        <v>1690</v>
      </c>
      <c r="D2460" t="e">
        <f t="shared" si="38"/>
        <v>#N/A</v>
      </c>
      <c r="E2460" t="s">
        <v>64</v>
      </c>
    </row>
    <row r="2461" spans="1:5" hidden="1" x14ac:dyDescent="0.25">
      <c r="A2461">
        <v>1571</v>
      </c>
      <c r="B2461" t="e">
        <v>#N/A</v>
      </c>
      <c r="C2461" t="s">
        <v>1628</v>
      </c>
      <c r="D2461" t="e">
        <f t="shared" si="38"/>
        <v>#N/A</v>
      </c>
      <c r="E2461" t="s">
        <v>1623</v>
      </c>
    </row>
    <row r="2462" spans="1:5" hidden="1" x14ac:dyDescent="0.25">
      <c r="A2462">
        <v>1571</v>
      </c>
      <c r="B2462" t="e">
        <v>#N/A</v>
      </c>
      <c r="C2462" t="s">
        <v>1631</v>
      </c>
      <c r="D2462" t="e">
        <f t="shared" si="38"/>
        <v>#N/A</v>
      </c>
      <c r="E2462" t="s">
        <v>116</v>
      </c>
    </row>
    <row r="2463" spans="1:5" hidden="1" x14ac:dyDescent="0.25">
      <c r="A2463">
        <v>1571</v>
      </c>
      <c r="B2463" t="e">
        <v>#N/A</v>
      </c>
      <c r="C2463" t="s">
        <v>1632</v>
      </c>
      <c r="D2463" t="e">
        <f t="shared" si="38"/>
        <v>#N/A</v>
      </c>
      <c r="E2463" t="s">
        <v>116</v>
      </c>
    </row>
    <row r="2464" spans="1:5" hidden="1" x14ac:dyDescent="0.25">
      <c r="A2464">
        <v>1571</v>
      </c>
      <c r="B2464" t="e">
        <v>#N/A</v>
      </c>
      <c r="C2464" t="s">
        <v>345</v>
      </c>
      <c r="D2464" t="e">
        <f t="shared" si="38"/>
        <v>#N/A</v>
      </c>
      <c r="E2464" t="s">
        <v>1623</v>
      </c>
    </row>
    <row r="2465" spans="1:5" hidden="1" x14ac:dyDescent="0.25">
      <c r="A2465">
        <v>1571</v>
      </c>
      <c r="B2465" t="e">
        <v>#N/A</v>
      </c>
      <c r="C2465" t="s">
        <v>1636</v>
      </c>
      <c r="D2465" t="e">
        <f t="shared" si="38"/>
        <v>#N/A</v>
      </c>
      <c r="E2465" t="s">
        <v>1637</v>
      </c>
    </row>
    <row r="2466" spans="1:5" hidden="1" x14ac:dyDescent="0.25">
      <c r="A2466">
        <v>1571</v>
      </c>
      <c r="B2466" t="e">
        <v>#N/A</v>
      </c>
      <c r="C2466" t="s">
        <v>1639</v>
      </c>
      <c r="D2466" t="e">
        <f t="shared" si="38"/>
        <v>#N/A</v>
      </c>
      <c r="E2466" t="s">
        <v>1615</v>
      </c>
    </row>
    <row r="2467" spans="1:5" hidden="1" x14ac:dyDescent="0.25">
      <c r="A2467">
        <v>1571</v>
      </c>
      <c r="B2467" t="e">
        <v>#N/A</v>
      </c>
      <c r="C2467" t="s">
        <v>1641</v>
      </c>
      <c r="D2467" t="e">
        <f t="shared" si="38"/>
        <v>#N/A</v>
      </c>
      <c r="E2467" t="s">
        <v>2102</v>
      </c>
    </row>
    <row r="2468" spans="1:5" hidden="1" x14ac:dyDescent="0.25">
      <c r="A2468">
        <v>1571</v>
      </c>
      <c r="B2468" t="e">
        <v>#N/A</v>
      </c>
      <c r="C2468" t="s">
        <v>1642</v>
      </c>
      <c r="D2468" t="e">
        <f t="shared" si="38"/>
        <v>#N/A</v>
      </c>
      <c r="E2468" t="s">
        <v>2102</v>
      </c>
    </row>
    <row r="2469" spans="1:5" hidden="1" x14ac:dyDescent="0.25">
      <c r="A2469">
        <v>1571</v>
      </c>
      <c r="B2469" t="e">
        <v>#N/A</v>
      </c>
      <c r="C2469" t="s">
        <v>1643</v>
      </c>
      <c r="D2469" t="e">
        <f t="shared" si="38"/>
        <v>#N/A</v>
      </c>
      <c r="E2469" t="s">
        <v>1611</v>
      </c>
    </row>
    <row r="2470" spans="1:5" hidden="1" x14ac:dyDescent="0.25">
      <c r="A2470">
        <v>1571</v>
      </c>
      <c r="B2470" t="e">
        <v>#N/A</v>
      </c>
      <c r="C2470" t="s">
        <v>442</v>
      </c>
      <c r="D2470" t="e">
        <f t="shared" si="38"/>
        <v>#N/A</v>
      </c>
      <c r="E2470" t="s">
        <v>1646</v>
      </c>
    </row>
    <row r="2471" spans="1:5" hidden="1" x14ac:dyDescent="0.25">
      <c r="A2471">
        <v>1571</v>
      </c>
      <c r="B2471" t="e">
        <v>#N/A</v>
      </c>
      <c r="C2471" t="s">
        <v>1647</v>
      </c>
      <c r="D2471" t="e">
        <f t="shared" si="38"/>
        <v>#N/A</v>
      </c>
      <c r="E2471" t="s">
        <v>1648</v>
      </c>
    </row>
    <row r="2472" spans="1:5" hidden="1" x14ac:dyDescent="0.25">
      <c r="A2472">
        <v>1571</v>
      </c>
      <c r="B2472" t="e">
        <v>#N/A</v>
      </c>
      <c r="C2472" t="s">
        <v>1652</v>
      </c>
      <c r="D2472" t="e">
        <f t="shared" si="38"/>
        <v>#N/A</v>
      </c>
      <c r="E2472" t="s">
        <v>93</v>
      </c>
    </row>
    <row r="2473" spans="1:5" hidden="1" x14ac:dyDescent="0.25">
      <c r="A2473">
        <v>1571</v>
      </c>
      <c r="B2473" t="e">
        <v>#N/A</v>
      </c>
      <c r="C2473" t="s">
        <v>1695</v>
      </c>
      <c r="D2473" t="e">
        <f t="shared" si="38"/>
        <v>#N/A</v>
      </c>
      <c r="E2473" t="s">
        <v>1692</v>
      </c>
    </row>
    <row r="2474" spans="1:5" hidden="1" x14ac:dyDescent="0.25">
      <c r="A2474">
        <v>1571</v>
      </c>
      <c r="B2474" t="e">
        <v>#N/A</v>
      </c>
      <c r="C2474" t="s">
        <v>1653</v>
      </c>
      <c r="D2474" t="e">
        <f t="shared" si="38"/>
        <v>#N/A</v>
      </c>
      <c r="E2474" t="s">
        <v>1648</v>
      </c>
    </row>
    <row r="2475" spans="1:5" hidden="1" x14ac:dyDescent="0.25">
      <c r="A2475">
        <v>1571</v>
      </c>
      <c r="B2475" t="e">
        <v>#N/A</v>
      </c>
      <c r="C2475" t="s">
        <v>1654</v>
      </c>
      <c r="D2475" t="e">
        <f t="shared" si="38"/>
        <v>#N/A</v>
      </c>
      <c r="E2475" t="s">
        <v>1615</v>
      </c>
    </row>
    <row r="2476" spans="1:5" hidden="1" x14ac:dyDescent="0.25">
      <c r="A2476">
        <v>1571</v>
      </c>
      <c r="B2476" t="e">
        <v>#N/A</v>
      </c>
      <c r="C2476" t="s">
        <v>1661</v>
      </c>
      <c r="D2476" t="e">
        <f t="shared" si="38"/>
        <v>#N/A</v>
      </c>
      <c r="E2476" t="s">
        <v>1615</v>
      </c>
    </row>
    <row r="2477" spans="1:5" hidden="1" x14ac:dyDescent="0.25">
      <c r="A2477">
        <v>1571</v>
      </c>
      <c r="B2477" t="e">
        <v>#N/A</v>
      </c>
      <c r="C2477" t="s">
        <v>1663</v>
      </c>
      <c r="D2477" t="e">
        <f t="shared" si="38"/>
        <v>#N/A</v>
      </c>
      <c r="E2477" t="s">
        <v>1623</v>
      </c>
    </row>
    <row r="2478" spans="1:5" hidden="1" x14ac:dyDescent="0.25">
      <c r="A2478">
        <v>1571</v>
      </c>
      <c r="B2478" t="e">
        <v>#N/A</v>
      </c>
      <c r="C2478" t="s">
        <v>1664</v>
      </c>
      <c r="D2478" t="e">
        <f t="shared" si="38"/>
        <v>#N/A</v>
      </c>
      <c r="E2478" t="s">
        <v>1648</v>
      </c>
    </row>
    <row r="2479" spans="1:5" hidden="1" x14ac:dyDescent="0.25">
      <c r="A2479">
        <v>1571</v>
      </c>
      <c r="B2479" t="e">
        <v>#N/A</v>
      </c>
      <c r="C2479" t="s">
        <v>1665</v>
      </c>
      <c r="D2479" t="e">
        <f t="shared" si="38"/>
        <v>#N/A</v>
      </c>
      <c r="E2479" t="s">
        <v>93</v>
      </c>
    </row>
    <row r="2480" spans="1:5" hidden="1" x14ac:dyDescent="0.25">
      <c r="A2480">
        <v>1571</v>
      </c>
      <c r="B2480" t="e">
        <v>#N/A</v>
      </c>
      <c r="C2480" t="s">
        <v>1666</v>
      </c>
      <c r="D2480" t="e">
        <f t="shared" si="38"/>
        <v>#N/A</v>
      </c>
      <c r="E2480" t="s">
        <v>1648</v>
      </c>
    </row>
    <row r="2481" spans="1:5" hidden="1" x14ac:dyDescent="0.25">
      <c r="A2481">
        <v>1571</v>
      </c>
      <c r="B2481" t="e">
        <v>#N/A</v>
      </c>
      <c r="C2481" t="s">
        <v>1668</v>
      </c>
      <c r="D2481" t="e">
        <f t="shared" si="38"/>
        <v>#N/A</v>
      </c>
      <c r="E2481" t="s">
        <v>1669</v>
      </c>
    </row>
    <row r="2482" spans="1:5" hidden="1" x14ac:dyDescent="0.25">
      <c r="A2482">
        <v>1571</v>
      </c>
      <c r="B2482" t="e">
        <v>#N/A</v>
      </c>
      <c r="C2482" t="s">
        <v>327</v>
      </c>
      <c r="D2482" t="e">
        <f t="shared" si="38"/>
        <v>#N/A</v>
      </c>
      <c r="E2482" t="s">
        <v>1669</v>
      </c>
    </row>
    <row r="2483" spans="1:5" hidden="1" x14ac:dyDescent="0.25">
      <c r="A2483">
        <v>1571</v>
      </c>
      <c r="B2483" t="e">
        <v>#N/A</v>
      </c>
      <c r="C2483" t="s">
        <v>363</v>
      </c>
      <c r="D2483" t="e">
        <f t="shared" si="38"/>
        <v>#N/A</v>
      </c>
      <c r="E2483" t="s">
        <v>1669</v>
      </c>
    </row>
    <row r="2484" spans="1:5" hidden="1" x14ac:dyDescent="0.25">
      <c r="A2484">
        <v>1571</v>
      </c>
      <c r="B2484" t="e">
        <v>#N/A</v>
      </c>
      <c r="C2484" t="s">
        <v>1712</v>
      </c>
      <c r="D2484" t="e">
        <f t="shared" si="38"/>
        <v>#N/A</v>
      </c>
      <c r="E2484" t="s">
        <v>64</v>
      </c>
    </row>
    <row r="2485" spans="1:5" hidden="1" x14ac:dyDescent="0.25">
      <c r="A2485">
        <v>1571</v>
      </c>
      <c r="B2485" t="e">
        <v>#N/A</v>
      </c>
      <c r="C2485" t="s">
        <v>1684</v>
      </c>
      <c r="D2485" t="e">
        <f t="shared" si="38"/>
        <v>#N/A</v>
      </c>
      <c r="E2485" t="s">
        <v>1685</v>
      </c>
    </row>
    <row r="2486" spans="1:5" hidden="1" x14ac:dyDescent="0.25">
      <c r="A2486">
        <v>1571</v>
      </c>
      <c r="B2486" t="e">
        <v>#N/A</v>
      </c>
      <c r="C2486" t="s">
        <v>359</v>
      </c>
      <c r="D2486" t="e">
        <f t="shared" si="38"/>
        <v>#N/A</v>
      </c>
      <c r="E2486" t="s">
        <v>1623</v>
      </c>
    </row>
    <row r="2487" spans="1:5" hidden="1" x14ac:dyDescent="0.25">
      <c r="A2487">
        <v>1591</v>
      </c>
      <c r="B2487" t="e">
        <v>#N/A</v>
      </c>
      <c r="C2487" t="s">
        <v>1597</v>
      </c>
      <c r="D2487" t="e">
        <f t="shared" si="38"/>
        <v>#N/A</v>
      </c>
      <c r="E2487" t="s">
        <v>43</v>
      </c>
    </row>
    <row r="2488" spans="1:5" hidden="1" x14ac:dyDescent="0.25">
      <c r="A2488">
        <v>1591</v>
      </c>
      <c r="B2488" t="e">
        <v>#N/A</v>
      </c>
      <c r="C2488" t="s">
        <v>1617</v>
      </c>
      <c r="D2488" t="e">
        <f t="shared" si="38"/>
        <v>#N/A</v>
      </c>
      <c r="E2488" t="s">
        <v>1615</v>
      </c>
    </row>
    <row r="2489" spans="1:5" hidden="1" x14ac:dyDescent="0.25">
      <c r="A2489">
        <v>1591</v>
      </c>
      <c r="B2489" t="e">
        <v>#N/A</v>
      </c>
      <c r="C2489" t="s">
        <v>1626</v>
      </c>
      <c r="D2489" t="e">
        <f t="shared" si="38"/>
        <v>#N/A</v>
      </c>
      <c r="E2489" t="s">
        <v>43</v>
      </c>
    </row>
    <row r="2490" spans="1:5" hidden="1" x14ac:dyDescent="0.25">
      <c r="A2490">
        <v>1591</v>
      </c>
      <c r="B2490" t="e">
        <v>#N/A</v>
      </c>
      <c r="C2490" t="s">
        <v>1627</v>
      </c>
      <c r="D2490" t="e">
        <f t="shared" si="38"/>
        <v>#N/A</v>
      </c>
      <c r="E2490" t="s">
        <v>43</v>
      </c>
    </row>
    <row r="2491" spans="1:5" hidden="1" x14ac:dyDescent="0.25">
      <c r="A2491">
        <v>1591</v>
      </c>
      <c r="B2491" t="e">
        <v>#N/A</v>
      </c>
      <c r="C2491" t="s">
        <v>1632</v>
      </c>
      <c r="D2491" t="e">
        <f t="shared" si="38"/>
        <v>#N/A</v>
      </c>
      <c r="E2491" t="s">
        <v>116</v>
      </c>
    </row>
    <row r="2492" spans="1:5" hidden="1" x14ac:dyDescent="0.25">
      <c r="A2492">
        <v>1591</v>
      </c>
      <c r="B2492" t="e">
        <v>#N/A</v>
      </c>
      <c r="C2492" t="s">
        <v>1640</v>
      </c>
      <c r="D2492" t="e">
        <f t="shared" si="38"/>
        <v>#N/A</v>
      </c>
      <c r="E2492" t="s">
        <v>1615</v>
      </c>
    </row>
    <row r="2493" spans="1:5" hidden="1" x14ac:dyDescent="0.25">
      <c r="A2493">
        <v>1591</v>
      </c>
      <c r="B2493" t="e">
        <v>#N/A</v>
      </c>
      <c r="C2493" t="s">
        <v>442</v>
      </c>
      <c r="D2493" t="e">
        <f t="shared" si="38"/>
        <v>#N/A</v>
      </c>
      <c r="E2493" t="s">
        <v>1646</v>
      </c>
    </row>
    <row r="2494" spans="1:5" hidden="1" x14ac:dyDescent="0.25">
      <c r="A2494">
        <v>1591</v>
      </c>
      <c r="B2494" t="e">
        <v>#N/A</v>
      </c>
      <c r="C2494" t="s">
        <v>1663</v>
      </c>
      <c r="D2494" t="e">
        <f t="shared" si="38"/>
        <v>#N/A</v>
      </c>
      <c r="E2494" t="s">
        <v>1623</v>
      </c>
    </row>
    <row r="2495" spans="1:5" hidden="1" x14ac:dyDescent="0.25">
      <c r="A2495">
        <v>1591</v>
      </c>
      <c r="B2495" t="e">
        <v>#N/A</v>
      </c>
      <c r="C2495" t="s">
        <v>316</v>
      </c>
      <c r="D2495" t="e">
        <f t="shared" si="38"/>
        <v>#N/A</v>
      </c>
      <c r="E2495" t="s">
        <v>1671</v>
      </c>
    </row>
    <row r="2496" spans="1:5" hidden="1" x14ac:dyDescent="0.25">
      <c r="A2496">
        <v>1591</v>
      </c>
      <c r="B2496" t="e">
        <v>#N/A</v>
      </c>
      <c r="C2496" t="s">
        <v>172</v>
      </c>
      <c r="D2496" t="e">
        <f t="shared" si="38"/>
        <v>#N/A</v>
      </c>
      <c r="E2496" t="s">
        <v>1671</v>
      </c>
    </row>
    <row r="2497" spans="1:5" hidden="1" x14ac:dyDescent="0.25">
      <c r="A2497">
        <v>1591</v>
      </c>
      <c r="B2497" t="e">
        <v>#N/A</v>
      </c>
      <c r="C2497" t="s">
        <v>1768</v>
      </c>
      <c r="D2497" t="e">
        <f t="shared" si="38"/>
        <v>#N/A</v>
      </c>
      <c r="E2497" t="s">
        <v>1671</v>
      </c>
    </row>
    <row r="2498" spans="1:5" hidden="1" x14ac:dyDescent="0.25">
      <c r="A2498">
        <v>1591</v>
      </c>
      <c r="B2498" t="e">
        <v>#N/A</v>
      </c>
      <c r="C2498" t="s">
        <v>1721</v>
      </c>
      <c r="D2498" t="e">
        <f t="shared" si="38"/>
        <v>#N/A</v>
      </c>
      <c r="E2498" t="s">
        <v>1671</v>
      </c>
    </row>
    <row r="2499" spans="1:5" hidden="1" x14ac:dyDescent="0.25">
      <c r="A2499">
        <v>1591</v>
      </c>
      <c r="B2499" t="e">
        <v>#N/A</v>
      </c>
      <c r="C2499" t="s">
        <v>1684</v>
      </c>
      <c r="D2499" t="e">
        <f t="shared" si="38"/>
        <v>#N/A</v>
      </c>
      <c r="E2499" t="s">
        <v>1685</v>
      </c>
    </row>
    <row r="2500" spans="1:5" hidden="1" x14ac:dyDescent="0.25">
      <c r="A2500">
        <v>1591</v>
      </c>
      <c r="B2500" t="e">
        <v>#N/A</v>
      </c>
      <c r="C2500" t="s">
        <v>330</v>
      </c>
      <c r="D2500" t="e">
        <f t="shared" si="38"/>
        <v>#N/A</v>
      </c>
      <c r="E2500" t="s">
        <v>1686</v>
      </c>
    </row>
    <row r="2501" spans="1:5" hidden="1" x14ac:dyDescent="0.25">
      <c r="A2501">
        <v>1631</v>
      </c>
      <c r="B2501" t="s">
        <v>579</v>
      </c>
      <c r="C2501" t="s">
        <v>331</v>
      </c>
      <c r="D2501" t="str">
        <f t="shared" ref="D2501:D2564" si="39">CONCATENATE(B2501,LEFT(C2501,4))</f>
        <v>SEC.GERAL1314</v>
      </c>
      <c r="E2501" t="s">
        <v>1689</v>
      </c>
    </row>
    <row r="2502" spans="1:5" hidden="1" x14ac:dyDescent="0.25">
      <c r="A2502">
        <v>1631</v>
      </c>
      <c r="B2502" t="s">
        <v>579</v>
      </c>
      <c r="C2502" t="s">
        <v>1597</v>
      </c>
      <c r="D2502" t="str">
        <f t="shared" si="39"/>
        <v>SEC.GERAL1401</v>
      </c>
      <c r="E2502" t="s">
        <v>43</v>
      </c>
    </row>
    <row r="2503" spans="1:5" hidden="1" x14ac:dyDescent="0.25">
      <c r="A2503">
        <v>1631</v>
      </c>
      <c r="B2503" t="s">
        <v>579</v>
      </c>
      <c r="C2503" t="s">
        <v>1602</v>
      </c>
      <c r="D2503" t="str">
        <f t="shared" si="39"/>
        <v>SEC.GERAL3004</v>
      </c>
      <c r="E2503" t="s">
        <v>1600</v>
      </c>
    </row>
    <row r="2504" spans="1:5" hidden="1" x14ac:dyDescent="0.25">
      <c r="A2504">
        <v>1631</v>
      </c>
      <c r="B2504" t="s">
        <v>579</v>
      </c>
      <c r="C2504" t="s">
        <v>1603</v>
      </c>
      <c r="D2504" t="str">
        <f t="shared" si="39"/>
        <v>SEC.GERAL3005</v>
      </c>
      <c r="E2504" t="s">
        <v>1600</v>
      </c>
    </row>
    <row r="2505" spans="1:5" hidden="1" x14ac:dyDescent="0.25">
      <c r="A2505">
        <v>1631</v>
      </c>
      <c r="B2505" t="s">
        <v>579</v>
      </c>
      <c r="C2505" t="s">
        <v>1605</v>
      </c>
      <c r="D2505" t="str">
        <f t="shared" si="39"/>
        <v>SEC.GERAL3010</v>
      </c>
      <c r="E2505" t="s">
        <v>1606</v>
      </c>
    </row>
    <row r="2506" spans="1:5" hidden="1" x14ac:dyDescent="0.25">
      <c r="A2506">
        <v>1631</v>
      </c>
      <c r="B2506" t="s">
        <v>579</v>
      </c>
      <c r="C2506" t="s">
        <v>1608</v>
      </c>
      <c r="D2506" t="str">
        <f t="shared" si="39"/>
        <v>SEC.GERAL3015</v>
      </c>
      <c r="E2506" t="s">
        <v>1600</v>
      </c>
    </row>
    <row r="2507" spans="1:5" hidden="1" x14ac:dyDescent="0.25">
      <c r="A2507">
        <v>1631</v>
      </c>
      <c r="B2507" t="s">
        <v>579</v>
      </c>
      <c r="C2507" t="s">
        <v>1609</v>
      </c>
      <c r="D2507" t="str">
        <f t="shared" si="39"/>
        <v>SEC.GERAL3016</v>
      </c>
      <c r="E2507" t="s">
        <v>1600</v>
      </c>
    </row>
    <row r="2508" spans="1:5" hidden="1" x14ac:dyDescent="0.25">
      <c r="A2508">
        <v>1631</v>
      </c>
      <c r="B2508" t="s">
        <v>579</v>
      </c>
      <c r="C2508" t="s">
        <v>405</v>
      </c>
      <c r="D2508" t="str">
        <f t="shared" si="39"/>
        <v>SEC.GERAL3017</v>
      </c>
      <c r="E2508" t="s">
        <v>1600</v>
      </c>
    </row>
    <row r="2509" spans="1:5" hidden="1" x14ac:dyDescent="0.25">
      <c r="A2509">
        <v>1631</v>
      </c>
      <c r="B2509" t="s">
        <v>579</v>
      </c>
      <c r="C2509" t="s">
        <v>1612</v>
      </c>
      <c r="D2509" t="str">
        <f t="shared" si="39"/>
        <v>SEC.GERAL3020</v>
      </c>
      <c r="E2509" t="s">
        <v>1600</v>
      </c>
    </row>
    <row r="2510" spans="1:5" hidden="1" x14ac:dyDescent="0.25">
      <c r="A2510">
        <v>1631</v>
      </c>
      <c r="B2510" t="s">
        <v>579</v>
      </c>
      <c r="C2510" t="s">
        <v>430</v>
      </c>
      <c r="D2510" t="str">
        <f t="shared" si="39"/>
        <v>SEC.GERAL3022</v>
      </c>
      <c r="E2510" t="s">
        <v>1600</v>
      </c>
    </row>
    <row r="2511" spans="1:5" hidden="1" x14ac:dyDescent="0.25">
      <c r="A2511">
        <v>1631</v>
      </c>
      <c r="B2511" t="s">
        <v>579</v>
      </c>
      <c r="C2511" t="s">
        <v>1614</v>
      </c>
      <c r="D2511" t="str">
        <f t="shared" si="39"/>
        <v>SEC.GERAL3023</v>
      </c>
      <c r="E2511" t="s">
        <v>1615</v>
      </c>
    </row>
    <row r="2512" spans="1:5" hidden="1" x14ac:dyDescent="0.25">
      <c r="A2512">
        <v>1631</v>
      </c>
      <c r="B2512" t="s">
        <v>579</v>
      </c>
      <c r="C2512" t="s">
        <v>440</v>
      </c>
      <c r="D2512" t="str">
        <f t="shared" si="39"/>
        <v>SEC.GERAL3024</v>
      </c>
      <c r="E2512" t="s">
        <v>1600</v>
      </c>
    </row>
    <row r="2513" spans="1:5" hidden="1" x14ac:dyDescent="0.25">
      <c r="A2513">
        <v>1631</v>
      </c>
      <c r="B2513" t="s">
        <v>579</v>
      </c>
      <c r="C2513" t="s">
        <v>1617</v>
      </c>
      <c r="D2513" t="str">
        <f t="shared" si="39"/>
        <v>SEC.GERAL3026</v>
      </c>
      <c r="E2513" t="s">
        <v>1615</v>
      </c>
    </row>
    <row r="2514" spans="1:5" hidden="1" x14ac:dyDescent="0.25">
      <c r="A2514">
        <v>1631</v>
      </c>
      <c r="B2514" t="s">
        <v>579</v>
      </c>
      <c r="C2514" t="s">
        <v>469</v>
      </c>
      <c r="D2514" t="str">
        <f t="shared" si="39"/>
        <v>SEC.GERAL3031</v>
      </c>
      <c r="E2514" t="s">
        <v>1600</v>
      </c>
    </row>
    <row r="2515" spans="1:5" hidden="1" x14ac:dyDescent="0.25">
      <c r="A2515">
        <v>1631</v>
      </c>
      <c r="B2515" t="s">
        <v>579</v>
      </c>
      <c r="C2515" t="s">
        <v>1619</v>
      </c>
      <c r="D2515" t="str">
        <f t="shared" si="39"/>
        <v>SEC.GERAL3032</v>
      </c>
      <c r="E2515" t="s">
        <v>1600</v>
      </c>
    </row>
    <row r="2516" spans="1:5" hidden="1" x14ac:dyDescent="0.25">
      <c r="A2516">
        <v>1631</v>
      </c>
      <c r="B2516" t="s">
        <v>579</v>
      </c>
      <c r="C2516" t="s">
        <v>486</v>
      </c>
      <c r="D2516" t="str">
        <f t="shared" si="39"/>
        <v>SEC.GERAL3040</v>
      </c>
      <c r="E2516" t="s">
        <v>1600</v>
      </c>
    </row>
    <row r="2517" spans="1:5" hidden="1" x14ac:dyDescent="0.25">
      <c r="A2517">
        <v>1631</v>
      </c>
      <c r="B2517" t="s">
        <v>579</v>
      </c>
      <c r="C2517" t="s">
        <v>490</v>
      </c>
      <c r="D2517" t="str">
        <f t="shared" si="39"/>
        <v>SEC.GERAL3099</v>
      </c>
      <c r="E2517" t="s">
        <v>1600</v>
      </c>
    </row>
    <row r="2518" spans="1:5" hidden="1" x14ac:dyDescent="0.25">
      <c r="A2518">
        <v>1631</v>
      </c>
      <c r="B2518" t="s">
        <v>579</v>
      </c>
      <c r="C2518" t="s">
        <v>1622</v>
      </c>
      <c r="D2518" t="str">
        <f t="shared" si="39"/>
        <v>SEC.GERAL3101</v>
      </c>
      <c r="E2518" t="s">
        <v>1623</v>
      </c>
    </row>
    <row r="2519" spans="1:5" hidden="1" x14ac:dyDescent="0.25">
      <c r="A2519">
        <v>1631</v>
      </c>
      <c r="B2519" t="s">
        <v>579</v>
      </c>
      <c r="C2519" t="s">
        <v>53</v>
      </c>
      <c r="D2519" t="str">
        <f t="shared" si="39"/>
        <v>SEC.GERAL3301</v>
      </c>
      <c r="E2519" t="s">
        <v>43</v>
      </c>
    </row>
    <row r="2520" spans="1:5" hidden="1" x14ac:dyDescent="0.25">
      <c r="A2520">
        <v>1631</v>
      </c>
      <c r="B2520" t="s">
        <v>579</v>
      </c>
      <c r="C2520" t="s">
        <v>1626</v>
      </c>
      <c r="D2520" t="str">
        <f t="shared" si="39"/>
        <v>SEC.GERAL3302</v>
      </c>
      <c r="E2520" t="s">
        <v>43</v>
      </c>
    </row>
    <row r="2521" spans="1:5" hidden="1" x14ac:dyDescent="0.25">
      <c r="A2521">
        <v>1631</v>
      </c>
      <c r="B2521" t="s">
        <v>579</v>
      </c>
      <c r="C2521" t="s">
        <v>1627</v>
      </c>
      <c r="D2521" t="str">
        <f t="shared" si="39"/>
        <v>SEC.GERAL3304</v>
      </c>
      <c r="E2521" t="s">
        <v>43</v>
      </c>
    </row>
    <row r="2522" spans="1:5" hidden="1" x14ac:dyDescent="0.25">
      <c r="A2522">
        <v>1631</v>
      </c>
      <c r="B2522" t="s">
        <v>579</v>
      </c>
      <c r="C2522" t="s">
        <v>308</v>
      </c>
      <c r="D2522" t="str">
        <f t="shared" si="39"/>
        <v>SEC.GERAL3305</v>
      </c>
      <c r="E2522" t="s">
        <v>43</v>
      </c>
    </row>
    <row r="2523" spans="1:5" hidden="1" x14ac:dyDescent="0.25">
      <c r="A2523">
        <v>1631</v>
      </c>
      <c r="B2523" t="s">
        <v>579</v>
      </c>
      <c r="C2523" t="s">
        <v>1705</v>
      </c>
      <c r="D2523" t="str">
        <f t="shared" si="39"/>
        <v>SEC.GERAL3502</v>
      </c>
      <c r="E2523" t="s">
        <v>1706</v>
      </c>
    </row>
    <row r="2524" spans="1:5" hidden="1" x14ac:dyDescent="0.25">
      <c r="A2524">
        <v>1631</v>
      </c>
      <c r="B2524" t="s">
        <v>579</v>
      </c>
      <c r="C2524" t="s">
        <v>354</v>
      </c>
      <c r="D2524" t="str">
        <f t="shared" si="39"/>
        <v>SEC.GERAL3610</v>
      </c>
      <c r="E2524" t="s">
        <v>1623</v>
      </c>
    </row>
    <row r="2525" spans="1:5" hidden="1" x14ac:dyDescent="0.25">
      <c r="A2525">
        <v>1631</v>
      </c>
      <c r="B2525" t="s">
        <v>579</v>
      </c>
      <c r="C2525" t="s">
        <v>1628</v>
      </c>
      <c r="D2525" t="str">
        <f t="shared" si="39"/>
        <v>SEC.GERAL3612</v>
      </c>
      <c r="E2525" t="s">
        <v>1623</v>
      </c>
    </row>
    <row r="2526" spans="1:5" hidden="1" x14ac:dyDescent="0.25">
      <c r="A2526">
        <v>1631</v>
      </c>
      <c r="B2526" t="s">
        <v>579</v>
      </c>
      <c r="C2526" t="s">
        <v>1743</v>
      </c>
      <c r="D2526" t="str">
        <f t="shared" si="39"/>
        <v>SEC.GERAL3616</v>
      </c>
      <c r="E2526" t="s">
        <v>1615</v>
      </c>
    </row>
    <row r="2527" spans="1:5" hidden="1" x14ac:dyDescent="0.25">
      <c r="A2527">
        <v>1631</v>
      </c>
      <c r="B2527" t="s">
        <v>579</v>
      </c>
      <c r="C2527" t="s">
        <v>470</v>
      </c>
      <c r="D2527" t="str">
        <f t="shared" si="39"/>
        <v>SEC.GERAL3699</v>
      </c>
      <c r="E2527" t="s">
        <v>1623</v>
      </c>
    </row>
    <row r="2528" spans="1:5" hidden="1" x14ac:dyDescent="0.25">
      <c r="A2528">
        <v>1631</v>
      </c>
      <c r="B2528" t="s">
        <v>579</v>
      </c>
      <c r="C2528" t="s">
        <v>1631</v>
      </c>
      <c r="D2528" t="str">
        <f t="shared" si="39"/>
        <v>SEC.GERAL3703</v>
      </c>
      <c r="E2528" t="s">
        <v>116</v>
      </c>
    </row>
    <row r="2529" spans="1:5" hidden="1" x14ac:dyDescent="0.25">
      <c r="A2529">
        <v>1631</v>
      </c>
      <c r="B2529" t="s">
        <v>579</v>
      </c>
      <c r="C2529" t="s">
        <v>1632</v>
      </c>
      <c r="D2529" t="str">
        <f t="shared" si="39"/>
        <v>SEC.GERAL3704</v>
      </c>
      <c r="E2529" t="s">
        <v>116</v>
      </c>
    </row>
    <row r="2530" spans="1:5" hidden="1" x14ac:dyDescent="0.25">
      <c r="A2530">
        <v>1631</v>
      </c>
      <c r="B2530" t="s">
        <v>579</v>
      </c>
      <c r="C2530" t="s">
        <v>1633</v>
      </c>
      <c r="D2530" t="str">
        <f t="shared" si="39"/>
        <v>SEC.GERAL3705</v>
      </c>
      <c r="E2530" t="s">
        <v>116</v>
      </c>
    </row>
    <row r="2531" spans="1:5" hidden="1" x14ac:dyDescent="0.25">
      <c r="A2531">
        <v>1631</v>
      </c>
      <c r="B2531" t="s">
        <v>579</v>
      </c>
      <c r="C2531" t="s">
        <v>1635</v>
      </c>
      <c r="D2531" t="str">
        <f t="shared" si="39"/>
        <v>SEC.GERAL3908</v>
      </c>
      <c r="E2531" t="s">
        <v>1623</v>
      </c>
    </row>
    <row r="2532" spans="1:5" hidden="1" x14ac:dyDescent="0.25">
      <c r="A2532">
        <v>1631</v>
      </c>
      <c r="B2532" t="s">
        <v>579</v>
      </c>
      <c r="C2532" t="s">
        <v>335</v>
      </c>
      <c r="D2532" t="str">
        <f t="shared" si="39"/>
        <v>SEC.GERAL3909</v>
      </c>
      <c r="E2532" t="s">
        <v>1623</v>
      </c>
    </row>
    <row r="2533" spans="1:5" hidden="1" x14ac:dyDescent="0.25">
      <c r="A2533">
        <v>1631</v>
      </c>
      <c r="B2533" t="s">
        <v>579</v>
      </c>
      <c r="C2533" t="s">
        <v>355</v>
      </c>
      <c r="D2533" t="str">
        <f t="shared" si="39"/>
        <v>SEC.GERAL3911</v>
      </c>
      <c r="E2533" t="s">
        <v>1623</v>
      </c>
    </row>
    <row r="2534" spans="1:5" hidden="1" x14ac:dyDescent="0.25">
      <c r="A2534">
        <v>1631</v>
      </c>
      <c r="B2534" t="s">
        <v>579</v>
      </c>
      <c r="C2534" t="s">
        <v>1639</v>
      </c>
      <c r="D2534" t="str">
        <f t="shared" si="39"/>
        <v>SEC.GERAL3917</v>
      </c>
      <c r="E2534" t="s">
        <v>1615</v>
      </c>
    </row>
    <row r="2535" spans="1:5" hidden="1" x14ac:dyDescent="0.25">
      <c r="A2535">
        <v>1631</v>
      </c>
      <c r="B2535" t="s">
        <v>579</v>
      </c>
      <c r="C2535" t="s">
        <v>1640</v>
      </c>
      <c r="D2535" t="str">
        <f t="shared" si="39"/>
        <v>SEC.GERAL3918</v>
      </c>
      <c r="E2535" t="s">
        <v>1615</v>
      </c>
    </row>
    <row r="2536" spans="1:5" hidden="1" x14ac:dyDescent="0.25">
      <c r="A2536">
        <v>1631</v>
      </c>
      <c r="B2536" t="s">
        <v>579</v>
      </c>
      <c r="C2536" t="s">
        <v>1641</v>
      </c>
      <c r="D2536" t="str">
        <f t="shared" si="39"/>
        <v>SEC.GERAL3919</v>
      </c>
      <c r="E2536" t="s">
        <v>2102</v>
      </c>
    </row>
    <row r="2537" spans="1:5" hidden="1" x14ac:dyDescent="0.25">
      <c r="A2537">
        <v>1631</v>
      </c>
      <c r="B2537" t="s">
        <v>579</v>
      </c>
      <c r="C2537" t="s">
        <v>1642</v>
      </c>
      <c r="D2537" t="str">
        <f t="shared" si="39"/>
        <v>SEC.GERAL3921</v>
      </c>
      <c r="E2537" t="s">
        <v>2102</v>
      </c>
    </row>
    <row r="2538" spans="1:5" hidden="1" x14ac:dyDescent="0.25">
      <c r="A2538">
        <v>1631</v>
      </c>
      <c r="B2538" t="s">
        <v>579</v>
      </c>
      <c r="C2538" t="s">
        <v>427</v>
      </c>
      <c r="D2538" t="str">
        <f t="shared" si="39"/>
        <v>SEC.GERAL3923</v>
      </c>
      <c r="E2538" t="s">
        <v>1623</v>
      </c>
    </row>
    <row r="2539" spans="1:5" hidden="1" x14ac:dyDescent="0.25">
      <c r="A2539">
        <v>1631</v>
      </c>
      <c r="B2539" t="s">
        <v>579</v>
      </c>
      <c r="C2539" t="s">
        <v>1644</v>
      </c>
      <c r="D2539" t="str">
        <f t="shared" si="39"/>
        <v>SEC.GERAL3924</v>
      </c>
      <c r="E2539" t="s">
        <v>1645</v>
      </c>
    </row>
    <row r="2540" spans="1:5" hidden="1" x14ac:dyDescent="0.25">
      <c r="A2540">
        <v>1631</v>
      </c>
      <c r="B2540" t="s">
        <v>579</v>
      </c>
      <c r="C2540" t="s">
        <v>442</v>
      </c>
      <c r="D2540" t="str">
        <f t="shared" si="39"/>
        <v>SEC.GERAL3926</v>
      </c>
      <c r="E2540" t="s">
        <v>1646</v>
      </c>
    </row>
    <row r="2541" spans="1:5" hidden="1" x14ac:dyDescent="0.25">
      <c r="A2541">
        <v>1631</v>
      </c>
      <c r="B2541" t="s">
        <v>579</v>
      </c>
      <c r="C2541" t="s">
        <v>457</v>
      </c>
      <c r="D2541" t="str">
        <f t="shared" si="39"/>
        <v>SEC.GERAL3930</v>
      </c>
      <c r="E2541" t="s">
        <v>1646</v>
      </c>
    </row>
    <row r="2542" spans="1:5" hidden="1" x14ac:dyDescent="0.25">
      <c r="A2542">
        <v>1631</v>
      </c>
      <c r="B2542" t="s">
        <v>579</v>
      </c>
      <c r="C2542" t="s">
        <v>1650</v>
      </c>
      <c r="D2542" t="str">
        <f t="shared" si="39"/>
        <v>SEC.GERAL3931</v>
      </c>
      <c r="E2542" t="s">
        <v>1623</v>
      </c>
    </row>
    <row r="2543" spans="1:5" hidden="1" x14ac:dyDescent="0.25">
      <c r="A2543">
        <v>1631</v>
      </c>
      <c r="B2543" t="s">
        <v>579</v>
      </c>
      <c r="C2543" t="s">
        <v>1652</v>
      </c>
      <c r="D2543" t="str">
        <f t="shared" si="39"/>
        <v>SEC.GERAL3936</v>
      </c>
      <c r="E2543" t="s">
        <v>93</v>
      </c>
    </row>
    <row r="2544" spans="1:5" hidden="1" x14ac:dyDescent="0.25">
      <c r="A2544">
        <v>1631</v>
      </c>
      <c r="B2544" t="s">
        <v>579</v>
      </c>
      <c r="C2544" t="s">
        <v>1714</v>
      </c>
      <c r="D2544" t="str">
        <f t="shared" si="39"/>
        <v>SEC.GERAL3939</v>
      </c>
      <c r="E2544" t="s">
        <v>1623</v>
      </c>
    </row>
    <row r="2545" spans="1:5" hidden="1" x14ac:dyDescent="0.25">
      <c r="A2545">
        <v>1631</v>
      </c>
      <c r="B2545" t="s">
        <v>579</v>
      </c>
      <c r="C2545" t="s">
        <v>1653</v>
      </c>
      <c r="D2545" t="str">
        <f t="shared" si="39"/>
        <v>SEC.GERAL3940</v>
      </c>
      <c r="E2545" t="s">
        <v>1648</v>
      </c>
    </row>
    <row r="2546" spans="1:5" hidden="1" x14ac:dyDescent="0.25">
      <c r="A2546">
        <v>1631</v>
      </c>
      <c r="B2546" t="s">
        <v>579</v>
      </c>
      <c r="C2546" t="s">
        <v>1654</v>
      </c>
      <c r="D2546" t="str">
        <f t="shared" si="39"/>
        <v>SEC.GERAL3943</v>
      </c>
      <c r="E2546" t="s">
        <v>1615</v>
      </c>
    </row>
    <row r="2547" spans="1:5" hidden="1" x14ac:dyDescent="0.25">
      <c r="A2547">
        <v>1631</v>
      </c>
      <c r="B2547" t="s">
        <v>579</v>
      </c>
      <c r="C2547" t="s">
        <v>1655</v>
      </c>
      <c r="D2547" t="str">
        <f t="shared" si="39"/>
        <v>SEC.GERAL3950</v>
      </c>
      <c r="E2547" t="s">
        <v>43</v>
      </c>
    </row>
    <row r="2548" spans="1:5" hidden="1" x14ac:dyDescent="0.25">
      <c r="A2548">
        <v>1631</v>
      </c>
      <c r="B2548" t="s">
        <v>579</v>
      </c>
      <c r="C2548" t="s">
        <v>1701</v>
      </c>
      <c r="D2548" t="str">
        <f t="shared" si="39"/>
        <v>SEC.GERAL3952</v>
      </c>
      <c r="E2548" t="s">
        <v>64</v>
      </c>
    </row>
    <row r="2549" spans="1:5" hidden="1" x14ac:dyDescent="0.25">
      <c r="A2549">
        <v>1631</v>
      </c>
      <c r="B2549" t="s">
        <v>579</v>
      </c>
      <c r="C2549" t="s">
        <v>497</v>
      </c>
      <c r="D2549" t="str">
        <f t="shared" si="39"/>
        <v>SEC.GERAL3955</v>
      </c>
      <c r="E2549" t="s">
        <v>1623</v>
      </c>
    </row>
    <row r="2550" spans="1:5" hidden="1" x14ac:dyDescent="0.25">
      <c r="A2550">
        <v>1631</v>
      </c>
      <c r="B2550" t="s">
        <v>579</v>
      </c>
      <c r="C2550" t="s">
        <v>510</v>
      </c>
      <c r="D2550" t="str">
        <f t="shared" si="39"/>
        <v>SEC.GERAL3968</v>
      </c>
      <c r="E2550" t="s">
        <v>1623</v>
      </c>
    </row>
    <row r="2551" spans="1:5" hidden="1" x14ac:dyDescent="0.25">
      <c r="A2551">
        <v>1631</v>
      </c>
      <c r="B2551" t="s">
        <v>579</v>
      </c>
      <c r="C2551" t="s">
        <v>1659</v>
      </c>
      <c r="D2551" t="str">
        <f t="shared" si="39"/>
        <v>SEC.GERAL3969</v>
      </c>
      <c r="E2551" t="s">
        <v>1637</v>
      </c>
    </row>
    <row r="2552" spans="1:5" hidden="1" x14ac:dyDescent="0.25">
      <c r="A2552">
        <v>1631</v>
      </c>
      <c r="B2552" t="s">
        <v>579</v>
      </c>
      <c r="C2552" t="s">
        <v>1660</v>
      </c>
      <c r="D2552" t="str">
        <f t="shared" si="39"/>
        <v>SEC.GERAL3970</v>
      </c>
      <c r="E2552" t="s">
        <v>1648</v>
      </c>
    </row>
    <row r="2553" spans="1:5" hidden="1" x14ac:dyDescent="0.25">
      <c r="A2553">
        <v>1631</v>
      </c>
      <c r="B2553" t="s">
        <v>579</v>
      </c>
      <c r="C2553" t="s">
        <v>1661</v>
      </c>
      <c r="D2553" t="str">
        <f t="shared" si="39"/>
        <v>SEC.GERAL3987</v>
      </c>
      <c r="E2553" t="s">
        <v>1615</v>
      </c>
    </row>
    <row r="2554" spans="1:5" hidden="1" x14ac:dyDescent="0.25">
      <c r="A2554">
        <v>1631</v>
      </c>
      <c r="B2554" t="s">
        <v>579</v>
      </c>
      <c r="C2554" t="s">
        <v>1663</v>
      </c>
      <c r="D2554" t="str">
        <f t="shared" si="39"/>
        <v>SEC.GERAL3999</v>
      </c>
      <c r="E2554" t="s">
        <v>1623</v>
      </c>
    </row>
    <row r="2555" spans="1:5" hidden="1" x14ac:dyDescent="0.25">
      <c r="A2555">
        <v>1631</v>
      </c>
      <c r="B2555" t="s">
        <v>579</v>
      </c>
      <c r="C2555" t="s">
        <v>1664</v>
      </c>
      <c r="D2555" t="str">
        <f t="shared" si="39"/>
        <v>SEC.GERAL4002</v>
      </c>
      <c r="E2555" t="s">
        <v>1648</v>
      </c>
    </row>
    <row r="2556" spans="1:5" hidden="1" x14ac:dyDescent="0.25">
      <c r="A2556">
        <v>1631</v>
      </c>
      <c r="B2556" t="s">
        <v>579</v>
      </c>
      <c r="C2556" t="s">
        <v>1665</v>
      </c>
      <c r="D2556" t="str">
        <f t="shared" si="39"/>
        <v>SEC.GERAL4003</v>
      </c>
      <c r="E2556" t="s">
        <v>93</v>
      </c>
    </row>
    <row r="2557" spans="1:5" hidden="1" x14ac:dyDescent="0.25">
      <c r="A2557">
        <v>1631</v>
      </c>
      <c r="B2557" t="s">
        <v>579</v>
      </c>
      <c r="C2557" t="s">
        <v>1666</v>
      </c>
      <c r="D2557" t="str">
        <f t="shared" si="39"/>
        <v>SEC.GERAL4004</v>
      </c>
      <c r="E2557" t="s">
        <v>1648</v>
      </c>
    </row>
    <row r="2558" spans="1:5" hidden="1" x14ac:dyDescent="0.25">
      <c r="A2558">
        <v>1631</v>
      </c>
      <c r="B2558" t="s">
        <v>579</v>
      </c>
      <c r="C2558" t="s">
        <v>241</v>
      </c>
      <c r="D2558" t="str">
        <f t="shared" si="39"/>
        <v>SEC.GERAL5201</v>
      </c>
      <c r="E2558" t="s">
        <v>1621</v>
      </c>
    </row>
    <row r="2559" spans="1:5" hidden="1" x14ac:dyDescent="0.25">
      <c r="A2559">
        <v>1631</v>
      </c>
      <c r="B2559" t="s">
        <v>579</v>
      </c>
      <c r="C2559" t="s">
        <v>328</v>
      </c>
      <c r="D2559" t="str">
        <f t="shared" si="39"/>
        <v>SEC.GERAL5206</v>
      </c>
      <c r="E2559" t="s">
        <v>1675</v>
      </c>
    </row>
    <row r="2560" spans="1:5" hidden="1" x14ac:dyDescent="0.25">
      <c r="A2560">
        <v>1631</v>
      </c>
      <c r="B2560" t="s">
        <v>579</v>
      </c>
      <c r="C2560" t="s">
        <v>1676</v>
      </c>
      <c r="D2560" t="str">
        <f t="shared" si="39"/>
        <v>SEC.GERAL5207</v>
      </c>
      <c r="E2560" t="s">
        <v>1675</v>
      </c>
    </row>
    <row r="2561" spans="1:5" hidden="1" x14ac:dyDescent="0.25">
      <c r="A2561">
        <v>1631</v>
      </c>
      <c r="B2561" t="s">
        <v>579</v>
      </c>
      <c r="C2561" t="s">
        <v>1677</v>
      </c>
      <c r="D2561" t="str">
        <f t="shared" si="39"/>
        <v>SEC.GERAL5208</v>
      </c>
      <c r="E2561" t="s">
        <v>1675</v>
      </c>
    </row>
    <row r="2562" spans="1:5" hidden="1" x14ac:dyDescent="0.25">
      <c r="A2562">
        <v>1631</v>
      </c>
      <c r="B2562" t="s">
        <v>579</v>
      </c>
      <c r="C2562" t="s">
        <v>1679</v>
      </c>
      <c r="D2562" t="str">
        <f t="shared" si="39"/>
        <v>SEC.GERAL5212</v>
      </c>
      <c r="E2562" t="s">
        <v>1674</v>
      </c>
    </row>
    <row r="2563" spans="1:5" hidden="1" x14ac:dyDescent="0.25">
      <c r="A2563">
        <v>1631</v>
      </c>
      <c r="B2563" t="s">
        <v>579</v>
      </c>
      <c r="C2563" t="s">
        <v>1684</v>
      </c>
      <c r="D2563" t="str">
        <f t="shared" si="39"/>
        <v>SEC.GERAL9202</v>
      </c>
      <c r="E2563" t="s">
        <v>1685</v>
      </c>
    </row>
    <row r="2564" spans="1:5" hidden="1" x14ac:dyDescent="0.25">
      <c r="A2564">
        <v>1631</v>
      </c>
      <c r="B2564" t="s">
        <v>579</v>
      </c>
      <c r="C2564" t="s">
        <v>1687</v>
      </c>
      <c r="D2564" t="str">
        <f t="shared" si="39"/>
        <v>SEC.GERAL9399</v>
      </c>
      <c r="E2564" t="s">
        <v>1623</v>
      </c>
    </row>
    <row r="2565" spans="1:5" hidden="1" x14ac:dyDescent="0.25">
      <c r="A2565">
        <v>1641</v>
      </c>
      <c r="B2565" t="e">
        <v>#N/A</v>
      </c>
      <c r="C2565" t="s">
        <v>331</v>
      </c>
      <c r="D2565" t="e">
        <f t="shared" ref="D2565:D2628" si="40">CONCATENATE(B2565,LEFT(C2565,4))</f>
        <v>#N/A</v>
      </c>
      <c r="E2565" t="s">
        <v>1689</v>
      </c>
    </row>
    <row r="2566" spans="1:5" hidden="1" x14ac:dyDescent="0.25">
      <c r="A2566">
        <v>1641</v>
      </c>
      <c r="B2566" t="e">
        <v>#N/A</v>
      </c>
      <c r="C2566" t="s">
        <v>1688</v>
      </c>
      <c r="D2566" t="e">
        <f t="shared" si="40"/>
        <v>#N/A</v>
      </c>
      <c r="E2566" t="s">
        <v>1689</v>
      </c>
    </row>
    <row r="2567" spans="1:5" hidden="1" x14ac:dyDescent="0.25">
      <c r="A2567">
        <v>1641</v>
      </c>
      <c r="B2567" t="e">
        <v>#N/A</v>
      </c>
      <c r="C2567" t="s">
        <v>1597</v>
      </c>
      <c r="D2567" t="e">
        <f t="shared" si="40"/>
        <v>#N/A</v>
      </c>
      <c r="E2567" t="s">
        <v>43</v>
      </c>
    </row>
    <row r="2568" spans="1:5" hidden="1" x14ac:dyDescent="0.25">
      <c r="A2568">
        <v>1641</v>
      </c>
      <c r="B2568" t="e">
        <v>#N/A</v>
      </c>
      <c r="C2568" t="s">
        <v>1599</v>
      </c>
      <c r="D2568" t="e">
        <f t="shared" si="40"/>
        <v>#N/A</v>
      </c>
      <c r="E2568" t="s">
        <v>1600</v>
      </c>
    </row>
    <row r="2569" spans="1:5" hidden="1" x14ac:dyDescent="0.25">
      <c r="A2569">
        <v>1641</v>
      </c>
      <c r="B2569" t="e">
        <v>#N/A</v>
      </c>
      <c r="C2569" t="s">
        <v>1603</v>
      </c>
      <c r="D2569" t="e">
        <f t="shared" si="40"/>
        <v>#N/A</v>
      </c>
      <c r="E2569" t="s">
        <v>1600</v>
      </c>
    </row>
    <row r="2570" spans="1:5" hidden="1" x14ac:dyDescent="0.25">
      <c r="A2570">
        <v>1641</v>
      </c>
      <c r="B2570" t="e">
        <v>#N/A</v>
      </c>
      <c r="C2570" t="s">
        <v>1604</v>
      </c>
      <c r="D2570" t="e">
        <f t="shared" si="40"/>
        <v>#N/A</v>
      </c>
      <c r="E2570" t="s">
        <v>1600</v>
      </c>
    </row>
    <row r="2571" spans="1:5" hidden="1" x14ac:dyDescent="0.25">
      <c r="A2571">
        <v>1641</v>
      </c>
      <c r="B2571" t="e">
        <v>#N/A</v>
      </c>
      <c r="C2571" t="s">
        <v>405</v>
      </c>
      <c r="D2571" t="e">
        <f t="shared" si="40"/>
        <v>#N/A</v>
      </c>
      <c r="E2571" t="s">
        <v>1600</v>
      </c>
    </row>
    <row r="2572" spans="1:5" hidden="1" x14ac:dyDescent="0.25">
      <c r="A2572">
        <v>1641</v>
      </c>
      <c r="B2572" t="e">
        <v>#N/A</v>
      </c>
      <c r="C2572" t="s">
        <v>1614</v>
      </c>
      <c r="D2572" t="e">
        <f t="shared" si="40"/>
        <v>#N/A</v>
      </c>
      <c r="E2572" t="s">
        <v>1615</v>
      </c>
    </row>
    <row r="2573" spans="1:5" hidden="1" x14ac:dyDescent="0.25">
      <c r="A2573">
        <v>1641</v>
      </c>
      <c r="B2573" t="e">
        <v>#N/A</v>
      </c>
      <c r="C2573" t="s">
        <v>1617</v>
      </c>
      <c r="D2573" t="e">
        <f t="shared" si="40"/>
        <v>#N/A</v>
      </c>
      <c r="E2573" t="s">
        <v>1615</v>
      </c>
    </row>
    <row r="2574" spans="1:5" hidden="1" x14ac:dyDescent="0.25">
      <c r="A2574">
        <v>1641</v>
      </c>
      <c r="B2574" t="e">
        <v>#N/A</v>
      </c>
      <c r="C2574" t="s">
        <v>226</v>
      </c>
      <c r="D2574" t="e">
        <f t="shared" si="40"/>
        <v>#N/A</v>
      </c>
      <c r="E2574" t="s">
        <v>1623</v>
      </c>
    </row>
    <row r="2575" spans="1:5" hidden="1" x14ac:dyDescent="0.25">
      <c r="A2575">
        <v>1641</v>
      </c>
      <c r="B2575" t="e">
        <v>#N/A</v>
      </c>
      <c r="C2575" t="s">
        <v>53</v>
      </c>
      <c r="D2575" t="e">
        <f t="shared" si="40"/>
        <v>#N/A</v>
      </c>
      <c r="E2575" t="s">
        <v>43</v>
      </c>
    </row>
    <row r="2576" spans="1:5" hidden="1" x14ac:dyDescent="0.25">
      <c r="A2576">
        <v>1641</v>
      </c>
      <c r="B2576" t="e">
        <v>#N/A</v>
      </c>
      <c r="C2576" t="s">
        <v>1626</v>
      </c>
      <c r="D2576" t="e">
        <f t="shared" si="40"/>
        <v>#N/A</v>
      </c>
      <c r="E2576" t="s">
        <v>43</v>
      </c>
    </row>
    <row r="2577" spans="1:5" hidden="1" x14ac:dyDescent="0.25">
      <c r="A2577">
        <v>1641</v>
      </c>
      <c r="B2577" t="e">
        <v>#N/A</v>
      </c>
      <c r="C2577" t="s">
        <v>1627</v>
      </c>
      <c r="D2577" t="e">
        <f t="shared" si="40"/>
        <v>#N/A</v>
      </c>
      <c r="E2577" t="s">
        <v>43</v>
      </c>
    </row>
    <row r="2578" spans="1:5" hidden="1" x14ac:dyDescent="0.25">
      <c r="A2578">
        <v>1641</v>
      </c>
      <c r="B2578" t="e">
        <v>#N/A</v>
      </c>
      <c r="C2578" t="s">
        <v>308</v>
      </c>
      <c r="D2578" t="e">
        <f t="shared" si="40"/>
        <v>#N/A</v>
      </c>
      <c r="E2578" t="s">
        <v>43</v>
      </c>
    </row>
    <row r="2579" spans="1:5" hidden="1" x14ac:dyDescent="0.25">
      <c r="A2579">
        <v>1641</v>
      </c>
      <c r="B2579" t="e">
        <v>#N/A</v>
      </c>
      <c r="C2579" t="s">
        <v>296</v>
      </c>
      <c r="D2579" t="e">
        <f t="shared" si="40"/>
        <v>#N/A</v>
      </c>
      <c r="E2579" t="s">
        <v>43</v>
      </c>
    </row>
    <row r="2580" spans="1:5" hidden="1" x14ac:dyDescent="0.25">
      <c r="A2580">
        <v>1641</v>
      </c>
      <c r="B2580" t="e">
        <v>#N/A</v>
      </c>
      <c r="C2580" t="s">
        <v>1742</v>
      </c>
      <c r="D2580" t="e">
        <f t="shared" si="40"/>
        <v>#N/A</v>
      </c>
      <c r="E2580" t="s">
        <v>1623</v>
      </c>
    </row>
    <row r="2581" spans="1:5" hidden="1" x14ac:dyDescent="0.25">
      <c r="A2581">
        <v>1641</v>
      </c>
      <c r="B2581" t="e">
        <v>#N/A</v>
      </c>
      <c r="C2581" t="s">
        <v>354</v>
      </c>
      <c r="D2581" t="e">
        <f t="shared" si="40"/>
        <v>#N/A</v>
      </c>
      <c r="E2581" t="s">
        <v>1623</v>
      </c>
    </row>
    <row r="2582" spans="1:5" hidden="1" x14ac:dyDescent="0.25">
      <c r="A2582">
        <v>1641</v>
      </c>
      <c r="B2582" t="e">
        <v>#N/A</v>
      </c>
      <c r="C2582" t="s">
        <v>1628</v>
      </c>
      <c r="D2582" t="e">
        <f t="shared" si="40"/>
        <v>#N/A</v>
      </c>
      <c r="E2582" t="s">
        <v>1623</v>
      </c>
    </row>
    <row r="2583" spans="1:5" hidden="1" x14ac:dyDescent="0.25">
      <c r="A2583">
        <v>1641</v>
      </c>
      <c r="B2583" t="e">
        <v>#N/A</v>
      </c>
      <c r="C2583" t="s">
        <v>1629</v>
      </c>
      <c r="D2583" t="e">
        <f t="shared" si="40"/>
        <v>#N/A</v>
      </c>
      <c r="E2583" t="s">
        <v>102</v>
      </c>
    </row>
    <row r="2584" spans="1:5" hidden="1" x14ac:dyDescent="0.25">
      <c r="A2584">
        <v>1641</v>
      </c>
      <c r="B2584" t="e">
        <v>#N/A</v>
      </c>
      <c r="C2584" t="s">
        <v>1631</v>
      </c>
      <c r="D2584" t="e">
        <f t="shared" si="40"/>
        <v>#N/A</v>
      </c>
      <c r="E2584" t="s">
        <v>116</v>
      </c>
    </row>
    <row r="2585" spans="1:5" hidden="1" x14ac:dyDescent="0.25">
      <c r="A2585">
        <v>1641</v>
      </c>
      <c r="B2585" t="e">
        <v>#N/A</v>
      </c>
      <c r="C2585" t="s">
        <v>1632</v>
      </c>
      <c r="D2585" t="e">
        <f t="shared" si="40"/>
        <v>#N/A</v>
      </c>
      <c r="E2585" t="s">
        <v>116</v>
      </c>
    </row>
    <row r="2586" spans="1:5" hidden="1" x14ac:dyDescent="0.25">
      <c r="A2586">
        <v>1641</v>
      </c>
      <c r="B2586" t="e">
        <v>#N/A</v>
      </c>
      <c r="C2586" t="s">
        <v>345</v>
      </c>
      <c r="D2586" t="e">
        <f t="shared" si="40"/>
        <v>#N/A</v>
      </c>
      <c r="E2586" t="s">
        <v>1623</v>
      </c>
    </row>
    <row r="2587" spans="1:5" hidden="1" x14ac:dyDescent="0.25">
      <c r="A2587">
        <v>1641</v>
      </c>
      <c r="B2587" t="e">
        <v>#N/A</v>
      </c>
      <c r="C2587" t="s">
        <v>1636</v>
      </c>
      <c r="D2587" t="e">
        <f t="shared" si="40"/>
        <v>#N/A</v>
      </c>
      <c r="E2587" t="s">
        <v>1637</v>
      </c>
    </row>
    <row r="2588" spans="1:5" hidden="1" x14ac:dyDescent="0.25">
      <c r="A2588">
        <v>1641</v>
      </c>
      <c r="B2588" t="e">
        <v>#N/A</v>
      </c>
      <c r="C2588" t="s">
        <v>1638</v>
      </c>
      <c r="D2588" t="e">
        <f t="shared" si="40"/>
        <v>#N/A</v>
      </c>
      <c r="E2588" t="s">
        <v>1637</v>
      </c>
    </row>
    <row r="2589" spans="1:5" hidden="1" x14ac:dyDescent="0.25">
      <c r="A2589">
        <v>1641</v>
      </c>
      <c r="B2589" t="e">
        <v>#N/A</v>
      </c>
      <c r="C2589" t="s">
        <v>1639</v>
      </c>
      <c r="D2589" t="e">
        <f t="shared" si="40"/>
        <v>#N/A</v>
      </c>
      <c r="E2589" t="s">
        <v>1615</v>
      </c>
    </row>
    <row r="2590" spans="1:5" hidden="1" x14ac:dyDescent="0.25">
      <c r="A2590">
        <v>1641</v>
      </c>
      <c r="B2590" t="e">
        <v>#N/A</v>
      </c>
      <c r="C2590" t="s">
        <v>1640</v>
      </c>
      <c r="D2590" t="e">
        <f t="shared" si="40"/>
        <v>#N/A</v>
      </c>
      <c r="E2590" t="s">
        <v>1615</v>
      </c>
    </row>
    <row r="2591" spans="1:5" hidden="1" x14ac:dyDescent="0.25">
      <c r="A2591">
        <v>1641</v>
      </c>
      <c r="B2591" t="e">
        <v>#N/A</v>
      </c>
      <c r="C2591" t="s">
        <v>1641</v>
      </c>
      <c r="D2591" t="e">
        <f t="shared" si="40"/>
        <v>#N/A</v>
      </c>
      <c r="E2591" t="s">
        <v>2102</v>
      </c>
    </row>
    <row r="2592" spans="1:5" hidden="1" x14ac:dyDescent="0.25">
      <c r="A2592">
        <v>1641</v>
      </c>
      <c r="B2592" t="e">
        <v>#N/A</v>
      </c>
      <c r="C2592" t="s">
        <v>1644</v>
      </c>
      <c r="D2592" t="e">
        <f t="shared" si="40"/>
        <v>#N/A</v>
      </c>
      <c r="E2592" t="s">
        <v>1645</v>
      </c>
    </row>
    <row r="2593" spans="1:5" hidden="1" x14ac:dyDescent="0.25">
      <c r="A2593">
        <v>1641</v>
      </c>
      <c r="B2593" t="e">
        <v>#N/A</v>
      </c>
      <c r="C2593" t="s">
        <v>442</v>
      </c>
      <c r="D2593" t="e">
        <f t="shared" si="40"/>
        <v>#N/A</v>
      </c>
      <c r="E2593" t="s">
        <v>1646</v>
      </c>
    </row>
    <row r="2594" spans="1:5" hidden="1" x14ac:dyDescent="0.25">
      <c r="A2594">
        <v>1641</v>
      </c>
      <c r="B2594" t="e">
        <v>#N/A</v>
      </c>
      <c r="C2594" t="s">
        <v>1647</v>
      </c>
      <c r="D2594" t="e">
        <f t="shared" si="40"/>
        <v>#N/A</v>
      </c>
      <c r="E2594" t="s">
        <v>1648</v>
      </c>
    </row>
    <row r="2595" spans="1:5" hidden="1" x14ac:dyDescent="0.25">
      <c r="A2595">
        <v>1641</v>
      </c>
      <c r="B2595" t="e">
        <v>#N/A</v>
      </c>
      <c r="C2595" t="s">
        <v>457</v>
      </c>
      <c r="D2595" t="e">
        <f t="shared" si="40"/>
        <v>#N/A</v>
      </c>
      <c r="E2595" t="s">
        <v>1646</v>
      </c>
    </row>
    <row r="2596" spans="1:5" hidden="1" x14ac:dyDescent="0.25">
      <c r="A2596">
        <v>1641</v>
      </c>
      <c r="B2596" t="e">
        <v>#N/A</v>
      </c>
      <c r="C2596" t="s">
        <v>1650</v>
      </c>
      <c r="D2596" t="e">
        <f t="shared" si="40"/>
        <v>#N/A</v>
      </c>
      <c r="E2596" t="s">
        <v>1623</v>
      </c>
    </row>
    <row r="2597" spans="1:5" hidden="1" x14ac:dyDescent="0.25">
      <c r="A2597">
        <v>1641</v>
      </c>
      <c r="B2597" t="e">
        <v>#N/A</v>
      </c>
      <c r="C2597" t="s">
        <v>1652</v>
      </c>
      <c r="D2597" t="e">
        <f t="shared" si="40"/>
        <v>#N/A</v>
      </c>
      <c r="E2597" t="s">
        <v>93</v>
      </c>
    </row>
    <row r="2598" spans="1:5" hidden="1" x14ac:dyDescent="0.25">
      <c r="A2598">
        <v>1641</v>
      </c>
      <c r="B2598" t="e">
        <v>#N/A</v>
      </c>
      <c r="C2598" t="s">
        <v>1653</v>
      </c>
      <c r="D2598" t="e">
        <f t="shared" si="40"/>
        <v>#N/A</v>
      </c>
      <c r="E2598" t="s">
        <v>1648</v>
      </c>
    </row>
    <row r="2599" spans="1:5" hidden="1" x14ac:dyDescent="0.25">
      <c r="A2599">
        <v>1641</v>
      </c>
      <c r="B2599" t="e">
        <v>#N/A</v>
      </c>
      <c r="C2599" t="s">
        <v>1654</v>
      </c>
      <c r="D2599" t="e">
        <f t="shared" si="40"/>
        <v>#N/A</v>
      </c>
      <c r="E2599" t="s">
        <v>1615</v>
      </c>
    </row>
    <row r="2600" spans="1:5" hidden="1" x14ac:dyDescent="0.25">
      <c r="A2600">
        <v>1641</v>
      </c>
      <c r="B2600" t="e">
        <v>#N/A</v>
      </c>
      <c r="C2600" t="s">
        <v>491</v>
      </c>
      <c r="D2600" t="e">
        <f t="shared" si="40"/>
        <v>#N/A</v>
      </c>
      <c r="E2600" t="s">
        <v>1645</v>
      </c>
    </row>
    <row r="2601" spans="1:5" hidden="1" x14ac:dyDescent="0.25">
      <c r="A2601">
        <v>1641</v>
      </c>
      <c r="B2601" t="e">
        <v>#N/A</v>
      </c>
      <c r="C2601" t="s">
        <v>1701</v>
      </c>
      <c r="D2601" t="e">
        <f t="shared" si="40"/>
        <v>#N/A</v>
      </c>
      <c r="E2601" t="s">
        <v>64</v>
      </c>
    </row>
    <row r="2602" spans="1:5" hidden="1" x14ac:dyDescent="0.25">
      <c r="A2602">
        <v>1641</v>
      </c>
      <c r="B2602" t="e">
        <v>#N/A</v>
      </c>
      <c r="C2602" t="s">
        <v>497</v>
      </c>
      <c r="D2602" t="e">
        <f t="shared" si="40"/>
        <v>#N/A</v>
      </c>
      <c r="E2602" t="s">
        <v>1623</v>
      </c>
    </row>
    <row r="2603" spans="1:5" hidden="1" x14ac:dyDescent="0.25">
      <c r="A2603">
        <v>1641</v>
      </c>
      <c r="B2603" t="e">
        <v>#N/A</v>
      </c>
      <c r="C2603" t="s">
        <v>1718</v>
      </c>
      <c r="D2603" t="e">
        <f t="shared" si="40"/>
        <v>#N/A</v>
      </c>
      <c r="E2603" t="s">
        <v>1623</v>
      </c>
    </row>
    <row r="2604" spans="1:5" hidden="1" x14ac:dyDescent="0.25">
      <c r="A2604">
        <v>1641</v>
      </c>
      <c r="B2604" t="e">
        <v>#N/A</v>
      </c>
      <c r="C2604" t="s">
        <v>1661</v>
      </c>
      <c r="D2604" t="e">
        <f t="shared" si="40"/>
        <v>#N/A</v>
      </c>
      <c r="E2604" t="s">
        <v>1615</v>
      </c>
    </row>
    <row r="2605" spans="1:5" hidden="1" x14ac:dyDescent="0.25">
      <c r="A2605">
        <v>1641</v>
      </c>
      <c r="B2605" t="e">
        <v>#N/A</v>
      </c>
      <c r="C2605" t="s">
        <v>1665</v>
      </c>
      <c r="D2605" t="e">
        <f t="shared" si="40"/>
        <v>#N/A</v>
      </c>
      <c r="E2605" t="s">
        <v>93</v>
      </c>
    </row>
    <row r="2606" spans="1:5" hidden="1" x14ac:dyDescent="0.25">
      <c r="A2606">
        <v>1641</v>
      </c>
      <c r="B2606" t="e">
        <v>#N/A</v>
      </c>
      <c r="C2606" t="s">
        <v>1666</v>
      </c>
      <c r="D2606" t="e">
        <f t="shared" si="40"/>
        <v>#N/A</v>
      </c>
      <c r="E2606" t="s">
        <v>1648</v>
      </c>
    </row>
    <row r="2607" spans="1:5" hidden="1" x14ac:dyDescent="0.25">
      <c r="A2607">
        <v>1641</v>
      </c>
      <c r="B2607" t="e">
        <v>#N/A</v>
      </c>
      <c r="C2607" t="s">
        <v>1719</v>
      </c>
      <c r="D2607" t="e">
        <f t="shared" si="40"/>
        <v>#N/A</v>
      </c>
      <c r="E2607" t="s">
        <v>1623</v>
      </c>
    </row>
    <row r="2608" spans="1:5" hidden="1" x14ac:dyDescent="0.25">
      <c r="A2608">
        <v>1641</v>
      </c>
      <c r="B2608" t="e">
        <v>#N/A</v>
      </c>
      <c r="C2608" t="s">
        <v>1749</v>
      </c>
      <c r="D2608" t="e">
        <f t="shared" si="40"/>
        <v>#N/A</v>
      </c>
      <c r="E2608" t="s">
        <v>1728</v>
      </c>
    </row>
    <row r="2609" spans="1:5" hidden="1" x14ac:dyDescent="0.25">
      <c r="A2609">
        <v>1641</v>
      </c>
      <c r="B2609" t="e">
        <v>#N/A</v>
      </c>
      <c r="C2609" t="s">
        <v>1668</v>
      </c>
      <c r="D2609" t="e">
        <f t="shared" si="40"/>
        <v>#N/A</v>
      </c>
      <c r="E2609" t="s">
        <v>1669</v>
      </c>
    </row>
    <row r="2610" spans="1:5" hidden="1" x14ac:dyDescent="0.25">
      <c r="A2610">
        <v>1641</v>
      </c>
      <c r="B2610" t="e">
        <v>#N/A</v>
      </c>
      <c r="C2610" t="s">
        <v>264</v>
      </c>
      <c r="D2610" t="e">
        <f t="shared" si="40"/>
        <v>#N/A</v>
      </c>
      <c r="E2610" t="s">
        <v>1669</v>
      </c>
    </row>
    <row r="2611" spans="1:5" hidden="1" x14ac:dyDescent="0.25">
      <c r="A2611">
        <v>1641</v>
      </c>
      <c r="B2611" t="e">
        <v>#N/A</v>
      </c>
      <c r="C2611" t="s">
        <v>327</v>
      </c>
      <c r="D2611" t="e">
        <f t="shared" si="40"/>
        <v>#N/A</v>
      </c>
      <c r="E2611" t="s">
        <v>1669</v>
      </c>
    </row>
    <row r="2612" spans="1:5" hidden="1" x14ac:dyDescent="0.25">
      <c r="A2612">
        <v>1641</v>
      </c>
      <c r="B2612" t="e">
        <v>#N/A</v>
      </c>
      <c r="C2612" t="s">
        <v>402</v>
      </c>
      <c r="D2612" t="e">
        <f t="shared" si="40"/>
        <v>#N/A</v>
      </c>
      <c r="E2612" t="s">
        <v>1680</v>
      </c>
    </row>
    <row r="2613" spans="1:5" hidden="1" x14ac:dyDescent="0.25">
      <c r="A2613">
        <v>1641</v>
      </c>
      <c r="B2613" t="e">
        <v>#N/A</v>
      </c>
      <c r="C2613" t="s">
        <v>1684</v>
      </c>
      <c r="D2613" t="e">
        <f t="shared" si="40"/>
        <v>#N/A</v>
      </c>
      <c r="E2613" t="s">
        <v>1685</v>
      </c>
    </row>
    <row r="2614" spans="1:5" hidden="1" x14ac:dyDescent="0.25">
      <c r="A2614">
        <v>1641</v>
      </c>
      <c r="B2614" t="e">
        <v>#N/A</v>
      </c>
      <c r="C2614" t="s">
        <v>330</v>
      </c>
      <c r="D2614" t="e">
        <f t="shared" si="40"/>
        <v>#N/A</v>
      </c>
      <c r="E2614" t="s">
        <v>1686</v>
      </c>
    </row>
    <row r="2615" spans="1:5" hidden="1" x14ac:dyDescent="0.25">
      <c r="A2615">
        <v>1641</v>
      </c>
      <c r="B2615" t="e">
        <v>#N/A</v>
      </c>
      <c r="C2615" t="s">
        <v>1687</v>
      </c>
      <c r="D2615" t="e">
        <f t="shared" si="40"/>
        <v>#N/A</v>
      </c>
      <c r="E2615" t="s">
        <v>1623</v>
      </c>
    </row>
    <row r="2616" spans="1:5" hidden="1" x14ac:dyDescent="0.25">
      <c r="A2616">
        <v>1651</v>
      </c>
      <c r="B2616" t="e">
        <v>#N/A</v>
      </c>
      <c r="C2616" t="s">
        <v>1597</v>
      </c>
      <c r="D2616" t="e">
        <f t="shared" si="40"/>
        <v>#N/A</v>
      </c>
      <c r="E2616" t="s">
        <v>43</v>
      </c>
    </row>
    <row r="2617" spans="1:5" hidden="1" x14ac:dyDescent="0.25">
      <c r="A2617">
        <v>1651</v>
      </c>
      <c r="B2617" t="e">
        <v>#N/A</v>
      </c>
      <c r="C2617" t="s">
        <v>1599</v>
      </c>
      <c r="D2617" t="e">
        <f t="shared" si="40"/>
        <v>#N/A</v>
      </c>
      <c r="E2617" t="s">
        <v>1600</v>
      </c>
    </row>
    <row r="2618" spans="1:5" hidden="1" x14ac:dyDescent="0.25">
      <c r="A2618">
        <v>1651</v>
      </c>
      <c r="B2618" t="e">
        <v>#N/A</v>
      </c>
      <c r="C2618" t="s">
        <v>1601</v>
      </c>
      <c r="D2618" t="e">
        <f t="shared" si="40"/>
        <v>#N/A</v>
      </c>
      <c r="E2618" t="s">
        <v>1600</v>
      </c>
    </row>
    <row r="2619" spans="1:5" hidden="1" x14ac:dyDescent="0.25">
      <c r="A2619">
        <v>1651</v>
      </c>
      <c r="B2619" t="e">
        <v>#N/A</v>
      </c>
      <c r="C2619" t="s">
        <v>1603</v>
      </c>
      <c r="D2619" t="e">
        <f t="shared" si="40"/>
        <v>#N/A</v>
      </c>
      <c r="E2619" t="s">
        <v>1600</v>
      </c>
    </row>
    <row r="2620" spans="1:5" hidden="1" x14ac:dyDescent="0.25">
      <c r="A2620">
        <v>1651</v>
      </c>
      <c r="B2620" t="e">
        <v>#N/A</v>
      </c>
      <c r="C2620" t="s">
        <v>1604</v>
      </c>
      <c r="D2620" t="e">
        <f t="shared" si="40"/>
        <v>#N/A</v>
      </c>
      <c r="E2620" t="s">
        <v>1600</v>
      </c>
    </row>
    <row r="2621" spans="1:5" hidden="1" x14ac:dyDescent="0.25">
      <c r="A2621">
        <v>1651</v>
      </c>
      <c r="B2621" t="e">
        <v>#N/A</v>
      </c>
      <c r="C2621" t="s">
        <v>1607</v>
      </c>
      <c r="D2621" t="e">
        <f t="shared" si="40"/>
        <v>#N/A</v>
      </c>
      <c r="E2621" t="s">
        <v>1600</v>
      </c>
    </row>
    <row r="2622" spans="1:5" hidden="1" x14ac:dyDescent="0.25">
      <c r="A2622">
        <v>1651</v>
      </c>
      <c r="B2622" t="e">
        <v>#N/A</v>
      </c>
      <c r="C2622" t="s">
        <v>1608</v>
      </c>
      <c r="D2622" t="e">
        <f t="shared" si="40"/>
        <v>#N/A</v>
      </c>
      <c r="E2622" t="s">
        <v>1600</v>
      </c>
    </row>
    <row r="2623" spans="1:5" hidden="1" x14ac:dyDescent="0.25">
      <c r="A2623">
        <v>1651</v>
      </c>
      <c r="B2623" t="e">
        <v>#N/A</v>
      </c>
      <c r="C2623" t="s">
        <v>1609</v>
      </c>
      <c r="D2623" t="e">
        <f t="shared" si="40"/>
        <v>#N/A</v>
      </c>
      <c r="E2623" t="s">
        <v>1600</v>
      </c>
    </row>
    <row r="2624" spans="1:5" hidden="1" x14ac:dyDescent="0.25">
      <c r="A2624">
        <v>1651</v>
      </c>
      <c r="B2624" t="e">
        <v>#N/A</v>
      </c>
      <c r="C2624" t="s">
        <v>405</v>
      </c>
      <c r="D2624" t="e">
        <f t="shared" si="40"/>
        <v>#N/A</v>
      </c>
      <c r="E2624" t="s">
        <v>1600</v>
      </c>
    </row>
    <row r="2625" spans="1:5" hidden="1" x14ac:dyDescent="0.25">
      <c r="A2625">
        <v>1651</v>
      </c>
      <c r="B2625" t="e">
        <v>#N/A</v>
      </c>
      <c r="C2625" t="s">
        <v>1610</v>
      </c>
      <c r="D2625" t="e">
        <f t="shared" si="40"/>
        <v>#N/A</v>
      </c>
      <c r="E2625" t="s">
        <v>1611</v>
      </c>
    </row>
    <row r="2626" spans="1:5" hidden="1" x14ac:dyDescent="0.25">
      <c r="A2626">
        <v>1651</v>
      </c>
      <c r="B2626" t="e">
        <v>#N/A</v>
      </c>
      <c r="C2626" t="s">
        <v>1612</v>
      </c>
      <c r="D2626" t="e">
        <f t="shared" si="40"/>
        <v>#N/A</v>
      </c>
      <c r="E2626" t="s">
        <v>1600</v>
      </c>
    </row>
    <row r="2627" spans="1:5" hidden="1" x14ac:dyDescent="0.25">
      <c r="A2627">
        <v>1651</v>
      </c>
      <c r="B2627" t="e">
        <v>#N/A</v>
      </c>
      <c r="C2627" t="s">
        <v>430</v>
      </c>
      <c r="D2627" t="e">
        <f t="shared" si="40"/>
        <v>#N/A</v>
      </c>
      <c r="E2627" t="s">
        <v>1600</v>
      </c>
    </row>
    <row r="2628" spans="1:5" hidden="1" x14ac:dyDescent="0.25">
      <c r="A2628">
        <v>1651</v>
      </c>
      <c r="B2628" t="e">
        <v>#N/A</v>
      </c>
      <c r="C2628" t="s">
        <v>1614</v>
      </c>
      <c r="D2628" t="e">
        <f t="shared" si="40"/>
        <v>#N/A</v>
      </c>
      <c r="E2628" t="s">
        <v>1615</v>
      </c>
    </row>
    <row r="2629" spans="1:5" hidden="1" x14ac:dyDescent="0.25">
      <c r="A2629">
        <v>1651</v>
      </c>
      <c r="B2629" t="e">
        <v>#N/A</v>
      </c>
      <c r="C2629" t="s">
        <v>1616</v>
      </c>
      <c r="D2629" t="e">
        <f t="shared" ref="D2629:D2692" si="41">CONCATENATE(B2629,LEFT(C2629,4))</f>
        <v>#N/A</v>
      </c>
      <c r="E2629" t="s">
        <v>1600</v>
      </c>
    </row>
    <row r="2630" spans="1:5" hidden="1" x14ac:dyDescent="0.25">
      <c r="A2630">
        <v>1651</v>
      </c>
      <c r="B2630" t="e">
        <v>#N/A</v>
      </c>
      <c r="C2630" t="s">
        <v>1617</v>
      </c>
      <c r="D2630" t="e">
        <f t="shared" si="41"/>
        <v>#N/A</v>
      </c>
      <c r="E2630" t="s">
        <v>1615</v>
      </c>
    </row>
    <row r="2631" spans="1:5" hidden="1" x14ac:dyDescent="0.25">
      <c r="A2631">
        <v>1651</v>
      </c>
      <c r="B2631" t="e">
        <v>#N/A</v>
      </c>
      <c r="C2631" t="s">
        <v>466</v>
      </c>
      <c r="D2631" t="e">
        <f t="shared" si="41"/>
        <v>#N/A</v>
      </c>
      <c r="E2631" t="s">
        <v>1600</v>
      </c>
    </row>
    <row r="2632" spans="1:5" hidden="1" x14ac:dyDescent="0.25">
      <c r="A2632">
        <v>1651</v>
      </c>
      <c r="B2632" t="e">
        <v>#N/A</v>
      </c>
      <c r="C2632" t="s">
        <v>1619</v>
      </c>
      <c r="D2632" t="e">
        <f t="shared" si="41"/>
        <v>#N/A</v>
      </c>
      <c r="E2632" t="s">
        <v>1600</v>
      </c>
    </row>
    <row r="2633" spans="1:5" hidden="1" x14ac:dyDescent="0.25">
      <c r="A2633">
        <v>1651</v>
      </c>
      <c r="B2633" t="e">
        <v>#N/A</v>
      </c>
      <c r="C2633" t="s">
        <v>490</v>
      </c>
      <c r="D2633" t="e">
        <f t="shared" si="41"/>
        <v>#N/A</v>
      </c>
      <c r="E2633" t="s">
        <v>1600</v>
      </c>
    </row>
    <row r="2634" spans="1:5" hidden="1" x14ac:dyDescent="0.25">
      <c r="A2634">
        <v>1651</v>
      </c>
      <c r="B2634" t="e">
        <v>#N/A</v>
      </c>
      <c r="C2634" t="s">
        <v>53</v>
      </c>
      <c r="D2634" t="e">
        <f t="shared" si="41"/>
        <v>#N/A</v>
      </c>
      <c r="E2634" t="s">
        <v>43</v>
      </c>
    </row>
    <row r="2635" spans="1:5" hidden="1" x14ac:dyDescent="0.25">
      <c r="A2635">
        <v>1651</v>
      </c>
      <c r="B2635" t="e">
        <v>#N/A</v>
      </c>
      <c r="C2635" t="s">
        <v>1626</v>
      </c>
      <c r="D2635" t="e">
        <f t="shared" si="41"/>
        <v>#N/A</v>
      </c>
      <c r="E2635" t="s">
        <v>43</v>
      </c>
    </row>
    <row r="2636" spans="1:5" hidden="1" x14ac:dyDescent="0.25">
      <c r="A2636">
        <v>1651</v>
      </c>
      <c r="B2636" t="e">
        <v>#N/A</v>
      </c>
      <c r="C2636" t="s">
        <v>1627</v>
      </c>
      <c r="D2636" t="e">
        <f t="shared" si="41"/>
        <v>#N/A</v>
      </c>
      <c r="E2636" t="s">
        <v>43</v>
      </c>
    </row>
    <row r="2637" spans="1:5" hidden="1" x14ac:dyDescent="0.25">
      <c r="A2637">
        <v>1651</v>
      </c>
      <c r="B2637" t="e">
        <v>#N/A</v>
      </c>
      <c r="C2637" t="s">
        <v>308</v>
      </c>
      <c r="D2637" t="e">
        <f t="shared" si="41"/>
        <v>#N/A</v>
      </c>
      <c r="E2637" t="s">
        <v>43</v>
      </c>
    </row>
    <row r="2638" spans="1:5" hidden="1" x14ac:dyDescent="0.25">
      <c r="A2638">
        <v>1651</v>
      </c>
      <c r="B2638" t="e">
        <v>#N/A</v>
      </c>
      <c r="C2638" t="s">
        <v>296</v>
      </c>
      <c r="D2638" t="e">
        <f t="shared" si="41"/>
        <v>#N/A</v>
      </c>
      <c r="E2638" t="s">
        <v>43</v>
      </c>
    </row>
    <row r="2639" spans="1:5" hidden="1" x14ac:dyDescent="0.25">
      <c r="A2639">
        <v>1651</v>
      </c>
      <c r="B2639" t="e">
        <v>#N/A</v>
      </c>
      <c r="C2639" t="s">
        <v>1742</v>
      </c>
      <c r="D2639" t="e">
        <f t="shared" si="41"/>
        <v>#N/A</v>
      </c>
      <c r="E2639" t="s">
        <v>1623</v>
      </c>
    </row>
    <row r="2640" spans="1:5" hidden="1" x14ac:dyDescent="0.25">
      <c r="A2640">
        <v>1651</v>
      </c>
      <c r="B2640" t="e">
        <v>#N/A</v>
      </c>
      <c r="C2640" t="s">
        <v>354</v>
      </c>
      <c r="D2640" t="e">
        <f t="shared" si="41"/>
        <v>#N/A</v>
      </c>
      <c r="E2640" t="s">
        <v>1623</v>
      </c>
    </row>
    <row r="2641" spans="1:5" hidden="1" x14ac:dyDescent="0.25">
      <c r="A2641">
        <v>1651</v>
      </c>
      <c r="B2641" t="e">
        <v>#N/A</v>
      </c>
      <c r="C2641" t="s">
        <v>1628</v>
      </c>
      <c r="D2641" t="e">
        <f t="shared" si="41"/>
        <v>#N/A</v>
      </c>
      <c r="E2641" t="s">
        <v>1623</v>
      </c>
    </row>
    <row r="2642" spans="1:5" hidden="1" x14ac:dyDescent="0.25">
      <c r="A2642">
        <v>1651</v>
      </c>
      <c r="B2642" t="e">
        <v>#N/A</v>
      </c>
      <c r="C2642" t="s">
        <v>1631</v>
      </c>
      <c r="D2642" t="e">
        <f t="shared" si="41"/>
        <v>#N/A</v>
      </c>
      <c r="E2642" t="s">
        <v>116</v>
      </c>
    </row>
    <row r="2643" spans="1:5" hidden="1" x14ac:dyDescent="0.25">
      <c r="A2643">
        <v>1651</v>
      </c>
      <c r="B2643" t="e">
        <v>#N/A</v>
      </c>
      <c r="C2643" t="s">
        <v>1632</v>
      </c>
      <c r="D2643" t="e">
        <f t="shared" si="41"/>
        <v>#N/A</v>
      </c>
      <c r="E2643" t="s">
        <v>116</v>
      </c>
    </row>
    <row r="2644" spans="1:5" hidden="1" x14ac:dyDescent="0.25">
      <c r="A2644">
        <v>1651</v>
      </c>
      <c r="B2644" t="e">
        <v>#N/A</v>
      </c>
      <c r="C2644" t="s">
        <v>1634</v>
      </c>
      <c r="D2644" t="e">
        <f t="shared" si="41"/>
        <v>#N/A</v>
      </c>
      <c r="E2644" t="s">
        <v>1623</v>
      </c>
    </row>
    <row r="2645" spans="1:5" hidden="1" x14ac:dyDescent="0.25">
      <c r="A2645">
        <v>1651</v>
      </c>
      <c r="B2645" t="e">
        <v>#N/A</v>
      </c>
      <c r="C2645" t="s">
        <v>345</v>
      </c>
      <c r="D2645" t="e">
        <f t="shared" si="41"/>
        <v>#N/A</v>
      </c>
      <c r="E2645" t="s">
        <v>1623</v>
      </c>
    </row>
    <row r="2646" spans="1:5" hidden="1" x14ac:dyDescent="0.25">
      <c r="A2646">
        <v>1651</v>
      </c>
      <c r="B2646" t="e">
        <v>#N/A</v>
      </c>
      <c r="C2646" t="s">
        <v>355</v>
      </c>
      <c r="D2646" t="e">
        <f t="shared" si="41"/>
        <v>#N/A</v>
      </c>
      <c r="E2646" t="s">
        <v>1623</v>
      </c>
    </row>
    <row r="2647" spans="1:5" hidden="1" x14ac:dyDescent="0.25">
      <c r="A2647">
        <v>1651</v>
      </c>
      <c r="B2647" t="e">
        <v>#N/A</v>
      </c>
      <c r="C2647" t="s">
        <v>1636</v>
      </c>
      <c r="D2647" t="e">
        <f t="shared" si="41"/>
        <v>#N/A</v>
      </c>
      <c r="E2647" t="s">
        <v>1637</v>
      </c>
    </row>
    <row r="2648" spans="1:5" hidden="1" x14ac:dyDescent="0.25">
      <c r="A2648">
        <v>1651</v>
      </c>
      <c r="B2648" t="e">
        <v>#N/A</v>
      </c>
      <c r="C2648" t="s">
        <v>1638</v>
      </c>
      <c r="D2648" t="e">
        <f t="shared" si="41"/>
        <v>#N/A</v>
      </c>
      <c r="E2648" t="s">
        <v>1637</v>
      </c>
    </row>
    <row r="2649" spans="1:5" hidden="1" x14ac:dyDescent="0.25">
      <c r="A2649">
        <v>1651</v>
      </c>
      <c r="B2649" t="e">
        <v>#N/A</v>
      </c>
      <c r="C2649" t="s">
        <v>1639</v>
      </c>
      <c r="D2649" t="e">
        <f t="shared" si="41"/>
        <v>#N/A</v>
      </c>
      <c r="E2649" t="s">
        <v>1615</v>
      </c>
    </row>
    <row r="2650" spans="1:5" hidden="1" x14ac:dyDescent="0.25">
      <c r="A2650">
        <v>1651</v>
      </c>
      <c r="B2650" t="e">
        <v>#N/A</v>
      </c>
      <c r="C2650" t="s">
        <v>1640</v>
      </c>
      <c r="D2650" t="e">
        <f t="shared" si="41"/>
        <v>#N/A</v>
      </c>
      <c r="E2650" t="s">
        <v>1615</v>
      </c>
    </row>
    <row r="2651" spans="1:5" hidden="1" x14ac:dyDescent="0.25">
      <c r="A2651">
        <v>1651</v>
      </c>
      <c r="B2651" t="e">
        <v>#N/A</v>
      </c>
      <c r="C2651" t="s">
        <v>1641</v>
      </c>
      <c r="D2651" t="e">
        <f t="shared" si="41"/>
        <v>#N/A</v>
      </c>
      <c r="E2651" t="s">
        <v>2102</v>
      </c>
    </row>
    <row r="2652" spans="1:5" hidden="1" x14ac:dyDescent="0.25">
      <c r="A2652">
        <v>1651</v>
      </c>
      <c r="B2652" t="e">
        <v>#N/A</v>
      </c>
      <c r="C2652" t="s">
        <v>1642</v>
      </c>
      <c r="D2652" t="e">
        <f t="shared" si="41"/>
        <v>#N/A</v>
      </c>
      <c r="E2652" t="s">
        <v>2102</v>
      </c>
    </row>
    <row r="2653" spans="1:5" hidden="1" x14ac:dyDescent="0.25">
      <c r="A2653">
        <v>1651</v>
      </c>
      <c r="B2653" t="e">
        <v>#N/A</v>
      </c>
      <c r="C2653" t="s">
        <v>442</v>
      </c>
      <c r="D2653" t="e">
        <f t="shared" si="41"/>
        <v>#N/A</v>
      </c>
      <c r="E2653" t="s">
        <v>1646</v>
      </c>
    </row>
    <row r="2654" spans="1:5" hidden="1" x14ac:dyDescent="0.25">
      <c r="A2654">
        <v>1651</v>
      </c>
      <c r="B2654" t="e">
        <v>#N/A</v>
      </c>
      <c r="C2654" t="s">
        <v>1647</v>
      </c>
      <c r="D2654" t="e">
        <f t="shared" si="41"/>
        <v>#N/A</v>
      </c>
      <c r="E2654" t="s">
        <v>1648</v>
      </c>
    </row>
    <row r="2655" spans="1:5" hidden="1" x14ac:dyDescent="0.25">
      <c r="A2655">
        <v>1651</v>
      </c>
      <c r="B2655" t="e">
        <v>#N/A</v>
      </c>
      <c r="C2655" t="s">
        <v>1650</v>
      </c>
      <c r="D2655" t="e">
        <f t="shared" si="41"/>
        <v>#N/A</v>
      </c>
      <c r="E2655" t="s">
        <v>1623</v>
      </c>
    </row>
    <row r="2656" spans="1:5" hidden="1" x14ac:dyDescent="0.25">
      <c r="A2656">
        <v>1651</v>
      </c>
      <c r="B2656" t="e">
        <v>#N/A</v>
      </c>
      <c r="C2656" t="s">
        <v>1652</v>
      </c>
      <c r="D2656" t="e">
        <f t="shared" si="41"/>
        <v>#N/A</v>
      </c>
      <c r="E2656" t="s">
        <v>93</v>
      </c>
    </row>
    <row r="2657" spans="1:5" hidden="1" x14ac:dyDescent="0.25">
      <c r="A2657">
        <v>1651</v>
      </c>
      <c r="B2657" t="e">
        <v>#N/A</v>
      </c>
      <c r="C2657" t="s">
        <v>1653</v>
      </c>
      <c r="D2657" t="e">
        <f t="shared" si="41"/>
        <v>#N/A</v>
      </c>
      <c r="E2657" t="s">
        <v>1648</v>
      </c>
    </row>
    <row r="2658" spans="1:5" hidden="1" x14ac:dyDescent="0.25">
      <c r="A2658">
        <v>1651</v>
      </c>
      <c r="B2658" t="e">
        <v>#N/A</v>
      </c>
      <c r="C2658" t="s">
        <v>1654</v>
      </c>
      <c r="D2658" t="e">
        <f t="shared" si="41"/>
        <v>#N/A</v>
      </c>
      <c r="E2658" t="s">
        <v>1615</v>
      </c>
    </row>
    <row r="2659" spans="1:5" hidden="1" x14ac:dyDescent="0.25">
      <c r="A2659">
        <v>1651</v>
      </c>
      <c r="B2659" t="e">
        <v>#N/A</v>
      </c>
      <c r="C2659" t="s">
        <v>491</v>
      </c>
      <c r="D2659" t="e">
        <f t="shared" si="41"/>
        <v>#N/A</v>
      </c>
      <c r="E2659" t="s">
        <v>1645</v>
      </c>
    </row>
    <row r="2660" spans="1:5" hidden="1" x14ac:dyDescent="0.25">
      <c r="A2660">
        <v>1651</v>
      </c>
      <c r="B2660" t="e">
        <v>#N/A</v>
      </c>
      <c r="C2660" t="s">
        <v>1715</v>
      </c>
      <c r="D2660" t="e">
        <f t="shared" si="41"/>
        <v>#N/A</v>
      </c>
      <c r="E2660" t="s">
        <v>1645</v>
      </c>
    </row>
    <row r="2661" spans="1:5" hidden="1" x14ac:dyDescent="0.25">
      <c r="A2661">
        <v>1651</v>
      </c>
      <c r="B2661" t="e">
        <v>#N/A</v>
      </c>
      <c r="C2661" t="s">
        <v>1701</v>
      </c>
      <c r="D2661" t="e">
        <f t="shared" si="41"/>
        <v>#N/A</v>
      </c>
      <c r="E2661" t="s">
        <v>64</v>
      </c>
    </row>
    <row r="2662" spans="1:5" hidden="1" x14ac:dyDescent="0.25">
      <c r="A2662">
        <v>1651</v>
      </c>
      <c r="B2662" t="e">
        <v>#N/A</v>
      </c>
      <c r="C2662" t="s">
        <v>495</v>
      </c>
      <c r="D2662" t="e">
        <f t="shared" si="41"/>
        <v>#N/A</v>
      </c>
      <c r="E2662" t="s">
        <v>1645</v>
      </c>
    </row>
    <row r="2663" spans="1:5" hidden="1" x14ac:dyDescent="0.25">
      <c r="A2663">
        <v>1651</v>
      </c>
      <c r="B2663" t="e">
        <v>#N/A</v>
      </c>
      <c r="C2663" t="s">
        <v>497</v>
      </c>
      <c r="D2663" t="e">
        <f t="shared" si="41"/>
        <v>#N/A</v>
      </c>
      <c r="E2663" t="s">
        <v>1623</v>
      </c>
    </row>
    <row r="2664" spans="1:5" hidden="1" x14ac:dyDescent="0.25">
      <c r="A2664">
        <v>1651</v>
      </c>
      <c r="B2664" t="e">
        <v>#N/A</v>
      </c>
      <c r="C2664" t="s">
        <v>498</v>
      </c>
      <c r="D2664" t="e">
        <f t="shared" si="41"/>
        <v>#N/A</v>
      </c>
      <c r="E2664" t="s">
        <v>1623</v>
      </c>
    </row>
    <row r="2665" spans="1:5" hidden="1" x14ac:dyDescent="0.25">
      <c r="A2665">
        <v>1651</v>
      </c>
      <c r="B2665" t="e">
        <v>#N/A</v>
      </c>
      <c r="C2665" t="s">
        <v>1657</v>
      </c>
      <c r="D2665" t="e">
        <f t="shared" si="41"/>
        <v>#N/A</v>
      </c>
      <c r="E2665" t="s">
        <v>102</v>
      </c>
    </row>
    <row r="2666" spans="1:5" hidden="1" x14ac:dyDescent="0.25">
      <c r="A2666">
        <v>1651</v>
      </c>
      <c r="B2666" t="e">
        <v>#N/A</v>
      </c>
      <c r="C2666" t="s">
        <v>1661</v>
      </c>
      <c r="D2666" t="e">
        <f t="shared" si="41"/>
        <v>#N/A</v>
      </c>
      <c r="E2666" t="s">
        <v>1615</v>
      </c>
    </row>
    <row r="2667" spans="1:5" hidden="1" x14ac:dyDescent="0.25">
      <c r="A2667">
        <v>1651</v>
      </c>
      <c r="B2667" t="e">
        <v>#N/A</v>
      </c>
      <c r="C2667" t="s">
        <v>1663</v>
      </c>
      <c r="D2667" t="e">
        <f t="shared" si="41"/>
        <v>#N/A</v>
      </c>
      <c r="E2667" t="s">
        <v>1623</v>
      </c>
    </row>
    <row r="2668" spans="1:5" hidden="1" x14ac:dyDescent="0.25">
      <c r="A2668">
        <v>1651</v>
      </c>
      <c r="B2668" t="e">
        <v>#N/A</v>
      </c>
      <c r="C2668" t="s">
        <v>1665</v>
      </c>
      <c r="D2668" t="e">
        <f t="shared" si="41"/>
        <v>#N/A</v>
      </c>
      <c r="E2668" t="s">
        <v>93</v>
      </c>
    </row>
    <row r="2669" spans="1:5" hidden="1" x14ac:dyDescent="0.25">
      <c r="A2669">
        <v>1651</v>
      </c>
      <c r="B2669" t="e">
        <v>#N/A</v>
      </c>
      <c r="C2669" t="s">
        <v>1666</v>
      </c>
      <c r="D2669" t="e">
        <f t="shared" si="41"/>
        <v>#N/A</v>
      </c>
      <c r="E2669" t="s">
        <v>1648</v>
      </c>
    </row>
    <row r="2670" spans="1:5" hidden="1" x14ac:dyDescent="0.25">
      <c r="A2670">
        <v>1651</v>
      </c>
      <c r="B2670" t="e">
        <v>#N/A</v>
      </c>
      <c r="C2670" t="s">
        <v>1750</v>
      </c>
      <c r="D2670" t="e">
        <f t="shared" si="41"/>
        <v>#N/A</v>
      </c>
      <c r="E2670" t="s">
        <v>1751</v>
      </c>
    </row>
    <row r="2671" spans="1:5" hidden="1" x14ac:dyDescent="0.25">
      <c r="A2671">
        <v>1651</v>
      </c>
      <c r="B2671" t="e">
        <v>#N/A</v>
      </c>
      <c r="C2671" t="s">
        <v>1668</v>
      </c>
      <c r="D2671" t="e">
        <f t="shared" si="41"/>
        <v>#N/A</v>
      </c>
      <c r="E2671" t="s">
        <v>1669</v>
      </c>
    </row>
    <row r="2672" spans="1:5" hidden="1" x14ac:dyDescent="0.25">
      <c r="A2672">
        <v>1651</v>
      </c>
      <c r="B2672" t="e">
        <v>#N/A</v>
      </c>
      <c r="C2672" t="s">
        <v>327</v>
      </c>
      <c r="D2672" t="e">
        <f t="shared" si="41"/>
        <v>#N/A</v>
      </c>
      <c r="E2672" t="s">
        <v>1669</v>
      </c>
    </row>
    <row r="2673" spans="1:5" hidden="1" x14ac:dyDescent="0.25">
      <c r="A2673">
        <v>1651</v>
      </c>
      <c r="B2673" t="e">
        <v>#N/A</v>
      </c>
      <c r="C2673" t="s">
        <v>1676</v>
      </c>
      <c r="D2673" t="e">
        <f t="shared" si="41"/>
        <v>#N/A</v>
      </c>
      <c r="E2673" t="s">
        <v>1675</v>
      </c>
    </row>
    <row r="2674" spans="1:5" hidden="1" x14ac:dyDescent="0.25">
      <c r="A2674">
        <v>1651</v>
      </c>
      <c r="B2674" t="e">
        <v>#N/A</v>
      </c>
      <c r="C2674" t="s">
        <v>1677</v>
      </c>
      <c r="D2674" t="e">
        <f t="shared" si="41"/>
        <v>#N/A</v>
      </c>
      <c r="E2674" t="s">
        <v>1675</v>
      </c>
    </row>
    <row r="2675" spans="1:5" hidden="1" x14ac:dyDescent="0.25">
      <c r="A2675">
        <v>1651</v>
      </c>
      <c r="B2675" t="e">
        <v>#N/A</v>
      </c>
      <c r="C2675" t="s">
        <v>1679</v>
      </c>
      <c r="D2675" t="e">
        <f t="shared" si="41"/>
        <v>#N/A</v>
      </c>
      <c r="E2675" t="s">
        <v>1674</v>
      </c>
    </row>
    <row r="2676" spans="1:5" hidden="1" x14ac:dyDescent="0.25">
      <c r="A2676">
        <v>1651</v>
      </c>
      <c r="B2676" t="e">
        <v>#N/A</v>
      </c>
      <c r="C2676" t="s">
        <v>408</v>
      </c>
      <c r="D2676" t="e">
        <f t="shared" si="41"/>
        <v>#N/A</v>
      </c>
      <c r="E2676" t="s">
        <v>1680</v>
      </c>
    </row>
    <row r="2677" spans="1:5" hidden="1" x14ac:dyDescent="0.25">
      <c r="A2677">
        <v>1651</v>
      </c>
      <c r="B2677" t="e">
        <v>#N/A</v>
      </c>
      <c r="C2677" t="s">
        <v>1684</v>
      </c>
      <c r="D2677" t="e">
        <f t="shared" si="41"/>
        <v>#N/A</v>
      </c>
      <c r="E2677" t="s">
        <v>1685</v>
      </c>
    </row>
    <row r="2678" spans="1:5" hidden="1" x14ac:dyDescent="0.25">
      <c r="A2678">
        <v>1651</v>
      </c>
      <c r="B2678" t="e">
        <v>#N/A</v>
      </c>
      <c r="C2678" t="s">
        <v>330</v>
      </c>
      <c r="D2678" t="e">
        <f t="shared" si="41"/>
        <v>#N/A</v>
      </c>
      <c r="E2678" t="s">
        <v>1686</v>
      </c>
    </row>
    <row r="2679" spans="1:5" hidden="1" x14ac:dyDescent="0.25">
      <c r="A2679">
        <v>1651</v>
      </c>
      <c r="B2679" t="e">
        <v>#N/A</v>
      </c>
      <c r="C2679" t="s">
        <v>366</v>
      </c>
      <c r="D2679" t="e">
        <f t="shared" si="41"/>
        <v>#N/A</v>
      </c>
      <c r="E2679" t="s">
        <v>1623</v>
      </c>
    </row>
    <row r="2680" spans="1:5" hidden="1" x14ac:dyDescent="0.25">
      <c r="A2680">
        <v>1651</v>
      </c>
      <c r="B2680" t="e">
        <v>#N/A</v>
      </c>
      <c r="C2680" t="s">
        <v>1687</v>
      </c>
      <c r="D2680" t="e">
        <f t="shared" si="41"/>
        <v>#N/A</v>
      </c>
      <c r="E2680" t="s">
        <v>1623</v>
      </c>
    </row>
    <row r="2681" spans="1:5" hidden="1" x14ac:dyDescent="0.25">
      <c r="A2681">
        <v>1671</v>
      </c>
      <c r="B2681" t="e">
        <v>#N/A</v>
      </c>
      <c r="C2681" t="s">
        <v>1597</v>
      </c>
      <c r="D2681" t="e">
        <f t="shared" si="41"/>
        <v>#N/A</v>
      </c>
      <c r="E2681" t="s">
        <v>43</v>
      </c>
    </row>
    <row r="2682" spans="1:5" hidden="1" x14ac:dyDescent="0.25">
      <c r="A2682">
        <v>1671</v>
      </c>
      <c r="B2682" t="e">
        <v>#N/A</v>
      </c>
      <c r="C2682" t="s">
        <v>1760</v>
      </c>
      <c r="D2682" t="e">
        <f t="shared" si="41"/>
        <v>#N/A</v>
      </c>
      <c r="E2682" t="s">
        <v>2108</v>
      </c>
    </row>
    <row r="2683" spans="1:5" hidden="1" x14ac:dyDescent="0.25">
      <c r="A2683">
        <v>1671</v>
      </c>
      <c r="B2683" t="e">
        <v>#N/A</v>
      </c>
      <c r="C2683" t="s">
        <v>1599</v>
      </c>
      <c r="D2683" t="e">
        <f t="shared" si="41"/>
        <v>#N/A</v>
      </c>
      <c r="E2683" t="s">
        <v>1600</v>
      </c>
    </row>
    <row r="2684" spans="1:5" hidden="1" x14ac:dyDescent="0.25">
      <c r="A2684">
        <v>1671</v>
      </c>
      <c r="B2684" t="e">
        <v>#N/A</v>
      </c>
      <c r="C2684" t="s">
        <v>255</v>
      </c>
      <c r="D2684" t="e">
        <f t="shared" si="41"/>
        <v>#N/A</v>
      </c>
      <c r="E2684" t="s">
        <v>1600</v>
      </c>
    </row>
    <row r="2685" spans="1:5" hidden="1" x14ac:dyDescent="0.25">
      <c r="A2685">
        <v>1671</v>
      </c>
      <c r="B2685" t="e">
        <v>#N/A</v>
      </c>
      <c r="C2685" t="s">
        <v>1603</v>
      </c>
      <c r="D2685" t="e">
        <f t="shared" si="41"/>
        <v>#N/A</v>
      </c>
      <c r="E2685" t="s">
        <v>1600</v>
      </c>
    </row>
    <row r="2686" spans="1:5" hidden="1" x14ac:dyDescent="0.25">
      <c r="A2686">
        <v>1671</v>
      </c>
      <c r="B2686" t="e">
        <v>#N/A</v>
      </c>
      <c r="C2686" t="s">
        <v>1604</v>
      </c>
      <c r="D2686" t="e">
        <f t="shared" si="41"/>
        <v>#N/A</v>
      </c>
      <c r="E2686" t="s">
        <v>1600</v>
      </c>
    </row>
    <row r="2687" spans="1:5" hidden="1" x14ac:dyDescent="0.25">
      <c r="A2687">
        <v>1671</v>
      </c>
      <c r="B2687" t="e">
        <v>#N/A</v>
      </c>
      <c r="C2687" t="s">
        <v>1609</v>
      </c>
      <c r="D2687" t="e">
        <f t="shared" si="41"/>
        <v>#N/A</v>
      </c>
      <c r="E2687" t="s">
        <v>1600</v>
      </c>
    </row>
    <row r="2688" spans="1:5" hidden="1" x14ac:dyDescent="0.25">
      <c r="A2688">
        <v>1671</v>
      </c>
      <c r="B2688" t="e">
        <v>#N/A</v>
      </c>
      <c r="C2688" t="s">
        <v>1610</v>
      </c>
      <c r="D2688" t="e">
        <f t="shared" si="41"/>
        <v>#N/A</v>
      </c>
      <c r="E2688" t="s">
        <v>1611</v>
      </c>
    </row>
    <row r="2689" spans="1:5" hidden="1" x14ac:dyDescent="0.25">
      <c r="A2689">
        <v>1671</v>
      </c>
      <c r="B2689" t="e">
        <v>#N/A</v>
      </c>
      <c r="C2689" t="s">
        <v>1612</v>
      </c>
      <c r="D2689" t="e">
        <f t="shared" si="41"/>
        <v>#N/A</v>
      </c>
      <c r="E2689" t="s">
        <v>1600</v>
      </c>
    </row>
    <row r="2690" spans="1:5" hidden="1" x14ac:dyDescent="0.25">
      <c r="A2690">
        <v>1671</v>
      </c>
      <c r="B2690" t="e">
        <v>#N/A</v>
      </c>
      <c r="C2690" t="s">
        <v>1613</v>
      </c>
      <c r="D2690" t="e">
        <f t="shared" si="41"/>
        <v>#N/A</v>
      </c>
      <c r="E2690" t="s">
        <v>1600</v>
      </c>
    </row>
    <row r="2691" spans="1:5" hidden="1" x14ac:dyDescent="0.25">
      <c r="A2691">
        <v>1671</v>
      </c>
      <c r="B2691" t="e">
        <v>#N/A</v>
      </c>
      <c r="C2691" t="s">
        <v>430</v>
      </c>
      <c r="D2691" t="e">
        <f t="shared" si="41"/>
        <v>#N/A</v>
      </c>
      <c r="E2691" t="s">
        <v>1600</v>
      </c>
    </row>
    <row r="2692" spans="1:5" hidden="1" x14ac:dyDescent="0.25">
      <c r="A2692">
        <v>1671</v>
      </c>
      <c r="B2692" t="e">
        <v>#N/A</v>
      </c>
      <c r="C2692" t="s">
        <v>440</v>
      </c>
      <c r="D2692" t="e">
        <f t="shared" si="41"/>
        <v>#N/A</v>
      </c>
      <c r="E2692" t="s">
        <v>1600</v>
      </c>
    </row>
    <row r="2693" spans="1:5" hidden="1" x14ac:dyDescent="0.25">
      <c r="A2693">
        <v>1671</v>
      </c>
      <c r="B2693" t="e">
        <v>#N/A</v>
      </c>
      <c r="C2693" t="s">
        <v>1617</v>
      </c>
      <c r="D2693" t="e">
        <f t="shared" ref="D2693:D2756" si="42">CONCATENATE(B2693,LEFT(C2693,4))</f>
        <v>#N/A</v>
      </c>
      <c r="E2693" t="s">
        <v>1615</v>
      </c>
    </row>
    <row r="2694" spans="1:5" hidden="1" x14ac:dyDescent="0.25">
      <c r="A2694">
        <v>1671</v>
      </c>
      <c r="B2694" t="e">
        <v>#N/A</v>
      </c>
      <c r="C2694" t="s">
        <v>1618</v>
      </c>
      <c r="D2694" t="e">
        <f t="shared" si="42"/>
        <v>#N/A</v>
      </c>
      <c r="E2694" t="s">
        <v>1600</v>
      </c>
    </row>
    <row r="2695" spans="1:5" hidden="1" x14ac:dyDescent="0.25">
      <c r="A2695">
        <v>1671</v>
      </c>
      <c r="B2695" t="e">
        <v>#N/A</v>
      </c>
      <c r="C2695" t="s">
        <v>466</v>
      </c>
      <c r="D2695" t="e">
        <f t="shared" si="42"/>
        <v>#N/A</v>
      </c>
      <c r="E2695" t="s">
        <v>1600</v>
      </c>
    </row>
    <row r="2696" spans="1:5" hidden="1" x14ac:dyDescent="0.25">
      <c r="A2696">
        <v>1671</v>
      </c>
      <c r="B2696" t="e">
        <v>#N/A</v>
      </c>
      <c r="C2696" t="s">
        <v>1622</v>
      </c>
      <c r="D2696" t="e">
        <f t="shared" si="42"/>
        <v>#N/A</v>
      </c>
      <c r="E2696" t="s">
        <v>1623</v>
      </c>
    </row>
    <row r="2697" spans="1:5" hidden="1" x14ac:dyDescent="0.25">
      <c r="A2697">
        <v>1671</v>
      </c>
      <c r="B2697" t="e">
        <v>#N/A</v>
      </c>
      <c r="C2697" t="s">
        <v>53</v>
      </c>
      <c r="D2697" t="e">
        <f t="shared" si="42"/>
        <v>#N/A</v>
      </c>
      <c r="E2697" t="s">
        <v>43</v>
      </c>
    </row>
    <row r="2698" spans="1:5" hidden="1" x14ac:dyDescent="0.25">
      <c r="A2698">
        <v>1671</v>
      </c>
      <c r="B2698" t="e">
        <v>#N/A</v>
      </c>
      <c r="C2698" t="s">
        <v>1626</v>
      </c>
      <c r="D2698" t="e">
        <f t="shared" si="42"/>
        <v>#N/A</v>
      </c>
      <c r="E2698" t="s">
        <v>43</v>
      </c>
    </row>
    <row r="2699" spans="1:5" hidden="1" x14ac:dyDescent="0.25">
      <c r="A2699">
        <v>1671</v>
      </c>
      <c r="B2699" t="e">
        <v>#N/A</v>
      </c>
      <c r="C2699" t="s">
        <v>1627</v>
      </c>
      <c r="D2699" t="e">
        <f t="shared" si="42"/>
        <v>#N/A</v>
      </c>
      <c r="E2699" t="s">
        <v>43</v>
      </c>
    </row>
    <row r="2700" spans="1:5" hidden="1" x14ac:dyDescent="0.25">
      <c r="A2700">
        <v>1671</v>
      </c>
      <c r="B2700" t="e">
        <v>#N/A</v>
      </c>
      <c r="C2700" t="s">
        <v>296</v>
      </c>
      <c r="D2700" t="e">
        <f t="shared" si="42"/>
        <v>#N/A</v>
      </c>
      <c r="E2700" t="s">
        <v>43</v>
      </c>
    </row>
    <row r="2701" spans="1:5" hidden="1" x14ac:dyDescent="0.25">
      <c r="A2701">
        <v>1671</v>
      </c>
      <c r="B2701" t="e">
        <v>#N/A</v>
      </c>
      <c r="C2701" t="s">
        <v>1628</v>
      </c>
      <c r="D2701" t="e">
        <f t="shared" si="42"/>
        <v>#N/A</v>
      </c>
      <c r="E2701" t="s">
        <v>1623</v>
      </c>
    </row>
    <row r="2702" spans="1:5" hidden="1" x14ac:dyDescent="0.25">
      <c r="A2702">
        <v>1671</v>
      </c>
      <c r="B2702" t="e">
        <v>#N/A</v>
      </c>
      <c r="C2702" t="s">
        <v>470</v>
      </c>
      <c r="D2702" t="e">
        <f t="shared" si="42"/>
        <v>#N/A</v>
      </c>
      <c r="E2702" t="s">
        <v>1623</v>
      </c>
    </row>
    <row r="2703" spans="1:5" hidden="1" x14ac:dyDescent="0.25">
      <c r="A2703">
        <v>1671</v>
      </c>
      <c r="B2703" t="e">
        <v>#N/A</v>
      </c>
      <c r="C2703" t="s">
        <v>1631</v>
      </c>
      <c r="D2703" t="e">
        <f t="shared" si="42"/>
        <v>#N/A</v>
      </c>
      <c r="E2703" t="s">
        <v>116</v>
      </c>
    </row>
    <row r="2704" spans="1:5" hidden="1" x14ac:dyDescent="0.25">
      <c r="A2704">
        <v>1671</v>
      </c>
      <c r="B2704" t="e">
        <v>#N/A</v>
      </c>
      <c r="C2704" t="s">
        <v>1632</v>
      </c>
      <c r="D2704" t="e">
        <f t="shared" si="42"/>
        <v>#N/A</v>
      </c>
      <c r="E2704" t="s">
        <v>116</v>
      </c>
    </row>
    <row r="2705" spans="1:5" hidden="1" x14ac:dyDescent="0.25">
      <c r="A2705">
        <v>1671</v>
      </c>
      <c r="B2705" t="e">
        <v>#N/A</v>
      </c>
      <c r="C2705" t="s">
        <v>1634</v>
      </c>
      <c r="D2705" t="e">
        <f t="shared" si="42"/>
        <v>#N/A</v>
      </c>
      <c r="E2705" t="s">
        <v>1623</v>
      </c>
    </row>
    <row r="2706" spans="1:5" hidden="1" x14ac:dyDescent="0.25">
      <c r="A2706">
        <v>1671</v>
      </c>
      <c r="B2706" t="e">
        <v>#N/A</v>
      </c>
      <c r="C2706" t="s">
        <v>345</v>
      </c>
      <c r="D2706" t="e">
        <f t="shared" si="42"/>
        <v>#N/A</v>
      </c>
      <c r="E2706" t="s">
        <v>1623</v>
      </c>
    </row>
    <row r="2707" spans="1:5" hidden="1" x14ac:dyDescent="0.25">
      <c r="A2707">
        <v>1671</v>
      </c>
      <c r="B2707" t="e">
        <v>#N/A</v>
      </c>
      <c r="C2707" t="s">
        <v>1636</v>
      </c>
      <c r="D2707" t="e">
        <f t="shared" si="42"/>
        <v>#N/A</v>
      </c>
      <c r="E2707" t="s">
        <v>1637</v>
      </c>
    </row>
    <row r="2708" spans="1:5" hidden="1" x14ac:dyDescent="0.25">
      <c r="A2708">
        <v>1671</v>
      </c>
      <c r="B2708" t="e">
        <v>#N/A</v>
      </c>
      <c r="C2708" t="s">
        <v>1638</v>
      </c>
      <c r="D2708" t="e">
        <f t="shared" si="42"/>
        <v>#N/A</v>
      </c>
      <c r="E2708" t="s">
        <v>1637</v>
      </c>
    </row>
    <row r="2709" spans="1:5" hidden="1" x14ac:dyDescent="0.25">
      <c r="A2709">
        <v>1671</v>
      </c>
      <c r="B2709" t="e">
        <v>#N/A</v>
      </c>
      <c r="C2709" t="s">
        <v>1639</v>
      </c>
      <c r="D2709" t="e">
        <f t="shared" si="42"/>
        <v>#N/A</v>
      </c>
      <c r="E2709" t="s">
        <v>1615</v>
      </c>
    </row>
    <row r="2710" spans="1:5" hidden="1" x14ac:dyDescent="0.25">
      <c r="A2710">
        <v>1671</v>
      </c>
      <c r="B2710" t="e">
        <v>#N/A</v>
      </c>
      <c r="C2710" t="s">
        <v>1642</v>
      </c>
      <c r="D2710" t="e">
        <f t="shared" si="42"/>
        <v>#N/A</v>
      </c>
      <c r="E2710" t="s">
        <v>2102</v>
      </c>
    </row>
    <row r="2711" spans="1:5" hidden="1" x14ac:dyDescent="0.25">
      <c r="A2711">
        <v>1671</v>
      </c>
      <c r="B2711" t="e">
        <v>#N/A</v>
      </c>
      <c r="C2711" t="s">
        <v>442</v>
      </c>
      <c r="D2711" t="e">
        <f t="shared" si="42"/>
        <v>#N/A</v>
      </c>
      <c r="E2711" t="s">
        <v>1646</v>
      </c>
    </row>
    <row r="2712" spans="1:5" hidden="1" x14ac:dyDescent="0.25">
      <c r="A2712">
        <v>1671</v>
      </c>
      <c r="B2712" t="e">
        <v>#N/A</v>
      </c>
      <c r="C2712" t="s">
        <v>1647</v>
      </c>
      <c r="D2712" t="e">
        <f t="shared" si="42"/>
        <v>#N/A</v>
      </c>
      <c r="E2712" t="s">
        <v>1648</v>
      </c>
    </row>
    <row r="2713" spans="1:5" hidden="1" x14ac:dyDescent="0.25">
      <c r="A2713">
        <v>1671</v>
      </c>
      <c r="B2713" t="e">
        <v>#N/A</v>
      </c>
      <c r="C2713" t="s">
        <v>1652</v>
      </c>
      <c r="D2713" t="e">
        <f t="shared" si="42"/>
        <v>#N/A</v>
      </c>
      <c r="E2713" t="s">
        <v>93</v>
      </c>
    </row>
    <row r="2714" spans="1:5" hidden="1" x14ac:dyDescent="0.25">
      <c r="A2714">
        <v>1671</v>
      </c>
      <c r="B2714" t="e">
        <v>#N/A</v>
      </c>
      <c r="C2714" t="s">
        <v>1695</v>
      </c>
      <c r="D2714" t="e">
        <f t="shared" si="42"/>
        <v>#N/A</v>
      </c>
      <c r="E2714" t="s">
        <v>1692</v>
      </c>
    </row>
    <row r="2715" spans="1:5" hidden="1" x14ac:dyDescent="0.25">
      <c r="A2715">
        <v>1671</v>
      </c>
      <c r="B2715" t="e">
        <v>#N/A</v>
      </c>
      <c r="C2715" t="s">
        <v>1653</v>
      </c>
      <c r="D2715" t="e">
        <f t="shared" si="42"/>
        <v>#N/A</v>
      </c>
      <c r="E2715" t="s">
        <v>1648</v>
      </c>
    </row>
    <row r="2716" spans="1:5" hidden="1" x14ac:dyDescent="0.25">
      <c r="A2716">
        <v>1671</v>
      </c>
      <c r="B2716" t="e">
        <v>#N/A</v>
      </c>
      <c r="C2716" t="s">
        <v>1654</v>
      </c>
      <c r="D2716" t="e">
        <f t="shared" si="42"/>
        <v>#N/A</v>
      </c>
      <c r="E2716" t="s">
        <v>1615</v>
      </c>
    </row>
    <row r="2717" spans="1:5" hidden="1" x14ac:dyDescent="0.25">
      <c r="A2717">
        <v>1671</v>
      </c>
      <c r="B2717" t="e">
        <v>#N/A</v>
      </c>
      <c r="C2717" t="s">
        <v>487</v>
      </c>
      <c r="D2717" t="e">
        <f t="shared" si="42"/>
        <v>#N/A</v>
      </c>
      <c r="E2717" t="s">
        <v>1744</v>
      </c>
    </row>
    <row r="2718" spans="1:5" hidden="1" x14ac:dyDescent="0.25">
      <c r="A2718">
        <v>1671</v>
      </c>
      <c r="B2718" t="e">
        <v>#N/A</v>
      </c>
      <c r="C2718" t="s">
        <v>1701</v>
      </c>
      <c r="D2718" t="e">
        <f t="shared" si="42"/>
        <v>#N/A</v>
      </c>
      <c r="E2718" t="s">
        <v>64</v>
      </c>
    </row>
    <row r="2719" spans="1:5" hidden="1" x14ac:dyDescent="0.25">
      <c r="A2719">
        <v>1671</v>
      </c>
      <c r="B2719" t="e">
        <v>#N/A</v>
      </c>
      <c r="C2719" t="s">
        <v>497</v>
      </c>
      <c r="D2719" t="e">
        <f t="shared" si="42"/>
        <v>#N/A</v>
      </c>
      <c r="E2719" t="s">
        <v>1623</v>
      </c>
    </row>
    <row r="2720" spans="1:5" hidden="1" x14ac:dyDescent="0.25">
      <c r="A2720">
        <v>1671</v>
      </c>
      <c r="B2720" t="e">
        <v>#N/A</v>
      </c>
      <c r="C2720" t="s">
        <v>1656</v>
      </c>
      <c r="D2720" t="e">
        <f t="shared" si="42"/>
        <v>#N/A</v>
      </c>
      <c r="E2720" t="s">
        <v>1623</v>
      </c>
    </row>
    <row r="2721" spans="1:5" hidden="1" x14ac:dyDescent="0.25">
      <c r="A2721">
        <v>1671</v>
      </c>
      <c r="B2721" t="e">
        <v>#N/A</v>
      </c>
      <c r="C2721" t="s">
        <v>1696</v>
      </c>
      <c r="D2721" t="e">
        <f t="shared" si="42"/>
        <v>#N/A</v>
      </c>
      <c r="E2721" t="s">
        <v>2103</v>
      </c>
    </row>
    <row r="2722" spans="1:5" hidden="1" x14ac:dyDescent="0.25">
      <c r="A2722">
        <v>1671</v>
      </c>
      <c r="B2722" t="e">
        <v>#N/A</v>
      </c>
      <c r="C2722" t="s">
        <v>1761</v>
      </c>
      <c r="D2722" t="e">
        <f t="shared" si="42"/>
        <v>#N/A</v>
      </c>
      <c r="E2722" t="s">
        <v>1623</v>
      </c>
    </row>
    <row r="2723" spans="1:5" hidden="1" x14ac:dyDescent="0.25">
      <c r="A2723">
        <v>1671</v>
      </c>
      <c r="B2723" t="e">
        <v>#N/A</v>
      </c>
      <c r="C2723" t="s">
        <v>1661</v>
      </c>
      <c r="D2723" t="e">
        <f t="shared" si="42"/>
        <v>#N/A</v>
      </c>
      <c r="E2723" t="s">
        <v>1615</v>
      </c>
    </row>
    <row r="2724" spans="1:5" hidden="1" x14ac:dyDescent="0.25">
      <c r="A2724">
        <v>1671</v>
      </c>
      <c r="B2724" t="e">
        <v>#N/A</v>
      </c>
      <c r="C2724" t="s">
        <v>1663</v>
      </c>
      <c r="D2724" t="e">
        <f t="shared" si="42"/>
        <v>#N/A</v>
      </c>
      <c r="E2724" t="s">
        <v>1623</v>
      </c>
    </row>
    <row r="2725" spans="1:5" hidden="1" x14ac:dyDescent="0.25">
      <c r="A2725">
        <v>1671</v>
      </c>
      <c r="B2725" t="e">
        <v>#N/A</v>
      </c>
      <c r="C2725" t="s">
        <v>1664</v>
      </c>
      <c r="D2725" t="e">
        <f t="shared" si="42"/>
        <v>#N/A</v>
      </c>
      <c r="E2725" t="s">
        <v>1648</v>
      </c>
    </row>
    <row r="2726" spans="1:5" hidden="1" x14ac:dyDescent="0.25">
      <c r="A2726">
        <v>1671</v>
      </c>
      <c r="B2726" t="e">
        <v>#N/A</v>
      </c>
      <c r="C2726" t="s">
        <v>1665</v>
      </c>
      <c r="D2726" t="e">
        <f t="shared" si="42"/>
        <v>#N/A</v>
      </c>
      <c r="E2726" t="s">
        <v>93</v>
      </c>
    </row>
    <row r="2727" spans="1:5" hidden="1" x14ac:dyDescent="0.25">
      <c r="A2727">
        <v>1671</v>
      </c>
      <c r="B2727" t="e">
        <v>#N/A</v>
      </c>
      <c r="C2727" t="s">
        <v>1666</v>
      </c>
      <c r="D2727" t="e">
        <f t="shared" si="42"/>
        <v>#N/A</v>
      </c>
      <c r="E2727" t="s">
        <v>1648</v>
      </c>
    </row>
    <row r="2728" spans="1:5" hidden="1" x14ac:dyDescent="0.25">
      <c r="A2728">
        <v>1671</v>
      </c>
      <c r="B2728" t="e">
        <v>#N/A</v>
      </c>
      <c r="C2728" t="s">
        <v>1719</v>
      </c>
      <c r="D2728" t="e">
        <f t="shared" si="42"/>
        <v>#N/A</v>
      </c>
      <c r="E2728" t="s">
        <v>1623</v>
      </c>
    </row>
    <row r="2729" spans="1:5" hidden="1" x14ac:dyDescent="0.25">
      <c r="A2729">
        <v>1671</v>
      </c>
      <c r="B2729" t="e">
        <v>#N/A</v>
      </c>
      <c r="C2729" t="s">
        <v>1749</v>
      </c>
      <c r="D2729" t="e">
        <f t="shared" si="42"/>
        <v>#N/A</v>
      </c>
      <c r="E2729" t="s">
        <v>1728</v>
      </c>
    </row>
    <row r="2730" spans="1:5" hidden="1" x14ac:dyDescent="0.25">
      <c r="A2730">
        <v>1671</v>
      </c>
      <c r="B2730" t="e">
        <v>#N/A</v>
      </c>
      <c r="C2730" t="s">
        <v>1750</v>
      </c>
      <c r="D2730" t="e">
        <f t="shared" si="42"/>
        <v>#N/A</v>
      </c>
      <c r="E2730" t="s">
        <v>1751</v>
      </c>
    </row>
    <row r="2731" spans="1:5" hidden="1" x14ac:dyDescent="0.25">
      <c r="A2731">
        <v>1671</v>
      </c>
      <c r="B2731" t="e">
        <v>#N/A</v>
      </c>
      <c r="C2731" t="s">
        <v>1668</v>
      </c>
      <c r="D2731" t="e">
        <f t="shared" si="42"/>
        <v>#N/A</v>
      </c>
      <c r="E2731" t="s">
        <v>1669</v>
      </c>
    </row>
    <row r="2732" spans="1:5" hidden="1" x14ac:dyDescent="0.25">
      <c r="A2732">
        <v>1671</v>
      </c>
      <c r="B2732" t="e">
        <v>#N/A</v>
      </c>
      <c r="C2732" t="s">
        <v>264</v>
      </c>
      <c r="D2732" t="e">
        <f t="shared" si="42"/>
        <v>#N/A</v>
      </c>
      <c r="E2732" t="s">
        <v>1669</v>
      </c>
    </row>
    <row r="2733" spans="1:5" hidden="1" x14ac:dyDescent="0.25">
      <c r="A2733">
        <v>1671</v>
      </c>
      <c r="B2733" t="e">
        <v>#N/A</v>
      </c>
      <c r="C2733" t="s">
        <v>363</v>
      </c>
      <c r="D2733" t="e">
        <f t="shared" si="42"/>
        <v>#N/A</v>
      </c>
      <c r="E2733" t="s">
        <v>1669</v>
      </c>
    </row>
    <row r="2734" spans="1:5" hidden="1" x14ac:dyDescent="0.25">
      <c r="A2734">
        <v>1671</v>
      </c>
      <c r="B2734" t="e">
        <v>#N/A</v>
      </c>
      <c r="C2734" t="s">
        <v>239</v>
      </c>
      <c r="D2734" t="e">
        <f t="shared" si="42"/>
        <v>#N/A</v>
      </c>
      <c r="E2734" t="s">
        <v>1623</v>
      </c>
    </row>
    <row r="2735" spans="1:5" hidden="1" x14ac:dyDescent="0.25">
      <c r="A2735">
        <v>1671</v>
      </c>
      <c r="B2735" t="e">
        <v>#N/A</v>
      </c>
      <c r="C2735" t="s">
        <v>384</v>
      </c>
      <c r="D2735" t="e">
        <f t="shared" si="42"/>
        <v>#N/A</v>
      </c>
      <c r="E2735" t="s">
        <v>1674</v>
      </c>
    </row>
    <row r="2736" spans="1:5" hidden="1" x14ac:dyDescent="0.25">
      <c r="A2736">
        <v>1671</v>
      </c>
      <c r="B2736" t="e">
        <v>#N/A</v>
      </c>
      <c r="C2736" t="s">
        <v>1684</v>
      </c>
      <c r="D2736" t="e">
        <f t="shared" si="42"/>
        <v>#N/A</v>
      </c>
      <c r="E2736" t="s">
        <v>1685</v>
      </c>
    </row>
    <row r="2737" spans="1:5" hidden="1" x14ac:dyDescent="0.25">
      <c r="A2737">
        <v>1671</v>
      </c>
      <c r="B2737" t="e">
        <v>#N/A</v>
      </c>
      <c r="C2737" t="s">
        <v>330</v>
      </c>
      <c r="D2737" t="e">
        <f t="shared" si="42"/>
        <v>#N/A</v>
      </c>
      <c r="E2737" t="s">
        <v>1686</v>
      </c>
    </row>
    <row r="2738" spans="1:5" hidden="1" x14ac:dyDescent="0.25">
      <c r="A2738">
        <v>1671</v>
      </c>
      <c r="B2738" t="e">
        <v>#N/A</v>
      </c>
      <c r="C2738" t="s">
        <v>1687</v>
      </c>
      <c r="D2738" t="e">
        <f t="shared" si="42"/>
        <v>#N/A</v>
      </c>
      <c r="E2738" t="s">
        <v>1623</v>
      </c>
    </row>
    <row r="2739" spans="1:5" hidden="1" x14ac:dyDescent="0.25">
      <c r="A2739">
        <v>1691</v>
      </c>
      <c r="B2739" t="e">
        <v>#N/A</v>
      </c>
      <c r="C2739" t="s">
        <v>331</v>
      </c>
      <c r="D2739" t="e">
        <f t="shared" si="42"/>
        <v>#N/A</v>
      </c>
      <c r="E2739" t="s">
        <v>1689</v>
      </c>
    </row>
    <row r="2740" spans="1:5" hidden="1" x14ac:dyDescent="0.25">
      <c r="A2740">
        <v>1691</v>
      </c>
      <c r="B2740" t="e">
        <v>#N/A</v>
      </c>
      <c r="C2740" t="s">
        <v>1597</v>
      </c>
      <c r="D2740" t="e">
        <f t="shared" si="42"/>
        <v>#N/A</v>
      </c>
      <c r="E2740" t="s">
        <v>43</v>
      </c>
    </row>
    <row r="2741" spans="1:5" hidden="1" x14ac:dyDescent="0.25">
      <c r="A2741">
        <v>1691</v>
      </c>
      <c r="B2741" t="e">
        <v>#N/A</v>
      </c>
      <c r="C2741" t="s">
        <v>1599</v>
      </c>
      <c r="D2741" t="e">
        <f t="shared" si="42"/>
        <v>#N/A</v>
      </c>
      <c r="E2741" t="s">
        <v>1600</v>
      </c>
    </row>
    <row r="2742" spans="1:5" hidden="1" x14ac:dyDescent="0.25">
      <c r="A2742">
        <v>1691</v>
      </c>
      <c r="B2742" t="e">
        <v>#N/A</v>
      </c>
      <c r="C2742" t="s">
        <v>255</v>
      </c>
      <c r="D2742" t="e">
        <f t="shared" si="42"/>
        <v>#N/A</v>
      </c>
      <c r="E2742" t="s">
        <v>1600</v>
      </c>
    </row>
    <row r="2743" spans="1:5" hidden="1" x14ac:dyDescent="0.25">
      <c r="A2743">
        <v>1691</v>
      </c>
      <c r="B2743" t="e">
        <v>#N/A</v>
      </c>
      <c r="C2743" t="s">
        <v>1601</v>
      </c>
      <c r="D2743" t="e">
        <f t="shared" si="42"/>
        <v>#N/A</v>
      </c>
      <c r="E2743" t="s">
        <v>1600</v>
      </c>
    </row>
    <row r="2744" spans="1:5" hidden="1" x14ac:dyDescent="0.25">
      <c r="A2744">
        <v>1691</v>
      </c>
      <c r="B2744" t="e">
        <v>#N/A</v>
      </c>
      <c r="C2744" t="s">
        <v>1603</v>
      </c>
      <c r="D2744" t="e">
        <f t="shared" si="42"/>
        <v>#N/A</v>
      </c>
      <c r="E2744" t="s">
        <v>1600</v>
      </c>
    </row>
    <row r="2745" spans="1:5" hidden="1" x14ac:dyDescent="0.25">
      <c r="A2745">
        <v>1691</v>
      </c>
      <c r="B2745" t="e">
        <v>#N/A</v>
      </c>
      <c r="C2745" t="s">
        <v>1604</v>
      </c>
      <c r="D2745" t="e">
        <f t="shared" si="42"/>
        <v>#N/A</v>
      </c>
      <c r="E2745" t="s">
        <v>1600</v>
      </c>
    </row>
    <row r="2746" spans="1:5" hidden="1" x14ac:dyDescent="0.25">
      <c r="A2746">
        <v>1691</v>
      </c>
      <c r="B2746" t="e">
        <v>#N/A</v>
      </c>
      <c r="C2746" t="s">
        <v>1605</v>
      </c>
      <c r="D2746" t="e">
        <f t="shared" si="42"/>
        <v>#N/A</v>
      </c>
      <c r="E2746" t="s">
        <v>1606</v>
      </c>
    </row>
    <row r="2747" spans="1:5" hidden="1" x14ac:dyDescent="0.25">
      <c r="A2747">
        <v>1691</v>
      </c>
      <c r="B2747" t="e">
        <v>#N/A</v>
      </c>
      <c r="C2747" t="s">
        <v>368</v>
      </c>
      <c r="D2747" t="e">
        <f t="shared" si="42"/>
        <v>#N/A</v>
      </c>
      <c r="E2747" t="s">
        <v>1600</v>
      </c>
    </row>
    <row r="2748" spans="1:5" hidden="1" x14ac:dyDescent="0.25">
      <c r="A2748">
        <v>1691</v>
      </c>
      <c r="B2748" t="e">
        <v>#N/A</v>
      </c>
      <c r="C2748" t="s">
        <v>137</v>
      </c>
      <c r="D2748" t="e">
        <f t="shared" si="42"/>
        <v>#N/A</v>
      </c>
      <c r="E2748" t="s">
        <v>1606</v>
      </c>
    </row>
    <row r="2749" spans="1:5" hidden="1" x14ac:dyDescent="0.25">
      <c r="A2749">
        <v>1691</v>
      </c>
      <c r="B2749" t="e">
        <v>#N/A</v>
      </c>
      <c r="C2749" t="s">
        <v>1607</v>
      </c>
      <c r="D2749" t="e">
        <f t="shared" si="42"/>
        <v>#N/A</v>
      </c>
      <c r="E2749" t="s">
        <v>1600</v>
      </c>
    </row>
    <row r="2750" spans="1:5" hidden="1" x14ac:dyDescent="0.25">
      <c r="A2750">
        <v>1691</v>
      </c>
      <c r="B2750" t="e">
        <v>#N/A</v>
      </c>
      <c r="C2750" t="s">
        <v>1608</v>
      </c>
      <c r="D2750" t="e">
        <f t="shared" si="42"/>
        <v>#N/A</v>
      </c>
      <c r="E2750" t="s">
        <v>1600</v>
      </c>
    </row>
    <row r="2751" spans="1:5" hidden="1" x14ac:dyDescent="0.25">
      <c r="A2751">
        <v>1691</v>
      </c>
      <c r="B2751" t="e">
        <v>#N/A</v>
      </c>
      <c r="C2751" t="s">
        <v>1609</v>
      </c>
      <c r="D2751" t="e">
        <f t="shared" si="42"/>
        <v>#N/A</v>
      </c>
      <c r="E2751" t="s">
        <v>1600</v>
      </c>
    </row>
    <row r="2752" spans="1:5" hidden="1" x14ac:dyDescent="0.25">
      <c r="A2752">
        <v>1691</v>
      </c>
      <c r="B2752" t="e">
        <v>#N/A</v>
      </c>
      <c r="C2752" t="s">
        <v>405</v>
      </c>
      <c r="D2752" t="e">
        <f t="shared" si="42"/>
        <v>#N/A</v>
      </c>
      <c r="E2752" t="s">
        <v>1600</v>
      </c>
    </row>
    <row r="2753" spans="1:5" hidden="1" x14ac:dyDescent="0.25">
      <c r="A2753">
        <v>1691</v>
      </c>
      <c r="B2753" t="e">
        <v>#N/A</v>
      </c>
      <c r="C2753" t="s">
        <v>1612</v>
      </c>
      <c r="D2753" t="e">
        <f t="shared" si="42"/>
        <v>#N/A</v>
      </c>
      <c r="E2753" t="s">
        <v>1600</v>
      </c>
    </row>
    <row r="2754" spans="1:5" hidden="1" x14ac:dyDescent="0.25">
      <c r="A2754">
        <v>1691</v>
      </c>
      <c r="B2754" t="e">
        <v>#N/A</v>
      </c>
      <c r="C2754" t="s">
        <v>1613</v>
      </c>
      <c r="D2754" t="e">
        <f t="shared" si="42"/>
        <v>#N/A</v>
      </c>
      <c r="E2754" t="s">
        <v>1600</v>
      </c>
    </row>
    <row r="2755" spans="1:5" hidden="1" x14ac:dyDescent="0.25">
      <c r="A2755">
        <v>1691</v>
      </c>
      <c r="B2755" t="e">
        <v>#N/A</v>
      </c>
      <c r="C2755" t="s">
        <v>430</v>
      </c>
      <c r="D2755" t="e">
        <f t="shared" si="42"/>
        <v>#N/A</v>
      </c>
      <c r="E2755" t="s">
        <v>1600</v>
      </c>
    </row>
    <row r="2756" spans="1:5" hidden="1" x14ac:dyDescent="0.25">
      <c r="A2756">
        <v>1691</v>
      </c>
      <c r="B2756" t="e">
        <v>#N/A</v>
      </c>
      <c r="C2756" t="s">
        <v>440</v>
      </c>
      <c r="D2756" t="e">
        <f t="shared" si="42"/>
        <v>#N/A</v>
      </c>
      <c r="E2756" t="s">
        <v>1600</v>
      </c>
    </row>
    <row r="2757" spans="1:5" hidden="1" x14ac:dyDescent="0.25">
      <c r="A2757">
        <v>1691</v>
      </c>
      <c r="B2757" t="e">
        <v>#N/A</v>
      </c>
      <c r="C2757" t="s">
        <v>1617</v>
      </c>
      <c r="D2757" t="e">
        <f t="shared" ref="D2757:D2820" si="43">CONCATENATE(B2757,LEFT(C2757,4))</f>
        <v>#N/A</v>
      </c>
      <c r="E2757" t="s">
        <v>1615</v>
      </c>
    </row>
    <row r="2758" spans="1:5" hidden="1" x14ac:dyDescent="0.25">
      <c r="A2758">
        <v>1691</v>
      </c>
      <c r="B2758" t="e">
        <v>#N/A</v>
      </c>
      <c r="C2758" t="s">
        <v>1618</v>
      </c>
      <c r="D2758" t="e">
        <f t="shared" si="43"/>
        <v>#N/A</v>
      </c>
      <c r="E2758" t="s">
        <v>1600</v>
      </c>
    </row>
    <row r="2759" spans="1:5" hidden="1" x14ac:dyDescent="0.25">
      <c r="A2759">
        <v>1691</v>
      </c>
      <c r="B2759" t="e">
        <v>#N/A</v>
      </c>
      <c r="C2759" t="s">
        <v>486</v>
      </c>
      <c r="D2759" t="e">
        <f t="shared" si="43"/>
        <v>#N/A</v>
      </c>
      <c r="E2759" t="s">
        <v>1600</v>
      </c>
    </row>
    <row r="2760" spans="1:5" hidden="1" x14ac:dyDescent="0.25">
      <c r="A2760">
        <v>1691</v>
      </c>
      <c r="B2760" t="e">
        <v>#N/A</v>
      </c>
      <c r="C2760" t="s">
        <v>490</v>
      </c>
      <c r="D2760" t="e">
        <f t="shared" si="43"/>
        <v>#N/A</v>
      </c>
      <c r="E2760" t="s">
        <v>1600</v>
      </c>
    </row>
    <row r="2761" spans="1:5" hidden="1" x14ac:dyDescent="0.25">
      <c r="A2761">
        <v>1691</v>
      </c>
      <c r="B2761" t="e">
        <v>#N/A</v>
      </c>
      <c r="C2761" t="s">
        <v>226</v>
      </c>
      <c r="D2761" t="e">
        <f t="shared" si="43"/>
        <v>#N/A</v>
      </c>
      <c r="E2761" t="s">
        <v>1623</v>
      </c>
    </row>
    <row r="2762" spans="1:5" hidden="1" x14ac:dyDescent="0.25">
      <c r="A2762">
        <v>1691</v>
      </c>
      <c r="B2762" t="e">
        <v>#N/A</v>
      </c>
      <c r="C2762" t="s">
        <v>53</v>
      </c>
      <c r="D2762" t="e">
        <f t="shared" si="43"/>
        <v>#N/A</v>
      </c>
      <c r="E2762" t="s">
        <v>43</v>
      </c>
    </row>
    <row r="2763" spans="1:5" hidden="1" x14ac:dyDescent="0.25">
      <c r="A2763">
        <v>1691</v>
      </c>
      <c r="B2763" t="e">
        <v>#N/A</v>
      </c>
      <c r="C2763" t="s">
        <v>1626</v>
      </c>
      <c r="D2763" t="e">
        <f t="shared" si="43"/>
        <v>#N/A</v>
      </c>
      <c r="E2763" t="s">
        <v>43</v>
      </c>
    </row>
    <row r="2764" spans="1:5" hidden="1" x14ac:dyDescent="0.25">
      <c r="A2764">
        <v>1691</v>
      </c>
      <c r="B2764" t="e">
        <v>#N/A</v>
      </c>
      <c r="C2764" t="s">
        <v>1627</v>
      </c>
      <c r="D2764" t="e">
        <f t="shared" si="43"/>
        <v>#N/A</v>
      </c>
      <c r="E2764" t="s">
        <v>43</v>
      </c>
    </row>
    <row r="2765" spans="1:5" hidden="1" x14ac:dyDescent="0.25">
      <c r="A2765">
        <v>1691</v>
      </c>
      <c r="B2765" t="e">
        <v>#N/A</v>
      </c>
      <c r="C2765" t="s">
        <v>308</v>
      </c>
      <c r="D2765" t="e">
        <f t="shared" si="43"/>
        <v>#N/A</v>
      </c>
      <c r="E2765" t="s">
        <v>43</v>
      </c>
    </row>
    <row r="2766" spans="1:5" hidden="1" x14ac:dyDescent="0.25">
      <c r="A2766">
        <v>1691</v>
      </c>
      <c r="B2766" t="e">
        <v>#N/A</v>
      </c>
      <c r="C2766" t="s">
        <v>1690</v>
      </c>
      <c r="D2766" t="e">
        <f t="shared" si="43"/>
        <v>#N/A</v>
      </c>
      <c r="E2766" t="s">
        <v>64</v>
      </c>
    </row>
    <row r="2767" spans="1:5" hidden="1" x14ac:dyDescent="0.25">
      <c r="A2767">
        <v>1691</v>
      </c>
      <c r="B2767" t="e">
        <v>#N/A</v>
      </c>
      <c r="C2767" t="s">
        <v>296</v>
      </c>
      <c r="D2767" t="e">
        <f t="shared" si="43"/>
        <v>#N/A</v>
      </c>
      <c r="E2767" t="s">
        <v>43</v>
      </c>
    </row>
    <row r="2768" spans="1:5" hidden="1" x14ac:dyDescent="0.25">
      <c r="A2768">
        <v>1691</v>
      </c>
      <c r="B2768" t="e">
        <v>#N/A</v>
      </c>
      <c r="C2768" t="s">
        <v>354</v>
      </c>
      <c r="D2768" t="e">
        <f t="shared" si="43"/>
        <v>#N/A</v>
      </c>
      <c r="E2768" t="s">
        <v>1623</v>
      </c>
    </row>
    <row r="2769" spans="1:5" hidden="1" x14ac:dyDescent="0.25">
      <c r="A2769">
        <v>1691</v>
      </c>
      <c r="B2769" t="e">
        <v>#N/A</v>
      </c>
      <c r="C2769" t="s">
        <v>1707</v>
      </c>
      <c r="D2769" t="e">
        <f t="shared" si="43"/>
        <v>#N/A</v>
      </c>
      <c r="E2769" t="s">
        <v>1692</v>
      </c>
    </row>
    <row r="2770" spans="1:5" hidden="1" x14ac:dyDescent="0.25">
      <c r="A2770">
        <v>1691</v>
      </c>
      <c r="B2770" t="e">
        <v>#N/A</v>
      </c>
      <c r="C2770" t="s">
        <v>1628</v>
      </c>
      <c r="D2770" t="e">
        <f t="shared" si="43"/>
        <v>#N/A</v>
      </c>
      <c r="E2770" t="s">
        <v>1623</v>
      </c>
    </row>
    <row r="2771" spans="1:5" hidden="1" x14ac:dyDescent="0.25">
      <c r="A2771">
        <v>1691</v>
      </c>
      <c r="B2771" t="e">
        <v>#N/A</v>
      </c>
      <c r="C2771" t="s">
        <v>1693</v>
      </c>
      <c r="D2771" t="e">
        <f t="shared" si="43"/>
        <v>#N/A</v>
      </c>
      <c r="E2771" t="s">
        <v>1630</v>
      </c>
    </row>
    <row r="2772" spans="1:5" hidden="1" x14ac:dyDescent="0.25">
      <c r="A2772">
        <v>1691</v>
      </c>
      <c r="B2772" t="e">
        <v>#N/A</v>
      </c>
      <c r="C2772" t="s">
        <v>1631</v>
      </c>
      <c r="D2772" t="e">
        <f t="shared" si="43"/>
        <v>#N/A</v>
      </c>
      <c r="E2772" t="s">
        <v>116</v>
      </c>
    </row>
    <row r="2773" spans="1:5" hidden="1" x14ac:dyDescent="0.25">
      <c r="A2773">
        <v>1691</v>
      </c>
      <c r="B2773" t="e">
        <v>#N/A</v>
      </c>
      <c r="C2773" t="s">
        <v>1632</v>
      </c>
      <c r="D2773" t="e">
        <f t="shared" si="43"/>
        <v>#N/A</v>
      </c>
      <c r="E2773" t="s">
        <v>116</v>
      </c>
    </row>
    <row r="2774" spans="1:5" hidden="1" x14ac:dyDescent="0.25">
      <c r="A2774">
        <v>1691</v>
      </c>
      <c r="B2774" t="e">
        <v>#N/A</v>
      </c>
      <c r="C2774" t="s">
        <v>232</v>
      </c>
      <c r="D2774" t="e">
        <f t="shared" si="43"/>
        <v>#N/A</v>
      </c>
      <c r="E2774" t="s">
        <v>1596</v>
      </c>
    </row>
    <row r="2775" spans="1:5" hidden="1" x14ac:dyDescent="0.25">
      <c r="A2775">
        <v>1691</v>
      </c>
      <c r="B2775" t="e">
        <v>#N/A</v>
      </c>
      <c r="C2775" t="s">
        <v>1634</v>
      </c>
      <c r="D2775" t="e">
        <f t="shared" si="43"/>
        <v>#N/A</v>
      </c>
      <c r="E2775" t="s">
        <v>1623</v>
      </c>
    </row>
    <row r="2776" spans="1:5" hidden="1" x14ac:dyDescent="0.25">
      <c r="A2776">
        <v>1691</v>
      </c>
      <c r="B2776" t="e">
        <v>#N/A</v>
      </c>
      <c r="C2776" t="s">
        <v>298</v>
      </c>
      <c r="D2776" t="e">
        <f t="shared" si="43"/>
        <v>#N/A</v>
      </c>
      <c r="E2776" t="s">
        <v>1623</v>
      </c>
    </row>
    <row r="2777" spans="1:5" hidden="1" x14ac:dyDescent="0.25">
      <c r="A2777">
        <v>1691</v>
      </c>
      <c r="B2777" t="e">
        <v>#N/A</v>
      </c>
      <c r="C2777" t="s">
        <v>345</v>
      </c>
      <c r="D2777" t="e">
        <f t="shared" si="43"/>
        <v>#N/A</v>
      </c>
      <c r="E2777" t="s">
        <v>1623</v>
      </c>
    </row>
    <row r="2778" spans="1:5" hidden="1" x14ac:dyDescent="0.25">
      <c r="A2778">
        <v>1691</v>
      </c>
      <c r="B2778" t="e">
        <v>#N/A</v>
      </c>
      <c r="C2778" t="s">
        <v>1636</v>
      </c>
      <c r="D2778" t="e">
        <f t="shared" si="43"/>
        <v>#N/A</v>
      </c>
      <c r="E2778" t="s">
        <v>1637</v>
      </c>
    </row>
    <row r="2779" spans="1:5" hidden="1" x14ac:dyDescent="0.25">
      <c r="A2779">
        <v>1691</v>
      </c>
      <c r="B2779" t="e">
        <v>#N/A</v>
      </c>
      <c r="C2779" t="s">
        <v>1638</v>
      </c>
      <c r="D2779" t="e">
        <f t="shared" si="43"/>
        <v>#N/A</v>
      </c>
      <c r="E2779" t="s">
        <v>1637</v>
      </c>
    </row>
    <row r="2780" spans="1:5" hidden="1" x14ac:dyDescent="0.25">
      <c r="A2780">
        <v>1691</v>
      </c>
      <c r="B2780" t="e">
        <v>#N/A</v>
      </c>
      <c r="C2780" t="s">
        <v>383</v>
      </c>
      <c r="D2780" t="e">
        <f t="shared" si="43"/>
        <v>#N/A</v>
      </c>
      <c r="E2780" t="s">
        <v>1637</v>
      </c>
    </row>
    <row r="2781" spans="1:5" hidden="1" x14ac:dyDescent="0.25">
      <c r="A2781">
        <v>1691</v>
      </c>
      <c r="B2781" t="e">
        <v>#N/A</v>
      </c>
      <c r="C2781" t="s">
        <v>1639</v>
      </c>
      <c r="D2781" t="e">
        <f t="shared" si="43"/>
        <v>#N/A</v>
      </c>
      <c r="E2781" t="s">
        <v>1615</v>
      </c>
    </row>
    <row r="2782" spans="1:5" hidden="1" x14ac:dyDescent="0.25">
      <c r="A2782">
        <v>1691</v>
      </c>
      <c r="B2782" t="e">
        <v>#N/A</v>
      </c>
      <c r="C2782" t="s">
        <v>1641</v>
      </c>
      <c r="D2782" t="e">
        <f t="shared" si="43"/>
        <v>#N/A</v>
      </c>
      <c r="E2782" t="s">
        <v>2102</v>
      </c>
    </row>
    <row r="2783" spans="1:5" hidden="1" x14ac:dyDescent="0.25">
      <c r="A2783">
        <v>1691</v>
      </c>
      <c r="B2783" t="e">
        <v>#N/A</v>
      </c>
      <c r="C2783" t="s">
        <v>1694</v>
      </c>
      <c r="D2783" t="e">
        <f t="shared" si="43"/>
        <v>#N/A</v>
      </c>
      <c r="E2783" t="s">
        <v>1692</v>
      </c>
    </row>
    <row r="2784" spans="1:5" hidden="1" x14ac:dyDescent="0.25">
      <c r="A2784">
        <v>1691</v>
      </c>
      <c r="B2784" t="e">
        <v>#N/A</v>
      </c>
      <c r="C2784" t="s">
        <v>1642</v>
      </c>
      <c r="D2784" t="e">
        <f t="shared" si="43"/>
        <v>#N/A</v>
      </c>
      <c r="E2784" t="s">
        <v>2102</v>
      </c>
    </row>
    <row r="2785" spans="1:5" hidden="1" x14ac:dyDescent="0.25">
      <c r="A2785">
        <v>1691</v>
      </c>
      <c r="B2785" t="e">
        <v>#N/A</v>
      </c>
      <c r="C2785" t="s">
        <v>437</v>
      </c>
      <c r="D2785" t="e">
        <f t="shared" si="43"/>
        <v>#N/A</v>
      </c>
      <c r="E2785" t="s">
        <v>1646</v>
      </c>
    </row>
    <row r="2786" spans="1:5" hidden="1" x14ac:dyDescent="0.25">
      <c r="A2786">
        <v>1691</v>
      </c>
      <c r="B2786" t="e">
        <v>#N/A</v>
      </c>
      <c r="C2786" t="s">
        <v>442</v>
      </c>
      <c r="D2786" t="e">
        <f t="shared" si="43"/>
        <v>#N/A</v>
      </c>
      <c r="E2786" t="s">
        <v>1646</v>
      </c>
    </row>
    <row r="2787" spans="1:5" hidden="1" x14ac:dyDescent="0.25">
      <c r="A2787">
        <v>1691</v>
      </c>
      <c r="B2787" t="e">
        <v>#N/A</v>
      </c>
      <c r="C2787" t="s">
        <v>1647</v>
      </c>
      <c r="D2787" t="e">
        <f t="shared" si="43"/>
        <v>#N/A</v>
      </c>
      <c r="E2787" t="s">
        <v>1648</v>
      </c>
    </row>
    <row r="2788" spans="1:5" hidden="1" x14ac:dyDescent="0.25">
      <c r="A2788">
        <v>1691</v>
      </c>
      <c r="B2788" t="e">
        <v>#N/A</v>
      </c>
      <c r="C2788" t="s">
        <v>457</v>
      </c>
      <c r="D2788" t="e">
        <f t="shared" si="43"/>
        <v>#N/A</v>
      </c>
      <c r="E2788" t="s">
        <v>1646</v>
      </c>
    </row>
    <row r="2789" spans="1:5" hidden="1" x14ac:dyDescent="0.25">
      <c r="A2789">
        <v>1691</v>
      </c>
      <c r="B2789" t="e">
        <v>#N/A</v>
      </c>
      <c r="C2789" t="s">
        <v>1650</v>
      </c>
      <c r="D2789" t="e">
        <f t="shared" si="43"/>
        <v>#N/A</v>
      </c>
      <c r="E2789" t="s">
        <v>1623</v>
      </c>
    </row>
    <row r="2790" spans="1:5" hidden="1" x14ac:dyDescent="0.25">
      <c r="A2790">
        <v>1691</v>
      </c>
      <c r="B2790" t="e">
        <v>#N/A</v>
      </c>
      <c r="C2790" t="s">
        <v>1652</v>
      </c>
      <c r="D2790" t="e">
        <f t="shared" si="43"/>
        <v>#N/A</v>
      </c>
      <c r="E2790" t="s">
        <v>93</v>
      </c>
    </row>
    <row r="2791" spans="1:5" hidden="1" x14ac:dyDescent="0.25">
      <c r="A2791">
        <v>1691</v>
      </c>
      <c r="B2791" t="e">
        <v>#N/A</v>
      </c>
      <c r="C2791" t="s">
        <v>1695</v>
      </c>
      <c r="D2791" t="e">
        <f t="shared" si="43"/>
        <v>#N/A</v>
      </c>
      <c r="E2791" t="s">
        <v>1692</v>
      </c>
    </row>
    <row r="2792" spans="1:5" hidden="1" x14ac:dyDescent="0.25">
      <c r="A2792">
        <v>1691</v>
      </c>
      <c r="B2792" t="e">
        <v>#N/A</v>
      </c>
      <c r="C2792" t="s">
        <v>1653</v>
      </c>
      <c r="D2792" t="e">
        <f t="shared" si="43"/>
        <v>#N/A</v>
      </c>
      <c r="E2792" t="s">
        <v>1648</v>
      </c>
    </row>
    <row r="2793" spans="1:5" hidden="1" x14ac:dyDescent="0.25">
      <c r="A2793">
        <v>1691</v>
      </c>
      <c r="B2793" t="e">
        <v>#N/A</v>
      </c>
      <c r="C2793" t="s">
        <v>1654</v>
      </c>
      <c r="D2793" t="e">
        <f t="shared" si="43"/>
        <v>#N/A</v>
      </c>
      <c r="E2793" t="s">
        <v>1615</v>
      </c>
    </row>
    <row r="2794" spans="1:5" hidden="1" x14ac:dyDescent="0.25">
      <c r="A2794">
        <v>1691</v>
      </c>
      <c r="B2794" t="e">
        <v>#N/A</v>
      </c>
      <c r="C2794" t="s">
        <v>487</v>
      </c>
      <c r="D2794" t="e">
        <f t="shared" si="43"/>
        <v>#N/A</v>
      </c>
      <c r="E2794" t="s">
        <v>1744</v>
      </c>
    </row>
    <row r="2795" spans="1:5" hidden="1" x14ac:dyDescent="0.25">
      <c r="A2795">
        <v>1691</v>
      </c>
      <c r="B2795" t="e">
        <v>#N/A</v>
      </c>
      <c r="C2795" t="s">
        <v>1701</v>
      </c>
      <c r="D2795" t="e">
        <f t="shared" si="43"/>
        <v>#N/A</v>
      </c>
      <c r="E2795" t="s">
        <v>64</v>
      </c>
    </row>
    <row r="2796" spans="1:5" hidden="1" x14ac:dyDescent="0.25">
      <c r="A2796">
        <v>1691</v>
      </c>
      <c r="B2796" t="e">
        <v>#N/A</v>
      </c>
      <c r="C2796" t="s">
        <v>495</v>
      </c>
      <c r="D2796" t="e">
        <f t="shared" si="43"/>
        <v>#N/A</v>
      </c>
      <c r="E2796" t="s">
        <v>1645</v>
      </c>
    </row>
    <row r="2797" spans="1:5" hidden="1" x14ac:dyDescent="0.25">
      <c r="A2797">
        <v>1691</v>
      </c>
      <c r="B2797" t="e">
        <v>#N/A</v>
      </c>
      <c r="C2797" t="s">
        <v>498</v>
      </c>
      <c r="D2797" t="e">
        <f t="shared" si="43"/>
        <v>#N/A</v>
      </c>
      <c r="E2797" t="s">
        <v>1623</v>
      </c>
    </row>
    <row r="2798" spans="1:5" hidden="1" x14ac:dyDescent="0.25">
      <c r="A2798">
        <v>1691</v>
      </c>
      <c r="B2798" t="e">
        <v>#N/A</v>
      </c>
      <c r="C2798" t="s">
        <v>1656</v>
      </c>
      <c r="D2798" t="e">
        <f t="shared" si="43"/>
        <v>#N/A</v>
      </c>
      <c r="E2798" t="s">
        <v>1623</v>
      </c>
    </row>
    <row r="2799" spans="1:5" hidden="1" x14ac:dyDescent="0.25">
      <c r="A2799">
        <v>1691</v>
      </c>
      <c r="B2799" t="e">
        <v>#N/A</v>
      </c>
      <c r="C2799" t="s">
        <v>1709</v>
      </c>
      <c r="D2799" t="e">
        <f t="shared" si="43"/>
        <v>#N/A</v>
      </c>
      <c r="E2799" t="s">
        <v>102</v>
      </c>
    </row>
    <row r="2800" spans="1:5" hidden="1" x14ac:dyDescent="0.25">
      <c r="A2800">
        <v>1691</v>
      </c>
      <c r="B2800" t="e">
        <v>#N/A</v>
      </c>
      <c r="C2800" t="s">
        <v>1657</v>
      </c>
      <c r="D2800" t="e">
        <f t="shared" si="43"/>
        <v>#N/A</v>
      </c>
      <c r="E2800" t="s">
        <v>102</v>
      </c>
    </row>
    <row r="2801" spans="1:5" hidden="1" x14ac:dyDescent="0.25">
      <c r="A2801">
        <v>1691</v>
      </c>
      <c r="B2801" t="e">
        <v>#N/A</v>
      </c>
      <c r="C2801" t="s">
        <v>1659</v>
      </c>
      <c r="D2801" t="e">
        <f t="shared" si="43"/>
        <v>#N/A</v>
      </c>
      <c r="E2801" t="s">
        <v>1637</v>
      </c>
    </row>
    <row r="2802" spans="1:5" hidden="1" x14ac:dyDescent="0.25">
      <c r="A2802">
        <v>1691</v>
      </c>
      <c r="B2802" t="e">
        <v>#N/A</v>
      </c>
      <c r="C2802" t="s">
        <v>1660</v>
      </c>
      <c r="D2802" t="e">
        <f t="shared" si="43"/>
        <v>#N/A</v>
      </c>
      <c r="E2802" t="s">
        <v>1648</v>
      </c>
    </row>
    <row r="2803" spans="1:5" hidden="1" x14ac:dyDescent="0.25">
      <c r="A2803">
        <v>1691</v>
      </c>
      <c r="B2803" t="e">
        <v>#N/A</v>
      </c>
      <c r="C2803" t="s">
        <v>1661</v>
      </c>
      <c r="D2803" t="e">
        <f t="shared" si="43"/>
        <v>#N/A</v>
      </c>
      <c r="E2803" t="s">
        <v>1615</v>
      </c>
    </row>
    <row r="2804" spans="1:5" hidden="1" x14ac:dyDescent="0.25">
      <c r="A2804">
        <v>1691</v>
      </c>
      <c r="B2804" t="e">
        <v>#N/A</v>
      </c>
      <c r="C2804" t="s">
        <v>1663</v>
      </c>
      <c r="D2804" t="e">
        <f t="shared" si="43"/>
        <v>#N/A</v>
      </c>
      <c r="E2804" t="s">
        <v>1623</v>
      </c>
    </row>
    <row r="2805" spans="1:5" hidden="1" x14ac:dyDescent="0.25">
      <c r="A2805">
        <v>1691</v>
      </c>
      <c r="B2805" t="e">
        <v>#N/A</v>
      </c>
      <c r="C2805" t="s">
        <v>1664</v>
      </c>
      <c r="D2805" t="e">
        <f t="shared" si="43"/>
        <v>#N/A</v>
      </c>
      <c r="E2805" t="s">
        <v>1648</v>
      </c>
    </row>
    <row r="2806" spans="1:5" hidden="1" x14ac:dyDescent="0.25">
      <c r="A2806">
        <v>1691</v>
      </c>
      <c r="B2806" t="e">
        <v>#N/A</v>
      </c>
      <c r="C2806" t="s">
        <v>1665</v>
      </c>
      <c r="D2806" t="e">
        <f t="shared" si="43"/>
        <v>#N/A</v>
      </c>
      <c r="E2806" t="s">
        <v>93</v>
      </c>
    </row>
    <row r="2807" spans="1:5" hidden="1" x14ac:dyDescent="0.25">
      <c r="A2807">
        <v>1691</v>
      </c>
      <c r="B2807" t="e">
        <v>#N/A</v>
      </c>
      <c r="C2807" t="s">
        <v>1666</v>
      </c>
      <c r="D2807" t="e">
        <f t="shared" si="43"/>
        <v>#N/A</v>
      </c>
      <c r="E2807" t="s">
        <v>1648</v>
      </c>
    </row>
    <row r="2808" spans="1:5" hidden="1" x14ac:dyDescent="0.25">
      <c r="A2808">
        <v>1691</v>
      </c>
      <c r="B2808" t="e">
        <v>#N/A</v>
      </c>
      <c r="C2808" t="s">
        <v>1667</v>
      </c>
      <c r="D2808" t="e">
        <f t="shared" si="43"/>
        <v>#N/A</v>
      </c>
      <c r="E2808" t="s">
        <v>1648</v>
      </c>
    </row>
    <row r="2809" spans="1:5" hidden="1" x14ac:dyDescent="0.25">
      <c r="A2809">
        <v>1691</v>
      </c>
      <c r="B2809" t="e">
        <v>#N/A</v>
      </c>
      <c r="C2809" t="s">
        <v>1719</v>
      </c>
      <c r="D2809" t="e">
        <f t="shared" si="43"/>
        <v>#N/A</v>
      </c>
      <c r="E2809" t="s">
        <v>1623</v>
      </c>
    </row>
    <row r="2810" spans="1:5" hidden="1" x14ac:dyDescent="0.25">
      <c r="A2810">
        <v>1691</v>
      </c>
      <c r="B2810" t="e">
        <v>#N/A</v>
      </c>
      <c r="C2810" t="s">
        <v>1750</v>
      </c>
      <c r="D2810" t="e">
        <f t="shared" si="43"/>
        <v>#N/A</v>
      </c>
      <c r="E2810" t="s">
        <v>1751</v>
      </c>
    </row>
    <row r="2811" spans="1:5" hidden="1" x14ac:dyDescent="0.25">
      <c r="A2811">
        <v>1691</v>
      </c>
      <c r="B2811" t="e">
        <v>#N/A</v>
      </c>
      <c r="C2811" t="s">
        <v>1668</v>
      </c>
      <c r="D2811" t="e">
        <f t="shared" si="43"/>
        <v>#N/A</v>
      </c>
      <c r="E2811" t="s">
        <v>1669</v>
      </c>
    </row>
    <row r="2812" spans="1:5" hidden="1" x14ac:dyDescent="0.25">
      <c r="A2812">
        <v>1691</v>
      </c>
      <c r="B2812" t="e">
        <v>#N/A</v>
      </c>
      <c r="C2812" t="s">
        <v>264</v>
      </c>
      <c r="D2812" t="e">
        <f t="shared" si="43"/>
        <v>#N/A</v>
      </c>
      <c r="E2812" t="s">
        <v>1669</v>
      </c>
    </row>
    <row r="2813" spans="1:5" hidden="1" x14ac:dyDescent="0.25">
      <c r="A2813">
        <v>1691</v>
      </c>
      <c r="B2813" t="e">
        <v>#N/A</v>
      </c>
      <c r="C2813" t="s">
        <v>1752</v>
      </c>
      <c r="D2813" t="e">
        <f t="shared" si="43"/>
        <v>#N/A</v>
      </c>
      <c r="E2813" t="s">
        <v>1596</v>
      </c>
    </row>
    <row r="2814" spans="1:5" hidden="1" x14ac:dyDescent="0.25">
      <c r="A2814">
        <v>1691</v>
      </c>
      <c r="B2814" t="e">
        <v>#N/A</v>
      </c>
      <c r="C2814" t="s">
        <v>287</v>
      </c>
      <c r="D2814" t="e">
        <f t="shared" si="43"/>
        <v>#N/A</v>
      </c>
      <c r="E2814" t="s">
        <v>1674</v>
      </c>
    </row>
    <row r="2815" spans="1:5" hidden="1" x14ac:dyDescent="0.25">
      <c r="A2815">
        <v>1691</v>
      </c>
      <c r="B2815" t="e">
        <v>#N/A</v>
      </c>
      <c r="C2815" t="s">
        <v>328</v>
      </c>
      <c r="D2815" t="e">
        <f t="shared" si="43"/>
        <v>#N/A</v>
      </c>
      <c r="E2815" t="s">
        <v>1675</v>
      </c>
    </row>
    <row r="2816" spans="1:5" hidden="1" x14ac:dyDescent="0.25">
      <c r="A2816">
        <v>1691</v>
      </c>
      <c r="B2816" t="e">
        <v>#N/A</v>
      </c>
      <c r="C2816" t="s">
        <v>1676</v>
      </c>
      <c r="D2816" t="e">
        <f t="shared" si="43"/>
        <v>#N/A</v>
      </c>
      <c r="E2816" t="s">
        <v>1675</v>
      </c>
    </row>
    <row r="2817" spans="1:5" hidden="1" x14ac:dyDescent="0.25">
      <c r="A2817">
        <v>1691</v>
      </c>
      <c r="B2817" t="e">
        <v>#N/A</v>
      </c>
      <c r="C2817" t="s">
        <v>1677</v>
      </c>
      <c r="D2817" t="e">
        <f t="shared" si="43"/>
        <v>#N/A</v>
      </c>
      <c r="E2817" t="s">
        <v>1675</v>
      </c>
    </row>
    <row r="2818" spans="1:5" hidden="1" x14ac:dyDescent="0.25">
      <c r="A2818">
        <v>1691</v>
      </c>
      <c r="B2818" t="e">
        <v>#N/A</v>
      </c>
      <c r="C2818" t="s">
        <v>358</v>
      </c>
      <c r="D2818" t="e">
        <f t="shared" si="43"/>
        <v>#N/A</v>
      </c>
      <c r="E2818" t="s">
        <v>1674</v>
      </c>
    </row>
    <row r="2819" spans="1:5" hidden="1" x14ac:dyDescent="0.25">
      <c r="A2819">
        <v>1691</v>
      </c>
      <c r="B2819" t="e">
        <v>#N/A</v>
      </c>
      <c r="C2819" t="s">
        <v>1679</v>
      </c>
      <c r="D2819" t="e">
        <f t="shared" si="43"/>
        <v>#N/A</v>
      </c>
      <c r="E2819" t="s">
        <v>1674</v>
      </c>
    </row>
    <row r="2820" spans="1:5" hidden="1" x14ac:dyDescent="0.25">
      <c r="A2820">
        <v>1691</v>
      </c>
      <c r="B2820" t="e">
        <v>#N/A</v>
      </c>
      <c r="C2820" t="s">
        <v>390</v>
      </c>
      <c r="D2820" t="e">
        <f t="shared" si="43"/>
        <v>#N/A</v>
      </c>
      <c r="E2820" t="s">
        <v>1674</v>
      </c>
    </row>
    <row r="2821" spans="1:5" hidden="1" x14ac:dyDescent="0.25">
      <c r="A2821">
        <v>1691</v>
      </c>
      <c r="B2821" t="e">
        <v>#N/A</v>
      </c>
      <c r="C2821" t="s">
        <v>408</v>
      </c>
      <c r="D2821" t="e">
        <f t="shared" ref="D2821:D2884" si="44">CONCATENATE(B2821,LEFT(C2821,4))</f>
        <v>#N/A</v>
      </c>
      <c r="E2821" t="s">
        <v>1680</v>
      </c>
    </row>
    <row r="2822" spans="1:5" hidden="1" x14ac:dyDescent="0.25">
      <c r="A2822">
        <v>1691</v>
      </c>
      <c r="B2822" t="e">
        <v>#N/A</v>
      </c>
      <c r="C2822" t="s">
        <v>1684</v>
      </c>
      <c r="D2822" t="e">
        <f t="shared" si="44"/>
        <v>#N/A</v>
      </c>
      <c r="E2822" t="s">
        <v>1685</v>
      </c>
    </row>
    <row r="2823" spans="1:5" hidden="1" x14ac:dyDescent="0.25">
      <c r="A2823">
        <v>1691</v>
      </c>
      <c r="B2823" t="e">
        <v>#N/A</v>
      </c>
      <c r="C2823" t="s">
        <v>330</v>
      </c>
      <c r="D2823" t="e">
        <f t="shared" si="44"/>
        <v>#N/A</v>
      </c>
      <c r="E2823" t="s">
        <v>1686</v>
      </c>
    </row>
    <row r="2824" spans="1:5" hidden="1" x14ac:dyDescent="0.25">
      <c r="A2824">
        <v>1691</v>
      </c>
      <c r="B2824" t="e">
        <v>#N/A</v>
      </c>
      <c r="C2824" t="s">
        <v>391</v>
      </c>
      <c r="D2824" t="e">
        <f t="shared" si="44"/>
        <v>#N/A</v>
      </c>
      <c r="E2824" t="s">
        <v>1623</v>
      </c>
    </row>
    <row r="2825" spans="1:5" hidden="1" x14ac:dyDescent="0.25">
      <c r="A2825">
        <v>1691</v>
      </c>
      <c r="B2825" t="e">
        <v>#N/A</v>
      </c>
      <c r="C2825" t="s">
        <v>1687</v>
      </c>
      <c r="D2825" t="e">
        <f t="shared" si="44"/>
        <v>#N/A</v>
      </c>
      <c r="E2825" t="s">
        <v>1623</v>
      </c>
    </row>
    <row r="2826" spans="1:5" hidden="1" x14ac:dyDescent="0.25">
      <c r="A2826">
        <v>1701</v>
      </c>
      <c r="B2826" t="e">
        <v>#N/A</v>
      </c>
      <c r="C2826" t="s">
        <v>1597</v>
      </c>
      <c r="D2826" t="e">
        <f t="shared" si="44"/>
        <v>#N/A</v>
      </c>
      <c r="E2826" t="s">
        <v>43</v>
      </c>
    </row>
    <row r="2827" spans="1:5" hidden="1" x14ac:dyDescent="0.25">
      <c r="A2827">
        <v>1701</v>
      </c>
      <c r="B2827" t="e">
        <v>#N/A</v>
      </c>
      <c r="C2827" t="s">
        <v>1602</v>
      </c>
      <c r="D2827" t="e">
        <f t="shared" si="44"/>
        <v>#N/A</v>
      </c>
      <c r="E2827" t="s">
        <v>1600</v>
      </c>
    </row>
    <row r="2828" spans="1:5" hidden="1" x14ac:dyDescent="0.25">
      <c r="A2828">
        <v>1701</v>
      </c>
      <c r="B2828" t="e">
        <v>#N/A</v>
      </c>
      <c r="C2828" t="s">
        <v>1609</v>
      </c>
      <c r="D2828" t="e">
        <f t="shared" si="44"/>
        <v>#N/A</v>
      </c>
      <c r="E2828" t="s">
        <v>1600</v>
      </c>
    </row>
    <row r="2829" spans="1:5" hidden="1" x14ac:dyDescent="0.25">
      <c r="A2829">
        <v>1701</v>
      </c>
      <c r="B2829" t="e">
        <v>#N/A</v>
      </c>
      <c r="C2829" t="s">
        <v>1617</v>
      </c>
      <c r="D2829" t="e">
        <f t="shared" si="44"/>
        <v>#N/A</v>
      </c>
      <c r="E2829" t="s">
        <v>1615</v>
      </c>
    </row>
    <row r="2830" spans="1:5" hidden="1" x14ac:dyDescent="0.25">
      <c r="A2830">
        <v>1701</v>
      </c>
      <c r="B2830" t="e">
        <v>#N/A</v>
      </c>
      <c r="C2830" t="s">
        <v>53</v>
      </c>
      <c r="D2830" t="e">
        <f t="shared" si="44"/>
        <v>#N/A</v>
      </c>
      <c r="E2830" t="s">
        <v>43</v>
      </c>
    </row>
    <row r="2831" spans="1:5" hidden="1" x14ac:dyDescent="0.25">
      <c r="A2831">
        <v>1701</v>
      </c>
      <c r="B2831" t="e">
        <v>#N/A</v>
      </c>
      <c r="C2831" t="s">
        <v>1626</v>
      </c>
      <c r="D2831" t="e">
        <f t="shared" si="44"/>
        <v>#N/A</v>
      </c>
      <c r="E2831" t="s">
        <v>43</v>
      </c>
    </row>
    <row r="2832" spans="1:5" hidden="1" x14ac:dyDescent="0.25">
      <c r="A2832">
        <v>1701</v>
      </c>
      <c r="B2832" t="e">
        <v>#N/A</v>
      </c>
      <c r="C2832" t="s">
        <v>1627</v>
      </c>
      <c r="D2832" t="e">
        <f t="shared" si="44"/>
        <v>#N/A</v>
      </c>
      <c r="E2832" t="s">
        <v>43</v>
      </c>
    </row>
    <row r="2833" spans="1:5" hidden="1" x14ac:dyDescent="0.25">
      <c r="A2833">
        <v>1701</v>
      </c>
      <c r="B2833" t="e">
        <v>#N/A</v>
      </c>
      <c r="C2833" t="s">
        <v>296</v>
      </c>
      <c r="D2833" t="e">
        <f t="shared" si="44"/>
        <v>#N/A</v>
      </c>
      <c r="E2833" t="s">
        <v>43</v>
      </c>
    </row>
    <row r="2834" spans="1:5" hidden="1" x14ac:dyDescent="0.25">
      <c r="A2834">
        <v>1701</v>
      </c>
      <c r="B2834" t="e">
        <v>#N/A</v>
      </c>
      <c r="C2834" t="s">
        <v>354</v>
      </c>
      <c r="D2834" t="e">
        <f t="shared" si="44"/>
        <v>#N/A</v>
      </c>
      <c r="E2834" t="s">
        <v>1623</v>
      </c>
    </row>
    <row r="2835" spans="1:5" hidden="1" x14ac:dyDescent="0.25">
      <c r="A2835">
        <v>1701</v>
      </c>
      <c r="B2835" t="e">
        <v>#N/A</v>
      </c>
      <c r="C2835" t="s">
        <v>1628</v>
      </c>
      <c r="D2835" t="e">
        <f t="shared" si="44"/>
        <v>#N/A</v>
      </c>
      <c r="E2835" t="s">
        <v>1623</v>
      </c>
    </row>
    <row r="2836" spans="1:5" hidden="1" x14ac:dyDescent="0.25">
      <c r="A2836">
        <v>1701</v>
      </c>
      <c r="B2836" t="e">
        <v>#N/A</v>
      </c>
      <c r="C2836" t="s">
        <v>1632</v>
      </c>
      <c r="D2836" t="e">
        <f t="shared" si="44"/>
        <v>#N/A</v>
      </c>
      <c r="E2836" t="s">
        <v>116</v>
      </c>
    </row>
    <row r="2837" spans="1:5" hidden="1" x14ac:dyDescent="0.25">
      <c r="A2837">
        <v>1701</v>
      </c>
      <c r="B2837" t="e">
        <v>#N/A</v>
      </c>
      <c r="C2837" t="s">
        <v>1639</v>
      </c>
      <c r="D2837" t="e">
        <f t="shared" si="44"/>
        <v>#N/A</v>
      </c>
      <c r="E2837" t="s">
        <v>1615</v>
      </c>
    </row>
    <row r="2838" spans="1:5" hidden="1" x14ac:dyDescent="0.25">
      <c r="A2838">
        <v>1701</v>
      </c>
      <c r="B2838" t="e">
        <v>#N/A</v>
      </c>
      <c r="C2838" t="s">
        <v>1640</v>
      </c>
      <c r="D2838" t="e">
        <f t="shared" si="44"/>
        <v>#N/A</v>
      </c>
      <c r="E2838" t="s">
        <v>1615</v>
      </c>
    </row>
    <row r="2839" spans="1:5" hidden="1" x14ac:dyDescent="0.25">
      <c r="A2839">
        <v>1701</v>
      </c>
      <c r="B2839" t="e">
        <v>#N/A</v>
      </c>
      <c r="C2839" t="s">
        <v>1641</v>
      </c>
      <c r="D2839" t="e">
        <f t="shared" si="44"/>
        <v>#N/A</v>
      </c>
      <c r="E2839" t="s">
        <v>2102</v>
      </c>
    </row>
    <row r="2840" spans="1:5" hidden="1" x14ac:dyDescent="0.25">
      <c r="A2840">
        <v>1701</v>
      </c>
      <c r="B2840" t="e">
        <v>#N/A</v>
      </c>
      <c r="C2840" t="s">
        <v>442</v>
      </c>
      <c r="D2840" t="e">
        <f t="shared" si="44"/>
        <v>#N/A</v>
      </c>
      <c r="E2840" t="s">
        <v>1646</v>
      </c>
    </row>
    <row r="2841" spans="1:5" hidden="1" x14ac:dyDescent="0.25">
      <c r="A2841">
        <v>1701</v>
      </c>
      <c r="B2841" t="e">
        <v>#N/A</v>
      </c>
      <c r="C2841" t="s">
        <v>1652</v>
      </c>
      <c r="D2841" t="e">
        <f t="shared" si="44"/>
        <v>#N/A</v>
      </c>
      <c r="E2841" t="s">
        <v>93</v>
      </c>
    </row>
    <row r="2842" spans="1:5" hidden="1" x14ac:dyDescent="0.25">
      <c r="A2842">
        <v>1701</v>
      </c>
      <c r="B2842" t="e">
        <v>#N/A</v>
      </c>
      <c r="C2842" t="s">
        <v>487</v>
      </c>
      <c r="D2842" t="e">
        <f t="shared" si="44"/>
        <v>#N/A</v>
      </c>
      <c r="E2842" t="s">
        <v>1744</v>
      </c>
    </row>
    <row r="2843" spans="1:5" hidden="1" x14ac:dyDescent="0.25">
      <c r="A2843">
        <v>1701</v>
      </c>
      <c r="B2843" t="e">
        <v>#N/A</v>
      </c>
      <c r="C2843" t="s">
        <v>1665</v>
      </c>
      <c r="D2843" t="e">
        <f t="shared" si="44"/>
        <v>#N/A</v>
      </c>
      <c r="E2843" t="s">
        <v>93</v>
      </c>
    </row>
    <row r="2844" spans="1:5" hidden="1" x14ac:dyDescent="0.25">
      <c r="A2844">
        <v>1701</v>
      </c>
      <c r="B2844" t="e">
        <v>#N/A</v>
      </c>
      <c r="C2844" t="s">
        <v>1719</v>
      </c>
      <c r="D2844" t="e">
        <f t="shared" si="44"/>
        <v>#N/A</v>
      </c>
      <c r="E2844" t="s">
        <v>1623</v>
      </c>
    </row>
    <row r="2845" spans="1:5" hidden="1" x14ac:dyDescent="0.25">
      <c r="A2845">
        <v>1701</v>
      </c>
      <c r="B2845" t="e">
        <v>#N/A</v>
      </c>
      <c r="C2845" t="s">
        <v>1684</v>
      </c>
      <c r="D2845" t="e">
        <f t="shared" si="44"/>
        <v>#N/A</v>
      </c>
      <c r="E2845" t="s">
        <v>1685</v>
      </c>
    </row>
    <row r="2846" spans="1:5" hidden="1" x14ac:dyDescent="0.25">
      <c r="A2846">
        <v>1701</v>
      </c>
      <c r="B2846" t="e">
        <v>#N/A</v>
      </c>
      <c r="C2846" t="s">
        <v>1687</v>
      </c>
      <c r="D2846" t="e">
        <f t="shared" si="44"/>
        <v>#N/A</v>
      </c>
      <c r="E2846" t="s">
        <v>1623</v>
      </c>
    </row>
    <row r="2847" spans="1:5" hidden="1" x14ac:dyDescent="0.25">
      <c r="A2847">
        <v>1711</v>
      </c>
      <c r="B2847" t="s">
        <v>580</v>
      </c>
      <c r="C2847" t="s">
        <v>331</v>
      </c>
      <c r="D2847" t="str">
        <f t="shared" si="44"/>
        <v>SECOM1314</v>
      </c>
      <c r="E2847" t="s">
        <v>1689</v>
      </c>
    </row>
    <row r="2848" spans="1:5" hidden="1" x14ac:dyDescent="0.25">
      <c r="A2848">
        <v>1711</v>
      </c>
      <c r="B2848" t="s">
        <v>580</v>
      </c>
      <c r="C2848" t="s">
        <v>1597</v>
      </c>
      <c r="D2848" t="str">
        <f t="shared" si="44"/>
        <v>SECOM1401</v>
      </c>
      <c r="E2848" t="s">
        <v>43</v>
      </c>
    </row>
    <row r="2849" spans="1:5" hidden="1" x14ac:dyDescent="0.25">
      <c r="A2849">
        <v>1711</v>
      </c>
      <c r="B2849" t="s">
        <v>580</v>
      </c>
      <c r="C2849" t="s">
        <v>1603</v>
      </c>
      <c r="D2849" t="str">
        <f t="shared" si="44"/>
        <v>SECOM3005</v>
      </c>
      <c r="E2849" t="s">
        <v>1600</v>
      </c>
    </row>
    <row r="2850" spans="1:5" hidden="1" x14ac:dyDescent="0.25">
      <c r="A2850">
        <v>1711</v>
      </c>
      <c r="B2850" t="s">
        <v>580</v>
      </c>
      <c r="C2850" t="s">
        <v>1609</v>
      </c>
      <c r="D2850" t="str">
        <f t="shared" si="44"/>
        <v>SECOM3016</v>
      </c>
      <c r="E2850" t="s">
        <v>1600</v>
      </c>
    </row>
    <row r="2851" spans="1:5" hidden="1" x14ac:dyDescent="0.25">
      <c r="A2851">
        <v>1711</v>
      </c>
      <c r="B2851" t="s">
        <v>580</v>
      </c>
      <c r="C2851" t="s">
        <v>1614</v>
      </c>
      <c r="D2851" t="str">
        <f t="shared" si="44"/>
        <v>SECOM3023</v>
      </c>
      <c r="E2851" t="s">
        <v>1615</v>
      </c>
    </row>
    <row r="2852" spans="1:5" hidden="1" x14ac:dyDescent="0.25">
      <c r="A2852">
        <v>1711</v>
      </c>
      <c r="B2852" t="s">
        <v>580</v>
      </c>
      <c r="C2852" t="s">
        <v>440</v>
      </c>
      <c r="D2852" t="str">
        <f t="shared" si="44"/>
        <v>SECOM3024</v>
      </c>
      <c r="E2852" t="s">
        <v>1600</v>
      </c>
    </row>
    <row r="2853" spans="1:5" hidden="1" x14ac:dyDescent="0.25">
      <c r="A2853">
        <v>1711</v>
      </c>
      <c r="B2853" t="s">
        <v>580</v>
      </c>
      <c r="C2853" t="s">
        <v>1617</v>
      </c>
      <c r="D2853" t="str">
        <f t="shared" si="44"/>
        <v>SECOM3026</v>
      </c>
      <c r="E2853" t="s">
        <v>1615</v>
      </c>
    </row>
    <row r="2854" spans="1:5" hidden="1" x14ac:dyDescent="0.25">
      <c r="A2854">
        <v>1711</v>
      </c>
      <c r="B2854" t="s">
        <v>580</v>
      </c>
      <c r="C2854" t="s">
        <v>490</v>
      </c>
      <c r="D2854" t="str">
        <f t="shared" si="44"/>
        <v>SECOM3099</v>
      </c>
      <c r="E2854" t="s">
        <v>1600</v>
      </c>
    </row>
    <row r="2855" spans="1:5" hidden="1" x14ac:dyDescent="0.25">
      <c r="A2855">
        <v>1711</v>
      </c>
      <c r="B2855" t="s">
        <v>580</v>
      </c>
      <c r="C2855" t="s">
        <v>53</v>
      </c>
      <c r="D2855" t="str">
        <f t="shared" si="44"/>
        <v>SECOM3301</v>
      </c>
      <c r="E2855" t="s">
        <v>43</v>
      </c>
    </row>
    <row r="2856" spans="1:5" hidden="1" x14ac:dyDescent="0.25">
      <c r="A2856">
        <v>1711</v>
      </c>
      <c r="B2856" t="s">
        <v>580</v>
      </c>
      <c r="C2856" t="s">
        <v>1626</v>
      </c>
      <c r="D2856" t="str">
        <f t="shared" si="44"/>
        <v>SECOM3302</v>
      </c>
      <c r="E2856" t="s">
        <v>43</v>
      </c>
    </row>
    <row r="2857" spans="1:5" hidden="1" x14ac:dyDescent="0.25">
      <c r="A2857">
        <v>1711</v>
      </c>
      <c r="B2857" t="s">
        <v>580</v>
      </c>
      <c r="C2857" t="s">
        <v>1627</v>
      </c>
      <c r="D2857" t="str">
        <f t="shared" si="44"/>
        <v>SECOM3304</v>
      </c>
      <c r="E2857" t="s">
        <v>43</v>
      </c>
    </row>
    <row r="2858" spans="1:5" hidden="1" x14ac:dyDescent="0.25">
      <c r="A2858">
        <v>1711</v>
      </c>
      <c r="B2858" t="s">
        <v>580</v>
      </c>
      <c r="C2858" t="s">
        <v>308</v>
      </c>
      <c r="D2858" t="str">
        <f t="shared" si="44"/>
        <v>SECOM3305</v>
      </c>
      <c r="E2858" t="s">
        <v>1623</v>
      </c>
    </row>
    <row r="2859" spans="1:5" hidden="1" x14ac:dyDescent="0.25">
      <c r="A2859">
        <v>1711</v>
      </c>
      <c r="B2859" t="s">
        <v>580</v>
      </c>
      <c r="C2859" t="s">
        <v>354</v>
      </c>
      <c r="D2859" t="str">
        <f t="shared" si="44"/>
        <v>SECOM3610</v>
      </c>
      <c r="E2859" t="s">
        <v>1623</v>
      </c>
    </row>
    <row r="2860" spans="1:5" hidden="1" x14ac:dyDescent="0.25">
      <c r="A2860">
        <v>1711</v>
      </c>
      <c r="B2860" t="s">
        <v>580</v>
      </c>
      <c r="C2860" t="s">
        <v>1628</v>
      </c>
      <c r="D2860" t="str">
        <f t="shared" si="44"/>
        <v>SECOM3612</v>
      </c>
      <c r="E2860" t="s">
        <v>1623</v>
      </c>
    </row>
    <row r="2861" spans="1:5" hidden="1" x14ac:dyDescent="0.25">
      <c r="A2861">
        <v>1711</v>
      </c>
      <c r="B2861" t="s">
        <v>580</v>
      </c>
      <c r="C2861" t="s">
        <v>470</v>
      </c>
      <c r="D2861" t="str">
        <f t="shared" si="44"/>
        <v>SECOM3699</v>
      </c>
      <c r="E2861" t="s">
        <v>1623</v>
      </c>
    </row>
    <row r="2862" spans="1:5" hidden="1" x14ac:dyDescent="0.25">
      <c r="A2862">
        <v>1711</v>
      </c>
      <c r="B2862" t="s">
        <v>580</v>
      </c>
      <c r="C2862" t="s">
        <v>1632</v>
      </c>
      <c r="D2862" t="str">
        <f t="shared" si="44"/>
        <v>SECOM3704</v>
      </c>
      <c r="E2862" t="s">
        <v>116</v>
      </c>
    </row>
    <row r="2863" spans="1:5" hidden="1" x14ac:dyDescent="0.25">
      <c r="A2863">
        <v>1711</v>
      </c>
      <c r="B2863" t="s">
        <v>580</v>
      </c>
      <c r="C2863" t="s">
        <v>1633</v>
      </c>
      <c r="D2863" t="str">
        <f t="shared" si="44"/>
        <v>SECOM3705</v>
      </c>
      <c r="E2863" t="s">
        <v>116</v>
      </c>
    </row>
    <row r="2864" spans="1:5" hidden="1" x14ac:dyDescent="0.25">
      <c r="A2864">
        <v>1711</v>
      </c>
      <c r="B2864" t="s">
        <v>580</v>
      </c>
      <c r="C2864" t="s">
        <v>335</v>
      </c>
      <c r="D2864" t="str">
        <f t="shared" si="44"/>
        <v>SECOM3909</v>
      </c>
      <c r="E2864" t="s">
        <v>1809</v>
      </c>
    </row>
    <row r="2865" spans="1:5" hidden="1" x14ac:dyDescent="0.25">
      <c r="A2865">
        <v>1711</v>
      </c>
      <c r="B2865" t="s">
        <v>580</v>
      </c>
      <c r="C2865" t="s">
        <v>355</v>
      </c>
      <c r="D2865" t="str">
        <f t="shared" si="44"/>
        <v>SECOM3911</v>
      </c>
      <c r="E2865" t="s">
        <v>1623</v>
      </c>
    </row>
    <row r="2866" spans="1:5" hidden="1" x14ac:dyDescent="0.25">
      <c r="A2866">
        <v>1711</v>
      </c>
      <c r="B2866" t="s">
        <v>580</v>
      </c>
      <c r="C2866" t="s">
        <v>1639</v>
      </c>
      <c r="D2866" t="str">
        <f t="shared" si="44"/>
        <v>SECOM3917</v>
      </c>
      <c r="E2866" t="s">
        <v>1615</v>
      </c>
    </row>
    <row r="2867" spans="1:5" hidden="1" x14ac:dyDescent="0.25">
      <c r="A2867">
        <v>1711</v>
      </c>
      <c r="B2867" t="s">
        <v>580</v>
      </c>
      <c r="C2867" t="s">
        <v>1644</v>
      </c>
      <c r="D2867" t="str">
        <f t="shared" si="44"/>
        <v>SECOM3924</v>
      </c>
      <c r="E2867" t="s">
        <v>1645</v>
      </c>
    </row>
    <row r="2868" spans="1:5" hidden="1" x14ac:dyDescent="0.25">
      <c r="A2868">
        <v>1711</v>
      </c>
      <c r="B2868" t="s">
        <v>580</v>
      </c>
      <c r="C2868" t="s">
        <v>442</v>
      </c>
      <c r="D2868" t="str">
        <f t="shared" si="44"/>
        <v>SECOM3926</v>
      </c>
      <c r="E2868" t="s">
        <v>1646</v>
      </c>
    </row>
    <row r="2869" spans="1:5" hidden="1" x14ac:dyDescent="0.25">
      <c r="A2869">
        <v>1711</v>
      </c>
      <c r="B2869" t="s">
        <v>580</v>
      </c>
      <c r="C2869" t="s">
        <v>1650</v>
      </c>
      <c r="D2869" t="str">
        <f t="shared" si="44"/>
        <v>SECOM3931</v>
      </c>
      <c r="E2869" t="s">
        <v>1623</v>
      </c>
    </row>
    <row r="2870" spans="1:5" hidden="1" x14ac:dyDescent="0.25">
      <c r="A2870">
        <v>1711</v>
      </c>
      <c r="B2870" t="s">
        <v>580</v>
      </c>
      <c r="C2870" t="s">
        <v>1714</v>
      </c>
      <c r="D2870" t="str">
        <f t="shared" si="44"/>
        <v>SECOM3939</v>
      </c>
      <c r="E2870" t="s">
        <v>1809</v>
      </c>
    </row>
    <row r="2871" spans="1:5" hidden="1" x14ac:dyDescent="0.25">
      <c r="A2871">
        <v>1711</v>
      </c>
      <c r="B2871" t="s">
        <v>580</v>
      </c>
      <c r="C2871" t="s">
        <v>1654</v>
      </c>
      <c r="D2871" t="str">
        <f t="shared" si="44"/>
        <v>SECOM3943</v>
      </c>
      <c r="E2871" t="s">
        <v>1615</v>
      </c>
    </row>
    <row r="2872" spans="1:5" hidden="1" x14ac:dyDescent="0.25">
      <c r="A2872">
        <v>1711</v>
      </c>
      <c r="B2872" t="s">
        <v>580</v>
      </c>
      <c r="C2872" t="s">
        <v>491</v>
      </c>
      <c r="D2872" t="str">
        <f t="shared" si="44"/>
        <v>SECOM3948</v>
      </c>
      <c r="E2872" t="s">
        <v>1645</v>
      </c>
    </row>
    <row r="2873" spans="1:5" hidden="1" x14ac:dyDescent="0.25">
      <c r="A2873">
        <v>1711</v>
      </c>
      <c r="B2873" t="s">
        <v>580</v>
      </c>
      <c r="C2873" t="s">
        <v>1655</v>
      </c>
      <c r="D2873" t="str">
        <f t="shared" si="44"/>
        <v>SECOM3950</v>
      </c>
      <c r="E2873" t="s">
        <v>43</v>
      </c>
    </row>
    <row r="2874" spans="1:5" hidden="1" x14ac:dyDescent="0.25">
      <c r="A2874">
        <v>1711</v>
      </c>
      <c r="B2874" t="s">
        <v>580</v>
      </c>
      <c r="C2874" t="s">
        <v>1701</v>
      </c>
      <c r="D2874" t="str">
        <f t="shared" si="44"/>
        <v>SECOM3952</v>
      </c>
      <c r="E2874" t="s">
        <v>64</v>
      </c>
    </row>
    <row r="2875" spans="1:5" hidden="1" x14ac:dyDescent="0.25">
      <c r="A2875">
        <v>1711</v>
      </c>
      <c r="B2875" t="s">
        <v>580</v>
      </c>
      <c r="C2875" t="s">
        <v>498</v>
      </c>
      <c r="D2875" t="str">
        <f t="shared" si="44"/>
        <v>SECOM3956</v>
      </c>
      <c r="E2875" t="s">
        <v>2110</v>
      </c>
    </row>
    <row r="2876" spans="1:5" hidden="1" x14ac:dyDescent="0.25">
      <c r="A2876">
        <v>1711</v>
      </c>
      <c r="B2876" t="s">
        <v>580</v>
      </c>
      <c r="C2876" t="s">
        <v>510</v>
      </c>
      <c r="D2876" t="str">
        <f t="shared" si="44"/>
        <v>SECOM3968</v>
      </c>
      <c r="E2876" t="s">
        <v>1623</v>
      </c>
    </row>
    <row r="2877" spans="1:5" hidden="1" x14ac:dyDescent="0.25">
      <c r="A2877">
        <v>1711</v>
      </c>
      <c r="B2877" t="s">
        <v>580</v>
      </c>
      <c r="C2877" t="s">
        <v>1661</v>
      </c>
      <c r="D2877" t="str">
        <f t="shared" si="44"/>
        <v>SECOM3987</v>
      </c>
      <c r="E2877" t="s">
        <v>1615</v>
      </c>
    </row>
    <row r="2878" spans="1:5" hidden="1" x14ac:dyDescent="0.25">
      <c r="A2878">
        <v>1711</v>
      </c>
      <c r="B2878" t="s">
        <v>580</v>
      </c>
      <c r="C2878" t="s">
        <v>1663</v>
      </c>
      <c r="D2878" t="str">
        <f t="shared" si="44"/>
        <v>SECOM3999</v>
      </c>
      <c r="E2878" t="s">
        <v>1623</v>
      </c>
    </row>
    <row r="2879" spans="1:5" hidden="1" x14ac:dyDescent="0.25">
      <c r="A2879">
        <v>1711</v>
      </c>
      <c r="B2879" t="s">
        <v>580</v>
      </c>
      <c r="C2879" t="s">
        <v>1664</v>
      </c>
      <c r="D2879" t="str">
        <f t="shared" si="44"/>
        <v>SECOM4002</v>
      </c>
      <c r="E2879" t="s">
        <v>1648</v>
      </c>
    </row>
    <row r="2880" spans="1:5" hidden="1" x14ac:dyDescent="0.25">
      <c r="A2880">
        <v>1711</v>
      </c>
      <c r="B2880" t="s">
        <v>580</v>
      </c>
      <c r="C2880" t="s">
        <v>1665</v>
      </c>
      <c r="D2880" t="str">
        <f t="shared" si="44"/>
        <v>SECOM4003</v>
      </c>
      <c r="E2880" t="s">
        <v>93</v>
      </c>
    </row>
    <row r="2881" spans="1:5" hidden="1" x14ac:dyDescent="0.25">
      <c r="A2881">
        <v>1711</v>
      </c>
      <c r="B2881" t="s">
        <v>580</v>
      </c>
      <c r="C2881" t="s">
        <v>1666</v>
      </c>
      <c r="D2881" t="str">
        <f t="shared" si="44"/>
        <v>SECOM4004</v>
      </c>
      <c r="E2881" t="s">
        <v>1648</v>
      </c>
    </row>
    <row r="2882" spans="1:5" hidden="1" x14ac:dyDescent="0.25">
      <c r="A2882">
        <v>1711</v>
      </c>
      <c r="B2882" t="s">
        <v>580</v>
      </c>
      <c r="C2882" t="s">
        <v>328</v>
      </c>
      <c r="D2882" t="str">
        <f t="shared" si="44"/>
        <v>SECOM5206</v>
      </c>
      <c r="E2882" t="s">
        <v>1675</v>
      </c>
    </row>
    <row r="2883" spans="1:5" hidden="1" x14ac:dyDescent="0.25">
      <c r="A2883">
        <v>1711</v>
      </c>
      <c r="B2883" t="s">
        <v>580</v>
      </c>
      <c r="C2883" t="s">
        <v>1676</v>
      </c>
      <c r="D2883" t="str">
        <f t="shared" si="44"/>
        <v>SECOM5207</v>
      </c>
      <c r="E2883" t="s">
        <v>1675</v>
      </c>
    </row>
    <row r="2884" spans="1:5" hidden="1" x14ac:dyDescent="0.25">
      <c r="A2884">
        <v>1711</v>
      </c>
      <c r="B2884" t="s">
        <v>580</v>
      </c>
      <c r="C2884" t="s">
        <v>1677</v>
      </c>
      <c r="D2884" t="str">
        <f t="shared" si="44"/>
        <v>SECOM5208</v>
      </c>
      <c r="E2884" t="s">
        <v>1675</v>
      </c>
    </row>
    <row r="2885" spans="1:5" hidden="1" x14ac:dyDescent="0.25">
      <c r="A2885">
        <v>1711</v>
      </c>
      <c r="B2885" t="s">
        <v>580</v>
      </c>
      <c r="C2885" t="s">
        <v>1684</v>
      </c>
      <c r="D2885" t="str">
        <f t="shared" ref="D2885:D2948" si="45">CONCATENATE(B2885,LEFT(C2885,4))</f>
        <v>SECOM9202</v>
      </c>
      <c r="E2885" t="s">
        <v>1685</v>
      </c>
    </row>
    <row r="2886" spans="1:5" hidden="1" x14ac:dyDescent="0.25">
      <c r="A2886">
        <v>1711</v>
      </c>
      <c r="B2886" t="s">
        <v>580</v>
      </c>
      <c r="C2886" t="s">
        <v>1608</v>
      </c>
      <c r="D2886" t="str">
        <f t="shared" si="45"/>
        <v>SECOM3015</v>
      </c>
      <c r="E2886" t="s">
        <v>1600</v>
      </c>
    </row>
    <row r="2887" spans="1:5" hidden="1" x14ac:dyDescent="0.25">
      <c r="A2887">
        <v>1711</v>
      </c>
      <c r="B2887" t="s">
        <v>580</v>
      </c>
      <c r="C2887" t="s">
        <v>1698</v>
      </c>
      <c r="D2887" t="str">
        <f t="shared" si="45"/>
        <v>SECOM4006</v>
      </c>
      <c r="E2887" t="s">
        <v>1675</v>
      </c>
    </row>
    <row r="2888" spans="1:5" hidden="1" x14ac:dyDescent="0.25">
      <c r="A2888">
        <v>1711</v>
      </c>
      <c r="B2888" t="s">
        <v>580</v>
      </c>
      <c r="C2888" t="s">
        <v>1700</v>
      </c>
      <c r="D2888" t="str">
        <f t="shared" si="45"/>
        <v>SECOM5230</v>
      </c>
      <c r="E2888" t="s">
        <v>1674</v>
      </c>
    </row>
    <row r="2889" spans="1:5" hidden="1" x14ac:dyDescent="0.25">
      <c r="A2889">
        <v>1721</v>
      </c>
      <c r="B2889" t="s">
        <v>577</v>
      </c>
      <c r="C2889" t="s">
        <v>1597</v>
      </c>
      <c r="D2889" t="str">
        <f t="shared" si="45"/>
        <v>SCC1401</v>
      </c>
      <c r="E2889" t="s">
        <v>43</v>
      </c>
    </row>
    <row r="2890" spans="1:5" hidden="1" x14ac:dyDescent="0.25">
      <c r="A2890">
        <v>1721</v>
      </c>
      <c r="B2890" t="s">
        <v>577</v>
      </c>
      <c r="C2890" t="s">
        <v>1601</v>
      </c>
      <c r="D2890" t="str">
        <f t="shared" si="45"/>
        <v>SCC3003</v>
      </c>
      <c r="E2890" t="s">
        <v>1600</v>
      </c>
    </row>
    <row r="2891" spans="1:5" hidden="1" x14ac:dyDescent="0.25">
      <c r="A2891">
        <v>1721</v>
      </c>
      <c r="B2891" t="s">
        <v>577</v>
      </c>
      <c r="C2891" t="s">
        <v>1603</v>
      </c>
      <c r="D2891" t="str">
        <f t="shared" si="45"/>
        <v>SCC3005</v>
      </c>
      <c r="E2891" t="s">
        <v>1600</v>
      </c>
    </row>
    <row r="2892" spans="1:5" hidden="1" x14ac:dyDescent="0.25">
      <c r="A2892">
        <v>1721</v>
      </c>
      <c r="B2892" t="s">
        <v>577</v>
      </c>
      <c r="C2892" t="s">
        <v>1608</v>
      </c>
      <c r="D2892" t="str">
        <f t="shared" si="45"/>
        <v>SCC3015</v>
      </c>
      <c r="E2892" t="s">
        <v>1600</v>
      </c>
    </row>
    <row r="2893" spans="1:5" hidden="1" x14ac:dyDescent="0.25">
      <c r="A2893">
        <v>1721</v>
      </c>
      <c r="B2893" t="s">
        <v>577</v>
      </c>
      <c r="C2893" t="s">
        <v>1609</v>
      </c>
      <c r="D2893" t="str">
        <f t="shared" si="45"/>
        <v>SCC3016</v>
      </c>
      <c r="E2893" t="s">
        <v>1600</v>
      </c>
    </row>
    <row r="2894" spans="1:5" hidden="1" x14ac:dyDescent="0.25">
      <c r="A2894">
        <v>1721</v>
      </c>
      <c r="B2894" t="s">
        <v>577</v>
      </c>
      <c r="C2894" t="s">
        <v>405</v>
      </c>
      <c r="D2894" t="str">
        <f t="shared" si="45"/>
        <v>SCC3017</v>
      </c>
      <c r="E2894" t="s">
        <v>1600</v>
      </c>
    </row>
    <row r="2895" spans="1:5" hidden="1" x14ac:dyDescent="0.25">
      <c r="A2895">
        <v>1721</v>
      </c>
      <c r="B2895" t="s">
        <v>577</v>
      </c>
      <c r="C2895" t="s">
        <v>1612</v>
      </c>
      <c r="D2895" t="str">
        <f t="shared" si="45"/>
        <v>SCC3020</v>
      </c>
      <c r="E2895" t="s">
        <v>1600</v>
      </c>
    </row>
    <row r="2896" spans="1:5" hidden="1" x14ac:dyDescent="0.25">
      <c r="A2896">
        <v>1721</v>
      </c>
      <c r="B2896" t="s">
        <v>577</v>
      </c>
      <c r="C2896" t="s">
        <v>1617</v>
      </c>
      <c r="D2896" t="str">
        <f t="shared" si="45"/>
        <v>SCC3026</v>
      </c>
      <c r="E2896" t="s">
        <v>1615</v>
      </c>
    </row>
    <row r="2897" spans="1:5" hidden="1" x14ac:dyDescent="0.25">
      <c r="A2897">
        <v>1721</v>
      </c>
      <c r="B2897" t="s">
        <v>577</v>
      </c>
      <c r="C2897" t="s">
        <v>1619</v>
      </c>
      <c r="D2897" t="str">
        <f t="shared" si="45"/>
        <v>SCC3032</v>
      </c>
      <c r="E2897" t="s">
        <v>1600</v>
      </c>
    </row>
    <row r="2898" spans="1:5" hidden="1" x14ac:dyDescent="0.25">
      <c r="A2898">
        <v>1721</v>
      </c>
      <c r="B2898" t="s">
        <v>577</v>
      </c>
      <c r="C2898" t="s">
        <v>486</v>
      </c>
      <c r="D2898" t="str">
        <f t="shared" si="45"/>
        <v>SCC3040</v>
      </c>
      <c r="E2898" t="s">
        <v>1600</v>
      </c>
    </row>
    <row r="2899" spans="1:5" hidden="1" x14ac:dyDescent="0.25">
      <c r="A2899">
        <v>1721</v>
      </c>
      <c r="B2899" t="s">
        <v>577</v>
      </c>
      <c r="C2899" t="s">
        <v>53</v>
      </c>
      <c r="D2899" t="str">
        <f t="shared" si="45"/>
        <v>SCC3301</v>
      </c>
      <c r="E2899" t="s">
        <v>43</v>
      </c>
    </row>
    <row r="2900" spans="1:5" hidden="1" x14ac:dyDescent="0.25">
      <c r="A2900">
        <v>1721</v>
      </c>
      <c r="B2900" t="s">
        <v>577</v>
      </c>
      <c r="C2900" t="s">
        <v>1626</v>
      </c>
      <c r="D2900" t="str">
        <f t="shared" si="45"/>
        <v>SCC3302</v>
      </c>
      <c r="E2900" t="s">
        <v>43</v>
      </c>
    </row>
    <row r="2901" spans="1:5" hidden="1" x14ac:dyDescent="0.25">
      <c r="A2901">
        <v>1721</v>
      </c>
      <c r="B2901" t="s">
        <v>577</v>
      </c>
      <c r="C2901" t="s">
        <v>1627</v>
      </c>
      <c r="D2901" t="str">
        <f t="shared" si="45"/>
        <v>SCC3304</v>
      </c>
      <c r="E2901" t="s">
        <v>43</v>
      </c>
    </row>
    <row r="2902" spans="1:5" hidden="1" x14ac:dyDescent="0.25">
      <c r="A2902">
        <v>1721</v>
      </c>
      <c r="B2902" t="s">
        <v>577</v>
      </c>
      <c r="C2902" t="s">
        <v>354</v>
      </c>
      <c r="D2902" t="str">
        <f t="shared" si="45"/>
        <v>SCC3610</v>
      </c>
      <c r="E2902" t="s">
        <v>1623</v>
      </c>
    </row>
    <row r="2903" spans="1:5" hidden="1" x14ac:dyDescent="0.25">
      <c r="A2903">
        <v>1721</v>
      </c>
      <c r="B2903" t="s">
        <v>577</v>
      </c>
      <c r="C2903" t="s">
        <v>1628</v>
      </c>
      <c r="D2903" t="str">
        <f t="shared" si="45"/>
        <v>SCC3612</v>
      </c>
      <c r="E2903" t="s">
        <v>1623</v>
      </c>
    </row>
    <row r="2904" spans="1:5" hidden="1" x14ac:dyDescent="0.25">
      <c r="A2904">
        <v>1721</v>
      </c>
      <c r="B2904" t="s">
        <v>577</v>
      </c>
      <c r="C2904" t="s">
        <v>470</v>
      </c>
      <c r="D2904" t="str">
        <f t="shared" si="45"/>
        <v>SCC3699</v>
      </c>
      <c r="E2904" t="s">
        <v>1623</v>
      </c>
    </row>
    <row r="2905" spans="1:5" hidden="1" x14ac:dyDescent="0.25">
      <c r="A2905">
        <v>1721</v>
      </c>
      <c r="B2905" t="s">
        <v>577</v>
      </c>
      <c r="C2905" t="s">
        <v>1631</v>
      </c>
      <c r="D2905" t="str">
        <f t="shared" si="45"/>
        <v>SCC3703</v>
      </c>
      <c r="E2905" t="s">
        <v>116</v>
      </c>
    </row>
    <row r="2906" spans="1:5" hidden="1" x14ac:dyDescent="0.25">
      <c r="A2906">
        <v>1721</v>
      </c>
      <c r="B2906" t="s">
        <v>577</v>
      </c>
      <c r="C2906" t="s">
        <v>1632</v>
      </c>
      <c r="D2906" t="str">
        <f t="shared" si="45"/>
        <v>SCC3704</v>
      </c>
      <c r="E2906" t="s">
        <v>116</v>
      </c>
    </row>
    <row r="2907" spans="1:5" hidden="1" x14ac:dyDescent="0.25">
      <c r="A2907">
        <v>1721</v>
      </c>
      <c r="B2907" t="s">
        <v>577</v>
      </c>
      <c r="C2907" t="s">
        <v>1633</v>
      </c>
      <c r="D2907" t="str">
        <f t="shared" si="45"/>
        <v>SCC3705</v>
      </c>
      <c r="E2907" t="s">
        <v>116</v>
      </c>
    </row>
    <row r="2908" spans="1:5" hidden="1" x14ac:dyDescent="0.25">
      <c r="A2908">
        <v>1721</v>
      </c>
      <c r="B2908" t="s">
        <v>577</v>
      </c>
      <c r="C2908" t="s">
        <v>1634</v>
      </c>
      <c r="D2908" t="str">
        <f t="shared" si="45"/>
        <v>SCC3903</v>
      </c>
      <c r="E2908" t="s">
        <v>86</v>
      </c>
    </row>
    <row r="2909" spans="1:5" hidden="1" x14ac:dyDescent="0.25">
      <c r="A2909">
        <v>1721</v>
      </c>
      <c r="B2909" t="s">
        <v>577</v>
      </c>
      <c r="C2909" t="s">
        <v>355</v>
      </c>
      <c r="D2909" t="str">
        <f t="shared" si="45"/>
        <v>SCC3911</v>
      </c>
      <c r="E2909" t="s">
        <v>1623</v>
      </c>
    </row>
    <row r="2910" spans="1:5" hidden="1" x14ac:dyDescent="0.25">
      <c r="A2910">
        <v>1721</v>
      </c>
      <c r="B2910" t="s">
        <v>577</v>
      </c>
      <c r="C2910" t="s">
        <v>1636</v>
      </c>
      <c r="D2910" t="str">
        <f t="shared" si="45"/>
        <v>SCC3912</v>
      </c>
      <c r="E2910" t="s">
        <v>1637</v>
      </c>
    </row>
    <row r="2911" spans="1:5" hidden="1" x14ac:dyDescent="0.25">
      <c r="A2911">
        <v>1721</v>
      </c>
      <c r="B2911" t="s">
        <v>577</v>
      </c>
      <c r="C2911" t="s">
        <v>1639</v>
      </c>
      <c r="D2911" t="str">
        <f t="shared" si="45"/>
        <v>SCC3917</v>
      </c>
      <c r="E2911" t="s">
        <v>1615</v>
      </c>
    </row>
    <row r="2912" spans="1:5" hidden="1" x14ac:dyDescent="0.25">
      <c r="A2912">
        <v>1721</v>
      </c>
      <c r="B2912" t="s">
        <v>577</v>
      </c>
      <c r="C2912" t="s">
        <v>1640</v>
      </c>
      <c r="D2912" t="str">
        <f t="shared" si="45"/>
        <v>SCC3918</v>
      </c>
      <c r="E2912" t="s">
        <v>1615</v>
      </c>
    </row>
    <row r="2913" spans="1:5" hidden="1" x14ac:dyDescent="0.25">
      <c r="A2913">
        <v>1721</v>
      </c>
      <c r="B2913" t="s">
        <v>577</v>
      </c>
      <c r="C2913" t="s">
        <v>1641</v>
      </c>
      <c r="D2913" t="str">
        <f t="shared" si="45"/>
        <v>SCC3919</v>
      </c>
      <c r="E2913" t="s">
        <v>2102</v>
      </c>
    </row>
    <row r="2914" spans="1:5" hidden="1" x14ac:dyDescent="0.25">
      <c r="A2914">
        <v>1721</v>
      </c>
      <c r="B2914" t="s">
        <v>577</v>
      </c>
      <c r="C2914" t="s">
        <v>1694</v>
      </c>
      <c r="D2914" t="str">
        <f t="shared" si="45"/>
        <v>SCC3920</v>
      </c>
      <c r="E2914" t="s">
        <v>1692</v>
      </c>
    </row>
    <row r="2915" spans="1:5" hidden="1" x14ac:dyDescent="0.25">
      <c r="A2915">
        <v>1721</v>
      </c>
      <c r="B2915" t="s">
        <v>577</v>
      </c>
      <c r="C2915" t="s">
        <v>1642</v>
      </c>
      <c r="D2915" t="str">
        <f t="shared" si="45"/>
        <v>SCC3921</v>
      </c>
      <c r="E2915" t="s">
        <v>2102</v>
      </c>
    </row>
    <row r="2916" spans="1:5" hidden="1" x14ac:dyDescent="0.25">
      <c r="A2916">
        <v>1721</v>
      </c>
      <c r="B2916" t="s">
        <v>577</v>
      </c>
      <c r="C2916" t="s">
        <v>427</v>
      </c>
      <c r="D2916" t="str">
        <f t="shared" si="45"/>
        <v>SCC3923</v>
      </c>
      <c r="E2916" t="s">
        <v>1623</v>
      </c>
    </row>
    <row r="2917" spans="1:5" hidden="1" x14ac:dyDescent="0.25">
      <c r="A2917">
        <v>1721</v>
      </c>
      <c r="B2917" t="s">
        <v>577</v>
      </c>
      <c r="C2917" t="s">
        <v>1644</v>
      </c>
      <c r="D2917" t="str">
        <f t="shared" si="45"/>
        <v>SCC3924</v>
      </c>
      <c r="E2917" t="s">
        <v>1645</v>
      </c>
    </row>
    <row r="2918" spans="1:5" hidden="1" x14ac:dyDescent="0.25">
      <c r="A2918">
        <v>1721</v>
      </c>
      <c r="B2918" t="s">
        <v>577</v>
      </c>
      <c r="C2918" t="s">
        <v>1650</v>
      </c>
      <c r="D2918" t="str">
        <f t="shared" si="45"/>
        <v>SCC3931</v>
      </c>
      <c r="E2918" t="s">
        <v>1623</v>
      </c>
    </row>
    <row r="2919" spans="1:5" hidden="1" x14ac:dyDescent="0.25">
      <c r="A2919">
        <v>1721</v>
      </c>
      <c r="B2919" t="s">
        <v>577</v>
      </c>
      <c r="C2919" t="s">
        <v>1695</v>
      </c>
      <c r="D2919" t="str">
        <f t="shared" si="45"/>
        <v>SCC3937</v>
      </c>
      <c r="E2919" t="s">
        <v>1692</v>
      </c>
    </row>
    <row r="2920" spans="1:5" hidden="1" x14ac:dyDescent="0.25">
      <c r="A2920">
        <v>1721</v>
      </c>
      <c r="B2920" t="s">
        <v>577</v>
      </c>
      <c r="C2920" t="s">
        <v>1654</v>
      </c>
      <c r="D2920" t="str">
        <f t="shared" si="45"/>
        <v>SCC3943</v>
      </c>
      <c r="E2920" t="s">
        <v>1615</v>
      </c>
    </row>
    <row r="2921" spans="1:5" hidden="1" x14ac:dyDescent="0.25">
      <c r="A2921">
        <v>1721</v>
      </c>
      <c r="B2921" t="s">
        <v>577</v>
      </c>
      <c r="C2921" t="s">
        <v>1701</v>
      </c>
      <c r="D2921" t="str">
        <f t="shared" si="45"/>
        <v>SCC3952</v>
      </c>
      <c r="E2921" t="s">
        <v>64</v>
      </c>
    </row>
    <row r="2922" spans="1:5" hidden="1" x14ac:dyDescent="0.25">
      <c r="A2922">
        <v>1721</v>
      </c>
      <c r="B2922" t="s">
        <v>577</v>
      </c>
      <c r="C2922" t="s">
        <v>1657</v>
      </c>
      <c r="D2922" t="str">
        <f t="shared" si="45"/>
        <v>SCC3961</v>
      </c>
      <c r="E2922" t="s">
        <v>1630</v>
      </c>
    </row>
    <row r="2923" spans="1:5" hidden="1" x14ac:dyDescent="0.25">
      <c r="A2923">
        <v>1721</v>
      </c>
      <c r="B2923" t="s">
        <v>577</v>
      </c>
      <c r="C2923" t="s">
        <v>1661</v>
      </c>
      <c r="D2923" t="str">
        <f t="shared" si="45"/>
        <v>SCC3987</v>
      </c>
      <c r="E2923" t="s">
        <v>1615</v>
      </c>
    </row>
    <row r="2924" spans="1:5" hidden="1" x14ac:dyDescent="0.25">
      <c r="A2924">
        <v>1721</v>
      </c>
      <c r="B2924" t="s">
        <v>577</v>
      </c>
      <c r="C2924" t="s">
        <v>1663</v>
      </c>
      <c r="D2924" t="str">
        <f t="shared" si="45"/>
        <v>SCC3999</v>
      </c>
      <c r="E2924" t="s">
        <v>1623</v>
      </c>
    </row>
    <row r="2925" spans="1:5" hidden="1" x14ac:dyDescent="0.25">
      <c r="A2925">
        <v>1721</v>
      </c>
      <c r="B2925" t="s">
        <v>577</v>
      </c>
      <c r="C2925" t="s">
        <v>1664</v>
      </c>
      <c r="D2925" t="str">
        <f t="shared" si="45"/>
        <v>SCC4002</v>
      </c>
      <c r="E2925" t="s">
        <v>1648</v>
      </c>
    </row>
    <row r="2926" spans="1:5" hidden="1" x14ac:dyDescent="0.25">
      <c r="A2926">
        <v>1721</v>
      </c>
      <c r="B2926" t="s">
        <v>577</v>
      </c>
      <c r="C2926" t="s">
        <v>1665</v>
      </c>
      <c r="D2926" t="str">
        <f t="shared" si="45"/>
        <v>SCC4003</v>
      </c>
      <c r="E2926" t="s">
        <v>93</v>
      </c>
    </row>
    <row r="2927" spans="1:5" hidden="1" x14ac:dyDescent="0.25">
      <c r="A2927">
        <v>1721</v>
      </c>
      <c r="B2927" t="s">
        <v>577</v>
      </c>
      <c r="C2927" t="s">
        <v>1666</v>
      </c>
      <c r="D2927" t="str">
        <f t="shared" si="45"/>
        <v>SCC4004</v>
      </c>
      <c r="E2927" t="s">
        <v>1648</v>
      </c>
    </row>
    <row r="2928" spans="1:5" hidden="1" x14ac:dyDescent="0.25">
      <c r="A2928">
        <v>1721</v>
      </c>
      <c r="B2928" t="s">
        <v>577</v>
      </c>
      <c r="C2928" t="s">
        <v>1667</v>
      </c>
      <c r="D2928" t="str">
        <f t="shared" si="45"/>
        <v>SCC4005</v>
      </c>
      <c r="E2928" t="s">
        <v>1648</v>
      </c>
    </row>
    <row r="2929" spans="1:5" hidden="1" x14ac:dyDescent="0.25">
      <c r="A2929">
        <v>1721</v>
      </c>
      <c r="B2929" t="s">
        <v>577</v>
      </c>
      <c r="C2929" t="s">
        <v>1699</v>
      </c>
      <c r="D2929" t="str">
        <f t="shared" si="45"/>
        <v>SCC4007</v>
      </c>
      <c r="E2929" t="s">
        <v>93</v>
      </c>
    </row>
    <row r="2930" spans="1:5" hidden="1" x14ac:dyDescent="0.25">
      <c r="A2930">
        <v>1721</v>
      </c>
      <c r="B2930" t="s">
        <v>577</v>
      </c>
      <c r="C2930" t="s">
        <v>1749</v>
      </c>
      <c r="D2930" t="str">
        <f t="shared" si="45"/>
        <v>SCC4201</v>
      </c>
      <c r="E2930" t="s">
        <v>1728</v>
      </c>
    </row>
    <row r="2931" spans="1:5" hidden="1" x14ac:dyDescent="0.25">
      <c r="A2931">
        <v>1721</v>
      </c>
      <c r="B2931" t="s">
        <v>577</v>
      </c>
      <c r="C2931" t="s">
        <v>1676</v>
      </c>
      <c r="D2931" t="str">
        <f t="shared" si="45"/>
        <v>SCC5207</v>
      </c>
      <c r="E2931" t="s">
        <v>1675</v>
      </c>
    </row>
    <row r="2932" spans="1:5" hidden="1" x14ac:dyDescent="0.25">
      <c r="A2932">
        <v>1721</v>
      </c>
      <c r="B2932" t="s">
        <v>577</v>
      </c>
      <c r="C2932" t="s">
        <v>1677</v>
      </c>
      <c r="D2932" t="str">
        <f t="shared" si="45"/>
        <v>SCC5208</v>
      </c>
      <c r="E2932" t="s">
        <v>1675</v>
      </c>
    </row>
    <row r="2933" spans="1:5" hidden="1" x14ac:dyDescent="0.25">
      <c r="A2933">
        <v>1721</v>
      </c>
      <c r="B2933" t="s">
        <v>577</v>
      </c>
      <c r="C2933" t="s">
        <v>1679</v>
      </c>
      <c r="D2933" t="str">
        <f t="shared" si="45"/>
        <v>SCC5212</v>
      </c>
      <c r="E2933" t="s">
        <v>1674</v>
      </c>
    </row>
    <row r="2934" spans="1:5" hidden="1" x14ac:dyDescent="0.25">
      <c r="A2934">
        <v>1721</v>
      </c>
      <c r="B2934" t="s">
        <v>577</v>
      </c>
      <c r="C2934" t="s">
        <v>390</v>
      </c>
      <c r="D2934" t="str">
        <f t="shared" si="45"/>
        <v>SCC5214</v>
      </c>
      <c r="E2934" t="s">
        <v>1674</v>
      </c>
    </row>
    <row r="2935" spans="1:5" hidden="1" x14ac:dyDescent="0.25">
      <c r="A2935">
        <v>1721</v>
      </c>
      <c r="B2935" t="s">
        <v>577</v>
      </c>
      <c r="C2935" t="s">
        <v>448</v>
      </c>
      <c r="D2935" t="str">
        <f t="shared" si="45"/>
        <v>SCC5225</v>
      </c>
      <c r="E2935" t="s">
        <v>1674</v>
      </c>
    </row>
    <row r="2936" spans="1:5" hidden="1" x14ac:dyDescent="0.25">
      <c r="A2936">
        <v>1721</v>
      </c>
      <c r="B2936" t="s">
        <v>577</v>
      </c>
      <c r="C2936" t="s">
        <v>1684</v>
      </c>
      <c r="D2936" t="str">
        <f t="shared" si="45"/>
        <v>SCC9202</v>
      </c>
      <c r="E2936" t="s">
        <v>1685</v>
      </c>
    </row>
    <row r="2937" spans="1:5" hidden="1" x14ac:dyDescent="0.25">
      <c r="A2937">
        <v>1721</v>
      </c>
      <c r="B2937" t="s">
        <v>577</v>
      </c>
      <c r="C2937" t="s">
        <v>1643</v>
      </c>
      <c r="D2937" t="str">
        <f t="shared" si="45"/>
        <v>SCC3922</v>
      </c>
      <c r="E2937" t="s">
        <v>1611</v>
      </c>
    </row>
    <row r="2938" spans="1:5" hidden="1" x14ac:dyDescent="0.25">
      <c r="A2938">
        <v>1721</v>
      </c>
      <c r="B2938" t="s">
        <v>577</v>
      </c>
      <c r="C2938" t="s">
        <v>430</v>
      </c>
      <c r="D2938" t="str">
        <f t="shared" si="45"/>
        <v>SCC3022</v>
      </c>
      <c r="E2938" t="s">
        <v>1600</v>
      </c>
    </row>
    <row r="2939" spans="1:5" hidden="1" x14ac:dyDescent="0.25">
      <c r="A2939">
        <v>1721</v>
      </c>
      <c r="B2939" t="s">
        <v>577</v>
      </c>
      <c r="C2939" t="s">
        <v>479</v>
      </c>
      <c r="D2939" t="str">
        <f t="shared" si="45"/>
        <v>SCC3941</v>
      </c>
      <c r="E2939" t="s">
        <v>1623</v>
      </c>
    </row>
    <row r="2940" spans="1:5" hidden="1" x14ac:dyDescent="0.25">
      <c r="A2940">
        <v>1721</v>
      </c>
      <c r="B2940" t="s">
        <v>577</v>
      </c>
      <c r="C2940" t="s">
        <v>469</v>
      </c>
      <c r="D2940" t="str">
        <f t="shared" si="45"/>
        <v>SCC3031</v>
      </c>
      <c r="E2940" t="s">
        <v>1600</v>
      </c>
    </row>
    <row r="2941" spans="1:5" hidden="1" x14ac:dyDescent="0.25">
      <c r="A2941">
        <v>1721</v>
      </c>
      <c r="B2941" t="s">
        <v>577</v>
      </c>
      <c r="C2941" t="s">
        <v>298</v>
      </c>
      <c r="D2941" t="str">
        <f t="shared" si="45"/>
        <v>SCC3904</v>
      </c>
      <c r="E2941" t="s">
        <v>1623</v>
      </c>
    </row>
    <row r="2942" spans="1:5" hidden="1" x14ac:dyDescent="0.25">
      <c r="A2942">
        <v>1911</v>
      </c>
      <c r="B2942" t="s">
        <v>630</v>
      </c>
      <c r="C2942" t="s">
        <v>1705</v>
      </c>
      <c r="D2942" t="str">
        <f t="shared" si="45"/>
        <v>EGE-SEF3502</v>
      </c>
      <c r="E2942" t="s">
        <v>1623</v>
      </c>
    </row>
    <row r="2943" spans="1:5" hidden="1" x14ac:dyDescent="0.25">
      <c r="A2943">
        <v>1911</v>
      </c>
      <c r="B2943" t="s">
        <v>630</v>
      </c>
      <c r="C2943" t="s">
        <v>437</v>
      </c>
      <c r="D2943" t="str">
        <f t="shared" si="45"/>
        <v>EGE-SEF3925</v>
      </c>
      <c r="E2943" t="s">
        <v>1646</v>
      </c>
    </row>
    <row r="2944" spans="1:5" hidden="1" x14ac:dyDescent="0.25">
      <c r="A2944">
        <v>1911</v>
      </c>
      <c r="B2944" t="s">
        <v>630</v>
      </c>
      <c r="C2944" t="s">
        <v>442</v>
      </c>
      <c r="D2944" t="str">
        <f t="shared" si="45"/>
        <v>EGE-SEF3926</v>
      </c>
      <c r="E2944" t="s">
        <v>1646</v>
      </c>
    </row>
    <row r="2945" spans="1:5" hidden="1" x14ac:dyDescent="0.25">
      <c r="A2945">
        <v>1911</v>
      </c>
      <c r="B2945" t="s">
        <v>630</v>
      </c>
      <c r="C2945" t="s">
        <v>465</v>
      </c>
      <c r="D2945" t="str">
        <f t="shared" si="45"/>
        <v>EGE-SEF3933</v>
      </c>
      <c r="E2945" t="s">
        <v>1623</v>
      </c>
    </row>
    <row r="2946" spans="1:5" hidden="1" x14ac:dyDescent="0.25">
      <c r="A2946">
        <v>1911</v>
      </c>
      <c r="B2946" t="s">
        <v>630</v>
      </c>
      <c r="C2946" t="s">
        <v>1652</v>
      </c>
      <c r="D2946" t="str">
        <f t="shared" si="45"/>
        <v>EGE-SEF3936</v>
      </c>
      <c r="E2946" t="s">
        <v>93</v>
      </c>
    </row>
    <row r="2947" spans="1:5" hidden="1" x14ac:dyDescent="0.25">
      <c r="A2947">
        <v>1911</v>
      </c>
      <c r="B2947" t="s">
        <v>630</v>
      </c>
      <c r="C2947" t="s">
        <v>523</v>
      </c>
      <c r="D2947" t="str">
        <f t="shared" si="45"/>
        <v>EGE-SEF3984</v>
      </c>
      <c r="E2947" t="s">
        <v>1810</v>
      </c>
    </row>
    <row r="2948" spans="1:5" hidden="1" x14ac:dyDescent="0.25">
      <c r="A2948">
        <v>1911</v>
      </c>
      <c r="B2948" t="s">
        <v>630</v>
      </c>
      <c r="C2948" t="s">
        <v>1663</v>
      </c>
      <c r="D2948" t="str">
        <f t="shared" si="45"/>
        <v>EGE-SEF3999</v>
      </c>
      <c r="E2948" t="s">
        <v>1623</v>
      </c>
    </row>
    <row r="2949" spans="1:5" hidden="1" x14ac:dyDescent="0.25">
      <c r="A2949">
        <v>1911</v>
      </c>
      <c r="B2949" t="s">
        <v>630</v>
      </c>
      <c r="C2949" t="s">
        <v>1664</v>
      </c>
      <c r="D2949" t="str">
        <f t="shared" ref="D2949:D3012" si="46">CONCATENATE(B2949,LEFT(C2949,4))</f>
        <v>EGE-SEF4002</v>
      </c>
      <c r="E2949" t="s">
        <v>1648</v>
      </c>
    </row>
    <row r="2950" spans="1:5" hidden="1" x14ac:dyDescent="0.25">
      <c r="A2950">
        <v>1911</v>
      </c>
      <c r="B2950" t="s">
        <v>630</v>
      </c>
      <c r="C2950" t="s">
        <v>1665</v>
      </c>
      <c r="D2950" t="str">
        <f t="shared" si="46"/>
        <v>EGE-SEF4003</v>
      </c>
      <c r="E2950" t="s">
        <v>93</v>
      </c>
    </row>
    <row r="2951" spans="1:5" hidden="1" x14ac:dyDescent="0.25">
      <c r="A2951">
        <v>1911</v>
      </c>
      <c r="B2951" t="s">
        <v>630</v>
      </c>
      <c r="C2951" t="s">
        <v>1719</v>
      </c>
      <c r="D2951" t="str">
        <f t="shared" si="46"/>
        <v>EGE-SEF4101</v>
      </c>
      <c r="E2951" t="s">
        <v>1623</v>
      </c>
    </row>
    <row r="2952" spans="1:5" hidden="1" x14ac:dyDescent="0.25">
      <c r="A2952">
        <v>1911</v>
      </c>
      <c r="B2952" t="s">
        <v>630</v>
      </c>
      <c r="C2952" t="s">
        <v>314</v>
      </c>
      <c r="D2952" t="str">
        <f t="shared" si="46"/>
        <v>EGE-SEF4105</v>
      </c>
      <c r="E2952" t="s">
        <v>1623</v>
      </c>
    </row>
    <row r="2953" spans="1:5" hidden="1" x14ac:dyDescent="0.25">
      <c r="A2953">
        <v>1911</v>
      </c>
      <c r="B2953" t="s">
        <v>630</v>
      </c>
      <c r="C2953" t="s">
        <v>1668</v>
      </c>
      <c r="D2953" t="str">
        <f t="shared" si="46"/>
        <v>EGE-SEF4701</v>
      </c>
      <c r="E2953" t="s">
        <v>1669</v>
      </c>
    </row>
    <row r="2954" spans="1:5" hidden="1" x14ac:dyDescent="0.25">
      <c r="A2954">
        <v>1911</v>
      </c>
      <c r="B2954" t="s">
        <v>630</v>
      </c>
      <c r="C2954" t="s">
        <v>315</v>
      </c>
      <c r="D2954" t="str">
        <f t="shared" si="46"/>
        <v>EGE-SEF4706</v>
      </c>
      <c r="E2954" t="s">
        <v>1669</v>
      </c>
    </row>
    <row r="2955" spans="1:5" hidden="1" x14ac:dyDescent="0.25">
      <c r="A2955">
        <v>1911</v>
      </c>
      <c r="B2955" t="s">
        <v>630</v>
      </c>
      <c r="C2955" t="s">
        <v>363</v>
      </c>
      <c r="D2955" t="str">
        <f t="shared" si="46"/>
        <v>EGE-SEF4799</v>
      </c>
      <c r="E2955" t="s">
        <v>1669</v>
      </c>
    </row>
    <row r="2956" spans="1:5" hidden="1" x14ac:dyDescent="0.25">
      <c r="A2956">
        <v>1911</v>
      </c>
      <c r="B2956" t="s">
        <v>630</v>
      </c>
      <c r="C2956" t="s">
        <v>1684</v>
      </c>
      <c r="D2956" t="str">
        <f t="shared" si="46"/>
        <v>EGE-SEF9202</v>
      </c>
      <c r="E2956" t="s">
        <v>1685</v>
      </c>
    </row>
    <row r="2957" spans="1:5" hidden="1" x14ac:dyDescent="0.25">
      <c r="A2957">
        <v>1911</v>
      </c>
      <c r="B2957" t="s">
        <v>630</v>
      </c>
      <c r="C2957" t="s">
        <v>366</v>
      </c>
      <c r="D2957" t="str">
        <f t="shared" si="46"/>
        <v>EGE-SEF9310</v>
      </c>
      <c r="E2957" t="s">
        <v>1623</v>
      </c>
    </row>
    <row r="2958" spans="1:5" hidden="1" x14ac:dyDescent="0.25">
      <c r="A2958">
        <v>1911</v>
      </c>
      <c r="B2958" t="s">
        <v>630</v>
      </c>
      <c r="C2958" t="s">
        <v>391</v>
      </c>
      <c r="D2958" t="str">
        <f t="shared" si="46"/>
        <v>EGE-SEF9314</v>
      </c>
      <c r="E2958" t="s">
        <v>1623</v>
      </c>
    </row>
    <row r="2959" spans="1:5" hidden="1" x14ac:dyDescent="0.25">
      <c r="A2959">
        <v>1911</v>
      </c>
      <c r="B2959" t="s">
        <v>630</v>
      </c>
      <c r="C2959" t="s">
        <v>1811</v>
      </c>
      <c r="D2959" t="str">
        <f t="shared" si="46"/>
        <v>EGE-SEF9333</v>
      </c>
      <c r="E2959" t="s">
        <v>1623</v>
      </c>
    </row>
    <row r="2960" spans="1:5" hidden="1" x14ac:dyDescent="0.25">
      <c r="A2960">
        <v>1911</v>
      </c>
      <c r="B2960" t="s">
        <v>630</v>
      </c>
      <c r="C2960" t="s">
        <v>1812</v>
      </c>
      <c r="D2960" t="str">
        <f t="shared" si="46"/>
        <v>EGE-SEF9334</v>
      </c>
      <c r="E2960" t="s">
        <v>1623</v>
      </c>
    </row>
    <row r="2961" spans="1:5" hidden="1" x14ac:dyDescent="0.25">
      <c r="A2961">
        <v>1911</v>
      </c>
      <c r="B2961" t="s">
        <v>630</v>
      </c>
      <c r="C2961" t="s">
        <v>1813</v>
      </c>
      <c r="D2961" t="str">
        <f t="shared" si="46"/>
        <v>EGE-SEF9335</v>
      </c>
      <c r="E2961" t="s">
        <v>1623</v>
      </c>
    </row>
    <row r="2962" spans="1:5" hidden="1" x14ac:dyDescent="0.25">
      <c r="A2962">
        <v>1911</v>
      </c>
      <c r="B2962" t="s">
        <v>630</v>
      </c>
      <c r="C2962" t="s">
        <v>1687</v>
      </c>
      <c r="D2962" t="str">
        <f t="shared" si="46"/>
        <v>EGE-SEF9399</v>
      </c>
      <c r="E2962" t="s">
        <v>1623</v>
      </c>
    </row>
    <row r="2963" spans="1:5" hidden="1" x14ac:dyDescent="0.25">
      <c r="A2963">
        <v>1911</v>
      </c>
      <c r="B2963" t="s">
        <v>630</v>
      </c>
      <c r="C2963" t="s">
        <v>1814</v>
      </c>
      <c r="D2963" t="str">
        <f t="shared" si="46"/>
        <v>EGE-SEF9701</v>
      </c>
      <c r="E2963" t="s">
        <v>1623</v>
      </c>
    </row>
    <row r="2964" spans="1:5" hidden="1" x14ac:dyDescent="0.25">
      <c r="A2964">
        <v>1915</v>
      </c>
      <c r="B2964" t="s">
        <v>631</v>
      </c>
      <c r="C2964" t="s">
        <v>1729</v>
      </c>
      <c r="D2964" t="str">
        <f t="shared" si="46"/>
        <v>PART.EMPRESAS9201</v>
      </c>
      <c r="E2964" t="s">
        <v>1685</v>
      </c>
    </row>
    <row r="2965" spans="1:5" hidden="1" x14ac:dyDescent="0.25">
      <c r="A2965">
        <v>1941</v>
      </c>
      <c r="B2965" t="e">
        <v>#N/A</v>
      </c>
      <c r="C2965" t="s">
        <v>291</v>
      </c>
      <c r="D2965" t="e">
        <f t="shared" si="46"/>
        <v>#N/A</v>
      </c>
      <c r="E2965" t="s">
        <v>1689</v>
      </c>
    </row>
    <row r="2966" spans="1:5" hidden="1" x14ac:dyDescent="0.25">
      <c r="A2966">
        <v>1941</v>
      </c>
      <c r="B2966" t="e">
        <v>#N/A</v>
      </c>
      <c r="C2966" t="s">
        <v>392</v>
      </c>
      <c r="D2966" t="e">
        <f t="shared" si="46"/>
        <v>#N/A</v>
      </c>
      <c r="E2966" t="s">
        <v>1689</v>
      </c>
    </row>
    <row r="2967" spans="1:5" hidden="1" x14ac:dyDescent="0.25">
      <c r="A2967">
        <v>1941</v>
      </c>
      <c r="B2967" t="e">
        <v>#N/A</v>
      </c>
      <c r="C2967" t="s">
        <v>1690</v>
      </c>
      <c r="D2967" t="e">
        <f t="shared" si="46"/>
        <v>#N/A</v>
      </c>
      <c r="E2967" t="s">
        <v>64</v>
      </c>
    </row>
    <row r="2968" spans="1:5" hidden="1" x14ac:dyDescent="0.25">
      <c r="A2968">
        <v>1941</v>
      </c>
      <c r="B2968" t="e">
        <v>#N/A</v>
      </c>
      <c r="C2968" t="s">
        <v>325</v>
      </c>
      <c r="D2968" t="e">
        <f t="shared" si="46"/>
        <v>#N/A</v>
      </c>
      <c r="E2968" t="s">
        <v>1623</v>
      </c>
    </row>
    <row r="2969" spans="1:5" hidden="1" x14ac:dyDescent="0.25">
      <c r="A2969">
        <v>1941</v>
      </c>
      <c r="B2969" t="e">
        <v>#N/A</v>
      </c>
      <c r="C2969" t="s">
        <v>442</v>
      </c>
      <c r="D2969" t="e">
        <f t="shared" si="46"/>
        <v>#N/A</v>
      </c>
      <c r="E2969" t="s">
        <v>1646</v>
      </c>
    </row>
    <row r="2970" spans="1:5" hidden="1" x14ac:dyDescent="0.25">
      <c r="A2970">
        <v>1941</v>
      </c>
      <c r="B2970" t="e">
        <v>#N/A</v>
      </c>
      <c r="C2970" t="s">
        <v>1647</v>
      </c>
      <c r="D2970" t="e">
        <f t="shared" si="46"/>
        <v>#N/A</v>
      </c>
      <c r="E2970" t="s">
        <v>1648</v>
      </c>
    </row>
    <row r="2971" spans="1:5" hidden="1" x14ac:dyDescent="0.25">
      <c r="A2971">
        <v>1941</v>
      </c>
      <c r="B2971" t="e">
        <v>#N/A</v>
      </c>
      <c r="C2971" t="s">
        <v>1652</v>
      </c>
      <c r="D2971" t="e">
        <f t="shared" si="46"/>
        <v>#N/A</v>
      </c>
      <c r="E2971" t="s">
        <v>93</v>
      </c>
    </row>
    <row r="2972" spans="1:5" hidden="1" x14ac:dyDescent="0.25">
      <c r="A2972">
        <v>1941</v>
      </c>
      <c r="B2972" t="e">
        <v>#N/A</v>
      </c>
      <c r="C2972" t="s">
        <v>1761</v>
      </c>
      <c r="D2972" t="e">
        <f t="shared" si="46"/>
        <v>#N/A</v>
      </c>
      <c r="E2972" t="s">
        <v>1623</v>
      </c>
    </row>
    <row r="2973" spans="1:5" hidden="1" x14ac:dyDescent="0.25">
      <c r="A2973">
        <v>1941</v>
      </c>
      <c r="B2973" t="e">
        <v>#N/A</v>
      </c>
      <c r="C2973" t="s">
        <v>1663</v>
      </c>
      <c r="D2973" t="e">
        <f t="shared" si="46"/>
        <v>#N/A</v>
      </c>
      <c r="E2973" t="s">
        <v>1623</v>
      </c>
    </row>
    <row r="2974" spans="1:5" hidden="1" x14ac:dyDescent="0.25">
      <c r="A2974">
        <v>1941</v>
      </c>
      <c r="B2974" t="e">
        <v>#N/A</v>
      </c>
      <c r="C2974" t="s">
        <v>1664</v>
      </c>
      <c r="D2974" t="e">
        <f t="shared" si="46"/>
        <v>#N/A</v>
      </c>
      <c r="E2974" t="s">
        <v>1648</v>
      </c>
    </row>
    <row r="2975" spans="1:5" hidden="1" x14ac:dyDescent="0.25">
      <c r="A2975">
        <v>1941</v>
      </c>
      <c r="B2975" t="e">
        <v>#N/A</v>
      </c>
      <c r="C2975" t="s">
        <v>1665</v>
      </c>
      <c r="D2975" t="e">
        <f t="shared" si="46"/>
        <v>#N/A</v>
      </c>
      <c r="E2975" t="s">
        <v>93</v>
      </c>
    </row>
    <row r="2976" spans="1:5" hidden="1" x14ac:dyDescent="0.25">
      <c r="A2976">
        <v>1941</v>
      </c>
      <c r="B2976" t="e">
        <v>#N/A</v>
      </c>
      <c r="C2976" t="s">
        <v>314</v>
      </c>
      <c r="D2976" t="e">
        <f t="shared" si="46"/>
        <v>#N/A</v>
      </c>
      <c r="E2976" t="s">
        <v>1623</v>
      </c>
    </row>
    <row r="2977" spans="1:5" hidden="1" x14ac:dyDescent="0.25">
      <c r="A2977">
        <v>1941</v>
      </c>
      <c r="B2977" t="e">
        <v>#N/A</v>
      </c>
      <c r="C2977" t="s">
        <v>363</v>
      </c>
      <c r="D2977" t="e">
        <f t="shared" si="46"/>
        <v>#N/A</v>
      </c>
      <c r="E2977" t="s">
        <v>1669</v>
      </c>
    </row>
    <row r="2978" spans="1:5" hidden="1" x14ac:dyDescent="0.25">
      <c r="A2978">
        <v>1941</v>
      </c>
      <c r="B2978" t="e">
        <v>#N/A</v>
      </c>
      <c r="C2978" t="s">
        <v>1712</v>
      </c>
      <c r="D2978" t="e">
        <f t="shared" si="46"/>
        <v>#N/A</v>
      </c>
      <c r="E2978" t="s">
        <v>64</v>
      </c>
    </row>
    <row r="2979" spans="1:5" hidden="1" x14ac:dyDescent="0.25">
      <c r="A2979">
        <v>1941</v>
      </c>
      <c r="B2979" t="e">
        <v>#N/A</v>
      </c>
      <c r="C2979" t="s">
        <v>1815</v>
      </c>
      <c r="D2979" t="e">
        <f t="shared" si="46"/>
        <v>#N/A</v>
      </c>
      <c r="E2979" t="s">
        <v>1623</v>
      </c>
    </row>
    <row r="2980" spans="1:5" hidden="1" x14ac:dyDescent="0.25">
      <c r="A2980">
        <v>1941</v>
      </c>
      <c r="B2980" t="e">
        <v>#N/A</v>
      </c>
      <c r="C2980" t="s">
        <v>1723</v>
      </c>
      <c r="D2980" t="e">
        <f t="shared" si="46"/>
        <v>#N/A</v>
      </c>
      <c r="E2980" t="s">
        <v>1724</v>
      </c>
    </row>
    <row r="2981" spans="1:5" hidden="1" x14ac:dyDescent="0.25">
      <c r="A2981">
        <v>2011</v>
      </c>
      <c r="B2981" t="s">
        <v>570</v>
      </c>
      <c r="C2981" t="s">
        <v>1816</v>
      </c>
      <c r="D2981" t="str">
        <f t="shared" si="46"/>
        <v>IPSEMG0802</v>
      </c>
      <c r="E2981" t="s">
        <v>1596</v>
      </c>
    </row>
    <row r="2982" spans="1:5" hidden="1" x14ac:dyDescent="0.25">
      <c r="A2982">
        <v>2011</v>
      </c>
      <c r="B2982" t="s">
        <v>570</v>
      </c>
      <c r="C2982" t="s">
        <v>1795</v>
      </c>
      <c r="D2982" t="str">
        <f t="shared" si="46"/>
        <v>IPSEMG0805</v>
      </c>
      <c r="E2982" t="s">
        <v>1596</v>
      </c>
    </row>
    <row r="2983" spans="1:5" hidden="1" x14ac:dyDescent="0.25">
      <c r="A2983">
        <v>2011</v>
      </c>
      <c r="B2983" t="s">
        <v>570</v>
      </c>
      <c r="C2983" t="s">
        <v>1759</v>
      </c>
      <c r="D2983" t="str">
        <f t="shared" si="46"/>
        <v>IPSEMG0899</v>
      </c>
      <c r="E2983" t="s">
        <v>1596</v>
      </c>
    </row>
    <row r="2984" spans="1:5" hidden="1" x14ac:dyDescent="0.25">
      <c r="A2984">
        <v>2011</v>
      </c>
      <c r="B2984" t="s">
        <v>570</v>
      </c>
      <c r="C2984" t="s">
        <v>217</v>
      </c>
      <c r="D2984" t="str">
        <f t="shared" si="46"/>
        <v>IPSEMG1304</v>
      </c>
      <c r="E2984" t="s">
        <v>1689</v>
      </c>
    </row>
    <row r="2985" spans="1:5" hidden="1" x14ac:dyDescent="0.25">
      <c r="A2985">
        <v>2011</v>
      </c>
      <c r="B2985" t="s">
        <v>570</v>
      </c>
      <c r="C2985" t="s">
        <v>1737</v>
      </c>
      <c r="D2985" t="str">
        <f t="shared" si="46"/>
        <v>IPSEMG1307</v>
      </c>
      <c r="E2985" t="s">
        <v>1689</v>
      </c>
    </row>
    <row r="2986" spans="1:5" hidden="1" x14ac:dyDescent="0.25">
      <c r="A2986">
        <v>2011</v>
      </c>
      <c r="B2986" t="s">
        <v>570</v>
      </c>
      <c r="C2986" t="s">
        <v>1730</v>
      </c>
      <c r="D2986" t="str">
        <f t="shared" si="46"/>
        <v>IPSEMG1313</v>
      </c>
      <c r="E2986" t="s">
        <v>1606</v>
      </c>
    </row>
    <row r="2987" spans="1:5" hidden="1" x14ac:dyDescent="0.25">
      <c r="A2987">
        <v>2011</v>
      </c>
      <c r="B2987" t="s">
        <v>570</v>
      </c>
      <c r="C2987" t="s">
        <v>1688</v>
      </c>
      <c r="D2987" t="str">
        <f t="shared" si="46"/>
        <v>IPSEMG1317</v>
      </c>
      <c r="E2987" t="s">
        <v>1689</v>
      </c>
    </row>
    <row r="2988" spans="1:5" hidden="1" x14ac:dyDescent="0.25">
      <c r="A2988">
        <v>2011</v>
      </c>
      <c r="B2988" t="s">
        <v>570</v>
      </c>
      <c r="C2988" t="s">
        <v>1796</v>
      </c>
      <c r="D2988" t="str">
        <f t="shared" si="46"/>
        <v>IPSEMG1323</v>
      </c>
      <c r="E2988" t="s">
        <v>1606</v>
      </c>
    </row>
    <row r="2989" spans="1:5" hidden="1" x14ac:dyDescent="0.25">
      <c r="A2989">
        <v>2011</v>
      </c>
      <c r="B2989" t="s">
        <v>570</v>
      </c>
      <c r="C2989" t="s">
        <v>1597</v>
      </c>
      <c r="D2989" t="str">
        <f t="shared" si="46"/>
        <v>IPSEMG1401</v>
      </c>
      <c r="E2989" t="s">
        <v>43</v>
      </c>
    </row>
    <row r="2990" spans="1:5" hidden="1" x14ac:dyDescent="0.25">
      <c r="A2990">
        <v>2011</v>
      </c>
      <c r="B2990" t="s">
        <v>570</v>
      </c>
      <c r="C2990" t="s">
        <v>1599</v>
      </c>
      <c r="D2990" t="str">
        <f t="shared" si="46"/>
        <v>IPSEMG3001</v>
      </c>
      <c r="E2990" t="s">
        <v>1600</v>
      </c>
    </row>
    <row r="2991" spans="1:5" hidden="1" x14ac:dyDescent="0.25">
      <c r="A2991">
        <v>2011</v>
      </c>
      <c r="B2991" t="s">
        <v>570</v>
      </c>
      <c r="C2991" t="s">
        <v>1601</v>
      </c>
      <c r="D2991" t="str">
        <f t="shared" si="46"/>
        <v>IPSEMG3003</v>
      </c>
      <c r="E2991" t="s">
        <v>1600</v>
      </c>
    </row>
    <row r="2992" spans="1:5" hidden="1" x14ac:dyDescent="0.25">
      <c r="A2992">
        <v>2011</v>
      </c>
      <c r="B2992" t="s">
        <v>570</v>
      </c>
      <c r="C2992" t="s">
        <v>1602</v>
      </c>
      <c r="D2992" t="str">
        <f t="shared" si="46"/>
        <v>IPSEMG3004</v>
      </c>
      <c r="E2992" t="s">
        <v>1600</v>
      </c>
    </row>
    <row r="2993" spans="1:5" hidden="1" x14ac:dyDescent="0.25">
      <c r="A2993">
        <v>2011</v>
      </c>
      <c r="B2993" t="s">
        <v>570</v>
      </c>
      <c r="C2993" t="s">
        <v>1603</v>
      </c>
      <c r="D2993" t="str">
        <f t="shared" si="46"/>
        <v>IPSEMG3005</v>
      </c>
      <c r="E2993" t="s">
        <v>1600</v>
      </c>
    </row>
    <row r="2994" spans="1:5" hidden="1" x14ac:dyDescent="0.25">
      <c r="A2994">
        <v>2011</v>
      </c>
      <c r="B2994" t="s">
        <v>570</v>
      </c>
      <c r="C2994" t="s">
        <v>332</v>
      </c>
      <c r="D2994" t="str">
        <f t="shared" si="46"/>
        <v>IPSEMG3007</v>
      </c>
      <c r="E2994" t="s">
        <v>1600</v>
      </c>
    </row>
    <row r="2995" spans="1:5" hidden="1" x14ac:dyDescent="0.25">
      <c r="A2995">
        <v>2011</v>
      </c>
      <c r="B2995" t="s">
        <v>570</v>
      </c>
      <c r="C2995" t="s">
        <v>1604</v>
      </c>
      <c r="D2995" t="str">
        <f t="shared" si="46"/>
        <v>IPSEMG3008</v>
      </c>
      <c r="E2995" t="s">
        <v>1600</v>
      </c>
    </row>
    <row r="2996" spans="1:5" hidden="1" x14ac:dyDescent="0.25">
      <c r="A2996">
        <v>2011</v>
      </c>
      <c r="B2996" t="s">
        <v>570</v>
      </c>
      <c r="C2996" t="s">
        <v>1605</v>
      </c>
      <c r="D2996" t="str">
        <f t="shared" si="46"/>
        <v>IPSEMG3010</v>
      </c>
      <c r="E2996" t="s">
        <v>1606</v>
      </c>
    </row>
    <row r="2997" spans="1:5" hidden="1" x14ac:dyDescent="0.25">
      <c r="A2997">
        <v>2011</v>
      </c>
      <c r="B2997" t="s">
        <v>570</v>
      </c>
      <c r="C2997" t="s">
        <v>368</v>
      </c>
      <c r="D2997" t="str">
        <f t="shared" si="46"/>
        <v>IPSEMG3011</v>
      </c>
      <c r="E2997" t="s">
        <v>1600</v>
      </c>
    </row>
    <row r="2998" spans="1:5" hidden="1" x14ac:dyDescent="0.25">
      <c r="A2998">
        <v>2011</v>
      </c>
      <c r="B2998" t="s">
        <v>570</v>
      </c>
      <c r="C2998" t="s">
        <v>137</v>
      </c>
      <c r="D2998" t="str">
        <f t="shared" si="46"/>
        <v>IPSEMG3012</v>
      </c>
      <c r="E2998" t="s">
        <v>1606</v>
      </c>
    </row>
    <row r="2999" spans="1:5" hidden="1" x14ac:dyDescent="0.25">
      <c r="A2999">
        <v>2011</v>
      </c>
      <c r="B2999" t="s">
        <v>570</v>
      </c>
      <c r="C2999" t="s">
        <v>1607</v>
      </c>
      <c r="D2999" t="str">
        <f t="shared" si="46"/>
        <v>IPSEMG3013</v>
      </c>
      <c r="E2999" t="s">
        <v>1600</v>
      </c>
    </row>
    <row r="3000" spans="1:5" hidden="1" x14ac:dyDescent="0.25">
      <c r="A3000">
        <v>2011</v>
      </c>
      <c r="B3000" t="s">
        <v>570</v>
      </c>
      <c r="C3000" t="s">
        <v>387</v>
      </c>
      <c r="D3000" t="str">
        <f t="shared" si="46"/>
        <v>IPSEMG3014</v>
      </c>
      <c r="E3000" t="s">
        <v>1600</v>
      </c>
    </row>
    <row r="3001" spans="1:5" hidden="1" x14ac:dyDescent="0.25">
      <c r="A3001">
        <v>2011</v>
      </c>
      <c r="B3001" t="s">
        <v>570</v>
      </c>
      <c r="C3001" t="s">
        <v>1608</v>
      </c>
      <c r="D3001" t="str">
        <f t="shared" si="46"/>
        <v>IPSEMG3015</v>
      </c>
      <c r="E3001" t="s">
        <v>1600</v>
      </c>
    </row>
    <row r="3002" spans="1:5" hidden="1" x14ac:dyDescent="0.25">
      <c r="A3002">
        <v>2011</v>
      </c>
      <c r="B3002" t="s">
        <v>570</v>
      </c>
      <c r="C3002" t="s">
        <v>1609</v>
      </c>
      <c r="D3002" t="str">
        <f t="shared" si="46"/>
        <v>IPSEMG3016</v>
      </c>
      <c r="E3002" t="s">
        <v>1600</v>
      </c>
    </row>
    <row r="3003" spans="1:5" hidden="1" x14ac:dyDescent="0.25">
      <c r="A3003">
        <v>2011</v>
      </c>
      <c r="B3003" t="s">
        <v>570</v>
      </c>
      <c r="C3003" t="s">
        <v>405</v>
      </c>
      <c r="D3003" t="str">
        <f t="shared" si="46"/>
        <v>IPSEMG3017</v>
      </c>
      <c r="E3003" t="s">
        <v>1600</v>
      </c>
    </row>
    <row r="3004" spans="1:5" hidden="1" x14ac:dyDescent="0.25">
      <c r="A3004">
        <v>2011</v>
      </c>
      <c r="B3004" t="s">
        <v>570</v>
      </c>
      <c r="C3004" t="s">
        <v>410</v>
      </c>
      <c r="D3004" t="str">
        <f t="shared" si="46"/>
        <v>IPSEMG3018</v>
      </c>
      <c r="E3004" t="s">
        <v>1600</v>
      </c>
    </row>
    <row r="3005" spans="1:5" hidden="1" x14ac:dyDescent="0.25">
      <c r="A3005">
        <v>2011</v>
      </c>
      <c r="B3005" t="s">
        <v>570</v>
      </c>
      <c r="C3005" t="s">
        <v>1610</v>
      </c>
      <c r="D3005" t="str">
        <f t="shared" si="46"/>
        <v>IPSEMG3019</v>
      </c>
      <c r="E3005" t="s">
        <v>1611</v>
      </c>
    </row>
    <row r="3006" spans="1:5" hidden="1" x14ac:dyDescent="0.25">
      <c r="A3006">
        <v>2011</v>
      </c>
      <c r="B3006" t="s">
        <v>570</v>
      </c>
      <c r="C3006" t="s">
        <v>1612</v>
      </c>
      <c r="D3006" t="str">
        <f t="shared" si="46"/>
        <v>IPSEMG3020</v>
      </c>
      <c r="E3006" t="s">
        <v>1600</v>
      </c>
    </row>
    <row r="3007" spans="1:5" hidden="1" x14ac:dyDescent="0.25">
      <c r="A3007">
        <v>2011</v>
      </c>
      <c r="B3007" t="s">
        <v>570</v>
      </c>
      <c r="C3007" t="s">
        <v>1613</v>
      </c>
      <c r="D3007" t="str">
        <f t="shared" si="46"/>
        <v>IPSEMG3021</v>
      </c>
      <c r="E3007" t="s">
        <v>1600</v>
      </c>
    </row>
    <row r="3008" spans="1:5" hidden="1" x14ac:dyDescent="0.25">
      <c r="A3008">
        <v>2011</v>
      </c>
      <c r="B3008" t="s">
        <v>570</v>
      </c>
      <c r="C3008" t="s">
        <v>430</v>
      </c>
      <c r="D3008" t="str">
        <f t="shared" si="46"/>
        <v>IPSEMG3022</v>
      </c>
      <c r="E3008" t="s">
        <v>1600</v>
      </c>
    </row>
    <row r="3009" spans="1:5" hidden="1" x14ac:dyDescent="0.25">
      <c r="A3009">
        <v>2011</v>
      </c>
      <c r="B3009" t="s">
        <v>570</v>
      </c>
      <c r="C3009" t="s">
        <v>440</v>
      </c>
      <c r="D3009" t="str">
        <f t="shared" si="46"/>
        <v>IPSEMG3024</v>
      </c>
      <c r="E3009" t="s">
        <v>1600</v>
      </c>
    </row>
    <row r="3010" spans="1:5" hidden="1" x14ac:dyDescent="0.25">
      <c r="A3010">
        <v>2011</v>
      </c>
      <c r="B3010" t="s">
        <v>570</v>
      </c>
      <c r="C3010" t="s">
        <v>1616</v>
      </c>
      <c r="D3010" t="str">
        <f t="shared" si="46"/>
        <v>IPSEMG3025</v>
      </c>
      <c r="E3010" t="s">
        <v>1600</v>
      </c>
    </row>
    <row r="3011" spans="1:5" hidden="1" x14ac:dyDescent="0.25">
      <c r="A3011">
        <v>2011</v>
      </c>
      <c r="B3011" t="s">
        <v>570</v>
      </c>
      <c r="C3011" t="s">
        <v>1617</v>
      </c>
      <c r="D3011" t="str">
        <f t="shared" si="46"/>
        <v>IPSEMG3026</v>
      </c>
      <c r="E3011" t="s">
        <v>1615</v>
      </c>
    </row>
    <row r="3012" spans="1:5" hidden="1" x14ac:dyDescent="0.25">
      <c r="A3012">
        <v>2011</v>
      </c>
      <c r="B3012" t="s">
        <v>570</v>
      </c>
      <c r="C3012" t="s">
        <v>1618</v>
      </c>
      <c r="D3012" t="str">
        <f t="shared" si="46"/>
        <v>IPSEMG3027</v>
      </c>
      <c r="E3012" t="s">
        <v>1600</v>
      </c>
    </row>
    <row r="3013" spans="1:5" hidden="1" x14ac:dyDescent="0.25">
      <c r="A3013">
        <v>2011</v>
      </c>
      <c r="B3013" t="s">
        <v>570</v>
      </c>
      <c r="C3013" t="s">
        <v>466</v>
      </c>
      <c r="D3013" t="str">
        <f t="shared" ref="D3013:D3076" si="47">CONCATENATE(B3013,LEFT(C3013,4))</f>
        <v>IPSEMG3030</v>
      </c>
      <c r="E3013" t="s">
        <v>1600</v>
      </c>
    </row>
    <row r="3014" spans="1:5" hidden="1" x14ac:dyDescent="0.25">
      <c r="A3014">
        <v>2011</v>
      </c>
      <c r="B3014" t="s">
        <v>570</v>
      </c>
      <c r="C3014" t="s">
        <v>469</v>
      </c>
      <c r="D3014" t="str">
        <f t="shared" si="47"/>
        <v>IPSEMG3031</v>
      </c>
      <c r="E3014" t="s">
        <v>1600</v>
      </c>
    </row>
    <row r="3015" spans="1:5" hidden="1" x14ac:dyDescent="0.25">
      <c r="A3015">
        <v>2011</v>
      </c>
      <c r="B3015" t="s">
        <v>570</v>
      </c>
      <c r="C3015" t="s">
        <v>486</v>
      </c>
      <c r="D3015" t="str">
        <f t="shared" si="47"/>
        <v>IPSEMG3040</v>
      </c>
      <c r="E3015" t="s">
        <v>1600</v>
      </c>
    </row>
    <row r="3016" spans="1:5" hidden="1" x14ac:dyDescent="0.25">
      <c r="A3016">
        <v>2011</v>
      </c>
      <c r="B3016" t="s">
        <v>570</v>
      </c>
      <c r="C3016" t="s">
        <v>490</v>
      </c>
      <c r="D3016" t="str">
        <f t="shared" si="47"/>
        <v>IPSEMG3099</v>
      </c>
      <c r="E3016" t="s">
        <v>1600</v>
      </c>
    </row>
    <row r="3017" spans="1:5" hidden="1" x14ac:dyDescent="0.25">
      <c r="A3017">
        <v>2011</v>
      </c>
      <c r="B3017" t="s">
        <v>570</v>
      </c>
      <c r="C3017" t="s">
        <v>53</v>
      </c>
      <c r="D3017" t="str">
        <f t="shared" si="47"/>
        <v>IPSEMG3301</v>
      </c>
      <c r="E3017" t="s">
        <v>43</v>
      </c>
    </row>
    <row r="3018" spans="1:5" hidden="1" x14ac:dyDescent="0.25">
      <c r="A3018">
        <v>2011</v>
      </c>
      <c r="B3018" t="s">
        <v>570</v>
      </c>
      <c r="C3018" t="s">
        <v>1626</v>
      </c>
      <c r="D3018" t="str">
        <f t="shared" si="47"/>
        <v>IPSEMG3302</v>
      </c>
      <c r="E3018" t="s">
        <v>43</v>
      </c>
    </row>
    <row r="3019" spans="1:5" hidden="1" x14ac:dyDescent="0.25">
      <c r="A3019">
        <v>2011</v>
      </c>
      <c r="B3019" t="s">
        <v>570</v>
      </c>
      <c r="C3019" t="s">
        <v>1627</v>
      </c>
      <c r="D3019" t="str">
        <f t="shared" si="47"/>
        <v>IPSEMG3304</v>
      </c>
      <c r="E3019" t="s">
        <v>43</v>
      </c>
    </row>
    <row r="3020" spans="1:5" hidden="1" x14ac:dyDescent="0.25">
      <c r="A3020">
        <v>2011</v>
      </c>
      <c r="B3020" t="s">
        <v>570</v>
      </c>
      <c r="C3020" t="s">
        <v>308</v>
      </c>
      <c r="D3020" t="str">
        <f t="shared" si="47"/>
        <v>IPSEMG3305</v>
      </c>
      <c r="E3020" t="s">
        <v>1623</v>
      </c>
    </row>
    <row r="3021" spans="1:5" hidden="1" x14ac:dyDescent="0.25">
      <c r="A3021">
        <v>2011</v>
      </c>
      <c r="B3021" t="s">
        <v>570</v>
      </c>
      <c r="C3021" t="s">
        <v>295</v>
      </c>
      <c r="D3021" t="str">
        <f t="shared" si="47"/>
        <v>IPSEMG3404</v>
      </c>
      <c r="E3021" t="s">
        <v>1689</v>
      </c>
    </row>
    <row r="3022" spans="1:5" hidden="1" x14ac:dyDescent="0.25">
      <c r="A3022">
        <v>2011</v>
      </c>
      <c r="B3022" t="s">
        <v>570</v>
      </c>
      <c r="C3022" t="s">
        <v>260</v>
      </c>
      <c r="D3022" t="str">
        <f t="shared" si="47"/>
        <v>IPSEMG3602</v>
      </c>
      <c r="E3022" t="s">
        <v>1606</v>
      </c>
    </row>
    <row r="3023" spans="1:5" hidden="1" x14ac:dyDescent="0.25">
      <c r="A3023">
        <v>2011</v>
      </c>
      <c r="B3023" t="s">
        <v>570</v>
      </c>
      <c r="C3023" t="s">
        <v>1817</v>
      </c>
      <c r="D3023" t="str">
        <f t="shared" si="47"/>
        <v>IPSEMG3608</v>
      </c>
      <c r="E3023" t="s">
        <v>1606</v>
      </c>
    </row>
    <row r="3024" spans="1:5" hidden="1" x14ac:dyDescent="0.25">
      <c r="A3024">
        <v>2011</v>
      </c>
      <c r="B3024" t="s">
        <v>570</v>
      </c>
      <c r="C3024" t="s">
        <v>344</v>
      </c>
      <c r="D3024" t="str">
        <f t="shared" si="47"/>
        <v>IPSEMG3609</v>
      </c>
      <c r="E3024" t="s">
        <v>1623</v>
      </c>
    </row>
    <row r="3025" spans="1:5" hidden="1" x14ac:dyDescent="0.25">
      <c r="A3025">
        <v>2011</v>
      </c>
      <c r="B3025" t="s">
        <v>570</v>
      </c>
      <c r="C3025" t="s">
        <v>354</v>
      </c>
      <c r="D3025" t="str">
        <f t="shared" si="47"/>
        <v>IPSEMG3610</v>
      </c>
      <c r="E3025" t="s">
        <v>1623</v>
      </c>
    </row>
    <row r="3026" spans="1:5" hidden="1" x14ac:dyDescent="0.25">
      <c r="A3026">
        <v>2011</v>
      </c>
      <c r="B3026" t="s">
        <v>570</v>
      </c>
      <c r="C3026" t="s">
        <v>1707</v>
      </c>
      <c r="D3026" t="str">
        <f t="shared" si="47"/>
        <v>IPSEMG3611</v>
      </c>
      <c r="E3026" t="s">
        <v>1692</v>
      </c>
    </row>
    <row r="3027" spans="1:5" hidden="1" x14ac:dyDescent="0.25">
      <c r="A3027">
        <v>2011</v>
      </c>
      <c r="B3027" t="s">
        <v>570</v>
      </c>
      <c r="C3027" t="s">
        <v>1628</v>
      </c>
      <c r="D3027" t="str">
        <f t="shared" si="47"/>
        <v>IPSEMG3612</v>
      </c>
      <c r="E3027" t="s">
        <v>1623</v>
      </c>
    </row>
    <row r="3028" spans="1:5" hidden="1" x14ac:dyDescent="0.25">
      <c r="A3028">
        <v>2011</v>
      </c>
      <c r="B3028" t="s">
        <v>570</v>
      </c>
      <c r="C3028" t="s">
        <v>400</v>
      </c>
      <c r="D3028" t="str">
        <f t="shared" si="47"/>
        <v>IPSEMG3617</v>
      </c>
      <c r="E3028" t="s">
        <v>1623</v>
      </c>
    </row>
    <row r="3029" spans="1:5" hidden="1" x14ac:dyDescent="0.25">
      <c r="A3029">
        <v>2011</v>
      </c>
      <c r="B3029" t="s">
        <v>570</v>
      </c>
      <c r="C3029" t="s">
        <v>1818</v>
      </c>
      <c r="D3029" t="str">
        <f t="shared" si="47"/>
        <v>IPSEMG3624</v>
      </c>
      <c r="E3029" t="s">
        <v>1623</v>
      </c>
    </row>
    <row r="3030" spans="1:5" hidden="1" x14ac:dyDescent="0.25">
      <c r="A3030">
        <v>2011</v>
      </c>
      <c r="B3030" t="s">
        <v>570</v>
      </c>
      <c r="C3030" t="s">
        <v>1819</v>
      </c>
      <c r="D3030" t="str">
        <f t="shared" si="47"/>
        <v>IPSEMG3632</v>
      </c>
      <c r="E3030" t="s">
        <v>1623</v>
      </c>
    </row>
    <row r="3031" spans="1:5" hidden="1" x14ac:dyDescent="0.25">
      <c r="A3031">
        <v>2011</v>
      </c>
      <c r="B3031" t="s">
        <v>570</v>
      </c>
      <c r="C3031" t="s">
        <v>470</v>
      </c>
      <c r="D3031" t="str">
        <f t="shared" si="47"/>
        <v>IPSEMG3699</v>
      </c>
      <c r="E3031" t="s">
        <v>1623</v>
      </c>
    </row>
    <row r="3032" spans="1:5" hidden="1" x14ac:dyDescent="0.25">
      <c r="A3032">
        <v>2011</v>
      </c>
      <c r="B3032" t="s">
        <v>570</v>
      </c>
      <c r="C3032" t="s">
        <v>1629</v>
      </c>
      <c r="D3032" t="str">
        <f t="shared" si="47"/>
        <v>IPSEMG3701</v>
      </c>
      <c r="E3032" t="s">
        <v>1630</v>
      </c>
    </row>
    <row r="3033" spans="1:5" hidden="1" x14ac:dyDescent="0.25">
      <c r="A3033">
        <v>2011</v>
      </c>
      <c r="B3033" t="s">
        <v>570</v>
      </c>
      <c r="C3033" t="s">
        <v>1693</v>
      </c>
      <c r="D3033" t="str">
        <f t="shared" si="47"/>
        <v>IPSEMG3702</v>
      </c>
      <c r="E3033" t="s">
        <v>1630</v>
      </c>
    </row>
    <row r="3034" spans="1:5" hidden="1" x14ac:dyDescent="0.25">
      <c r="A3034">
        <v>2011</v>
      </c>
      <c r="B3034" t="s">
        <v>570</v>
      </c>
      <c r="C3034" t="s">
        <v>1631</v>
      </c>
      <c r="D3034" t="str">
        <f t="shared" si="47"/>
        <v>IPSEMG3703</v>
      </c>
      <c r="E3034" t="s">
        <v>116</v>
      </c>
    </row>
    <row r="3035" spans="1:5" hidden="1" x14ac:dyDescent="0.25">
      <c r="A3035">
        <v>2011</v>
      </c>
      <c r="B3035" t="s">
        <v>570</v>
      </c>
      <c r="C3035" t="s">
        <v>1632</v>
      </c>
      <c r="D3035" t="str">
        <f t="shared" si="47"/>
        <v>IPSEMG3704</v>
      </c>
      <c r="E3035" t="s">
        <v>116</v>
      </c>
    </row>
    <row r="3036" spans="1:5" hidden="1" x14ac:dyDescent="0.25">
      <c r="A3036">
        <v>2011</v>
      </c>
      <c r="B3036" t="s">
        <v>570</v>
      </c>
      <c r="C3036" t="s">
        <v>1633</v>
      </c>
      <c r="D3036" t="str">
        <f t="shared" si="47"/>
        <v>IPSEMG3705</v>
      </c>
      <c r="E3036" t="s">
        <v>116</v>
      </c>
    </row>
    <row r="3037" spans="1:5" hidden="1" x14ac:dyDescent="0.25">
      <c r="A3037">
        <v>2011</v>
      </c>
      <c r="B3037" t="s">
        <v>570</v>
      </c>
      <c r="C3037" t="s">
        <v>1634</v>
      </c>
      <c r="D3037" t="str">
        <f t="shared" si="47"/>
        <v>IPSEMG3903</v>
      </c>
      <c r="E3037" t="s">
        <v>86</v>
      </c>
    </row>
    <row r="3038" spans="1:5" hidden="1" x14ac:dyDescent="0.25">
      <c r="A3038">
        <v>2011</v>
      </c>
      <c r="B3038" t="s">
        <v>570</v>
      </c>
      <c r="C3038" t="s">
        <v>298</v>
      </c>
      <c r="D3038" t="str">
        <f t="shared" si="47"/>
        <v>IPSEMG3904</v>
      </c>
      <c r="E3038" t="s">
        <v>1623</v>
      </c>
    </row>
    <row r="3039" spans="1:5" hidden="1" x14ac:dyDescent="0.25">
      <c r="A3039">
        <v>2011</v>
      </c>
      <c r="B3039" t="s">
        <v>570</v>
      </c>
      <c r="C3039" t="s">
        <v>325</v>
      </c>
      <c r="D3039" t="str">
        <f t="shared" si="47"/>
        <v>IPSEMG3906</v>
      </c>
      <c r="E3039" t="s">
        <v>1623</v>
      </c>
    </row>
    <row r="3040" spans="1:5" hidden="1" x14ac:dyDescent="0.25">
      <c r="A3040">
        <v>2011</v>
      </c>
      <c r="B3040" t="s">
        <v>570</v>
      </c>
      <c r="C3040" t="s">
        <v>1635</v>
      </c>
      <c r="D3040" t="str">
        <f t="shared" si="47"/>
        <v>IPSEMG3908</v>
      </c>
      <c r="E3040" t="s">
        <v>1623</v>
      </c>
    </row>
    <row r="3041" spans="1:5" hidden="1" x14ac:dyDescent="0.25">
      <c r="A3041">
        <v>2011</v>
      </c>
      <c r="B3041" t="s">
        <v>570</v>
      </c>
      <c r="C3041" t="s">
        <v>335</v>
      </c>
      <c r="D3041" t="str">
        <f t="shared" si="47"/>
        <v>IPSEMG3909</v>
      </c>
      <c r="E3041" t="s">
        <v>1623</v>
      </c>
    </row>
    <row r="3042" spans="1:5" hidden="1" x14ac:dyDescent="0.25">
      <c r="A3042">
        <v>2011</v>
      </c>
      <c r="B3042" t="s">
        <v>570</v>
      </c>
      <c r="C3042" t="s">
        <v>345</v>
      </c>
      <c r="D3042" t="str">
        <f t="shared" si="47"/>
        <v>IPSEMG3910</v>
      </c>
      <c r="E3042" t="s">
        <v>1623</v>
      </c>
    </row>
    <row r="3043" spans="1:5" hidden="1" x14ac:dyDescent="0.25">
      <c r="A3043">
        <v>2011</v>
      </c>
      <c r="B3043" t="s">
        <v>570</v>
      </c>
      <c r="C3043" t="s">
        <v>355</v>
      </c>
      <c r="D3043" t="str">
        <f t="shared" si="47"/>
        <v>IPSEMG3911</v>
      </c>
      <c r="E3043" t="s">
        <v>1623</v>
      </c>
    </row>
    <row r="3044" spans="1:5" hidden="1" x14ac:dyDescent="0.25">
      <c r="A3044">
        <v>2011</v>
      </c>
      <c r="B3044" t="s">
        <v>570</v>
      </c>
      <c r="C3044" t="s">
        <v>1636</v>
      </c>
      <c r="D3044" t="str">
        <f t="shared" si="47"/>
        <v>IPSEMG3912</v>
      </c>
      <c r="E3044" t="s">
        <v>1637</v>
      </c>
    </row>
    <row r="3045" spans="1:5" hidden="1" x14ac:dyDescent="0.25">
      <c r="A3045">
        <v>2011</v>
      </c>
      <c r="B3045" t="s">
        <v>570</v>
      </c>
      <c r="C3045" t="s">
        <v>1638</v>
      </c>
      <c r="D3045" t="str">
        <f t="shared" si="47"/>
        <v>IPSEMG3913</v>
      </c>
      <c r="E3045" t="s">
        <v>1637</v>
      </c>
    </row>
    <row r="3046" spans="1:5" hidden="1" x14ac:dyDescent="0.25">
      <c r="A3046">
        <v>2011</v>
      </c>
      <c r="B3046" t="s">
        <v>570</v>
      </c>
      <c r="C3046" t="s">
        <v>376</v>
      </c>
      <c r="D3046" t="str">
        <f t="shared" si="47"/>
        <v>IPSEMG3914</v>
      </c>
      <c r="E3046" t="s">
        <v>1648</v>
      </c>
    </row>
    <row r="3047" spans="1:5" hidden="1" x14ac:dyDescent="0.25">
      <c r="A3047">
        <v>2011</v>
      </c>
      <c r="B3047" t="s">
        <v>570</v>
      </c>
      <c r="C3047" t="s">
        <v>383</v>
      </c>
      <c r="D3047" t="str">
        <f t="shared" si="47"/>
        <v>IPSEMG3915</v>
      </c>
      <c r="E3047" t="s">
        <v>1637</v>
      </c>
    </row>
    <row r="3048" spans="1:5" hidden="1" x14ac:dyDescent="0.25">
      <c r="A3048">
        <v>2011</v>
      </c>
      <c r="B3048" t="s">
        <v>570</v>
      </c>
      <c r="C3048" t="s">
        <v>1639</v>
      </c>
      <c r="D3048" t="str">
        <f t="shared" si="47"/>
        <v>IPSEMG3917</v>
      </c>
      <c r="E3048" t="s">
        <v>1615</v>
      </c>
    </row>
    <row r="3049" spans="1:5" hidden="1" x14ac:dyDescent="0.25">
      <c r="A3049">
        <v>2011</v>
      </c>
      <c r="B3049" t="s">
        <v>570</v>
      </c>
      <c r="C3049" t="s">
        <v>1640</v>
      </c>
      <c r="D3049" t="str">
        <f t="shared" si="47"/>
        <v>IPSEMG3918</v>
      </c>
      <c r="E3049" t="s">
        <v>1615</v>
      </c>
    </row>
    <row r="3050" spans="1:5" hidden="1" x14ac:dyDescent="0.25">
      <c r="A3050">
        <v>2011</v>
      </c>
      <c r="B3050" t="s">
        <v>570</v>
      </c>
      <c r="C3050" t="s">
        <v>1641</v>
      </c>
      <c r="D3050" t="str">
        <f t="shared" si="47"/>
        <v>IPSEMG3919</v>
      </c>
      <c r="E3050" t="s">
        <v>2102</v>
      </c>
    </row>
    <row r="3051" spans="1:5" hidden="1" x14ac:dyDescent="0.25">
      <c r="A3051">
        <v>2011</v>
      </c>
      <c r="B3051" t="s">
        <v>570</v>
      </c>
      <c r="C3051" t="s">
        <v>1694</v>
      </c>
      <c r="D3051" t="str">
        <f t="shared" si="47"/>
        <v>IPSEMG3920</v>
      </c>
      <c r="E3051" t="s">
        <v>1692</v>
      </c>
    </row>
    <row r="3052" spans="1:5" hidden="1" x14ac:dyDescent="0.25">
      <c r="A3052">
        <v>2011</v>
      </c>
      <c r="B3052" t="s">
        <v>570</v>
      </c>
      <c r="C3052" t="s">
        <v>1642</v>
      </c>
      <c r="D3052" t="str">
        <f t="shared" si="47"/>
        <v>IPSEMG3921</v>
      </c>
      <c r="E3052" t="s">
        <v>2102</v>
      </c>
    </row>
    <row r="3053" spans="1:5" hidden="1" x14ac:dyDescent="0.25">
      <c r="A3053">
        <v>2011</v>
      </c>
      <c r="B3053" t="s">
        <v>570</v>
      </c>
      <c r="C3053" t="s">
        <v>1643</v>
      </c>
      <c r="D3053" t="str">
        <f t="shared" si="47"/>
        <v>IPSEMG3922</v>
      </c>
      <c r="E3053" t="s">
        <v>1611</v>
      </c>
    </row>
    <row r="3054" spans="1:5" hidden="1" x14ac:dyDescent="0.25">
      <c r="A3054">
        <v>2011</v>
      </c>
      <c r="B3054" t="s">
        <v>570</v>
      </c>
      <c r="C3054" t="s">
        <v>1644</v>
      </c>
      <c r="D3054" t="str">
        <f t="shared" si="47"/>
        <v>IPSEMG3924</v>
      </c>
      <c r="E3054" t="s">
        <v>1645</v>
      </c>
    </row>
    <row r="3055" spans="1:5" hidden="1" x14ac:dyDescent="0.25">
      <c r="A3055">
        <v>2011</v>
      </c>
      <c r="B3055" t="s">
        <v>570</v>
      </c>
      <c r="C3055" t="s">
        <v>437</v>
      </c>
      <c r="D3055" t="str">
        <f t="shared" si="47"/>
        <v>IPSEMG3925</v>
      </c>
      <c r="E3055" t="s">
        <v>1623</v>
      </c>
    </row>
    <row r="3056" spans="1:5" hidden="1" x14ac:dyDescent="0.25">
      <c r="A3056">
        <v>2011</v>
      </c>
      <c r="B3056" t="s">
        <v>570</v>
      </c>
      <c r="C3056" t="s">
        <v>442</v>
      </c>
      <c r="D3056" t="str">
        <f t="shared" si="47"/>
        <v>IPSEMG3926</v>
      </c>
      <c r="E3056" t="s">
        <v>1646</v>
      </c>
    </row>
    <row r="3057" spans="1:5" hidden="1" x14ac:dyDescent="0.25">
      <c r="A3057">
        <v>2011</v>
      </c>
      <c r="B3057" t="s">
        <v>570</v>
      </c>
      <c r="C3057" t="s">
        <v>1647</v>
      </c>
      <c r="D3057" t="str">
        <f t="shared" si="47"/>
        <v>IPSEMG3927</v>
      </c>
      <c r="E3057" t="s">
        <v>1648</v>
      </c>
    </row>
    <row r="3058" spans="1:5" hidden="1" x14ac:dyDescent="0.25">
      <c r="A3058">
        <v>2011</v>
      </c>
      <c r="B3058" t="s">
        <v>570</v>
      </c>
      <c r="C3058" t="s">
        <v>1649</v>
      </c>
      <c r="D3058" t="str">
        <f t="shared" si="47"/>
        <v>IPSEMG3929</v>
      </c>
      <c r="E3058" t="s">
        <v>1606</v>
      </c>
    </row>
    <row r="3059" spans="1:5" hidden="1" x14ac:dyDescent="0.25">
      <c r="A3059">
        <v>2011</v>
      </c>
      <c r="B3059" t="s">
        <v>570</v>
      </c>
      <c r="C3059" t="s">
        <v>457</v>
      </c>
      <c r="D3059" t="str">
        <f t="shared" si="47"/>
        <v>IPSEMG3930</v>
      </c>
      <c r="E3059" t="s">
        <v>1646</v>
      </c>
    </row>
    <row r="3060" spans="1:5" hidden="1" x14ac:dyDescent="0.25">
      <c r="A3060">
        <v>2011</v>
      </c>
      <c r="B3060" t="s">
        <v>570</v>
      </c>
      <c r="C3060" t="s">
        <v>1650</v>
      </c>
      <c r="D3060" t="str">
        <f t="shared" si="47"/>
        <v>IPSEMG3931</v>
      </c>
      <c r="E3060" t="s">
        <v>1623</v>
      </c>
    </row>
    <row r="3061" spans="1:5" hidden="1" x14ac:dyDescent="0.25">
      <c r="A3061">
        <v>2011</v>
      </c>
      <c r="B3061" t="s">
        <v>570</v>
      </c>
      <c r="C3061" t="s">
        <v>1652</v>
      </c>
      <c r="D3061" t="str">
        <f t="shared" si="47"/>
        <v>IPSEMG3936</v>
      </c>
      <c r="E3061" t="s">
        <v>93</v>
      </c>
    </row>
    <row r="3062" spans="1:5" hidden="1" x14ac:dyDescent="0.25">
      <c r="A3062">
        <v>2011</v>
      </c>
      <c r="B3062" t="s">
        <v>570</v>
      </c>
      <c r="C3062" t="s">
        <v>1695</v>
      </c>
      <c r="D3062" t="str">
        <f t="shared" si="47"/>
        <v>IPSEMG3937</v>
      </c>
      <c r="E3062" t="s">
        <v>1692</v>
      </c>
    </row>
    <row r="3063" spans="1:5" hidden="1" x14ac:dyDescent="0.25">
      <c r="A3063">
        <v>2011</v>
      </c>
      <c r="B3063" t="s">
        <v>570</v>
      </c>
      <c r="C3063" t="s">
        <v>1714</v>
      </c>
      <c r="D3063" t="str">
        <f t="shared" si="47"/>
        <v>IPSEMG3939</v>
      </c>
      <c r="E3063" t="s">
        <v>1623</v>
      </c>
    </row>
    <row r="3064" spans="1:5" hidden="1" x14ac:dyDescent="0.25">
      <c r="A3064">
        <v>2011</v>
      </c>
      <c r="B3064" t="s">
        <v>570</v>
      </c>
      <c r="C3064" t="s">
        <v>1653</v>
      </c>
      <c r="D3064" t="str">
        <f t="shared" si="47"/>
        <v>IPSEMG3940</v>
      </c>
      <c r="E3064" t="s">
        <v>1648</v>
      </c>
    </row>
    <row r="3065" spans="1:5" hidden="1" x14ac:dyDescent="0.25">
      <c r="A3065">
        <v>2011</v>
      </c>
      <c r="B3065" t="s">
        <v>570</v>
      </c>
      <c r="C3065" t="s">
        <v>479</v>
      </c>
      <c r="D3065" t="str">
        <f t="shared" si="47"/>
        <v>IPSEMG3941</v>
      </c>
      <c r="E3065" t="s">
        <v>1623</v>
      </c>
    </row>
    <row r="3066" spans="1:5" hidden="1" x14ac:dyDescent="0.25">
      <c r="A3066">
        <v>2011</v>
      </c>
      <c r="B3066" t="s">
        <v>570</v>
      </c>
      <c r="C3066" t="s">
        <v>481</v>
      </c>
      <c r="D3066" t="str">
        <f t="shared" si="47"/>
        <v>IPSEMG3942</v>
      </c>
      <c r="E3066" t="s">
        <v>1623</v>
      </c>
    </row>
    <row r="3067" spans="1:5" hidden="1" x14ac:dyDescent="0.25">
      <c r="A3067">
        <v>2011</v>
      </c>
      <c r="B3067" t="s">
        <v>570</v>
      </c>
      <c r="C3067" t="s">
        <v>1654</v>
      </c>
      <c r="D3067" t="str">
        <f t="shared" si="47"/>
        <v>IPSEMG3943</v>
      </c>
      <c r="E3067" t="s">
        <v>1615</v>
      </c>
    </row>
    <row r="3068" spans="1:5" hidden="1" x14ac:dyDescent="0.25">
      <c r="A3068">
        <v>2011</v>
      </c>
      <c r="B3068" t="s">
        <v>570</v>
      </c>
      <c r="C3068" t="s">
        <v>489</v>
      </c>
      <c r="D3068" t="str">
        <f t="shared" si="47"/>
        <v>IPSEMG3947</v>
      </c>
      <c r="E3068" t="s">
        <v>1623</v>
      </c>
    </row>
    <row r="3069" spans="1:5" hidden="1" x14ac:dyDescent="0.25">
      <c r="A3069">
        <v>2011</v>
      </c>
      <c r="B3069" t="s">
        <v>570</v>
      </c>
      <c r="C3069" t="s">
        <v>491</v>
      </c>
      <c r="D3069" t="str">
        <f t="shared" si="47"/>
        <v>IPSEMG3948</v>
      </c>
      <c r="E3069" t="s">
        <v>1645</v>
      </c>
    </row>
    <row r="3070" spans="1:5" hidden="1" x14ac:dyDescent="0.25">
      <c r="A3070">
        <v>2011</v>
      </c>
      <c r="B3070" t="s">
        <v>570</v>
      </c>
      <c r="C3070" t="s">
        <v>1701</v>
      </c>
      <c r="D3070" t="str">
        <f t="shared" si="47"/>
        <v>IPSEMG3952</v>
      </c>
      <c r="E3070" t="s">
        <v>64</v>
      </c>
    </row>
    <row r="3071" spans="1:5" hidden="1" x14ac:dyDescent="0.25">
      <c r="A3071">
        <v>2011</v>
      </c>
      <c r="B3071" t="s">
        <v>570</v>
      </c>
      <c r="C3071" t="s">
        <v>1656</v>
      </c>
      <c r="D3071" t="str">
        <f t="shared" si="47"/>
        <v>IPSEMG3959</v>
      </c>
      <c r="E3071" t="s">
        <v>1623</v>
      </c>
    </row>
    <row r="3072" spans="1:5" hidden="1" x14ac:dyDescent="0.25">
      <c r="A3072">
        <v>2011</v>
      </c>
      <c r="B3072" t="s">
        <v>570</v>
      </c>
      <c r="C3072" t="s">
        <v>1709</v>
      </c>
      <c r="D3072" t="str">
        <f t="shared" si="47"/>
        <v>IPSEMG3960</v>
      </c>
      <c r="E3072" t="s">
        <v>1623</v>
      </c>
    </row>
    <row r="3073" spans="1:5" hidden="1" x14ac:dyDescent="0.25">
      <c r="A3073">
        <v>2011</v>
      </c>
      <c r="B3073" t="s">
        <v>570</v>
      </c>
      <c r="C3073" t="s">
        <v>1657</v>
      </c>
      <c r="D3073" t="str">
        <f t="shared" si="47"/>
        <v>IPSEMG3961</v>
      </c>
      <c r="E3073" t="s">
        <v>1630</v>
      </c>
    </row>
    <row r="3074" spans="1:5" hidden="1" x14ac:dyDescent="0.25">
      <c r="A3074">
        <v>2011</v>
      </c>
      <c r="B3074" t="s">
        <v>570</v>
      </c>
      <c r="C3074" t="s">
        <v>1696</v>
      </c>
      <c r="D3074" t="str">
        <f t="shared" si="47"/>
        <v>IPSEMG3962</v>
      </c>
      <c r="E3074" t="s">
        <v>2103</v>
      </c>
    </row>
    <row r="3075" spans="1:5" hidden="1" x14ac:dyDescent="0.25">
      <c r="A3075">
        <v>2011</v>
      </c>
      <c r="B3075" t="s">
        <v>570</v>
      </c>
      <c r="C3075" t="s">
        <v>1820</v>
      </c>
      <c r="D3075" t="str">
        <f t="shared" si="47"/>
        <v>IPSEMG3965</v>
      </c>
      <c r="E3075" t="s">
        <v>1606</v>
      </c>
    </row>
    <row r="3076" spans="1:5" hidden="1" x14ac:dyDescent="0.25">
      <c r="A3076">
        <v>2011</v>
      </c>
      <c r="B3076" t="s">
        <v>570</v>
      </c>
      <c r="C3076" t="s">
        <v>1659</v>
      </c>
      <c r="D3076" t="str">
        <f t="shared" si="47"/>
        <v>IPSEMG3969</v>
      </c>
      <c r="E3076" t="s">
        <v>1637</v>
      </c>
    </row>
    <row r="3077" spans="1:5" hidden="1" x14ac:dyDescent="0.25">
      <c r="A3077">
        <v>2011</v>
      </c>
      <c r="B3077" t="s">
        <v>570</v>
      </c>
      <c r="C3077" t="s">
        <v>1660</v>
      </c>
      <c r="D3077" t="str">
        <f t="shared" ref="D3077:D3140" si="48">CONCATENATE(B3077,LEFT(C3077,4))</f>
        <v>IPSEMG3970</v>
      </c>
      <c r="E3077" t="s">
        <v>1648</v>
      </c>
    </row>
    <row r="3078" spans="1:5" hidden="1" x14ac:dyDescent="0.25">
      <c r="A3078">
        <v>2011</v>
      </c>
      <c r="B3078" t="s">
        <v>570</v>
      </c>
      <c r="C3078" t="s">
        <v>512</v>
      </c>
      <c r="D3078" t="str">
        <f t="shared" si="48"/>
        <v>IPSEMG3971</v>
      </c>
      <c r="E3078" t="s">
        <v>2103</v>
      </c>
    </row>
    <row r="3079" spans="1:5" hidden="1" x14ac:dyDescent="0.25">
      <c r="A3079">
        <v>2011</v>
      </c>
      <c r="B3079" t="s">
        <v>570</v>
      </c>
      <c r="C3079" t="s">
        <v>515</v>
      </c>
      <c r="D3079" t="str">
        <f t="shared" si="48"/>
        <v>IPSEMG3974</v>
      </c>
      <c r="E3079" t="s">
        <v>1697</v>
      </c>
    </row>
    <row r="3080" spans="1:5" hidden="1" x14ac:dyDescent="0.25">
      <c r="A3080">
        <v>2011</v>
      </c>
      <c r="B3080" t="s">
        <v>570</v>
      </c>
      <c r="C3080" t="s">
        <v>519</v>
      </c>
      <c r="D3080" t="str">
        <f t="shared" si="48"/>
        <v>IPSEMG3978</v>
      </c>
      <c r="E3080" t="s">
        <v>1630</v>
      </c>
    </row>
    <row r="3081" spans="1:5" hidden="1" x14ac:dyDescent="0.25">
      <c r="A3081">
        <v>2011</v>
      </c>
      <c r="B3081" t="s">
        <v>570</v>
      </c>
      <c r="C3081" t="s">
        <v>520</v>
      </c>
      <c r="D3081" t="str">
        <f t="shared" si="48"/>
        <v>IPSEMG3981</v>
      </c>
      <c r="E3081" t="s">
        <v>1623</v>
      </c>
    </row>
    <row r="3082" spans="1:5" hidden="1" x14ac:dyDescent="0.25">
      <c r="A3082">
        <v>2011</v>
      </c>
      <c r="B3082" t="s">
        <v>570</v>
      </c>
      <c r="C3082" t="s">
        <v>1821</v>
      </c>
      <c r="D3082" t="str">
        <f t="shared" si="48"/>
        <v>IPSEMG3982</v>
      </c>
      <c r="E3082" t="s">
        <v>1623</v>
      </c>
    </row>
    <row r="3083" spans="1:5" hidden="1" x14ac:dyDescent="0.25">
      <c r="A3083">
        <v>2011</v>
      </c>
      <c r="B3083" t="s">
        <v>570</v>
      </c>
      <c r="C3083" t="s">
        <v>1661</v>
      </c>
      <c r="D3083" t="str">
        <f t="shared" si="48"/>
        <v>IPSEMG3987</v>
      </c>
      <c r="E3083" t="s">
        <v>1615</v>
      </c>
    </row>
    <row r="3084" spans="1:5" hidden="1" x14ac:dyDescent="0.25">
      <c r="A3084">
        <v>2011</v>
      </c>
      <c r="B3084" t="s">
        <v>570</v>
      </c>
      <c r="C3084" t="s">
        <v>1735</v>
      </c>
      <c r="D3084" t="str">
        <f t="shared" si="48"/>
        <v>IPSEMG3998</v>
      </c>
      <c r="E3084" t="s">
        <v>1606</v>
      </c>
    </row>
    <row r="3085" spans="1:5" hidden="1" x14ac:dyDescent="0.25">
      <c r="A3085">
        <v>2011</v>
      </c>
      <c r="B3085" t="s">
        <v>570</v>
      </c>
      <c r="C3085" t="s">
        <v>1663</v>
      </c>
      <c r="D3085" t="str">
        <f t="shared" si="48"/>
        <v>IPSEMG3999</v>
      </c>
      <c r="E3085" t="s">
        <v>1623</v>
      </c>
    </row>
    <row r="3086" spans="1:5" hidden="1" x14ac:dyDescent="0.25">
      <c r="A3086">
        <v>2011</v>
      </c>
      <c r="B3086" t="s">
        <v>570</v>
      </c>
      <c r="C3086" t="s">
        <v>1664</v>
      </c>
      <c r="D3086" t="str">
        <f t="shared" si="48"/>
        <v>IPSEMG4002</v>
      </c>
      <c r="E3086" t="s">
        <v>1648</v>
      </c>
    </row>
    <row r="3087" spans="1:5" hidden="1" x14ac:dyDescent="0.25">
      <c r="A3087">
        <v>2011</v>
      </c>
      <c r="B3087" t="s">
        <v>570</v>
      </c>
      <c r="C3087" t="s">
        <v>1665</v>
      </c>
      <c r="D3087" t="str">
        <f t="shared" si="48"/>
        <v>IPSEMG4003</v>
      </c>
      <c r="E3087" t="s">
        <v>93</v>
      </c>
    </row>
    <row r="3088" spans="1:5" hidden="1" x14ac:dyDescent="0.25">
      <c r="A3088">
        <v>2011</v>
      </c>
      <c r="B3088" t="s">
        <v>570</v>
      </c>
      <c r="C3088" t="s">
        <v>1666</v>
      </c>
      <c r="D3088" t="str">
        <f t="shared" si="48"/>
        <v>IPSEMG4004</v>
      </c>
      <c r="E3088" t="s">
        <v>1648</v>
      </c>
    </row>
    <row r="3089" spans="1:5" hidden="1" x14ac:dyDescent="0.25">
      <c r="A3089">
        <v>2011</v>
      </c>
      <c r="B3089" t="s">
        <v>570</v>
      </c>
      <c r="C3089" t="s">
        <v>1667</v>
      </c>
      <c r="D3089" t="str">
        <f t="shared" si="48"/>
        <v>IPSEMG4005</v>
      </c>
      <c r="E3089" t="s">
        <v>1648</v>
      </c>
    </row>
    <row r="3090" spans="1:5" hidden="1" x14ac:dyDescent="0.25">
      <c r="A3090">
        <v>2011</v>
      </c>
      <c r="B3090" t="s">
        <v>570</v>
      </c>
      <c r="C3090" t="s">
        <v>1698</v>
      </c>
      <c r="D3090" t="str">
        <f t="shared" si="48"/>
        <v>IPSEMG4006</v>
      </c>
      <c r="E3090" t="s">
        <v>1675</v>
      </c>
    </row>
    <row r="3091" spans="1:5" hidden="1" x14ac:dyDescent="0.25">
      <c r="A3091">
        <v>2011</v>
      </c>
      <c r="B3091" t="s">
        <v>570</v>
      </c>
      <c r="C3091" t="s">
        <v>1699</v>
      </c>
      <c r="D3091" t="str">
        <f t="shared" si="48"/>
        <v>IPSEMG4007</v>
      </c>
      <c r="E3091" t="s">
        <v>93</v>
      </c>
    </row>
    <row r="3092" spans="1:5" hidden="1" x14ac:dyDescent="0.25">
      <c r="A3092">
        <v>2011</v>
      </c>
      <c r="B3092" t="s">
        <v>570</v>
      </c>
      <c r="C3092" t="s">
        <v>1668</v>
      </c>
      <c r="D3092" t="str">
        <f t="shared" si="48"/>
        <v>IPSEMG4701</v>
      </c>
      <c r="E3092" t="s">
        <v>1669</v>
      </c>
    </row>
    <row r="3093" spans="1:5" hidden="1" x14ac:dyDescent="0.25">
      <c r="A3093">
        <v>2011</v>
      </c>
      <c r="B3093" t="s">
        <v>570</v>
      </c>
      <c r="C3093" t="s">
        <v>264</v>
      </c>
      <c r="D3093" t="str">
        <f t="shared" si="48"/>
        <v>IPSEMG4703</v>
      </c>
      <c r="E3093" t="s">
        <v>1669</v>
      </c>
    </row>
    <row r="3094" spans="1:5" hidden="1" x14ac:dyDescent="0.25">
      <c r="A3094">
        <v>2011</v>
      </c>
      <c r="B3094" t="s">
        <v>570</v>
      </c>
      <c r="C3094" t="s">
        <v>284</v>
      </c>
      <c r="D3094" t="str">
        <f t="shared" si="48"/>
        <v>IPSEMG4704</v>
      </c>
      <c r="E3094" t="s">
        <v>1669</v>
      </c>
    </row>
    <row r="3095" spans="1:5" hidden="1" x14ac:dyDescent="0.25">
      <c r="A3095">
        <v>2011</v>
      </c>
      <c r="B3095" t="s">
        <v>570</v>
      </c>
      <c r="C3095" t="s">
        <v>315</v>
      </c>
      <c r="D3095" t="str">
        <f t="shared" si="48"/>
        <v>IPSEMG4706</v>
      </c>
      <c r="E3095" t="s">
        <v>1669</v>
      </c>
    </row>
    <row r="3096" spans="1:5" hidden="1" x14ac:dyDescent="0.25">
      <c r="A3096">
        <v>2011</v>
      </c>
      <c r="B3096" t="s">
        <v>570</v>
      </c>
      <c r="C3096" t="s">
        <v>327</v>
      </c>
      <c r="D3096" t="str">
        <f t="shared" si="48"/>
        <v>IPSEMG4707</v>
      </c>
      <c r="E3096" t="s">
        <v>1669</v>
      </c>
    </row>
    <row r="3097" spans="1:5" hidden="1" x14ac:dyDescent="0.25">
      <c r="A3097">
        <v>2011</v>
      </c>
      <c r="B3097" t="s">
        <v>570</v>
      </c>
      <c r="C3097" t="s">
        <v>356</v>
      </c>
      <c r="D3097" t="str">
        <f t="shared" si="48"/>
        <v>IPSEMG4710</v>
      </c>
      <c r="E3097" t="s">
        <v>1669</v>
      </c>
    </row>
    <row r="3098" spans="1:5" hidden="1" x14ac:dyDescent="0.25">
      <c r="A3098">
        <v>2011</v>
      </c>
      <c r="B3098" t="s">
        <v>570</v>
      </c>
      <c r="C3098" t="s">
        <v>363</v>
      </c>
      <c r="D3098" t="str">
        <f t="shared" si="48"/>
        <v>IPSEMG4799</v>
      </c>
      <c r="E3098" t="s">
        <v>1669</v>
      </c>
    </row>
    <row r="3099" spans="1:5" hidden="1" x14ac:dyDescent="0.25">
      <c r="A3099">
        <v>2011</v>
      </c>
      <c r="B3099" t="s">
        <v>570</v>
      </c>
      <c r="C3099" t="s">
        <v>1752</v>
      </c>
      <c r="D3099" t="str">
        <f t="shared" si="48"/>
        <v>IPSEMG4904</v>
      </c>
      <c r="E3099" t="s">
        <v>1596</v>
      </c>
    </row>
    <row r="3100" spans="1:5" hidden="1" x14ac:dyDescent="0.25">
      <c r="A3100">
        <v>2011</v>
      </c>
      <c r="B3100" t="s">
        <v>570</v>
      </c>
      <c r="C3100" t="s">
        <v>1670</v>
      </c>
      <c r="D3100" t="str">
        <f t="shared" si="48"/>
        <v>IPSEMG5101</v>
      </c>
      <c r="E3100" t="s">
        <v>1671</v>
      </c>
    </row>
    <row r="3101" spans="1:5" hidden="1" x14ac:dyDescent="0.25">
      <c r="A3101">
        <v>2011</v>
      </c>
      <c r="B3101" t="s">
        <v>570</v>
      </c>
      <c r="C3101" t="s">
        <v>1672</v>
      </c>
      <c r="D3101" t="str">
        <f t="shared" si="48"/>
        <v>IPSEMG5103</v>
      </c>
      <c r="E3101" t="s">
        <v>1671</v>
      </c>
    </row>
    <row r="3102" spans="1:5" hidden="1" x14ac:dyDescent="0.25">
      <c r="A3102">
        <v>2011</v>
      </c>
      <c r="B3102" t="s">
        <v>570</v>
      </c>
      <c r="C3102" t="s">
        <v>287</v>
      </c>
      <c r="D3102" t="str">
        <f t="shared" si="48"/>
        <v>IPSEMG5203</v>
      </c>
      <c r="E3102" t="s">
        <v>1674</v>
      </c>
    </row>
    <row r="3103" spans="1:5" hidden="1" x14ac:dyDescent="0.25">
      <c r="A3103">
        <v>2011</v>
      </c>
      <c r="B3103" t="s">
        <v>570</v>
      </c>
      <c r="C3103" t="s">
        <v>1673</v>
      </c>
      <c r="D3103" t="str">
        <f t="shared" si="48"/>
        <v>IPSEMG5204</v>
      </c>
      <c r="E3103" t="s">
        <v>1674</v>
      </c>
    </row>
    <row r="3104" spans="1:5" hidden="1" x14ac:dyDescent="0.25">
      <c r="A3104">
        <v>2011</v>
      </c>
      <c r="B3104" t="s">
        <v>570</v>
      </c>
      <c r="C3104" t="s">
        <v>328</v>
      </c>
      <c r="D3104" t="str">
        <f t="shared" si="48"/>
        <v>IPSEMG5206</v>
      </c>
      <c r="E3104" t="s">
        <v>1675</v>
      </c>
    </row>
    <row r="3105" spans="1:5" hidden="1" x14ac:dyDescent="0.25">
      <c r="A3105">
        <v>2011</v>
      </c>
      <c r="B3105" t="s">
        <v>570</v>
      </c>
      <c r="C3105" t="s">
        <v>1676</v>
      </c>
      <c r="D3105" t="str">
        <f t="shared" si="48"/>
        <v>IPSEMG5207</v>
      </c>
      <c r="E3105" t="s">
        <v>1675</v>
      </c>
    </row>
    <row r="3106" spans="1:5" hidden="1" x14ac:dyDescent="0.25">
      <c r="A3106">
        <v>2011</v>
      </c>
      <c r="B3106" t="s">
        <v>570</v>
      </c>
      <c r="C3106" t="s">
        <v>1677</v>
      </c>
      <c r="D3106" t="str">
        <f t="shared" si="48"/>
        <v>IPSEMG5208</v>
      </c>
      <c r="E3106" t="s">
        <v>1675</v>
      </c>
    </row>
    <row r="3107" spans="1:5" hidden="1" x14ac:dyDescent="0.25">
      <c r="A3107">
        <v>2011</v>
      </c>
      <c r="B3107" t="s">
        <v>570</v>
      </c>
      <c r="C3107" t="s">
        <v>358</v>
      </c>
      <c r="D3107" t="str">
        <f t="shared" si="48"/>
        <v>IPSEMG5209</v>
      </c>
      <c r="E3107" t="s">
        <v>1674</v>
      </c>
    </row>
    <row r="3108" spans="1:5" hidden="1" x14ac:dyDescent="0.25">
      <c r="A3108">
        <v>2011</v>
      </c>
      <c r="B3108" t="s">
        <v>570</v>
      </c>
      <c r="C3108" t="s">
        <v>1678</v>
      </c>
      <c r="D3108" t="str">
        <f t="shared" si="48"/>
        <v>IPSEMG5210</v>
      </c>
      <c r="E3108" t="s">
        <v>1674</v>
      </c>
    </row>
    <row r="3109" spans="1:5" hidden="1" x14ac:dyDescent="0.25">
      <c r="A3109">
        <v>2011</v>
      </c>
      <c r="B3109" t="s">
        <v>570</v>
      </c>
      <c r="C3109" t="s">
        <v>1713</v>
      </c>
      <c r="D3109" t="str">
        <f t="shared" si="48"/>
        <v>IPSEMG5211</v>
      </c>
      <c r="E3109" t="s">
        <v>1606</v>
      </c>
    </row>
    <row r="3110" spans="1:5" hidden="1" x14ac:dyDescent="0.25">
      <c r="A3110">
        <v>2011</v>
      </c>
      <c r="B3110" t="s">
        <v>570</v>
      </c>
      <c r="C3110" t="s">
        <v>1679</v>
      </c>
      <c r="D3110" t="str">
        <f t="shared" si="48"/>
        <v>IPSEMG5212</v>
      </c>
      <c r="E3110" t="s">
        <v>1674</v>
      </c>
    </row>
    <row r="3111" spans="1:5" hidden="1" x14ac:dyDescent="0.25">
      <c r="A3111">
        <v>2011</v>
      </c>
      <c r="B3111" t="s">
        <v>570</v>
      </c>
      <c r="C3111" t="s">
        <v>384</v>
      </c>
      <c r="D3111" t="str">
        <f t="shared" si="48"/>
        <v>IPSEMG5213</v>
      </c>
      <c r="E3111" t="s">
        <v>1674</v>
      </c>
    </row>
    <row r="3112" spans="1:5" hidden="1" x14ac:dyDescent="0.25">
      <c r="A3112">
        <v>2011</v>
      </c>
      <c r="B3112" t="s">
        <v>570</v>
      </c>
      <c r="C3112" t="s">
        <v>390</v>
      </c>
      <c r="D3112" t="str">
        <f t="shared" si="48"/>
        <v>IPSEMG5214</v>
      </c>
      <c r="E3112" t="s">
        <v>1674</v>
      </c>
    </row>
    <row r="3113" spans="1:5" hidden="1" x14ac:dyDescent="0.25">
      <c r="A3113">
        <v>2011</v>
      </c>
      <c r="B3113" t="s">
        <v>570</v>
      </c>
      <c r="C3113" t="s">
        <v>1681</v>
      </c>
      <c r="D3113" t="str">
        <f t="shared" si="48"/>
        <v>IPSEMG5220</v>
      </c>
      <c r="E3113" t="s">
        <v>1675</v>
      </c>
    </row>
    <row r="3114" spans="1:5" hidden="1" x14ac:dyDescent="0.25">
      <c r="A3114">
        <v>2011</v>
      </c>
      <c r="B3114" t="s">
        <v>570</v>
      </c>
      <c r="C3114" t="s">
        <v>428</v>
      </c>
      <c r="D3114" t="str">
        <f t="shared" si="48"/>
        <v>IPSEMG5221</v>
      </c>
      <c r="E3114" t="s">
        <v>1674</v>
      </c>
    </row>
    <row r="3115" spans="1:5" hidden="1" x14ac:dyDescent="0.25">
      <c r="A3115">
        <v>2011</v>
      </c>
      <c r="B3115" t="s">
        <v>570</v>
      </c>
      <c r="C3115" t="s">
        <v>448</v>
      </c>
      <c r="D3115" t="str">
        <f t="shared" si="48"/>
        <v>IPSEMG5225</v>
      </c>
      <c r="E3115" t="s">
        <v>1674</v>
      </c>
    </row>
    <row r="3116" spans="1:5" hidden="1" x14ac:dyDescent="0.25">
      <c r="A3116">
        <v>2011</v>
      </c>
      <c r="B3116" t="s">
        <v>570</v>
      </c>
      <c r="C3116" t="s">
        <v>1682</v>
      </c>
      <c r="D3116" t="str">
        <f t="shared" si="48"/>
        <v>IPSEMG5226</v>
      </c>
      <c r="E3116" t="s">
        <v>1674</v>
      </c>
    </row>
    <row r="3117" spans="1:5" hidden="1" x14ac:dyDescent="0.25">
      <c r="A3117">
        <v>2011</v>
      </c>
      <c r="B3117" t="s">
        <v>570</v>
      </c>
      <c r="C3117" t="s">
        <v>1683</v>
      </c>
      <c r="D3117" t="str">
        <f t="shared" si="48"/>
        <v>IPSEMG5227</v>
      </c>
      <c r="E3117" t="s">
        <v>1674</v>
      </c>
    </row>
    <row r="3118" spans="1:5" hidden="1" x14ac:dyDescent="0.25">
      <c r="A3118">
        <v>2011</v>
      </c>
      <c r="B3118" t="s">
        <v>570</v>
      </c>
      <c r="C3118" t="s">
        <v>1700</v>
      </c>
      <c r="D3118" t="str">
        <f t="shared" si="48"/>
        <v>IPSEMG5230</v>
      </c>
      <c r="E3118" t="s">
        <v>1674</v>
      </c>
    </row>
    <row r="3119" spans="1:5" hidden="1" x14ac:dyDescent="0.25">
      <c r="A3119">
        <v>2011</v>
      </c>
      <c r="B3119" t="s">
        <v>570</v>
      </c>
      <c r="C3119" t="s">
        <v>458</v>
      </c>
      <c r="D3119" t="str">
        <f t="shared" si="48"/>
        <v>IPSEMG5299</v>
      </c>
      <c r="E3119" t="s">
        <v>1674</v>
      </c>
    </row>
    <row r="3120" spans="1:5" hidden="1" x14ac:dyDescent="0.25">
      <c r="A3120">
        <v>2011</v>
      </c>
      <c r="B3120" t="s">
        <v>570</v>
      </c>
      <c r="C3120" t="s">
        <v>1822</v>
      </c>
      <c r="D3120" t="str">
        <f t="shared" si="48"/>
        <v>IPSEMG5905</v>
      </c>
      <c r="E3120" t="s">
        <v>1623</v>
      </c>
    </row>
    <row r="3121" spans="1:5" hidden="1" x14ac:dyDescent="0.25">
      <c r="A3121">
        <v>2011</v>
      </c>
      <c r="B3121" t="s">
        <v>570</v>
      </c>
      <c r="C3121" t="s">
        <v>1723</v>
      </c>
      <c r="D3121" t="str">
        <f t="shared" si="48"/>
        <v>IPSEMG9108</v>
      </c>
      <c r="E3121" t="s">
        <v>1724</v>
      </c>
    </row>
    <row r="3122" spans="1:5" hidden="1" x14ac:dyDescent="0.25">
      <c r="A3122">
        <v>2011</v>
      </c>
      <c r="B3122" t="s">
        <v>570</v>
      </c>
      <c r="C3122" t="s">
        <v>1823</v>
      </c>
      <c r="D3122" t="str">
        <f t="shared" si="48"/>
        <v>IPSEMG9110</v>
      </c>
      <c r="E3122" t="s">
        <v>1689</v>
      </c>
    </row>
    <row r="3123" spans="1:5" hidden="1" x14ac:dyDescent="0.25">
      <c r="A3123">
        <v>2011</v>
      </c>
      <c r="B3123" t="s">
        <v>570</v>
      </c>
      <c r="C3123" t="s">
        <v>1824</v>
      </c>
      <c r="D3123" t="str">
        <f t="shared" si="48"/>
        <v>IPSEMG9111</v>
      </c>
      <c r="E3123" t="s">
        <v>1689</v>
      </c>
    </row>
    <row r="3124" spans="1:5" hidden="1" x14ac:dyDescent="0.25">
      <c r="A3124">
        <v>2011</v>
      </c>
      <c r="B3124" t="s">
        <v>570</v>
      </c>
      <c r="C3124" t="s">
        <v>1825</v>
      </c>
      <c r="D3124" t="str">
        <f t="shared" si="48"/>
        <v>IPSEMG9112</v>
      </c>
      <c r="E3124" t="s">
        <v>1724</v>
      </c>
    </row>
    <row r="3125" spans="1:5" hidden="1" x14ac:dyDescent="0.25">
      <c r="A3125">
        <v>2011</v>
      </c>
      <c r="B3125" t="s">
        <v>570</v>
      </c>
      <c r="C3125" t="s">
        <v>1684</v>
      </c>
      <c r="D3125" t="str">
        <f t="shared" si="48"/>
        <v>IPSEMG9202</v>
      </c>
      <c r="E3125" t="s">
        <v>1685</v>
      </c>
    </row>
    <row r="3126" spans="1:5" hidden="1" x14ac:dyDescent="0.25">
      <c r="A3126">
        <v>2011</v>
      </c>
      <c r="B3126" t="s">
        <v>570</v>
      </c>
      <c r="C3126" t="s">
        <v>249</v>
      </c>
      <c r="D3126" t="str">
        <f t="shared" si="48"/>
        <v>IPSEMG9301</v>
      </c>
      <c r="E3126" t="s">
        <v>1623</v>
      </c>
    </row>
    <row r="3127" spans="1:5" hidden="1" x14ac:dyDescent="0.25">
      <c r="A3127">
        <v>2011</v>
      </c>
      <c r="B3127" t="s">
        <v>570</v>
      </c>
      <c r="C3127" t="s">
        <v>271</v>
      </c>
      <c r="D3127" t="str">
        <f t="shared" si="48"/>
        <v>IPSEMG9302</v>
      </c>
      <c r="E3127" t="s">
        <v>1623</v>
      </c>
    </row>
    <row r="3128" spans="1:5" hidden="1" x14ac:dyDescent="0.25">
      <c r="A3128">
        <v>2011</v>
      </c>
      <c r="B3128" t="s">
        <v>570</v>
      </c>
      <c r="C3128" t="s">
        <v>366</v>
      </c>
      <c r="D3128" t="str">
        <f t="shared" si="48"/>
        <v>IPSEMG9310</v>
      </c>
      <c r="E3128" t="s">
        <v>1623</v>
      </c>
    </row>
    <row r="3129" spans="1:5" hidden="1" x14ac:dyDescent="0.25">
      <c r="A3129">
        <v>2011</v>
      </c>
      <c r="B3129" t="s">
        <v>570</v>
      </c>
      <c r="C3129" t="s">
        <v>379</v>
      </c>
      <c r="D3129" t="str">
        <f t="shared" si="48"/>
        <v>IPSEMG9312</v>
      </c>
      <c r="E3129" t="s">
        <v>1623</v>
      </c>
    </row>
    <row r="3130" spans="1:5" hidden="1" x14ac:dyDescent="0.25">
      <c r="A3130">
        <v>2011</v>
      </c>
      <c r="B3130" t="s">
        <v>570</v>
      </c>
      <c r="C3130" t="s">
        <v>385</v>
      </c>
      <c r="D3130" t="str">
        <f t="shared" si="48"/>
        <v>IPSEMG9313</v>
      </c>
      <c r="E3130" t="s">
        <v>1606</v>
      </c>
    </row>
    <row r="3131" spans="1:5" hidden="1" x14ac:dyDescent="0.25">
      <c r="A3131">
        <v>2011</v>
      </c>
      <c r="B3131" t="s">
        <v>570</v>
      </c>
      <c r="C3131" t="s">
        <v>391</v>
      </c>
      <c r="D3131" t="str">
        <f t="shared" si="48"/>
        <v>IPSEMG9314</v>
      </c>
      <c r="E3131" t="s">
        <v>1623</v>
      </c>
    </row>
    <row r="3132" spans="1:5" hidden="1" x14ac:dyDescent="0.25">
      <c r="A3132">
        <v>2011</v>
      </c>
      <c r="B3132" t="s">
        <v>570</v>
      </c>
      <c r="C3132" t="s">
        <v>439</v>
      </c>
      <c r="D3132" t="str">
        <f t="shared" si="48"/>
        <v>IPSEMG9326</v>
      </c>
      <c r="E3132" t="s">
        <v>1623</v>
      </c>
    </row>
    <row r="3133" spans="1:5" hidden="1" x14ac:dyDescent="0.25">
      <c r="A3133">
        <v>2011</v>
      </c>
      <c r="B3133" t="s">
        <v>570</v>
      </c>
      <c r="C3133" t="s">
        <v>1687</v>
      </c>
      <c r="D3133" t="str">
        <f t="shared" si="48"/>
        <v>IPSEMG9399</v>
      </c>
      <c r="E3133" t="s">
        <v>1623</v>
      </c>
    </row>
    <row r="3134" spans="1:5" hidden="1" x14ac:dyDescent="0.25">
      <c r="A3134">
        <v>2041</v>
      </c>
      <c r="B3134" t="s">
        <v>573</v>
      </c>
      <c r="C3134" t="s">
        <v>1597</v>
      </c>
      <c r="D3134" t="str">
        <f t="shared" si="48"/>
        <v>LEMG1401</v>
      </c>
      <c r="E3134" t="s">
        <v>43</v>
      </c>
    </row>
    <row r="3135" spans="1:5" hidden="1" x14ac:dyDescent="0.25">
      <c r="A3135">
        <v>2041</v>
      </c>
      <c r="B3135" t="s">
        <v>573</v>
      </c>
      <c r="C3135" t="s">
        <v>1603</v>
      </c>
      <c r="D3135" t="str">
        <f t="shared" si="48"/>
        <v>LEMG3005</v>
      </c>
      <c r="E3135" t="s">
        <v>1600</v>
      </c>
    </row>
    <row r="3136" spans="1:5" hidden="1" x14ac:dyDescent="0.25">
      <c r="A3136">
        <v>2041</v>
      </c>
      <c r="B3136" t="s">
        <v>573</v>
      </c>
      <c r="C3136" t="s">
        <v>1609</v>
      </c>
      <c r="D3136" t="str">
        <f t="shared" si="48"/>
        <v>LEMG3016</v>
      </c>
      <c r="E3136" t="s">
        <v>1600</v>
      </c>
    </row>
    <row r="3137" spans="1:5" hidden="1" x14ac:dyDescent="0.25">
      <c r="A3137">
        <v>2041</v>
      </c>
      <c r="B3137" t="s">
        <v>573</v>
      </c>
      <c r="C3137" t="s">
        <v>440</v>
      </c>
      <c r="D3137" t="str">
        <f t="shared" si="48"/>
        <v>LEMG3024</v>
      </c>
      <c r="E3137" t="s">
        <v>1600</v>
      </c>
    </row>
    <row r="3138" spans="1:5" hidden="1" x14ac:dyDescent="0.25">
      <c r="A3138">
        <v>2041</v>
      </c>
      <c r="B3138" t="s">
        <v>573</v>
      </c>
      <c r="C3138" t="s">
        <v>1617</v>
      </c>
      <c r="D3138" t="str">
        <f t="shared" si="48"/>
        <v>LEMG3026</v>
      </c>
      <c r="E3138" t="s">
        <v>1615</v>
      </c>
    </row>
    <row r="3139" spans="1:5" hidden="1" x14ac:dyDescent="0.25">
      <c r="A3139">
        <v>2041</v>
      </c>
      <c r="B3139" t="s">
        <v>573</v>
      </c>
      <c r="C3139" t="s">
        <v>256</v>
      </c>
      <c r="D3139" t="str">
        <f t="shared" si="48"/>
        <v>LEMG3102</v>
      </c>
      <c r="E3139" t="s">
        <v>1623</v>
      </c>
    </row>
    <row r="3140" spans="1:5" hidden="1" x14ac:dyDescent="0.25">
      <c r="A3140">
        <v>2041</v>
      </c>
      <c r="B3140" t="s">
        <v>573</v>
      </c>
      <c r="C3140" t="s">
        <v>277</v>
      </c>
      <c r="D3140" t="str">
        <f t="shared" si="48"/>
        <v>LEMG3103</v>
      </c>
      <c r="E3140" t="s">
        <v>1623</v>
      </c>
    </row>
    <row r="3141" spans="1:5" hidden="1" x14ac:dyDescent="0.25">
      <c r="A3141">
        <v>2041</v>
      </c>
      <c r="B3141" t="s">
        <v>573</v>
      </c>
      <c r="C3141" t="s">
        <v>1626</v>
      </c>
      <c r="D3141" t="str">
        <f t="shared" ref="D3141:D3204" si="49">CONCATENATE(B3141,LEFT(C3141,4))</f>
        <v>LEMG3302</v>
      </c>
      <c r="E3141" t="s">
        <v>43</v>
      </c>
    </row>
    <row r="3142" spans="1:5" hidden="1" x14ac:dyDescent="0.25">
      <c r="A3142">
        <v>2041</v>
      </c>
      <c r="B3142" t="s">
        <v>573</v>
      </c>
      <c r="C3142" t="s">
        <v>1627</v>
      </c>
      <c r="D3142" t="str">
        <f t="shared" si="49"/>
        <v>LEMG3304</v>
      </c>
      <c r="E3142" t="s">
        <v>43</v>
      </c>
    </row>
    <row r="3143" spans="1:5" hidden="1" x14ac:dyDescent="0.25">
      <c r="A3143">
        <v>2041</v>
      </c>
      <c r="B3143" t="s">
        <v>573</v>
      </c>
      <c r="C3143" t="s">
        <v>1705</v>
      </c>
      <c r="D3143" t="str">
        <f t="shared" si="49"/>
        <v>LEMG3502</v>
      </c>
      <c r="E3143" t="s">
        <v>1706</v>
      </c>
    </row>
    <row r="3144" spans="1:5" hidden="1" x14ac:dyDescent="0.25">
      <c r="A3144">
        <v>2041</v>
      </c>
      <c r="B3144" t="s">
        <v>573</v>
      </c>
      <c r="C3144" t="s">
        <v>354</v>
      </c>
      <c r="D3144" t="str">
        <f t="shared" si="49"/>
        <v>LEMG3610</v>
      </c>
      <c r="E3144" t="s">
        <v>1623</v>
      </c>
    </row>
    <row r="3145" spans="1:5" hidden="1" x14ac:dyDescent="0.25">
      <c r="A3145">
        <v>2041</v>
      </c>
      <c r="B3145" t="s">
        <v>573</v>
      </c>
      <c r="C3145" t="s">
        <v>1628</v>
      </c>
      <c r="D3145" t="str">
        <f t="shared" si="49"/>
        <v>LEMG3612</v>
      </c>
      <c r="E3145" t="s">
        <v>1623</v>
      </c>
    </row>
    <row r="3146" spans="1:5" hidden="1" x14ac:dyDescent="0.25">
      <c r="A3146">
        <v>2041</v>
      </c>
      <c r="B3146" t="s">
        <v>573</v>
      </c>
      <c r="C3146" t="s">
        <v>1632</v>
      </c>
      <c r="D3146" t="str">
        <f t="shared" si="49"/>
        <v>LEMG3704</v>
      </c>
      <c r="E3146" t="s">
        <v>116</v>
      </c>
    </row>
    <row r="3147" spans="1:5" hidden="1" x14ac:dyDescent="0.25">
      <c r="A3147">
        <v>2041</v>
      </c>
      <c r="B3147" t="s">
        <v>573</v>
      </c>
      <c r="C3147" t="s">
        <v>335</v>
      </c>
      <c r="D3147" t="str">
        <f t="shared" si="49"/>
        <v>LEMG3909</v>
      </c>
      <c r="E3147" t="s">
        <v>1623</v>
      </c>
    </row>
    <row r="3148" spans="1:5" hidden="1" x14ac:dyDescent="0.25">
      <c r="A3148">
        <v>2041</v>
      </c>
      <c r="B3148" t="s">
        <v>573</v>
      </c>
      <c r="C3148" t="s">
        <v>355</v>
      </c>
      <c r="D3148" t="str">
        <f t="shared" si="49"/>
        <v>LEMG3911</v>
      </c>
      <c r="E3148" t="s">
        <v>1623</v>
      </c>
    </row>
    <row r="3149" spans="1:5" hidden="1" x14ac:dyDescent="0.25">
      <c r="A3149">
        <v>2041</v>
      </c>
      <c r="B3149" t="s">
        <v>573</v>
      </c>
      <c r="C3149" t="s">
        <v>1636</v>
      </c>
      <c r="D3149" t="str">
        <f t="shared" si="49"/>
        <v>LEMG3912</v>
      </c>
      <c r="E3149" t="s">
        <v>1637</v>
      </c>
    </row>
    <row r="3150" spans="1:5" hidden="1" x14ac:dyDescent="0.25">
      <c r="A3150">
        <v>2041</v>
      </c>
      <c r="B3150" t="s">
        <v>573</v>
      </c>
      <c r="C3150" t="s">
        <v>1638</v>
      </c>
      <c r="D3150" t="str">
        <f t="shared" si="49"/>
        <v>LEMG3913</v>
      </c>
      <c r="E3150" t="s">
        <v>1637</v>
      </c>
    </row>
    <row r="3151" spans="1:5" hidden="1" x14ac:dyDescent="0.25">
      <c r="A3151">
        <v>2041</v>
      </c>
      <c r="B3151" t="s">
        <v>573</v>
      </c>
      <c r="C3151" t="s">
        <v>1639</v>
      </c>
      <c r="D3151" t="str">
        <f t="shared" si="49"/>
        <v>LEMG3917</v>
      </c>
      <c r="E3151" t="s">
        <v>1615</v>
      </c>
    </row>
    <row r="3152" spans="1:5" hidden="1" x14ac:dyDescent="0.25">
      <c r="A3152">
        <v>2041</v>
      </c>
      <c r="B3152" t="s">
        <v>573</v>
      </c>
      <c r="C3152" t="s">
        <v>1640</v>
      </c>
      <c r="D3152" t="str">
        <f t="shared" si="49"/>
        <v>LEMG3918</v>
      </c>
      <c r="E3152" t="s">
        <v>1615</v>
      </c>
    </row>
    <row r="3153" spans="1:5" hidden="1" x14ac:dyDescent="0.25">
      <c r="A3153">
        <v>2041</v>
      </c>
      <c r="B3153" t="s">
        <v>573</v>
      </c>
      <c r="C3153" t="s">
        <v>1642</v>
      </c>
      <c r="D3153" t="str">
        <f t="shared" si="49"/>
        <v>LEMG3921</v>
      </c>
      <c r="E3153" t="s">
        <v>2102</v>
      </c>
    </row>
    <row r="3154" spans="1:5" hidden="1" x14ac:dyDescent="0.25">
      <c r="A3154">
        <v>2041</v>
      </c>
      <c r="B3154" t="s">
        <v>573</v>
      </c>
      <c r="C3154" t="s">
        <v>1643</v>
      </c>
      <c r="D3154" t="str">
        <f t="shared" si="49"/>
        <v>LEMG3922</v>
      </c>
      <c r="E3154" t="s">
        <v>1611</v>
      </c>
    </row>
    <row r="3155" spans="1:5" hidden="1" x14ac:dyDescent="0.25">
      <c r="A3155">
        <v>2041</v>
      </c>
      <c r="B3155" t="s">
        <v>573</v>
      </c>
      <c r="C3155" t="s">
        <v>1644</v>
      </c>
      <c r="D3155" t="str">
        <f t="shared" si="49"/>
        <v>LEMG3924</v>
      </c>
      <c r="E3155" t="s">
        <v>1645</v>
      </c>
    </row>
    <row r="3156" spans="1:5" hidden="1" x14ac:dyDescent="0.25">
      <c r="A3156">
        <v>2041</v>
      </c>
      <c r="B3156" t="s">
        <v>573</v>
      </c>
      <c r="C3156" t="s">
        <v>442</v>
      </c>
      <c r="D3156" t="str">
        <f t="shared" si="49"/>
        <v>LEMG3926</v>
      </c>
      <c r="E3156" t="s">
        <v>1646</v>
      </c>
    </row>
    <row r="3157" spans="1:5" hidden="1" x14ac:dyDescent="0.25">
      <c r="A3157">
        <v>2041</v>
      </c>
      <c r="B3157" t="s">
        <v>573</v>
      </c>
      <c r="C3157" t="s">
        <v>1650</v>
      </c>
      <c r="D3157" t="str">
        <f t="shared" si="49"/>
        <v>LEMG3931</v>
      </c>
      <c r="E3157" t="s">
        <v>1623</v>
      </c>
    </row>
    <row r="3158" spans="1:5" hidden="1" x14ac:dyDescent="0.25">
      <c r="A3158">
        <v>2041</v>
      </c>
      <c r="B3158" t="s">
        <v>573</v>
      </c>
      <c r="C3158" t="s">
        <v>1652</v>
      </c>
      <c r="D3158" t="str">
        <f t="shared" si="49"/>
        <v>LEMG3936</v>
      </c>
      <c r="E3158" t="s">
        <v>93</v>
      </c>
    </row>
    <row r="3159" spans="1:5" hidden="1" x14ac:dyDescent="0.25">
      <c r="A3159">
        <v>2041</v>
      </c>
      <c r="B3159" t="s">
        <v>573</v>
      </c>
      <c r="C3159" t="s">
        <v>1695</v>
      </c>
      <c r="D3159" t="str">
        <f t="shared" si="49"/>
        <v>LEMG3937</v>
      </c>
      <c r="E3159" t="s">
        <v>1692</v>
      </c>
    </row>
    <row r="3160" spans="1:5" hidden="1" x14ac:dyDescent="0.25">
      <c r="A3160">
        <v>2041</v>
      </c>
      <c r="B3160" t="s">
        <v>573</v>
      </c>
      <c r="C3160" t="s">
        <v>1714</v>
      </c>
      <c r="D3160" t="str">
        <f t="shared" si="49"/>
        <v>LEMG3939</v>
      </c>
      <c r="E3160" t="s">
        <v>1623</v>
      </c>
    </row>
    <row r="3161" spans="1:5" hidden="1" x14ac:dyDescent="0.25">
      <c r="A3161">
        <v>2041</v>
      </c>
      <c r="B3161" t="s">
        <v>573</v>
      </c>
      <c r="C3161" t="s">
        <v>1653</v>
      </c>
      <c r="D3161" t="str">
        <f t="shared" si="49"/>
        <v>LEMG3940</v>
      </c>
      <c r="E3161" t="s">
        <v>1648</v>
      </c>
    </row>
    <row r="3162" spans="1:5" hidden="1" x14ac:dyDescent="0.25">
      <c r="A3162">
        <v>2041</v>
      </c>
      <c r="B3162" t="s">
        <v>573</v>
      </c>
      <c r="C3162" t="s">
        <v>479</v>
      </c>
      <c r="D3162" t="str">
        <f t="shared" si="49"/>
        <v>LEMG3941</v>
      </c>
      <c r="E3162" t="s">
        <v>1623</v>
      </c>
    </row>
    <row r="3163" spans="1:5" hidden="1" x14ac:dyDescent="0.25">
      <c r="A3163">
        <v>2041</v>
      </c>
      <c r="B3163" t="s">
        <v>573</v>
      </c>
      <c r="C3163" t="s">
        <v>1654</v>
      </c>
      <c r="D3163" t="str">
        <f t="shared" si="49"/>
        <v>LEMG3943</v>
      </c>
      <c r="E3163" t="s">
        <v>1615</v>
      </c>
    </row>
    <row r="3164" spans="1:5" hidden="1" x14ac:dyDescent="0.25">
      <c r="A3164">
        <v>2041</v>
      </c>
      <c r="B3164" t="s">
        <v>573</v>
      </c>
      <c r="C3164" t="s">
        <v>1657</v>
      </c>
      <c r="D3164" t="str">
        <f t="shared" si="49"/>
        <v>LEMG3961</v>
      </c>
      <c r="E3164" t="s">
        <v>102</v>
      </c>
    </row>
    <row r="3165" spans="1:5" hidden="1" x14ac:dyDescent="0.25">
      <c r="A3165">
        <v>2041</v>
      </c>
      <c r="B3165" t="s">
        <v>573</v>
      </c>
      <c r="C3165" t="s">
        <v>1718</v>
      </c>
      <c r="D3165" t="str">
        <f t="shared" si="49"/>
        <v>LEMG3964</v>
      </c>
      <c r="E3165" t="s">
        <v>1623</v>
      </c>
    </row>
    <row r="3166" spans="1:5" hidden="1" x14ac:dyDescent="0.25">
      <c r="A3166">
        <v>2041</v>
      </c>
      <c r="B3166" t="s">
        <v>573</v>
      </c>
      <c r="C3166" t="s">
        <v>510</v>
      </c>
      <c r="D3166" t="str">
        <f t="shared" si="49"/>
        <v>LEMG3968</v>
      </c>
      <c r="E3166" t="s">
        <v>1623</v>
      </c>
    </row>
    <row r="3167" spans="1:5" hidden="1" x14ac:dyDescent="0.25">
      <c r="A3167">
        <v>2041</v>
      </c>
      <c r="B3167" t="s">
        <v>573</v>
      </c>
      <c r="C3167" t="s">
        <v>520</v>
      </c>
      <c r="D3167" t="str">
        <f t="shared" si="49"/>
        <v>LEMG3981</v>
      </c>
      <c r="E3167" t="s">
        <v>1623</v>
      </c>
    </row>
    <row r="3168" spans="1:5" hidden="1" x14ac:dyDescent="0.25">
      <c r="A3168">
        <v>2041</v>
      </c>
      <c r="B3168" t="s">
        <v>573</v>
      </c>
      <c r="C3168" t="s">
        <v>1663</v>
      </c>
      <c r="D3168" t="str">
        <f t="shared" si="49"/>
        <v>LEMG3999</v>
      </c>
      <c r="E3168" t="s">
        <v>1623</v>
      </c>
    </row>
    <row r="3169" spans="1:5" hidden="1" x14ac:dyDescent="0.25">
      <c r="A3169">
        <v>2041</v>
      </c>
      <c r="B3169" t="s">
        <v>573</v>
      </c>
      <c r="C3169" t="s">
        <v>1664</v>
      </c>
      <c r="D3169" t="str">
        <f t="shared" si="49"/>
        <v>LEMG4002</v>
      </c>
      <c r="E3169" t="s">
        <v>1648</v>
      </c>
    </row>
    <row r="3170" spans="1:5" hidden="1" x14ac:dyDescent="0.25">
      <c r="A3170">
        <v>2041</v>
      </c>
      <c r="B3170" t="s">
        <v>573</v>
      </c>
      <c r="C3170" t="s">
        <v>1665</v>
      </c>
      <c r="D3170" t="str">
        <f t="shared" si="49"/>
        <v>LEMG4003</v>
      </c>
      <c r="E3170" t="s">
        <v>93</v>
      </c>
    </row>
    <row r="3171" spans="1:5" hidden="1" x14ac:dyDescent="0.25">
      <c r="A3171">
        <v>2041</v>
      </c>
      <c r="B3171" t="s">
        <v>573</v>
      </c>
      <c r="C3171" t="s">
        <v>1666</v>
      </c>
      <c r="D3171" t="str">
        <f t="shared" si="49"/>
        <v>LEMG4004</v>
      </c>
      <c r="E3171" t="s">
        <v>1648</v>
      </c>
    </row>
    <row r="3172" spans="1:5" hidden="1" x14ac:dyDescent="0.25">
      <c r="A3172">
        <v>2041</v>
      </c>
      <c r="B3172" t="s">
        <v>573</v>
      </c>
      <c r="C3172" t="s">
        <v>1699</v>
      </c>
      <c r="D3172" t="str">
        <f t="shared" si="49"/>
        <v>LEMG4007</v>
      </c>
      <c r="E3172" t="s">
        <v>93</v>
      </c>
    </row>
    <row r="3173" spans="1:5" hidden="1" x14ac:dyDescent="0.25">
      <c r="A3173">
        <v>2041</v>
      </c>
      <c r="B3173" t="s">
        <v>573</v>
      </c>
      <c r="C3173" t="s">
        <v>1668</v>
      </c>
      <c r="D3173" t="str">
        <f t="shared" si="49"/>
        <v>LEMG4701</v>
      </c>
      <c r="E3173" t="s">
        <v>1669</v>
      </c>
    </row>
    <row r="3174" spans="1:5" hidden="1" x14ac:dyDescent="0.25">
      <c r="A3174">
        <v>2041</v>
      </c>
      <c r="B3174" t="s">
        <v>573</v>
      </c>
      <c r="C3174" t="s">
        <v>264</v>
      </c>
      <c r="D3174" t="str">
        <f t="shared" si="49"/>
        <v>LEMG4703</v>
      </c>
      <c r="E3174" t="s">
        <v>1669</v>
      </c>
    </row>
    <row r="3175" spans="1:5" hidden="1" x14ac:dyDescent="0.25">
      <c r="A3175">
        <v>2041</v>
      </c>
      <c r="B3175" t="s">
        <v>573</v>
      </c>
      <c r="C3175" t="s">
        <v>315</v>
      </c>
      <c r="D3175" t="str">
        <f t="shared" si="49"/>
        <v>LEMG4706</v>
      </c>
      <c r="E3175" t="s">
        <v>1669</v>
      </c>
    </row>
    <row r="3176" spans="1:5" hidden="1" x14ac:dyDescent="0.25">
      <c r="A3176">
        <v>2041</v>
      </c>
      <c r="B3176" t="s">
        <v>573</v>
      </c>
      <c r="C3176" t="s">
        <v>1676</v>
      </c>
      <c r="D3176" t="str">
        <f t="shared" si="49"/>
        <v>LEMG5207</v>
      </c>
      <c r="E3176" t="s">
        <v>1675</v>
      </c>
    </row>
    <row r="3177" spans="1:5" hidden="1" x14ac:dyDescent="0.25">
      <c r="A3177">
        <v>2041</v>
      </c>
      <c r="B3177" t="s">
        <v>573</v>
      </c>
      <c r="C3177" t="s">
        <v>1677</v>
      </c>
      <c r="D3177" t="str">
        <f t="shared" si="49"/>
        <v>LEMG5208</v>
      </c>
      <c r="E3177" t="s">
        <v>1675</v>
      </c>
    </row>
    <row r="3178" spans="1:5" hidden="1" x14ac:dyDescent="0.25">
      <c r="A3178">
        <v>2041</v>
      </c>
      <c r="B3178" t="s">
        <v>573</v>
      </c>
      <c r="C3178" t="s">
        <v>1684</v>
      </c>
      <c r="D3178" t="str">
        <f t="shared" si="49"/>
        <v>LEMG9202</v>
      </c>
      <c r="E3178" t="s">
        <v>1685</v>
      </c>
    </row>
    <row r="3179" spans="1:5" hidden="1" x14ac:dyDescent="0.25">
      <c r="A3179">
        <v>2041</v>
      </c>
      <c r="B3179" t="s">
        <v>573</v>
      </c>
      <c r="C3179" t="s">
        <v>1687</v>
      </c>
      <c r="D3179" t="str">
        <f t="shared" si="49"/>
        <v>LEMG9399</v>
      </c>
      <c r="E3179" t="s">
        <v>1623</v>
      </c>
    </row>
    <row r="3180" spans="1:5" hidden="1" x14ac:dyDescent="0.25">
      <c r="A3180">
        <v>2041</v>
      </c>
      <c r="B3180" t="s">
        <v>573</v>
      </c>
      <c r="C3180" t="s">
        <v>1814</v>
      </c>
      <c r="D3180" t="str">
        <f t="shared" si="49"/>
        <v>LEMG9701</v>
      </c>
      <c r="E3180" t="s">
        <v>1623</v>
      </c>
    </row>
    <row r="3181" spans="1:5" hidden="1" x14ac:dyDescent="0.25">
      <c r="A3181">
        <v>2061</v>
      </c>
      <c r="B3181" t="s">
        <v>558</v>
      </c>
      <c r="C3181" t="s">
        <v>1688</v>
      </c>
      <c r="D3181" t="str">
        <f t="shared" si="49"/>
        <v>FJP1317</v>
      </c>
      <c r="E3181" t="s">
        <v>1689</v>
      </c>
    </row>
    <row r="3182" spans="1:5" hidden="1" x14ac:dyDescent="0.25">
      <c r="A3182">
        <v>2061</v>
      </c>
      <c r="B3182" t="s">
        <v>558</v>
      </c>
      <c r="C3182" t="s">
        <v>1597</v>
      </c>
      <c r="D3182" t="str">
        <f t="shared" si="49"/>
        <v>FJP1401</v>
      </c>
      <c r="E3182" t="s">
        <v>43</v>
      </c>
    </row>
    <row r="3183" spans="1:5" hidden="1" x14ac:dyDescent="0.25">
      <c r="A3183">
        <v>2061</v>
      </c>
      <c r="B3183" t="s">
        <v>558</v>
      </c>
      <c r="C3183" t="s">
        <v>221</v>
      </c>
      <c r="D3183" t="str">
        <f t="shared" si="49"/>
        <v>FJP1801</v>
      </c>
      <c r="E3183" t="s">
        <v>1738</v>
      </c>
    </row>
    <row r="3184" spans="1:5" hidden="1" x14ac:dyDescent="0.25">
      <c r="A3184">
        <v>2061</v>
      </c>
      <c r="B3184" t="s">
        <v>558</v>
      </c>
      <c r="C3184" t="s">
        <v>1599</v>
      </c>
      <c r="D3184" t="str">
        <f t="shared" si="49"/>
        <v>FJP3001</v>
      </c>
      <c r="E3184" t="s">
        <v>1600</v>
      </c>
    </row>
    <row r="3185" spans="1:5" hidden="1" x14ac:dyDescent="0.25">
      <c r="A3185">
        <v>2061</v>
      </c>
      <c r="B3185" t="s">
        <v>558</v>
      </c>
      <c r="C3185" t="s">
        <v>1601</v>
      </c>
      <c r="D3185" t="str">
        <f t="shared" si="49"/>
        <v>FJP3003</v>
      </c>
      <c r="E3185" t="s">
        <v>1600</v>
      </c>
    </row>
    <row r="3186" spans="1:5" hidden="1" x14ac:dyDescent="0.25">
      <c r="A3186">
        <v>2061</v>
      </c>
      <c r="B3186" t="s">
        <v>558</v>
      </c>
      <c r="C3186" t="s">
        <v>1603</v>
      </c>
      <c r="D3186" t="str">
        <f t="shared" si="49"/>
        <v>FJP3005</v>
      </c>
      <c r="E3186" t="s">
        <v>1600</v>
      </c>
    </row>
    <row r="3187" spans="1:5" hidden="1" x14ac:dyDescent="0.25">
      <c r="A3187">
        <v>2061</v>
      </c>
      <c r="B3187" t="s">
        <v>558</v>
      </c>
      <c r="C3187" t="s">
        <v>332</v>
      </c>
      <c r="D3187" t="str">
        <f t="shared" si="49"/>
        <v>FJP3007</v>
      </c>
      <c r="E3187" t="s">
        <v>1600</v>
      </c>
    </row>
    <row r="3188" spans="1:5" hidden="1" x14ac:dyDescent="0.25">
      <c r="A3188">
        <v>2061</v>
      </c>
      <c r="B3188" t="s">
        <v>558</v>
      </c>
      <c r="C3188" t="s">
        <v>1604</v>
      </c>
      <c r="D3188" t="str">
        <f t="shared" si="49"/>
        <v>FJP3008</v>
      </c>
      <c r="E3188" t="s">
        <v>1600</v>
      </c>
    </row>
    <row r="3189" spans="1:5" hidden="1" x14ac:dyDescent="0.25">
      <c r="A3189">
        <v>2061</v>
      </c>
      <c r="B3189" t="s">
        <v>558</v>
      </c>
      <c r="C3189" t="s">
        <v>1605</v>
      </c>
      <c r="D3189" t="str">
        <f t="shared" si="49"/>
        <v>FJP3010</v>
      </c>
      <c r="E3189" t="s">
        <v>1606</v>
      </c>
    </row>
    <row r="3190" spans="1:5" hidden="1" x14ac:dyDescent="0.25">
      <c r="A3190">
        <v>2061</v>
      </c>
      <c r="B3190" t="s">
        <v>558</v>
      </c>
      <c r="C3190" t="s">
        <v>1607</v>
      </c>
      <c r="D3190" t="str">
        <f t="shared" si="49"/>
        <v>FJP3013</v>
      </c>
      <c r="E3190" t="s">
        <v>1600</v>
      </c>
    </row>
    <row r="3191" spans="1:5" hidden="1" x14ac:dyDescent="0.25">
      <c r="A3191">
        <v>2061</v>
      </c>
      <c r="B3191" t="s">
        <v>558</v>
      </c>
      <c r="C3191" t="s">
        <v>1608</v>
      </c>
      <c r="D3191" t="str">
        <f t="shared" si="49"/>
        <v>FJP3015</v>
      </c>
      <c r="E3191" t="s">
        <v>1600</v>
      </c>
    </row>
    <row r="3192" spans="1:5" hidden="1" x14ac:dyDescent="0.25">
      <c r="A3192">
        <v>2061</v>
      </c>
      <c r="B3192" t="s">
        <v>558</v>
      </c>
      <c r="C3192" t="s">
        <v>1609</v>
      </c>
      <c r="D3192" t="str">
        <f t="shared" si="49"/>
        <v>FJP3016</v>
      </c>
      <c r="E3192" t="s">
        <v>1600</v>
      </c>
    </row>
    <row r="3193" spans="1:5" hidden="1" x14ac:dyDescent="0.25">
      <c r="A3193">
        <v>2061</v>
      </c>
      <c r="B3193" t="s">
        <v>558</v>
      </c>
      <c r="C3193" t="s">
        <v>405</v>
      </c>
      <c r="D3193" t="str">
        <f t="shared" si="49"/>
        <v>FJP3017</v>
      </c>
      <c r="E3193" t="s">
        <v>1600</v>
      </c>
    </row>
    <row r="3194" spans="1:5" hidden="1" x14ac:dyDescent="0.25">
      <c r="A3194">
        <v>2061</v>
      </c>
      <c r="B3194" t="s">
        <v>558</v>
      </c>
      <c r="C3194" t="s">
        <v>1610</v>
      </c>
      <c r="D3194" t="str">
        <f t="shared" si="49"/>
        <v>FJP3019</v>
      </c>
      <c r="E3194" t="s">
        <v>1611</v>
      </c>
    </row>
    <row r="3195" spans="1:5" hidden="1" x14ac:dyDescent="0.25">
      <c r="A3195">
        <v>2061</v>
      </c>
      <c r="B3195" t="s">
        <v>558</v>
      </c>
      <c r="C3195" t="s">
        <v>1612</v>
      </c>
      <c r="D3195" t="str">
        <f t="shared" si="49"/>
        <v>FJP3020</v>
      </c>
      <c r="E3195" t="s">
        <v>1600</v>
      </c>
    </row>
    <row r="3196" spans="1:5" hidden="1" x14ac:dyDescent="0.25">
      <c r="A3196">
        <v>2061</v>
      </c>
      <c r="B3196" t="s">
        <v>558</v>
      </c>
      <c r="C3196" t="s">
        <v>1613</v>
      </c>
      <c r="D3196" t="str">
        <f t="shared" si="49"/>
        <v>FJP3021</v>
      </c>
      <c r="E3196" t="s">
        <v>1600</v>
      </c>
    </row>
    <row r="3197" spans="1:5" hidden="1" x14ac:dyDescent="0.25">
      <c r="A3197">
        <v>2061</v>
      </c>
      <c r="B3197" t="s">
        <v>558</v>
      </c>
      <c r="C3197" t="s">
        <v>430</v>
      </c>
      <c r="D3197" t="str">
        <f t="shared" si="49"/>
        <v>FJP3022</v>
      </c>
      <c r="E3197" t="s">
        <v>1600</v>
      </c>
    </row>
    <row r="3198" spans="1:5" hidden="1" x14ac:dyDescent="0.25">
      <c r="A3198">
        <v>2061</v>
      </c>
      <c r="B3198" t="s">
        <v>558</v>
      </c>
      <c r="C3198" t="s">
        <v>1614</v>
      </c>
      <c r="D3198" t="str">
        <f t="shared" si="49"/>
        <v>FJP3023</v>
      </c>
      <c r="E3198" t="s">
        <v>1615</v>
      </c>
    </row>
    <row r="3199" spans="1:5" hidden="1" x14ac:dyDescent="0.25">
      <c r="A3199">
        <v>2061</v>
      </c>
      <c r="B3199" t="s">
        <v>558</v>
      </c>
      <c r="C3199" t="s">
        <v>440</v>
      </c>
      <c r="D3199" t="str">
        <f t="shared" si="49"/>
        <v>FJP3024</v>
      </c>
      <c r="E3199" t="s">
        <v>1600</v>
      </c>
    </row>
    <row r="3200" spans="1:5" hidden="1" x14ac:dyDescent="0.25">
      <c r="A3200">
        <v>2061</v>
      </c>
      <c r="B3200" t="s">
        <v>558</v>
      </c>
      <c r="C3200" t="s">
        <v>1616</v>
      </c>
      <c r="D3200" t="str">
        <f t="shared" si="49"/>
        <v>FJP3025</v>
      </c>
      <c r="E3200" t="s">
        <v>1600</v>
      </c>
    </row>
    <row r="3201" spans="1:5" hidden="1" x14ac:dyDescent="0.25">
      <c r="A3201">
        <v>2061</v>
      </c>
      <c r="B3201" t="s">
        <v>558</v>
      </c>
      <c r="C3201" t="s">
        <v>1617</v>
      </c>
      <c r="D3201" t="str">
        <f t="shared" si="49"/>
        <v>FJP3026</v>
      </c>
      <c r="E3201" t="s">
        <v>1615</v>
      </c>
    </row>
    <row r="3202" spans="1:5" hidden="1" x14ac:dyDescent="0.25">
      <c r="A3202">
        <v>2061</v>
      </c>
      <c r="B3202" t="s">
        <v>558</v>
      </c>
      <c r="C3202" t="s">
        <v>1618</v>
      </c>
      <c r="D3202" t="str">
        <f t="shared" si="49"/>
        <v>FJP3027</v>
      </c>
      <c r="E3202" t="s">
        <v>1600</v>
      </c>
    </row>
    <row r="3203" spans="1:5" hidden="1" x14ac:dyDescent="0.25">
      <c r="A3203">
        <v>2061</v>
      </c>
      <c r="B3203" t="s">
        <v>558</v>
      </c>
      <c r="C3203" t="s">
        <v>1702</v>
      </c>
      <c r="D3203" t="str">
        <f t="shared" si="49"/>
        <v>FJP3029</v>
      </c>
      <c r="E3203" t="s">
        <v>1600</v>
      </c>
    </row>
    <row r="3204" spans="1:5" hidden="1" x14ac:dyDescent="0.25">
      <c r="A3204">
        <v>2061</v>
      </c>
      <c r="B3204" t="s">
        <v>558</v>
      </c>
      <c r="C3204" t="s">
        <v>466</v>
      </c>
      <c r="D3204" t="str">
        <f t="shared" si="49"/>
        <v>FJP3030</v>
      </c>
      <c r="E3204" t="s">
        <v>1600</v>
      </c>
    </row>
    <row r="3205" spans="1:5" hidden="1" x14ac:dyDescent="0.25">
      <c r="A3205">
        <v>2061</v>
      </c>
      <c r="B3205" t="s">
        <v>558</v>
      </c>
      <c r="C3205" t="s">
        <v>1756</v>
      </c>
      <c r="D3205" t="str">
        <f t="shared" ref="D3205:D3268" si="50">CONCATENATE(B3205,LEFT(C3205,4))</f>
        <v>FJP3036</v>
      </c>
      <c r="E3205" t="s">
        <v>1600</v>
      </c>
    </row>
    <row r="3206" spans="1:5" hidden="1" x14ac:dyDescent="0.25">
      <c r="A3206">
        <v>2061</v>
      </c>
      <c r="B3206" t="s">
        <v>558</v>
      </c>
      <c r="C3206" t="s">
        <v>490</v>
      </c>
      <c r="D3206" t="str">
        <f t="shared" si="50"/>
        <v>FJP3099</v>
      </c>
      <c r="E3206" t="s">
        <v>1600</v>
      </c>
    </row>
    <row r="3207" spans="1:5" hidden="1" x14ac:dyDescent="0.25">
      <c r="A3207">
        <v>2061</v>
      </c>
      <c r="B3207" t="s">
        <v>558</v>
      </c>
      <c r="C3207" t="s">
        <v>1622</v>
      </c>
      <c r="D3207" t="str">
        <f t="shared" si="50"/>
        <v>FJP3101</v>
      </c>
      <c r="E3207" t="s">
        <v>1623</v>
      </c>
    </row>
    <row r="3208" spans="1:5" hidden="1" x14ac:dyDescent="0.25">
      <c r="A3208">
        <v>2061</v>
      </c>
      <c r="B3208" t="s">
        <v>558</v>
      </c>
      <c r="C3208" t="s">
        <v>53</v>
      </c>
      <c r="D3208" t="str">
        <f t="shared" si="50"/>
        <v>FJP3301</v>
      </c>
      <c r="E3208" t="s">
        <v>43</v>
      </c>
    </row>
    <row r="3209" spans="1:5" hidden="1" x14ac:dyDescent="0.25">
      <c r="A3209">
        <v>2061</v>
      </c>
      <c r="B3209" t="s">
        <v>558</v>
      </c>
      <c r="C3209" t="s">
        <v>1626</v>
      </c>
      <c r="D3209" t="str">
        <f t="shared" si="50"/>
        <v>FJP3302</v>
      </c>
      <c r="E3209" t="s">
        <v>43</v>
      </c>
    </row>
    <row r="3210" spans="1:5" hidden="1" x14ac:dyDescent="0.25">
      <c r="A3210">
        <v>2061</v>
      </c>
      <c r="B3210" t="s">
        <v>558</v>
      </c>
      <c r="C3210" t="s">
        <v>1627</v>
      </c>
      <c r="D3210" t="str">
        <f t="shared" si="50"/>
        <v>FJP3304</v>
      </c>
      <c r="E3210" t="s">
        <v>43</v>
      </c>
    </row>
    <row r="3211" spans="1:5" hidden="1" x14ac:dyDescent="0.25">
      <c r="A3211">
        <v>2061</v>
      </c>
      <c r="B3211" t="s">
        <v>558</v>
      </c>
      <c r="C3211" t="s">
        <v>308</v>
      </c>
      <c r="D3211" t="str">
        <f t="shared" si="50"/>
        <v>FJP3305</v>
      </c>
      <c r="E3211" t="s">
        <v>1623</v>
      </c>
    </row>
    <row r="3212" spans="1:5" hidden="1" x14ac:dyDescent="0.25">
      <c r="A3212">
        <v>2061</v>
      </c>
      <c r="B3212" t="s">
        <v>558</v>
      </c>
      <c r="C3212" t="s">
        <v>1741</v>
      </c>
      <c r="D3212" t="str">
        <f t="shared" si="50"/>
        <v>FJP3501</v>
      </c>
      <c r="E3212" t="s">
        <v>1623</v>
      </c>
    </row>
    <row r="3213" spans="1:5" hidden="1" x14ac:dyDescent="0.25">
      <c r="A3213">
        <v>2061</v>
      </c>
      <c r="B3213" t="s">
        <v>558</v>
      </c>
      <c r="C3213" t="s">
        <v>1705</v>
      </c>
      <c r="D3213" t="str">
        <f t="shared" si="50"/>
        <v>FJP3502</v>
      </c>
      <c r="E3213" t="s">
        <v>1623</v>
      </c>
    </row>
    <row r="3214" spans="1:5" hidden="1" x14ac:dyDescent="0.25">
      <c r="A3214">
        <v>2061</v>
      </c>
      <c r="B3214" t="s">
        <v>558</v>
      </c>
      <c r="C3214" t="s">
        <v>1690</v>
      </c>
      <c r="D3214" t="str">
        <f t="shared" si="50"/>
        <v>FJP3601</v>
      </c>
      <c r="E3214" t="s">
        <v>64</v>
      </c>
    </row>
    <row r="3215" spans="1:5" hidden="1" x14ac:dyDescent="0.25">
      <c r="A3215">
        <v>2061</v>
      </c>
      <c r="B3215" t="s">
        <v>558</v>
      </c>
      <c r="C3215" t="s">
        <v>296</v>
      </c>
      <c r="D3215" t="str">
        <f t="shared" si="50"/>
        <v>FJP3604</v>
      </c>
      <c r="E3215" t="s">
        <v>43</v>
      </c>
    </row>
    <row r="3216" spans="1:5" hidden="1" x14ac:dyDescent="0.25">
      <c r="A3216">
        <v>2061</v>
      </c>
      <c r="B3216" t="s">
        <v>558</v>
      </c>
      <c r="C3216" t="s">
        <v>1742</v>
      </c>
      <c r="D3216" t="str">
        <f t="shared" si="50"/>
        <v>FJP3605</v>
      </c>
      <c r="E3216" t="s">
        <v>1623</v>
      </c>
    </row>
    <row r="3217" spans="1:5" hidden="1" x14ac:dyDescent="0.25">
      <c r="A3217">
        <v>2061</v>
      </c>
      <c r="B3217" t="s">
        <v>558</v>
      </c>
      <c r="C3217" t="s">
        <v>354</v>
      </c>
      <c r="D3217" t="str">
        <f t="shared" si="50"/>
        <v>FJP3610</v>
      </c>
      <c r="E3217" t="s">
        <v>1623</v>
      </c>
    </row>
    <row r="3218" spans="1:5" hidden="1" x14ac:dyDescent="0.25">
      <c r="A3218">
        <v>2061</v>
      </c>
      <c r="B3218" t="s">
        <v>558</v>
      </c>
      <c r="C3218" t="s">
        <v>1628</v>
      </c>
      <c r="D3218" t="str">
        <f t="shared" si="50"/>
        <v>FJP3612</v>
      </c>
      <c r="E3218" t="s">
        <v>1623</v>
      </c>
    </row>
    <row r="3219" spans="1:5" hidden="1" x14ac:dyDescent="0.25">
      <c r="A3219">
        <v>2061</v>
      </c>
      <c r="B3219" t="s">
        <v>558</v>
      </c>
      <c r="C3219" t="s">
        <v>406</v>
      </c>
      <c r="D3219" t="str">
        <f t="shared" si="50"/>
        <v>FJP3618</v>
      </c>
      <c r="E3219" t="s">
        <v>1611</v>
      </c>
    </row>
    <row r="3220" spans="1:5" hidden="1" x14ac:dyDescent="0.25">
      <c r="A3220">
        <v>2061</v>
      </c>
      <c r="B3220" t="s">
        <v>558</v>
      </c>
      <c r="C3220" t="s">
        <v>426</v>
      </c>
      <c r="D3220" t="str">
        <f t="shared" si="50"/>
        <v>FJP3622</v>
      </c>
      <c r="E3220" t="s">
        <v>1692</v>
      </c>
    </row>
    <row r="3221" spans="1:5" hidden="1" x14ac:dyDescent="0.25">
      <c r="A3221">
        <v>2061</v>
      </c>
      <c r="B3221" t="s">
        <v>558</v>
      </c>
      <c r="C3221" t="s">
        <v>431</v>
      </c>
      <c r="D3221" t="str">
        <f t="shared" si="50"/>
        <v>FJP3623</v>
      </c>
      <c r="E3221" t="s">
        <v>1646</v>
      </c>
    </row>
    <row r="3222" spans="1:5" hidden="1" x14ac:dyDescent="0.25">
      <c r="A3222">
        <v>2061</v>
      </c>
      <c r="B3222" t="s">
        <v>558</v>
      </c>
      <c r="C3222" t="s">
        <v>467</v>
      </c>
      <c r="D3222" t="str">
        <f t="shared" si="50"/>
        <v>FJP3631</v>
      </c>
      <c r="E3222" t="s">
        <v>1645</v>
      </c>
    </row>
    <row r="3223" spans="1:5" hidden="1" x14ac:dyDescent="0.25">
      <c r="A3223">
        <v>2061</v>
      </c>
      <c r="B3223" t="s">
        <v>558</v>
      </c>
      <c r="C3223" t="s">
        <v>1629</v>
      </c>
      <c r="D3223" t="str">
        <f t="shared" si="50"/>
        <v>FJP3701</v>
      </c>
      <c r="E3223" t="s">
        <v>102</v>
      </c>
    </row>
    <row r="3224" spans="1:5" hidden="1" x14ac:dyDescent="0.25">
      <c r="A3224">
        <v>2061</v>
      </c>
      <c r="B3224" t="s">
        <v>558</v>
      </c>
      <c r="C3224" t="s">
        <v>1693</v>
      </c>
      <c r="D3224" t="str">
        <f t="shared" si="50"/>
        <v>FJP3702</v>
      </c>
      <c r="E3224" t="s">
        <v>1630</v>
      </c>
    </row>
    <row r="3225" spans="1:5" hidden="1" x14ac:dyDescent="0.25">
      <c r="A3225">
        <v>2061</v>
      </c>
      <c r="B3225" t="s">
        <v>558</v>
      </c>
      <c r="C3225" t="s">
        <v>1631</v>
      </c>
      <c r="D3225" t="str">
        <f t="shared" si="50"/>
        <v>FJP3703</v>
      </c>
      <c r="E3225" t="s">
        <v>116</v>
      </c>
    </row>
    <row r="3226" spans="1:5" hidden="1" x14ac:dyDescent="0.25">
      <c r="A3226">
        <v>2061</v>
      </c>
      <c r="B3226" t="s">
        <v>558</v>
      </c>
      <c r="C3226" t="s">
        <v>1632</v>
      </c>
      <c r="D3226" t="str">
        <f t="shared" si="50"/>
        <v>FJP3704</v>
      </c>
      <c r="E3226" t="s">
        <v>116</v>
      </c>
    </row>
    <row r="3227" spans="1:5" hidden="1" x14ac:dyDescent="0.25">
      <c r="A3227">
        <v>2061</v>
      </c>
      <c r="B3227" t="s">
        <v>558</v>
      </c>
      <c r="C3227" t="s">
        <v>1633</v>
      </c>
      <c r="D3227" t="str">
        <f t="shared" si="50"/>
        <v>FJP3705</v>
      </c>
      <c r="E3227" t="s">
        <v>116</v>
      </c>
    </row>
    <row r="3228" spans="1:5" hidden="1" x14ac:dyDescent="0.25">
      <c r="A3228">
        <v>2061</v>
      </c>
      <c r="B3228" t="s">
        <v>558</v>
      </c>
      <c r="C3228" t="s">
        <v>1634</v>
      </c>
      <c r="D3228" t="str">
        <f t="shared" si="50"/>
        <v>FJP3903</v>
      </c>
      <c r="E3228" t="s">
        <v>86</v>
      </c>
    </row>
    <row r="3229" spans="1:5" hidden="1" x14ac:dyDescent="0.25">
      <c r="A3229">
        <v>2061</v>
      </c>
      <c r="B3229" t="s">
        <v>558</v>
      </c>
      <c r="C3229" t="s">
        <v>298</v>
      </c>
      <c r="D3229" t="str">
        <f t="shared" si="50"/>
        <v>FJP3904</v>
      </c>
      <c r="E3229" t="s">
        <v>1623</v>
      </c>
    </row>
    <row r="3230" spans="1:5" hidden="1" x14ac:dyDescent="0.25">
      <c r="A3230">
        <v>2061</v>
      </c>
      <c r="B3230" t="s">
        <v>558</v>
      </c>
      <c r="C3230" t="s">
        <v>335</v>
      </c>
      <c r="D3230" t="str">
        <f t="shared" si="50"/>
        <v>FJP3909</v>
      </c>
      <c r="E3230" t="s">
        <v>1623</v>
      </c>
    </row>
    <row r="3231" spans="1:5" hidden="1" x14ac:dyDescent="0.25">
      <c r="A3231">
        <v>2061</v>
      </c>
      <c r="B3231" t="s">
        <v>558</v>
      </c>
      <c r="C3231" t="s">
        <v>345</v>
      </c>
      <c r="D3231" t="str">
        <f t="shared" si="50"/>
        <v>FJP3910</v>
      </c>
      <c r="E3231" t="s">
        <v>1623</v>
      </c>
    </row>
    <row r="3232" spans="1:5" hidden="1" x14ac:dyDescent="0.25">
      <c r="A3232">
        <v>2061</v>
      </c>
      <c r="B3232" t="s">
        <v>558</v>
      </c>
      <c r="C3232" t="s">
        <v>355</v>
      </c>
      <c r="D3232" t="str">
        <f t="shared" si="50"/>
        <v>FJP3911</v>
      </c>
      <c r="E3232" t="s">
        <v>1623</v>
      </c>
    </row>
    <row r="3233" spans="1:5" hidden="1" x14ac:dyDescent="0.25">
      <c r="A3233">
        <v>2061</v>
      </c>
      <c r="B3233" t="s">
        <v>558</v>
      </c>
      <c r="C3233" t="s">
        <v>1636</v>
      </c>
      <c r="D3233" t="str">
        <f t="shared" si="50"/>
        <v>FJP3912</v>
      </c>
      <c r="E3233" t="s">
        <v>1637</v>
      </c>
    </row>
    <row r="3234" spans="1:5" hidden="1" x14ac:dyDescent="0.25">
      <c r="A3234">
        <v>2061</v>
      </c>
      <c r="B3234" t="s">
        <v>558</v>
      </c>
      <c r="C3234" t="s">
        <v>1638</v>
      </c>
      <c r="D3234" t="str">
        <f t="shared" si="50"/>
        <v>FJP3913</v>
      </c>
      <c r="E3234" t="s">
        <v>1637</v>
      </c>
    </row>
    <row r="3235" spans="1:5" hidden="1" x14ac:dyDescent="0.25">
      <c r="A3235">
        <v>2061</v>
      </c>
      <c r="B3235" t="s">
        <v>558</v>
      </c>
      <c r="C3235" t="s">
        <v>383</v>
      </c>
      <c r="D3235" t="str">
        <f t="shared" si="50"/>
        <v>FJP3915</v>
      </c>
      <c r="E3235" t="s">
        <v>1637</v>
      </c>
    </row>
    <row r="3236" spans="1:5" hidden="1" x14ac:dyDescent="0.25">
      <c r="A3236">
        <v>2061</v>
      </c>
      <c r="B3236" t="s">
        <v>558</v>
      </c>
      <c r="C3236" t="s">
        <v>1639</v>
      </c>
      <c r="D3236" t="str">
        <f t="shared" si="50"/>
        <v>FJP3917</v>
      </c>
      <c r="E3236" t="s">
        <v>1615</v>
      </c>
    </row>
    <row r="3237" spans="1:5" hidden="1" x14ac:dyDescent="0.25">
      <c r="A3237">
        <v>2061</v>
      </c>
      <c r="B3237" t="s">
        <v>558</v>
      </c>
      <c r="C3237" t="s">
        <v>1640</v>
      </c>
      <c r="D3237" t="str">
        <f t="shared" si="50"/>
        <v>FJP3918</v>
      </c>
      <c r="E3237" t="s">
        <v>1615</v>
      </c>
    </row>
    <row r="3238" spans="1:5" hidden="1" x14ac:dyDescent="0.25">
      <c r="A3238">
        <v>2061</v>
      </c>
      <c r="B3238" t="s">
        <v>558</v>
      </c>
      <c r="C3238" t="s">
        <v>1641</v>
      </c>
      <c r="D3238" t="str">
        <f t="shared" si="50"/>
        <v>FJP3919</v>
      </c>
      <c r="E3238" t="s">
        <v>2102</v>
      </c>
    </row>
    <row r="3239" spans="1:5" hidden="1" x14ac:dyDescent="0.25">
      <c r="A3239">
        <v>2061</v>
      </c>
      <c r="B3239" t="s">
        <v>558</v>
      </c>
      <c r="C3239" t="s">
        <v>1642</v>
      </c>
      <c r="D3239" t="str">
        <f t="shared" si="50"/>
        <v>FJP3921</v>
      </c>
      <c r="E3239" t="s">
        <v>2102</v>
      </c>
    </row>
    <row r="3240" spans="1:5" hidden="1" x14ac:dyDescent="0.25">
      <c r="A3240">
        <v>2061</v>
      </c>
      <c r="B3240" t="s">
        <v>558</v>
      </c>
      <c r="C3240" t="s">
        <v>1643</v>
      </c>
      <c r="D3240" t="str">
        <f t="shared" si="50"/>
        <v>FJP3922</v>
      </c>
      <c r="E3240" t="s">
        <v>1611</v>
      </c>
    </row>
    <row r="3241" spans="1:5" hidden="1" x14ac:dyDescent="0.25">
      <c r="A3241">
        <v>2061</v>
      </c>
      <c r="B3241" t="s">
        <v>558</v>
      </c>
      <c r="C3241" t="s">
        <v>1644</v>
      </c>
      <c r="D3241" t="str">
        <f t="shared" si="50"/>
        <v>FJP3924</v>
      </c>
      <c r="E3241" t="s">
        <v>1645</v>
      </c>
    </row>
    <row r="3242" spans="1:5" hidden="1" x14ac:dyDescent="0.25">
      <c r="A3242">
        <v>2061</v>
      </c>
      <c r="B3242" t="s">
        <v>558</v>
      </c>
      <c r="C3242" t="s">
        <v>437</v>
      </c>
      <c r="D3242" t="str">
        <f t="shared" si="50"/>
        <v>FJP3925</v>
      </c>
      <c r="E3242" t="s">
        <v>1646</v>
      </c>
    </row>
    <row r="3243" spans="1:5" hidden="1" x14ac:dyDescent="0.25">
      <c r="A3243">
        <v>2061</v>
      </c>
      <c r="B3243" t="s">
        <v>558</v>
      </c>
      <c r="C3243" t="s">
        <v>442</v>
      </c>
      <c r="D3243" t="str">
        <f t="shared" si="50"/>
        <v>FJP3926</v>
      </c>
      <c r="E3243" t="s">
        <v>1646</v>
      </c>
    </row>
    <row r="3244" spans="1:5" hidden="1" x14ac:dyDescent="0.25">
      <c r="A3244">
        <v>2061</v>
      </c>
      <c r="B3244" t="s">
        <v>558</v>
      </c>
      <c r="C3244" t="s">
        <v>1647</v>
      </c>
      <c r="D3244" t="str">
        <f t="shared" si="50"/>
        <v>FJP3927</v>
      </c>
      <c r="E3244" t="s">
        <v>1648</v>
      </c>
    </row>
    <row r="3245" spans="1:5" hidden="1" x14ac:dyDescent="0.25">
      <c r="A3245">
        <v>2061</v>
      </c>
      <c r="B3245" t="s">
        <v>558</v>
      </c>
      <c r="C3245" t="s">
        <v>1650</v>
      </c>
      <c r="D3245" t="str">
        <f t="shared" si="50"/>
        <v>FJP3931</v>
      </c>
      <c r="E3245" t="s">
        <v>1623</v>
      </c>
    </row>
    <row r="3246" spans="1:5" hidden="1" x14ac:dyDescent="0.25">
      <c r="A3246">
        <v>2061</v>
      </c>
      <c r="B3246" t="s">
        <v>558</v>
      </c>
      <c r="C3246" t="s">
        <v>1652</v>
      </c>
      <c r="D3246" t="str">
        <f t="shared" si="50"/>
        <v>FJP3936</v>
      </c>
      <c r="E3246" t="s">
        <v>93</v>
      </c>
    </row>
    <row r="3247" spans="1:5" hidden="1" x14ac:dyDescent="0.25">
      <c r="A3247">
        <v>2061</v>
      </c>
      <c r="B3247" t="s">
        <v>558</v>
      </c>
      <c r="C3247" t="s">
        <v>1708</v>
      </c>
      <c r="D3247" t="str">
        <f t="shared" si="50"/>
        <v>FJP3938</v>
      </c>
      <c r="E3247" t="s">
        <v>1623</v>
      </c>
    </row>
    <row r="3248" spans="1:5" hidden="1" x14ac:dyDescent="0.25">
      <c r="A3248">
        <v>2061</v>
      </c>
      <c r="B3248" t="s">
        <v>558</v>
      </c>
      <c r="C3248" t="s">
        <v>1714</v>
      </c>
      <c r="D3248" t="str">
        <f t="shared" si="50"/>
        <v>FJP3939</v>
      </c>
      <c r="E3248" t="s">
        <v>1623</v>
      </c>
    </row>
    <row r="3249" spans="1:5" hidden="1" x14ac:dyDescent="0.25">
      <c r="A3249">
        <v>2061</v>
      </c>
      <c r="B3249" t="s">
        <v>558</v>
      </c>
      <c r="C3249" t="s">
        <v>1653</v>
      </c>
      <c r="D3249" t="str">
        <f t="shared" si="50"/>
        <v>FJP3940</v>
      </c>
      <c r="E3249" t="s">
        <v>1648</v>
      </c>
    </row>
    <row r="3250" spans="1:5" hidden="1" x14ac:dyDescent="0.25">
      <c r="A3250">
        <v>2061</v>
      </c>
      <c r="B3250" t="s">
        <v>558</v>
      </c>
      <c r="C3250" t="s">
        <v>479</v>
      </c>
      <c r="D3250" t="str">
        <f t="shared" si="50"/>
        <v>FJP3941</v>
      </c>
      <c r="E3250" t="s">
        <v>1623</v>
      </c>
    </row>
    <row r="3251" spans="1:5" hidden="1" x14ac:dyDescent="0.25">
      <c r="A3251">
        <v>2061</v>
      </c>
      <c r="B3251" t="s">
        <v>558</v>
      </c>
      <c r="C3251" t="s">
        <v>1654</v>
      </c>
      <c r="D3251" t="str">
        <f t="shared" si="50"/>
        <v>FJP3943</v>
      </c>
      <c r="E3251" t="s">
        <v>1615</v>
      </c>
    </row>
    <row r="3252" spans="1:5" hidden="1" x14ac:dyDescent="0.25">
      <c r="A3252">
        <v>2061</v>
      </c>
      <c r="B3252" t="s">
        <v>558</v>
      </c>
      <c r="C3252" t="s">
        <v>491</v>
      </c>
      <c r="D3252" t="str">
        <f t="shared" si="50"/>
        <v>FJP3948</v>
      </c>
      <c r="E3252" t="s">
        <v>1645</v>
      </c>
    </row>
    <row r="3253" spans="1:5" hidden="1" x14ac:dyDescent="0.25">
      <c r="A3253">
        <v>2061</v>
      </c>
      <c r="B3253" t="s">
        <v>558</v>
      </c>
      <c r="C3253" t="s">
        <v>495</v>
      </c>
      <c r="D3253" t="str">
        <f t="shared" si="50"/>
        <v>FJP3953</v>
      </c>
      <c r="E3253" t="s">
        <v>1645</v>
      </c>
    </row>
    <row r="3254" spans="1:5" hidden="1" x14ac:dyDescent="0.25">
      <c r="A3254">
        <v>2061</v>
      </c>
      <c r="B3254" t="s">
        <v>558</v>
      </c>
      <c r="C3254" t="s">
        <v>497</v>
      </c>
      <c r="D3254" t="str">
        <f t="shared" si="50"/>
        <v>FJP3955</v>
      </c>
      <c r="E3254" t="s">
        <v>1623</v>
      </c>
    </row>
    <row r="3255" spans="1:5" hidden="1" x14ac:dyDescent="0.25">
      <c r="A3255">
        <v>2061</v>
      </c>
      <c r="B3255" t="s">
        <v>558</v>
      </c>
      <c r="C3255" t="s">
        <v>1656</v>
      </c>
      <c r="D3255" t="str">
        <f t="shared" si="50"/>
        <v>FJP3959</v>
      </c>
      <c r="E3255" t="s">
        <v>1623</v>
      </c>
    </row>
    <row r="3256" spans="1:5" hidden="1" x14ac:dyDescent="0.25">
      <c r="A3256">
        <v>2061</v>
      </c>
      <c r="B3256" t="s">
        <v>558</v>
      </c>
      <c r="C3256" t="s">
        <v>1657</v>
      </c>
      <c r="D3256" t="str">
        <f t="shared" si="50"/>
        <v>FJP3961</v>
      </c>
      <c r="E3256" t="s">
        <v>1630</v>
      </c>
    </row>
    <row r="3257" spans="1:5" hidden="1" x14ac:dyDescent="0.25">
      <c r="A3257">
        <v>2061</v>
      </c>
      <c r="B3257" t="s">
        <v>558</v>
      </c>
      <c r="C3257" t="s">
        <v>1718</v>
      </c>
      <c r="D3257" t="str">
        <f t="shared" si="50"/>
        <v>FJP3964</v>
      </c>
      <c r="E3257" t="s">
        <v>1623</v>
      </c>
    </row>
    <row r="3258" spans="1:5" hidden="1" x14ac:dyDescent="0.25">
      <c r="A3258">
        <v>2061</v>
      </c>
      <c r="B3258" t="s">
        <v>558</v>
      </c>
      <c r="C3258" t="s">
        <v>510</v>
      </c>
      <c r="D3258" t="str">
        <f t="shared" si="50"/>
        <v>FJP3968</v>
      </c>
      <c r="E3258" t="s">
        <v>1623</v>
      </c>
    </row>
    <row r="3259" spans="1:5" hidden="1" x14ac:dyDescent="0.25">
      <c r="A3259">
        <v>2061</v>
      </c>
      <c r="B3259" t="s">
        <v>558</v>
      </c>
      <c r="C3259" t="s">
        <v>1659</v>
      </c>
      <c r="D3259" t="str">
        <f t="shared" si="50"/>
        <v>FJP3969</v>
      </c>
      <c r="E3259" t="s">
        <v>1637</v>
      </c>
    </row>
    <row r="3260" spans="1:5" hidden="1" x14ac:dyDescent="0.25">
      <c r="A3260">
        <v>2061</v>
      </c>
      <c r="B3260" t="s">
        <v>558</v>
      </c>
      <c r="C3260" t="s">
        <v>1660</v>
      </c>
      <c r="D3260" t="str">
        <f t="shared" si="50"/>
        <v>FJP3970</v>
      </c>
      <c r="E3260" t="s">
        <v>1648</v>
      </c>
    </row>
    <row r="3261" spans="1:5" hidden="1" x14ac:dyDescent="0.25">
      <c r="A3261">
        <v>2061</v>
      </c>
      <c r="B3261" t="s">
        <v>558</v>
      </c>
      <c r="C3261" t="s">
        <v>512</v>
      </c>
      <c r="D3261" t="str">
        <f t="shared" si="50"/>
        <v>FJP3971</v>
      </c>
      <c r="E3261" t="s">
        <v>2103</v>
      </c>
    </row>
    <row r="3262" spans="1:5" hidden="1" x14ac:dyDescent="0.25">
      <c r="A3262">
        <v>2061</v>
      </c>
      <c r="B3262" t="s">
        <v>558</v>
      </c>
      <c r="C3262" t="s">
        <v>515</v>
      </c>
      <c r="D3262" t="str">
        <f t="shared" si="50"/>
        <v>FJP3974</v>
      </c>
      <c r="E3262" t="s">
        <v>1697</v>
      </c>
    </row>
    <row r="3263" spans="1:5" hidden="1" x14ac:dyDescent="0.25">
      <c r="A3263">
        <v>2061</v>
      </c>
      <c r="B3263" t="s">
        <v>558</v>
      </c>
      <c r="C3263" t="s">
        <v>519</v>
      </c>
      <c r="D3263" t="str">
        <f t="shared" si="50"/>
        <v>FJP3978</v>
      </c>
      <c r="E3263" t="s">
        <v>1630</v>
      </c>
    </row>
    <row r="3264" spans="1:5" hidden="1" x14ac:dyDescent="0.25">
      <c r="A3264">
        <v>2061</v>
      </c>
      <c r="B3264" t="s">
        <v>558</v>
      </c>
      <c r="C3264" t="s">
        <v>1663</v>
      </c>
      <c r="D3264" t="str">
        <f t="shared" si="50"/>
        <v>FJP3999</v>
      </c>
      <c r="E3264" t="s">
        <v>1623</v>
      </c>
    </row>
    <row r="3265" spans="1:5" hidden="1" x14ac:dyDescent="0.25">
      <c r="A3265">
        <v>2061</v>
      </c>
      <c r="B3265" t="s">
        <v>558</v>
      </c>
      <c r="C3265" t="s">
        <v>1664</v>
      </c>
      <c r="D3265" t="str">
        <f t="shared" si="50"/>
        <v>FJP4002</v>
      </c>
      <c r="E3265" t="s">
        <v>1648</v>
      </c>
    </row>
    <row r="3266" spans="1:5" hidden="1" x14ac:dyDescent="0.25">
      <c r="A3266">
        <v>2061</v>
      </c>
      <c r="B3266" t="s">
        <v>558</v>
      </c>
      <c r="C3266" t="s">
        <v>1665</v>
      </c>
      <c r="D3266" t="str">
        <f t="shared" si="50"/>
        <v>FJP4003</v>
      </c>
      <c r="E3266" t="s">
        <v>93</v>
      </c>
    </row>
    <row r="3267" spans="1:5" hidden="1" x14ac:dyDescent="0.25">
      <c r="A3267">
        <v>2061</v>
      </c>
      <c r="B3267" t="s">
        <v>558</v>
      </c>
      <c r="C3267" t="s">
        <v>1666</v>
      </c>
      <c r="D3267" t="str">
        <f t="shared" si="50"/>
        <v>FJP4004</v>
      </c>
      <c r="E3267" t="s">
        <v>1648</v>
      </c>
    </row>
    <row r="3268" spans="1:5" hidden="1" x14ac:dyDescent="0.25">
      <c r="A3268">
        <v>2061</v>
      </c>
      <c r="B3268" t="s">
        <v>558</v>
      </c>
      <c r="C3268" t="s">
        <v>1667</v>
      </c>
      <c r="D3268" t="str">
        <f t="shared" si="50"/>
        <v>FJP4005</v>
      </c>
      <c r="E3268" t="s">
        <v>1648</v>
      </c>
    </row>
    <row r="3269" spans="1:5" hidden="1" x14ac:dyDescent="0.25">
      <c r="A3269">
        <v>2061</v>
      </c>
      <c r="B3269" t="s">
        <v>558</v>
      </c>
      <c r="C3269" t="s">
        <v>1698</v>
      </c>
      <c r="D3269" t="str">
        <f t="shared" ref="D3269:D3332" si="51">CONCATENATE(B3269,LEFT(C3269,4))</f>
        <v>FJP4006</v>
      </c>
      <c r="E3269" t="s">
        <v>1675</v>
      </c>
    </row>
    <row r="3270" spans="1:5" hidden="1" x14ac:dyDescent="0.25">
      <c r="A3270">
        <v>2061</v>
      </c>
      <c r="B3270" t="s">
        <v>558</v>
      </c>
      <c r="C3270" t="s">
        <v>1668</v>
      </c>
      <c r="D3270" t="str">
        <f t="shared" si="51"/>
        <v>FJP4701</v>
      </c>
      <c r="E3270" t="s">
        <v>1669</v>
      </c>
    </row>
    <row r="3271" spans="1:5" hidden="1" x14ac:dyDescent="0.25">
      <c r="A3271">
        <v>2061</v>
      </c>
      <c r="B3271" t="s">
        <v>558</v>
      </c>
      <c r="C3271" t="s">
        <v>264</v>
      </c>
      <c r="D3271" t="str">
        <f t="shared" si="51"/>
        <v>FJP4703</v>
      </c>
      <c r="E3271" t="s">
        <v>1669</v>
      </c>
    </row>
    <row r="3272" spans="1:5" hidden="1" x14ac:dyDescent="0.25">
      <c r="A3272">
        <v>2061</v>
      </c>
      <c r="B3272" t="s">
        <v>558</v>
      </c>
      <c r="C3272" t="s">
        <v>315</v>
      </c>
      <c r="D3272" t="str">
        <f t="shared" si="51"/>
        <v>FJP4706</v>
      </c>
      <c r="E3272" t="s">
        <v>1669</v>
      </c>
    </row>
    <row r="3273" spans="1:5" hidden="1" x14ac:dyDescent="0.25">
      <c r="A3273">
        <v>2061</v>
      </c>
      <c r="B3273" t="s">
        <v>558</v>
      </c>
      <c r="C3273" t="s">
        <v>356</v>
      </c>
      <c r="D3273" t="str">
        <f t="shared" si="51"/>
        <v>FJP4710</v>
      </c>
      <c r="E3273" t="s">
        <v>1669</v>
      </c>
    </row>
    <row r="3274" spans="1:5" hidden="1" x14ac:dyDescent="0.25">
      <c r="A3274">
        <v>2061</v>
      </c>
      <c r="B3274" t="s">
        <v>558</v>
      </c>
      <c r="C3274" t="s">
        <v>1673</v>
      </c>
      <c r="D3274" t="str">
        <f t="shared" si="51"/>
        <v>FJP5204</v>
      </c>
      <c r="E3274" t="s">
        <v>1674</v>
      </c>
    </row>
    <row r="3275" spans="1:5" hidden="1" x14ac:dyDescent="0.25">
      <c r="A3275">
        <v>2061</v>
      </c>
      <c r="B3275" t="s">
        <v>558</v>
      </c>
      <c r="C3275" t="s">
        <v>328</v>
      </c>
      <c r="D3275" t="str">
        <f t="shared" si="51"/>
        <v>FJP5206</v>
      </c>
      <c r="E3275" t="s">
        <v>1675</v>
      </c>
    </row>
    <row r="3276" spans="1:5" hidden="1" x14ac:dyDescent="0.25">
      <c r="A3276">
        <v>2061</v>
      </c>
      <c r="B3276" t="s">
        <v>558</v>
      </c>
      <c r="C3276" t="s">
        <v>1676</v>
      </c>
      <c r="D3276" t="str">
        <f t="shared" si="51"/>
        <v>FJP5207</v>
      </c>
      <c r="E3276" t="s">
        <v>1675</v>
      </c>
    </row>
    <row r="3277" spans="1:5" hidden="1" x14ac:dyDescent="0.25">
      <c r="A3277">
        <v>2061</v>
      </c>
      <c r="B3277" t="s">
        <v>558</v>
      </c>
      <c r="C3277" t="s">
        <v>1677</v>
      </c>
      <c r="D3277" t="str">
        <f t="shared" si="51"/>
        <v>FJP5208</v>
      </c>
      <c r="E3277" t="s">
        <v>1675</v>
      </c>
    </row>
    <row r="3278" spans="1:5" hidden="1" x14ac:dyDescent="0.25">
      <c r="A3278">
        <v>2061</v>
      </c>
      <c r="B3278" t="s">
        <v>558</v>
      </c>
      <c r="C3278" t="s">
        <v>1678</v>
      </c>
      <c r="D3278" t="str">
        <f t="shared" si="51"/>
        <v>FJP5210</v>
      </c>
      <c r="E3278" t="s">
        <v>1674</v>
      </c>
    </row>
    <row r="3279" spans="1:5" hidden="1" x14ac:dyDescent="0.25">
      <c r="A3279">
        <v>2061</v>
      </c>
      <c r="B3279" t="s">
        <v>558</v>
      </c>
      <c r="C3279" t="s">
        <v>1679</v>
      </c>
      <c r="D3279" t="str">
        <f t="shared" si="51"/>
        <v>FJP5212</v>
      </c>
      <c r="E3279" t="s">
        <v>1674</v>
      </c>
    </row>
    <row r="3280" spans="1:5" hidden="1" x14ac:dyDescent="0.25">
      <c r="A3280">
        <v>2061</v>
      </c>
      <c r="B3280" t="s">
        <v>558</v>
      </c>
      <c r="C3280" t="s">
        <v>390</v>
      </c>
      <c r="D3280" t="str">
        <f t="shared" si="51"/>
        <v>FJP5214</v>
      </c>
      <c r="E3280" t="s">
        <v>1674</v>
      </c>
    </row>
    <row r="3281" spans="1:5" hidden="1" x14ac:dyDescent="0.25">
      <c r="A3281">
        <v>2061</v>
      </c>
      <c r="B3281" t="s">
        <v>558</v>
      </c>
      <c r="C3281" t="s">
        <v>1681</v>
      </c>
      <c r="D3281" t="str">
        <f t="shared" si="51"/>
        <v>FJP5220</v>
      </c>
      <c r="E3281" t="s">
        <v>1675</v>
      </c>
    </row>
    <row r="3282" spans="1:5" hidden="1" x14ac:dyDescent="0.25">
      <c r="A3282">
        <v>2061</v>
      </c>
      <c r="B3282" t="s">
        <v>558</v>
      </c>
      <c r="C3282" t="s">
        <v>448</v>
      </c>
      <c r="D3282" t="str">
        <f t="shared" si="51"/>
        <v>FJP5225</v>
      </c>
      <c r="E3282" t="s">
        <v>1674</v>
      </c>
    </row>
    <row r="3283" spans="1:5" hidden="1" x14ac:dyDescent="0.25">
      <c r="A3283">
        <v>2061</v>
      </c>
      <c r="B3283" t="s">
        <v>558</v>
      </c>
      <c r="C3283" t="s">
        <v>1683</v>
      </c>
      <c r="D3283" t="str">
        <f t="shared" si="51"/>
        <v>FJP5227</v>
      </c>
      <c r="E3283" t="s">
        <v>1674</v>
      </c>
    </row>
    <row r="3284" spans="1:5" hidden="1" x14ac:dyDescent="0.25">
      <c r="A3284">
        <v>2061</v>
      </c>
      <c r="B3284" t="s">
        <v>558</v>
      </c>
      <c r="C3284" t="s">
        <v>458</v>
      </c>
      <c r="D3284" t="str">
        <f t="shared" si="51"/>
        <v>FJP5299</v>
      </c>
      <c r="E3284" t="s">
        <v>1674</v>
      </c>
    </row>
    <row r="3285" spans="1:5" hidden="1" x14ac:dyDescent="0.25">
      <c r="A3285">
        <v>2061</v>
      </c>
      <c r="B3285" t="s">
        <v>558</v>
      </c>
      <c r="C3285" t="s">
        <v>1729</v>
      </c>
      <c r="D3285" t="str">
        <f t="shared" si="51"/>
        <v>FJP9201</v>
      </c>
      <c r="E3285" t="s">
        <v>1685</v>
      </c>
    </row>
    <row r="3286" spans="1:5" hidden="1" x14ac:dyDescent="0.25">
      <c r="A3286">
        <v>2061</v>
      </c>
      <c r="B3286" t="s">
        <v>558</v>
      </c>
      <c r="C3286" t="s">
        <v>1684</v>
      </c>
      <c r="D3286" t="str">
        <f t="shared" si="51"/>
        <v>FJP9202</v>
      </c>
      <c r="E3286" t="s">
        <v>1685</v>
      </c>
    </row>
    <row r="3287" spans="1:5" hidden="1" x14ac:dyDescent="0.25">
      <c r="A3287">
        <v>2061</v>
      </c>
      <c r="B3287" t="s">
        <v>558</v>
      </c>
      <c r="C3287" t="s">
        <v>249</v>
      </c>
      <c r="D3287" t="str">
        <f t="shared" si="51"/>
        <v>FJP9301</v>
      </c>
      <c r="E3287" t="s">
        <v>1623</v>
      </c>
    </row>
    <row r="3288" spans="1:5" hidden="1" x14ac:dyDescent="0.25">
      <c r="A3288">
        <v>2061</v>
      </c>
      <c r="B3288" t="s">
        <v>558</v>
      </c>
      <c r="C3288" t="s">
        <v>330</v>
      </c>
      <c r="D3288" t="str">
        <f t="shared" si="51"/>
        <v>FJP9306</v>
      </c>
      <c r="E3288" t="s">
        <v>1686</v>
      </c>
    </row>
    <row r="3289" spans="1:5" hidden="1" x14ac:dyDescent="0.25">
      <c r="A3289">
        <v>2061</v>
      </c>
      <c r="B3289" t="s">
        <v>558</v>
      </c>
      <c r="C3289" t="s">
        <v>366</v>
      </c>
      <c r="D3289" t="str">
        <f t="shared" si="51"/>
        <v>FJP9310</v>
      </c>
      <c r="E3289" t="s">
        <v>1623</v>
      </c>
    </row>
    <row r="3290" spans="1:5" hidden="1" x14ac:dyDescent="0.25">
      <c r="A3290">
        <v>2061</v>
      </c>
      <c r="B3290" t="s">
        <v>558</v>
      </c>
      <c r="C3290" t="s">
        <v>1687</v>
      </c>
      <c r="D3290" t="str">
        <f t="shared" si="51"/>
        <v>FJP9399</v>
      </c>
      <c r="E3290" t="s">
        <v>1623</v>
      </c>
    </row>
    <row r="3291" spans="1:5" hidden="1" x14ac:dyDescent="0.25">
      <c r="A3291">
        <v>2071</v>
      </c>
      <c r="B3291" t="s">
        <v>549</v>
      </c>
      <c r="C3291" t="s">
        <v>331</v>
      </c>
      <c r="D3291" t="str">
        <f t="shared" si="51"/>
        <v>FAPEMIG1314</v>
      </c>
      <c r="E3291" t="s">
        <v>1689</v>
      </c>
    </row>
    <row r="3292" spans="1:5" hidden="1" x14ac:dyDescent="0.25">
      <c r="A3292">
        <v>2071</v>
      </c>
      <c r="B3292" t="s">
        <v>549</v>
      </c>
      <c r="C3292" t="s">
        <v>1688</v>
      </c>
      <c r="D3292" t="str">
        <f t="shared" si="51"/>
        <v>FAPEMIG1317</v>
      </c>
      <c r="E3292" t="s">
        <v>1689</v>
      </c>
    </row>
    <row r="3293" spans="1:5" hidden="1" x14ac:dyDescent="0.25">
      <c r="A3293">
        <v>2071</v>
      </c>
      <c r="B3293" t="s">
        <v>549</v>
      </c>
      <c r="C3293" t="s">
        <v>1597</v>
      </c>
      <c r="D3293" t="str">
        <f t="shared" si="51"/>
        <v>FAPEMIG1401</v>
      </c>
      <c r="E3293" t="s">
        <v>43</v>
      </c>
    </row>
    <row r="3294" spans="1:5" hidden="1" x14ac:dyDescent="0.25">
      <c r="A3294">
        <v>2071</v>
      </c>
      <c r="B3294" t="s">
        <v>549</v>
      </c>
      <c r="C3294" t="s">
        <v>221</v>
      </c>
      <c r="D3294" t="str">
        <f t="shared" si="51"/>
        <v>FAPEMIG1801</v>
      </c>
      <c r="E3294" t="s">
        <v>1738</v>
      </c>
    </row>
    <row r="3295" spans="1:5" hidden="1" x14ac:dyDescent="0.25">
      <c r="A3295">
        <v>2071</v>
      </c>
      <c r="B3295" t="s">
        <v>549</v>
      </c>
      <c r="C3295" t="s">
        <v>1807</v>
      </c>
      <c r="D3295" t="str">
        <f t="shared" si="51"/>
        <v>FAPEMIG2001</v>
      </c>
      <c r="E3295" t="s">
        <v>1596</v>
      </c>
    </row>
    <row r="3296" spans="1:5" hidden="1" x14ac:dyDescent="0.25">
      <c r="A3296">
        <v>2071</v>
      </c>
      <c r="B3296" t="s">
        <v>549</v>
      </c>
      <c r="C3296" t="s">
        <v>1601</v>
      </c>
      <c r="D3296" t="str">
        <f t="shared" si="51"/>
        <v>FAPEMIG3003</v>
      </c>
      <c r="E3296" t="s">
        <v>1600</v>
      </c>
    </row>
    <row r="3297" spans="1:5" hidden="1" x14ac:dyDescent="0.25">
      <c r="A3297">
        <v>2071</v>
      </c>
      <c r="B3297" t="s">
        <v>549</v>
      </c>
      <c r="C3297" t="s">
        <v>1602</v>
      </c>
      <c r="D3297" t="str">
        <f t="shared" si="51"/>
        <v>FAPEMIG3004</v>
      </c>
      <c r="E3297" t="s">
        <v>1600</v>
      </c>
    </row>
    <row r="3298" spans="1:5" hidden="1" x14ac:dyDescent="0.25">
      <c r="A3298">
        <v>2071</v>
      </c>
      <c r="B3298" t="s">
        <v>549</v>
      </c>
      <c r="C3298" t="s">
        <v>1603</v>
      </c>
      <c r="D3298" t="str">
        <f t="shared" si="51"/>
        <v>FAPEMIG3005</v>
      </c>
      <c r="E3298" t="s">
        <v>1600</v>
      </c>
    </row>
    <row r="3299" spans="1:5" hidden="1" x14ac:dyDescent="0.25">
      <c r="A3299">
        <v>2071</v>
      </c>
      <c r="B3299" t="s">
        <v>549</v>
      </c>
      <c r="C3299" t="s">
        <v>1604</v>
      </c>
      <c r="D3299" t="str">
        <f t="shared" si="51"/>
        <v>FAPEMIG3008</v>
      </c>
      <c r="E3299" t="s">
        <v>1600</v>
      </c>
    </row>
    <row r="3300" spans="1:5" hidden="1" x14ac:dyDescent="0.25">
      <c r="A3300">
        <v>2071</v>
      </c>
      <c r="B3300" t="s">
        <v>549</v>
      </c>
      <c r="C3300" t="s">
        <v>1605</v>
      </c>
      <c r="D3300" t="str">
        <f t="shared" si="51"/>
        <v>FAPEMIG3010</v>
      </c>
      <c r="E3300" t="s">
        <v>1606</v>
      </c>
    </row>
    <row r="3301" spans="1:5" hidden="1" x14ac:dyDescent="0.25">
      <c r="A3301">
        <v>2071</v>
      </c>
      <c r="B3301" t="s">
        <v>549</v>
      </c>
      <c r="C3301" t="s">
        <v>1608</v>
      </c>
      <c r="D3301" t="str">
        <f t="shared" si="51"/>
        <v>FAPEMIG3015</v>
      </c>
      <c r="E3301" t="s">
        <v>1600</v>
      </c>
    </row>
    <row r="3302" spans="1:5" hidden="1" x14ac:dyDescent="0.25">
      <c r="A3302">
        <v>2071</v>
      </c>
      <c r="B3302" t="s">
        <v>549</v>
      </c>
      <c r="C3302" t="s">
        <v>1609</v>
      </c>
      <c r="D3302" t="str">
        <f t="shared" si="51"/>
        <v>FAPEMIG3016</v>
      </c>
      <c r="E3302" t="s">
        <v>1600</v>
      </c>
    </row>
    <row r="3303" spans="1:5" hidden="1" x14ac:dyDescent="0.25">
      <c r="A3303">
        <v>2071</v>
      </c>
      <c r="B3303" t="s">
        <v>549</v>
      </c>
      <c r="C3303" t="s">
        <v>405</v>
      </c>
      <c r="D3303" t="str">
        <f t="shared" si="51"/>
        <v>FAPEMIG3017</v>
      </c>
      <c r="E3303" t="s">
        <v>1600</v>
      </c>
    </row>
    <row r="3304" spans="1:5" hidden="1" x14ac:dyDescent="0.25">
      <c r="A3304">
        <v>2071</v>
      </c>
      <c r="B3304" t="s">
        <v>549</v>
      </c>
      <c r="C3304" t="s">
        <v>1612</v>
      </c>
      <c r="D3304" t="str">
        <f t="shared" si="51"/>
        <v>FAPEMIG3020</v>
      </c>
      <c r="E3304" t="s">
        <v>1600</v>
      </c>
    </row>
    <row r="3305" spans="1:5" hidden="1" x14ac:dyDescent="0.25">
      <c r="A3305">
        <v>2071</v>
      </c>
      <c r="B3305" t="s">
        <v>549</v>
      </c>
      <c r="C3305" t="s">
        <v>1613</v>
      </c>
      <c r="D3305" t="str">
        <f t="shared" si="51"/>
        <v>FAPEMIG3021</v>
      </c>
      <c r="E3305" t="s">
        <v>1600</v>
      </c>
    </row>
    <row r="3306" spans="1:5" hidden="1" x14ac:dyDescent="0.25">
      <c r="A3306">
        <v>2071</v>
      </c>
      <c r="B3306" t="s">
        <v>549</v>
      </c>
      <c r="C3306" t="s">
        <v>430</v>
      </c>
      <c r="D3306" t="str">
        <f t="shared" si="51"/>
        <v>FAPEMIG3022</v>
      </c>
      <c r="E3306" t="s">
        <v>1600</v>
      </c>
    </row>
    <row r="3307" spans="1:5" hidden="1" x14ac:dyDescent="0.25">
      <c r="A3307">
        <v>2071</v>
      </c>
      <c r="B3307" t="s">
        <v>549</v>
      </c>
      <c r="C3307" t="s">
        <v>440</v>
      </c>
      <c r="D3307" t="str">
        <f t="shared" si="51"/>
        <v>FAPEMIG3024</v>
      </c>
      <c r="E3307" t="s">
        <v>1600</v>
      </c>
    </row>
    <row r="3308" spans="1:5" hidden="1" x14ac:dyDescent="0.25">
      <c r="A3308">
        <v>2071</v>
      </c>
      <c r="B3308" t="s">
        <v>549</v>
      </c>
      <c r="C3308" t="s">
        <v>1616</v>
      </c>
      <c r="D3308" t="str">
        <f t="shared" si="51"/>
        <v>FAPEMIG3025</v>
      </c>
      <c r="E3308" t="s">
        <v>1600</v>
      </c>
    </row>
    <row r="3309" spans="1:5" hidden="1" x14ac:dyDescent="0.25">
      <c r="A3309">
        <v>2071</v>
      </c>
      <c r="B3309" t="s">
        <v>549</v>
      </c>
      <c r="C3309" t="s">
        <v>1617</v>
      </c>
      <c r="D3309" t="str">
        <f t="shared" si="51"/>
        <v>FAPEMIG3026</v>
      </c>
      <c r="E3309" t="s">
        <v>1615</v>
      </c>
    </row>
    <row r="3310" spans="1:5" hidden="1" x14ac:dyDescent="0.25">
      <c r="A3310">
        <v>2071</v>
      </c>
      <c r="B3310" t="s">
        <v>549</v>
      </c>
      <c r="C3310" t="s">
        <v>466</v>
      </c>
      <c r="D3310" t="str">
        <f t="shared" si="51"/>
        <v>FAPEMIG3030</v>
      </c>
      <c r="E3310" t="s">
        <v>1600</v>
      </c>
    </row>
    <row r="3311" spans="1:5" hidden="1" x14ac:dyDescent="0.25">
      <c r="A3311">
        <v>2071</v>
      </c>
      <c r="B3311" t="s">
        <v>549</v>
      </c>
      <c r="C3311" t="s">
        <v>469</v>
      </c>
      <c r="D3311" t="str">
        <f t="shared" si="51"/>
        <v>FAPEMIG3031</v>
      </c>
      <c r="E3311" t="s">
        <v>1600</v>
      </c>
    </row>
    <row r="3312" spans="1:5" hidden="1" x14ac:dyDescent="0.25">
      <c r="A3312">
        <v>2071</v>
      </c>
      <c r="B3312" t="s">
        <v>549</v>
      </c>
      <c r="C3312" t="s">
        <v>490</v>
      </c>
      <c r="D3312" t="str">
        <f t="shared" si="51"/>
        <v>FAPEMIG3099</v>
      </c>
      <c r="E3312" t="s">
        <v>1600</v>
      </c>
    </row>
    <row r="3313" spans="1:5" hidden="1" x14ac:dyDescent="0.25">
      <c r="A3313">
        <v>2071</v>
      </c>
      <c r="B3313" t="s">
        <v>549</v>
      </c>
      <c r="C3313" t="s">
        <v>1622</v>
      </c>
      <c r="D3313" t="str">
        <f t="shared" si="51"/>
        <v>FAPEMIG3101</v>
      </c>
      <c r="E3313" t="s">
        <v>1623</v>
      </c>
    </row>
    <row r="3314" spans="1:5" hidden="1" x14ac:dyDescent="0.25">
      <c r="A3314">
        <v>2071</v>
      </c>
      <c r="B3314" t="s">
        <v>549</v>
      </c>
      <c r="C3314" t="s">
        <v>293</v>
      </c>
      <c r="D3314" t="str">
        <f t="shared" si="51"/>
        <v>FAPEMIG3104</v>
      </c>
      <c r="E3314" t="s">
        <v>1623</v>
      </c>
    </row>
    <row r="3315" spans="1:5" hidden="1" x14ac:dyDescent="0.25">
      <c r="A3315">
        <v>2071</v>
      </c>
      <c r="B3315" t="s">
        <v>549</v>
      </c>
      <c r="C3315" t="s">
        <v>1626</v>
      </c>
      <c r="D3315" t="str">
        <f t="shared" si="51"/>
        <v>FAPEMIG3302</v>
      </c>
      <c r="E3315" t="s">
        <v>43</v>
      </c>
    </row>
    <row r="3316" spans="1:5" hidden="1" x14ac:dyDescent="0.25">
      <c r="A3316">
        <v>2071</v>
      </c>
      <c r="B3316" t="s">
        <v>549</v>
      </c>
      <c r="C3316" t="s">
        <v>1627</v>
      </c>
      <c r="D3316" t="str">
        <f t="shared" si="51"/>
        <v>FAPEMIG3304</v>
      </c>
      <c r="E3316" t="s">
        <v>43</v>
      </c>
    </row>
    <row r="3317" spans="1:5" hidden="1" x14ac:dyDescent="0.25">
      <c r="A3317">
        <v>2071</v>
      </c>
      <c r="B3317" t="s">
        <v>549</v>
      </c>
      <c r="C3317" t="s">
        <v>308</v>
      </c>
      <c r="D3317" t="str">
        <f t="shared" si="51"/>
        <v>FAPEMIG3305</v>
      </c>
      <c r="E3317" t="s">
        <v>43</v>
      </c>
    </row>
    <row r="3318" spans="1:5" hidden="1" x14ac:dyDescent="0.25">
      <c r="A3318">
        <v>2071</v>
      </c>
      <c r="B3318" t="s">
        <v>549</v>
      </c>
      <c r="C3318" t="s">
        <v>1705</v>
      </c>
      <c r="D3318" t="str">
        <f t="shared" si="51"/>
        <v>FAPEMIG3502</v>
      </c>
      <c r="E3318" t="s">
        <v>1706</v>
      </c>
    </row>
    <row r="3319" spans="1:5" hidden="1" x14ac:dyDescent="0.25">
      <c r="A3319">
        <v>2071</v>
      </c>
      <c r="B3319" t="s">
        <v>549</v>
      </c>
      <c r="C3319" t="s">
        <v>1690</v>
      </c>
      <c r="D3319" t="str">
        <f t="shared" si="51"/>
        <v>FAPEMIG3601</v>
      </c>
      <c r="E3319" t="s">
        <v>64</v>
      </c>
    </row>
    <row r="3320" spans="1:5" hidden="1" x14ac:dyDescent="0.25">
      <c r="A3320">
        <v>2071</v>
      </c>
      <c r="B3320" t="s">
        <v>549</v>
      </c>
      <c r="C3320" t="s">
        <v>296</v>
      </c>
      <c r="D3320" t="str">
        <f t="shared" si="51"/>
        <v>FAPEMIG3604</v>
      </c>
      <c r="E3320" t="s">
        <v>43</v>
      </c>
    </row>
    <row r="3321" spans="1:5" hidden="1" x14ac:dyDescent="0.25">
      <c r="A3321">
        <v>2071</v>
      </c>
      <c r="B3321" t="s">
        <v>549</v>
      </c>
      <c r="C3321" t="s">
        <v>354</v>
      </c>
      <c r="D3321" t="str">
        <f t="shared" si="51"/>
        <v>FAPEMIG3610</v>
      </c>
      <c r="E3321" t="s">
        <v>1623</v>
      </c>
    </row>
    <row r="3322" spans="1:5" hidden="1" x14ac:dyDescent="0.25">
      <c r="A3322">
        <v>2071</v>
      </c>
      <c r="B3322" t="s">
        <v>549</v>
      </c>
      <c r="C3322" t="s">
        <v>1628</v>
      </c>
      <c r="D3322" t="str">
        <f t="shared" si="51"/>
        <v>FAPEMIG3612</v>
      </c>
      <c r="E3322" t="s">
        <v>1623</v>
      </c>
    </row>
    <row r="3323" spans="1:5" hidden="1" x14ac:dyDescent="0.25">
      <c r="A3323">
        <v>2071</v>
      </c>
      <c r="B3323" t="s">
        <v>549</v>
      </c>
      <c r="C3323" t="s">
        <v>416</v>
      </c>
      <c r="D3323" t="str">
        <f t="shared" si="51"/>
        <v>FAPEMIG3620</v>
      </c>
      <c r="E3323" t="s">
        <v>1623</v>
      </c>
    </row>
    <row r="3324" spans="1:5" hidden="1" x14ac:dyDescent="0.25">
      <c r="A3324">
        <v>2071</v>
      </c>
      <c r="B3324" t="s">
        <v>549</v>
      </c>
      <c r="C3324" t="s">
        <v>421</v>
      </c>
      <c r="D3324" t="str">
        <f t="shared" si="51"/>
        <v>FAPEMIG3621</v>
      </c>
      <c r="E3324" t="s">
        <v>1691</v>
      </c>
    </row>
    <row r="3325" spans="1:5" hidden="1" x14ac:dyDescent="0.25">
      <c r="A3325">
        <v>2071</v>
      </c>
      <c r="B3325" t="s">
        <v>549</v>
      </c>
      <c r="C3325" t="s">
        <v>1693</v>
      </c>
      <c r="D3325" t="str">
        <f t="shared" si="51"/>
        <v>FAPEMIG3702</v>
      </c>
      <c r="E3325" t="s">
        <v>1630</v>
      </c>
    </row>
    <row r="3326" spans="1:5" hidden="1" x14ac:dyDescent="0.25">
      <c r="A3326">
        <v>2071</v>
      </c>
      <c r="B3326" t="s">
        <v>549</v>
      </c>
      <c r="C3326" t="s">
        <v>1631</v>
      </c>
      <c r="D3326" t="str">
        <f t="shared" si="51"/>
        <v>FAPEMIG3703</v>
      </c>
      <c r="E3326" t="s">
        <v>116</v>
      </c>
    </row>
    <row r="3327" spans="1:5" hidden="1" x14ac:dyDescent="0.25">
      <c r="A3327">
        <v>2071</v>
      </c>
      <c r="B3327" t="s">
        <v>549</v>
      </c>
      <c r="C3327" t="s">
        <v>1632</v>
      </c>
      <c r="D3327" t="str">
        <f t="shared" si="51"/>
        <v>FAPEMIG3704</v>
      </c>
      <c r="E3327" t="s">
        <v>116</v>
      </c>
    </row>
    <row r="3328" spans="1:5" hidden="1" x14ac:dyDescent="0.25">
      <c r="A3328">
        <v>2071</v>
      </c>
      <c r="B3328" t="s">
        <v>549</v>
      </c>
      <c r="C3328" t="s">
        <v>1633</v>
      </c>
      <c r="D3328" t="str">
        <f t="shared" si="51"/>
        <v>FAPEMIG3705</v>
      </c>
      <c r="E3328" t="s">
        <v>116</v>
      </c>
    </row>
    <row r="3329" spans="1:5" hidden="1" x14ac:dyDescent="0.25">
      <c r="A3329">
        <v>2071</v>
      </c>
      <c r="B3329" t="s">
        <v>549</v>
      </c>
      <c r="C3329" t="s">
        <v>1634</v>
      </c>
      <c r="D3329" t="str">
        <f t="shared" si="51"/>
        <v>FAPEMIG3903</v>
      </c>
      <c r="E3329" t="s">
        <v>1623</v>
      </c>
    </row>
    <row r="3330" spans="1:5" hidden="1" x14ac:dyDescent="0.25">
      <c r="A3330">
        <v>2071</v>
      </c>
      <c r="B3330" t="s">
        <v>549</v>
      </c>
      <c r="C3330" t="s">
        <v>298</v>
      </c>
      <c r="D3330" t="str">
        <f t="shared" si="51"/>
        <v>FAPEMIG3904</v>
      </c>
      <c r="E3330" t="s">
        <v>1623</v>
      </c>
    </row>
    <row r="3331" spans="1:5" hidden="1" x14ac:dyDescent="0.25">
      <c r="A3331">
        <v>2071</v>
      </c>
      <c r="B3331" t="s">
        <v>549</v>
      </c>
      <c r="C3331" t="s">
        <v>345</v>
      </c>
      <c r="D3331" t="str">
        <f t="shared" si="51"/>
        <v>FAPEMIG3910</v>
      </c>
      <c r="E3331" t="s">
        <v>1623</v>
      </c>
    </row>
    <row r="3332" spans="1:5" hidden="1" x14ac:dyDescent="0.25">
      <c r="A3332">
        <v>2071</v>
      </c>
      <c r="B3332" t="s">
        <v>549</v>
      </c>
      <c r="C3332" t="s">
        <v>355</v>
      </c>
      <c r="D3332" t="str">
        <f t="shared" si="51"/>
        <v>FAPEMIG3911</v>
      </c>
      <c r="E3332" t="s">
        <v>1623</v>
      </c>
    </row>
    <row r="3333" spans="1:5" hidden="1" x14ac:dyDescent="0.25">
      <c r="A3333">
        <v>2071</v>
      </c>
      <c r="B3333" t="s">
        <v>549</v>
      </c>
      <c r="C3333" t="s">
        <v>1636</v>
      </c>
      <c r="D3333" t="str">
        <f t="shared" ref="D3333:D3396" si="52">CONCATENATE(B3333,LEFT(C3333,4))</f>
        <v>FAPEMIG3912</v>
      </c>
      <c r="E3333" t="s">
        <v>1637</v>
      </c>
    </row>
    <row r="3334" spans="1:5" hidden="1" x14ac:dyDescent="0.25">
      <c r="A3334">
        <v>2071</v>
      </c>
      <c r="B3334" t="s">
        <v>549</v>
      </c>
      <c r="C3334" t="s">
        <v>1638</v>
      </c>
      <c r="D3334" t="str">
        <f t="shared" si="52"/>
        <v>FAPEMIG3913</v>
      </c>
      <c r="E3334" t="s">
        <v>1637</v>
      </c>
    </row>
    <row r="3335" spans="1:5" hidden="1" x14ac:dyDescent="0.25">
      <c r="A3335">
        <v>2071</v>
      </c>
      <c r="B3335" t="s">
        <v>549</v>
      </c>
      <c r="C3335" t="s">
        <v>383</v>
      </c>
      <c r="D3335" t="str">
        <f t="shared" si="52"/>
        <v>FAPEMIG3915</v>
      </c>
      <c r="E3335" t="s">
        <v>1637</v>
      </c>
    </row>
    <row r="3336" spans="1:5" hidden="1" x14ac:dyDescent="0.25">
      <c r="A3336">
        <v>2071</v>
      </c>
      <c r="B3336" t="s">
        <v>549</v>
      </c>
      <c r="C3336" t="s">
        <v>1639</v>
      </c>
      <c r="D3336" t="str">
        <f t="shared" si="52"/>
        <v>FAPEMIG3917</v>
      </c>
      <c r="E3336" t="s">
        <v>1615</v>
      </c>
    </row>
    <row r="3337" spans="1:5" hidden="1" x14ac:dyDescent="0.25">
      <c r="A3337">
        <v>2071</v>
      </c>
      <c r="B3337" t="s">
        <v>549</v>
      </c>
      <c r="C3337" t="s">
        <v>1641</v>
      </c>
      <c r="D3337" t="str">
        <f t="shared" si="52"/>
        <v>FAPEMIG3919</v>
      </c>
      <c r="E3337" t="s">
        <v>2102</v>
      </c>
    </row>
    <row r="3338" spans="1:5" hidden="1" x14ac:dyDescent="0.25">
      <c r="A3338">
        <v>2071</v>
      </c>
      <c r="B3338" t="s">
        <v>549</v>
      </c>
      <c r="C3338" t="s">
        <v>1642</v>
      </c>
      <c r="D3338" t="str">
        <f t="shared" si="52"/>
        <v>FAPEMIG3921</v>
      </c>
      <c r="E3338" t="s">
        <v>2102</v>
      </c>
    </row>
    <row r="3339" spans="1:5" hidden="1" x14ac:dyDescent="0.25">
      <c r="A3339">
        <v>2071</v>
      </c>
      <c r="B3339" t="s">
        <v>549</v>
      </c>
      <c r="C3339" t="s">
        <v>1643</v>
      </c>
      <c r="D3339" t="str">
        <f t="shared" si="52"/>
        <v>FAPEMIG3922</v>
      </c>
      <c r="E3339" t="s">
        <v>1611</v>
      </c>
    </row>
    <row r="3340" spans="1:5" hidden="1" x14ac:dyDescent="0.25">
      <c r="A3340">
        <v>2071</v>
      </c>
      <c r="B3340" t="s">
        <v>549</v>
      </c>
      <c r="C3340" t="s">
        <v>1644</v>
      </c>
      <c r="D3340" t="str">
        <f t="shared" si="52"/>
        <v>FAPEMIG3924</v>
      </c>
      <c r="E3340" t="s">
        <v>1645</v>
      </c>
    </row>
    <row r="3341" spans="1:5" hidden="1" x14ac:dyDescent="0.25">
      <c r="A3341">
        <v>2071</v>
      </c>
      <c r="B3341" t="s">
        <v>549</v>
      </c>
      <c r="C3341" t="s">
        <v>442</v>
      </c>
      <c r="D3341" t="str">
        <f t="shared" si="52"/>
        <v>FAPEMIG3926</v>
      </c>
      <c r="E3341" t="s">
        <v>1646</v>
      </c>
    </row>
    <row r="3342" spans="1:5" hidden="1" x14ac:dyDescent="0.25">
      <c r="A3342">
        <v>2071</v>
      </c>
      <c r="B3342" t="s">
        <v>549</v>
      </c>
      <c r="C3342" t="s">
        <v>1647</v>
      </c>
      <c r="D3342" t="str">
        <f t="shared" si="52"/>
        <v>FAPEMIG3927</v>
      </c>
      <c r="E3342" t="s">
        <v>1648</v>
      </c>
    </row>
    <row r="3343" spans="1:5" hidden="1" x14ac:dyDescent="0.25">
      <c r="A3343">
        <v>2071</v>
      </c>
      <c r="B3343" t="s">
        <v>549</v>
      </c>
      <c r="C3343" t="s">
        <v>1650</v>
      </c>
      <c r="D3343" t="str">
        <f t="shared" si="52"/>
        <v>FAPEMIG3931</v>
      </c>
      <c r="E3343" t="s">
        <v>1623</v>
      </c>
    </row>
    <row r="3344" spans="1:5" hidden="1" x14ac:dyDescent="0.25">
      <c r="A3344">
        <v>2071</v>
      </c>
      <c r="B3344" t="s">
        <v>549</v>
      </c>
      <c r="C3344" t="s">
        <v>1652</v>
      </c>
      <c r="D3344" t="str">
        <f t="shared" si="52"/>
        <v>FAPEMIG3936</v>
      </c>
      <c r="E3344" t="s">
        <v>93</v>
      </c>
    </row>
    <row r="3345" spans="1:5" hidden="1" x14ac:dyDescent="0.25">
      <c r="A3345">
        <v>2071</v>
      </c>
      <c r="B3345" t="s">
        <v>549</v>
      </c>
      <c r="C3345" t="s">
        <v>1695</v>
      </c>
      <c r="D3345" t="str">
        <f t="shared" si="52"/>
        <v>FAPEMIG3937</v>
      </c>
      <c r="E3345" t="s">
        <v>1692</v>
      </c>
    </row>
    <row r="3346" spans="1:5" hidden="1" x14ac:dyDescent="0.25">
      <c r="A3346">
        <v>2071</v>
      </c>
      <c r="B3346" t="s">
        <v>549</v>
      </c>
      <c r="C3346" t="s">
        <v>1653</v>
      </c>
      <c r="D3346" t="str">
        <f t="shared" si="52"/>
        <v>FAPEMIG3940</v>
      </c>
      <c r="E3346" t="s">
        <v>1648</v>
      </c>
    </row>
    <row r="3347" spans="1:5" hidden="1" x14ac:dyDescent="0.25">
      <c r="A3347">
        <v>2071</v>
      </c>
      <c r="B3347" t="s">
        <v>549</v>
      </c>
      <c r="C3347" t="s">
        <v>479</v>
      </c>
      <c r="D3347" t="str">
        <f t="shared" si="52"/>
        <v>FAPEMIG3941</v>
      </c>
      <c r="E3347" t="s">
        <v>1623</v>
      </c>
    </row>
    <row r="3348" spans="1:5" hidden="1" x14ac:dyDescent="0.25">
      <c r="A3348">
        <v>2071</v>
      </c>
      <c r="B3348" t="s">
        <v>549</v>
      </c>
      <c r="C3348" t="s">
        <v>481</v>
      </c>
      <c r="D3348" t="str">
        <f t="shared" si="52"/>
        <v>FAPEMIG3942</v>
      </c>
      <c r="E3348" t="s">
        <v>1623</v>
      </c>
    </row>
    <row r="3349" spans="1:5" hidden="1" x14ac:dyDescent="0.25">
      <c r="A3349">
        <v>2071</v>
      </c>
      <c r="B3349" t="s">
        <v>549</v>
      </c>
      <c r="C3349" t="s">
        <v>1654</v>
      </c>
      <c r="D3349" t="str">
        <f t="shared" si="52"/>
        <v>FAPEMIG3943</v>
      </c>
      <c r="E3349" t="s">
        <v>1615</v>
      </c>
    </row>
    <row r="3350" spans="1:5" hidden="1" x14ac:dyDescent="0.25">
      <c r="A3350">
        <v>2071</v>
      </c>
      <c r="B3350" t="s">
        <v>549</v>
      </c>
      <c r="C3350" t="s">
        <v>491</v>
      </c>
      <c r="D3350" t="str">
        <f t="shared" si="52"/>
        <v>FAPEMIG3948</v>
      </c>
      <c r="E3350" t="s">
        <v>1645</v>
      </c>
    </row>
    <row r="3351" spans="1:5" hidden="1" x14ac:dyDescent="0.25">
      <c r="A3351">
        <v>2071</v>
      </c>
      <c r="B3351" t="s">
        <v>549</v>
      </c>
      <c r="C3351" t="s">
        <v>494</v>
      </c>
      <c r="D3351" t="str">
        <f t="shared" si="52"/>
        <v>FAPEMIG3951</v>
      </c>
      <c r="E3351" t="s">
        <v>1671</v>
      </c>
    </row>
    <row r="3352" spans="1:5" hidden="1" x14ac:dyDescent="0.25">
      <c r="A3352">
        <v>2071</v>
      </c>
      <c r="B3352" t="s">
        <v>549</v>
      </c>
      <c r="C3352" t="s">
        <v>1701</v>
      </c>
      <c r="D3352" t="str">
        <f t="shared" si="52"/>
        <v>FAPEMIG3952</v>
      </c>
      <c r="E3352" t="s">
        <v>64</v>
      </c>
    </row>
    <row r="3353" spans="1:5" hidden="1" x14ac:dyDescent="0.25">
      <c r="A3353">
        <v>2071</v>
      </c>
      <c r="B3353" t="s">
        <v>549</v>
      </c>
      <c r="C3353" t="s">
        <v>495</v>
      </c>
      <c r="D3353" t="str">
        <f t="shared" si="52"/>
        <v>FAPEMIG3953</v>
      </c>
      <c r="E3353" t="s">
        <v>1645</v>
      </c>
    </row>
    <row r="3354" spans="1:5" hidden="1" x14ac:dyDescent="0.25">
      <c r="A3354">
        <v>2071</v>
      </c>
      <c r="B3354" t="s">
        <v>549</v>
      </c>
      <c r="C3354" t="s">
        <v>497</v>
      </c>
      <c r="D3354" t="str">
        <f t="shared" si="52"/>
        <v>FAPEMIG3955</v>
      </c>
      <c r="E3354" t="s">
        <v>1623</v>
      </c>
    </row>
    <row r="3355" spans="1:5" hidden="1" x14ac:dyDescent="0.25">
      <c r="A3355">
        <v>2071</v>
      </c>
      <c r="B3355" t="s">
        <v>549</v>
      </c>
      <c r="C3355" t="s">
        <v>500</v>
      </c>
      <c r="D3355" t="str">
        <f t="shared" si="52"/>
        <v>FAPEMIG3958</v>
      </c>
      <c r="E3355" t="s">
        <v>1623</v>
      </c>
    </row>
    <row r="3356" spans="1:5" hidden="1" x14ac:dyDescent="0.25">
      <c r="A3356">
        <v>2071</v>
      </c>
      <c r="B3356" t="s">
        <v>549</v>
      </c>
      <c r="C3356" t="s">
        <v>1656</v>
      </c>
      <c r="D3356" t="str">
        <f t="shared" si="52"/>
        <v>FAPEMIG3959</v>
      </c>
      <c r="E3356" t="s">
        <v>1623</v>
      </c>
    </row>
    <row r="3357" spans="1:5" hidden="1" x14ac:dyDescent="0.25">
      <c r="A3357">
        <v>2071</v>
      </c>
      <c r="B3357" t="s">
        <v>549</v>
      </c>
      <c r="C3357" t="s">
        <v>1657</v>
      </c>
      <c r="D3357" t="str">
        <f t="shared" si="52"/>
        <v>FAPEMIG3961</v>
      </c>
      <c r="E3357" t="s">
        <v>1630</v>
      </c>
    </row>
    <row r="3358" spans="1:5" hidden="1" x14ac:dyDescent="0.25">
      <c r="A3358">
        <v>2071</v>
      </c>
      <c r="B3358" t="s">
        <v>549</v>
      </c>
      <c r="C3358" t="s">
        <v>1659</v>
      </c>
      <c r="D3358" t="str">
        <f t="shared" si="52"/>
        <v>FAPEMIG3969</v>
      </c>
      <c r="E3358" t="s">
        <v>1637</v>
      </c>
    </row>
    <row r="3359" spans="1:5" hidden="1" x14ac:dyDescent="0.25">
      <c r="A3359">
        <v>2071</v>
      </c>
      <c r="B3359" t="s">
        <v>549</v>
      </c>
      <c r="C3359" t="s">
        <v>1660</v>
      </c>
      <c r="D3359" t="str">
        <f t="shared" si="52"/>
        <v>FAPEMIG3970</v>
      </c>
      <c r="E3359" t="s">
        <v>1648</v>
      </c>
    </row>
    <row r="3360" spans="1:5" hidden="1" x14ac:dyDescent="0.25">
      <c r="A3360">
        <v>2071</v>
      </c>
      <c r="B3360" t="s">
        <v>549</v>
      </c>
      <c r="C3360" t="s">
        <v>519</v>
      </c>
      <c r="D3360" t="str">
        <f t="shared" si="52"/>
        <v>FAPEMIG3978</v>
      </c>
      <c r="E3360" t="s">
        <v>102</v>
      </c>
    </row>
    <row r="3361" spans="1:5" hidden="1" x14ac:dyDescent="0.25">
      <c r="A3361">
        <v>2071</v>
      </c>
      <c r="B3361" t="s">
        <v>549</v>
      </c>
      <c r="C3361" t="s">
        <v>1661</v>
      </c>
      <c r="D3361" t="str">
        <f t="shared" si="52"/>
        <v>FAPEMIG3987</v>
      </c>
      <c r="E3361" t="s">
        <v>1615</v>
      </c>
    </row>
    <row r="3362" spans="1:5" hidden="1" x14ac:dyDescent="0.25">
      <c r="A3362">
        <v>2071</v>
      </c>
      <c r="B3362" t="s">
        <v>549</v>
      </c>
      <c r="C3362" t="s">
        <v>1764</v>
      </c>
      <c r="D3362" t="str">
        <f t="shared" si="52"/>
        <v>FAPEMIG3993</v>
      </c>
      <c r="E3362" t="s">
        <v>1623</v>
      </c>
    </row>
    <row r="3363" spans="1:5" hidden="1" x14ac:dyDescent="0.25">
      <c r="A3363">
        <v>2071</v>
      </c>
      <c r="B3363" t="s">
        <v>549</v>
      </c>
      <c r="C3363" t="s">
        <v>1663</v>
      </c>
      <c r="D3363" t="str">
        <f t="shared" si="52"/>
        <v>FAPEMIG3999</v>
      </c>
      <c r="E3363" t="s">
        <v>1623</v>
      </c>
    </row>
    <row r="3364" spans="1:5" hidden="1" x14ac:dyDescent="0.25">
      <c r="A3364">
        <v>2071</v>
      </c>
      <c r="B3364" t="s">
        <v>549</v>
      </c>
      <c r="C3364" t="s">
        <v>1664</v>
      </c>
      <c r="D3364" t="str">
        <f t="shared" si="52"/>
        <v>FAPEMIG4002</v>
      </c>
      <c r="E3364" t="s">
        <v>1648</v>
      </c>
    </row>
    <row r="3365" spans="1:5" hidden="1" x14ac:dyDescent="0.25">
      <c r="A3365">
        <v>2071</v>
      </c>
      <c r="B3365" t="s">
        <v>549</v>
      </c>
      <c r="C3365" t="s">
        <v>1665</v>
      </c>
      <c r="D3365" t="str">
        <f t="shared" si="52"/>
        <v>FAPEMIG4003</v>
      </c>
      <c r="E3365" t="s">
        <v>93</v>
      </c>
    </row>
    <row r="3366" spans="1:5" hidden="1" x14ac:dyDescent="0.25">
      <c r="A3366">
        <v>2071</v>
      </c>
      <c r="B3366" t="s">
        <v>549</v>
      </c>
      <c r="C3366" t="s">
        <v>1666</v>
      </c>
      <c r="D3366" t="str">
        <f t="shared" si="52"/>
        <v>FAPEMIG4004</v>
      </c>
      <c r="E3366" t="s">
        <v>1648</v>
      </c>
    </row>
    <row r="3367" spans="1:5" hidden="1" x14ac:dyDescent="0.25">
      <c r="A3367">
        <v>2071</v>
      </c>
      <c r="B3367" t="s">
        <v>549</v>
      </c>
      <c r="C3367" t="s">
        <v>1667</v>
      </c>
      <c r="D3367" t="str">
        <f t="shared" si="52"/>
        <v>FAPEMIG4005</v>
      </c>
      <c r="E3367" t="s">
        <v>1648</v>
      </c>
    </row>
    <row r="3368" spans="1:5" hidden="1" x14ac:dyDescent="0.25">
      <c r="A3368">
        <v>2071</v>
      </c>
      <c r="B3368" t="s">
        <v>549</v>
      </c>
      <c r="C3368" t="s">
        <v>1699</v>
      </c>
      <c r="D3368" t="str">
        <f t="shared" si="52"/>
        <v>FAPEMIG4007</v>
      </c>
      <c r="E3368" t="s">
        <v>93</v>
      </c>
    </row>
    <row r="3369" spans="1:5" hidden="1" x14ac:dyDescent="0.25">
      <c r="A3369">
        <v>2071</v>
      </c>
      <c r="B3369" t="s">
        <v>549</v>
      </c>
      <c r="C3369" t="s">
        <v>1719</v>
      </c>
      <c r="D3369" t="str">
        <f t="shared" si="52"/>
        <v>FAPEMIG4101</v>
      </c>
      <c r="E3369" t="s">
        <v>1623</v>
      </c>
    </row>
    <row r="3370" spans="1:5" hidden="1" x14ac:dyDescent="0.25">
      <c r="A3370">
        <v>2071</v>
      </c>
      <c r="B3370" t="s">
        <v>549</v>
      </c>
      <c r="C3370" t="s">
        <v>1749</v>
      </c>
      <c r="D3370" t="str">
        <f t="shared" si="52"/>
        <v>FAPEMIG4201</v>
      </c>
      <c r="E3370" t="s">
        <v>1728</v>
      </c>
    </row>
    <row r="3371" spans="1:5" hidden="1" x14ac:dyDescent="0.25">
      <c r="A3371">
        <v>2071</v>
      </c>
      <c r="B3371" t="s">
        <v>549</v>
      </c>
      <c r="C3371" t="s">
        <v>1750</v>
      </c>
      <c r="D3371" t="str">
        <f t="shared" si="52"/>
        <v>FAPEMIG4301</v>
      </c>
      <c r="E3371" t="s">
        <v>1751</v>
      </c>
    </row>
    <row r="3372" spans="1:5" hidden="1" x14ac:dyDescent="0.25">
      <c r="A3372">
        <v>2071</v>
      </c>
      <c r="B3372" t="s">
        <v>549</v>
      </c>
      <c r="C3372" t="s">
        <v>237</v>
      </c>
      <c r="D3372" t="str">
        <f t="shared" si="52"/>
        <v>FAPEMIG4501</v>
      </c>
      <c r="E3372" t="s">
        <v>1757</v>
      </c>
    </row>
    <row r="3373" spans="1:5" hidden="1" x14ac:dyDescent="0.25">
      <c r="A3373">
        <v>2071</v>
      </c>
      <c r="B3373" t="s">
        <v>549</v>
      </c>
      <c r="C3373" t="s">
        <v>1668</v>
      </c>
      <c r="D3373" t="str">
        <f t="shared" si="52"/>
        <v>FAPEMIG4701</v>
      </c>
      <c r="E3373" t="s">
        <v>1669</v>
      </c>
    </row>
    <row r="3374" spans="1:5" hidden="1" x14ac:dyDescent="0.25">
      <c r="A3374">
        <v>2071</v>
      </c>
      <c r="B3374" t="s">
        <v>549</v>
      </c>
      <c r="C3374" t="s">
        <v>264</v>
      </c>
      <c r="D3374" t="str">
        <f t="shared" si="52"/>
        <v>FAPEMIG4703</v>
      </c>
      <c r="E3374" t="s">
        <v>1669</v>
      </c>
    </row>
    <row r="3375" spans="1:5" hidden="1" x14ac:dyDescent="0.25">
      <c r="A3375">
        <v>2071</v>
      </c>
      <c r="B3375" t="s">
        <v>549</v>
      </c>
      <c r="C3375" t="s">
        <v>315</v>
      </c>
      <c r="D3375" t="str">
        <f t="shared" si="52"/>
        <v>FAPEMIG4706</v>
      </c>
      <c r="E3375" t="s">
        <v>1669</v>
      </c>
    </row>
    <row r="3376" spans="1:5" hidden="1" x14ac:dyDescent="0.25">
      <c r="A3376">
        <v>2071</v>
      </c>
      <c r="B3376" t="s">
        <v>549</v>
      </c>
      <c r="C3376" t="s">
        <v>363</v>
      </c>
      <c r="D3376" t="str">
        <f t="shared" si="52"/>
        <v>FAPEMIG4799</v>
      </c>
      <c r="E3376" t="s">
        <v>1669</v>
      </c>
    </row>
    <row r="3377" spans="1:5" hidden="1" x14ac:dyDescent="0.25">
      <c r="A3377">
        <v>2071</v>
      </c>
      <c r="B3377" t="s">
        <v>549</v>
      </c>
      <c r="C3377" t="s">
        <v>285</v>
      </c>
      <c r="D3377" t="str">
        <f t="shared" si="52"/>
        <v>FAPEMIG4803</v>
      </c>
      <c r="E3377" t="s">
        <v>1645</v>
      </c>
    </row>
    <row r="3378" spans="1:5" hidden="1" x14ac:dyDescent="0.25">
      <c r="A3378">
        <v>2071</v>
      </c>
      <c r="B3378" t="s">
        <v>549</v>
      </c>
      <c r="C3378" t="s">
        <v>1752</v>
      </c>
      <c r="D3378" t="str">
        <f t="shared" si="52"/>
        <v>FAPEMIG4904</v>
      </c>
      <c r="E3378" t="s">
        <v>1596</v>
      </c>
    </row>
    <row r="3379" spans="1:5" hidden="1" x14ac:dyDescent="0.25">
      <c r="A3379">
        <v>2071</v>
      </c>
      <c r="B3379" t="s">
        <v>549</v>
      </c>
      <c r="C3379" t="s">
        <v>1672</v>
      </c>
      <c r="D3379" t="str">
        <f t="shared" si="52"/>
        <v>FAPEMIG5103</v>
      </c>
      <c r="E3379" t="s">
        <v>1671</v>
      </c>
    </row>
    <row r="3380" spans="1:5" hidden="1" x14ac:dyDescent="0.25">
      <c r="A3380">
        <v>2071</v>
      </c>
      <c r="B3380" t="s">
        <v>549</v>
      </c>
      <c r="C3380" t="s">
        <v>287</v>
      </c>
      <c r="D3380" t="str">
        <f t="shared" si="52"/>
        <v>FAPEMIG5203</v>
      </c>
      <c r="E3380" t="s">
        <v>1674</v>
      </c>
    </row>
    <row r="3381" spans="1:5" hidden="1" x14ac:dyDescent="0.25">
      <c r="A3381">
        <v>2071</v>
      </c>
      <c r="B3381" t="s">
        <v>549</v>
      </c>
      <c r="C3381" t="s">
        <v>1673</v>
      </c>
      <c r="D3381" t="str">
        <f t="shared" si="52"/>
        <v>FAPEMIG5204</v>
      </c>
      <c r="E3381" t="s">
        <v>1674</v>
      </c>
    </row>
    <row r="3382" spans="1:5" hidden="1" x14ac:dyDescent="0.25">
      <c r="A3382">
        <v>2071</v>
      </c>
      <c r="B3382" t="s">
        <v>549</v>
      </c>
      <c r="C3382" t="s">
        <v>328</v>
      </c>
      <c r="D3382" t="str">
        <f t="shared" si="52"/>
        <v>FAPEMIG5206</v>
      </c>
      <c r="E3382" t="s">
        <v>1675</v>
      </c>
    </row>
    <row r="3383" spans="1:5" hidden="1" x14ac:dyDescent="0.25">
      <c r="A3383">
        <v>2071</v>
      </c>
      <c r="B3383" t="s">
        <v>549</v>
      </c>
      <c r="C3383" t="s">
        <v>1676</v>
      </c>
      <c r="D3383" t="str">
        <f t="shared" si="52"/>
        <v>FAPEMIG5207</v>
      </c>
      <c r="E3383" t="s">
        <v>1675</v>
      </c>
    </row>
    <row r="3384" spans="1:5" hidden="1" x14ac:dyDescent="0.25">
      <c r="A3384">
        <v>2071</v>
      </c>
      <c r="B3384" t="s">
        <v>549</v>
      </c>
      <c r="C3384" t="s">
        <v>1677</v>
      </c>
      <c r="D3384" t="str">
        <f t="shared" si="52"/>
        <v>FAPEMIG5208</v>
      </c>
      <c r="E3384" t="s">
        <v>1675</v>
      </c>
    </row>
    <row r="3385" spans="1:5" hidden="1" x14ac:dyDescent="0.25">
      <c r="A3385">
        <v>2071</v>
      </c>
      <c r="B3385" t="s">
        <v>549</v>
      </c>
      <c r="C3385" t="s">
        <v>358</v>
      </c>
      <c r="D3385" t="str">
        <f t="shared" si="52"/>
        <v>FAPEMIG5209</v>
      </c>
      <c r="E3385" t="s">
        <v>1674</v>
      </c>
    </row>
    <row r="3386" spans="1:5" hidden="1" x14ac:dyDescent="0.25">
      <c r="A3386">
        <v>2071</v>
      </c>
      <c r="B3386" t="s">
        <v>549</v>
      </c>
      <c r="C3386" t="s">
        <v>1678</v>
      </c>
      <c r="D3386" t="str">
        <f t="shared" si="52"/>
        <v>FAPEMIG5210</v>
      </c>
      <c r="E3386" t="s">
        <v>1674</v>
      </c>
    </row>
    <row r="3387" spans="1:5" hidden="1" x14ac:dyDescent="0.25">
      <c r="A3387">
        <v>2071</v>
      </c>
      <c r="B3387" t="s">
        <v>549</v>
      </c>
      <c r="C3387" t="s">
        <v>1679</v>
      </c>
      <c r="D3387" t="str">
        <f t="shared" si="52"/>
        <v>FAPEMIG5212</v>
      </c>
      <c r="E3387" t="s">
        <v>1674</v>
      </c>
    </row>
    <row r="3388" spans="1:5" hidden="1" x14ac:dyDescent="0.25">
      <c r="A3388">
        <v>2071</v>
      </c>
      <c r="B3388" t="s">
        <v>549</v>
      </c>
      <c r="C3388" t="s">
        <v>390</v>
      </c>
      <c r="D3388" t="str">
        <f t="shared" si="52"/>
        <v>FAPEMIG5214</v>
      </c>
      <c r="E3388" t="s">
        <v>1674</v>
      </c>
    </row>
    <row r="3389" spans="1:5" hidden="1" x14ac:dyDescent="0.25">
      <c r="A3389">
        <v>2071</v>
      </c>
      <c r="B3389" t="s">
        <v>549</v>
      </c>
      <c r="C3389" t="s">
        <v>1681</v>
      </c>
      <c r="D3389" t="str">
        <f t="shared" si="52"/>
        <v>FAPEMIG5220</v>
      </c>
      <c r="E3389" t="s">
        <v>1675</v>
      </c>
    </row>
    <row r="3390" spans="1:5" hidden="1" x14ac:dyDescent="0.25">
      <c r="A3390">
        <v>2071</v>
      </c>
      <c r="B3390" t="s">
        <v>549</v>
      </c>
      <c r="C3390" t="s">
        <v>448</v>
      </c>
      <c r="D3390" t="str">
        <f t="shared" si="52"/>
        <v>FAPEMIG5225</v>
      </c>
      <c r="E3390" t="s">
        <v>1674</v>
      </c>
    </row>
    <row r="3391" spans="1:5" hidden="1" x14ac:dyDescent="0.25">
      <c r="A3391">
        <v>2071</v>
      </c>
      <c r="B3391" t="s">
        <v>549</v>
      </c>
      <c r="C3391" t="s">
        <v>1683</v>
      </c>
      <c r="D3391" t="str">
        <f t="shared" si="52"/>
        <v>FAPEMIG5227</v>
      </c>
      <c r="E3391" t="s">
        <v>1674</v>
      </c>
    </row>
    <row r="3392" spans="1:5" hidden="1" x14ac:dyDescent="0.25">
      <c r="A3392">
        <v>2071</v>
      </c>
      <c r="B3392" t="s">
        <v>549</v>
      </c>
      <c r="C3392" t="s">
        <v>246</v>
      </c>
      <c r="D3392" t="str">
        <f t="shared" si="52"/>
        <v>FAPEMIG6501</v>
      </c>
      <c r="E3392" t="s">
        <v>1826</v>
      </c>
    </row>
    <row r="3393" spans="1:5" hidden="1" x14ac:dyDescent="0.25">
      <c r="A3393">
        <v>2071</v>
      </c>
      <c r="B3393" t="s">
        <v>549</v>
      </c>
      <c r="C3393" t="s">
        <v>1827</v>
      </c>
      <c r="D3393" t="str">
        <f t="shared" si="52"/>
        <v>FAPEMIG6502</v>
      </c>
      <c r="E3393" t="s">
        <v>1826</v>
      </c>
    </row>
    <row r="3394" spans="1:5" hidden="1" x14ac:dyDescent="0.25">
      <c r="A3394">
        <v>2071</v>
      </c>
      <c r="B3394" t="s">
        <v>549</v>
      </c>
      <c r="C3394" t="s">
        <v>1729</v>
      </c>
      <c r="D3394" t="str">
        <f t="shared" si="52"/>
        <v>FAPEMIG9201</v>
      </c>
      <c r="E3394" t="s">
        <v>1685</v>
      </c>
    </row>
    <row r="3395" spans="1:5" hidden="1" x14ac:dyDescent="0.25">
      <c r="A3395">
        <v>2071</v>
      </c>
      <c r="B3395" t="s">
        <v>549</v>
      </c>
      <c r="C3395" t="s">
        <v>1684</v>
      </c>
      <c r="D3395" t="str">
        <f t="shared" si="52"/>
        <v>FAPEMIG9202</v>
      </c>
      <c r="E3395" t="s">
        <v>1685</v>
      </c>
    </row>
    <row r="3396" spans="1:5" hidden="1" x14ac:dyDescent="0.25">
      <c r="A3396">
        <v>2071</v>
      </c>
      <c r="B3396" t="s">
        <v>549</v>
      </c>
      <c r="C3396" t="s">
        <v>249</v>
      </c>
      <c r="D3396" t="str">
        <f t="shared" si="52"/>
        <v>FAPEMIG9301</v>
      </c>
      <c r="E3396" t="s">
        <v>1623</v>
      </c>
    </row>
    <row r="3397" spans="1:5" hidden="1" x14ac:dyDescent="0.25">
      <c r="A3397">
        <v>2071</v>
      </c>
      <c r="B3397" t="s">
        <v>549</v>
      </c>
      <c r="C3397" t="s">
        <v>330</v>
      </c>
      <c r="D3397" t="str">
        <f t="shared" ref="D3397:D3460" si="53">CONCATENATE(B3397,LEFT(C3397,4))</f>
        <v>FAPEMIG9306</v>
      </c>
      <c r="E3397" t="s">
        <v>1686</v>
      </c>
    </row>
    <row r="3398" spans="1:5" hidden="1" x14ac:dyDescent="0.25">
      <c r="A3398">
        <v>2071</v>
      </c>
      <c r="B3398" t="s">
        <v>549</v>
      </c>
      <c r="C3398" t="s">
        <v>391</v>
      </c>
      <c r="D3398" t="str">
        <f t="shared" si="53"/>
        <v>FAPEMIG9314</v>
      </c>
      <c r="E3398" t="s">
        <v>1623</v>
      </c>
    </row>
    <row r="3399" spans="1:5" hidden="1" x14ac:dyDescent="0.25">
      <c r="A3399">
        <v>2071</v>
      </c>
      <c r="B3399" t="s">
        <v>549</v>
      </c>
      <c r="C3399" t="s">
        <v>1687</v>
      </c>
      <c r="D3399" t="str">
        <f t="shared" si="53"/>
        <v>FAPEMIG9399</v>
      </c>
      <c r="E3399" t="s">
        <v>1623</v>
      </c>
    </row>
    <row r="3400" spans="1:5" hidden="1" x14ac:dyDescent="0.25">
      <c r="A3400">
        <v>2071</v>
      </c>
      <c r="B3400" t="s">
        <v>549</v>
      </c>
      <c r="C3400" t="s">
        <v>1814</v>
      </c>
      <c r="D3400" t="str">
        <f t="shared" si="53"/>
        <v>FAPEMIG9701</v>
      </c>
      <c r="E3400" t="s">
        <v>1623</v>
      </c>
    </row>
    <row r="3401" spans="1:5" hidden="1" x14ac:dyDescent="0.25">
      <c r="A3401">
        <v>2091</v>
      </c>
      <c r="B3401" t="s">
        <v>552</v>
      </c>
      <c r="C3401" t="s">
        <v>331</v>
      </c>
      <c r="D3401" t="str">
        <f t="shared" si="53"/>
        <v>FEAM1314</v>
      </c>
      <c r="E3401" t="s">
        <v>1689</v>
      </c>
    </row>
    <row r="3402" spans="1:5" hidden="1" x14ac:dyDescent="0.25">
      <c r="A3402">
        <v>2091</v>
      </c>
      <c r="B3402" t="s">
        <v>552</v>
      </c>
      <c r="C3402" t="s">
        <v>1688</v>
      </c>
      <c r="D3402" t="str">
        <f t="shared" si="53"/>
        <v>FEAM1317</v>
      </c>
      <c r="E3402" t="s">
        <v>1689</v>
      </c>
    </row>
    <row r="3403" spans="1:5" hidden="1" x14ac:dyDescent="0.25">
      <c r="A3403">
        <v>2091</v>
      </c>
      <c r="B3403" t="s">
        <v>552</v>
      </c>
      <c r="C3403" t="s">
        <v>398</v>
      </c>
      <c r="D3403" t="str">
        <f t="shared" si="53"/>
        <v>FEAM1325</v>
      </c>
      <c r="E3403" t="s">
        <v>1689</v>
      </c>
    </row>
    <row r="3404" spans="1:5" hidden="1" x14ac:dyDescent="0.25">
      <c r="A3404">
        <v>2091</v>
      </c>
      <c r="B3404" t="s">
        <v>552</v>
      </c>
      <c r="C3404" t="s">
        <v>1597</v>
      </c>
      <c r="D3404" t="str">
        <f t="shared" si="53"/>
        <v>FEAM1401</v>
      </c>
      <c r="E3404" t="s">
        <v>43</v>
      </c>
    </row>
    <row r="3405" spans="1:5" hidden="1" x14ac:dyDescent="0.25">
      <c r="A3405">
        <v>2091</v>
      </c>
      <c r="B3405" t="s">
        <v>552</v>
      </c>
      <c r="C3405" t="s">
        <v>1599</v>
      </c>
      <c r="D3405" t="str">
        <f t="shared" si="53"/>
        <v>FEAM3001</v>
      </c>
      <c r="E3405" t="s">
        <v>1600</v>
      </c>
    </row>
    <row r="3406" spans="1:5" hidden="1" x14ac:dyDescent="0.25">
      <c r="A3406">
        <v>2091</v>
      </c>
      <c r="B3406" t="s">
        <v>552</v>
      </c>
      <c r="C3406" t="s">
        <v>1601</v>
      </c>
      <c r="D3406" t="str">
        <f t="shared" si="53"/>
        <v>FEAM3003</v>
      </c>
      <c r="E3406" t="s">
        <v>1600</v>
      </c>
    </row>
    <row r="3407" spans="1:5" hidden="1" x14ac:dyDescent="0.25">
      <c r="A3407">
        <v>2091</v>
      </c>
      <c r="B3407" t="s">
        <v>552</v>
      </c>
      <c r="C3407" t="s">
        <v>1602</v>
      </c>
      <c r="D3407" t="str">
        <f t="shared" si="53"/>
        <v>FEAM3004</v>
      </c>
      <c r="E3407" t="s">
        <v>1600</v>
      </c>
    </row>
    <row r="3408" spans="1:5" hidden="1" x14ac:dyDescent="0.25">
      <c r="A3408">
        <v>2091</v>
      </c>
      <c r="B3408" t="s">
        <v>552</v>
      </c>
      <c r="C3408" t="s">
        <v>1603</v>
      </c>
      <c r="D3408" t="str">
        <f t="shared" si="53"/>
        <v>FEAM3005</v>
      </c>
      <c r="E3408" t="s">
        <v>1600</v>
      </c>
    </row>
    <row r="3409" spans="1:5" hidden="1" x14ac:dyDescent="0.25">
      <c r="A3409">
        <v>2091</v>
      </c>
      <c r="B3409" t="s">
        <v>552</v>
      </c>
      <c r="C3409" t="s">
        <v>1604</v>
      </c>
      <c r="D3409" t="str">
        <f t="shared" si="53"/>
        <v>FEAM3008</v>
      </c>
      <c r="E3409" t="s">
        <v>1600</v>
      </c>
    </row>
    <row r="3410" spans="1:5" hidden="1" x14ac:dyDescent="0.25">
      <c r="A3410">
        <v>2091</v>
      </c>
      <c r="B3410" t="s">
        <v>552</v>
      </c>
      <c r="C3410" t="s">
        <v>1605</v>
      </c>
      <c r="D3410" t="str">
        <f t="shared" si="53"/>
        <v>FEAM3010</v>
      </c>
      <c r="E3410" t="s">
        <v>1606</v>
      </c>
    </row>
    <row r="3411" spans="1:5" hidden="1" x14ac:dyDescent="0.25">
      <c r="A3411">
        <v>2091</v>
      </c>
      <c r="B3411" t="s">
        <v>552</v>
      </c>
      <c r="C3411" t="s">
        <v>1607</v>
      </c>
      <c r="D3411" t="str">
        <f t="shared" si="53"/>
        <v>FEAM3013</v>
      </c>
      <c r="E3411" t="s">
        <v>1600</v>
      </c>
    </row>
    <row r="3412" spans="1:5" hidden="1" x14ac:dyDescent="0.25">
      <c r="A3412">
        <v>2091</v>
      </c>
      <c r="B3412" t="s">
        <v>552</v>
      </c>
      <c r="C3412" t="s">
        <v>1609</v>
      </c>
      <c r="D3412" t="str">
        <f t="shared" si="53"/>
        <v>FEAM3016</v>
      </c>
      <c r="E3412" t="s">
        <v>1600</v>
      </c>
    </row>
    <row r="3413" spans="1:5" hidden="1" x14ac:dyDescent="0.25">
      <c r="A3413">
        <v>2091</v>
      </c>
      <c r="B3413" t="s">
        <v>552</v>
      </c>
      <c r="C3413" t="s">
        <v>405</v>
      </c>
      <c r="D3413" t="str">
        <f t="shared" si="53"/>
        <v>FEAM3017</v>
      </c>
      <c r="E3413" t="s">
        <v>1600</v>
      </c>
    </row>
    <row r="3414" spans="1:5" hidden="1" x14ac:dyDescent="0.25">
      <c r="A3414">
        <v>2091</v>
      </c>
      <c r="B3414" t="s">
        <v>552</v>
      </c>
      <c r="C3414" t="s">
        <v>1610</v>
      </c>
      <c r="D3414" t="str">
        <f t="shared" si="53"/>
        <v>FEAM3019</v>
      </c>
      <c r="E3414" t="s">
        <v>1611</v>
      </c>
    </row>
    <row r="3415" spans="1:5" hidden="1" x14ac:dyDescent="0.25">
      <c r="A3415">
        <v>2091</v>
      </c>
      <c r="B3415" t="s">
        <v>552</v>
      </c>
      <c r="C3415" t="s">
        <v>1612</v>
      </c>
      <c r="D3415" t="str">
        <f t="shared" si="53"/>
        <v>FEAM3020</v>
      </c>
      <c r="E3415" t="s">
        <v>1600</v>
      </c>
    </row>
    <row r="3416" spans="1:5" hidden="1" x14ac:dyDescent="0.25">
      <c r="A3416">
        <v>2091</v>
      </c>
      <c r="B3416" t="s">
        <v>552</v>
      </c>
      <c r="C3416" t="s">
        <v>1613</v>
      </c>
      <c r="D3416" t="str">
        <f t="shared" si="53"/>
        <v>FEAM3021</v>
      </c>
      <c r="E3416" t="s">
        <v>1600</v>
      </c>
    </row>
    <row r="3417" spans="1:5" hidden="1" x14ac:dyDescent="0.25">
      <c r="A3417">
        <v>2091</v>
      </c>
      <c r="B3417" t="s">
        <v>552</v>
      </c>
      <c r="C3417" t="s">
        <v>430</v>
      </c>
      <c r="D3417" t="str">
        <f t="shared" si="53"/>
        <v>FEAM3022</v>
      </c>
      <c r="E3417" t="s">
        <v>1600</v>
      </c>
    </row>
    <row r="3418" spans="1:5" hidden="1" x14ac:dyDescent="0.25">
      <c r="A3418">
        <v>2091</v>
      </c>
      <c r="B3418" t="s">
        <v>552</v>
      </c>
      <c r="C3418" t="s">
        <v>440</v>
      </c>
      <c r="D3418" t="str">
        <f t="shared" si="53"/>
        <v>FEAM3024</v>
      </c>
      <c r="E3418" t="s">
        <v>1600</v>
      </c>
    </row>
    <row r="3419" spans="1:5" hidden="1" x14ac:dyDescent="0.25">
      <c r="A3419">
        <v>2091</v>
      </c>
      <c r="B3419" t="s">
        <v>552</v>
      </c>
      <c r="C3419" t="s">
        <v>1616</v>
      </c>
      <c r="D3419" t="str">
        <f t="shared" si="53"/>
        <v>FEAM3025</v>
      </c>
      <c r="E3419" t="s">
        <v>1600</v>
      </c>
    </row>
    <row r="3420" spans="1:5" hidden="1" x14ac:dyDescent="0.25">
      <c r="A3420">
        <v>2091</v>
      </c>
      <c r="B3420" t="s">
        <v>552</v>
      </c>
      <c r="C3420" t="s">
        <v>1617</v>
      </c>
      <c r="D3420" t="str">
        <f t="shared" si="53"/>
        <v>FEAM3026</v>
      </c>
      <c r="E3420" t="s">
        <v>1615</v>
      </c>
    </row>
    <row r="3421" spans="1:5" hidden="1" x14ac:dyDescent="0.25">
      <c r="A3421">
        <v>2091</v>
      </c>
      <c r="B3421" t="s">
        <v>552</v>
      </c>
      <c r="C3421" t="s">
        <v>1618</v>
      </c>
      <c r="D3421" t="str">
        <f t="shared" si="53"/>
        <v>FEAM3027</v>
      </c>
      <c r="E3421" t="s">
        <v>1600</v>
      </c>
    </row>
    <row r="3422" spans="1:5" hidden="1" x14ac:dyDescent="0.25">
      <c r="A3422">
        <v>2091</v>
      </c>
      <c r="B3422" t="s">
        <v>552</v>
      </c>
      <c r="C3422" t="s">
        <v>466</v>
      </c>
      <c r="D3422" t="str">
        <f t="shared" si="53"/>
        <v>FEAM3030</v>
      </c>
      <c r="E3422" t="s">
        <v>1600</v>
      </c>
    </row>
    <row r="3423" spans="1:5" hidden="1" x14ac:dyDescent="0.25">
      <c r="A3423">
        <v>2091</v>
      </c>
      <c r="B3423" t="s">
        <v>552</v>
      </c>
      <c r="C3423" t="s">
        <v>490</v>
      </c>
      <c r="D3423" t="str">
        <f t="shared" si="53"/>
        <v>FEAM3099</v>
      </c>
      <c r="E3423" t="s">
        <v>1600</v>
      </c>
    </row>
    <row r="3424" spans="1:5" hidden="1" x14ac:dyDescent="0.25">
      <c r="A3424">
        <v>2091</v>
      </c>
      <c r="B3424" t="s">
        <v>552</v>
      </c>
      <c r="C3424" t="s">
        <v>1622</v>
      </c>
      <c r="D3424" t="str">
        <f t="shared" si="53"/>
        <v>FEAM3101</v>
      </c>
      <c r="E3424" t="s">
        <v>1792</v>
      </c>
    </row>
    <row r="3425" spans="1:5" hidden="1" x14ac:dyDescent="0.25">
      <c r="A3425">
        <v>2091</v>
      </c>
      <c r="B3425" t="s">
        <v>552</v>
      </c>
      <c r="C3425" t="s">
        <v>53</v>
      </c>
      <c r="D3425" t="str">
        <f t="shared" si="53"/>
        <v>FEAM3301</v>
      </c>
      <c r="E3425" t="s">
        <v>43</v>
      </c>
    </row>
    <row r="3426" spans="1:5" hidden="1" x14ac:dyDescent="0.25">
      <c r="A3426">
        <v>2091</v>
      </c>
      <c r="B3426" t="s">
        <v>552</v>
      </c>
      <c r="C3426" t="s">
        <v>1626</v>
      </c>
      <c r="D3426" t="str">
        <f t="shared" si="53"/>
        <v>FEAM3302</v>
      </c>
      <c r="E3426" t="s">
        <v>43</v>
      </c>
    </row>
    <row r="3427" spans="1:5" hidden="1" x14ac:dyDescent="0.25">
      <c r="A3427">
        <v>2091</v>
      </c>
      <c r="B3427" t="s">
        <v>552</v>
      </c>
      <c r="C3427" t="s">
        <v>1627</v>
      </c>
      <c r="D3427" t="str">
        <f t="shared" si="53"/>
        <v>FEAM3304</v>
      </c>
      <c r="E3427" t="s">
        <v>43</v>
      </c>
    </row>
    <row r="3428" spans="1:5" hidden="1" x14ac:dyDescent="0.25">
      <c r="A3428">
        <v>2091</v>
      </c>
      <c r="B3428" t="s">
        <v>552</v>
      </c>
      <c r="C3428" t="s">
        <v>1705</v>
      </c>
      <c r="D3428" t="str">
        <f t="shared" si="53"/>
        <v>FEAM3502</v>
      </c>
      <c r="E3428" t="s">
        <v>1706</v>
      </c>
    </row>
    <row r="3429" spans="1:5" hidden="1" x14ac:dyDescent="0.25">
      <c r="A3429">
        <v>2091</v>
      </c>
      <c r="B3429" t="s">
        <v>552</v>
      </c>
      <c r="C3429" t="s">
        <v>296</v>
      </c>
      <c r="D3429" t="str">
        <f t="shared" si="53"/>
        <v>FEAM3604</v>
      </c>
      <c r="E3429" t="s">
        <v>43</v>
      </c>
    </row>
    <row r="3430" spans="1:5" hidden="1" x14ac:dyDescent="0.25">
      <c r="A3430">
        <v>2091</v>
      </c>
      <c r="B3430" t="s">
        <v>552</v>
      </c>
      <c r="C3430" t="s">
        <v>354</v>
      </c>
      <c r="D3430" t="str">
        <f t="shared" si="53"/>
        <v>FEAM3610</v>
      </c>
      <c r="E3430" t="s">
        <v>1773</v>
      </c>
    </row>
    <row r="3431" spans="1:5" hidden="1" x14ac:dyDescent="0.25">
      <c r="A3431">
        <v>2091</v>
      </c>
      <c r="B3431" t="s">
        <v>552</v>
      </c>
      <c r="C3431" t="s">
        <v>1707</v>
      </c>
      <c r="D3431" t="str">
        <f t="shared" si="53"/>
        <v>FEAM3611</v>
      </c>
      <c r="E3431" t="s">
        <v>1692</v>
      </c>
    </row>
    <row r="3432" spans="1:5" hidden="1" x14ac:dyDescent="0.25">
      <c r="A3432">
        <v>2091</v>
      </c>
      <c r="B3432" t="s">
        <v>552</v>
      </c>
      <c r="C3432" t="s">
        <v>1628</v>
      </c>
      <c r="D3432" t="str">
        <f t="shared" si="53"/>
        <v>FEAM3612</v>
      </c>
      <c r="E3432" t="s">
        <v>1828</v>
      </c>
    </row>
    <row r="3433" spans="1:5" hidden="1" x14ac:dyDescent="0.25">
      <c r="A3433">
        <v>2091</v>
      </c>
      <c r="B3433" t="s">
        <v>552</v>
      </c>
      <c r="C3433" t="s">
        <v>1743</v>
      </c>
      <c r="D3433" t="str">
        <f t="shared" si="53"/>
        <v>FEAM3616</v>
      </c>
      <c r="E3433" t="s">
        <v>1615</v>
      </c>
    </row>
    <row r="3434" spans="1:5" hidden="1" x14ac:dyDescent="0.25">
      <c r="A3434">
        <v>2091</v>
      </c>
      <c r="B3434" t="s">
        <v>552</v>
      </c>
      <c r="C3434" t="s">
        <v>400</v>
      </c>
      <c r="D3434" t="str">
        <f t="shared" si="53"/>
        <v>FEAM3617</v>
      </c>
      <c r="E3434" t="s">
        <v>1829</v>
      </c>
    </row>
    <row r="3435" spans="1:5" hidden="1" x14ac:dyDescent="0.25">
      <c r="A3435">
        <v>2091</v>
      </c>
      <c r="B3435" t="s">
        <v>552</v>
      </c>
      <c r="C3435" t="s">
        <v>406</v>
      </c>
      <c r="D3435" t="str">
        <f t="shared" si="53"/>
        <v>FEAM3618</v>
      </c>
      <c r="E3435" t="s">
        <v>1611</v>
      </c>
    </row>
    <row r="3436" spans="1:5" hidden="1" x14ac:dyDescent="0.25">
      <c r="A3436">
        <v>2091</v>
      </c>
      <c r="B3436" t="s">
        <v>552</v>
      </c>
      <c r="C3436" t="s">
        <v>470</v>
      </c>
      <c r="D3436" t="str">
        <f t="shared" si="53"/>
        <v>FEAM3699</v>
      </c>
      <c r="E3436" t="s">
        <v>1776</v>
      </c>
    </row>
    <row r="3437" spans="1:5" hidden="1" x14ac:dyDescent="0.25">
      <c r="A3437">
        <v>2091</v>
      </c>
      <c r="B3437" t="s">
        <v>552</v>
      </c>
      <c r="C3437" t="s">
        <v>1693</v>
      </c>
      <c r="D3437" t="str">
        <f t="shared" si="53"/>
        <v>FEAM3702</v>
      </c>
      <c r="E3437" t="s">
        <v>1630</v>
      </c>
    </row>
    <row r="3438" spans="1:5" hidden="1" x14ac:dyDescent="0.25">
      <c r="A3438">
        <v>2091</v>
      </c>
      <c r="B3438" t="s">
        <v>552</v>
      </c>
      <c r="C3438" t="s">
        <v>1631</v>
      </c>
      <c r="D3438" t="str">
        <f t="shared" si="53"/>
        <v>FEAM3703</v>
      </c>
      <c r="E3438" t="s">
        <v>116</v>
      </c>
    </row>
    <row r="3439" spans="1:5" hidden="1" x14ac:dyDescent="0.25">
      <c r="A3439">
        <v>2091</v>
      </c>
      <c r="B3439" t="s">
        <v>552</v>
      </c>
      <c r="C3439" t="s">
        <v>1632</v>
      </c>
      <c r="D3439" t="str">
        <f t="shared" si="53"/>
        <v>FEAM3704</v>
      </c>
      <c r="E3439" t="s">
        <v>116</v>
      </c>
    </row>
    <row r="3440" spans="1:5" hidden="1" x14ac:dyDescent="0.25">
      <c r="A3440">
        <v>2091</v>
      </c>
      <c r="B3440" t="s">
        <v>552</v>
      </c>
      <c r="C3440" t="s">
        <v>1633</v>
      </c>
      <c r="D3440" t="str">
        <f t="shared" si="53"/>
        <v>FEAM3705</v>
      </c>
      <c r="E3440" t="s">
        <v>116</v>
      </c>
    </row>
    <row r="3441" spans="1:5" hidden="1" x14ac:dyDescent="0.25">
      <c r="A3441">
        <v>2091</v>
      </c>
      <c r="B3441" t="s">
        <v>552</v>
      </c>
      <c r="C3441" t="s">
        <v>1830</v>
      </c>
      <c r="D3441" t="str">
        <f t="shared" si="53"/>
        <v>FEAM3902</v>
      </c>
      <c r="E3441" t="s">
        <v>1808</v>
      </c>
    </row>
    <row r="3442" spans="1:5" hidden="1" x14ac:dyDescent="0.25">
      <c r="A3442">
        <v>2091</v>
      </c>
      <c r="B3442" t="s">
        <v>552</v>
      </c>
      <c r="C3442" t="s">
        <v>298</v>
      </c>
      <c r="D3442" t="str">
        <f t="shared" si="53"/>
        <v>FEAM3904</v>
      </c>
      <c r="E3442" t="s">
        <v>1831</v>
      </c>
    </row>
    <row r="3443" spans="1:5" hidden="1" x14ac:dyDescent="0.25">
      <c r="A3443">
        <v>2091</v>
      </c>
      <c r="B3443" t="s">
        <v>552</v>
      </c>
      <c r="C3443" t="s">
        <v>1635</v>
      </c>
      <c r="D3443" t="str">
        <f t="shared" si="53"/>
        <v>FEAM3908</v>
      </c>
      <c r="E3443" t="s">
        <v>1832</v>
      </c>
    </row>
    <row r="3444" spans="1:5" hidden="1" x14ac:dyDescent="0.25">
      <c r="A3444">
        <v>2091</v>
      </c>
      <c r="B3444" t="s">
        <v>552</v>
      </c>
      <c r="C3444" t="s">
        <v>345</v>
      </c>
      <c r="D3444" t="str">
        <f t="shared" si="53"/>
        <v>FEAM3910</v>
      </c>
      <c r="E3444" t="s">
        <v>2109</v>
      </c>
    </row>
    <row r="3445" spans="1:5" hidden="1" x14ac:dyDescent="0.25">
      <c r="A3445">
        <v>2091</v>
      </c>
      <c r="B3445" t="s">
        <v>552</v>
      </c>
      <c r="C3445" t="s">
        <v>355</v>
      </c>
      <c r="D3445" t="str">
        <f t="shared" si="53"/>
        <v>FEAM3911</v>
      </c>
      <c r="E3445" t="s">
        <v>1833</v>
      </c>
    </row>
    <row r="3446" spans="1:5" hidden="1" x14ac:dyDescent="0.25">
      <c r="A3446">
        <v>2091</v>
      </c>
      <c r="B3446" t="s">
        <v>552</v>
      </c>
      <c r="C3446" t="s">
        <v>1636</v>
      </c>
      <c r="D3446" t="str">
        <f t="shared" si="53"/>
        <v>FEAM3912</v>
      </c>
      <c r="E3446" t="s">
        <v>1637</v>
      </c>
    </row>
    <row r="3447" spans="1:5" hidden="1" x14ac:dyDescent="0.25">
      <c r="A3447">
        <v>2091</v>
      </c>
      <c r="B3447" t="s">
        <v>552</v>
      </c>
      <c r="C3447" t="s">
        <v>1638</v>
      </c>
      <c r="D3447" t="str">
        <f t="shared" si="53"/>
        <v>FEAM3913</v>
      </c>
      <c r="E3447" t="s">
        <v>1637</v>
      </c>
    </row>
    <row r="3448" spans="1:5" hidden="1" x14ac:dyDescent="0.25">
      <c r="A3448">
        <v>2091</v>
      </c>
      <c r="B3448" t="s">
        <v>552</v>
      </c>
      <c r="C3448" t="s">
        <v>383</v>
      </c>
      <c r="D3448" t="str">
        <f t="shared" si="53"/>
        <v>FEAM3915</v>
      </c>
      <c r="E3448" t="s">
        <v>1637</v>
      </c>
    </row>
    <row r="3449" spans="1:5" hidden="1" x14ac:dyDescent="0.25">
      <c r="A3449">
        <v>2091</v>
      </c>
      <c r="B3449" t="s">
        <v>552</v>
      </c>
      <c r="C3449" t="s">
        <v>1639</v>
      </c>
      <c r="D3449" t="str">
        <f t="shared" si="53"/>
        <v>FEAM3917</v>
      </c>
      <c r="E3449" t="s">
        <v>1615</v>
      </c>
    </row>
    <row r="3450" spans="1:5" hidden="1" x14ac:dyDescent="0.25">
      <c r="A3450">
        <v>2091</v>
      </c>
      <c r="B3450" t="s">
        <v>552</v>
      </c>
      <c r="C3450" t="s">
        <v>1640</v>
      </c>
      <c r="D3450" t="str">
        <f t="shared" si="53"/>
        <v>FEAM3918</v>
      </c>
      <c r="E3450" t="s">
        <v>1615</v>
      </c>
    </row>
    <row r="3451" spans="1:5" hidden="1" x14ac:dyDescent="0.25">
      <c r="A3451">
        <v>2091</v>
      </c>
      <c r="B3451" t="s">
        <v>552</v>
      </c>
      <c r="C3451" t="s">
        <v>1694</v>
      </c>
      <c r="D3451" t="str">
        <f t="shared" si="53"/>
        <v>FEAM3920</v>
      </c>
      <c r="E3451" t="s">
        <v>1692</v>
      </c>
    </row>
    <row r="3452" spans="1:5" hidden="1" x14ac:dyDescent="0.25">
      <c r="A3452">
        <v>2091</v>
      </c>
      <c r="B3452" t="s">
        <v>552</v>
      </c>
      <c r="C3452" t="s">
        <v>1642</v>
      </c>
      <c r="D3452" t="str">
        <f t="shared" si="53"/>
        <v>FEAM3921</v>
      </c>
      <c r="E3452" t="s">
        <v>2102</v>
      </c>
    </row>
    <row r="3453" spans="1:5" hidden="1" x14ac:dyDescent="0.25">
      <c r="A3453">
        <v>2091</v>
      </c>
      <c r="B3453" t="s">
        <v>552</v>
      </c>
      <c r="C3453" t="s">
        <v>1643</v>
      </c>
      <c r="D3453" t="str">
        <f t="shared" si="53"/>
        <v>FEAM3922</v>
      </c>
      <c r="E3453" t="s">
        <v>1611</v>
      </c>
    </row>
    <row r="3454" spans="1:5" hidden="1" x14ac:dyDescent="0.25">
      <c r="A3454">
        <v>2091</v>
      </c>
      <c r="B3454" t="s">
        <v>552</v>
      </c>
      <c r="C3454" t="s">
        <v>1644</v>
      </c>
      <c r="D3454" t="str">
        <f t="shared" si="53"/>
        <v>FEAM3924</v>
      </c>
      <c r="E3454" t="s">
        <v>1645</v>
      </c>
    </row>
    <row r="3455" spans="1:5" hidden="1" x14ac:dyDescent="0.25">
      <c r="A3455">
        <v>2091</v>
      </c>
      <c r="B3455" t="s">
        <v>552</v>
      </c>
      <c r="C3455" t="s">
        <v>437</v>
      </c>
      <c r="D3455" t="str">
        <f t="shared" si="53"/>
        <v>FEAM3925</v>
      </c>
      <c r="E3455" t="s">
        <v>1834</v>
      </c>
    </row>
    <row r="3456" spans="1:5" hidden="1" x14ac:dyDescent="0.25">
      <c r="A3456">
        <v>2091</v>
      </c>
      <c r="B3456" t="s">
        <v>552</v>
      </c>
      <c r="C3456" t="s">
        <v>442</v>
      </c>
      <c r="D3456" t="str">
        <f t="shared" si="53"/>
        <v>FEAM3926</v>
      </c>
      <c r="E3456" t="s">
        <v>1646</v>
      </c>
    </row>
    <row r="3457" spans="1:5" hidden="1" x14ac:dyDescent="0.25">
      <c r="A3457">
        <v>2091</v>
      </c>
      <c r="B3457" t="s">
        <v>552</v>
      </c>
      <c r="C3457" t="s">
        <v>457</v>
      </c>
      <c r="D3457" t="str">
        <f t="shared" si="53"/>
        <v>FEAM3930</v>
      </c>
      <c r="E3457" t="s">
        <v>1646</v>
      </c>
    </row>
    <row r="3458" spans="1:5" hidden="1" x14ac:dyDescent="0.25">
      <c r="A3458">
        <v>2091</v>
      </c>
      <c r="B3458" t="s">
        <v>552</v>
      </c>
      <c r="C3458" t="s">
        <v>1650</v>
      </c>
      <c r="D3458" t="str">
        <f t="shared" si="53"/>
        <v>FEAM3931</v>
      </c>
      <c r="E3458" t="s">
        <v>1779</v>
      </c>
    </row>
    <row r="3459" spans="1:5" hidden="1" x14ac:dyDescent="0.25">
      <c r="A3459">
        <v>2091</v>
      </c>
      <c r="B3459" t="s">
        <v>552</v>
      </c>
      <c r="C3459" t="s">
        <v>1695</v>
      </c>
      <c r="D3459" t="str">
        <f t="shared" si="53"/>
        <v>FEAM3937</v>
      </c>
      <c r="E3459" t="s">
        <v>1692</v>
      </c>
    </row>
    <row r="3460" spans="1:5" hidden="1" x14ac:dyDescent="0.25">
      <c r="A3460">
        <v>2091</v>
      </c>
      <c r="B3460" t="s">
        <v>552</v>
      </c>
      <c r="C3460" t="s">
        <v>1714</v>
      </c>
      <c r="D3460" t="str">
        <f t="shared" si="53"/>
        <v>FEAM3939</v>
      </c>
      <c r="E3460" t="s">
        <v>1781</v>
      </c>
    </row>
    <row r="3461" spans="1:5" hidden="1" x14ac:dyDescent="0.25">
      <c r="A3461">
        <v>2091</v>
      </c>
      <c r="B3461" t="s">
        <v>552</v>
      </c>
      <c r="C3461" t="s">
        <v>1653</v>
      </c>
      <c r="D3461" t="str">
        <f t="shared" ref="D3461:D3524" si="54">CONCATENATE(B3461,LEFT(C3461,4))</f>
        <v>FEAM3940</v>
      </c>
      <c r="E3461" t="s">
        <v>1648</v>
      </c>
    </row>
    <row r="3462" spans="1:5" hidden="1" x14ac:dyDescent="0.25">
      <c r="A3462">
        <v>2091</v>
      </c>
      <c r="B3462" t="s">
        <v>552</v>
      </c>
      <c r="C3462" t="s">
        <v>479</v>
      </c>
      <c r="D3462" t="str">
        <f t="shared" si="54"/>
        <v>FEAM3941</v>
      </c>
      <c r="E3462" t="s">
        <v>1782</v>
      </c>
    </row>
    <row r="3463" spans="1:5" hidden="1" x14ac:dyDescent="0.25">
      <c r="A3463">
        <v>2091</v>
      </c>
      <c r="B3463" t="s">
        <v>552</v>
      </c>
      <c r="C3463" t="s">
        <v>481</v>
      </c>
      <c r="D3463" t="str">
        <f t="shared" si="54"/>
        <v>FEAM3942</v>
      </c>
      <c r="E3463" t="s">
        <v>1835</v>
      </c>
    </row>
    <row r="3464" spans="1:5" hidden="1" x14ac:dyDescent="0.25">
      <c r="A3464">
        <v>2091</v>
      </c>
      <c r="B3464" t="s">
        <v>552</v>
      </c>
      <c r="C3464" t="s">
        <v>1654</v>
      </c>
      <c r="D3464" t="str">
        <f t="shared" si="54"/>
        <v>FEAM3943</v>
      </c>
      <c r="E3464" t="s">
        <v>1615</v>
      </c>
    </row>
    <row r="3465" spans="1:5" hidden="1" x14ac:dyDescent="0.25">
      <c r="A3465">
        <v>2091</v>
      </c>
      <c r="B3465" t="s">
        <v>552</v>
      </c>
      <c r="C3465" t="s">
        <v>487</v>
      </c>
      <c r="D3465" t="str">
        <f t="shared" si="54"/>
        <v>FEAM3946</v>
      </c>
      <c r="E3465" t="s">
        <v>1744</v>
      </c>
    </row>
    <row r="3466" spans="1:5" hidden="1" x14ac:dyDescent="0.25">
      <c r="A3466">
        <v>2091</v>
      </c>
      <c r="B3466" t="s">
        <v>552</v>
      </c>
      <c r="C3466" t="s">
        <v>491</v>
      </c>
      <c r="D3466" t="str">
        <f t="shared" si="54"/>
        <v>FEAM3948</v>
      </c>
      <c r="E3466" t="s">
        <v>1645</v>
      </c>
    </row>
    <row r="3467" spans="1:5" hidden="1" x14ac:dyDescent="0.25">
      <c r="A3467">
        <v>2091</v>
      </c>
      <c r="B3467" t="s">
        <v>552</v>
      </c>
      <c r="C3467" t="s">
        <v>1701</v>
      </c>
      <c r="D3467" t="str">
        <f t="shared" si="54"/>
        <v>FEAM3952</v>
      </c>
      <c r="E3467" t="s">
        <v>64</v>
      </c>
    </row>
    <row r="3468" spans="1:5" hidden="1" x14ac:dyDescent="0.25">
      <c r="A3468">
        <v>2091</v>
      </c>
      <c r="B3468" t="s">
        <v>552</v>
      </c>
      <c r="C3468" t="s">
        <v>500</v>
      </c>
      <c r="D3468" t="str">
        <f t="shared" si="54"/>
        <v>FEAM3958</v>
      </c>
      <c r="E3468" t="s">
        <v>1836</v>
      </c>
    </row>
    <row r="3469" spans="1:5" hidden="1" x14ac:dyDescent="0.25">
      <c r="A3469">
        <v>2091</v>
      </c>
      <c r="B3469" t="s">
        <v>552</v>
      </c>
      <c r="C3469" t="s">
        <v>1657</v>
      </c>
      <c r="D3469" t="str">
        <f t="shared" si="54"/>
        <v>FEAM3961</v>
      </c>
      <c r="E3469" t="s">
        <v>1630</v>
      </c>
    </row>
    <row r="3470" spans="1:5" hidden="1" x14ac:dyDescent="0.25">
      <c r="A3470">
        <v>2091</v>
      </c>
      <c r="B3470" t="s">
        <v>552</v>
      </c>
      <c r="C3470" t="s">
        <v>1696</v>
      </c>
      <c r="D3470" t="str">
        <f t="shared" si="54"/>
        <v>FEAM3962</v>
      </c>
      <c r="E3470" t="s">
        <v>2103</v>
      </c>
    </row>
    <row r="3471" spans="1:5" hidden="1" x14ac:dyDescent="0.25">
      <c r="A3471">
        <v>2091</v>
      </c>
      <c r="B3471" t="s">
        <v>552</v>
      </c>
      <c r="C3471" t="s">
        <v>1659</v>
      </c>
      <c r="D3471" t="str">
        <f t="shared" si="54"/>
        <v>FEAM3969</v>
      </c>
      <c r="E3471" t="s">
        <v>1637</v>
      </c>
    </row>
    <row r="3472" spans="1:5" hidden="1" x14ac:dyDescent="0.25">
      <c r="A3472">
        <v>2091</v>
      </c>
      <c r="B3472" t="s">
        <v>552</v>
      </c>
      <c r="C3472" t="s">
        <v>1660</v>
      </c>
      <c r="D3472" t="str">
        <f t="shared" si="54"/>
        <v>FEAM3970</v>
      </c>
      <c r="E3472" t="s">
        <v>1648</v>
      </c>
    </row>
    <row r="3473" spans="1:5" hidden="1" x14ac:dyDescent="0.25">
      <c r="A3473">
        <v>2091</v>
      </c>
      <c r="B3473" t="s">
        <v>552</v>
      </c>
      <c r="C3473" t="s">
        <v>512</v>
      </c>
      <c r="D3473" t="str">
        <f t="shared" si="54"/>
        <v>FEAM3971</v>
      </c>
      <c r="E3473" t="s">
        <v>2103</v>
      </c>
    </row>
    <row r="3474" spans="1:5" hidden="1" x14ac:dyDescent="0.25">
      <c r="A3474">
        <v>2091</v>
      </c>
      <c r="B3474" t="s">
        <v>552</v>
      </c>
      <c r="C3474" t="s">
        <v>519</v>
      </c>
      <c r="D3474" t="str">
        <f t="shared" si="54"/>
        <v>FEAM3978</v>
      </c>
      <c r="E3474" t="s">
        <v>1630</v>
      </c>
    </row>
    <row r="3475" spans="1:5" hidden="1" x14ac:dyDescent="0.25">
      <c r="A3475">
        <v>2091</v>
      </c>
      <c r="B3475" t="s">
        <v>552</v>
      </c>
      <c r="C3475" t="s">
        <v>1726</v>
      </c>
      <c r="D3475" t="str">
        <f t="shared" si="54"/>
        <v>FEAM3980</v>
      </c>
      <c r="E3475" t="s">
        <v>1689</v>
      </c>
    </row>
    <row r="3476" spans="1:5" hidden="1" x14ac:dyDescent="0.25">
      <c r="A3476">
        <v>2091</v>
      </c>
      <c r="B3476" t="s">
        <v>552</v>
      </c>
      <c r="C3476" t="s">
        <v>1661</v>
      </c>
      <c r="D3476" t="str">
        <f t="shared" si="54"/>
        <v>FEAM3987</v>
      </c>
      <c r="E3476" t="s">
        <v>1615</v>
      </c>
    </row>
    <row r="3477" spans="1:5" hidden="1" x14ac:dyDescent="0.25">
      <c r="A3477">
        <v>2091</v>
      </c>
      <c r="B3477" t="s">
        <v>552</v>
      </c>
      <c r="C3477" t="s">
        <v>1663</v>
      </c>
      <c r="D3477" t="str">
        <f t="shared" si="54"/>
        <v>FEAM3999</v>
      </c>
      <c r="E3477" t="s">
        <v>1789</v>
      </c>
    </row>
    <row r="3478" spans="1:5" hidden="1" x14ac:dyDescent="0.25">
      <c r="A3478">
        <v>2091</v>
      </c>
      <c r="B3478" t="s">
        <v>552</v>
      </c>
      <c r="C3478" t="s">
        <v>1664</v>
      </c>
      <c r="D3478" t="str">
        <f t="shared" si="54"/>
        <v>FEAM4002</v>
      </c>
      <c r="E3478" t="s">
        <v>1648</v>
      </c>
    </row>
    <row r="3479" spans="1:5" hidden="1" x14ac:dyDescent="0.25">
      <c r="A3479">
        <v>2091</v>
      </c>
      <c r="B3479" t="s">
        <v>552</v>
      </c>
      <c r="C3479" t="s">
        <v>1665</v>
      </c>
      <c r="D3479" t="str">
        <f t="shared" si="54"/>
        <v>FEAM4003</v>
      </c>
      <c r="E3479" t="s">
        <v>93</v>
      </c>
    </row>
    <row r="3480" spans="1:5" hidden="1" x14ac:dyDescent="0.25">
      <c r="A3480">
        <v>2091</v>
      </c>
      <c r="B3480" t="s">
        <v>552</v>
      </c>
      <c r="C3480" t="s">
        <v>1666</v>
      </c>
      <c r="D3480" t="str">
        <f t="shared" si="54"/>
        <v>FEAM4004</v>
      </c>
      <c r="E3480" t="s">
        <v>1648</v>
      </c>
    </row>
    <row r="3481" spans="1:5" hidden="1" x14ac:dyDescent="0.25">
      <c r="A3481">
        <v>2091</v>
      </c>
      <c r="B3481" t="s">
        <v>552</v>
      </c>
      <c r="C3481" t="s">
        <v>1667</v>
      </c>
      <c r="D3481" t="str">
        <f t="shared" si="54"/>
        <v>FEAM4005</v>
      </c>
      <c r="E3481" t="s">
        <v>1648</v>
      </c>
    </row>
    <row r="3482" spans="1:5" hidden="1" x14ac:dyDescent="0.25">
      <c r="A3482">
        <v>2091</v>
      </c>
      <c r="B3482" t="s">
        <v>552</v>
      </c>
      <c r="C3482" t="s">
        <v>1698</v>
      </c>
      <c r="D3482" t="str">
        <f t="shared" si="54"/>
        <v>FEAM4006</v>
      </c>
      <c r="E3482" t="s">
        <v>1675</v>
      </c>
    </row>
    <row r="3483" spans="1:5" hidden="1" x14ac:dyDescent="0.25">
      <c r="A3483">
        <v>2091</v>
      </c>
      <c r="B3483" t="s">
        <v>552</v>
      </c>
      <c r="C3483" t="s">
        <v>1750</v>
      </c>
      <c r="D3483" t="str">
        <f t="shared" si="54"/>
        <v>FEAM4301</v>
      </c>
      <c r="E3483" t="s">
        <v>1751</v>
      </c>
    </row>
    <row r="3484" spans="1:5" hidden="1" x14ac:dyDescent="0.25">
      <c r="A3484">
        <v>2091</v>
      </c>
      <c r="B3484" t="s">
        <v>552</v>
      </c>
      <c r="C3484" t="s">
        <v>1668</v>
      </c>
      <c r="D3484" t="str">
        <f t="shared" si="54"/>
        <v>FEAM4701</v>
      </c>
      <c r="E3484" t="s">
        <v>1669</v>
      </c>
    </row>
    <row r="3485" spans="1:5" hidden="1" x14ac:dyDescent="0.25">
      <c r="A3485">
        <v>2091</v>
      </c>
      <c r="B3485" t="s">
        <v>552</v>
      </c>
      <c r="C3485" t="s">
        <v>264</v>
      </c>
      <c r="D3485" t="str">
        <f t="shared" si="54"/>
        <v>FEAM4703</v>
      </c>
      <c r="E3485" t="s">
        <v>1669</v>
      </c>
    </row>
    <row r="3486" spans="1:5" hidden="1" x14ac:dyDescent="0.25">
      <c r="A3486">
        <v>2091</v>
      </c>
      <c r="B3486" t="s">
        <v>552</v>
      </c>
      <c r="C3486" t="s">
        <v>315</v>
      </c>
      <c r="D3486" t="str">
        <f t="shared" si="54"/>
        <v>FEAM4706</v>
      </c>
      <c r="E3486" t="s">
        <v>1669</v>
      </c>
    </row>
    <row r="3487" spans="1:5" hidden="1" x14ac:dyDescent="0.25">
      <c r="A3487">
        <v>2091</v>
      </c>
      <c r="B3487" t="s">
        <v>552</v>
      </c>
      <c r="C3487" t="s">
        <v>327</v>
      </c>
      <c r="D3487" t="str">
        <f t="shared" si="54"/>
        <v>FEAM4707</v>
      </c>
      <c r="E3487" t="s">
        <v>1669</v>
      </c>
    </row>
    <row r="3488" spans="1:5" hidden="1" x14ac:dyDescent="0.25">
      <c r="A3488">
        <v>2091</v>
      </c>
      <c r="B3488" t="s">
        <v>552</v>
      </c>
      <c r="C3488" t="s">
        <v>363</v>
      </c>
      <c r="D3488" t="str">
        <f t="shared" si="54"/>
        <v>FEAM4799</v>
      </c>
      <c r="E3488" t="s">
        <v>1669</v>
      </c>
    </row>
    <row r="3489" spans="1:5" hidden="1" x14ac:dyDescent="0.25">
      <c r="A3489">
        <v>2091</v>
      </c>
      <c r="B3489" t="s">
        <v>552</v>
      </c>
      <c r="C3489" t="s">
        <v>172</v>
      </c>
      <c r="D3489" t="str">
        <f t="shared" si="54"/>
        <v>FEAM5107</v>
      </c>
      <c r="E3489" t="s">
        <v>1671</v>
      </c>
    </row>
    <row r="3490" spans="1:5" hidden="1" x14ac:dyDescent="0.25">
      <c r="A3490">
        <v>2091</v>
      </c>
      <c r="B3490" t="s">
        <v>552</v>
      </c>
      <c r="C3490" t="s">
        <v>241</v>
      </c>
      <c r="D3490" t="str">
        <f t="shared" si="54"/>
        <v>FEAM5201</v>
      </c>
      <c r="E3490" t="s">
        <v>1621</v>
      </c>
    </row>
    <row r="3491" spans="1:5" hidden="1" x14ac:dyDescent="0.25">
      <c r="A3491">
        <v>2091</v>
      </c>
      <c r="B3491" t="s">
        <v>552</v>
      </c>
      <c r="C3491" t="s">
        <v>328</v>
      </c>
      <c r="D3491" t="str">
        <f t="shared" si="54"/>
        <v>FEAM5206</v>
      </c>
      <c r="E3491" t="s">
        <v>1675</v>
      </c>
    </row>
    <row r="3492" spans="1:5" hidden="1" x14ac:dyDescent="0.25">
      <c r="A3492">
        <v>2091</v>
      </c>
      <c r="B3492" t="s">
        <v>552</v>
      </c>
      <c r="C3492" t="s">
        <v>1676</v>
      </c>
      <c r="D3492" t="str">
        <f t="shared" si="54"/>
        <v>FEAM5207</v>
      </c>
      <c r="E3492" t="s">
        <v>1675</v>
      </c>
    </row>
    <row r="3493" spans="1:5" hidden="1" x14ac:dyDescent="0.25">
      <c r="A3493">
        <v>2091</v>
      </c>
      <c r="B3493" t="s">
        <v>552</v>
      </c>
      <c r="C3493" t="s">
        <v>1677</v>
      </c>
      <c r="D3493" t="str">
        <f t="shared" si="54"/>
        <v>FEAM5208</v>
      </c>
      <c r="E3493" t="s">
        <v>1675</v>
      </c>
    </row>
    <row r="3494" spans="1:5" hidden="1" x14ac:dyDescent="0.25">
      <c r="A3494">
        <v>2091</v>
      </c>
      <c r="B3494" t="s">
        <v>552</v>
      </c>
      <c r="C3494" t="s">
        <v>358</v>
      </c>
      <c r="D3494" t="str">
        <f t="shared" si="54"/>
        <v>FEAM5209</v>
      </c>
      <c r="E3494" t="s">
        <v>1674</v>
      </c>
    </row>
    <row r="3495" spans="1:5" hidden="1" x14ac:dyDescent="0.25">
      <c r="A3495">
        <v>2091</v>
      </c>
      <c r="B3495" t="s">
        <v>552</v>
      </c>
      <c r="C3495" t="s">
        <v>1678</v>
      </c>
      <c r="D3495" t="str">
        <f t="shared" si="54"/>
        <v>FEAM5210</v>
      </c>
      <c r="E3495" t="s">
        <v>1674</v>
      </c>
    </row>
    <row r="3496" spans="1:5" hidden="1" x14ac:dyDescent="0.25">
      <c r="A3496">
        <v>2091</v>
      </c>
      <c r="B3496" t="s">
        <v>552</v>
      </c>
      <c r="C3496" t="s">
        <v>1713</v>
      </c>
      <c r="D3496" t="str">
        <f t="shared" si="54"/>
        <v>FEAM5211</v>
      </c>
      <c r="E3496" t="s">
        <v>1606</v>
      </c>
    </row>
    <row r="3497" spans="1:5" hidden="1" x14ac:dyDescent="0.25">
      <c r="A3497">
        <v>2091</v>
      </c>
      <c r="B3497" t="s">
        <v>552</v>
      </c>
      <c r="C3497" t="s">
        <v>390</v>
      </c>
      <c r="D3497" t="str">
        <f t="shared" si="54"/>
        <v>FEAM5214</v>
      </c>
      <c r="E3497" t="s">
        <v>1674</v>
      </c>
    </row>
    <row r="3498" spans="1:5" hidden="1" x14ac:dyDescent="0.25">
      <c r="A3498">
        <v>2091</v>
      </c>
      <c r="B3498" t="s">
        <v>552</v>
      </c>
      <c r="C3498" t="s">
        <v>408</v>
      </c>
      <c r="D3498" t="str">
        <f t="shared" si="54"/>
        <v>FEAM5217</v>
      </c>
      <c r="E3498" t="s">
        <v>1680</v>
      </c>
    </row>
    <row r="3499" spans="1:5" hidden="1" x14ac:dyDescent="0.25">
      <c r="A3499">
        <v>2091</v>
      </c>
      <c r="B3499" t="s">
        <v>552</v>
      </c>
      <c r="C3499" t="s">
        <v>1682</v>
      </c>
      <c r="D3499" t="str">
        <f t="shared" si="54"/>
        <v>FEAM5226</v>
      </c>
      <c r="E3499" t="s">
        <v>1674</v>
      </c>
    </row>
    <row r="3500" spans="1:5" hidden="1" x14ac:dyDescent="0.25">
      <c r="A3500">
        <v>2091</v>
      </c>
      <c r="B3500" t="s">
        <v>552</v>
      </c>
      <c r="C3500" t="s">
        <v>1684</v>
      </c>
      <c r="D3500" t="str">
        <f t="shared" si="54"/>
        <v>FEAM9202</v>
      </c>
      <c r="E3500" t="s">
        <v>1685</v>
      </c>
    </row>
    <row r="3501" spans="1:5" hidden="1" x14ac:dyDescent="0.25">
      <c r="A3501">
        <v>2091</v>
      </c>
      <c r="B3501" t="s">
        <v>552</v>
      </c>
      <c r="C3501" t="s">
        <v>1687</v>
      </c>
      <c r="D3501" t="str">
        <f t="shared" si="54"/>
        <v>FEAM9399</v>
      </c>
      <c r="E3501" t="s">
        <v>1791</v>
      </c>
    </row>
    <row r="3502" spans="1:5" hidden="1" x14ac:dyDescent="0.25">
      <c r="A3502">
        <v>2091</v>
      </c>
      <c r="B3502" t="s">
        <v>552</v>
      </c>
      <c r="C3502" t="s">
        <v>1814</v>
      </c>
      <c r="D3502" t="str">
        <f t="shared" si="54"/>
        <v>FEAM9701</v>
      </c>
      <c r="E3502" t="s">
        <v>1837</v>
      </c>
    </row>
    <row r="3503" spans="1:5" hidden="1" x14ac:dyDescent="0.25">
      <c r="A3503">
        <v>2101</v>
      </c>
      <c r="B3503" t="s">
        <v>566</v>
      </c>
      <c r="C3503" t="s">
        <v>1595</v>
      </c>
      <c r="D3503" t="str">
        <f t="shared" si="54"/>
        <v>IEF0810</v>
      </c>
      <c r="E3503" t="s">
        <v>1596</v>
      </c>
    </row>
    <row r="3504" spans="1:5" hidden="1" x14ac:dyDescent="0.25">
      <c r="A3504">
        <v>2101</v>
      </c>
      <c r="B3504" t="s">
        <v>566</v>
      </c>
      <c r="C3504" t="s">
        <v>252</v>
      </c>
      <c r="D3504" t="str">
        <f t="shared" si="54"/>
        <v>IEF1305</v>
      </c>
      <c r="E3504" t="s">
        <v>1689</v>
      </c>
    </row>
    <row r="3505" spans="1:5" hidden="1" x14ac:dyDescent="0.25">
      <c r="A3505">
        <v>2101</v>
      </c>
      <c r="B3505" t="s">
        <v>566</v>
      </c>
      <c r="C3505" t="s">
        <v>1737</v>
      </c>
      <c r="D3505" t="str">
        <f t="shared" si="54"/>
        <v>IEF1307</v>
      </c>
      <c r="E3505" t="s">
        <v>1689</v>
      </c>
    </row>
    <row r="3506" spans="1:5" hidden="1" x14ac:dyDescent="0.25">
      <c r="A3506">
        <v>2101</v>
      </c>
      <c r="B3506" t="s">
        <v>566</v>
      </c>
      <c r="C3506" t="s">
        <v>331</v>
      </c>
      <c r="D3506" t="str">
        <f t="shared" si="54"/>
        <v>IEF1314</v>
      </c>
      <c r="E3506" t="s">
        <v>1689</v>
      </c>
    </row>
    <row r="3507" spans="1:5" hidden="1" x14ac:dyDescent="0.25">
      <c r="A3507">
        <v>2101</v>
      </c>
      <c r="B3507" t="s">
        <v>566</v>
      </c>
      <c r="C3507" t="s">
        <v>1688</v>
      </c>
      <c r="D3507" t="str">
        <f t="shared" si="54"/>
        <v>IEF1317</v>
      </c>
      <c r="E3507" t="s">
        <v>1689</v>
      </c>
    </row>
    <row r="3508" spans="1:5" hidden="1" x14ac:dyDescent="0.25">
      <c r="A3508">
        <v>2101</v>
      </c>
      <c r="B3508" t="s">
        <v>566</v>
      </c>
      <c r="C3508" t="s">
        <v>1796</v>
      </c>
      <c r="D3508" t="str">
        <f t="shared" si="54"/>
        <v>IEF1323</v>
      </c>
      <c r="E3508" t="s">
        <v>1606</v>
      </c>
    </row>
    <row r="3509" spans="1:5" hidden="1" x14ac:dyDescent="0.25">
      <c r="A3509">
        <v>2101</v>
      </c>
      <c r="B3509" t="s">
        <v>566</v>
      </c>
      <c r="C3509" t="s">
        <v>1597</v>
      </c>
      <c r="D3509" t="str">
        <f t="shared" si="54"/>
        <v>IEF1401</v>
      </c>
      <c r="E3509" t="s">
        <v>43</v>
      </c>
    </row>
    <row r="3510" spans="1:5" hidden="1" x14ac:dyDescent="0.25">
      <c r="A3510">
        <v>2101</v>
      </c>
      <c r="B3510" t="s">
        <v>566</v>
      </c>
      <c r="C3510" t="s">
        <v>1598</v>
      </c>
      <c r="D3510" t="str">
        <f t="shared" si="54"/>
        <v>IEF1501</v>
      </c>
      <c r="E3510" t="s">
        <v>43</v>
      </c>
    </row>
    <row r="3511" spans="1:5" hidden="1" x14ac:dyDescent="0.25">
      <c r="A3511">
        <v>2101</v>
      </c>
      <c r="B3511" t="s">
        <v>566</v>
      </c>
      <c r="C3511" t="s">
        <v>1599</v>
      </c>
      <c r="D3511" t="str">
        <f t="shared" si="54"/>
        <v>IEF3001</v>
      </c>
      <c r="E3511" t="s">
        <v>1600</v>
      </c>
    </row>
    <row r="3512" spans="1:5" hidden="1" x14ac:dyDescent="0.25">
      <c r="A3512">
        <v>2101</v>
      </c>
      <c r="B3512" t="s">
        <v>566</v>
      </c>
      <c r="C3512" t="s">
        <v>255</v>
      </c>
      <c r="D3512" t="str">
        <f t="shared" si="54"/>
        <v>IEF3002</v>
      </c>
      <c r="E3512" t="s">
        <v>1600</v>
      </c>
    </row>
    <row r="3513" spans="1:5" hidden="1" x14ac:dyDescent="0.25">
      <c r="A3513">
        <v>2101</v>
      </c>
      <c r="B3513" t="s">
        <v>566</v>
      </c>
      <c r="C3513" t="s">
        <v>1601</v>
      </c>
      <c r="D3513" t="str">
        <f t="shared" si="54"/>
        <v>IEF3003</v>
      </c>
      <c r="E3513" t="s">
        <v>1600</v>
      </c>
    </row>
    <row r="3514" spans="1:5" hidden="1" x14ac:dyDescent="0.25">
      <c r="A3514">
        <v>2101</v>
      </c>
      <c r="B3514" t="s">
        <v>566</v>
      </c>
      <c r="C3514" t="s">
        <v>1602</v>
      </c>
      <c r="D3514" t="str">
        <f t="shared" si="54"/>
        <v>IEF3004</v>
      </c>
      <c r="E3514" t="s">
        <v>1600</v>
      </c>
    </row>
    <row r="3515" spans="1:5" hidden="1" x14ac:dyDescent="0.25">
      <c r="A3515">
        <v>2101</v>
      </c>
      <c r="B3515" t="s">
        <v>566</v>
      </c>
      <c r="C3515" t="s">
        <v>1603</v>
      </c>
      <c r="D3515" t="str">
        <f t="shared" si="54"/>
        <v>IEF3005</v>
      </c>
      <c r="E3515" t="s">
        <v>1600</v>
      </c>
    </row>
    <row r="3516" spans="1:5" hidden="1" x14ac:dyDescent="0.25">
      <c r="A3516">
        <v>2101</v>
      </c>
      <c r="B3516" t="s">
        <v>566</v>
      </c>
      <c r="C3516" t="s">
        <v>332</v>
      </c>
      <c r="D3516" t="str">
        <f t="shared" si="54"/>
        <v>IEF3007</v>
      </c>
      <c r="E3516" t="s">
        <v>1600</v>
      </c>
    </row>
    <row r="3517" spans="1:5" hidden="1" x14ac:dyDescent="0.25">
      <c r="A3517">
        <v>2101</v>
      </c>
      <c r="B3517" t="s">
        <v>566</v>
      </c>
      <c r="C3517" t="s">
        <v>1604</v>
      </c>
      <c r="D3517" t="str">
        <f t="shared" si="54"/>
        <v>IEF3008</v>
      </c>
      <c r="E3517" t="s">
        <v>1600</v>
      </c>
    </row>
    <row r="3518" spans="1:5" hidden="1" x14ac:dyDescent="0.25">
      <c r="A3518">
        <v>2101</v>
      </c>
      <c r="B3518" t="s">
        <v>566</v>
      </c>
      <c r="C3518" t="s">
        <v>353</v>
      </c>
      <c r="D3518" t="str">
        <f t="shared" si="54"/>
        <v>IEF3009</v>
      </c>
      <c r="E3518" t="s">
        <v>1600</v>
      </c>
    </row>
    <row r="3519" spans="1:5" hidden="1" x14ac:dyDescent="0.25">
      <c r="A3519">
        <v>2101</v>
      </c>
      <c r="B3519" t="s">
        <v>566</v>
      </c>
      <c r="C3519" t="s">
        <v>1605</v>
      </c>
      <c r="D3519" t="str">
        <f t="shared" si="54"/>
        <v>IEF3010</v>
      </c>
      <c r="E3519" t="s">
        <v>1606</v>
      </c>
    </row>
    <row r="3520" spans="1:5" hidden="1" x14ac:dyDescent="0.25">
      <c r="A3520">
        <v>2101</v>
      </c>
      <c r="B3520" t="s">
        <v>566</v>
      </c>
      <c r="C3520" t="s">
        <v>368</v>
      </c>
      <c r="D3520" t="str">
        <f t="shared" si="54"/>
        <v>IEF3011</v>
      </c>
      <c r="E3520" t="s">
        <v>1600</v>
      </c>
    </row>
    <row r="3521" spans="1:5" hidden="1" x14ac:dyDescent="0.25">
      <c r="A3521">
        <v>2101</v>
      </c>
      <c r="B3521" t="s">
        <v>566</v>
      </c>
      <c r="C3521" t="s">
        <v>137</v>
      </c>
      <c r="D3521" t="str">
        <f t="shared" si="54"/>
        <v>IEF3012</v>
      </c>
      <c r="E3521" t="s">
        <v>1606</v>
      </c>
    </row>
    <row r="3522" spans="1:5" hidden="1" x14ac:dyDescent="0.25">
      <c r="A3522">
        <v>2101</v>
      </c>
      <c r="B3522" t="s">
        <v>566</v>
      </c>
      <c r="C3522" t="s">
        <v>1607</v>
      </c>
      <c r="D3522" t="str">
        <f t="shared" si="54"/>
        <v>IEF3013</v>
      </c>
      <c r="E3522" t="s">
        <v>1600</v>
      </c>
    </row>
    <row r="3523" spans="1:5" hidden="1" x14ac:dyDescent="0.25">
      <c r="A3523">
        <v>2101</v>
      </c>
      <c r="B3523" t="s">
        <v>566</v>
      </c>
      <c r="C3523" t="s">
        <v>1608</v>
      </c>
      <c r="D3523" t="str">
        <f t="shared" si="54"/>
        <v>IEF3015</v>
      </c>
      <c r="E3523" t="s">
        <v>1600</v>
      </c>
    </row>
    <row r="3524" spans="1:5" hidden="1" x14ac:dyDescent="0.25">
      <c r="A3524">
        <v>2101</v>
      </c>
      <c r="B3524" t="s">
        <v>566</v>
      </c>
      <c r="C3524" t="s">
        <v>1609</v>
      </c>
      <c r="D3524" t="str">
        <f t="shared" si="54"/>
        <v>IEF3016</v>
      </c>
      <c r="E3524" t="s">
        <v>1600</v>
      </c>
    </row>
    <row r="3525" spans="1:5" hidden="1" x14ac:dyDescent="0.25">
      <c r="A3525">
        <v>2101</v>
      </c>
      <c r="B3525" t="s">
        <v>566</v>
      </c>
      <c r="C3525" t="s">
        <v>405</v>
      </c>
      <c r="D3525" t="str">
        <f t="shared" ref="D3525:D3588" si="55">CONCATENATE(B3525,LEFT(C3525,4))</f>
        <v>IEF3017</v>
      </c>
      <c r="E3525" t="s">
        <v>1600</v>
      </c>
    </row>
    <row r="3526" spans="1:5" hidden="1" x14ac:dyDescent="0.25">
      <c r="A3526">
        <v>2101</v>
      </c>
      <c r="B3526" t="s">
        <v>566</v>
      </c>
      <c r="C3526" t="s">
        <v>1610</v>
      </c>
      <c r="D3526" t="str">
        <f t="shared" si="55"/>
        <v>IEF3019</v>
      </c>
      <c r="E3526" t="s">
        <v>1611</v>
      </c>
    </row>
    <row r="3527" spans="1:5" hidden="1" x14ac:dyDescent="0.25">
      <c r="A3527">
        <v>2101</v>
      </c>
      <c r="B3527" t="s">
        <v>566</v>
      </c>
      <c r="C3527" t="s">
        <v>1612</v>
      </c>
      <c r="D3527" t="str">
        <f t="shared" si="55"/>
        <v>IEF3020</v>
      </c>
      <c r="E3527" t="s">
        <v>1600</v>
      </c>
    </row>
    <row r="3528" spans="1:5" hidden="1" x14ac:dyDescent="0.25">
      <c r="A3528">
        <v>2101</v>
      </c>
      <c r="B3528" t="s">
        <v>566</v>
      </c>
      <c r="C3528" t="s">
        <v>1613</v>
      </c>
      <c r="D3528" t="str">
        <f t="shared" si="55"/>
        <v>IEF3021</v>
      </c>
      <c r="E3528" t="s">
        <v>1600</v>
      </c>
    </row>
    <row r="3529" spans="1:5" hidden="1" x14ac:dyDescent="0.25">
      <c r="A3529">
        <v>2101</v>
      </c>
      <c r="B3529" t="s">
        <v>566</v>
      </c>
      <c r="C3529" t="s">
        <v>430</v>
      </c>
      <c r="D3529" t="str">
        <f t="shared" si="55"/>
        <v>IEF3022</v>
      </c>
      <c r="E3529" t="s">
        <v>1600</v>
      </c>
    </row>
    <row r="3530" spans="1:5" hidden="1" x14ac:dyDescent="0.25">
      <c r="A3530">
        <v>2101</v>
      </c>
      <c r="B3530" t="s">
        <v>566</v>
      </c>
      <c r="C3530" t="s">
        <v>1614</v>
      </c>
      <c r="D3530" t="str">
        <f t="shared" si="55"/>
        <v>IEF3023</v>
      </c>
      <c r="E3530" t="s">
        <v>1615</v>
      </c>
    </row>
    <row r="3531" spans="1:5" hidden="1" x14ac:dyDescent="0.25">
      <c r="A3531">
        <v>2101</v>
      </c>
      <c r="B3531" t="s">
        <v>566</v>
      </c>
      <c r="C3531" t="s">
        <v>440</v>
      </c>
      <c r="D3531" t="str">
        <f t="shared" si="55"/>
        <v>IEF3024</v>
      </c>
      <c r="E3531" t="s">
        <v>1600</v>
      </c>
    </row>
    <row r="3532" spans="1:5" hidden="1" x14ac:dyDescent="0.25">
      <c r="A3532">
        <v>2101</v>
      </c>
      <c r="B3532" t="s">
        <v>566</v>
      </c>
      <c r="C3532" t="s">
        <v>1616</v>
      </c>
      <c r="D3532" t="str">
        <f t="shared" si="55"/>
        <v>IEF3025</v>
      </c>
      <c r="E3532" t="s">
        <v>1600</v>
      </c>
    </row>
    <row r="3533" spans="1:5" hidden="1" x14ac:dyDescent="0.25">
      <c r="A3533">
        <v>2101</v>
      </c>
      <c r="B3533" t="s">
        <v>566</v>
      </c>
      <c r="C3533" t="s">
        <v>1617</v>
      </c>
      <c r="D3533" t="str">
        <f t="shared" si="55"/>
        <v>IEF3026</v>
      </c>
      <c r="E3533" t="s">
        <v>1615</v>
      </c>
    </row>
    <row r="3534" spans="1:5" hidden="1" x14ac:dyDescent="0.25">
      <c r="A3534">
        <v>2101</v>
      </c>
      <c r="B3534" t="s">
        <v>566</v>
      </c>
      <c r="C3534" t="s">
        <v>1618</v>
      </c>
      <c r="D3534" t="str">
        <f t="shared" si="55"/>
        <v>IEF3027</v>
      </c>
      <c r="E3534" t="s">
        <v>1600</v>
      </c>
    </row>
    <row r="3535" spans="1:5" hidden="1" x14ac:dyDescent="0.25">
      <c r="A3535">
        <v>2101</v>
      </c>
      <c r="B3535" t="s">
        <v>566</v>
      </c>
      <c r="C3535" t="s">
        <v>1702</v>
      </c>
      <c r="D3535" t="str">
        <f t="shared" si="55"/>
        <v>IEF3029</v>
      </c>
      <c r="E3535" t="s">
        <v>1600</v>
      </c>
    </row>
    <row r="3536" spans="1:5" hidden="1" x14ac:dyDescent="0.25">
      <c r="A3536">
        <v>2101</v>
      </c>
      <c r="B3536" t="s">
        <v>566</v>
      </c>
      <c r="C3536" t="s">
        <v>466</v>
      </c>
      <c r="D3536" t="str">
        <f t="shared" si="55"/>
        <v>IEF3030</v>
      </c>
      <c r="E3536" t="s">
        <v>1600</v>
      </c>
    </row>
    <row r="3537" spans="1:5" hidden="1" x14ac:dyDescent="0.25">
      <c r="A3537">
        <v>2101</v>
      </c>
      <c r="B3537" t="s">
        <v>566</v>
      </c>
      <c r="C3537" t="s">
        <v>1620</v>
      </c>
      <c r="D3537" t="str">
        <f t="shared" si="55"/>
        <v>IEF3033</v>
      </c>
      <c r="E3537" t="s">
        <v>1621</v>
      </c>
    </row>
    <row r="3538" spans="1:5" hidden="1" x14ac:dyDescent="0.25">
      <c r="A3538">
        <v>2101</v>
      </c>
      <c r="B3538" t="s">
        <v>566</v>
      </c>
      <c r="C3538" t="s">
        <v>476</v>
      </c>
      <c r="D3538" t="str">
        <f t="shared" si="55"/>
        <v>IEF3034</v>
      </c>
      <c r="E3538" t="s">
        <v>1621</v>
      </c>
    </row>
    <row r="3539" spans="1:5" hidden="1" x14ac:dyDescent="0.25">
      <c r="A3539">
        <v>2101</v>
      </c>
      <c r="B3539" t="s">
        <v>566</v>
      </c>
      <c r="C3539" t="s">
        <v>486</v>
      </c>
      <c r="D3539" t="str">
        <f t="shared" si="55"/>
        <v>IEF3040</v>
      </c>
      <c r="E3539" t="s">
        <v>1600</v>
      </c>
    </row>
    <row r="3540" spans="1:5" hidden="1" x14ac:dyDescent="0.25">
      <c r="A3540">
        <v>2101</v>
      </c>
      <c r="B3540" t="s">
        <v>566</v>
      </c>
      <c r="C3540" t="s">
        <v>1703</v>
      </c>
      <c r="D3540" t="str">
        <f t="shared" si="55"/>
        <v>IEF3041</v>
      </c>
      <c r="E3540" t="s">
        <v>1838</v>
      </c>
    </row>
    <row r="3541" spans="1:5" hidden="1" x14ac:dyDescent="0.25">
      <c r="A3541">
        <v>2101</v>
      </c>
      <c r="B3541" t="s">
        <v>566</v>
      </c>
      <c r="C3541" t="s">
        <v>490</v>
      </c>
      <c r="D3541" t="str">
        <f t="shared" si="55"/>
        <v>IEF3099</v>
      </c>
      <c r="E3541" t="s">
        <v>1600</v>
      </c>
    </row>
    <row r="3542" spans="1:5" hidden="1" x14ac:dyDescent="0.25">
      <c r="A3542">
        <v>2101</v>
      </c>
      <c r="B3542" t="s">
        <v>566</v>
      </c>
      <c r="C3542" t="s">
        <v>226</v>
      </c>
      <c r="D3542" t="str">
        <f t="shared" si="55"/>
        <v>IEF3201</v>
      </c>
      <c r="E3542" t="s">
        <v>2106</v>
      </c>
    </row>
    <row r="3543" spans="1:5" hidden="1" x14ac:dyDescent="0.25">
      <c r="A3543">
        <v>2101</v>
      </c>
      <c r="B3543" t="s">
        <v>566</v>
      </c>
      <c r="C3543" t="s">
        <v>53</v>
      </c>
      <c r="D3543" t="str">
        <f t="shared" si="55"/>
        <v>IEF3301</v>
      </c>
      <c r="E3543" t="s">
        <v>43</v>
      </c>
    </row>
    <row r="3544" spans="1:5" hidden="1" x14ac:dyDescent="0.25">
      <c r="A3544">
        <v>2101</v>
      </c>
      <c r="B3544" t="s">
        <v>566</v>
      </c>
      <c r="C3544" t="s">
        <v>1626</v>
      </c>
      <c r="D3544" t="str">
        <f t="shared" si="55"/>
        <v>IEF3302</v>
      </c>
      <c r="E3544" t="s">
        <v>43</v>
      </c>
    </row>
    <row r="3545" spans="1:5" hidden="1" x14ac:dyDescent="0.25">
      <c r="A3545">
        <v>2101</v>
      </c>
      <c r="B3545" t="s">
        <v>566</v>
      </c>
      <c r="C3545" t="s">
        <v>1627</v>
      </c>
      <c r="D3545" t="str">
        <f t="shared" si="55"/>
        <v>IEF3304</v>
      </c>
      <c r="E3545" t="s">
        <v>43</v>
      </c>
    </row>
    <row r="3546" spans="1:5" hidden="1" x14ac:dyDescent="0.25">
      <c r="A3546">
        <v>2101</v>
      </c>
      <c r="B3546" t="s">
        <v>566</v>
      </c>
      <c r="C3546" t="s">
        <v>227</v>
      </c>
      <c r="D3546" t="str">
        <f t="shared" si="55"/>
        <v>IEF3401</v>
      </c>
      <c r="E3546" t="s">
        <v>1739</v>
      </c>
    </row>
    <row r="3547" spans="1:5" hidden="1" x14ac:dyDescent="0.25">
      <c r="A3547">
        <v>2101</v>
      </c>
      <c r="B3547" t="s">
        <v>566</v>
      </c>
      <c r="C3547" t="s">
        <v>279</v>
      </c>
      <c r="D3547" t="str">
        <f t="shared" si="55"/>
        <v>IEF3403</v>
      </c>
      <c r="E3547" t="s">
        <v>1689</v>
      </c>
    </row>
    <row r="3548" spans="1:5" hidden="1" x14ac:dyDescent="0.25">
      <c r="A3548">
        <v>2101</v>
      </c>
      <c r="B3548" t="s">
        <v>566</v>
      </c>
      <c r="C3548" t="s">
        <v>295</v>
      </c>
      <c r="D3548" t="str">
        <f t="shared" si="55"/>
        <v>IEF3404</v>
      </c>
      <c r="E3548" t="s">
        <v>1689</v>
      </c>
    </row>
    <row r="3549" spans="1:5" hidden="1" x14ac:dyDescent="0.25">
      <c r="A3549">
        <v>2101</v>
      </c>
      <c r="B3549" t="s">
        <v>566</v>
      </c>
      <c r="C3549" t="s">
        <v>1740</v>
      </c>
      <c r="D3549" t="str">
        <f t="shared" si="55"/>
        <v>IEF3405</v>
      </c>
      <c r="E3549" t="s">
        <v>1596</v>
      </c>
    </row>
    <row r="3550" spans="1:5" hidden="1" x14ac:dyDescent="0.25">
      <c r="A3550">
        <v>2101</v>
      </c>
      <c r="B3550" t="s">
        <v>566</v>
      </c>
      <c r="C3550" t="s">
        <v>1705</v>
      </c>
      <c r="D3550" t="str">
        <f t="shared" si="55"/>
        <v>IEF3502</v>
      </c>
      <c r="E3550" t="s">
        <v>1706</v>
      </c>
    </row>
    <row r="3551" spans="1:5" hidden="1" x14ac:dyDescent="0.25">
      <c r="A3551">
        <v>2101</v>
      </c>
      <c r="B3551" t="s">
        <v>566</v>
      </c>
      <c r="C3551" t="s">
        <v>296</v>
      </c>
      <c r="D3551" t="str">
        <f t="shared" si="55"/>
        <v>IEF3604</v>
      </c>
      <c r="E3551" t="s">
        <v>43</v>
      </c>
    </row>
    <row r="3552" spans="1:5" hidden="1" x14ac:dyDescent="0.25">
      <c r="A3552">
        <v>2101</v>
      </c>
      <c r="B3552" t="s">
        <v>566</v>
      </c>
      <c r="C3552" t="s">
        <v>354</v>
      </c>
      <c r="D3552" t="str">
        <f t="shared" si="55"/>
        <v>IEF3610</v>
      </c>
      <c r="E3552" t="s">
        <v>1773</v>
      </c>
    </row>
    <row r="3553" spans="1:5" hidden="1" x14ac:dyDescent="0.25">
      <c r="A3553">
        <v>2101</v>
      </c>
      <c r="B3553" t="s">
        <v>566</v>
      </c>
      <c r="C3553" t="s">
        <v>1707</v>
      </c>
      <c r="D3553" t="str">
        <f t="shared" si="55"/>
        <v>IEF3611</v>
      </c>
      <c r="E3553" t="s">
        <v>1692</v>
      </c>
    </row>
    <row r="3554" spans="1:5" hidden="1" x14ac:dyDescent="0.25">
      <c r="A3554">
        <v>2101</v>
      </c>
      <c r="B3554" t="s">
        <v>566</v>
      </c>
      <c r="C3554" t="s">
        <v>1628</v>
      </c>
      <c r="D3554" t="str">
        <f t="shared" si="55"/>
        <v>IEF3612</v>
      </c>
      <c r="E3554" t="s">
        <v>1828</v>
      </c>
    </row>
    <row r="3555" spans="1:5" hidden="1" x14ac:dyDescent="0.25">
      <c r="A3555">
        <v>2101</v>
      </c>
      <c r="B3555" t="s">
        <v>566</v>
      </c>
      <c r="C3555" t="s">
        <v>388</v>
      </c>
      <c r="D3555" t="str">
        <f t="shared" si="55"/>
        <v>IEF3615</v>
      </c>
      <c r="E3555" t="s">
        <v>1646</v>
      </c>
    </row>
    <row r="3556" spans="1:5" hidden="1" x14ac:dyDescent="0.25">
      <c r="A3556">
        <v>2101</v>
      </c>
      <c r="B3556" t="s">
        <v>566</v>
      </c>
      <c r="C3556" t="s">
        <v>411</v>
      </c>
      <c r="D3556" t="str">
        <f t="shared" si="55"/>
        <v>IEF3619</v>
      </c>
      <c r="E3556" t="s">
        <v>1839</v>
      </c>
    </row>
    <row r="3557" spans="1:5" hidden="1" x14ac:dyDescent="0.25">
      <c r="A3557">
        <v>2101</v>
      </c>
      <c r="B3557" t="s">
        <v>566</v>
      </c>
      <c r="C3557" t="s">
        <v>467</v>
      </c>
      <c r="D3557" t="str">
        <f t="shared" si="55"/>
        <v>IEF3631</v>
      </c>
      <c r="E3557" t="s">
        <v>1808</v>
      </c>
    </row>
    <row r="3558" spans="1:5" hidden="1" x14ac:dyDescent="0.25">
      <c r="A3558">
        <v>2101</v>
      </c>
      <c r="B3558" t="s">
        <v>566</v>
      </c>
      <c r="C3558" t="s">
        <v>470</v>
      </c>
      <c r="D3558" t="str">
        <f t="shared" si="55"/>
        <v>IEF3699</v>
      </c>
      <c r="E3558" t="s">
        <v>1776</v>
      </c>
    </row>
    <row r="3559" spans="1:5" hidden="1" x14ac:dyDescent="0.25">
      <c r="A3559">
        <v>2101</v>
      </c>
      <c r="B3559" t="s">
        <v>566</v>
      </c>
      <c r="C3559" t="s">
        <v>1629</v>
      </c>
      <c r="D3559" t="str">
        <f t="shared" si="55"/>
        <v>IEF3701</v>
      </c>
      <c r="E3559" t="s">
        <v>1630</v>
      </c>
    </row>
    <row r="3560" spans="1:5" hidden="1" x14ac:dyDescent="0.25">
      <c r="A3560">
        <v>2101</v>
      </c>
      <c r="B3560" t="s">
        <v>566</v>
      </c>
      <c r="C3560" t="s">
        <v>1693</v>
      </c>
      <c r="D3560" t="str">
        <f t="shared" si="55"/>
        <v>IEF3702</v>
      </c>
      <c r="E3560" t="s">
        <v>1630</v>
      </c>
    </row>
    <row r="3561" spans="1:5" hidden="1" x14ac:dyDescent="0.25">
      <c r="A3561">
        <v>2101</v>
      </c>
      <c r="B3561" t="s">
        <v>566</v>
      </c>
      <c r="C3561" t="s">
        <v>1631</v>
      </c>
      <c r="D3561" t="str">
        <f t="shared" si="55"/>
        <v>IEF3703</v>
      </c>
      <c r="E3561" t="s">
        <v>116</v>
      </c>
    </row>
    <row r="3562" spans="1:5" hidden="1" x14ac:dyDescent="0.25">
      <c r="A3562">
        <v>2101</v>
      </c>
      <c r="B3562" t="s">
        <v>566</v>
      </c>
      <c r="C3562" t="s">
        <v>1632</v>
      </c>
      <c r="D3562" t="str">
        <f t="shared" si="55"/>
        <v>IEF3704</v>
      </c>
      <c r="E3562" t="s">
        <v>116</v>
      </c>
    </row>
    <row r="3563" spans="1:5" hidden="1" x14ac:dyDescent="0.25">
      <c r="A3563">
        <v>2101</v>
      </c>
      <c r="B3563" t="s">
        <v>566</v>
      </c>
      <c r="C3563" t="s">
        <v>1633</v>
      </c>
      <c r="D3563" t="str">
        <f t="shared" si="55"/>
        <v>IEF3705</v>
      </c>
      <c r="E3563" t="s">
        <v>116</v>
      </c>
    </row>
    <row r="3564" spans="1:5" hidden="1" x14ac:dyDescent="0.25">
      <c r="A3564">
        <v>2101</v>
      </c>
      <c r="B3564" t="s">
        <v>566</v>
      </c>
      <c r="C3564" t="s">
        <v>1634</v>
      </c>
      <c r="D3564" t="str">
        <f t="shared" si="55"/>
        <v>IEF3903</v>
      </c>
      <c r="E3564" t="s">
        <v>86</v>
      </c>
    </row>
    <row r="3565" spans="1:5" hidden="1" x14ac:dyDescent="0.25">
      <c r="A3565">
        <v>2101</v>
      </c>
      <c r="B3565" t="s">
        <v>566</v>
      </c>
      <c r="C3565" t="s">
        <v>298</v>
      </c>
      <c r="D3565" t="str">
        <f t="shared" si="55"/>
        <v>IEF3904</v>
      </c>
      <c r="E3565" t="s">
        <v>1831</v>
      </c>
    </row>
    <row r="3566" spans="1:5" hidden="1" x14ac:dyDescent="0.25">
      <c r="A3566">
        <v>2101</v>
      </c>
      <c r="B3566" t="s">
        <v>566</v>
      </c>
      <c r="C3566" t="s">
        <v>1635</v>
      </c>
      <c r="D3566" t="str">
        <f t="shared" si="55"/>
        <v>IEF3908</v>
      </c>
      <c r="E3566" t="s">
        <v>1832</v>
      </c>
    </row>
    <row r="3567" spans="1:5" hidden="1" x14ac:dyDescent="0.25">
      <c r="A3567">
        <v>2101</v>
      </c>
      <c r="B3567" t="s">
        <v>566</v>
      </c>
      <c r="C3567" t="s">
        <v>335</v>
      </c>
      <c r="D3567" t="str">
        <f t="shared" si="55"/>
        <v>IEF3909</v>
      </c>
      <c r="E3567" t="s">
        <v>1809</v>
      </c>
    </row>
    <row r="3568" spans="1:5" hidden="1" x14ac:dyDescent="0.25">
      <c r="A3568">
        <v>2101</v>
      </c>
      <c r="B3568" t="s">
        <v>566</v>
      </c>
      <c r="C3568" t="s">
        <v>345</v>
      </c>
      <c r="D3568" t="str">
        <f t="shared" si="55"/>
        <v>IEF3910</v>
      </c>
      <c r="E3568" t="s">
        <v>2109</v>
      </c>
    </row>
    <row r="3569" spans="1:5" hidden="1" x14ac:dyDescent="0.25">
      <c r="A3569">
        <v>2101</v>
      </c>
      <c r="B3569" t="s">
        <v>566</v>
      </c>
      <c r="C3569" t="s">
        <v>355</v>
      </c>
      <c r="D3569" t="str">
        <f t="shared" si="55"/>
        <v>IEF3911</v>
      </c>
      <c r="E3569" t="s">
        <v>1833</v>
      </c>
    </row>
    <row r="3570" spans="1:5" hidden="1" x14ac:dyDescent="0.25">
      <c r="A3570">
        <v>2101</v>
      </c>
      <c r="B3570" t="s">
        <v>566</v>
      </c>
      <c r="C3570" t="s">
        <v>1636</v>
      </c>
      <c r="D3570" t="str">
        <f t="shared" si="55"/>
        <v>IEF3912</v>
      </c>
      <c r="E3570" t="s">
        <v>1637</v>
      </c>
    </row>
    <row r="3571" spans="1:5" hidden="1" x14ac:dyDescent="0.25">
      <c r="A3571">
        <v>2101</v>
      </c>
      <c r="B3571" t="s">
        <v>566</v>
      </c>
      <c r="C3571" t="s">
        <v>1638</v>
      </c>
      <c r="D3571" t="str">
        <f t="shared" si="55"/>
        <v>IEF3913</v>
      </c>
      <c r="E3571" t="s">
        <v>1637</v>
      </c>
    </row>
    <row r="3572" spans="1:5" hidden="1" x14ac:dyDescent="0.25">
      <c r="A3572">
        <v>2101</v>
      </c>
      <c r="B3572" t="s">
        <v>566</v>
      </c>
      <c r="C3572" t="s">
        <v>383</v>
      </c>
      <c r="D3572" t="str">
        <f t="shared" si="55"/>
        <v>IEF3915</v>
      </c>
      <c r="E3572" t="s">
        <v>1637</v>
      </c>
    </row>
    <row r="3573" spans="1:5" hidden="1" x14ac:dyDescent="0.25">
      <c r="A3573">
        <v>2101</v>
      </c>
      <c r="B3573" t="s">
        <v>566</v>
      </c>
      <c r="C3573" t="s">
        <v>1639</v>
      </c>
      <c r="D3573" t="str">
        <f t="shared" si="55"/>
        <v>IEF3917</v>
      </c>
      <c r="E3573" t="s">
        <v>1615</v>
      </c>
    </row>
    <row r="3574" spans="1:5" hidden="1" x14ac:dyDescent="0.25">
      <c r="A3574">
        <v>2101</v>
      </c>
      <c r="B3574" t="s">
        <v>566</v>
      </c>
      <c r="C3574" t="s">
        <v>1640</v>
      </c>
      <c r="D3574" t="str">
        <f t="shared" si="55"/>
        <v>IEF3918</v>
      </c>
      <c r="E3574" t="s">
        <v>1615</v>
      </c>
    </row>
    <row r="3575" spans="1:5" hidden="1" x14ac:dyDescent="0.25">
      <c r="A3575">
        <v>2101</v>
      </c>
      <c r="B3575" t="s">
        <v>566</v>
      </c>
      <c r="C3575" t="s">
        <v>1641</v>
      </c>
      <c r="D3575" t="str">
        <f t="shared" si="55"/>
        <v>IEF3919</v>
      </c>
      <c r="E3575" t="s">
        <v>2102</v>
      </c>
    </row>
    <row r="3576" spans="1:5" hidden="1" x14ac:dyDescent="0.25">
      <c r="A3576">
        <v>2101</v>
      </c>
      <c r="B3576" t="s">
        <v>566</v>
      </c>
      <c r="C3576" t="s">
        <v>1694</v>
      </c>
      <c r="D3576" t="str">
        <f t="shared" si="55"/>
        <v>IEF3920</v>
      </c>
      <c r="E3576" t="s">
        <v>1692</v>
      </c>
    </row>
    <row r="3577" spans="1:5" hidden="1" x14ac:dyDescent="0.25">
      <c r="A3577">
        <v>2101</v>
      </c>
      <c r="B3577" t="s">
        <v>566</v>
      </c>
      <c r="C3577" t="s">
        <v>1642</v>
      </c>
      <c r="D3577" t="str">
        <f t="shared" si="55"/>
        <v>IEF3921</v>
      </c>
      <c r="E3577" t="s">
        <v>2102</v>
      </c>
    </row>
    <row r="3578" spans="1:5" hidden="1" x14ac:dyDescent="0.25">
      <c r="A3578">
        <v>2101</v>
      </c>
      <c r="B3578" t="s">
        <v>566</v>
      </c>
      <c r="C3578" t="s">
        <v>1643</v>
      </c>
      <c r="D3578" t="str">
        <f t="shared" si="55"/>
        <v>IEF3922</v>
      </c>
      <c r="E3578" t="s">
        <v>1611</v>
      </c>
    </row>
    <row r="3579" spans="1:5" hidden="1" x14ac:dyDescent="0.25">
      <c r="A3579">
        <v>2101</v>
      </c>
      <c r="B3579" t="s">
        <v>566</v>
      </c>
      <c r="C3579" t="s">
        <v>1644</v>
      </c>
      <c r="D3579" t="str">
        <f t="shared" si="55"/>
        <v>IEF3924</v>
      </c>
      <c r="E3579" t="s">
        <v>1645</v>
      </c>
    </row>
    <row r="3580" spans="1:5" hidden="1" x14ac:dyDescent="0.25">
      <c r="A3580">
        <v>2101</v>
      </c>
      <c r="B3580" t="s">
        <v>566</v>
      </c>
      <c r="C3580" t="s">
        <v>437</v>
      </c>
      <c r="D3580" t="str">
        <f t="shared" si="55"/>
        <v>IEF3925</v>
      </c>
      <c r="E3580" t="s">
        <v>1646</v>
      </c>
    </row>
    <row r="3581" spans="1:5" hidden="1" x14ac:dyDescent="0.25">
      <c r="A3581">
        <v>2101</v>
      </c>
      <c r="B3581" t="s">
        <v>566</v>
      </c>
      <c r="C3581" t="s">
        <v>442</v>
      </c>
      <c r="D3581" t="str">
        <f t="shared" si="55"/>
        <v>IEF3926</v>
      </c>
      <c r="E3581" t="s">
        <v>1646</v>
      </c>
    </row>
    <row r="3582" spans="1:5" hidden="1" x14ac:dyDescent="0.25">
      <c r="A3582">
        <v>2101</v>
      </c>
      <c r="B3582" t="s">
        <v>566</v>
      </c>
      <c r="C3582" t="s">
        <v>1647</v>
      </c>
      <c r="D3582" t="str">
        <f t="shared" si="55"/>
        <v>IEF3927</v>
      </c>
      <c r="E3582" t="s">
        <v>1648</v>
      </c>
    </row>
    <row r="3583" spans="1:5" hidden="1" x14ac:dyDescent="0.25">
      <c r="A3583">
        <v>2101</v>
      </c>
      <c r="B3583" t="s">
        <v>566</v>
      </c>
      <c r="C3583" t="s">
        <v>457</v>
      </c>
      <c r="D3583" t="str">
        <f t="shared" si="55"/>
        <v>IEF3930</v>
      </c>
      <c r="E3583" t="s">
        <v>1646</v>
      </c>
    </row>
    <row r="3584" spans="1:5" hidden="1" x14ac:dyDescent="0.25">
      <c r="A3584">
        <v>2101</v>
      </c>
      <c r="B3584" t="s">
        <v>566</v>
      </c>
      <c r="C3584" t="s">
        <v>1650</v>
      </c>
      <c r="D3584" t="str">
        <f t="shared" si="55"/>
        <v>IEF3931</v>
      </c>
      <c r="E3584" t="s">
        <v>1840</v>
      </c>
    </row>
    <row r="3585" spans="1:5" hidden="1" x14ac:dyDescent="0.25">
      <c r="A3585">
        <v>2101</v>
      </c>
      <c r="B3585" t="s">
        <v>566</v>
      </c>
      <c r="C3585" t="s">
        <v>468</v>
      </c>
      <c r="D3585" t="str">
        <f t="shared" si="55"/>
        <v>IEF3934</v>
      </c>
      <c r="E3585" t="s">
        <v>1621</v>
      </c>
    </row>
    <row r="3586" spans="1:5" hidden="1" x14ac:dyDescent="0.25">
      <c r="A3586">
        <v>2101</v>
      </c>
      <c r="B3586" t="s">
        <v>566</v>
      </c>
      <c r="C3586" t="s">
        <v>1651</v>
      </c>
      <c r="D3586" t="str">
        <f t="shared" si="55"/>
        <v>IEF3935</v>
      </c>
      <c r="E3586" t="s">
        <v>1621</v>
      </c>
    </row>
    <row r="3587" spans="1:5" hidden="1" x14ac:dyDescent="0.25">
      <c r="A3587">
        <v>2101</v>
      </c>
      <c r="B3587" t="s">
        <v>566</v>
      </c>
      <c r="C3587" t="s">
        <v>1695</v>
      </c>
      <c r="D3587" t="str">
        <f t="shared" si="55"/>
        <v>IEF3937</v>
      </c>
      <c r="E3587" t="s">
        <v>1692</v>
      </c>
    </row>
    <row r="3588" spans="1:5" hidden="1" x14ac:dyDescent="0.25">
      <c r="A3588">
        <v>2101</v>
      </c>
      <c r="B3588" t="s">
        <v>566</v>
      </c>
      <c r="C3588" t="s">
        <v>1714</v>
      </c>
      <c r="D3588" t="str">
        <f t="shared" si="55"/>
        <v>IEF3939</v>
      </c>
      <c r="E3588" t="s">
        <v>1781</v>
      </c>
    </row>
    <row r="3589" spans="1:5" hidden="1" x14ac:dyDescent="0.25">
      <c r="A3589">
        <v>2101</v>
      </c>
      <c r="B3589" t="s">
        <v>566</v>
      </c>
      <c r="C3589" t="s">
        <v>1653</v>
      </c>
      <c r="D3589" t="str">
        <f t="shared" ref="D3589:D3652" si="56">CONCATENATE(B3589,LEFT(C3589,4))</f>
        <v>IEF3940</v>
      </c>
      <c r="E3589" t="s">
        <v>1648</v>
      </c>
    </row>
    <row r="3590" spans="1:5" hidden="1" x14ac:dyDescent="0.25">
      <c r="A3590">
        <v>2101</v>
      </c>
      <c r="B3590" t="s">
        <v>566</v>
      </c>
      <c r="C3590" t="s">
        <v>479</v>
      </c>
      <c r="D3590" t="str">
        <f t="shared" si="56"/>
        <v>IEF3941</v>
      </c>
      <c r="E3590" t="s">
        <v>1782</v>
      </c>
    </row>
    <row r="3591" spans="1:5" hidden="1" x14ac:dyDescent="0.25">
      <c r="A3591">
        <v>2101</v>
      </c>
      <c r="B3591" t="s">
        <v>566</v>
      </c>
      <c r="C3591" t="s">
        <v>1654</v>
      </c>
      <c r="D3591" t="str">
        <f t="shared" si="56"/>
        <v>IEF3943</v>
      </c>
      <c r="E3591" t="s">
        <v>1615</v>
      </c>
    </row>
    <row r="3592" spans="1:5" hidden="1" x14ac:dyDescent="0.25">
      <c r="A3592">
        <v>2101</v>
      </c>
      <c r="B3592" t="s">
        <v>566</v>
      </c>
      <c r="C3592" t="s">
        <v>487</v>
      </c>
      <c r="D3592" t="str">
        <f t="shared" si="56"/>
        <v>IEF3946</v>
      </c>
      <c r="E3592" t="s">
        <v>1744</v>
      </c>
    </row>
    <row r="3593" spans="1:5" hidden="1" x14ac:dyDescent="0.25">
      <c r="A3593">
        <v>2101</v>
      </c>
      <c r="B3593" t="s">
        <v>566</v>
      </c>
      <c r="C3593" t="s">
        <v>491</v>
      </c>
      <c r="D3593" t="str">
        <f t="shared" si="56"/>
        <v>IEF3948</v>
      </c>
      <c r="E3593" t="s">
        <v>1645</v>
      </c>
    </row>
    <row r="3594" spans="1:5" hidden="1" x14ac:dyDescent="0.25">
      <c r="A3594">
        <v>2101</v>
      </c>
      <c r="B3594" t="s">
        <v>566</v>
      </c>
      <c r="C3594" t="s">
        <v>1701</v>
      </c>
      <c r="D3594" t="str">
        <f t="shared" si="56"/>
        <v>IEF3952</v>
      </c>
      <c r="E3594" t="s">
        <v>64</v>
      </c>
    </row>
    <row r="3595" spans="1:5" hidden="1" x14ac:dyDescent="0.25">
      <c r="A3595">
        <v>2101</v>
      </c>
      <c r="B3595" t="s">
        <v>566</v>
      </c>
      <c r="C3595" t="s">
        <v>495</v>
      </c>
      <c r="D3595" t="str">
        <f t="shared" si="56"/>
        <v>IEF3953</v>
      </c>
      <c r="E3595" t="s">
        <v>1645</v>
      </c>
    </row>
    <row r="3596" spans="1:5" hidden="1" x14ac:dyDescent="0.25">
      <c r="A3596">
        <v>2101</v>
      </c>
      <c r="B3596" t="s">
        <v>566</v>
      </c>
      <c r="C3596" t="s">
        <v>1657</v>
      </c>
      <c r="D3596" t="str">
        <f t="shared" si="56"/>
        <v>IEF3961</v>
      </c>
      <c r="E3596" t="s">
        <v>1630</v>
      </c>
    </row>
    <row r="3597" spans="1:5" hidden="1" x14ac:dyDescent="0.25">
      <c r="A3597">
        <v>2101</v>
      </c>
      <c r="B3597" t="s">
        <v>566</v>
      </c>
      <c r="C3597" t="s">
        <v>1696</v>
      </c>
      <c r="D3597" t="str">
        <f t="shared" si="56"/>
        <v>IEF3962</v>
      </c>
      <c r="E3597" t="s">
        <v>2103</v>
      </c>
    </row>
    <row r="3598" spans="1:5" hidden="1" x14ac:dyDescent="0.25">
      <c r="A3598">
        <v>2101</v>
      </c>
      <c r="B3598" t="s">
        <v>566</v>
      </c>
      <c r="C3598" t="s">
        <v>1718</v>
      </c>
      <c r="D3598" t="str">
        <f t="shared" si="56"/>
        <v>IEF3964</v>
      </c>
      <c r="E3598" t="s">
        <v>1841</v>
      </c>
    </row>
    <row r="3599" spans="1:5" hidden="1" x14ac:dyDescent="0.25">
      <c r="A3599">
        <v>2101</v>
      </c>
      <c r="B3599" t="s">
        <v>566</v>
      </c>
      <c r="C3599" t="s">
        <v>1660</v>
      </c>
      <c r="D3599" t="str">
        <f t="shared" si="56"/>
        <v>IEF3970</v>
      </c>
      <c r="E3599" t="s">
        <v>1648</v>
      </c>
    </row>
    <row r="3600" spans="1:5" hidden="1" x14ac:dyDescent="0.25">
      <c r="A3600">
        <v>2101</v>
      </c>
      <c r="B3600" t="s">
        <v>566</v>
      </c>
      <c r="C3600" t="s">
        <v>519</v>
      </c>
      <c r="D3600" t="str">
        <f t="shared" si="56"/>
        <v>IEF3978</v>
      </c>
      <c r="E3600" t="s">
        <v>1630</v>
      </c>
    </row>
    <row r="3601" spans="1:5" hidden="1" x14ac:dyDescent="0.25">
      <c r="A3601">
        <v>2101</v>
      </c>
      <c r="B3601" t="s">
        <v>566</v>
      </c>
      <c r="C3601" t="s">
        <v>1726</v>
      </c>
      <c r="D3601" t="str">
        <f t="shared" si="56"/>
        <v>IEF3980</v>
      </c>
      <c r="E3601" t="s">
        <v>1689</v>
      </c>
    </row>
    <row r="3602" spans="1:5" hidden="1" x14ac:dyDescent="0.25">
      <c r="A3602">
        <v>2101</v>
      </c>
      <c r="B3602" t="s">
        <v>566</v>
      </c>
      <c r="C3602" t="s">
        <v>1661</v>
      </c>
      <c r="D3602" t="str">
        <f t="shared" si="56"/>
        <v>IEF3987</v>
      </c>
      <c r="E3602" t="s">
        <v>1615</v>
      </c>
    </row>
    <row r="3603" spans="1:5" hidden="1" x14ac:dyDescent="0.25">
      <c r="A3603">
        <v>2101</v>
      </c>
      <c r="B3603" t="s">
        <v>566</v>
      </c>
      <c r="C3603" t="s">
        <v>527</v>
      </c>
      <c r="D3603" t="str">
        <f t="shared" si="56"/>
        <v>IEF3988</v>
      </c>
      <c r="E3603" t="s">
        <v>1787</v>
      </c>
    </row>
    <row r="3604" spans="1:5" hidden="1" x14ac:dyDescent="0.25">
      <c r="A3604">
        <v>2101</v>
      </c>
      <c r="B3604" t="s">
        <v>566</v>
      </c>
      <c r="C3604" t="s">
        <v>1764</v>
      </c>
      <c r="D3604" t="str">
        <f t="shared" si="56"/>
        <v>IEF3993</v>
      </c>
      <c r="E3604" t="s">
        <v>1842</v>
      </c>
    </row>
    <row r="3605" spans="1:5" hidden="1" x14ac:dyDescent="0.25">
      <c r="A3605">
        <v>2101</v>
      </c>
      <c r="B3605" t="s">
        <v>566</v>
      </c>
      <c r="C3605" t="s">
        <v>1662</v>
      </c>
      <c r="D3605" t="str">
        <f t="shared" si="56"/>
        <v>IEF3994</v>
      </c>
      <c r="E3605" t="s">
        <v>1621</v>
      </c>
    </row>
    <row r="3606" spans="1:5" hidden="1" x14ac:dyDescent="0.25">
      <c r="A3606">
        <v>2101</v>
      </c>
      <c r="B3606" t="s">
        <v>566</v>
      </c>
      <c r="C3606" t="s">
        <v>1663</v>
      </c>
      <c r="D3606" t="str">
        <f t="shared" si="56"/>
        <v>IEF3999</v>
      </c>
      <c r="E3606" t="s">
        <v>1789</v>
      </c>
    </row>
    <row r="3607" spans="1:5" hidden="1" x14ac:dyDescent="0.25">
      <c r="A3607">
        <v>2101</v>
      </c>
      <c r="B3607" t="s">
        <v>566</v>
      </c>
      <c r="C3607" t="s">
        <v>1664</v>
      </c>
      <c r="D3607" t="str">
        <f t="shared" si="56"/>
        <v>IEF4002</v>
      </c>
      <c r="E3607" t="s">
        <v>1648</v>
      </c>
    </row>
    <row r="3608" spans="1:5" hidden="1" x14ac:dyDescent="0.25">
      <c r="A3608">
        <v>2101</v>
      </c>
      <c r="B3608" t="s">
        <v>566</v>
      </c>
      <c r="C3608" t="s">
        <v>1665</v>
      </c>
      <c r="D3608" t="str">
        <f t="shared" si="56"/>
        <v>IEF4003</v>
      </c>
      <c r="E3608" t="s">
        <v>93</v>
      </c>
    </row>
    <row r="3609" spans="1:5" hidden="1" x14ac:dyDescent="0.25">
      <c r="A3609">
        <v>2101</v>
      </c>
      <c r="B3609" t="s">
        <v>566</v>
      </c>
      <c r="C3609" t="s">
        <v>1666</v>
      </c>
      <c r="D3609" t="str">
        <f t="shared" si="56"/>
        <v>IEF4004</v>
      </c>
      <c r="E3609" t="s">
        <v>1648</v>
      </c>
    </row>
    <row r="3610" spans="1:5" hidden="1" x14ac:dyDescent="0.25">
      <c r="A3610">
        <v>2101</v>
      </c>
      <c r="B3610" t="s">
        <v>566</v>
      </c>
      <c r="C3610" t="s">
        <v>1667</v>
      </c>
      <c r="D3610" t="str">
        <f t="shared" si="56"/>
        <v>IEF4005</v>
      </c>
      <c r="E3610" t="s">
        <v>1648</v>
      </c>
    </row>
    <row r="3611" spans="1:5" hidden="1" x14ac:dyDescent="0.25">
      <c r="A3611">
        <v>2101</v>
      </c>
      <c r="B3611" t="s">
        <v>566</v>
      </c>
      <c r="C3611" t="s">
        <v>1699</v>
      </c>
      <c r="D3611" t="str">
        <f t="shared" si="56"/>
        <v>IEF4007</v>
      </c>
      <c r="E3611" t="s">
        <v>93</v>
      </c>
    </row>
    <row r="3612" spans="1:5" hidden="1" x14ac:dyDescent="0.25">
      <c r="A3612">
        <v>2101</v>
      </c>
      <c r="B3612" t="s">
        <v>566</v>
      </c>
      <c r="C3612" t="s">
        <v>1668</v>
      </c>
      <c r="D3612" t="str">
        <f t="shared" si="56"/>
        <v>IEF4701</v>
      </c>
      <c r="E3612" t="s">
        <v>1669</v>
      </c>
    </row>
    <row r="3613" spans="1:5" hidden="1" x14ac:dyDescent="0.25">
      <c r="A3613">
        <v>2101</v>
      </c>
      <c r="B3613" t="s">
        <v>566</v>
      </c>
      <c r="C3613" t="s">
        <v>264</v>
      </c>
      <c r="D3613" t="str">
        <f t="shared" si="56"/>
        <v>IEF4703</v>
      </c>
      <c r="E3613" t="s">
        <v>1669</v>
      </c>
    </row>
    <row r="3614" spans="1:5" hidden="1" x14ac:dyDescent="0.25">
      <c r="A3614">
        <v>2101</v>
      </c>
      <c r="B3614" t="s">
        <v>566</v>
      </c>
      <c r="C3614" t="s">
        <v>315</v>
      </c>
      <c r="D3614" t="str">
        <f t="shared" si="56"/>
        <v>IEF4706</v>
      </c>
      <c r="E3614" t="s">
        <v>1669</v>
      </c>
    </row>
    <row r="3615" spans="1:5" hidden="1" x14ac:dyDescent="0.25">
      <c r="A3615">
        <v>2101</v>
      </c>
      <c r="B3615" t="s">
        <v>566</v>
      </c>
      <c r="C3615" t="s">
        <v>327</v>
      </c>
      <c r="D3615" t="str">
        <f t="shared" si="56"/>
        <v>IEF4707</v>
      </c>
      <c r="E3615" t="s">
        <v>1669</v>
      </c>
    </row>
    <row r="3616" spans="1:5" hidden="1" x14ac:dyDescent="0.25">
      <c r="A3616">
        <v>2101</v>
      </c>
      <c r="B3616" t="s">
        <v>566</v>
      </c>
      <c r="C3616" t="s">
        <v>363</v>
      </c>
      <c r="D3616" t="str">
        <f t="shared" si="56"/>
        <v>IEF4799</v>
      </c>
      <c r="E3616" t="s">
        <v>1669</v>
      </c>
    </row>
    <row r="3617" spans="1:5" hidden="1" x14ac:dyDescent="0.25">
      <c r="A3617">
        <v>2101</v>
      </c>
      <c r="B3617" t="s">
        <v>566</v>
      </c>
      <c r="C3617" t="s">
        <v>1670</v>
      </c>
      <c r="D3617" t="str">
        <f t="shared" si="56"/>
        <v>IEF5101</v>
      </c>
      <c r="E3617" t="s">
        <v>1671</v>
      </c>
    </row>
    <row r="3618" spans="1:5" hidden="1" x14ac:dyDescent="0.25">
      <c r="A3618">
        <v>2101</v>
      </c>
      <c r="B3618" t="s">
        <v>566</v>
      </c>
      <c r="C3618" t="s">
        <v>1798</v>
      </c>
      <c r="D3618" t="str">
        <f t="shared" si="56"/>
        <v>IEF5102</v>
      </c>
      <c r="E3618" t="s">
        <v>1808</v>
      </c>
    </row>
    <row r="3619" spans="1:5" hidden="1" x14ac:dyDescent="0.25">
      <c r="A3619">
        <v>2101</v>
      </c>
      <c r="B3619" t="s">
        <v>566</v>
      </c>
      <c r="C3619" t="s">
        <v>1672</v>
      </c>
      <c r="D3619" t="str">
        <f t="shared" si="56"/>
        <v>IEF5103</v>
      </c>
      <c r="E3619" t="s">
        <v>1671</v>
      </c>
    </row>
    <row r="3620" spans="1:5" hidden="1" x14ac:dyDescent="0.25">
      <c r="A3620">
        <v>2101</v>
      </c>
      <c r="B3620" t="s">
        <v>566</v>
      </c>
      <c r="C3620" t="s">
        <v>241</v>
      </c>
      <c r="D3620" t="str">
        <f t="shared" si="56"/>
        <v>IEF5201</v>
      </c>
      <c r="E3620" t="s">
        <v>1621</v>
      </c>
    </row>
    <row r="3621" spans="1:5" hidden="1" x14ac:dyDescent="0.25">
      <c r="A3621">
        <v>2101</v>
      </c>
      <c r="B3621" t="s">
        <v>566</v>
      </c>
      <c r="C3621" t="s">
        <v>287</v>
      </c>
      <c r="D3621" t="str">
        <f t="shared" si="56"/>
        <v>IEF5203</v>
      </c>
      <c r="E3621" t="s">
        <v>1674</v>
      </c>
    </row>
    <row r="3622" spans="1:5" hidden="1" x14ac:dyDescent="0.25">
      <c r="A3622">
        <v>2101</v>
      </c>
      <c r="B3622" t="s">
        <v>566</v>
      </c>
      <c r="C3622" t="s">
        <v>1673</v>
      </c>
      <c r="D3622" t="str">
        <f t="shared" si="56"/>
        <v>IEF5204</v>
      </c>
      <c r="E3622" t="s">
        <v>1674</v>
      </c>
    </row>
    <row r="3623" spans="1:5" hidden="1" x14ac:dyDescent="0.25">
      <c r="A3623">
        <v>2101</v>
      </c>
      <c r="B3623" t="s">
        <v>566</v>
      </c>
      <c r="C3623" t="s">
        <v>317</v>
      </c>
      <c r="D3623" t="str">
        <f t="shared" si="56"/>
        <v>IEF5205</v>
      </c>
      <c r="E3623" t="s">
        <v>1674</v>
      </c>
    </row>
    <row r="3624" spans="1:5" hidden="1" x14ac:dyDescent="0.25">
      <c r="A3624">
        <v>2101</v>
      </c>
      <c r="B3624" t="s">
        <v>566</v>
      </c>
      <c r="C3624" t="s">
        <v>328</v>
      </c>
      <c r="D3624" t="str">
        <f t="shared" si="56"/>
        <v>IEF5206</v>
      </c>
      <c r="E3624" t="s">
        <v>1675</v>
      </c>
    </row>
    <row r="3625" spans="1:5" hidden="1" x14ac:dyDescent="0.25">
      <c r="A3625">
        <v>2101</v>
      </c>
      <c r="B3625" t="s">
        <v>566</v>
      </c>
      <c r="C3625" t="s">
        <v>1676</v>
      </c>
      <c r="D3625" t="str">
        <f t="shared" si="56"/>
        <v>IEF5207</v>
      </c>
      <c r="E3625" t="s">
        <v>1675</v>
      </c>
    </row>
    <row r="3626" spans="1:5" hidden="1" x14ac:dyDescent="0.25">
      <c r="A3626">
        <v>2101</v>
      </c>
      <c r="B3626" t="s">
        <v>566</v>
      </c>
      <c r="C3626" t="s">
        <v>1677</v>
      </c>
      <c r="D3626" t="str">
        <f t="shared" si="56"/>
        <v>IEF5208</v>
      </c>
      <c r="E3626" t="s">
        <v>1675</v>
      </c>
    </row>
    <row r="3627" spans="1:5" hidden="1" x14ac:dyDescent="0.25">
      <c r="A3627">
        <v>2101</v>
      </c>
      <c r="B3627" t="s">
        <v>566</v>
      </c>
      <c r="C3627" t="s">
        <v>358</v>
      </c>
      <c r="D3627" t="str">
        <f t="shared" si="56"/>
        <v>IEF5209</v>
      </c>
      <c r="E3627" t="s">
        <v>1674</v>
      </c>
    </row>
    <row r="3628" spans="1:5" hidden="1" x14ac:dyDescent="0.25">
      <c r="A3628">
        <v>2101</v>
      </c>
      <c r="B3628" t="s">
        <v>566</v>
      </c>
      <c r="C3628" t="s">
        <v>1678</v>
      </c>
      <c r="D3628" t="str">
        <f t="shared" si="56"/>
        <v>IEF5210</v>
      </c>
      <c r="E3628" t="s">
        <v>1674</v>
      </c>
    </row>
    <row r="3629" spans="1:5" hidden="1" x14ac:dyDescent="0.25">
      <c r="A3629">
        <v>2101</v>
      </c>
      <c r="B3629" t="s">
        <v>566</v>
      </c>
      <c r="C3629" t="s">
        <v>1713</v>
      </c>
      <c r="D3629" t="str">
        <f t="shared" si="56"/>
        <v>IEF5211</v>
      </c>
      <c r="E3629" t="s">
        <v>1606</v>
      </c>
    </row>
    <row r="3630" spans="1:5" hidden="1" x14ac:dyDescent="0.25">
      <c r="A3630">
        <v>2101</v>
      </c>
      <c r="B3630" t="s">
        <v>566</v>
      </c>
      <c r="C3630" t="s">
        <v>1679</v>
      </c>
      <c r="D3630" t="str">
        <f t="shared" si="56"/>
        <v>IEF5212</v>
      </c>
      <c r="E3630" t="s">
        <v>1674</v>
      </c>
    </row>
    <row r="3631" spans="1:5" hidden="1" x14ac:dyDescent="0.25">
      <c r="A3631">
        <v>2101</v>
      </c>
      <c r="B3631" t="s">
        <v>566</v>
      </c>
      <c r="C3631" t="s">
        <v>390</v>
      </c>
      <c r="D3631" t="str">
        <f t="shared" si="56"/>
        <v>IEF5214</v>
      </c>
      <c r="E3631" t="s">
        <v>1674</v>
      </c>
    </row>
    <row r="3632" spans="1:5" hidden="1" x14ac:dyDescent="0.25">
      <c r="A3632">
        <v>2101</v>
      </c>
      <c r="B3632" t="s">
        <v>566</v>
      </c>
      <c r="C3632" t="s">
        <v>402</v>
      </c>
      <c r="D3632" t="str">
        <f t="shared" si="56"/>
        <v>IEF5216</v>
      </c>
      <c r="E3632" t="s">
        <v>1680</v>
      </c>
    </row>
    <row r="3633" spans="1:5" hidden="1" x14ac:dyDescent="0.25">
      <c r="A3633">
        <v>2101</v>
      </c>
      <c r="B3633" t="s">
        <v>566</v>
      </c>
      <c r="C3633" t="s">
        <v>408</v>
      </c>
      <c r="D3633" t="str">
        <f t="shared" si="56"/>
        <v>IEF5217</v>
      </c>
      <c r="E3633" t="s">
        <v>1674</v>
      </c>
    </row>
    <row r="3634" spans="1:5" hidden="1" x14ac:dyDescent="0.25">
      <c r="A3634">
        <v>2101</v>
      </c>
      <c r="B3634" t="s">
        <v>566</v>
      </c>
      <c r="C3634" t="s">
        <v>1681</v>
      </c>
      <c r="D3634" t="str">
        <f t="shared" si="56"/>
        <v>IEF5220</v>
      </c>
      <c r="E3634" t="s">
        <v>1675</v>
      </c>
    </row>
    <row r="3635" spans="1:5" hidden="1" x14ac:dyDescent="0.25">
      <c r="A3635">
        <v>2101</v>
      </c>
      <c r="B3635" t="s">
        <v>566</v>
      </c>
      <c r="C3635" t="s">
        <v>448</v>
      </c>
      <c r="D3635" t="str">
        <f t="shared" si="56"/>
        <v>IEF5225</v>
      </c>
      <c r="E3635" t="s">
        <v>1674</v>
      </c>
    </row>
    <row r="3636" spans="1:5" hidden="1" x14ac:dyDescent="0.25">
      <c r="A3636">
        <v>2101</v>
      </c>
      <c r="B3636" t="s">
        <v>566</v>
      </c>
      <c r="C3636" t="s">
        <v>1682</v>
      </c>
      <c r="D3636" t="str">
        <f t="shared" si="56"/>
        <v>IEF5226</v>
      </c>
      <c r="E3636" t="s">
        <v>1674</v>
      </c>
    </row>
    <row r="3637" spans="1:5" hidden="1" x14ac:dyDescent="0.25">
      <c r="A3637">
        <v>2101</v>
      </c>
      <c r="B3637" t="s">
        <v>566</v>
      </c>
      <c r="C3637" t="s">
        <v>458</v>
      </c>
      <c r="D3637" t="str">
        <f t="shared" si="56"/>
        <v>IEF5299</v>
      </c>
      <c r="E3637" t="s">
        <v>1674</v>
      </c>
    </row>
    <row r="3638" spans="1:5" hidden="1" x14ac:dyDescent="0.25">
      <c r="A3638">
        <v>2101</v>
      </c>
      <c r="B3638" t="s">
        <v>566</v>
      </c>
      <c r="C3638" t="s">
        <v>242</v>
      </c>
      <c r="D3638" t="str">
        <f t="shared" si="56"/>
        <v>IEF6101</v>
      </c>
      <c r="E3638" t="s">
        <v>1754</v>
      </c>
    </row>
    <row r="3639" spans="1:5" hidden="1" x14ac:dyDescent="0.25">
      <c r="A3639">
        <v>2101</v>
      </c>
      <c r="B3639" t="s">
        <v>566</v>
      </c>
      <c r="C3639" t="s">
        <v>1723</v>
      </c>
      <c r="D3639" t="str">
        <f t="shared" si="56"/>
        <v>IEF9108</v>
      </c>
      <c r="E3639" t="s">
        <v>1724</v>
      </c>
    </row>
    <row r="3640" spans="1:5" hidden="1" x14ac:dyDescent="0.25">
      <c r="A3640">
        <v>2101</v>
      </c>
      <c r="B3640" t="s">
        <v>566</v>
      </c>
      <c r="C3640" t="s">
        <v>1684</v>
      </c>
      <c r="D3640" t="str">
        <f t="shared" si="56"/>
        <v>IEF9202</v>
      </c>
      <c r="E3640" t="s">
        <v>1685</v>
      </c>
    </row>
    <row r="3641" spans="1:5" hidden="1" x14ac:dyDescent="0.25">
      <c r="A3641">
        <v>2101</v>
      </c>
      <c r="B3641" t="s">
        <v>566</v>
      </c>
      <c r="C3641" t="s">
        <v>249</v>
      </c>
      <c r="D3641" t="str">
        <f t="shared" si="56"/>
        <v>IEF9301</v>
      </c>
      <c r="E3641" t="s">
        <v>1736</v>
      </c>
    </row>
    <row r="3642" spans="1:5" hidden="1" x14ac:dyDescent="0.25">
      <c r="A3642">
        <v>2101</v>
      </c>
      <c r="B3642" t="s">
        <v>566</v>
      </c>
      <c r="C3642" t="s">
        <v>330</v>
      </c>
      <c r="D3642" t="str">
        <f t="shared" si="56"/>
        <v>IEF9306</v>
      </c>
      <c r="E3642" t="s">
        <v>1686</v>
      </c>
    </row>
    <row r="3643" spans="1:5" hidden="1" x14ac:dyDescent="0.25">
      <c r="A3643">
        <v>2101</v>
      </c>
      <c r="B3643" t="s">
        <v>566</v>
      </c>
      <c r="C3643" t="s">
        <v>379</v>
      </c>
      <c r="D3643" t="str">
        <f t="shared" si="56"/>
        <v>IEF9312</v>
      </c>
      <c r="E3643" t="s">
        <v>1790</v>
      </c>
    </row>
    <row r="3644" spans="1:5" hidden="1" x14ac:dyDescent="0.25">
      <c r="A3644">
        <v>2101</v>
      </c>
      <c r="B3644" t="s">
        <v>566</v>
      </c>
      <c r="C3644" t="s">
        <v>1687</v>
      </c>
      <c r="D3644" t="str">
        <f t="shared" si="56"/>
        <v>IEF9399</v>
      </c>
      <c r="E3644" t="s">
        <v>1791</v>
      </c>
    </row>
    <row r="3645" spans="1:5" hidden="1" x14ac:dyDescent="0.25">
      <c r="A3645">
        <v>2121</v>
      </c>
      <c r="B3645" t="s">
        <v>571</v>
      </c>
      <c r="C3645" t="s">
        <v>1843</v>
      </c>
      <c r="D3645" t="str">
        <f t="shared" si="56"/>
        <v>IPSM0501</v>
      </c>
      <c r="E3645" t="s">
        <v>1596</v>
      </c>
    </row>
    <row r="3646" spans="1:5" hidden="1" x14ac:dyDescent="0.25">
      <c r="A3646">
        <v>2121</v>
      </c>
      <c r="B3646" t="s">
        <v>571</v>
      </c>
      <c r="C3646" t="s">
        <v>1844</v>
      </c>
      <c r="D3646" t="str">
        <f t="shared" si="56"/>
        <v>IPSM0505</v>
      </c>
      <c r="E3646" t="s">
        <v>1596</v>
      </c>
    </row>
    <row r="3647" spans="1:5" hidden="1" x14ac:dyDescent="0.25">
      <c r="A3647">
        <v>2121</v>
      </c>
      <c r="B3647" t="s">
        <v>571</v>
      </c>
      <c r="C3647" t="s">
        <v>1816</v>
      </c>
      <c r="D3647" t="str">
        <f t="shared" si="56"/>
        <v>IPSM0802</v>
      </c>
      <c r="E3647" t="s">
        <v>1596</v>
      </c>
    </row>
    <row r="3648" spans="1:5" hidden="1" x14ac:dyDescent="0.25">
      <c r="A3648">
        <v>2121</v>
      </c>
      <c r="B3648" t="s">
        <v>571</v>
      </c>
      <c r="C3648" t="s">
        <v>1795</v>
      </c>
      <c r="D3648" t="str">
        <f t="shared" si="56"/>
        <v>IPSM0805</v>
      </c>
      <c r="E3648" t="s">
        <v>1596</v>
      </c>
    </row>
    <row r="3649" spans="1:5" hidden="1" x14ac:dyDescent="0.25">
      <c r="A3649">
        <v>2121</v>
      </c>
      <c r="B3649" t="s">
        <v>571</v>
      </c>
      <c r="C3649" t="s">
        <v>1845</v>
      </c>
      <c r="D3649" t="str">
        <f t="shared" si="56"/>
        <v>IPSM0809</v>
      </c>
      <c r="E3649" t="s">
        <v>1596</v>
      </c>
    </row>
    <row r="3650" spans="1:5" hidden="1" x14ac:dyDescent="0.25">
      <c r="A3650">
        <v>2121</v>
      </c>
      <c r="B3650" t="s">
        <v>571</v>
      </c>
      <c r="C3650" t="s">
        <v>1595</v>
      </c>
      <c r="D3650" t="str">
        <f t="shared" si="56"/>
        <v>IPSM0810</v>
      </c>
      <c r="E3650" t="s">
        <v>1596</v>
      </c>
    </row>
    <row r="3651" spans="1:5" hidden="1" x14ac:dyDescent="0.25">
      <c r="A3651">
        <v>2121</v>
      </c>
      <c r="B3651" t="s">
        <v>571</v>
      </c>
      <c r="C3651" t="s">
        <v>1846</v>
      </c>
      <c r="D3651" t="str">
        <f t="shared" si="56"/>
        <v>IPSM0811</v>
      </c>
      <c r="E3651" t="s">
        <v>1596</v>
      </c>
    </row>
    <row r="3652" spans="1:5" hidden="1" x14ac:dyDescent="0.25">
      <c r="A3652">
        <v>2121</v>
      </c>
      <c r="B3652" t="s">
        <v>571</v>
      </c>
      <c r="C3652" t="s">
        <v>1597</v>
      </c>
      <c r="D3652" t="str">
        <f t="shared" si="56"/>
        <v>IPSM1401</v>
      </c>
      <c r="E3652" t="s">
        <v>43</v>
      </c>
    </row>
    <row r="3653" spans="1:5" hidden="1" x14ac:dyDescent="0.25">
      <c r="A3653">
        <v>2121</v>
      </c>
      <c r="B3653" t="s">
        <v>571</v>
      </c>
      <c r="C3653" t="s">
        <v>1599</v>
      </c>
      <c r="D3653" t="str">
        <f t="shared" ref="D3653:D3716" si="57">CONCATENATE(B3653,LEFT(C3653,4))</f>
        <v>IPSM3001</v>
      </c>
      <c r="E3653" t="s">
        <v>1600</v>
      </c>
    </row>
    <row r="3654" spans="1:5" hidden="1" x14ac:dyDescent="0.25">
      <c r="A3654">
        <v>2121</v>
      </c>
      <c r="B3654" t="s">
        <v>571</v>
      </c>
      <c r="C3654" t="s">
        <v>1601</v>
      </c>
      <c r="D3654" t="str">
        <f t="shared" si="57"/>
        <v>IPSM3003</v>
      </c>
      <c r="E3654" t="s">
        <v>1600</v>
      </c>
    </row>
    <row r="3655" spans="1:5" hidden="1" x14ac:dyDescent="0.25">
      <c r="A3655">
        <v>2121</v>
      </c>
      <c r="B3655" t="s">
        <v>571</v>
      </c>
      <c r="C3655" t="s">
        <v>1602</v>
      </c>
      <c r="D3655" t="str">
        <f t="shared" si="57"/>
        <v>IPSM3004</v>
      </c>
      <c r="E3655" t="s">
        <v>1600</v>
      </c>
    </row>
    <row r="3656" spans="1:5" hidden="1" x14ac:dyDescent="0.25">
      <c r="A3656">
        <v>2121</v>
      </c>
      <c r="B3656" t="s">
        <v>571</v>
      </c>
      <c r="C3656" t="s">
        <v>1603</v>
      </c>
      <c r="D3656" t="str">
        <f t="shared" si="57"/>
        <v>IPSM3005</v>
      </c>
      <c r="E3656" t="s">
        <v>1600</v>
      </c>
    </row>
    <row r="3657" spans="1:5" hidden="1" x14ac:dyDescent="0.25">
      <c r="A3657">
        <v>2121</v>
      </c>
      <c r="B3657" t="s">
        <v>571</v>
      </c>
      <c r="C3657" t="s">
        <v>332</v>
      </c>
      <c r="D3657" t="str">
        <f t="shared" si="57"/>
        <v>IPSM3007</v>
      </c>
      <c r="E3657" t="s">
        <v>1600</v>
      </c>
    </row>
    <row r="3658" spans="1:5" hidden="1" x14ac:dyDescent="0.25">
      <c r="A3658">
        <v>2121</v>
      </c>
      <c r="B3658" t="s">
        <v>571</v>
      </c>
      <c r="C3658" t="s">
        <v>1604</v>
      </c>
      <c r="D3658" t="str">
        <f t="shared" si="57"/>
        <v>IPSM3008</v>
      </c>
      <c r="E3658" t="s">
        <v>1600</v>
      </c>
    </row>
    <row r="3659" spans="1:5" hidden="1" x14ac:dyDescent="0.25">
      <c r="A3659">
        <v>2121</v>
      </c>
      <c r="B3659" t="s">
        <v>571</v>
      </c>
      <c r="C3659" t="s">
        <v>1605</v>
      </c>
      <c r="D3659" t="str">
        <f t="shared" si="57"/>
        <v>IPSM3010</v>
      </c>
      <c r="E3659" t="s">
        <v>1606</v>
      </c>
    </row>
    <row r="3660" spans="1:5" hidden="1" x14ac:dyDescent="0.25">
      <c r="A3660">
        <v>2121</v>
      </c>
      <c r="B3660" t="s">
        <v>571</v>
      </c>
      <c r="C3660" t="s">
        <v>137</v>
      </c>
      <c r="D3660" t="str">
        <f t="shared" si="57"/>
        <v>IPSM3012</v>
      </c>
      <c r="E3660" t="s">
        <v>1606</v>
      </c>
    </row>
    <row r="3661" spans="1:5" hidden="1" x14ac:dyDescent="0.25">
      <c r="A3661">
        <v>2121</v>
      </c>
      <c r="B3661" t="s">
        <v>571</v>
      </c>
      <c r="C3661" t="s">
        <v>1607</v>
      </c>
      <c r="D3661" t="str">
        <f t="shared" si="57"/>
        <v>IPSM3013</v>
      </c>
      <c r="E3661" t="s">
        <v>1600</v>
      </c>
    </row>
    <row r="3662" spans="1:5" hidden="1" x14ac:dyDescent="0.25">
      <c r="A3662">
        <v>2121</v>
      </c>
      <c r="B3662" t="s">
        <v>571</v>
      </c>
      <c r="C3662" t="s">
        <v>1608</v>
      </c>
      <c r="D3662" t="str">
        <f t="shared" si="57"/>
        <v>IPSM3015</v>
      </c>
      <c r="E3662" t="s">
        <v>1600</v>
      </c>
    </row>
    <row r="3663" spans="1:5" hidden="1" x14ac:dyDescent="0.25">
      <c r="A3663">
        <v>2121</v>
      </c>
      <c r="B3663" t="s">
        <v>571</v>
      </c>
      <c r="C3663" t="s">
        <v>1609</v>
      </c>
      <c r="D3663" t="str">
        <f t="shared" si="57"/>
        <v>IPSM3016</v>
      </c>
      <c r="E3663" t="s">
        <v>1600</v>
      </c>
    </row>
    <row r="3664" spans="1:5" hidden="1" x14ac:dyDescent="0.25">
      <c r="A3664">
        <v>2121</v>
      </c>
      <c r="B3664" t="s">
        <v>571</v>
      </c>
      <c r="C3664" t="s">
        <v>405</v>
      </c>
      <c r="D3664" t="str">
        <f t="shared" si="57"/>
        <v>IPSM3017</v>
      </c>
      <c r="E3664" t="s">
        <v>1600</v>
      </c>
    </row>
    <row r="3665" spans="1:5" hidden="1" x14ac:dyDescent="0.25">
      <c r="A3665">
        <v>2121</v>
      </c>
      <c r="B3665" t="s">
        <v>571</v>
      </c>
      <c r="C3665" t="s">
        <v>1610</v>
      </c>
      <c r="D3665" t="str">
        <f t="shared" si="57"/>
        <v>IPSM3019</v>
      </c>
      <c r="E3665" t="s">
        <v>1611</v>
      </c>
    </row>
    <row r="3666" spans="1:5" hidden="1" x14ac:dyDescent="0.25">
      <c r="A3666">
        <v>2121</v>
      </c>
      <c r="B3666" t="s">
        <v>571</v>
      </c>
      <c r="C3666" t="s">
        <v>1612</v>
      </c>
      <c r="D3666" t="str">
        <f t="shared" si="57"/>
        <v>IPSM3020</v>
      </c>
      <c r="E3666" t="s">
        <v>1600</v>
      </c>
    </row>
    <row r="3667" spans="1:5" hidden="1" x14ac:dyDescent="0.25">
      <c r="A3667">
        <v>2121</v>
      </c>
      <c r="B3667" t="s">
        <v>571</v>
      </c>
      <c r="C3667" t="s">
        <v>430</v>
      </c>
      <c r="D3667" t="str">
        <f t="shared" si="57"/>
        <v>IPSM3022</v>
      </c>
      <c r="E3667" t="s">
        <v>1600</v>
      </c>
    </row>
    <row r="3668" spans="1:5" hidden="1" x14ac:dyDescent="0.25">
      <c r="A3668">
        <v>2121</v>
      </c>
      <c r="B3668" t="s">
        <v>571</v>
      </c>
      <c r="C3668" t="s">
        <v>1614</v>
      </c>
      <c r="D3668" t="str">
        <f t="shared" si="57"/>
        <v>IPSM3023</v>
      </c>
      <c r="E3668" t="s">
        <v>1615</v>
      </c>
    </row>
    <row r="3669" spans="1:5" hidden="1" x14ac:dyDescent="0.25">
      <c r="A3669">
        <v>2121</v>
      </c>
      <c r="B3669" t="s">
        <v>571</v>
      </c>
      <c r="C3669" t="s">
        <v>440</v>
      </c>
      <c r="D3669" t="str">
        <f t="shared" si="57"/>
        <v>IPSM3024</v>
      </c>
      <c r="E3669" t="s">
        <v>1600</v>
      </c>
    </row>
    <row r="3670" spans="1:5" hidden="1" x14ac:dyDescent="0.25">
      <c r="A3670">
        <v>2121</v>
      </c>
      <c r="B3670" t="s">
        <v>571</v>
      </c>
      <c r="C3670" t="s">
        <v>1616</v>
      </c>
      <c r="D3670" t="str">
        <f t="shared" si="57"/>
        <v>IPSM3025</v>
      </c>
      <c r="E3670" t="s">
        <v>1600</v>
      </c>
    </row>
    <row r="3671" spans="1:5" hidden="1" x14ac:dyDescent="0.25">
      <c r="A3671">
        <v>2121</v>
      </c>
      <c r="B3671" t="s">
        <v>571</v>
      </c>
      <c r="C3671" t="s">
        <v>1617</v>
      </c>
      <c r="D3671" t="str">
        <f t="shared" si="57"/>
        <v>IPSM3026</v>
      </c>
      <c r="E3671" t="s">
        <v>1615</v>
      </c>
    </row>
    <row r="3672" spans="1:5" hidden="1" x14ac:dyDescent="0.25">
      <c r="A3672">
        <v>2121</v>
      </c>
      <c r="B3672" t="s">
        <v>571</v>
      </c>
      <c r="C3672" t="s">
        <v>1618</v>
      </c>
      <c r="D3672" t="str">
        <f t="shared" si="57"/>
        <v>IPSM3027</v>
      </c>
      <c r="E3672" t="s">
        <v>1600</v>
      </c>
    </row>
    <row r="3673" spans="1:5" hidden="1" x14ac:dyDescent="0.25">
      <c r="A3673">
        <v>2121</v>
      </c>
      <c r="B3673" t="s">
        <v>571</v>
      </c>
      <c r="C3673" t="s">
        <v>466</v>
      </c>
      <c r="D3673" t="str">
        <f t="shared" si="57"/>
        <v>IPSM3030</v>
      </c>
      <c r="E3673" t="s">
        <v>1600</v>
      </c>
    </row>
    <row r="3674" spans="1:5" hidden="1" x14ac:dyDescent="0.25">
      <c r="A3674">
        <v>2121</v>
      </c>
      <c r="B3674" t="s">
        <v>571</v>
      </c>
      <c r="C3674" t="s">
        <v>1619</v>
      </c>
      <c r="D3674" t="str">
        <f t="shared" si="57"/>
        <v>IPSM3032</v>
      </c>
      <c r="E3674" t="s">
        <v>1600</v>
      </c>
    </row>
    <row r="3675" spans="1:5" hidden="1" x14ac:dyDescent="0.25">
      <c r="A3675">
        <v>2121</v>
      </c>
      <c r="B3675" t="s">
        <v>571</v>
      </c>
      <c r="C3675" t="s">
        <v>1847</v>
      </c>
      <c r="D3675" t="str">
        <f t="shared" si="57"/>
        <v>IPSM3037</v>
      </c>
      <c r="E3675" t="s">
        <v>1606</v>
      </c>
    </row>
    <row r="3676" spans="1:5" hidden="1" x14ac:dyDescent="0.25">
      <c r="A3676">
        <v>2121</v>
      </c>
      <c r="B3676" t="s">
        <v>571</v>
      </c>
      <c r="C3676" t="s">
        <v>486</v>
      </c>
      <c r="D3676" t="str">
        <f t="shared" si="57"/>
        <v>IPSM3040</v>
      </c>
      <c r="E3676" t="s">
        <v>1600</v>
      </c>
    </row>
    <row r="3677" spans="1:5" hidden="1" x14ac:dyDescent="0.25">
      <c r="A3677">
        <v>2121</v>
      </c>
      <c r="B3677" t="s">
        <v>571</v>
      </c>
      <c r="C3677" t="s">
        <v>490</v>
      </c>
      <c r="D3677" t="str">
        <f t="shared" si="57"/>
        <v>IPSM3099</v>
      </c>
      <c r="E3677" t="s">
        <v>1600</v>
      </c>
    </row>
    <row r="3678" spans="1:5" hidden="1" x14ac:dyDescent="0.25">
      <c r="A3678">
        <v>2121</v>
      </c>
      <c r="B3678" t="s">
        <v>571</v>
      </c>
      <c r="C3678" t="s">
        <v>1622</v>
      </c>
      <c r="D3678" t="str">
        <f t="shared" si="57"/>
        <v>IPSM3101</v>
      </c>
      <c r="E3678" t="s">
        <v>1623</v>
      </c>
    </row>
    <row r="3679" spans="1:5" hidden="1" x14ac:dyDescent="0.25">
      <c r="A3679">
        <v>2121</v>
      </c>
      <c r="B3679" t="s">
        <v>571</v>
      </c>
      <c r="C3679" t="s">
        <v>53</v>
      </c>
      <c r="D3679" t="str">
        <f t="shared" si="57"/>
        <v>IPSM3301</v>
      </c>
      <c r="E3679" t="s">
        <v>43</v>
      </c>
    </row>
    <row r="3680" spans="1:5" hidden="1" x14ac:dyDescent="0.25">
      <c r="A3680">
        <v>2121</v>
      </c>
      <c r="B3680" t="s">
        <v>571</v>
      </c>
      <c r="C3680" t="s">
        <v>1626</v>
      </c>
      <c r="D3680" t="str">
        <f t="shared" si="57"/>
        <v>IPSM3302</v>
      </c>
      <c r="E3680" t="s">
        <v>43</v>
      </c>
    </row>
    <row r="3681" spans="1:5" hidden="1" x14ac:dyDescent="0.25">
      <c r="A3681">
        <v>2121</v>
      </c>
      <c r="B3681" t="s">
        <v>571</v>
      </c>
      <c r="C3681" t="s">
        <v>1627</v>
      </c>
      <c r="D3681" t="str">
        <f t="shared" si="57"/>
        <v>IPSM3304</v>
      </c>
      <c r="E3681" t="s">
        <v>43</v>
      </c>
    </row>
    <row r="3682" spans="1:5" hidden="1" x14ac:dyDescent="0.25">
      <c r="A3682">
        <v>2121</v>
      </c>
      <c r="B3682" t="s">
        <v>571</v>
      </c>
      <c r="C3682" t="s">
        <v>308</v>
      </c>
      <c r="D3682" t="str">
        <f t="shared" si="57"/>
        <v>IPSM3305</v>
      </c>
      <c r="E3682" t="s">
        <v>1623</v>
      </c>
    </row>
    <row r="3683" spans="1:5" hidden="1" x14ac:dyDescent="0.25">
      <c r="A3683">
        <v>2121</v>
      </c>
      <c r="B3683" t="s">
        <v>571</v>
      </c>
      <c r="C3683" t="s">
        <v>1705</v>
      </c>
      <c r="D3683" t="str">
        <f t="shared" si="57"/>
        <v>IPSM3502</v>
      </c>
      <c r="E3683" t="s">
        <v>1706</v>
      </c>
    </row>
    <row r="3684" spans="1:5" hidden="1" x14ac:dyDescent="0.25">
      <c r="A3684">
        <v>2121</v>
      </c>
      <c r="B3684" t="s">
        <v>571</v>
      </c>
      <c r="C3684" t="s">
        <v>1690</v>
      </c>
      <c r="D3684" t="str">
        <f t="shared" si="57"/>
        <v>IPSM3601</v>
      </c>
      <c r="E3684" t="s">
        <v>64</v>
      </c>
    </row>
    <row r="3685" spans="1:5" hidden="1" x14ac:dyDescent="0.25">
      <c r="A3685">
        <v>2121</v>
      </c>
      <c r="B3685" t="s">
        <v>571</v>
      </c>
      <c r="C3685" t="s">
        <v>1817</v>
      </c>
      <c r="D3685" t="str">
        <f t="shared" si="57"/>
        <v>IPSM3608</v>
      </c>
      <c r="E3685" t="s">
        <v>1606</v>
      </c>
    </row>
    <row r="3686" spans="1:5" hidden="1" x14ac:dyDescent="0.25">
      <c r="A3686">
        <v>2121</v>
      </c>
      <c r="B3686" t="s">
        <v>571</v>
      </c>
      <c r="C3686" t="s">
        <v>344</v>
      </c>
      <c r="D3686" t="str">
        <f t="shared" si="57"/>
        <v>IPSM3609</v>
      </c>
      <c r="E3686" t="s">
        <v>1623</v>
      </c>
    </row>
    <row r="3687" spans="1:5" hidden="1" x14ac:dyDescent="0.25">
      <c r="A3687">
        <v>2121</v>
      </c>
      <c r="B3687" t="s">
        <v>571</v>
      </c>
      <c r="C3687" t="s">
        <v>1628</v>
      </c>
      <c r="D3687" t="str">
        <f t="shared" si="57"/>
        <v>IPSM3612</v>
      </c>
      <c r="E3687" t="s">
        <v>1623</v>
      </c>
    </row>
    <row r="3688" spans="1:5" hidden="1" x14ac:dyDescent="0.25">
      <c r="A3688">
        <v>2121</v>
      </c>
      <c r="B3688" t="s">
        <v>571</v>
      </c>
      <c r="C3688" t="s">
        <v>1693</v>
      </c>
      <c r="D3688" t="str">
        <f t="shared" si="57"/>
        <v>IPSM3702</v>
      </c>
      <c r="E3688" t="s">
        <v>1630</v>
      </c>
    </row>
    <row r="3689" spans="1:5" hidden="1" x14ac:dyDescent="0.25">
      <c r="A3689">
        <v>2121</v>
      </c>
      <c r="B3689" t="s">
        <v>571</v>
      </c>
      <c r="C3689" t="s">
        <v>1631</v>
      </c>
      <c r="D3689" t="str">
        <f t="shared" si="57"/>
        <v>IPSM3703</v>
      </c>
      <c r="E3689" t="s">
        <v>116</v>
      </c>
    </row>
    <row r="3690" spans="1:5" hidden="1" x14ac:dyDescent="0.25">
      <c r="A3690">
        <v>2121</v>
      </c>
      <c r="B3690" t="s">
        <v>571</v>
      </c>
      <c r="C3690" t="s">
        <v>1632</v>
      </c>
      <c r="D3690" t="str">
        <f t="shared" si="57"/>
        <v>IPSM3704</v>
      </c>
      <c r="E3690" t="s">
        <v>116</v>
      </c>
    </row>
    <row r="3691" spans="1:5" hidden="1" x14ac:dyDescent="0.25">
      <c r="A3691">
        <v>2121</v>
      </c>
      <c r="B3691" t="s">
        <v>571</v>
      </c>
      <c r="C3691" t="s">
        <v>1633</v>
      </c>
      <c r="D3691" t="str">
        <f t="shared" si="57"/>
        <v>IPSM3705</v>
      </c>
      <c r="E3691" t="s">
        <v>116</v>
      </c>
    </row>
    <row r="3692" spans="1:5" hidden="1" x14ac:dyDescent="0.25">
      <c r="A3692">
        <v>2121</v>
      </c>
      <c r="B3692" t="s">
        <v>571</v>
      </c>
      <c r="C3692" t="s">
        <v>1634</v>
      </c>
      <c r="D3692" t="str">
        <f t="shared" si="57"/>
        <v>IPSM3903</v>
      </c>
      <c r="E3692" t="s">
        <v>1623</v>
      </c>
    </row>
    <row r="3693" spans="1:5" hidden="1" x14ac:dyDescent="0.25">
      <c r="A3693">
        <v>2121</v>
      </c>
      <c r="B3693" t="s">
        <v>571</v>
      </c>
      <c r="C3693" t="s">
        <v>298</v>
      </c>
      <c r="D3693" t="str">
        <f t="shared" si="57"/>
        <v>IPSM3904</v>
      </c>
      <c r="E3693" t="s">
        <v>1623</v>
      </c>
    </row>
    <row r="3694" spans="1:5" hidden="1" x14ac:dyDescent="0.25">
      <c r="A3694">
        <v>2121</v>
      </c>
      <c r="B3694" t="s">
        <v>571</v>
      </c>
      <c r="C3694" t="s">
        <v>1635</v>
      </c>
      <c r="D3694" t="str">
        <f t="shared" si="57"/>
        <v>IPSM3908</v>
      </c>
      <c r="E3694" t="s">
        <v>1623</v>
      </c>
    </row>
    <row r="3695" spans="1:5" hidden="1" x14ac:dyDescent="0.25">
      <c r="A3695">
        <v>2121</v>
      </c>
      <c r="B3695" t="s">
        <v>571</v>
      </c>
      <c r="C3695" t="s">
        <v>345</v>
      </c>
      <c r="D3695" t="str">
        <f t="shared" si="57"/>
        <v>IPSM3910</v>
      </c>
      <c r="E3695" t="s">
        <v>1623</v>
      </c>
    </row>
    <row r="3696" spans="1:5" hidden="1" x14ac:dyDescent="0.25">
      <c r="A3696">
        <v>2121</v>
      </c>
      <c r="B3696" t="s">
        <v>571</v>
      </c>
      <c r="C3696" t="s">
        <v>355</v>
      </c>
      <c r="D3696" t="str">
        <f t="shared" si="57"/>
        <v>IPSM3911</v>
      </c>
      <c r="E3696" t="s">
        <v>1623</v>
      </c>
    </row>
    <row r="3697" spans="1:5" hidden="1" x14ac:dyDescent="0.25">
      <c r="A3697">
        <v>2121</v>
      </c>
      <c r="B3697" t="s">
        <v>571</v>
      </c>
      <c r="C3697" t="s">
        <v>1636</v>
      </c>
      <c r="D3697" t="str">
        <f t="shared" si="57"/>
        <v>IPSM3912</v>
      </c>
      <c r="E3697" t="s">
        <v>1637</v>
      </c>
    </row>
    <row r="3698" spans="1:5" hidden="1" x14ac:dyDescent="0.25">
      <c r="A3698">
        <v>2121</v>
      </c>
      <c r="B3698" t="s">
        <v>571</v>
      </c>
      <c r="C3698" t="s">
        <v>1638</v>
      </c>
      <c r="D3698" t="str">
        <f t="shared" si="57"/>
        <v>IPSM3913</v>
      </c>
      <c r="E3698" t="s">
        <v>1637</v>
      </c>
    </row>
    <row r="3699" spans="1:5" hidden="1" x14ac:dyDescent="0.25">
      <c r="A3699">
        <v>2121</v>
      </c>
      <c r="B3699" t="s">
        <v>571</v>
      </c>
      <c r="C3699" t="s">
        <v>383</v>
      </c>
      <c r="D3699" t="str">
        <f t="shared" si="57"/>
        <v>IPSM3915</v>
      </c>
      <c r="E3699" t="s">
        <v>1637</v>
      </c>
    </row>
    <row r="3700" spans="1:5" hidden="1" x14ac:dyDescent="0.25">
      <c r="A3700">
        <v>2121</v>
      </c>
      <c r="B3700" t="s">
        <v>571</v>
      </c>
      <c r="C3700" t="s">
        <v>1639</v>
      </c>
      <c r="D3700" t="str">
        <f t="shared" si="57"/>
        <v>IPSM3917</v>
      </c>
      <c r="E3700" t="s">
        <v>1615</v>
      </c>
    </row>
    <row r="3701" spans="1:5" hidden="1" x14ac:dyDescent="0.25">
      <c r="A3701">
        <v>2121</v>
      </c>
      <c r="B3701" t="s">
        <v>571</v>
      </c>
      <c r="C3701" t="s">
        <v>1640</v>
      </c>
      <c r="D3701" t="str">
        <f t="shared" si="57"/>
        <v>IPSM3918</v>
      </c>
      <c r="E3701" t="s">
        <v>1615</v>
      </c>
    </row>
    <row r="3702" spans="1:5" hidden="1" x14ac:dyDescent="0.25">
      <c r="A3702">
        <v>2121</v>
      </c>
      <c r="B3702" t="s">
        <v>571</v>
      </c>
      <c r="C3702" t="s">
        <v>1641</v>
      </c>
      <c r="D3702" t="str">
        <f t="shared" si="57"/>
        <v>IPSM3919</v>
      </c>
      <c r="E3702" t="s">
        <v>2102</v>
      </c>
    </row>
    <row r="3703" spans="1:5" hidden="1" x14ac:dyDescent="0.25">
      <c r="A3703">
        <v>2121</v>
      </c>
      <c r="B3703" t="s">
        <v>571</v>
      </c>
      <c r="C3703" t="s">
        <v>1642</v>
      </c>
      <c r="D3703" t="str">
        <f t="shared" si="57"/>
        <v>IPSM3921</v>
      </c>
      <c r="E3703" t="s">
        <v>2102</v>
      </c>
    </row>
    <row r="3704" spans="1:5" hidden="1" x14ac:dyDescent="0.25">
      <c r="A3704">
        <v>2121</v>
      </c>
      <c r="B3704" t="s">
        <v>571</v>
      </c>
      <c r="C3704" t="s">
        <v>1643</v>
      </c>
      <c r="D3704" t="str">
        <f t="shared" si="57"/>
        <v>IPSM3922</v>
      </c>
      <c r="E3704" t="s">
        <v>1611</v>
      </c>
    </row>
    <row r="3705" spans="1:5" hidden="1" x14ac:dyDescent="0.25">
      <c r="A3705">
        <v>2121</v>
      </c>
      <c r="B3705" t="s">
        <v>571</v>
      </c>
      <c r="C3705" t="s">
        <v>427</v>
      </c>
      <c r="D3705" t="str">
        <f t="shared" si="57"/>
        <v>IPSM3923</v>
      </c>
      <c r="E3705" t="s">
        <v>1623</v>
      </c>
    </row>
    <row r="3706" spans="1:5" hidden="1" x14ac:dyDescent="0.25">
      <c r="A3706">
        <v>2121</v>
      </c>
      <c r="B3706" t="s">
        <v>571</v>
      </c>
      <c r="C3706" t="s">
        <v>1644</v>
      </c>
      <c r="D3706" t="str">
        <f t="shared" si="57"/>
        <v>IPSM3924</v>
      </c>
      <c r="E3706" t="s">
        <v>1645</v>
      </c>
    </row>
    <row r="3707" spans="1:5" hidden="1" x14ac:dyDescent="0.25">
      <c r="A3707">
        <v>2121</v>
      </c>
      <c r="B3707" t="s">
        <v>571</v>
      </c>
      <c r="C3707" t="s">
        <v>437</v>
      </c>
      <c r="D3707" t="str">
        <f t="shared" si="57"/>
        <v>IPSM3925</v>
      </c>
      <c r="E3707" t="s">
        <v>1623</v>
      </c>
    </row>
    <row r="3708" spans="1:5" hidden="1" x14ac:dyDescent="0.25">
      <c r="A3708">
        <v>2121</v>
      </c>
      <c r="B3708" t="s">
        <v>571</v>
      </c>
      <c r="C3708" t="s">
        <v>442</v>
      </c>
      <c r="D3708" t="str">
        <f t="shared" si="57"/>
        <v>IPSM3926</v>
      </c>
      <c r="E3708" t="s">
        <v>1646</v>
      </c>
    </row>
    <row r="3709" spans="1:5" hidden="1" x14ac:dyDescent="0.25">
      <c r="A3709">
        <v>2121</v>
      </c>
      <c r="B3709" t="s">
        <v>571</v>
      </c>
      <c r="C3709" t="s">
        <v>1647</v>
      </c>
      <c r="D3709" t="str">
        <f t="shared" si="57"/>
        <v>IPSM3927</v>
      </c>
      <c r="E3709" t="s">
        <v>1648</v>
      </c>
    </row>
    <row r="3710" spans="1:5" hidden="1" x14ac:dyDescent="0.25">
      <c r="A3710">
        <v>2121</v>
      </c>
      <c r="B3710" t="s">
        <v>571</v>
      </c>
      <c r="C3710" t="s">
        <v>1649</v>
      </c>
      <c r="D3710" t="str">
        <f t="shared" si="57"/>
        <v>IPSM3929</v>
      </c>
      <c r="E3710" t="s">
        <v>1606</v>
      </c>
    </row>
    <row r="3711" spans="1:5" hidden="1" x14ac:dyDescent="0.25">
      <c r="A3711">
        <v>2121</v>
      </c>
      <c r="B3711" t="s">
        <v>571</v>
      </c>
      <c r="C3711" t="s">
        <v>457</v>
      </c>
      <c r="D3711" t="str">
        <f t="shared" si="57"/>
        <v>IPSM3930</v>
      </c>
      <c r="E3711" t="s">
        <v>1623</v>
      </c>
    </row>
    <row r="3712" spans="1:5" hidden="1" x14ac:dyDescent="0.25">
      <c r="A3712">
        <v>2121</v>
      </c>
      <c r="B3712" t="s">
        <v>571</v>
      </c>
      <c r="C3712" t="s">
        <v>1650</v>
      </c>
      <c r="D3712" t="str">
        <f t="shared" si="57"/>
        <v>IPSM3931</v>
      </c>
      <c r="E3712" t="s">
        <v>1623</v>
      </c>
    </row>
    <row r="3713" spans="1:5" hidden="1" x14ac:dyDescent="0.25">
      <c r="A3713">
        <v>2121</v>
      </c>
      <c r="B3713" t="s">
        <v>571</v>
      </c>
      <c r="C3713" t="s">
        <v>1652</v>
      </c>
      <c r="D3713" t="str">
        <f t="shared" si="57"/>
        <v>IPSM3936</v>
      </c>
      <c r="E3713" t="s">
        <v>93</v>
      </c>
    </row>
    <row r="3714" spans="1:5" hidden="1" x14ac:dyDescent="0.25">
      <c r="A3714">
        <v>2121</v>
      </c>
      <c r="B3714" t="s">
        <v>571</v>
      </c>
      <c r="C3714" t="s">
        <v>1695</v>
      </c>
      <c r="D3714" t="str">
        <f t="shared" si="57"/>
        <v>IPSM3937</v>
      </c>
      <c r="E3714" t="s">
        <v>1692</v>
      </c>
    </row>
    <row r="3715" spans="1:5" hidden="1" x14ac:dyDescent="0.25">
      <c r="A3715">
        <v>2121</v>
      </c>
      <c r="B3715" t="s">
        <v>571</v>
      </c>
      <c r="C3715" t="s">
        <v>1708</v>
      </c>
      <c r="D3715" t="str">
        <f t="shared" si="57"/>
        <v>IPSM3938</v>
      </c>
      <c r="E3715" t="s">
        <v>1623</v>
      </c>
    </row>
    <row r="3716" spans="1:5" hidden="1" x14ac:dyDescent="0.25">
      <c r="A3716">
        <v>2121</v>
      </c>
      <c r="B3716" t="s">
        <v>571</v>
      </c>
      <c r="C3716" t="s">
        <v>1714</v>
      </c>
      <c r="D3716" t="str">
        <f t="shared" si="57"/>
        <v>IPSM3939</v>
      </c>
      <c r="E3716" t="s">
        <v>1623</v>
      </c>
    </row>
    <row r="3717" spans="1:5" hidden="1" x14ac:dyDescent="0.25">
      <c r="A3717">
        <v>2121</v>
      </c>
      <c r="B3717" t="s">
        <v>571</v>
      </c>
      <c r="C3717" t="s">
        <v>1653</v>
      </c>
      <c r="D3717" t="str">
        <f t="shared" ref="D3717:D3780" si="58">CONCATENATE(B3717,LEFT(C3717,4))</f>
        <v>IPSM3940</v>
      </c>
      <c r="E3717" t="s">
        <v>1648</v>
      </c>
    </row>
    <row r="3718" spans="1:5" hidden="1" x14ac:dyDescent="0.25">
      <c r="A3718">
        <v>2121</v>
      </c>
      <c r="B3718" t="s">
        <v>571</v>
      </c>
      <c r="C3718" t="s">
        <v>1654</v>
      </c>
      <c r="D3718" t="str">
        <f t="shared" si="58"/>
        <v>IPSM3943</v>
      </c>
      <c r="E3718" t="s">
        <v>1615</v>
      </c>
    </row>
    <row r="3719" spans="1:5" hidden="1" x14ac:dyDescent="0.25">
      <c r="A3719">
        <v>2121</v>
      </c>
      <c r="B3719" t="s">
        <v>571</v>
      </c>
      <c r="C3719" t="s">
        <v>491</v>
      </c>
      <c r="D3719" t="str">
        <f t="shared" si="58"/>
        <v>IPSM3948</v>
      </c>
      <c r="E3719" t="s">
        <v>1645</v>
      </c>
    </row>
    <row r="3720" spans="1:5" hidden="1" x14ac:dyDescent="0.25">
      <c r="A3720">
        <v>2121</v>
      </c>
      <c r="B3720" t="s">
        <v>571</v>
      </c>
      <c r="C3720" t="s">
        <v>497</v>
      </c>
      <c r="D3720" t="str">
        <f t="shared" si="58"/>
        <v>IPSM3955</v>
      </c>
      <c r="E3720" t="s">
        <v>1623</v>
      </c>
    </row>
    <row r="3721" spans="1:5" hidden="1" x14ac:dyDescent="0.25">
      <c r="A3721">
        <v>2121</v>
      </c>
      <c r="B3721" t="s">
        <v>571</v>
      </c>
      <c r="C3721" t="s">
        <v>1657</v>
      </c>
      <c r="D3721" t="str">
        <f t="shared" si="58"/>
        <v>IPSM3961</v>
      </c>
      <c r="E3721" t="s">
        <v>1630</v>
      </c>
    </row>
    <row r="3722" spans="1:5" hidden="1" x14ac:dyDescent="0.25">
      <c r="A3722">
        <v>2121</v>
      </c>
      <c r="B3722" t="s">
        <v>571</v>
      </c>
      <c r="C3722" t="s">
        <v>1718</v>
      </c>
      <c r="D3722" t="str">
        <f t="shared" si="58"/>
        <v>IPSM3964</v>
      </c>
      <c r="E3722" t="s">
        <v>1623</v>
      </c>
    </row>
    <row r="3723" spans="1:5" hidden="1" x14ac:dyDescent="0.25">
      <c r="A3723">
        <v>2121</v>
      </c>
      <c r="B3723" t="s">
        <v>571</v>
      </c>
      <c r="C3723" t="s">
        <v>1761</v>
      </c>
      <c r="D3723" t="str">
        <f t="shared" si="58"/>
        <v>IPSM3975</v>
      </c>
      <c r="E3723" t="s">
        <v>1623</v>
      </c>
    </row>
    <row r="3724" spans="1:5" hidden="1" x14ac:dyDescent="0.25">
      <c r="A3724">
        <v>2121</v>
      </c>
      <c r="B3724" t="s">
        <v>571</v>
      </c>
      <c r="C3724" t="s">
        <v>1661</v>
      </c>
      <c r="D3724" t="str">
        <f t="shared" si="58"/>
        <v>IPSM3987</v>
      </c>
      <c r="E3724" t="s">
        <v>1615</v>
      </c>
    </row>
    <row r="3725" spans="1:5" hidden="1" x14ac:dyDescent="0.25">
      <c r="A3725">
        <v>2121</v>
      </c>
      <c r="B3725" t="s">
        <v>571</v>
      </c>
      <c r="C3725" t="s">
        <v>1735</v>
      </c>
      <c r="D3725" t="str">
        <f t="shared" si="58"/>
        <v>IPSM3998</v>
      </c>
      <c r="E3725" t="s">
        <v>1606</v>
      </c>
    </row>
    <row r="3726" spans="1:5" hidden="1" x14ac:dyDescent="0.25">
      <c r="A3726">
        <v>2121</v>
      </c>
      <c r="B3726" t="s">
        <v>571</v>
      </c>
      <c r="C3726" t="s">
        <v>1663</v>
      </c>
      <c r="D3726" t="str">
        <f t="shared" si="58"/>
        <v>IPSM3999</v>
      </c>
      <c r="E3726" t="s">
        <v>1623</v>
      </c>
    </row>
    <row r="3727" spans="1:5" hidden="1" x14ac:dyDescent="0.25">
      <c r="A3727">
        <v>2121</v>
      </c>
      <c r="B3727" t="s">
        <v>571</v>
      </c>
      <c r="C3727" t="s">
        <v>1664</v>
      </c>
      <c r="D3727" t="str">
        <f t="shared" si="58"/>
        <v>IPSM4002</v>
      </c>
      <c r="E3727" t="s">
        <v>1648</v>
      </c>
    </row>
    <row r="3728" spans="1:5" hidden="1" x14ac:dyDescent="0.25">
      <c r="A3728">
        <v>2121</v>
      </c>
      <c r="B3728" t="s">
        <v>571</v>
      </c>
      <c r="C3728" t="s">
        <v>1665</v>
      </c>
      <c r="D3728" t="str">
        <f t="shared" si="58"/>
        <v>IPSM4003</v>
      </c>
      <c r="E3728" t="s">
        <v>93</v>
      </c>
    </row>
    <row r="3729" spans="1:5" hidden="1" x14ac:dyDescent="0.25">
      <c r="A3729">
        <v>2121</v>
      </c>
      <c r="B3729" t="s">
        <v>571</v>
      </c>
      <c r="C3729" t="s">
        <v>1666</v>
      </c>
      <c r="D3729" t="str">
        <f t="shared" si="58"/>
        <v>IPSM4004</v>
      </c>
      <c r="E3729" t="s">
        <v>1648</v>
      </c>
    </row>
    <row r="3730" spans="1:5" hidden="1" x14ac:dyDescent="0.25">
      <c r="A3730">
        <v>2121</v>
      </c>
      <c r="B3730" t="s">
        <v>571</v>
      </c>
      <c r="C3730" t="s">
        <v>1667</v>
      </c>
      <c r="D3730" t="str">
        <f t="shared" si="58"/>
        <v>IPSM4005</v>
      </c>
      <c r="E3730" t="s">
        <v>1648</v>
      </c>
    </row>
    <row r="3731" spans="1:5" hidden="1" x14ac:dyDescent="0.25">
      <c r="A3731">
        <v>2121</v>
      </c>
      <c r="B3731" t="s">
        <v>571</v>
      </c>
      <c r="C3731" t="s">
        <v>1698</v>
      </c>
      <c r="D3731" t="str">
        <f t="shared" si="58"/>
        <v>IPSM4006</v>
      </c>
      <c r="E3731" t="s">
        <v>1675</v>
      </c>
    </row>
    <row r="3732" spans="1:5" hidden="1" x14ac:dyDescent="0.25">
      <c r="A3732">
        <v>2121</v>
      </c>
      <c r="B3732" t="s">
        <v>571</v>
      </c>
      <c r="C3732" t="s">
        <v>1668</v>
      </c>
      <c r="D3732" t="str">
        <f t="shared" si="58"/>
        <v>IPSM4701</v>
      </c>
      <c r="E3732" t="s">
        <v>1669</v>
      </c>
    </row>
    <row r="3733" spans="1:5" hidden="1" x14ac:dyDescent="0.25">
      <c r="A3733">
        <v>2121</v>
      </c>
      <c r="B3733" t="s">
        <v>571</v>
      </c>
      <c r="C3733" t="s">
        <v>238</v>
      </c>
      <c r="D3733" t="str">
        <f t="shared" si="58"/>
        <v>IPSM4702</v>
      </c>
      <c r="E3733" t="s">
        <v>1669</v>
      </c>
    </row>
    <row r="3734" spans="1:5" hidden="1" x14ac:dyDescent="0.25">
      <c r="A3734">
        <v>2121</v>
      </c>
      <c r="B3734" t="s">
        <v>571</v>
      </c>
      <c r="C3734" t="s">
        <v>315</v>
      </c>
      <c r="D3734" t="str">
        <f t="shared" si="58"/>
        <v>IPSM4706</v>
      </c>
      <c r="E3734" t="s">
        <v>1669</v>
      </c>
    </row>
    <row r="3735" spans="1:5" hidden="1" x14ac:dyDescent="0.25">
      <c r="A3735">
        <v>2121</v>
      </c>
      <c r="B3735" t="s">
        <v>571</v>
      </c>
      <c r="C3735" t="s">
        <v>327</v>
      </c>
      <c r="D3735" t="str">
        <f t="shared" si="58"/>
        <v>IPSM4707</v>
      </c>
      <c r="E3735" t="s">
        <v>1669</v>
      </c>
    </row>
    <row r="3736" spans="1:5" hidden="1" x14ac:dyDescent="0.25">
      <c r="A3736">
        <v>2121</v>
      </c>
      <c r="B3736" t="s">
        <v>571</v>
      </c>
      <c r="C3736" t="s">
        <v>337</v>
      </c>
      <c r="D3736" t="str">
        <f t="shared" si="58"/>
        <v>IPSM4708</v>
      </c>
      <c r="E3736" t="s">
        <v>1669</v>
      </c>
    </row>
    <row r="3737" spans="1:5" hidden="1" x14ac:dyDescent="0.25">
      <c r="A3737">
        <v>2121</v>
      </c>
      <c r="B3737" t="s">
        <v>571</v>
      </c>
      <c r="C3737" t="s">
        <v>363</v>
      </c>
      <c r="D3737" t="str">
        <f t="shared" si="58"/>
        <v>IPSM4799</v>
      </c>
      <c r="E3737" t="s">
        <v>1669</v>
      </c>
    </row>
    <row r="3738" spans="1:5" hidden="1" x14ac:dyDescent="0.25">
      <c r="A3738">
        <v>2121</v>
      </c>
      <c r="B3738" t="s">
        <v>571</v>
      </c>
      <c r="C3738" t="s">
        <v>1752</v>
      </c>
      <c r="D3738" t="str">
        <f t="shared" si="58"/>
        <v>IPSM4904</v>
      </c>
      <c r="E3738" t="s">
        <v>1596</v>
      </c>
    </row>
    <row r="3739" spans="1:5" hidden="1" x14ac:dyDescent="0.25">
      <c r="A3739">
        <v>2121</v>
      </c>
      <c r="B3739" t="s">
        <v>571</v>
      </c>
      <c r="C3739" t="s">
        <v>1848</v>
      </c>
      <c r="D3739" t="str">
        <f t="shared" si="58"/>
        <v>IPSM4906</v>
      </c>
      <c r="E3739" t="s">
        <v>64</v>
      </c>
    </row>
    <row r="3740" spans="1:5" hidden="1" x14ac:dyDescent="0.25">
      <c r="A3740">
        <v>2121</v>
      </c>
      <c r="B3740" t="s">
        <v>571</v>
      </c>
      <c r="C3740" t="s">
        <v>1673</v>
      </c>
      <c r="D3740" t="str">
        <f t="shared" si="58"/>
        <v>IPSM5204</v>
      </c>
      <c r="E3740" t="s">
        <v>1674</v>
      </c>
    </row>
    <row r="3741" spans="1:5" hidden="1" x14ac:dyDescent="0.25">
      <c r="A3741">
        <v>2121</v>
      </c>
      <c r="B3741" t="s">
        <v>571</v>
      </c>
      <c r="C3741" t="s">
        <v>328</v>
      </c>
      <c r="D3741" t="str">
        <f t="shared" si="58"/>
        <v>IPSM5206</v>
      </c>
      <c r="E3741" t="s">
        <v>1675</v>
      </c>
    </row>
    <row r="3742" spans="1:5" hidden="1" x14ac:dyDescent="0.25">
      <c r="A3742">
        <v>2121</v>
      </c>
      <c r="B3742" t="s">
        <v>571</v>
      </c>
      <c r="C3742" t="s">
        <v>1676</v>
      </c>
      <c r="D3742" t="str">
        <f t="shared" si="58"/>
        <v>IPSM5207</v>
      </c>
      <c r="E3742" t="s">
        <v>1675</v>
      </c>
    </row>
    <row r="3743" spans="1:5" hidden="1" x14ac:dyDescent="0.25">
      <c r="A3743">
        <v>2121</v>
      </c>
      <c r="B3743" t="s">
        <v>571</v>
      </c>
      <c r="C3743" t="s">
        <v>1677</v>
      </c>
      <c r="D3743" t="str">
        <f t="shared" si="58"/>
        <v>IPSM5208</v>
      </c>
      <c r="E3743" t="s">
        <v>1675</v>
      </c>
    </row>
    <row r="3744" spans="1:5" hidden="1" x14ac:dyDescent="0.25">
      <c r="A3744">
        <v>2121</v>
      </c>
      <c r="B3744" t="s">
        <v>571</v>
      </c>
      <c r="C3744" t="s">
        <v>358</v>
      </c>
      <c r="D3744" t="str">
        <f t="shared" si="58"/>
        <v>IPSM5209</v>
      </c>
      <c r="E3744" t="s">
        <v>1674</v>
      </c>
    </row>
    <row r="3745" spans="1:5" hidden="1" x14ac:dyDescent="0.25">
      <c r="A3745">
        <v>2121</v>
      </c>
      <c r="B3745" t="s">
        <v>571</v>
      </c>
      <c r="C3745" t="s">
        <v>1678</v>
      </c>
      <c r="D3745" t="str">
        <f t="shared" si="58"/>
        <v>IPSM5210</v>
      </c>
      <c r="E3745" t="s">
        <v>1674</v>
      </c>
    </row>
    <row r="3746" spans="1:5" hidden="1" x14ac:dyDescent="0.25">
      <c r="A3746">
        <v>2121</v>
      </c>
      <c r="B3746" t="s">
        <v>571</v>
      </c>
      <c r="C3746" t="s">
        <v>1679</v>
      </c>
      <c r="D3746" t="str">
        <f t="shared" si="58"/>
        <v>IPSM5212</v>
      </c>
      <c r="E3746" t="s">
        <v>1674</v>
      </c>
    </row>
    <row r="3747" spans="1:5" hidden="1" x14ac:dyDescent="0.25">
      <c r="A3747">
        <v>2121</v>
      </c>
      <c r="B3747" t="s">
        <v>571</v>
      </c>
      <c r="C3747" t="s">
        <v>390</v>
      </c>
      <c r="D3747" t="str">
        <f t="shared" si="58"/>
        <v>IPSM5214</v>
      </c>
      <c r="E3747" t="s">
        <v>1674</v>
      </c>
    </row>
    <row r="3748" spans="1:5" hidden="1" x14ac:dyDescent="0.25">
      <c r="A3748">
        <v>2121</v>
      </c>
      <c r="B3748" t="s">
        <v>571</v>
      </c>
      <c r="C3748" t="s">
        <v>408</v>
      </c>
      <c r="D3748" t="str">
        <f t="shared" si="58"/>
        <v>IPSM5217</v>
      </c>
      <c r="E3748" t="s">
        <v>1674</v>
      </c>
    </row>
    <row r="3749" spans="1:5" hidden="1" x14ac:dyDescent="0.25">
      <c r="A3749">
        <v>2121</v>
      </c>
      <c r="B3749" t="s">
        <v>571</v>
      </c>
      <c r="C3749" t="s">
        <v>448</v>
      </c>
      <c r="D3749" t="str">
        <f t="shared" si="58"/>
        <v>IPSM5225</v>
      </c>
      <c r="E3749" t="s">
        <v>1674</v>
      </c>
    </row>
    <row r="3750" spans="1:5" hidden="1" x14ac:dyDescent="0.25">
      <c r="A3750">
        <v>2121</v>
      </c>
      <c r="B3750" t="s">
        <v>571</v>
      </c>
      <c r="C3750" t="s">
        <v>1723</v>
      </c>
      <c r="D3750" t="str">
        <f t="shared" si="58"/>
        <v>IPSM9108</v>
      </c>
      <c r="E3750" t="s">
        <v>1724</v>
      </c>
    </row>
    <row r="3751" spans="1:5" hidden="1" x14ac:dyDescent="0.25">
      <c r="A3751">
        <v>2121</v>
      </c>
      <c r="B3751" t="s">
        <v>571</v>
      </c>
      <c r="C3751" t="s">
        <v>1684</v>
      </c>
      <c r="D3751" t="str">
        <f t="shared" si="58"/>
        <v>IPSM9202</v>
      </c>
      <c r="E3751" t="s">
        <v>1685</v>
      </c>
    </row>
    <row r="3752" spans="1:5" hidden="1" x14ac:dyDescent="0.25">
      <c r="A3752">
        <v>2121</v>
      </c>
      <c r="B3752" t="s">
        <v>571</v>
      </c>
      <c r="C3752" t="s">
        <v>249</v>
      </c>
      <c r="D3752" t="str">
        <f t="shared" si="58"/>
        <v>IPSM9301</v>
      </c>
      <c r="E3752" t="s">
        <v>1623</v>
      </c>
    </row>
    <row r="3753" spans="1:5" hidden="1" x14ac:dyDescent="0.25">
      <c r="A3753">
        <v>2121</v>
      </c>
      <c r="B3753" t="s">
        <v>571</v>
      </c>
      <c r="C3753" t="s">
        <v>366</v>
      </c>
      <c r="D3753" t="str">
        <f t="shared" si="58"/>
        <v>IPSM9310</v>
      </c>
      <c r="E3753" t="s">
        <v>1623</v>
      </c>
    </row>
    <row r="3754" spans="1:5" hidden="1" x14ac:dyDescent="0.25">
      <c r="A3754">
        <v>2121</v>
      </c>
      <c r="B3754" t="s">
        <v>571</v>
      </c>
      <c r="C3754" t="s">
        <v>385</v>
      </c>
      <c r="D3754" t="str">
        <f t="shared" si="58"/>
        <v>IPSM9313</v>
      </c>
      <c r="E3754" t="s">
        <v>1606</v>
      </c>
    </row>
    <row r="3755" spans="1:5" hidden="1" x14ac:dyDescent="0.25">
      <c r="A3755">
        <v>2121</v>
      </c>
      <c r="B3755" t="s">
        <v>571</v>
      </c>
      <c r="C3755" t="s">
        <v>1687</v>
      </c>
      <c r="D3755" t="str">
        <f t="shared" si="58"/>
        <v>IPSM9399</v>
      </c>
      <c r="E3755" t="s">
        <v>1623</v>
      </c>
    </row>
    <row r="3756" spans="1:5" hidden="1" x14ac:dyDescent="0.25">
      <c r="A3756">
        <v>2121</v>
      </c>
      <c r="B3756" t="s">
        <v>571</v>
      </c>
      <c r="C3756" t="s">
        <v>1814</v>
      </c>
      <c r="D3756" t="str">
        <f t="shared" si="58"/>
        <v>IPSM9701</v>
      </c>
      <c r="E3756" t="s">
        <v>1623</v>
      </c>
    </row>
    <row r="3757" spans="1:5" hidden="1" x14ac:dyDescent="0.25">
      <c r="A3757">
        <v>2151</v>
      </c>
      <c r="B3757" t="s">
        <v>555</v>
      </c>
      <c r="C3757" t="s">
        <v>1595</v>
      </c>
      <c r="D3757" t="str">
        <f t="shared" si="58"/>
        <v>FHA0810</v>
      </c>
      <c r="E3757" t="s">
        <v>1596</v>
      </c>
    </row>
    <row r="3758" spans="1:5" hidden="1" x14ac:dyDescent="0.25">
      <c r="A3758">
        <v>2151</v>
      </c>
      <c r="B3758" t="s">
        <v>555</v>
      </c>
      <c r="C3758" t="s">
        <v>331</v>
      </c>
      <c r="D3758" t="str">
        <f t="shared" si="58"/>
        <v>FHA1314</v>
      </c>
      <c r="E3758" t="s">
        <v>1689</v>
      </c>
    </row>
    <row r="3759" spans="1:5" hidden="1" x14ac:dyDescent="0.25">
      <c r="A3759">
        <v>2151</v>
      </c>
      <c r="B3759" t="s">
        <v>555</v>
      </c>
      <c r="C3759" t="s">
        <v>1688</v>
      </c>
      <c r="D3759" t="str">
        <f t="shared" si="58"/>
        <v>FHA1317</v>
      </c>
      <c r="E3759" t="s">
        <v>1689</v>
      </c>
    </row>
    <row r="3760" spans="1:5" hidden="1" x14ac:dyDescent="0.25">
      <c r="A3760">
        <v>2151</v>
      </c>
      <c r="B3760" t="s">
        <v>555</v>
      </c>
      <c r="C3760" t="s">
        <v>398</v>
      </c>
      <c r="D3760" t="str">
        <f t="shared" si="58"/>
        <v>FHA1325</v>
      </c>
      <c r="E3760" t="s">
        <v>1689</v>
      </c>
    </row>
    <row r="3761" spans="1:5" hidden="1" x14ac:dyDescent="0.25">
      <c r="A3761">
        <v>2151</v>
      </c>
      <c r="B3761" t="s">
        <v>555</v>
      </c>
      <c r="C3761" t="s">
        <v>1597</v>
      </c>
      <c r="D3761" t="str">
        <f t="shared" si="58"/>
        <v>FHA1401</v>
      </c>
      <c r="E3761" t="s">
        <v>43</v>
      </c>
    </row>
    <row r="3762" spans="1:5" hidden="1" x14ac:dyDescent="0.25">
      <c r="A3762">
        <v>2151</v>
      </c>
      <c r="B3762" t="s">
        <v>555</v>
      </c>
      <c r="C3762" t="s">
        <v>221</v>
      </c>
      <c r="D3762" t="str">
        <f t="shared" si="58"/>
        <v>FHA1801</v>
      </c>
      <c r="E3762" t="s">
        <v>1738</v>
      </c>
    </row>
    <row r="3763" spans="1:5" hidden="1" x14ac:dyDescent="0.25">
      <c r="A3763">
        <v>2151</v>
      </c>
      <c r="B3763" t="s">
        <v>555</v>
      </c>
      <c r="C3763" t="s">
        <v>1599</v>
      </c>
      <c r="D3763" t="str">
        <f t="shared" si="58"/>
        <v>FHA3001</v>
      </c>
      <c r="E3763" t="s">
        <v>1600</v>
      </c>
    </row>
    <row r="3764" spans="1:5" hidden="1" x14ac:dyDescent="0.25">
      <c r="A3764">
        <v>2151</v>
      </c>
      <c r="B3764" t="s">
        <v>555</v>
      </c>
      <c r="C3764" t="s">
        <v>255</v>
      </c>
      <c r="D3764" t="str">
        <f t="shared" si="58"/>
        <v>FHA3002</v>
      </c>
      <c r="E3764" t="s">
        <v>1600</v>
      </c>
    </row>
    <row r="3765" spans="1:5" hidden="1" x14ac:dyDescent="0.25">
      <c r="A3765">
        <v>2151</v>
      </c>
      <c r="B3765" t="s">
        <v>555</v>
      </c>
      <c r="C3765" t="s">
        <v>1601</v>
      </c>
      <c r="D3765" t="str">
        <f t="shared" si="58"/>
        <v>FHA3003</v>
      </c>
      <c r="E3765" t="s">
        <v>1600</v>
      </c>
    </row>
    <row r="3766" spans="1:5" hidden="1" x14ac:dyDescent="0.25">
      <c r="A3766">
        <v>2151</v>
      </c>
      <c r="B3766" t="s">
        <v>555</v>
      </c>
      <c r="C3766" t="s">
        <v>1602</v>
      </c>
      <c r="D3766" t="str">
        <f t="shared" si="58"/>
        <v>FHA3004</v>
      </c>
      <c r="E3766" t="s">
        <v>1600</v>
      </c>
    </row>
    <row r="3767" spans="1:5" hidden="1" x14ac:dyDescent="0.25">
      <c r="A3767">
        <v>2151</v>
      </c>
      <c r="B3767" t="s">
        <v>555</v>
      </c>
      <c r="C3767" t="s">
        <v>1603</v>
      </c>
      <c r="D3767" t="str">
        <f t="shared" si="58"/>
        <v>FHA3005</v>
      </c>
      <c r="E3767" t="s">
        <v>1600</v>
      </c>
    </row>
    <row r="3768" spans="1:5" hidden="1" x14ac:dyDescent="0.25">
      <c r="A3768">
        <v>2151</v>
      </c>
      <c r="B3768" t="s">
        <v>555</v>
      </c>
      <c r="C3768" t="s">
        <v>322</v>
      </c>
      <c r="D3768" t="str">
        <f t="shared" si="58"/>
        <v>FHA3006</v>
      </c>
      <c r="E3768" t="s">
        <v>1600</v>
      </c>
    </row>
    <row r="3769" spans="1:5" hidden="1" x14ac:dyDescent="0.25">
      <c r="A3769">
        <v>2151</v>
      </c>
      <c r="B3769" t="s">
        <v>555</v>
      </c>
      <c r="C3769" t="s">
        <v>332</v>
      </c>
      <c r="D3769" t="str">
        <f t="shared" si="58"/>
        <v>FHA3007</v>
      </c>
      <c r="E3769" t="s">
        <v>1600</v>
      </c>
    </row>
    <row r="3770" spans="1:5" hidden="1" x14ac:dyDescent="0.25">
      <c r="A3770">
        <v>2151</v>
      </c>
      <c r="B3770" t="s">
        <v>555</v>
      </c>
      <c r="C3770" t="s">
        <v>1604</v>
      </c>
      <c r="D3770" t="str">
        <f t="shared" si="58"/>
        <v>FHA3008</v>
      </c>
      <c r="E3770" t="s">
        <v>1600</v>
      </c>
    </row>
    <row r="3771" spans="1:5" hidden="1" x14ac:dyDescent="0.25">
      <c r="A3771">
        <v>2151</v>
      </c>
      <c r="B3771" t="s">
        <v>555</v>
      </c>
      <c r="C3771" t="s">
        <v>1605</v>
      </c>
      <c r="D3771" t="str">
        <f t="shared" si="58"/>
        <v>FHA3010</v>
      </c>
      <c r="E3771" t="s">
        <v>1606</v>
      </c>
    </row>
    <row r="3772" spans="1:5" hidden="1" x14ac:dyDescent="0.25">
      <c r="A3772">
        <v>2151</v>
      </c>
      <c r="B3772" t="s">
        <v>555</v>
      </c>
      <c r="C3772" t="s">
        <v>137</v>
      </c>
      <c r="D3772" t="str">
        <f t="shared" si="58"/>
        <v>FHA3012</v>
      </c>
      <c r="E3772" t="s">
        <v>1606</v>
      </c>
    </row>
    <row r="3773" spans="1:5" hidden="1" x14ac:dyDescent="0.25">
      <c r="A3773">
        <v>2151</v>
      </c>
      <c r="B3773" t="s">
        <v>555</v>
      </c>
      <c r="C3773" t="s">
        <v>1607</v>
      </c>
      <c r="D3773" t="str">
        <f t="shared" si="58"/>
        <v>FHA3013</v>
      </c>
      <c r="E3773" t="s">
        <v>1600</v>
      </c>
    </row>
    <row r="3774" spans="1:5" hidden="1" x14ac:dyDescent="0.25">
      <c r="A3774">
        <v>2151</v>
      </c>
      <c r="B3774" t="s">
        <v>555</v>
      </c>
      <c r="C3774" t="s">
        <v>1608</v>
      </c>
      <c r="D3774" t="str">
        <f t="shared" si="58"/>
        <v>FHA3015</v>
      </c>
      <c r="E3774" t="s">
        <v>1600</v>
      </c>
    </row>
    <row r="3775" spans="1:5" hidden="1" x14ac:dyDescent="0.25">
      <c r="A3775">
        <v>2151</v>
      </c>
      <c r="B3775" t="s">
        <v>555</v>
      </c>
      <c r="C3775" t="s">
        <v>1609</v>
      </c>
      <c r="D3775" t="str">
        <f t="shared" si="58"/>
        <v>FHA3016</v>
      </c>
      <c r="E3775" t="s">
        <v>1600</v>
      </c>
    </row>
    <row r="3776" spans="1:5" hidden="1" x14ac:dyDescent="0.25">
      <c r="A3776">
        <v>2151</v>
      </c>
      <c r="B3776" t="s">
        <v>555</v>
      </c>
      <c r="C3776" t="s">
        <v>405</v>
      </c>
      <c r="D3776" t="str">
        <f t="shared" si="58"/>
        <v>FHA3017</v>
      </c>
      <c r="E3776" t="s">
        <v>1600</v>
      </c>
    </row>
    <row r="3777" spans="1:5" hidden="1" x14ac:dyDescent="0.25">
      <c r="A3777">
        <v>2151</v>
      </c>
      <c r="B3777" t="s">
        <v>555</v>
      </c>
      <c r="C3777" t="s">
        <v>410</v>
      </c>
      <c r="D3777" t="str">
        <f t="shared" si="58"/>
        <v>FHA3018</v>
      </c>
      <c r="E3777" t="s">
        <v>1600</v>
      </c>
    </row>
    <row r="3778" spans="1:5" hidden="1" x14ac:dyDescent="0.25">
      <c r="A3778">
        <v>2151</v>
      </c>
      <c r="B3778" t="s">
        <v>555</v>
      </c>
      <c r="C3778" t="s">
        <v>1610</v>
      </c>
      <c r="D3778" t="str">
        <f t="shared" si="58"/>
        <v>FHA3019</v>
      </c>
      <c r="E3778" t="s">
        <v>1611</v>
      </c>
    </row>
    <row r="3779" spans="1:5" hidden="1" x14ac:dyDescent="0.25">
      <c r="A3779">
        <v>2151</v>
      </c>
      <c r="B3779" t="s">
        <v>555</v>
      </c>
      <c r="C3779" t="s">
        <v>1612</v>
      </c>
      <c r="D3779" t="str">
        <f t="shared" si="58"/>
        <v>FHA3020</v>
      </c>
      <c r="E3779" t="s">
        <v>1600</v>
      </c>
    </row>
    <row r="3780" spans="1:5" hidden="1" x14ac:dyDescent="0.25">
      <c r="A3780">
        <v>2151</v>
      </c>
      <c r="B3780" t="s">
        <v>555</v>
      </c>
      <c r="C3780" t="s">
        <v>1613</v>
      </c>
      <c r="D3780" t="str">
        <f t="shared" si="58"/>
        <v>FHA3021</v>
      </c>
      <c r="E3780" t="s">
        <v>1600</v>
      </c>
    </row>
    <row r="3781" spans="1:5" hidden="1" x14ac:dyDescent="0.25">
      <c r="A3781">
        <v>2151</v>
      </c>
      <c r="B3781" t="s">
        <v>555</v>
      </c>
      <c r="C3781" t="s">
        <v>430</v>
      </c>
      <c r="D3781" t="str">
        <f t="shared" ref="D3781:D3844" si="59">CONCATENATE(B3781,LEFT(C3781,4))</f>
        <v>FHA3022</v>
      </c>
      <c r="E3781" t="s">
        <v>1600</v>
      </c>
    </row>
    <row r="3782" spans="1:5" hidden="1" x14ac:dyDescent="0.25">
      <c r="A3782">
        <v>2151</v>
      </c>
      <c r="B3782" t="s">
        <v>555</v>
      </c>
      <c r="C3782" t="s">
        <v>440</v>
      </c>
      <c r="D3782" t="str">
        <f t="shared" si="59"/>
        <v>FHA3024</v>
      </c>
      <c r="E3782" t="s">
        <v>1600</v>
      </c>
    </row>
    <row r="3783" spans="1:5" hidden="1" x14ac:dyDescent="0.25">
      <c r="A3783">
        <v>2151</v>
      </c>
      <c r="B3783" t="s">
        <v>555</v>
      </c>
      <c r="C3783" t="s">
        <v>1616</v>
      </c>
      <c r="D3783" t="str">
        <f t="shared" si="59"/>
        <v>FHA3025</v>
      </c>
      <c r="E3783" t="s">
        <v>1600</v>
      </c>
    </row>
    <row r="3784" spans="1:5" hidden="1" x14ac:dyDescent="0.25">
      <c r="A3784">
        <v>2151</v>
      </c>
      <c r="B3784" t="s">
        <v>555</v>
      </c>
      <c r="C3784" t="s">
        <v>1617</v>
      </c>
      <c r="D3784" t="str">
        <f t="shared" si="59"/>
        <v>FHA3026</v>
      </c>
      <c r="E3784" t="s">
        <v>1615</v>
      </c>
    </row>
    <row r="3785" spans="1:5" hidden="1" x14ac:dyDescent="0.25">
      <c r="A3785">
        <v>2151</v>
      </c>
      <c r="B3785" t="s">
        <v>555</v>
      </c>
      <c r="C3785" t="s">
        <v>1618</v>
      </c>
      <c r="D3785" t="str">
        <f t="shared" si="59"/>
        <v>FHA3027</v>
      </c>
      <c r="E3785" t="s">
        <v>1600</v>
      </c>
    </row>
    <row r="3786" spans="1:5" hidden="1" x14ac:dyDescent="0.25">
      <c r="A3786">
        <v>2151</v>
      </c>
      <c r="B3786" t="s">
        <v>555</v>
      </c>
      <c r="C3786" t="s">
        <v>1702</v>
      </c>
      <c r="D3786" t="str">
        <f t="shared" si="59"/>
        <v>FHA3029</v>
      </c>
      <c r="E3786" t="s">
        <v>1600</v>
      </c>
    </row>
    <row r="3787" spans="1:5" hidden="1" x14ac:dyDescent="0.25">
      <c r="A3787">
        <v>2151</v>
      </c>
      <c r="B3787" t="s">
        <v>555</v>
      </c>
      <c r="C3787" t="s">
        <v>466</v>
      </c>
      <c r="D3787" t="str">
        <f t="shared" si="59"/>
        <v>FHA3030</v>
      </c>
      <c r="E3787" t="s">
        <v>1600</v>
      </c>
    </row>
    <row r="3788" spans="1:5" hidden="1" x14ac:dyDescent="0.25">
      <c r="A3788">
        <v>2151</v>
      </c>
      <c r="B3788" t="s">
        <v>555</v>
      </c>
      <c r="C3788" t="s">
        <v>1619</v>
      </c>
      <c r="D3788" t="str">
        <f t="shared" si="59"/>
        <v>FHA3032</v>
      </c>
      <c r="E3788" t="s">
        <v>1600</v>
      </c>
    </row>
    <row r="3789" spans="1:5" hidden="1" x14ac:dyDescent="0.25">
      <c r="A3789">
        <v>2151</v>
      </c>
      <c r="B3789" t="s">
        <v>555</v>
      </c>
      <c r="C3789" t="s">
        <v>1756</v>
      </c>
      <c r="D3789" t="str">
        <f t="shared" si="59"/>
        <v>FHA3036</v>
      </c>
      <c r="E3789" t="s">
        <v>1600</v>
      </c>
    </row>
    <row r="3790" spans="1:5" hidden="1" x14ac:dyDescent="0.25">
      <c r="A3790">
        <v>2151</v>
      </c>
      <c r="B3790" t="s">
        <v>555</v>
      </c>
      <c r="C3790" t="s">
        <v>484</v>
      </c>
      <c r="D3790" t="str">
        <f t="shared" si="59"/>
        <v>FHA3039</v>
      </c>
      <c r="E3790" t="s">
        <v>1600</v>
      </c>
    </row>
    <row r="3791" spans="1:5" hidden="1" x14ac:dyDescent="0.25">
      <c r="A3791">
        <v>2151</v>
      </c>
      <c r="B3791" t="s">
        <v>555</v>
      </c>
      <c r="C3791" t="s">
        <v>486</v>
      </c>
      <c r="D3791" t="str">
        <f t="shared" si="59"/>
        <v>FHA3040</v>
      </c>
      <c r="E3791" t="s">
        <v>1600</v>
      </c>
    </row>
    <row r="3792" spans="1:5" hidden="1" x14ac:dyDescent="0.25">
      <c r="A3792">
        <v>2151</v>
      </c>
      <c r="B3792" t="s">
        <v>555</v>
      </c>
      <c r="C3792" t="s">
        <v>1703</v>
      </c>
      <c r="D3792" t="str">
        <f t="shared" si="59"/>
        <v>FHA3041</v>
      </c>
      <c r="E3792" t="s">
        <v>1623</v>
      </c>
    </row>
    <row r="3793" spans="1:5" hidden="1" x14ac:dyDescent="0.25">
      <c r="A3793">
        <v>2151</v>
      </c>
      <c r="B3793" t="s">
        <v>555</v>
      </c>
      <c r="C3793" t="s">
        <v>490</v>
      </c>
      <c r="D3793" t="str">
        <f t="shared" si="59"/>
        <v>FHA3099</v>
      </c>
      <c r="E3793" t="s">
        <v>1600</v>
      </c>
    </row>
    <row r="3794" spans="1:5" hidden="1" x14ac:dyDescent="0.25">
      <c r="A3794">
        <v>2151</v>
      </c>
      <c r="B3794" t="s">
        <v>555</v>
      </c>
      <c r="C3794" t="s">
        <v>1622</v>
      </c>
      <c r="D3794" t="str">
        <f t="shared" si="59"/>
        <v>FHA3101</v>
      </c>
      <c r="E3794" t="s">
        <v>1623</v>
      </c>
    </row>
    <row r="3795" spans="1:5" hidden="1" x14ac:dyDescent="0.25">
      <c r="A3795">
        <v>2151</v>
      </c>
      <c r="B3795" t="s">
        <v>555</v>
      </c>
      <c r="C3795" t="s">
        <v>1624</v>
      </c>
      <c r="D3795" t="str">
        <f t="shared" si="59"/>
        <v>FHA3202</v>
      </c>
      <c r="E3795" t="s">
        <v>1623</v>
      </c>
    </row>
    <row r="3796" spans="1:5" hidden="1" x14ac:dyDescent="0.25">
      <c r="A3796">
        <v>2151</v>
      </c>
      <c r="B3796" t="s">
        <v>555</v>
      </c>
      <c r="C3796" t="s">
        <v>53</v>
      </c>
      <c r="D3796" t="str">
        <f t="shared" si="59"/>
        <v>FHA3301</v>
      </c>
      <c r="E3796" t="s">
        <v>43</v>
      </c>
    </row>
    <row r="3797" spans="1:5" hidden="1" x14ac:dyDescent="0.25">
      <c r="A3797">
        <v>2151</v>
      </c>
      <c r="B3797" t="s">
        <v>555</v>
      </c>
      <c r="C3797" t="s">
        <v>1626</v>
      </c>
      <c r="D3797" t="str">
        <f t="shared" si="59"/>
        <v>FHA3302</v>
      </c>
      <c r="E3797" t="s">
        <v>43</v>
      </c>
    </row>
    <row r="3798" spans="1:5" hidden="1" x14ac:dyDescent="0.25">
      <c r="A3798">
        <v>2151</v>
      </c>
      <c r="B3798" t="s">
        <v>555</v>
      </c>
      <c r="C3798" t="s">
        <v>1627</v>
      </c>
      <c r="D3798" t="str">
        <f t="shared" si="59"/>
        <v>FHA3304</v>
      </c>
      <c r="E3798" t="s">
        <v>43</v>
      </c>
    </row>
    <row r="3799" spans="1:5" hidden="1" x14ac:dyDescent="0.25">
      <c r="A3799">
        <v>2151</v>
      </c>
      <c r="B3799" t="s">
        <v>555</v>
      </c>
      <c r="C3799" t="s">
        <v>308</v>
      </c>
      <c r="D3799" t="str">
        <f t="shared" si="59"/>
        <v>FHA3305</v>
      </c>
      <c r="E3799" t="s">
        <v>43</v>
      </c>
    </row>
    <row r="3800" spans="1:5" hidden="1" x14ac:dyDescent="0.25">
      <c r="A3800">
        <v>2151</v>
      </c>
      <c r="B3800" t="s">
        <v>555</v>
      </c>
      <c r="C3800" t="s">
        <v>279</v>
      </c>
      <c r="D3800" t="str">
        <f t="shared" si="59"/>
        <v>FHA3403</v>
      </c>
      <c r="E3800" t="s">
        <v>1689</v>
      </c>
    </row>
    <row r="3801" spans="1:5" hidden="1" x14ac:dyDescent="0.25">
      <c r="A3801">
        <v>2151</v>
      </c>
      <c r="B3801" t="s">
        <v>555</v>
      </c>
      <c r="C3801" t="s">
        <v>1705</v>
      </c>
      <c r="D3801" t="str">
        <f t="shared" si="59"/>
        <v>FHA3502</v>
      </c>
      <c r="E3801" t="s">
        <v>1706</v>
      </c>
    </row>
    <row r="3802" spans="1:5" hidden="1" x14ac:dyDescent="0.25">
      <c r="A3802">
        <v>2151</v>
      </c>
      <c r="B3802" t="s">
        <v>555</v>
      </c>
      <c r="C3802" t="s">
        <v>1690</v>
      </c>
      <c r="D3802" t="str">
        <f t="shared" si="59"/>
        <v>FHA3601</v>
      </c>
      <c r="E3802" t="s">
        <v>64</v>
      </c>
    </row>
    <row r="3803" spans="1:5" hidden="1" x14ac:dyDescent="0.25">
      <c r="A3803">
        <v>2151</v>
      </c>
      <c r="B3803" t="s">
        <v>555</v>
      </c>
      <c r="C3803" t="s">
        <v>296</v>
      </c>
      <c r="D3803" t="str">
        <f t="shared" si="59"/>
        <v>FHA3604</v>
      </c>
      <c r="E3803" t="s">
        <v>43</v>
      </c>
    </row>
    <row r="3804" spans="1:5" hidden="1" x14ac:dyDescent="0.25">
      <c r="A3804">
        <v>2151</v>
      </c>
      <c r="B3804" t="s">
        <v>555</v>
      </c>
      <c r="C3804" t="s">
        <v>1742</v>
      </c>
      <c r="D3804" t="str">
        <f t="shared" si="59"/>
        <v>FHA3605</v>
      </c>
      <c r="E3804" t="s">
        <v>1623</v>
      </c>
    </row>
    <row r="3805" spans="1:5" hidden="1" x14ac:dyDescent="0.25">
      <c r="A3805">
        <v>2151</v>
      </c>
      <c r="B3805" t="s">
        <v>555</v>
      </c>
      <c r="C3805" t="s">
        <v>354</v>
      </c>
      <c r="D3805" t="str">
        <f t="shared" si="59"/>
        <v>FHA3610</v>
      </c>
      <c r="E3805" t="s">
        <v>1623</v>
      </c>
    </row>
    <row r="3806" spans="1:5" hidden="1" x14ac:dyDescent="0.25">
      <c r="A3806">
        <v>2151</v>
      </c>
      <c r="B3806" t="s">
        <v>555</v>
      </c>
      <c r="C3806" t="s">
        <v>1628</v>
      </c>
      <c r="D3806" t="str">
        <f t="shared" si="59"/>
        <v>FHA3612</v>
      </c>
      <c r="E3806" t="s">
        <v>1623</v>
      </c>
    </row>
    <row r="3807" spans="1:5" hidden="1" x14ac:dyDescent="0.25">
      <c r="A3807">
        <v>2151</v>
      </c>
      <c r="B3807" t="s">
        <v>555</v>
      </c>
      <c r="C3807" t="s">
        <v>382</v>
      </c>
      <c r="D3807" t="str">
        <f t="shared" si="59"/>
        <v>FHA3614</v>
      </c>
      <c r="E3807" t="s">
        <v>1623</v>
      </c>
    </row>
    <row r="3808" spans="1:5" hidden="1" x14ac:dyDescent="0.25">
      <c r="A3808">
        <v>2151</v>
      </c>
      <c r="B3808" t="s">
        <v>555</v>
      </c>
      <c r="C3808" t="s">
        <v>400</v>
      </c>
      <c r="D3808" t="str">
        <f t="shared" si="59"/>
        <v>FHA3617</v>
      </c>
      <c r="E3808" t="s">
        <v>1623</v>
      </c>
    </row>
    <row r="3809" spans="1:5" hidden="1" x14ac:dyDescent="0.25">
      <c r="A3809">
        <v>2151</v>
      </c>
      <c r="B3809" t="s">
        <v>555</v>
      </c>
      <c r="C3809" t="s">
        <v>470</v>
      </c>
      <c r="D3809" t="str">
        <f t="shared" si="59"/>
        <v>FHA3699</v>
      </c>
      <c r="E3809" t="s">
        <v>1623</v>
      </c>
    </row>
    <row r="3810" spans="1:5" hidden="1" x14ac:dyDescent="0.25">
      <c r="A3810">
        <v>2151</v>
      </c>
      <c r="B3810" t="s">
        <v>555</v>
      </c>
      <c r="C3810" t="s">
        <v>1629</v>
      </c>
      <c r="D3810" t="str">
        <f t="shared" si="59"/>
        <v>FHA3701</v>
      </c>
      <c r="E3810" t="s">
        <v>102</v>
      </c>
    </row>
    <row r="3811" spans="1:5" hidden="1" x14ac:dyDescent="0.25">
      <c r="A3811">
        <v>2151</v>
      </c>
      <c r="B3811" t="s">
        <v>555</v>
      </c>
      <c r="C3811" t="s">
        <v>232</v>
      </c>
      <c r="D3811" t="str">
        <f t="shared" si="59"/>
        <v>FHA3901</v>
      </c>
      <c r="E3811" t="s">
        <v>1596</v>
      </c>
    </row>
    <row r="3812" spans="1:5" hidden="1" x14ac:dyDescent="0.25">
      <c r="A3812">
        <v>2151</v>
      </c>
      <c r="B3812" t="s">
        <v>555</v>
      </c>
      <c r="C3812" t="s">
        <v>1634</v>
      </c>
      <c r="D3812" t="str">
        <f t="shared" si="59"/>
        <v>FHA3903</v>
      </c>
      <c r="E3812" t="s">
        <v>1623</v>
      </c>
    </row>
    <row r="3813" spans="1:5" hidden="1" x14ac:dyDescent="0.25">
      <c r="A3813">
        <v>2151</v>
      </c>
      <c r="B3813" t="s">
        <v>555</v>
      </c>
      <c r="C3813" t="s">
        <v>298</v>
      </c>
      <c r="D3813" t="str">
        <f t="shared" si="59"/>
        <v>FHA3904</v>
      </c>
      <c r="E3813" t="s">
        <v>1623</v>
      </c>
    </row>
    <row r="3814" spans="1:5" hidden="1" x14ac:dyDescent="0.25">
      <c r="A3814">
        <v>2151</v>
      </c>
      <c r="B3814" t="s">
        <v>555</v>
      </c>
      <c r="C3814" t="s">
        <v>325</v>
      </c>
      <c r="D3814" t="str">
        <f t="shared" si="59"/>
        <v>FHA3906</v>
      </c>
      <c r="E3814" t="s">
        <v>1623</v>
      </c>
    </row>
    <row r="3815" spans="1:5" hidden="1" x14ac:dyDescent="0.25">
      <c r="A3815">
        <v>2151</v>
      </c>
      <c r="B3815" t="s">
        <v>555</v>
      </c>
      <c r="C3815" t="s">
        <v>1635</v>
      </c>
      <c r="D3815" t="str">
        <f t="shared" si="59"/>
        <v>FHA3908</v>
      </c>
      <c r="E3815" t="s">
        <v>1623</v>
      </c>
    </row>
    <row r="3816" spans="1:5" hidden="1" x14ac:dyDescent="0.25">
      <c r="A3816">
        <v>2151</v>
      </c>
      <c r="B3816" t="s">
        <v>555</v>
      </c>
      <c r="C3816" t="s">
        <v>335</v>
      </c>
      <c r="D3816" t="str">
        <f t="shared" si="59"/>
        <v>FHA3909</v>
      </c>
      <c r="E3816" t="s">
        <v>1623</v>
      </c>
    </row>
    <row r="3817" spans="1:5" hidden="1" x14ac:dyDescent="0.25">
      <c r="A3817">
        <v>2151</v>
      </c>
      <c r="B3817" t="s">
        <v>555</v>
      </c>
      <c r="C3817" t="s">
        <v>345</v>
      </c>
      <c r="D3817" t="str">
        <f t="shared" si="59"/>
        <v>FHA3910</v>
      </c>
      <c r="E3817" t="s">
        <v>1623</v>
      </c>
    </row>
    <row r="3818" spans="1:5" hidden="1" x14ac:dyDescent="0.25">
      <c r="A3818">
        <v>2151</v>
      </c>
      <c r="B3818" t="s">
        <v>555</v>
      </c>
      <c r="C3818" t="s">
        <v>1636</v>
      </c>
      <c r="D3818" t="str">
        <f t="shared" si="59"/>
        <v>FHA3912</v>
      </c>
      <c r="E3818" t="s">
        <v>1637</v>
      </c>
    </row>
    <row r="3819" spans="1:5" hidden="1" x14ac:dyDescent="0.25">
      <c r="A3819">
        <v>2151</v>
      </c>
      <c r="B3819" t="s">
        <v>555</v>
      </c>
      <c r="C3819" t="s">
        <v>1638</v>
      </c>
      <c r="D3819" t="str">
        <f t="shared" si="59"/>
        <v>FHA3913</v>
      </c>
      <c r="E3819" t="s">
        <v>1637</v>
      </c>
    </row>
    <row r="3820" spans="1:5" hidden="1" x14ac:dyDescent="0.25">
      <c r="A3820">
        <v>2151</v>
      </c>
      <c r="B3820" t="s">
        <v>555</v>
      </c>
      <c r="C3820" t="s">
        <v>376</v>
      </c>
      <c r="D3820" t="str">
        <f t="shared" si="59"/>
        <v>FHA3914</v>
      </c>
      <c r="E3820" t="s">
        <v>1648</v>
      </c>
    </row>
    <row r="3821" spans="1:5" hidden="1" x14ac:dyDescent="0.25">
      <c r="A3821">
        <v>2151</v>
      </c>
      <c r="B3821" t="s">
        <v>555</v>
      </c>
      <c r="C3821" t="s">
        <v>383</v>
      </c>
      <c r="D3821" t="str">
        <f t="shared" si="59"/>
        <v>FHA3915</v>
      </c>
      <c r="E3821" t="s">
        <v>1637</v>
      </c>
    </row>
    <row r="3822" spans="1:5" hidden="1" x14ac:dyDescent="0.25">
      <c r="A3822">
        <v>2151</v>
      </c>
      <c r="B3822" t="s">
        <v>555</v>
      </c>
      <c r="C3822" t="s">
        <v>1639</v>
      </c>
      <c r="D3822" t="str">
        <f t="shared" si="59"/>
        <v>FHA3917</v>
      </c>
      <c r="E3822" t="s">
        <v>1615</v>
      </c>
    </row>
    <row r="3823" spans="1:5" hidden="1" x14ac:dyDescent="0.25">
      <c r="A3823">
        <v>2151</v>
      </c>
      <c r="B3823" t="s">
        <v>555</v>
      </c>
      <c r="C3823" t="s">
        <v>1641</v>
      </c>
      <c r="D3823" t="str">
        <f t="shared" si="59"/>
        <v>FHA3919</v>
      </c>
      <c r="E3823" t="s">
        <v>2102</v>
      </c>
    </row>
    <row r="3824" spans="1:5" hidden="1" x14ac:dyDescent="0.25">
      <c r="A3824">
        <v>2151</v>
      </c>
      <c r="B3824" t="s">
        <v>555</v>
      </c>
      <c r="C3824" t="s">
        <v>1642</v>
      </c>
      <c r="D3824" t="str">
        <f t="shared" si="59"/>
        <v>FHA3921</v>
      </c>
      <c r="E3824" t="s">
        <v>2102</v>
      </c>
    </row>
    <row r="3825" spans="1:5" hidden="1" x14ac:dyDescent="0.25">
      <c r="A3825">
        <v>2151</v>
      </c>
      <c r="B3825" t="s">
        <v>555</v>
      </c>
      <c r="C3825" t="s">
        <v>1643</v>
      </c>
      <c r="D3825" t="str">
        <f t="shared" si="59"/>
        <v>FHA3922</v>
      </c>
      <c r="E3825" t="s">
        <v>1611</v>
      </c>
    </row>
    <row r="3826" spans="1:5" hidden="1" x14ac:dyDescent="0.25">
      <c r="A3826">
        <v>2151</v>
      </c>
      <c r="B3826" t="s">
        <v>555</v>
      </c>
      <c r="C3826" t="s">
        <v>427</v>
      </c>
      <c r="D3826" t="str">
        <f t="shared" si="59"/>
        <v>FHA3923</v>
      </c>
      <c r="E3826" t="s">
        <v>1623</v>
      </c>
    </row>
    <row r="3827" spans="1:5" hidden="1" x14ac:dyDescent="0.25">
      <c r="A3827">
        <v>2151</v>
      </c>
      <c r="B3827" t="s">
        <v>555</v>
      </c>
      <c r="C3827" t="s">
        <v>442</v>
      </c>
      <c r="D3827" t="str">
        <f t="shared" si="59"/>
        <v>FHA3926</v>
      </c>
      <c r="E3827" t="s">
        <v>1646</v>
      </c>
    </row>
    <row r="3828" spans="1:5" hidden="1" x14ac:dyDescent="0.25">
      <c r="A3828">
        <v>2151</v>
      </c>
      <c r="B3828" t="s">
        <v>555</v>
      </c>
      <c r="C3828" t="s">
        <v>1647</v>
      </c>
      <c r="D3828" t="str">
        <f t="shared" si="59"/>
        <v>FHA3927</v>
      </c>
      <c r="E3828" t="s">
        <v>1648</v>
      </c>
    </row>
    <row r="3829" spans="1:5" hidden="1" x14ac:dyDescent="0.25">
      <c r="A3829">
        <v>2151</v>
      </c>
      <c r="B3829" t="s">
        <v>555</v>
      </c>
      <c r="C3829" t="s">
        <v>1650</v>
      </c>
      <c r="D3829" t="str">
        <f t="shared" si="59"/>
        <v>FHA3931</v>
      </c>
      <c r="E3829" t="s">
        <v>1623</v>
      </c>
    </row>
    <row r="3830" spans="1:5" hidden="1" x14ac:dyDescent="0.25">
      <c r="A3830">
        <v>2151</v>
      </c>
      <c r="B3830" t="s">
        <v>555</v>
      </c>
      <c r="C3830" t="s">
        <v>1652</v>
      </c>
      <c r="D3830" t="str">
        <f t="shared" si="59"/>
        <v>FHA3936</v>
      </c>
      <c r="E3830" t="s">
        <v>93</v>
      </c>
    </row>
    <row r="3831" spans="1:5" hidden="1" x14ac:dyDescent="0.25">
      <c r="A3831">
        <v>2151</v>
      </c>
      <c r="B3831" t="s">
        <v>555</v>
      </c>
      <c r="C3831" t="s">
        <v>1708</v>
      </c>
      <c r="D3831" t="str">
        <f t="shared" si="59"/>
        <v>FHA3938</v>
      </c>
      <c r="E3831" t="s">
        <v>1623</v>
      </c>
    </row>
    <row r="3832" spans="1:5" hidden="1" x14ac:dyDescent="0.25">
      <c r="A3832">
        <v>2151</v>
      </c>
      <c r="B3832" t="s">
        <v>555</v>
      </c>
      <c r="C3832" t="s">
        <v>1714</v>
      </c>
      <c r="D3832" t="str">
        <f t="shared" si="59"/>
        <v>FHA3939</v>
      </c>
      <c r="E3832" t="s">
        <v>1623</v>
      </c>
    </row>
    <row r="3833" spans="1:5" hidden="1" x14ac:dyDescent="0.25">
      <c r="A3833">
        <v>2151</v>
      </c>
      <c r="B3833" t="s">
        <v>555</v>
      </c>
      <c r="C3833" t="s">
        <v>1653</v>
      </c>
      <c r="D3833" t="str">
        <f t="shared" si="59"/>
        <v>FHA3940</v>
      </c>
      <c r="E3833" t="s">
        <v>1648</v>
      </c>
    </row>
    <row r="3834" spans="1:5" hidden="1" x14ac:dyDescent="0.25">
      <c r="A3834">
        <v>2151</v>
      </c>
      <c r="B3834" t="s">
        <v>555</v>
      </c>
      <c r="C3834" t="s">
        <v>1654</v>
      </c>
      <c r="D3834" t="str">
        <f t="shared" si="59"/>
        <v>FHA3943</v>
      </c>
      <c r="E3834" t="s">
        <v>1615</v>
      </c>
    </row>
    <row r="3835" spans="1:5" hidden="1" x14ac:dyDescent="0.25">
      <c r="A3835">
        <v>2151</v>
      </c>
      <c r="B3835" t="s">
        <v>555</v>
      </c>
      <c r="C3835" t="s">
        <v>487</v>
      </c>
      <c r="D3835" t="str">
        <f t="shared" si="59"/>
        <v>FHA3946</v>
      </c>
      <c r="E3835" t="s">
        <v>1744</v>
      </c>
    </row>
    <row r="3836" spans="1:5" hidden="1" x14ac:dyDescent="0.25">
      <c r="A3836">
        <v>2151</v>
      </c>
      <c r="B3836" t="s">
        <v>555</v>
      </c>
      <c r="C3836" t="s">
        <v>491</v>
      </c>
      <c r="D3836" t="str">
        <f t="shared" si="59"/>
        <v>FHA3948</v>
      </c>
      <c r="E3836" t="s">
        <v>1645</v>
      </c>
    </row>
    <row r="3837" spans="1:5" hidden="1" x14ac:dyDescent="0.25">
      <c r="A3837">
        <v>2151</v>
      </c>
      <c r="B3837" t="s">
        <v>555</v>
      </c>
      <c r="C3837" t="s">
        <v>1715</v>
      </c>
      <c r="D3837" t="str">
        <f t="shared" si="59"/>
        <v>FHA3949</v>
      </c>
      <c r="E3837" t="s">
        <v>1645</v>
      </c>
    </row>
    <row r="3838" spans="1:5" hidden="1" x14ac:dyDescent="0.25">
      <c r="A3838">
        <v>2151</v>
      </c>
      <c r="B3838" t="s">
        <v>555</v>
      </c>
      <c r="C3838" t="s">
        <v>1701</v>
      </c>
      <c r="D3838" t="str">
        <f t="shared" si="59"/>
        <v>FHA3952</v>
      </c>
      <c r="E3838" t="s">
        <v>64</v>
      </c>
    </row>
    <row r="3839" spans="1:5" hidden="1" x14ac:dyDescent="0.25">
      <c r="A3839">
        <v>2151</v>
      </c>
      <c r="B3839" t="s">
        <v>555</v>
      </c>
      <c r="C3839" t="s">
        <v>495</v>
      </c>
      <c r="D3839" t="str">
        <f t="shared" si="59"/>
        <v>FHA3953</v>
      </c>
      <c r="E3839" t="s">
        <v>1645</v>
      </c>
    </row>
    <row r="3840" spans="1:5" hidden="1" x14ac:dyDescent="0.25">
      <c r="A3840">
        <v>2151</v>
      </c>
      <c r="B3840" t="s">
        <v>555</v>
      </c>
      <c r="C3840" t="s">
        <v>497</v>
      </c>
      <c r="D3840" t="str">
        <f t="shared" si="59"/>
        <v>FHA3955</v>
      </c>
      <c r="E3840" t="s">
        <v>1623</v>
      </c>
    </row>
    <row r="3841" spans="1:5" hidden="1" x14ac:dyDescent="0.25">
      <c r="A3841">
        <v>2151</v>
      </c>
      <c r="B3841" t="s">
        <v>555</v>
      </c>
      <c r="C3841" t="s">
        <v>500</v>
      </c>
      <c r="D3841" t="str">
        <f t="shared" si="59"/>
        <v>FHA3958</v>
      </c>
      <c r="E3841" t="s">
        <v>1623</v>
      </c>
    </row>
    <row r="3842" spans="1:5" hidden="1" x14ac:dyDescent="0.25">
      <c r="A3842">
        <v>2151</v>
      </c>
      <c r="B3842" t="s">
        <v>555</v>
      </c>
      <c r="C3842" t="s">
        <v>1657</v>
      </c>
      <c r="D3842" t="str">
        <f t="shared" si="59"/>
        <v>FHA3961</v>
      </c>
      <c r="E3842" t="s">
        <v>1630</v>
      </c>
    </row>
    <row r="3843" spans="1:5" hidden="1" x14ac:dyDescent="0.25">
      <c r="A3843">
        <v>2151</v>
      </c>
      <c r="B3843" t="s">
        <v>555</v>
      </c>
      <c r="C3843" t="s">
        <v>1718</v>
      </c>
      <c r="D3843" t="str">
        <f t="shared" si="59"/>
        <v>FHA3964</v>
      </c>
      <c r="E3843" t="s">
        <v>1623</v>
      </c>
    </row>
    <row r="3844" spans="1:5" hidden="1" x14ac:dyDescent="0.25">
      <c r="A3844">
        <v>2151</v>
      </c>
      <c r="B3844" t="s">
        <v>555</v>
      </c>
      <c r="C3844" t="s">
        <v>510</v>
      </c>
      <c r="D3844" t="str">
        <f t="shared" si="59"/>
        <v>FHA3968</v>
      </c>
      <c r="E3844" t="s">
        <v>1623</v>
      </c>
    </row>
    <row r="3845" spans="1:5" hidden="1" x14ac:dyDescent="0.25">
      <c r="A3845">
        <v>2151</v>
      </c>
      <c r="B3845" t="s">
        <v>555</v>
      </c>
      <c r="C3845" t="s">
        <v>1659</v>
      </c>
      <c r="D3845" t="str">
        <f t="shared" ref="D3845:D3908" si="60">CONCATENATE(B3845,LEFT(C3845,4))</f>
        <v>FHA3969</v>
      </c>
      <c r="E3845" t="s">
        <v>1637</v>
      </c>
    </row>
    <row r="3846" spans="1:5" hidden="1" x14ac:dyDescent="0.25">
      <c r="A3846">
        <v>2151</v>
      </c>
      <c r="B3846" t="s">
        <v>555</v>
      </c>
      <c r="C3846" t="s">
        <v>1660</v>
      </c>
      <c r="D3846" t="str">
        <f t="shared" si="60"/>
        <v>FHA3970</v>
      </c>
      <c r="E3846" t="s">
        <v>1648</v>
      </c>
    </row>
    <row r="3847" spans="1:5" hidden="1" x14ac:dyDescent="0.25">
      <c r="A3847">
        <v>2151</v>
      </c>
      <c r="B3847" t="s">
        <v>555</v>
      </c>
      <c r="C3847" t="s">
        <v>512</v>
      </c>
      <c r="D3847" t="str">
        <f t="shared" si="60"/>
        <v>FHA3971</v>
      </c>
      <c r="E3847" t="s">
        <v>2103</v>
      </c>
    </row>
    <row r="3848" spans="1:5" hidden="1" x14ac:dyDescent="0.25">
      <c r="A3848">
        <v>2151</v>
      </c>
      <c r="B3848" t="s">
        <v>555</v>
      </c>
      <c r="C3848" t="s">
        <v>519</v>
      </c>
      <c r="D3848" t="str">
        <f t="shared" si="60"/>
        <v>FHA3978</v>
      </c>
      <c r="E3848" t="s">
        <v>102</v>
      </c>
    </row>
    <row r="3849" spans="1:5" hidden="1" x14ac:dyDescent="0.25">
      <c r="A3849">
        <v>2151</v>
      </c>
      <c r="B3849" t="s">
        <v>555</v>
      </c>
      <c r="C3849" t="s">
        <v>1661</v>
      </c>
      <c r="D3849" t="str">
        <f t="shared" si="60"/>
        <v>FHA3987</v>
      </c>
      <c r="E3849" t="s">
        <v>1615</v>
      </c>
    </row>
    <row r="3850" spans="1:5" hidden="1" x14ac:dyDescent="0.25">
      <c r="A3850">
        <v>2151</v>
      </c>
      <c r="B3850" t="s">
        <v>555</v>
      </c>
      <c r="C3850" t="s">
        <v>1663</v>
      </c>
      <c r="D3850" t="str">
        <f t="shared" si="60"/>
        <v>FHA3999</v>
      </c>
      <c r="E3850" t="s">
        <v>1623</v>
      </c>
    </row>
    <row r="3851" spans="1:5" hidden="1" x14ac:dyDescent="0.25">
      <c r="A3851">
        <v>2151</v>
      </c>
      <c r="B3851" t="s">
        <v>555</v>
      </c>
      <c r="C3851" t="s">
        <v>1664</v>
      </c>
      <c r="D3851" t="str">
        <f t="shared" si="60"/>
        <v>FHA4002</v>
      </c>
      <c r="E3851" t="s">
        <v>1648</v>
      </c>
    </row>
    <row r="3852" spans="1:5" hidden="1" x14ac:dyDescent="0.25">
      <c r="A3852">
        <v>2151</v>
      </c>
      <c r="B3852" t="s">
        <v>555</v>
      </c>
      <c r="C3852" t="s">
        <v>1665</v>
      </c>
      <c r="D3852" t="str">
        <f t="shared" si="60"/>
        <v>FHA4003</v>
      </c>
      <c r="E3852" t="s">
        <v>93</v>
      </c>
    </row>
    <row r="3853" spans="1:5" hidden="1" x14ac:dyDescent="0.25">
      <c r="A3853">
        <v>2151</v>
      </c>
      <c r="B3853" t="s">
        <v>555</v>
      </c>
      <c r="C3853" t="s">
        <v>1666</v>
      </c>
      <c r="D3853" t="str">
        <f t="shared" si="60"/>
        <v>FHA4004</v>
      </c>
      <c r="E3853" t="s">
        <v>1648</v>
      </c>
    </row>
    <row r="3854" spans="1:5" hidden="1" x14ac:dyDescent="0.25">
      <c r="A3854">
        <v>2151</v>
      </c>
      <c r="B3854" t="s">
        <v>555</v>
      </c>
      <c r="C3854" t="s">
        <v>1667</v>
      </c>
      <c r="D3854" t="str">
        <f t="shared" si="60"/>
        <v>FHA4005</v>
      </c>
      <c r="E3854" t="s">
        <v>1648</v>
      </c>
    </row>
    <row r="3855" spans="1:5" hidden="1" x14ac:dyDescent="0.25">
      <c r="A3855">
        <v>2151</v>
      </c>
      <c r="B3855" t="s">
        <v>555</v>
      </c>
      <c r="C3855" t="s">
        <v>1698</v>
      </c>
      <c r="D3855" t="str">
        <f t="shared" si="60"/>
        <v>FHA4006</v>
      </c>
      <c r="E3855" t="s">
        <v>1675</v>
      </c>
    </row>
    <row r="3856" spans="1:5" hidden="1" x14ac:dyDescent="0.25">
      <c r="A3856">
        <v>2151</v>
      </c>
      <c r="B3856" t="s">
        <v>555</v>
      </c>
      <c r="C3856" t="s">
        <v>1750</v>
      </c>
      <c r="D3856" t="str">
        <f t="shared" si="60"/>
        <v>FHA4301</v>
      </c>
      <c r="E3856" t="s">
        <v>1751</v>
      </c>
    </row>
    <row r="3857" spans="1:5" hidden="1" x14ac:dyDescent="0.25">
      <c r="A3857">
        <v>2151</v>
      </c>
      <c r="B3857" t="s">
        <v>555</v>
      </c>
      <c r="C3857" t="s">
        <v>1668</v>
      </c>
      <c r="D3857" t="str">
        <f t="shared" si="60"/>
        <v>FHA4701</v>
      </c>
      <c r="E3857" t="s">
        <v>1669</v>
      </c>
    </row>
    <row r="3858" spans="1:5" hidden="1" x14ac:dyDescent="0.25">
      <c r="A3858">
        <v>2151</v>
      </c>
      <c r="B3858" t="s">
        <v>555</v>
      </c>
      <c r="C3858" t="s">
        <v>315</v>
      </c>
      <c r="D3858" t="str">
        <f t="shared" si="60"/>
        <v>FHA4706</v>
      </c>
      <c r="E3858" t="s">
        <v>1669</v>
      </c>
    </row>
    <row r="3859" spans="1:5" hidden="1" x14ac:dyDescent="0.25">
      <c r="A3859">
        <v>2151</v>
      </c>
      <c r="B3859" t="s">
        <v>555</v>
      </c>
      <c r="C3859" t="s">
        <v>1712</v>
      </c>
      <c r="D3859" t="str">
        <f t="shared" si="60"/>
        <v>FHA4905</v>
      </c>
      <c r="E3859" t="s">
        <v>64</v>
      </c>
    </row>
    <row r="3860" spans="1:5" hidden="1" x14ac:dyDescent="0.25">
      <c r="A3860">
        <v>2151</v>
      </c>
      <c r="B3860" t="s">
        <v>555</v>
      </c>
      <c r="C3860" t="s">
        <v>1672</v>
      </c>
      <c r="D3860" t="str">
        <f t="shared" si="60"/>
        <v>FHA5103</v>
      </c>
      <c r="E3860" t="s">
        <v>1671</v>
      </c>
    </row>
    <row r="3861" spans="1:5" hidden="1" x14ac:dyDescent="0.25">
      <c r="A3861">
        <v>2151</v>
      </c>
      <c r="B3861" t="s">
        <v>555</v>
      </c>
      <c r="C3861" t="s">
        <v>172</v>
      </c>
      <c r="D3861" t="str">
        <f t="shared" si="60"/>
        <v>FHA5107</v>
      </c>
      <c r="E3861" t="s">
        <v>1671</v>
      </c>
    </row>
    <row r="3862" spans="1:5" hidden="1" x14ac:dyDescent="0.25">
      <c r="A3862">
        <v>2151</v>
      </c>
      <c r="B3862" t="s">
        <v>555</v>
      </c>
      <c r="C3862" t="s">
        <v>1801</v>
      </c>
      <c r="D3862" t="str">
        <f t="shared" si="60"/>
        <v>FHA5109</v>
      </c>
      <c r="E3862" t="s">
        <v>1674</v>
      </c>
    </row>
    <row r="3863" spans="1:5" hidden="1" x14ac:dyDescent="0.25">
      <c r="A3863">
        <v>2151</v>
      </c>
      <c r="B3863" t="s">
        <v>555</v>
      </c>
      <c r="C3863" t="s">
        <v>348</v>
      </c>
      <c r="D3863" t="str">
        <f t="shared" si="60"/>
        <v>FHA5110</v>
      </c>
      <c r="E3863" t="s">
        <v>1671</v>
      </c>
    </row>
    <row r="3864" spans="1:5" hidden="1" x14ac:dyDescent="0.25">
      <c r="A3864">
        <v>2151</v>
      </c>
      <c r="B3864" t="s">
        <v>555</v>
      </c>
      <c r="C3864" t="s">
        <v>241</v>
      </c>
      <c r="D3864" t="str">
        <f t="shared" si="60"/>
        <v>FHA5201</v>
      </c>
      <c r="E3864" t="s">
        <v>1621</v>
      </c>
    </row>
    <row r="3865" spans="1:5" hidden="1" x14ac:dyDescent="0.25">
      <c r="A3865">
        <v>2151</v>
      </c>
      <c r="B3865" t="s">
        <v>555</v>
      </c>
      <c r="C3865" t="s">
        <v>287</v>
      </c>
      <c r="D3865" t="str">
        <f t="shared" si="60"/>
        <v>FHA5203</v>
      </c>
      <c r="E3865" t="s">
        <v>1674</v>
      </c>
    </row>
    <row r="3866" spans="1:5" hidden="1" x14ac:dyDescent="0.25">
      <c r="A3866">
        <v>2151</v>
      </c>
      <c r="B3866" t="s">
        <v>555</v>
      </c>
      <c r="C3866" t="s">
        <v>1673</v>
      </c>
      <c r="D3866" t="str">
        <f t="shared" si="60"/>
        <v>FHA5204</v>
      </c>
      <c r="E3866" t="s">
        <v>1674</v>
      </c>
    </row>
    <row r="3867" spans="1:5" hidden="1" x14ac:dyDescent="0.25">
      <c r="A3867">
        <v>2151</v>
      </c>
      <c r="B3867" t="s">
        <v>555</v>
      </c>
      <c r="C3867" t="s">
        <v>328</v>
      </c>
      <c r="D3867" t="str">
        <f t="shared" si="60"/>
        <v>FHA5206</v>
      </c>
      <c r="E3867" t="s">
        <v>1675</v>
      </c>
    </row>
    <row r="3868" spans="1:5" hidden="1" x14ac:dyDescent="0.25">
      <c r="A3868">
        <v>2151</v>
      </c>
      <c r="B3868" t="s">
        <v>555</v>
      </c>
      <c r="C3868" t="s">
        <v>1676</v>
      </c>
      <c r="D3868" t="str">
        <f t="shared" si="60"/>
        <v>FHA5207</v>
      </c>
      <c r="E3868" t="s">
        <v>1675</v>
      </c>
    </row>
    <row r="3869" spans="1:5" hidden="1" x14ac:dyDescent="0.25">
      <c r="A3869">
        <v>2151</v>
      </c>
      <c r="B3869" t="s">
        <v>555</v>
      </c>
      <c r="C3869" t="s">
        <v>1677</v>
      </c>
      <c r="D3869" t="str">
        <f t="shared" si="60"/>
        <v>FHA5208</v>
      </c>
      <c r="E3869" t="s">
        <v>1675</v>
      </c>
    </row>
    <row r="3870" spans="1:5" hidden="1" x14ac:dyDescent="0.25">
      <c r="A3870">
        <v>2151</v>
      </c>
      <c r="B3870" t="s">
        <v>555</v>
      </c>
      <c r="C3870" t="s">
        <v>358</v>
      </c>
      <c r="D3870" t="str">
        <f t="shared" si="60"/>
        <v>FHA5209</v>
      </c>
      <c r="E3870" t="s">
        <v>1674</v>
      </c>
    </row>
    <row r="3871" spans="1:5" hidden="1" x14ac:dyDescent="0.25">
      <c r="A3871">
        <v>2151</v>
      </c>
      <c r="B3871" t="s">
        <v>555</v>
      </c>
      <c r="C3871" t="s">
        <v>1678</v>
      </c>
      <c r="D3871" t="str">
        <f t="shared" si="60"/>
        <v>FHA5210</v>
      </c>
      <c r="E3871" t="s">
        <v>1674</v>
      </c>
    </row>
    <row r="3872" spans="1:5" hidden="1" x14ac:dyDescent="0.25">
      <c r="A3872">
        <v>2151</v>
      </c>
      <c r="B3872" t="s">
        <v>555</v>
      </c>
      <c r="C3872" t="s">
        <v>1713</v>
      </c>
      <c r="D3872" t="str">
        <f t="shared" si="60"/>
        <v>FHA5211</v>
      </c>
      <c r="E3872" t="s">
        <v>1606</v>
      </c>
    </row>
    <row r="3873" spans="1:5" hidden="1" x14ac:dyDescent="0.25">
      <c r="A3873">
        <v>2151</v>
      </c>
      <c r="B3873" t="s">
        <v>555</v>
      </c>
      <c r="C3873" t="s">
        <v>1679</v>
      </c>
      <c r="D3873" t="str">
        <f t="shared" si="60"/>
        <v>FHA5212</v>
      </c>
      <c r="E3873" t="s">
        <v>1674</v>
      </c>
    </row>
    <row r="3874" spans="1:5" hidden="1" x14ac:dyDescent="0.25">
      <c r="A3874">
        <v>2151</v>
      </c>
      <c r="B3874" t="s">
        <v>555</v>
      </c>
      <c r="C3874" t="s">
        <v>384</v>
      </c>
      <c r="D3874" t="str">
        <f t="shared" si="60"/>
        <v>FHA5213</v>
      </c>
      <c r="E3874" t="s">
        <v>1674</v>
      </c>
    </row>
    <row r="3875" spans="1:5" hidden="1" x14ac:dyDescent="0.25">
      <c r="A3875">
        <v>2151</v>
      </c>
      <c r="B3875" t="s">
        <v>555</v>
      </c>
      <c r="C3875" t="s">
        <v>390</v>
      </c>
      <c r="D3875" t="str">
        <f t="shared" si="60"/>
        <v>FHA5214</v>
      </c>
      <c r="E3875" t="s">
        <v>1674</v>
      </c>
    </row>
    <row r="3876" spans="1:5" hidden="1" x14ac:dyDescent="0.25">
      <c r="A3876">
        <v>2151</v>
      </c>
      <c r="B3876" t="s">
        <v>555</v>
      </c>
      <c r="C3876" t="s">
        <v>402</v>
      </c>
      <c r="D3876" t="str">
        <f t="shared" si="60"/>
        <v>FHA5216</v>
      </c>
      <c r="E3876" t="s">
        <v>1680</v>
      </c>
    </row>
    <row r="3877" spans="1:5" hidden="1" x14ac:dyDescent="0.25">
      <c r="A3877">
        <v>2151</v>
      </c>
      <c r="B3877" t="s">
        <v>555</v>
      </c>
      <c r="C3877" t="s">
        <v>408</v>
      </c>
      <c r="D3877" t="str">
        <f t="shared" si="60"/>
        <v>FHA5217</v>
      </c>
      <c r="E3877" t="s">
        <v>1680</v>
      </c>
    </row>
    <row r="3878" spans="1:5" hidden="1" x14ac:dyDescent="0.25">
      <c r="A3878">
        <v>2151</v>
      </c>
      <c r="B3878" t="s">
        <v>555</v>
      </c>
      <c r="C3878" t="s">
        <v>418</v>
      </c>
      <c r="D3878" t="str">
        <f t="shared" si="60"/>
        <v>FHA5219</v>
      </c>
      <c r="E3878" t="s">
        <v>1674</v>
      </c>
    </row>
    <row r="3879" spans="1:5" hidden="1" x14ac:dyDescent="0.25">
      <c r="A3879">
        <v>2151</v>
      </c>
      <c r="B3879" t="s">
        <v>555</v>
      </c>
      <c r="C3879" t="s">
        <v>1681</v>
      </c>
      <c r="D3879" t="str">
        <f t="shared" si="60"/>
        <v>FHA5220</v>
      </c>
      <c r="E3879" t="s">
        <v>1675</v>
      </c>
    </row>
    <row r="3880" spans="1:5" hidden="1" x14ac:dyDescent="0.25">
      <c r="A3880">
        <v>2151</v>
      </c>
      <c r="B3880" t="s">
        <v>555</v>
      </c>
      <c r="C3880" t="s">
        <v>428</v>
      </c>
      <c r="D3880" t="str">
        <f t="shared" si="60"/>
        <v>FHA5221</v>
      </c>
      <c r="E3880" t="s">
        <v>1674</v>
      </c>
    </row>
    <row r="3881" spans="1:5" hidden="1" x14ac:dyDescent="0.25">
      <c r="A3881">
        <v>2151</v>
      </c>
      <c r="B3881" t="s">
        <v>555</v>
      </c>
      <c r="C3881" t="s">
        <v>433</v>
      </c>
      <c r="D3881" t="str">
        <f t="shared" si="60"/>
        <v>FHA5222</v>
      </c>
      <c r="E3881" t="s">
        <v>1674</v>
      </c>
    </row>
    <row r="3882" spans="1:5" hidden="1" x14ac:dyDescent="0.25">
      <c r="A3882">
        <v>2151</v>
      </c>
      <c r="B3882" t="s">
        <v>555</v>
      </c>
      <c r="C3882" t="s">
        <v>448</v>
      </c>
      <c r="D3882" t="str">
        <f t="shared" si="60"/>
        <v>FHA5225</v>
      </c>
      <c r="E3882" t="s">
        <v>1674</v>
      </c>
    </row>
    <row r="3883" spans="1:5" hidden="1" x14ac:dyDescent="0.25">
      <c r="A3883">
        <v>2151</v>
      </c>
      <c r="B3883" t="s">
        <v>555</v>
      </c>
      <c r="C3883" t="s">
        <v>1682</v>
      </c>
      <c r="D3883" t="str">
        <f t="shared" si="60"/>
        <v>FHA5226</v>
      </c>
      <c r="E3883" t="s">
        <v>1674</v>
      </c>
    </row>
    <row r="3884" spans="1:5" hidden="1" x14ac:dyDescent="0.25">
      <c r="A3884">
        <v>2151</v>
      </c>
      <c r="B3884" t="s">
        <v>555</v>
      </c>
      <c r="C3884" t="s">
        <v>1683</v>
      </c>
      <c r="D3884" t="str">
        <f t="shared" si="60"/>
        <v>FHA5227</v>
      </c>
      <c r="E3884" t="s">
        <v>1674</v>
      </c>
    </row>
    <row r="3885" spans="1:5" hidden="1" x14ac:dyDescent="0.25">
      <c r="A3885">
        <v>2151</v>
      </c>
      <c r="B3885" t="s">
        <v>555</v>
      </c>
      <c r="C3885" t="s">
        <v>458</v>
      </c>
      <c r="D3885" t="str">
        <f t="shared" si="60"/>
        <v>FHA5299</v>
      </c>
      <c r="E3885" t="s">
        <v>1674</v>
      </c>
    </row>
    <row r="3886" spans="1:5" hidden="1" x14ac:dyDescent="0.25">
      <c r="A3886">
        <v>2151</v>
      </c>
      <c r="B3886" t="s">
        <v>555</v>
      </c>
      <c r="C3886" t="s">
        <v>1684</v>
      </c>
      <c r="D3886" t="str">
        <f t="shared" si="60"/>
        <v>FHA9202</v>
      </c>
      <c r="E3886" t="s">
        <v>1685</v>
      </c>
    </row>
    <row r="3887" spans="1:5" hidden="1" x14ac:dyDescent="0.25">
      <c r="A3887">
        <v>2151</v>
      </c>
      <c r="B3887" t="s">
        <v>555</v>
      </c>
      <c r="C3887" t="s">
        <v>1687</v>
      </c>
      <c r="D3887" t="str">
        <f t="shared" si="60"/>
        <v>FHA9399</v>
      </c>
      <c r="E3887" t="s">
        <v>1623</v>
      </c>
    </row>
    <row r="3888" spans="1:5" hidden="1" x14ac:dyDescent="0.25">
      <c r="A3888">
        <v>2161</v>
      </c>
      <c r="B3888" t="s">
        <v>559</v>
      </c>
      <c r="C3888" t="s">
        <v>331</v>
      </c>
      <c r="D3888" t="str">
        <f t="shared" si="60"/>
        <v>FUCAM1314</v>
      </c>
      <c r="E3888" t="s">
        <v>1689</v>
      </c>
    </row>
    <row r="3889" spans="1:5" hidden="1" x14ac:dyDescent="0.25">
      <c r="A3889">
        <v>2161</v>
      </c>
      <c r="B3889" t="s">
        <v>559</v>
      </c>
      <c r="C3889" t="s">
        <v>1688</v>
      </c>
      <c r="D3889" t="str">
        <f t="shared" si="60"/>
        <v>FUCAM1317</v>
      </c>
      <c r="E3889" t="s">
        <v>1689</v>
      </c>
    </row>
    <row r="3890" spans="1:5" hidden="1" x14ac:dyDescent="0.25">
      <c r="A3890">
        <v>2161</v>
      </c>
      <c r="B3890" t="s">
        <v>559</v>
      </c>
      <c r="C3890" t="s">
        <v>398</v>
      </c>
      <c r="D3890" t="str">
        <f t="shared" si="60"/>
        <v>FUCAM1325</v>
      </c>
      <c r="E3890" t="s">
        <v>1689</v>
      </c>
    </row>
    <row r="3891" spans="1:5" hidden="1" x14ac:dyDescent="0.25">
      <c r="A3891">
        <v>2161</v>
      </c>
      <c r="B3891" t="s">
        <v>559</v>
      </c>
      <c r="C3891" t="s">
        <v>1597</v>
      </c>
      <c r="D3891" t="str">
        <f t="shared" si="60"/>
        <v>FUCAM1401</v>
      </c>
      <c r="E3891" t="s">
        <v>43</v>
      </c>
    </row>
    <row r="3892" spans="1:5" hidden="1" x14ac:dyDescent="0.25">
      <c r="A3892">
        <v>2161</v>
      </c>
      <c r="B3892" t="s">
        <v>559</v>
      </c>
      <c r="C3892" t="s">
        <v>1599</v>
      </c>
      <c r="D3892" t="str">
        <f t="shared" si="60"/>
        <v>FUCAM3001</v>
      </c>
      <c r="E3892" t="s">
        <v>1600</v>
      </c>
    </row>
    <row r="3893" spans="1:5" hidden="1" x14ac:dyDescent="0.25">
      <c r="A3893">
        <v>2161</v>
      </c>
      <c r="B3893" t="s">
        <v>559</v>
      </c>
      <c r="C3893" t="s">
        <v>255</v>
      </c>
      <c r="D3893" t="str">
        <f t="shared" si="60"/>
        <v>FUCAM3002</v>
      </c>
      <c r="E3893" t="s">
        <v>1600</v>
      </c>
    </row>
    <row r="3894" spans="1:5" hidden="1" x14ac:dyDescent="0.25">
      <c r="A3894">
        <v>2161</v>
      </c>
      <c r="B3894" t="s">
        <v>559</v>
      </c>
      <c r="C3894" t="s">
        <v>1601</v>
      </c>
      <c r="D3894" t="str">
        <f t="shared" si="60"/>
        <v>FUCAM3003</v>
      </c>
      <c r="E3894" t="s">
        <v>1600</v>
      </c>
    </row>
    <row r="3895" spans="1:5" hidden="1" x14ac:dyDescent="0.25">
      <c r="A3895">
        <v>2161</v>
      </c>
      <c r="B3895" t="s">
        <v>559</v>
      </c>
      <c r="C3895" t="s">
        <v>1602</v>
      </c>
      <c r="D3895" t="str">
        <f t="shared" si="60"/>
        <v>FUCAM3004</v>
      </c>
      <c r="E3895" t="s">
        <v>1600</v>
      </c>
    </row>
    <row r="3896" spans="1:5" hidden="1" x14ac:dyDescent="0.25">
      <c r="A3896">
        <v>2161</v>
      </c>
      <c r="B3896" t="s">
        <v>559</v>
      </c>
      <c r="C3896" t="s">
        <v>1603</v>
      </c>
      <c r="D3896" t="str">
        <f t="shared" si="60"/>
        <v>FUCAM3005</v>
      </c>
      <c r="E3896" t="s">
        <v>1600</v>
      </c>
    </row>
    <row r="3897" spans="1:5" hidden="1" x14ac:dyDescent="0.25">
      <c r="A3897">
        <v>2161</v>
      </c>
      <c r="B3897" t="s">
        <v>559</v>
      </c>
      <c r="C3897" t="s">
        <v>322</v>
      </c>
      <c r="D3897" t="str">
        <f t="shared" si="60"/>
        <v>FUCAM3006</v>
      </c>
      <c r="E3897" t="s">
        <v>1600</v>
      </c>
    </row>
    <row r="3898" spans="1:5" hidden="1" x14ac:dyDescent="0.25">
      <c r="A3898">
        <v>2161</v>
      </c>
      <c r="B3898" t="s">
        <v>559</v>
      </c>
      <c r="C3898" t="s">
        <v>332</v>
      </c>
      <c r="D3898" t="str">
        <f t="shared" si="60"/>
        <v>FUCAM3007</v>
      </c>
      <c r="E3898" t="s">
        <v>1600</v>
      </c>
    </row>
    <row r="3899" spans="1:5" hidden="1" x14ac:dyDescent="0.25">
      <c r="A3899">
        <v>2161</v>
      </c>
      <c r="B3899" t="s">
        <v>559</v>
      </c>
      <c r="C3899" t="s">
        <v>1604</v>
      </c>
      <c r="D3899" t="str">
        <f t="shared" si="60"/>
        <v>FUCAM3008</v>
      </c>
      <c r="E3899" t="s">
        <v>1600</v>
      </c>
    </row>
    <row r="3900" spans="1:5" hidden="1" x14ac:dyDescent="0.25">
      <c r="A3900">
        <v>2161</v>
      </c>
      <c r="B3900" t="s">
        <v>559</v>
      </c>
      <c r="C3900" t="s">
        <v>353</v>
      </c>
      <c r="D3900" t="str">
        <f t="shared" si="60"/>
        <v>FUCAM3009</v>
      </c>
      <c r="E3900" t="s">
        <v>1600</v>
      </c>
    </row>
    <row r="3901" spans="1:5" hidden="1" x14ac:dyDescent="0.25">
      <c r="A3901">
        <v>2161</v>
      </c>
      <c r="B3901" t="s">
        <v>559</v>
      </c>
      <c r="C3901" t="s">
        <v>1605</v>
      </c>
      <c r="D3901" t="str">
        <f t="shared" si="60"/>
        <v>FUCAM3010</v>
      </c>
      <c r="E3901" t="s">
        <v>1606</v>
      </c>
    </row>
    <row r="3902" spans="1:5" hidden="1" x14ac:dyDescent="0.25">
      <c r="A3902">
        <v>2161</v>
      </c>
      <c r="B3902" t="s">
        <v>559</v>
      </c>
      <c r="C3902" t="s">
        <v>137</v>
      </c>
      <c r="D3902" t="str">
        <f t="shared" si="60"/>
        <v>FUCAM3012</v>
      </c>
      <c r="E3902" t="s">
        <v>1606</v>
      </c>
    </row>
    <row r="3903" spans="1:5" hidden="1" x14ac:dyDescent="0.25">
      <c r="A3903">
        <v>2161</v>
      </c>
      <c r="B3903" t="s">
        <v>559</v>
      </c>
      <c r="C3903" t="s">
        <v>1607</v>
      </c>
      <c r="D3903" t="str">
        <f t="shared" si="60"/>
        <v>FUCAM3013</v>
      </c>
      <c r="E3903" t="s">
        <v>1600</v>
      </c>
    </row>
    <row r="3904" spans="1:5" hidden="1" x14ac:dyDescent="0.25">
      <c r="A3904">
        <v>2161</v>
      </c>
      <c r="B3904" t="s">
        <v>559</v>
      </c>
      <c r="C3904" t="s">
        <v>1608</v>
      </c>
      <c r="D3904" t="str">
        <f t="shared" si="60"/>
        <v>FUCAM3015</v>
      </c>
      <c r="E3904" t="s">
        <v>1600</v>
      </c>
    </row>
    <row r="3905" spans="1:5" hidden="1" x14ac:dyDescent="0.25">
      <c r="A3905">
        <v>2161</v>
      </c>
      <c r="B3905" t="s">
        <v>559</v>
      </c>
      <c r="C3905" t="s">
        <v>1609</v>
      </c>
      <c r="D3905" t="str">
        <f t="shared" si="60"/>
        <v>FUCAM3016</v>
      </c>
      <c r="E3905" t="s">
        <v>1600</v>
      </c>
    </row>
    <row r="3906" spans="1:5" hidden="1" x14ac:dyDescent="0.25">
      <c r="A3906">
        <v>2161</v>
      </c>
      <c r="B3906" t="s">
        <v>559</v>
      </c>
      <c r="C3906" t="s">
        <v>405</v>
      </c>
      <c r="D3906" t="str">
        <f t="shared" si="60"/>
        <v>FUCAM3017</v>
      </c>
      <c r="E3906" t="s">
        <v>1600</v>
      </c>
    </row>
    <row r="3907" spans="1:5" hidden="1" x14ac:dyDescent="0.25">
      <c r="A3907">
        <v>2161</v>
      </c>
      <c r="B3907" t="s">
        <v>559</v>
      </c>
      <c r="C3907" t="s">
        <v>410</v>
      </c>
      <c r="D3907" t="str">
        <f t="shared" si="60"/>
        <v>FUCAM3018</v>
      </c>
      <c r="E3907" t="s">
        <v>1600</v>
      </c>
    </row>
    <row r="3908" spans="1:5" hidden="1" x14ac:dyDescent="0.25">
      <c r="A3908">
        <v>2161</v>
      </c>
      <c r="B3908" t="s">
        <v>559</v>
      </c>
      <c r="C3908" t="s">
        <v>1610</v>
      </c>
      <c r="D3908" t="str">
        <f t="shared" si="60"/>
        <v>FUCAM3019</v>
      </c>
      <c r="E3908" t="s">
        <v>1611</v>
      </c>
    </row>
    <row r="3909" spans="1:5" hidden="1" x14ac:dyDescent="0.25">
      <c r="A3909">
        <v>2161</v>
      </c>
      <c r="B3909" t="s">
        <v>559</v>
      </c>
      <c r="C3909" t="s">
        <v>1612</v>
      </c>
      <c r="D3909" t="str">
        <f t="shared" ref="D3909:D3972" si="61">CONCATENATE(B3909,LEFT(C3909,4))</f>
        <v>FUCAM3020</v>
      </c>
      <c r="E3909" t="s">
        <v>1600</v>
      </c>
    </row>
    <row r="3910" spans="1:5" hidden="1" x14ac:dyDescent="0.25">
      <c r="A3910">
        <v>2161</v>
      </c>
      <c r="B3910" t="s">
        <v>559</v>
      </c>
      <c r="C3910" t="s">
        <v>1613</v>
      </c>
      <c r="D3910" t="str">
        <f t="shared" si="61"/>
        <v>FUCAM3021</v>
      </c>
      <c r="E3910" t="s">
        <v>1600</v>
      </c>
    </row>
    <row r="3911" spans="1:5" hidden="1" x14ac:dyDescent="0.25">
      <c r="A3911">
        <v>2161</v>
      </c>
      <c r="B3911" t="s">
        <v>559</v>
      </c>
      <c r="C3911" t="s">
        <v>430</v>
      </c>
      <c r="D3911" t="str">
        <f t="shared" si="61"/>
        <v>FUCAM3022</v>
      </c>
      <c r="E3911" t="s">
        <v>1600</v>
      </c>
    </row>
    <row r="3912" spans="1:5" hidden="1" x14ac:dyDescent="0.25">
      <c r="A3912">
        <v>2161</v>
      </c>
      <c r="B3912" t="s">
        <v>559</v>
      </c>
      <c r="C3912" t="s">
        <v>1614</v>
      </c>
      <c r="D3912" t="str">
        <f t="shared" si="61"/>
        <v>FUCAM3023</v>
      </c>
      <c r="E3912" t="s">
        <v>1615</v>
      </c>
    </row>
    <row r="3913" spans="1:5" hidden="1" x14ac:dyDescent="0.25">
      <c r="A3913">
        <v>2161</v>
      </c>
      <c r="B3913" t="s">
        <v>559</v>
      </c>
      <c r="C3913" t="s">
        <v>440</v>
      </c>
      <c r="D3913" t="str">
        <f t="shared" si="61"/>
        <v>FUCAM3024</v>
      </c>
      <c r="E3913" t="s">
        <v>1600</v>
      </c>
    </row>
    <row r="3914" spans="1:5" hidden="1" x14ac:dyDescent="0.25">
      <c r="A3914">
        <v>2161</v>
      </c>
      <c r="B3914" t="s">
        <v>559</v>
      </c>
      <c r="C3914" t="s">
        <v>1616</v>
      </c>
      <c r="D3914" t="str">
        <f t="shared" si="61"/>
        <v>FUCAM3025</v>
      </c>
      <c r="E3914" t="s">
        <v>1600</v>
      </c>
    </row>
    <row r="3915" spans="1:5" hidden="1" x14ac:dyDescent="0.25">
      <c r="A3915">
        <v>2161</v>
      </c>
      <c r="B3915" t="s">
        <v>559</v>
      </c>
      <c r="C3915" t="s">
        <v>1617</v>
      </c>
      <c r="D3915" t="str">
        <f t="shared" si="61"/>
        <v>FUCAM3026</v>
      </c>
      <c r="E3915" t="s">
        <v>1615</v>
      </c>
    </row>
    <row r="3916" spans="1:5" hidden="1" x14ac:dyDescent="0.25">
      <c r="A3916">
        <v>2161</v>
      </c>
      <c r="B3916" t="s">
        <v>559</v>
      </c>
      <c r="C3916" t="s">
        <v>1618</v>
      </c>
      <c r="D3916" t="str">
        <f t="shared" si="61"/>
        <v>FUCAM3027</v>
      </c>
      <c r="E3916" t="s">
        <v>1600</v>
      </c>
    </row>
    <row r="3917" spans="1:5" hidden="1" x14ac:dyDescent="0.25">
      <c r="A3917">
        <v>2161</v>
      </c>
      <c r="B3917" t="s">
        <v>559</v>
      </c>
      <c r="C3917" t="s">
        <v>1702</v>
      </c>
      <c r="D3917" t="str">
        <f t="shared" si="61"/>
        <v>FUCAM3029</v>
      </c>
      <c r="E3917" t="s">
        <v>1600</v>
      </c>
    </row>
    <row r="3918" spans="1:5" hidden="1" x14ac:dyDescent="0.25">
      <c r="A3918">
        <v>2161</v>
      </c>
      <c r="B3918" t="s">
        <v>559</v>
      </c>
      <c r="C3918" t="s">
        <v>466</v>
      </c>
      <c r="D3918" t="str">
        <f t="shared" si="61"/>
        <v>FUCAM3030</v>
      </c>
      <c r="E3918" t="s">
        <v>1600</v>
      </c>
    </row>
    <row r="3919" spans="1:5" hidden="1" x14ac:dyDescent="0.25">
      <c r="A3919">
        <v>2161</v>
      </c>
      <c r="B3919" t="s">
        <v>559</v>
      </c>
      <c r="C3919" t="s">
        <v>469</v>
      </c>
      <c r="D3919" t="str">
        <f t="shared" si="61"/>
        <v>FUCAM3031</v>
      </c>
      <c r="E3919" t="s">
        <v>1600</v>
      </c>
    </row>
    <row r="3920" spans="1:5" hidden="1" x14ac:dyDescent="0.25">
      <c r="A3920">
        <v>2161</v>
      </c>
      <c r="B3920" t="s">
        <v>559</v>
      </c>
      <c r="C3920" t="s">
        <v>486</v>
      </c>
      <c r="D3920" t="str">
        <f t="shared" si="61"/>
        <v>FUCAM3040</v>
      </c>
      <c r="E3920" t="s">
        <v>1600</v>
      </c>
    </row>
    <row r="3921" spans="1:5" hidden="1" x14ac:dyDescent="0.25">
      <c r="A3921">
        <v>2161</v>
      </c>
      <c r="B3921" t="s">
        <v>559</v>
      </c>
      <c r="C3921" t="s">
        <v>1703</v>
      </c>
      <c r="D3921" t="str">
        <f t="shared" si="61"/>
        <v>FUCAM3041</v>
      </c>
      <c r="E3921" t="s">
        <v>1623</v>
      </c>
    </row>
    <row r="3922" spans="1:5" hidden="1" x14ac:dyDescent="0.25">
      <c r="A3922">
        <v>2161</v>
      </c>
      <c r="B3922" t="s">
        <v>559</v>
      </c>
      <c r="C3922" t="s">
        <v>490</v>
      </c>
      <c r="D3922" t="str">
        <f t="shared" si="61"/>
        <v>FUCAM3099</v>
      </c>
      <c r="E3922" t="s">
        <v>1600</v>
      </c>
    </row>
    <row r="3923" spans="1:5" hidden="1" x14ac:dyDescent="0.25">
      <c r="A3923">
        <v>2161</v>
      </c>
      <c r="B3923" t="s">
        <v>559</v>
      </c>
      <c r="C3923" t="s">
        <v>1622</v>
      </c>
      <c r="D3923" t="str">
        <f t="shared" si="61"/>
        <v>FUCAM3101</v>
      </c>
      <c r="E3923" t="s">
        <v>1623</v>
      </c>
    </row>
    <row r="3924" spans="1:5" hidden="1" x14ac:dyDescent="0.25">
      <c r="A3924">
        <v>2161</v>
      </c>
      <c r="B3924" t="s">
        <v>559</v>
      </c>
      <c r="C3924" t="s">
        <v>53</v>
      </c>
      <c r="D3924" t="str">
        <f t="shared" si="61"/>
        <v>FUCAM3301</v>
      </c>
      <c r="E3924" t="s">
        <v>43</v>
      </c>
    </row>
    <row r="3925" spans="1:5" hidden="1" x14ac:dyDescent="0.25">
      <c r="A3925">
        <v>2161</v>
      </c>
      <c r="B3925" t="s">
        <v>559</v>
      </c>
      <c r="C3925" t="s">
        <v>1626</v>
      </c>
      <c r="D3925" t="str">
        <f t="shared" si="61"/>
        <v>FUCAM3302</v>
      </c>
      <c r="E3925" t="s">
        <v>43</v>
      </c>
    </row>
    <row r="3926" spans="1:5" hidden="1" x14ac:dyDescent="0.25">
      <c r="A3926">
        <v>2161</v>
      </c>
      <c r="B3926" t="s">
        <v>559</v>
      </c>
      <c r="C3926" t="s">
        <v>1627</v>
      </c>
      <c r="D3926" t="str">
        <f t="shared" si="61"/>
        <v>FUCAM3304</v>
      </c>
      <c r="E3926" t="s">
        <v>43</v>
      </c>
    </row>
    <row r="3927" spans="1:5" hidden="1" x14ac:dyDescent="0.25">
      <c r="A3927">
        <v>2161</v>
      </c>
      <c r="B3927" t="s">
        <v>559</v>
      </c>
      <c r="C3927" t="s">
        <v>308</v>
      </c>
      <c r="D3927" t="str">
        <f t="shared" si="61"/>
        <v>FUCAM3305</v>
      </c>
      <c r="E3927" t="s">
        <v>1623</v>
      </c>
    </row>
    <row r="3928" spans="1:5" hidden="1" x14ac:dyDescent="0.25">
      <c r="A3928">
        <v>2161</v>
      </c>
      <c r="B3928" t="s">
        <v>559</v>
      </c>
      <c r="C3928" t="s">
        <v>227</v>
      </c>
      <c r="D3928" t="str">
        <f t="shared" si="61"/>
        <v>FUCAM3401</v>
      </c>
      <c r="E3928" t="s">
        <v>1630</v>
      </c>
    </row>
    <row r="3929" spans="1:5" hidden="1" x14ac:dyDescent="0.25">
      <c r="A3929">
        <v>2161</v>
      </c>
      <c r="B3929" t="s">
        <v>559</v>
      </c>
      <c r="C3929" t="s">
        <v>296</v>
      </c>
      <c r="D3929" t="str">
        <f t="shared" si="61"/>
        <v>FUCAM3604</v>
      </c>
      <c r="E3929" t="s">
        <v>43</v>
      </c>
    </row>
    <row r="3930" spans="1:5" hidden="1" x14ac:dyDescent="0.25">
      <c r="A3930">
        <v>2161</v>
      </c>
      <c r="B3930" t="s">
        <v>559</v>
      </c>
      <c r="C3930" t="s">
        <v>1849</v>
      </c>
      <c r="D3930" t="str">
        <f t="shared" si="61"/>
        <v>FUCAM3606</v>
      </c>
      <c r="E3930" t="s">
        <v>86</v>
      </c>
    </row>
    <row r="3931" spans="1:5" hidden="1" x14ac:dyDescent="0.25">
      <c r="A3931">
        <v>2161</v>
      </c>
      <c r="B3931" t="s">
        <v>559</v>
      </c>
      <c r="C3931" t="s">
        <v>354</v>
      </c>
      <c r="D3931" t="str">
        <f t="shared" si="61"/>
        <v>FUCAM3610</v>
      </c>
      <c r="E3931" t="s">
        <v>1623</v>
      </c>
    </row>
    <row r="3932" spans="1:5" hidden="1" x14ac:dyDescent="0.25">
      <c r="A3932">
        <v>2161</v>
      </c>
      <c r="B3932" t="s">
        <v>559</v>
      </c>
      <c r="C3932" t="s">
        <v>1628</v>
      </c>
      <c r="D3932" t="str">
        <f t="shared" si="61"/>
        <v>FUCAM3612</v>
      </c>
      <c r="E3932" t="s">
        <v>1623</v>
      </c>
    </row>
    <row r="3933" spans="1:5" hidden="1" x14ac:dyDescent="0.25">
      <c r="A3933">
        <v>2161</v>
      </c>
      <c r="B3933" t="s">
        <v>559</v>
      </c>
      <c r="C3933" t="s">
        <v>400</v>
      </c>
      <c r="D3933" t="str">
        <f t="shared" si="61"/>
        <v>FUCAM3617</v>
      </c>
      <c r="E3933" t="s">
        <v>1623</v>
      </c>
    </row>
    <row r="3934" spans="1:5" hidden="1" x14ac:dyDescent="0.25">
      <c r="A3934">
        <v>2161</v>
      </c>
      <c r="B3934" t="s">
        <v>559</v>
      </c>
      <c r="C3934" t="s">
        <v>441</v>
      </c>
      <c r="D3934" t="str">
        <f t="shared" si="61"/>
        <v>FUCAM3625</v>
      </c>
      <c r="E3934" t="s">
        <v>1623</v>
      </c>
    </row>
    <row r="3935" spans="1:5" hidden="1" x14ac:dyDescent="0.25">
      <c r="A3935">
        <v>2161</v>
      </c>
      <c r="B3935" t="s">
        <v>559</v>
      </c>
      <c r="C3935" t="s">
        <v>446</v>
      </c>
      <c r="D3935" t="str">
        <f t="shared" si="61"/>
        <v>FUCAM3626</v>
      </c>
      <c r="E3935" t="s">
        <v>1623</v>
      </c>
    </row>
    <row r="3936" spans="1:5" hidden="1" x14ac:dyDescent="0.25">
      <c r="A3936">
        <v>2161</v>
      </c>
      <c r="B3936" t="s">
        <v>559</v>
      </c>
      <c r="C3936" t="s">
        <v>470</v>
      </c>
      <c r="D3936" t="str">
        <f t="shared" si="61"/>
        <v>FUCAM3699</v>
      </c>
      <c r="E3936" t="s">
        <v>1623</v>
      </c>
    </row>
    <row r="3937" spans="1:5" hidden="1" x14ac:dyDescent="0.25">
      <c r="A3937">
        <v>2161</v>
      </c>
      <c r="B3937" t="s">
        <v>559</v>
      </c>
      <c r="C3937" t="s">
        <v>1632</v>
      </c>
      <c r="D3937" t="str">
        <f t="shared" si="61"/>
        <v>FUCAM3704</v>
      </c>
      <c r="E3937" t="s">
        <v>116</v>
      </c>
    </row>
    <row r="3938" spans="1:5" hidden="1" x14ac:dyDescent="0.25">
      <c r="A3938">
        <v>2161</v>
      </c>
      <c r="B3938" t="s">
        <v>559</v>
      </c>
      <c r="C3938" t="s">
        <v>1633</v>
      </c>
      <c r="D3938" t="str">
        <f t="shared" si="61"/>
        <v>FUCAM3705</v>
      </c>
      <c r="E3938" t="s">
        <v>116</v>
      </c>
    </row>
    <row r="3939" spans="1:5" hidden="1" x14ac:dyDescent="0.25">
      <c r="A3939">
        <v>2161</v>
      </c>
      <c r="B3939" t="s">
        <v>559</v>
      </c>
      <c r="C3939" t="s">
        <v>232</v>
      </c>
      <c r="D3939" t="str">
        <f t="shared" si="61"/>
        <v>FUCAM3901</v>
      </c>
      <c r="E3939" t="s">
        <v>1596</v>
      </c>
    </row>
    <row r="3940" spans="1:5" hidden="1" x14ac:dyDescent="0.25">
      <c r="A3940">
        <v>2161</v>
      </c>
      <c r="B3940" t="s">
        <v>559</v>
      </c>
      <c r="C3940" t="s">
        <v>1830</v>
      </c>
      <c r="D3940" t="str">
        <f t="shared" si="61"/>
        <v>FUCAM3902</v>
      </c>
      <c r="E3940" t="s">
        <v>1596</v>
      </c>
    </row>
    <row r="3941" spans="1:5" hidden="1" x14ac:dyDescent="0.25">
      <c r="A3941">
        <v>2161</v>
      </c>
      <c r="B3941" t="s">
        <v>559</v>
      </c>
      <c r="C3941" t="s">
        <v>1634</v>
      </c>
      <c r="D3941" t="str">
        <f t="shared" si="61"/>
        <v>FUCAM3903</v>
      </c>
      <c r="E3941" t="s">
        <v>86</v>
      </c>
    </row>
    <row r="3942" spans="1:5" hidden="1" x14ac:dyDescent="0.25">
      <c r="A3942">
        <v>2161</v>
      </c>
      <c r="B3942" t="s">
        <v>559</v>
      </c>
      <c r="C3942" t="s">
        <v>298</v>
      </c>
      <c r="D3942" t="str">
        <f t="shared" si="61"/>
        <v>FUCAM3904</v>
      </c>
      <c r="E3942" t="s">
        <v>1623</v>
      </c>
    </row>
    <row r="3943" spans="1:5" hidden="1" x14ac:dyDescent="0.25">
      <c r="A3943">
        <v>2161</v>
      </c>
      <c r="B3943" t="s">
        <v>559</v>
      </c>
      <c r="C3943" t="s">
        <v>1635</v>
      </c>
      <c r="D3943" t="str">
        <f t="shared" si="61"/>
        <v>FUCAM3908</v>
      </c>
      <c r="E3943" t="s">
        <v>1623</v>
      </c>
    </row>
    <row r="3944" spans="1:5" hidden="1" x14ac:dyDescent="0.25">
      <c r="A3944">
        <v>2161</v>
      </c>
      <c r="B3944" t="s">
        <v>559</v>
      </c>
      <c r="C3944" t="s">
        <v>345</v>
      </c>
      <c r="D3944" t="str">
        <f t="shared" si="61"/>
        <v>FUCAM3910</v>
      </c>
      <c r="E3944" t="s">
        <v>1623</v>
      </c>
    </row>
    <row r="3945" spans="1:5" hidden="1" x14ac:dyDescent="0.25">
      <c r="A3945">
        <v>2161</v>
      </c>
      <c r="B3945" t="s">
        <v>559</v>
      </c>
      <c r="C3945" t="s">
        <v>355</v>
      </c>
      <c r="D3945" t="str">
        <f t="shared" si="61"/>
        <v>FUCAM3911</v>
      </c>
      <c r="E3945" t="s">
        <v>1623</v>
      </c>
    </row>
    <row r="3946" spans="1:5" hidden="1" x14ac:dyDescent="0.25">
      <c r="A3946">
        <v>2161</v>
      </c>
      <c r="B3946" t="s">
        <v>559</v>
      </c>
      <c r="C3946" t="s">
        <v>1636</v>
      </c>
      <c r="D3946" t="str">
        <f t="shared" si="61"/>
        <v>FUCAM3912</v>
      </c>
      <c r="E3946" t="s">
        <v>1637</v>
      </c>
    </row>
    <row r="3947" spans="1:5" hidden="1" x14ac:dyDescent="0.25">
      <c r="A3947">
        <v>2161</v>
      </c>
      <c r="B3947" t="s">
        <v>559</v>
      </c>
      <c r="C3947" t="s">
        <v>1638</v>
      </c>
      <c r="D3947" t="str">
        <f t="shared" si="61"/>
        <v>FUCAM3913</v>
      </c>
      <c r="E3947" t="s">
        <v>1637</v>
      </c>
    </row>
    <row r="3948" spans="1:5" hidden="1" x14ac:dyDescent="0.25">
      <c r="A3948">
        <v>2161</v>
      </c>
      <c r="B3948" t="s">
        <v>559</v>
      </c>
      <c r="C3948" t="s">
        <v>1639</v>
      </c>
      <c r="D3948" t="str">
        <f t="shared" si="61"/>
        <v>FUCAM3917</v>
      </c>
      <c r="E3948" t="s">
        <v>1615</v>
      </c>
    </row>
    <row r="3949" spans="1:5" hidden="1" x14ac:dyDescent="0.25">
      <c r="A3949">
        <v>2161</v>
      </c>
      <c r="B3949" t="s">
        <v>559</v>
      </c>
      <c r="C3949" t="s">
        <v>1640</v>
      </c>
      <c r="D3949" t="str">
        <f t="shared" si="61"/>
        <v>FUCAM3918</v>
      </c>
      <c r="E3949" t="s">
        <v>1615</v>
      </c>
    </row>
    <row r="3950" spans="1:5" hidden="1" x14ac:dyDescent="0.25">
      <c r="A3950">
        <v>2161</v>
      </c>
      <c r="B3950" t="s">
        <v>559</v>
      </c>
      <c r="C3950" t="s">
        <v>1641</v>
      </c>
      <c r="D3950" t="str">
        <f t="shared" si="61"/>
        <v>FUCAM3919</v>
      </c>
      <c r="E3950" t="s">
        <v>2102</v>
      </c>
    </row>
    <row r="3951" spans="1:5" hidden="1" x14ac:dyDescent="0.25">
      <c r="A3951">
        <v>2161</v>
      </c>
      <c r="B3951" t="s">
        <v>559</v>
      </c>
      <c r="C3951" t="s">
        <v>1642</v>
      </c>
      <c r="D3951" t="str">
        <f t="shared" si="61"/>
        <v>FUCAM3921</v>
      </c>
      <c r="E3951" t="s">
        <v>2102</v>
      </c>
    </row>
    <row r="3952" spans="1:5" hidden="1" x14ac:dyDescent="0.25">
      <c r="A3952">
        <v>2161</v>
      </c>
      <c r="B3952" t="s">
        <v>559</v>
      </c>
      <c r="C3952" t="s">
        <v>1643</v>
      </c>
      <c r="D3952" t="str">
        <f t="shared" si="61"/>
        <v>FUCAM3922</v>
      </c>
      <c r="E3952" t="s">
        <v>1611</v>
      </c>
    </row>
    <row r="3953" spans="1:5" hidden="1" x14ac:dyDescent="0.25">
      <c r="A3953">
        <v>2161</v>
      </c>
      <c r="B3953" t="s">
        <v>559</v>
      </c>
      <c r="C3953" t="s">
        <v>1644</v>
      </c>
      <c r="D3953" t="str">
        <f t="shared" si="61"/>
        <v>FUCAM3924</v>
      </c>
      <c r="E3953" t="s">
        <v>1645</v>
      </c>
    </row>
    <row r="3954" spans="1:5" hidden="1" x14ac:dyDescent="0.25">
      <c r="A3954">
        <v>2161</v>
      </c>
      <c r="B3954" t="s">
        <v>559</v>
      </c>
      <c r="C3954" t="s">
        <v>437</v>
      </c>
      <c r="D3954" t="str">
        <f t="shared" si="61"/>
        <v>FUCAM3925</v>
      </c>
      <c r="E3954" t="s">
        <v>1646</v>
      </c>
    </row>
    <row r="3955" spans="1:5" hidden="1" x14ac:dyDescent="0.25">
      <c r="A3955">
        <v>2161</v>
      </c>
      <c r="B3955" t="s">
        <v>559</v>
      </c>
      <c r="C3955" t="s">
        <v>442</v>
      </c>
      <c r="D3955" t="str">
        <f t="shared" si="61"/>
        <v>FUCAM3926</v>
      </c>
      <c r="E3955" t="s">
        <v>1646</v>
      </c>
    </row>
    <row r="3956" spans="1:5" hidden="1" x14ac:dyDescent="0.25">
      <c r="A3956">
        <v>2161</v>
      </c>
      <c r="B3956" t="s">
        <v>559</v>
      </c>
      <c r="C3956" t="s">
        <v>1650</v>
      </c>
      <c r="D3956" t="str">
        <f t="shared" si="61"/>
        <v>FUCAM3931</v>
      </c>
      <c r="E3956" t="s">
        <v>1623</v>
      </c>
    </row>
    <row r="3957" spans="1:5" hidden="1" x14ac:dyDescent="0.25">
      <c r="A3957">
        <v>2161</v>
      </c>
      <c r="B3957" t="s">
        <v>559</v>
      </c>
      <c r="C3957" t="s">
        <v>465</v>
      </c>
      <c r="D3957" t="str">
        <f t="shared" si="61"/>
        <v>FUCAM3933</v>
      </c>
      <c r="E3957" t="s">
        <v>1623</v>
      </c>
    </row>
    <row r="3958" spans="1:5" hidden="1" x14ac:dyDescent="0.25">
      <c r="A3958">
        <v>2161</v>
      </c>
      <c r="B3958" t="s">
        <v>559</v>
      </c>
      <c r="C3958" t="s">
        <v>1652</v>
      </c>
      <c r="D3958" t="str">
        <f t="shared" si="61"/>
        <v>FUCAM3936</v>
      </c>
      <c r="E3958" t="s">
        <v>93</v>
      </c>
    </row>
    <row r="3959" spans="1:5" hidden="1" x14ac:dyDescent="0.25">
      <c r="A3959">
        <v>2161</v>
      </c>
      <c r="B3959" t="s">
        <v>559</v>
      </c>
      <c r="C3959" t="s">
        <v>1695</v>
      </c>
      <c r="D3959" t="str">
        <f t="shared" si="61"/>
        <v>FUCAM3937</v>
      </c>
      <c r="E3959" t="s">
        <v>1692</v>
      </c>
    </row>
    <row r="3960" spans="1:5" hidden="1" x14ac:dyDescent="0.25">
      <c r="A3960">
        <v>2161</v>
      </c>
      <c r="B3960" t="s">
        <v>559</v>
      </c>
      <c r="C3960" t="s">
        <v>1714</v>
      </c>
      <c r="D3960" t="str">
        <f t="shared" si="61"/>
        <v>FUCAM3939</v>
      </c>
      <c r="E3960" t="s">
        <v>1623</v>
      </c>
    </row>
    <row r="3961" spans="1:5" hidden="1" x14ac:dyDescent="0.25">
      <c r="A3961">
        <v>2161</v>
      </c>
      <c r="B3961" t="s">
        <v>559</v>
      </c>
      <c r="C3961" t="s">
        <v>1653</v>
      </c>
      <c r="D3961" t="str">
        <f t="shared" si="61"/>
        <v>FUCAM3940</v>
      </c>
      <c r="E3961" t="s">
        <v>1648</v>
      </c>
    </row>
    <row r="3962" spans="1:5" hidden="1" x14ac:dyDescent="0.25">
      <c r="A3962">
        <v>2161</v>
      </c>
      <c r="B3962" t="s">
        <v>559</v>
      </c>
      <c r="C3962" t="s">
        <v>479</v>
      </c>
      <c r="D3962" t="str">
        <f t="shared" si="61"/>
        <v>FUCAM3941</v>
      </c>
      <c r="E3962" t="s">
        <v>1623</v>
      </c>
    </row>
    <row r="3963" spans="1:5" hidden="1" x14ac:dyDescent="0.25">
      <c r="A3963">
        <v>2161</v>
      </c>
      <c r="B3963" t="s">
        <v>559</v>
      </c>
      <c r="C3963" t="s">
        <v>1654</v>
      </c>
      <c r="D3963" t="str">
        <f t="shared" si="61"/>
        <v>FUCAM3943</v>
      </c>
      <c r="E3963" t="s">
        <v>1615</v>
      </c>
    </row>
    <row r="3964" spans="1:5" hidden="1" x14ac:dyDescent="0.25">
      <c r="A3964">
        <v>2161</v>
      </c>
      <c r="B3964" t="s">
        <v>559</v>
      </c>
      <c r="C3964" t="s">
        <v>1715</v>
      </c>
      <c r="D3964" t="str">
        <f t="shared" si="61"/>
        <v>FUCAM3949</v>
      </c>
      <c r="E3964" t="s">
        <v>1645</v>
      </c>
    </row>
    <row r="3965" spans="1:5" hidden="1" x14ac:dyDescent="0.25">
      <c r="A3965">
        <v>2161</v>
      </c>
      <c r="B3965" t="s">
        <v>559</v>
      </c>
      <c r="C3965" t="s">
        <v>1655</v>
      </c>
      <c r="D3965" t="str">
        <f t="shared" si="61"/>
        <v>FUCAM3950</v>
      </c>
      <c r="E3965" t="s">
        <v>43</v>
      </c>
    </row>
    <row r="3966" spans="1:5" hidden="1" x14ac:dyDescent="0.25">
      <c r="A3966">
        <v>2161</v>
      </c>
      <c r="B3966" t="s">
        <v>559</v>
      </c>
      <c r="C3966" t="s">
        <v>1701</v>
      </c>
      <c r="D3966" t="str">
        <f t="shared" si="61"/>
        <v>FUCAM3952</v>
      </c>
      <c r="E3966" t="s">
        <v>64</v>
      </c>
    </row>
    <row r="3967" spans="1:5" hidden="1" x14ac:dyDescent="0.25">
      <c r="A3967">
        <v>2161</v>
      </c>
      <c r="B3967" t="s">
        <v>559</v>
      </c>
      <c r="C3967" t="s">
        <v>497</v>
      </c>
      <c r="D3967" t="str">
        <f t="shared" si="61"/>
        <v>FUCAM3955</v>
      </c>
      <c r="E3967" t="s">
        <v>1623</v>
      </c>
    </row>
    <row r="3968" spans="1:5" hidden="1" x14ac:dyDescent="0.25">
      <c r="A3968">
        <v>2161</v>
      </c>
      <c r="B3968" t="s">
        <v>559</v>
      </c>
      <c r="C3968" t="s">
        <v>1660</v>
      </c>
      <c r="D3968" t="str">
        <f t="shared" si="61"/>
        <v>FUCAM3970</v>
      </c>
      <c r="E3968" t="s">
        <v>1648</v>
      </c>
    </row>
    <row r="3969" spans="1:5" hidden="1" x14ac:dyDescent="0.25">
      <c r="A3969">
        <v>2161</v>
      </c>
      <c r="B3969" t="s">
        <v>559</v>
      </c>
      <c r="C3969" t="s">
        <v>512</v>
      </c>
      <c r="D3969" t="str">
        <f t="shared" si="61"/>
        <v>FUCAM3971</v>
      </c>
      <c r="E3969" t="s">
        <v>2103</v>
      </c>
    </row>
    <row r="3970" spans="1:5" hidden="1" x14ac:dyDescent="0.25">
      <c r="A3970">
        <v>2161</v>
      </c>
      <c r="B3970" t="s">
        <v>559</v>
      </c>
      <c r="C3970" t="s">
        <v>1725</v>
      </c>
      <c r="D3970" t="str">
        <f t="shared" si="61"/>
        <v>FUCAM3973</v>
      </c>
      <c r="E3970" t="s">
        <v>1623</v>
      </c>
    </row>
    <row r="3971" spans="1:5" hidden="1" x14ac:dyDescent="0.25">
      <c r="A3971">
        <v>2161</v>
      </c>
      <c r="B3971" t="s">
        <v>559</v>
      </c>
      <c r="C3971" t="s">
        <v>1726</v>
      </c>
      <c r="D3971" t="str">
        <f t="shared" si="61"/>
        <v>FUCAM3980</v>
      </c>
      <c r="E3971" t="s">
        <v>1689</v>
      </c>
    </row>
    <row r="3972" spans="1:5" hidden="1" x14ac:dyDescent="0.25">
      <c r="A3972">
        <v>2161</v>
      </c>
      <c r="B3972" t="s">
        <v>559</v>
      </c>
      <c r="C3972" t="s">
        <v>1661</v>
      </c>
      <c r="D3972" t="str">
        <f t="shared" si="61"/>
        <v>FUCAM3987</v>
      </c>
      <c r="E3972" t="s">
        <v>1615</v>
      </c>
    </row>
    <row r="3973" spans="1:5" hidden="1" x14ac:dyDescent="0.25">
      <c r="A3973">
        <v>2161</v>
      </c>
      <c r="B3973" t="s">
        <v>559</v>
      </c>
      <c r="C3973" t="s">
        <v>1764</v>
      </c>
      <c r="D3973" t="str">
        <f t="shared" ref="D3973:D4036" si="62">CONCATENATE(B3973,LEFT(C3973,4))</f>
        <v>FUCAM3993</v>
      </c>
      <c r="E3973" t="s">
        <v>1623</v>
      </c>
    </row>
    <row r="3974" spans="1:5" hidden="1" x14ac:dyDescent="0.25">
      <c r="A3974">
        <v>2161</v>
      </c>
      <c r="B3974" t="s">
        <v>559</v>
      </c>
      <c r="C3974" t="s">
        <v>1663</v>
      </c>
      <c r="D3974" t="str">
        <f t="shared" si="62"/>
        <v>FUCAM3999</v>
      </c>
      <c r="E3974" t="s">
        <v>1623</v>
      </c>
    </row>
    <row r="3975" spans="1:5" hidden="1" x14ac:dyDescent="0.25">
      <c r="A3975">
        <v>2161</v>
      </c>
      <c r="B3975" t="s">
        <v>559</v>
      </c>
      <c r="C3975" t="s">
        <v>1664</v>
      </c>
      <c r="D3975" t="str">
        <f t="shared" si="62"/>
        <v>FUCAM4002</v>
      </c>
      <c r="E3975" t="s">
        <v>1648</v>
      </c>
    </row>
    <row r="3976" spans="1:5" hidden="1" x14ac:dyDescent="0.25">
      <c r="A3976">
        <v>2161</v>
      </c>
      <c r="B3976" t="s">
        <v>559</v>
      </c>
      <c r="C3976" t="s">
        <v>1665</v>
      </c>
      <c r="D3976" t="str">
        <f t="shared" si="62"/>
        <v>FUCAM4003</v>
      </c>
      <c r="E3976" t="s">
        <v>93</v>
      </c>
    </row>
    <row r="3977" spans="1:5" hidden="1" x14ac:dyDescent="0.25">
      <c r="A3977">
        <v>2161</v>
      </c>
      <c r="B3977" t="s">
        <v>559</v>
      </c>
      <c r="C3977" t="s">
        <v>1666</v>
      </c>
      <c r="D3977" t="str">
        <f t="shared" si="62"/>
        <v>FUCAM4004</v>
      </c>
      <c r="E3977" t="s">
        <v>1648</v>
      </c>
    </row>
    <row r="3978" spans="1:5" hidden="1" x14ac:dyDescent="0.25">
      <c r="A3978">
        <v>2161</v>
      </c>
      <c r="B3978" t="s">
        <v>559</v>
      </c>
      <c r="C3978" t="s">
        <v>1667</v>
      </c>
      <c r="D3978" t="str">
        <f t="shared" si="62"/>
        <v>FUCAM4005</v>
      </c>
      <c r="E3978" t="s">
        <v>1648</v>
      </c>
    </row>
    <row r="3979" spans="1:5" hidden="1" x14ac:dyDescent="0.25">
      <c r="A3979">
        <v>2161</v>
      </c>
      <c r="B3979" t="s">
        <v>559</v>
      </c>
      <c r="C3979" t="s">
        <v>1719</v>
      </c>
      <c r="D3979" t="str">
        <f t="shared" si="62"/>
        <v>FUCAM4101</v>
      </c>
      <c r="E3979" t="s">
        <v>1623</v>
      </c>
    </row>
    <row r="3980" spans="1:5" hidden="1" x14ac:dyDescent="0.25">
      <c r="A3980">
        <v>2161</v>
      </c>
      <c r="B3980" t="s">
        <v>559</v>
      </c>
      <c r="C3980" t="s">
        <v>1668</v>
      </c>
      <c r="D3980" t="str">
        <f t="shared" si="62"/>
        <v>FUCAM4701</v>
      </c>
      <c r="E3980" t="s">
        <v>1669</v>
      </c>
    </row>
    <row r="3981" spans="1:5" hidden="1" x14ac:dyDescent="0.25">
      <c r="A3981">
        <v>2161</v>
      </c>
      <c r="B3981" t="s">
        <v>559</v>
      </c>
      <c r="C3981" t="s">
        <v>264</v>
      </c>
      <c r="D3981" t="str">
        <f t="shared" si="62"/>
        <v>FUCAM4703</v>
      </c>
      <c r="E3981" t="s">
        <v>1669</v>
      </c>
    </row>
    <row r="3982" spans="1:5" hidden="1" x14ac:dyDescent="0.25">
      <c r="A3982">
        <v>2161</v>
      </c>
      <c r="B3982" t="s">
        <v>559</v>
      </c>
      <c r="C3982" t="s">
        <v>315</v>
      </c>
      <c r="D3982" t="str">
        <f t="shared" si="62"/>
        <v>FUCAM4706</v>
      </c>
      <c r="E3982" t="s">
        <v>1669</v>
      </c>
    </row>
    <row r="3983" spans="1:5" hidden="1" x14ac:dyDescent="0.25">
      <c r="A3983">
        <v>2161</v>
      </c>
      <c r="B3983" t="s">
        <v>559</v>
      </c>
      <c r="C3983" t="s">
        <v>1798</v>
      </c>
      <c r="D3983" t="str">
        <f t="shared" si="62"/>
        <v>FUCAM5102</v>
      </c>
      <c r="E3983" t="s">
        <v>1671</v>
      </c>
    </row>
    <row r="3984" spans="1:5" hidden="1" x14ac:dyDescent="0.25">
      <c r="A3984">
        <v>2161</v>
      </c>
      <c r="B3984" t="s">
        <v>559</v>
      </c>
      <c r="C3984" t="s">
        <v>172</v>
      </c>
      <c r="D3984" t="str">
        <f t="shared" si="62"/>
        <v>FUCAM5107</v>
      </c>
      <c r="E3984" t="s">
        <v>1671</v>
      </c>
    </row>
    <row r="3985" spans="1:5" hidden="1" x14ac:dyDescent="0.25">
      <c r="A3985">
        <v>2161</v>
      </c>
      <c r="B3985" t="s">
        <v>559</v>
      </c>
      <c r="C3985" t="s">
        <v>1768</v>
      </c>
      <c r="D3985" t="str">
        <f t="shared" si="62"/>
        <v>FUCAM5112</v>
      </c>
      <c r="E3985" t="s">
        <v>1671</v>
      </c>
    </row>
    <row r="3986" spans="1:5" hidden="1" x14ac:dyDescent="0.25">
      <c r="A3986">
        <v>2161</v>
      </c>
      <c r="B3986" t="s">
        <v>559</v>
      </c>
      <c r="C3986" t="s">
        <v>1673</v>
      </c>
      <c r="D3986" t="str">
        <f t="shared" si="62"/>
        <v>FUCAM5204</v>
      </c>
      <c r="E3986" t="s">
        <v>1674</v>
      </c>
    </row>
    <row r="3987" spans="1:5" hidden="1" x14ac:dyDescent="0.25">
      <c r="A3987">
        <v>2161</v>
      </c>
      <c r="B3987" t="s">
        <v>559</v>
      </c>
      <c r="C3987" t="s">
        <v>328</v>
      </c>
      <c r="D3987" t="str">
        <f t="shared" si="62"/>
        <v>FUCAM5206</v>
      </c>
      <c r="E3987" t="s">
        <v>1675</v>
      </c>
    </row>
    <row r="3988" spans="1:5" hidden="1" x14ac:dyDescent="0.25">
      <c r="A3988">
        <v>2161</v>
      </c>
      <c r="B3988" t="s">
        <v>559</v>
      </c>
      <c r="C3988" t="s">
        <v>1676</v>
      </c>
      <c r="D3988" t="str">
        <f t="shared" si="62"/>
        <v>FUCAM5207</v>
      </c>
      <c r="E3988" t="s">
        <v>1675</v>
      </c>
    </row>
    <row r="3989" spans="1:5" hidden="1" x14ac:dyDescent="0.25">
      <c r="A3989">
        <v>2161</v>
      </c>
      <c r="B3989" t="s">
        <v>559</v>
      </c>
      <c r="C3989" t="s">
        <v>1677</v>
      </c>
      <c r="D3989" t="str">
        <f t="shared" si="62"/>
        <v>FUCAM5208</v>
      </c>
      <c r="E3989" t="s">
        <v>1675</v>
      </c>
    </row>
    <row r="3990" spans="1:5" hidden="1" x14ac:dyDescent="0.25">
      <c r="A3990">
        <v>2161</v>
      </c>
      <c r="B3990" t="s">
        <v>559</v>
      </c>
      <c r="C3990" t="s">
        <v>1678</v>
      </c>
      <c r="D3990" t="str">
        <f t="shared" si="62"/>
        <v>FUCAM5210</v>
      </c>
      <c r="E3990" t="s">
        <v>1674</v>
      </c>
    </row>
    <row r="3991" spans="1:5" hidden="1" x14ac:dyDescent="0.25">
      <c r="A3991">
        <v>2161</v>
      </c>
      <c r="B3991" t="s">
        <v>559</v>
      </c>
      <c r="C3991" t="s">
        <v>1713</v>
      </c>
      <c r="D3991" t="str">
        <f t="shared" si="62"/>
        <v>FUCAM5211</v>
      </c>
      <c r="E3991" t="s">
        <v>1606</v>
      </c>
    </row>
    <row r="3992" spans="1:5" hidden="1" x14ac:dyDescent="0.25">
      <c r="A3992">
        <v>2161</v>
      </c>
      <c r="B3992" t="s">
        <v>559</v>
      </c>
      <c r="C3992" t="s">
        <v>1679</v>
      </c>
      <c r="D3992" t="str">
        <f t="shared" si="62"/>
        <v>FUCAM5212</v>
      </c>
      <c r="E3992" t="s">
        <v>1674</v>
      </c>
    </row>
    <row r="3993" spans="1:5" hidden="1" x14ac:dyDescent="0.25">
      <c r="A3993">
        <v>2161</v>
      </c>
      <c r="B3993" t="s">
        <v>559</v>
      </c>
      <c r="C3993" t="s">
        <v>384</v>
      </c>
      <c r="D3993" t="str">
        <f t="shared" si="62"/>
        <v>FUCAM5213</v>
      </c>
      <c r="E3993" t="s">
        <v>1674</v>
      </c>
    </row>
    <row r="3994" spans="1:5" hidden="1" x14ac:dyDescent="0.25">
      <c r="A3994">
        <v>2161</v>
      </c>
      <c r="B3994" t="s">
        <v>559</v>
      </c>
      <c r="C3994" t="s">
        <v>390</v>
      </c>
      <c r="D3994" t="str">
        <f t="shared" si="62"/>
        <v>FUCAM5214</v>
      </c>
      <c r="E3994" t="s">
        <v>1674</v>
      </c>
    </row>
    <row r="3995" spans="1:5" hidden="1" x14ac:dyDescent="0.25">
      <c r="A3995">
        <v>2161</v>
      </c>
      <c r="B3995" t="s">
        <v>559</v>
      </c>
      <c r="C3995" t="s">
        <v>402</v>
      </c>
      <c r="D3995" t="str">
        <f t="shared" si="62"/>
        <v>FUCAM5216</v>
      </c>
      <c r="E3995" t="s">
        <v>1674</v>
      </c>
    </row>
    <row r="3996" spans="1:5" hidden="1" x14ac:dyDescent="0.25">
      <c r="A3996">
        <v>2161</v>
      </c>
      <c r="B3996" t="s">
        <v>559</v>
      </c>
      <c r="C3996" t="s">
        <v>408</v>
      </c>
      <c r="D3996" t="str">
        <f t="shared" si="62"/>
        <v>FUCAM5217</v>
      </c>
      <c r="E3996" t="s">
        <v>1674</v>
      </c>
    </row>
    <row r="3997" spans="1:5" hidden="1" x14ac:dyDescent="0.25">
      <c r="A3997">
        <v>2161</v>
      </c>
      <c r="B3997" t="s">
        <v>559</v>
      </c>
      <c r="C3997" t="s">
        <v>418</v>
      </c>
      <c r="D3997" t="str">
        <f t="shared" si="62"/>
        <v>FUCAM5219</v>
      </c>
      <c r="E3997" t="s">
        <v>1674</v>
      </c>
    </row>
    <row r="3998" spans="1:5" hidden="1" x14ac:dyDescent="0.25">
      <c r="A3998">
        <v>2161</v>
      </c>
      <c r="B3998" t="s">
        <v>559</v>
      </c>
      <c r="C3998" t="s">
        <v>1681</v>
      </c>
      <c r="D3998" t="str">
        <f t="shared" si="62"/>
        <v>FUCAM5220</v>
      </c>
      <c r="E3998" t="s">
        <v>1675</v>
      </c>
    </row>
    <row r="3999" spans="1:5" hidden="1" x14ac:dyDescent="0.25">
      <c r="A3999">
        <v>2161</v>
      </c>
      <c r="B3999" t="s">
        <v>559</v>
      </c>
      <c r="C3999" t="s">
        <v>428</v>
      </c>
      <c r="D3999" t="str">
        <f t="shared" si="62"/>
        <v>FUCAM5221</v>
      </c>
      <c r="E3999" t="s">
        <v>1674</v>
      </c>
    </row>
    <row r="4000" spans="1:5" hidden="1" x14ac:dyDescent="0.25">
      <c r="A4000">
        <v>2161</v>
      </c>
      <c r="B4000" t="s">
        <v>559</v>
      </c>
      <c r="C4000" t="s">
        <v>433</v>
      </c>
      <c r="D4000" t="str">
        <f t="shared" si="62"/>
        <v>FUCAM5222</v>
      </c>
      <c r="E4000" t="s">
        <v>1674</v>
      </c>
    </row>
    <row r="4001" spans="1:5" hidden="1" x14ac:dyDescent="0.25">
      <c r="A4001">
        <v>2161</v>
      </c>
      <c r="B4001" t="s">
        <v>559</v>
      </c>
      <c r="C4001" t="s">
        <v>448</v>
      </c>
      <c r="D4001" t="str">
        <f t="shared" si="62"/>
        <v>FUCAM5225</v>
      </c>
      <c r="E4001" t="s">
        <v>1674</v>
      </c>
    </row>
    <row r="4002" spans="1:5" hidden="1" x14ac:dyDescent="0.25">
      <c r="A4002">
        <v>2161</v>
      </c>
      <c r="B4002" t="s">
        <v>559</v>
      </c>
      <c r="C4002" t="s">
        <v>1682</v>
      </c>
      <c r="D4002" t="str">
        <f t="shared" si="62"/>
        <v>FUCAM5226</v>
      </c>
      <c r="E4002" t="s">
        <v>1674</v>
      </c>
    </row>
    <row r="4003" spans="1:5" hidden="1" x14ac:dyDescent="0.25">
      <c r="A4003">
        <v>2161</v>
      </c>
      <c r="B4003" t="s">
        <v>559</v>
      </c>
      <c r="C4003" t="s">
        <v>458</v>
      </c>
      <c r="D4003" t="str">
        <f t="shared" si="62"/>
        <v>FUCAM5299</v>
      </c>
      <c r="E4003" t="s">
        <v>1674</v>
      </c>
    </row>
    <row r="4004" spans="1:5" hidden="1" x14ac:dyDescent="0.25">
      <c r="A4004">
        <v>2161</v>
      </c>
      <c r="B4004" t="s">
        <v>559</v>
      </c>
      <c r="C4004" t="s">
        <v>1822</v>
      </c>
      <c r="D4004" t="str">
        <f t="shared" si="62"/>
        <v>FUCAM5905</v>
      </c>
      <c r="E4004" t="s">
        <v>1623</v>
      </c>
    </row>
    <row r="4005" spans="1:5" hidden="1" x14ac:dyDescent="0.25">
      <c r="A4005">
        <v>2161</v>
      </c>
      <c r="B4005" t="s">
        <v>559</v>
      </c>
      <c r="C4005" t="s">
        <v>1723</v>
      </c>
      <c r="D4005" t="str">
        <f t="shared" si="62"/>
        <v>FUCAM9108</v>
      </c>
      <c r="E4005" t="s">
        <v>1724</v>
      </c>
    </row>
    <row r="4006" spans="1:5" hidden="1" x14ac:dyDescent="0.25">
      <c r="A4006">
        <v>2161</v>
      </c>
      <c r="B4006" t="s">
        <v>559</v>
      </c>
      <c r="C4006" t="s">
        <v>1684</v>
      </c>
      <c r="D4006" t="str">
        <f t="shared" si="62"/>
        <v>FUCAM9202</v>
      </c>
      <c r="E4006" t="s">
        <v>1685</v>
      </c>
    </row>
    <row r="4007" spans="1:5" hidden="1" x14ac:dyDescent="0.25">
      <c r="A4007">
        <v>2161</v>
      </c>
      <c r="B4007" t="s">
        <v>559</v>
      </c>
      <c r="C4007" t="s">
        <v>1687</v>
      </c>
      <c r="D4007" t="str">
        <f t="shared" si="62"/>
        <v>FUCAM9399</v>
      </c>
      <c r="E4007" t="s">
        <v>1623</v>
      </c>
    </row>
    <row r="4008" spans="1:5" hidden="1" x14ac:dyDescent="0.25">
      <c r="A4008">
        <v>2171</v>
      </c>
      <c r="B4008" t="s">
        <v>37</v>
      </c>
      <c r="C4008" t="s">
        <v>1688</v>
      </c>
      <c r="D4008" t="str">
        <f t="shared" si="62"/>
        <v>FAOP1317</v>
      </c>
      <c r="E4008" t="s">
        <v>1689</v>
      </c>
    </row>
    <row r="4009" spans="1:5" hidden="1" x14ac:dyDescent="0.25">
      <c r="A4009">
        <v>2171</v>
      </c>
      <c r="B4009" t="s">
        <v>37</v>
      </c>
      <c r="C4009" t="s">
        <v>1597</v>
      </c>
      <c r="D4009" t="str">
        <f t="shared" si="62"/>
        <v>FAOP1401</v>
      </c>
      <c r="E4009" t="s">
        <v>43</v>
      </c>
    </row>
    <row r="4010" spans="1:5" hidden="1" x14ac:dyDescent="0.25">
      <c r="A4010">
        <v>2171</v>
      </c>
      <c r="B4010" t="s">
        <v>37</v>
      </c>
      <c r="C4010" t="s">
        <v>1599</v>
      </c>
      <c r="D4010" t="str">
        <f t="shared" si="62"/>
        <v>FAOP3001</v>
      </c>
      <c r="E4010" t="s">
        <v>1600</v>
      </c>
    </row>
    <row r="4011" spans="1:5" hidden="1" x14ac:dyDescent="0.25">
      <c r="A4011">
        <v>2171</v>
      </c>
      <c r="B4011" t="s">
        <v>37</v>
      </c>
      <c r="C4011" t="s">
        <v>255</v>
      </c>
      <c r="D4011" t="str">
        <f t="shared" si="62"/>
        <v>FAOP3002</v>
      </c>
      <c r="E4011" t="s">
        <v>1600</v>
      </c>
    </row>
    <row r="4012" spans="1:5" hidden="1" x14ac:dyDescent="0.25">
      <c r="A4012">
        <v>2171</v>
      </c>
      <c r="B4012" t="s">
        <v>37</v>
      </c>
      <c r="C4012" t="s">
        <v>1601</v>
      </c>
      <c r="D4012" t="str">
        <f t="shared" si="62"/>
        <v>FAOP3003</v>
      </c>
      <c r="E4012" t="s">
        <v>1600</v>
      </c>
    </row>
    <row r="4013" spans="1:5" hidden="1" x14ac:dyDescent="0.25">
      <c r="A4013">
        <v>2171</v>
      </c>
      <c r="B4013" t="s">
        <v>37</v>
      </c>
      <c r="C4013" t="s">
        <v>1602</v>
      </c>
      <c r="D4013" t="str">
        <f t="shared" si="62"/>
        <v>FAOP3004</v>
      </c>
      <c r="E4013" t="s">
        <v>1600</v>
      </c>
    </row>
    <row r="4014" spans="1:5" hidden="1" x14ac:dyDescent="0.25">
      <c r="A4014">
        <v>2171</v>
      </c>
      <c r="B4014" t="s">
        <v>37</v>
      </c>
      <c r="C4014" t="s">
        <v>1603</v>
      </c>
      <c r="D4014" t="str">
        <f t="shared" si="62"/>
        <v>FAOP3005</v>
      </c>
      <c r="E4014" t="s">
        <v>1600</v>
      </c>
    </row>
    <row r="4015" spans="1:5" hidden="1" x14ac:dyDescent="0.25">
      <c r="A4015">
        <v>2171</v>
      </c>
      <c r="B4015" t="s">
        <v>37</v>
      </c>
      <c r="C4015" t="s">
        <v>322</v>
      </c>
      <c r="D4015" t="str">
        <f t="shared" si="62"/>
        <v>FAOP3006</v>
      </c>
      <c r="E4015" t="s">
        <v>1600</v>
      </c>
    </row>
    <row r="4016" spans="1:5" hidden="1" x14ac:dyDescent="0.25">
      <c r="A4016">
        <v>2171</v>
      </c>
      <c r="B4016" t="s">
        <v>37</v>
      </c>
      <c r="C4016" t="s">
        <v>332</v>
      </c>
      <c r="D4016" t="str">
        <f t="shared" si="62"/>
        <v>FAOP3007</v>
      </c>
      <c r="E4016" t="s">
        <v>1600</v>
      </c>
    </row>
    <row r="4017" spans="1:5" hidden="1" x14ac:dyDescent="0.25">
      <c r="A4017">
        <v>2171</v>
      </c>
      <c r="B4017" t="s">
        <v>37</v>
      </c>
      <c r="C4017" t="s">
        <v>1604</v>
      </c>
      <c r="D4017" t="str">
        <f t="shared" si="62"/>
        <v>FAOP3008</v>
      </c>
      <c r="E4017" t="s">
        <v>1600</v>
      </c>
    </row>
    <row r="4018" spans="1:5" hidden="1" x14ac:dyDescent="0.25">
      <c r="A4018">
        <v>2171</v>
      </c>
      <c r="B4018" t="s">
        <v>37</v>
      </c>
      <c r="C4018" t="s">
        <v>1605</v>
      </c>
      <c r="D4018" t="str">
        <f t="shared" si="62"/>
        <v>FAOP3010</v>
      </c>
      <c r="E4018" t="s">
        <v>1606</v>
      </c>
    </row>
    <row r="4019" spans="1:5" hidden="1" x14ac:dyDescent="0.25">
      <c r="A4019">
        <v>2171</v>
      </c>
      <c r="B4019" t="s">
        <v>37</v>
      </c>
      <c r="C4019" t="s">
        <v>368</v>
      </c>
      <c r="D4019" t="str">
        <f t="shared" si="62"/>
        <v>FAOP3011</v>
      </c>
      <c r="E4019" t="s">
        <v>1600</v>
      </c>
    </row>
    <row r="4020" spans="1:5" hidden="1" x14ac:dyDescent="0.25">
      <c r="A4020">
        <v>2171</v>
      </c>
      <c r="B4020" t="s">
        <v>37</v>
      </c>
      <c r="C4020" t="s">
        <v>137</v>
      </c>
      <c r="D4020" t="str">
        <f t="shared" si="62"/>
        <v>FAOP3012</v>
      </c>
      <c r="E4020" t="s">
        <v>1606</v>
      </c>
    </row>
    <row r="4021" spans="1:5" hidden="1" x14ac:dyDescent="0.25">
      <c r="A4021">
        <v>2171</v>
      </c>
      <c r="B4021" t="s">
        <v>37</v>
      </c>
      <c r="C4021" t="s">
        <v>1607</v>
      </c>
      <c r="D4021" t="str">
        <f t="shared" si="62"/>
        <v>FAOP3013</v>
      </c>
      <c r="E4021" t="s">
        <v>1600</v>
      </c>
    </row>
    <row r="4022" spans="1:5" hidden="1" x14ac:dyDescent="0.25">
      <c r="A4022">
        <v>2171</v>
      </c>
      <c r="B4022" t="s">
        <v>37</v>
      </c>
      <c r="C4022" t="s">
        <v>1608</v>
      </c>
      <c r="D4022" t="str">
        <f t="shared" si="62"/>
        <v>FAOP3015</v>
      </c>
      <c r="E4022" t="s">
        <v>1600</v>
      </c>
    </row>
    <row r="4023" spans="1:5" hidden="1" x14ac:dyDescent="0.25">
      <c r="A4023">
        <v>2171</v>
      </c>
      <c r="B4023" t="s">
        <v>37</v>
      </c>
      <c r="C4023" t="s">
        <v>1609</v>
      </c>
      <c r="D4023" t="str">
        <f t="shared" si="62"/>
        <v>FAOP3016</v>
      </c>
      <c r="E4023" t="s">
        <v>1600</v>
      </c>
    </row>
    <row r="4024" spans="1:5" hidden="1" x14ac:dyDescent="0.25">
      <c r="A4024">
        <v>2171</v>
      </c>
      <c r="B4024" t="s">
        <v>37</v>
      </c>
      <c r="C4024" t="s">
        <v>405</v>
      </c>
      <c r="D4024" t="str">
        <f t="shared" si="62"/>
        <v>FAOP3017</v>
      </c>
      <c r="E4024" t="s">
        <v>1600</v>
      </c>
    </row>
    <row r="4025" spans="1:5" hidden="1" x14ac:dyDescent="0.25">
      <c r="A4025">
        <v>2171</v>
      </c>
      <c r="B4025" t="s">
        <v>37</v>
      </c>
      <c r="C4025" t="s">
        <v>410</v>
      </c>
      <c r="D4025" t="str">
        <f t="shared" si="62"/>
        <v>FAOP3018</v>
      </c>
      <c r="E4025" t="s">
        <v>1600</v>
      </c>
    </row>
    <row r="4026" spans="1:5" hidden="1" x14ac:dyDescent="0.25">
      <c r="A4026">
        <v>2171</v>
      </c>
      <c r="B4026" t="s">
        <v>37</v>
      </c>
      <c r="C4026" t="s">
        <v>1610</v>
      </c>
      <c r="D4026" t="str">
        <f t="shared" si="62"/>
        <v>FAOP3019</v>
      </c>
      <c r="E4026" t="s">
        <v>1611</v>
      </c>
    </row>
    <row r="4027" spans="1:5" hidden="1" x14ac:dyDescent="0.25">
      <c r="A4027">
        <v>2171</v>
      </c>
      <c r="B4027" t="s">
        <v>37</v>
      </c>
      <c r="C4027" t="s">
        <v>1612</v>
      </c>
      <c r="D4027" t="str">
        <f t="shared" si="62"/>
        <v>FAOP3020</v>
      </c>
      <c r="E4027" t="s">
        <v>1600</v>
      </c>
    </row>
    <row r="4028" spans="1:5" hidden="1" x14ac:dyDescent="0.25">
      <c r="A4028">
        <v>2171</v>
      </c>
      <c r="B4028" t="s">
        <v>37</v>
      </c>
      <c r="C4028" t="s">
        <v>1613</v>
      </c>
      <c r="D4028" t="str">
        <f t="shared" si="62"/>
        <v>FAOP3021</v>
      </c>
      <c r="E4028" t="s">
        <v>1600</v>
      </c>
    </row>
    <row r="4029" spans="1:5" hidden="1" x14ac:dyDescent="0.25">
      <c r="A4029">
        <v>2171</v>
      </c>
      <c r="B4029" t="s">
        <v>37</v>
      </c>
      <c r="C4029" t="s">
        <v>430</v>
      </c>
      <c r="D4029" t="str">
        <f t="shared" si="62"/>
        <v>FAOP3022</v>
      </c>
      <c r="E4029" t="s">
        <v>1600</v>
      </c>
    </row>
    <row r="4030" spans="1:5" hidden="1" x14ac:dyDescent="0.25">
      <c r="A4030">
        <v>2171</v>
      </c>
      <c r="B4030" t="s">
        <v>37</v>
      </c>
      <c r="C4030" t="s">
        <v>1614</v>
      </c>
      <c r="D4030" t="str">
        <f t="shared" si="62"/>
        <v>FAOP3023</v>
      </c>
      <c r="E4030" t="s">
        <v>1615</v>
      </c>
    </row>
    <row r="4031" spans="1:5" hidden="1" x14ac:dyDescent="0.25">
      <c r="A4031">
        <v>2171</v>
      </c>
      <c r="B4031" t="s">
        <v>37</v>
      </c>
      <c r="C4031" t="s">
        <v>440</v>
      </c>
      <c r="D4031" t="str">
        <f t="shared" si="62"/>
        <v>FAOP3024</v>
      </c>
      <c r="E4031" t="s">
        <v>1600</v>
      </c>
    </row>
    <row r="4032" spans="1:5" hidden="1" x14ac:dyDescent="0.25">
      <c r="A4032">
        <v>2171</v>
      </c>
      <c r="B4032" t="s">
        <v>37</v>
      </c>
      <c r="C4032" t="s">
        <v>1616</v>
      </c>
      <c r="D4032" t="str">
        <f t="shared" si="62"/>
        <v>FAOP3025</v>
      </c>
      <c r="E4032" t="s">
        <v>1600</v>
      </c>
    </row>
    <row r="4033" spans="1:5" hidden="1" x14ac:dyDescent="0.25">
      <c r="A4033">
        <v>2171</v>
      </c>
      <c r="B4033" t="s">
        <v>37</v>
      </c>
      <c r="C4033" t="s">
        <v>1617</v>
      </c>
      <c r="D4033" t="str">
        <f t="shared" si="62"/>
        <v>FAOP3026</v>
      </c>
      <c r="E4033" t="s">
        <v>1615</v>
      </c>
    </row>
    <row r="4034" spans="1:5" hidden="1" x14ac:dyDescent="0.25">
      <c r="A4034">
        <v>2171</v>
      </c>
      <c r="B4034" t="s">
        <v>37</v>
      </c>
      <c r="C4034" t="s">
        <v>1618</v>
      </c>
      <c r="D4034" t="str">
        <f t="shared" si="62"/>
        <v>FAOP3027</v>
      </c>
      <c r="E4034" t="s">
        <v>1600</v>
      </c>
    </row>
    <row r="4035" spans="1:5" hidden="1" x14ac:dyDescent="0.25">
      <c r="A4035">
        <v>2171</v>
      </c>
      <c r="B4035" t="s">
        <v>37</v>
      </c>
      <c r="C4035" t="s">
        <v>1702</v>
      </c>
      <c r="D4035" t="str">
        <f t="shared" si="62"/>
        <v>FAOP3029</v>
      </c>
      <c r="E4035" t="s">
        <v>1600</v>
      </c>
    </row>
    <row r="4036" spans="1:5" hidden="1" x14ac:dyDescent="0.25">
      <c r="A4036">
        <v>2171</v>
      </c>
      <c r="B4036" t="s">
        <v>37</v>
      </c>
      <c r="C4036" t="s">
        <v>466</v>
      </c>
      <c r="D4036" t="str">
        <f t="shared" si="62"/>
        <v>FAOP3030</v>
      </c>
      <c r="E4036" t="s">
        <v>1600</v>
      </c>
    </row>
    <row r="4037" spans="1:5" hidden="1" x14ac:dyDescent="0.25">
      <c r="A4037">
        <v>2171</v>
      </c>
      <c r="B4037" t="s">
        <v>37</v>
      </c>
      <c r="C4037" t="s">
        <v>469</v>
      </c>
      <c r="D4037" t="str">
        <f t="shared" ref="D4037:D4100" si="63">CONCATENATE(B4037,LEFT(C4037,4))</f>
        <v>FAOP3031</v>
      </c>
      <c r="E4037" t="s">
        <v>1600</v>
      </c>
    </row>
    <row r="4038" spans="1:5" hidden="1" x14ac:dyDescent="0.25">
      <c r="A4038">
        <v>2171</v>
      </c>
      <c r="B4038" t="s">
        <v>37</v>
      </c>
      <c r="C4038" t="s">
        <v>486</v>
      </c>
      <c r="D4038" t="str">
        <f t="shared" si="63"/>
        <v>FAOP3040</v>
      </c>
      <c r="E4038" t="s">
        <v>1600</v>
      </c>
    </row>
    <row r="4039" spans="1:5" hidden="1" x14ac:dyDescent="0.25">
      <c r="A4039">
        <v>2171</v>
      </c>
      <c r="B4039" t="s">
        <v>37</v>
      </c>
      <c r="C4039" t="s">
        <v>1703</v>
      </c>
      <c r="D4039" t="str">
        <f t="shared" si="63"/>
        <v>FAOP3041</v>
      </c>
      <c r="E4039" t="s">
        <v>1623</v>
      </c>
    </row>
    <row r="4040" spans="1:5" hidden="1" x14ac:dyDescent="0.25">
      <c r="A4040">
        <v>2171</v>
      </c>
      <c r="B4040" t="s">
        <v>37</v>
      </c>
      <c r="C4040" t="s">
        <v>490</v>
      </c>
      <c r="D4040" t="str">
        <f t="shared" si="63"/>
        <v>FAOP3099</v>
      </c>
      <c r="E4040" t="s">
        <v>1600</v>
      </c>
    </row>
    <row r="4041" spans="1:5" hidden="1" x14ac:dyDescent="0.25">
      <c r="A4041">
        <v>2171</v>
      </c>
      <c r="B4041" t="s">
        <v>37</v>
      </c>
      <c r="C4041" t="s">
        <v>293</v>
      </c>
      <c r="D4041" t="str">
        <f t="shared" si="63"/>
        <v>FAOP3104</v>
      </c>
      <c r="E4041" t="s">
        <v>2111</v>
      </c>
    </row>
    <row r="4042" spans="1:5" hidden="1" x14ac:dyDescent="0.25">
      <c r="A4042">
        <v>2171</v>
      </c>
      <c r="B4042" t="s">
        <v>37</v>
      </c>
      <c r="C4042" t="s">
        <v>53</v>
      </c>
      <c r="D4042" t="str">
        <f t="shared" si="63"/>
        <v>FAOP3301</v>
      </c>
      <c r="E4042" t="s">
        <v>43</v>
      </c>
    </row>
    <row r="4043" spans="1:5" hidden="1" x14ac:dyDescent="0.25">
      <c r="A4043">
        <v>2171</v>
      </c>
      <c r="B4043" t="s">
        <v>37</v>
      </c>
      <c r="C4043" t="s">
        <v>1626</v>
      </c>
      <c r="D4043" t="str">
        <f t="shared" si="63"/>
        <v>FAOP3302</v>
      </c>
      <c r="E4043" t="s">
        <v>43</v>
      </c>
    </row>
    <row r="4044" spans="1:5" hidden="1" x14ac:dyDescent="0.25">
      <c r="A4044">
        <v>2171</v>
      </c>
      <c r="B4044" t="s">
        <v>37</v>
      </c>
      <c r="C4044" t="s">
        <v>1627</v>
      </c>
      <c r="D4044" t="str">
        <f t="shared" si="63"/>
        <v>FAOP3304</v>
      </c>
      <c r="E4044" t="s">
        <v>43</v>
      </c>
    </row>
    <row r="4045" spans="1:5" hidden="1" x14ac:dyDescent="0.25">
      <c r="A4045">
        <v>2171</v>
      </c>
      <c r="B4045" t="s">
        <v>37</v>
      </c>
      <c r="C4045" t="s">
        <v>308</v>
      </c>
      <c r="D4045" t="str">
        <f t="shared" si="63"/>
        <v>FAOP3305</v>
      </c>
      <c r="E4045" t="s">
        <v>43</v>
      </c>
    </row>
    <row r="4046" spans="1:5" hidden="1" x14ac:dyDescent="0.25">
      <c r="A4046">
        <v>2171</v>
      </c>
      <c r="B4046" t="s">
        <v>37</v>
      </c>
      <c r="C4046" t="s">
        <v>1690</v>
      </c>
      <c r="D4046" t="str">
        <f t="shared" si="63"/>
        <v>FAOP3601</v>
      </c>
      <c r="E4046" t="s">
        <v>64</v>
      </c>
    </row>
    <row r="4047" spans="1:5" hidden="1" x14ac:dyDescent="0.25">
      <c r="A4047">
        <v>2171</v>
      </c>
      <c r="B4047" t="s">
        <v>37</v>
      </c>
      <c r="C4047" t="s">
        <v>296</v>
      </c>
      <c r="D4047" t="str">
        <f t="shared" si="63"/>
        <v>FAOP3604</v>
      </c>
      <c r="E4047" t="s">
        <v>43</v>
      </c>
    </row>
    <row r="4048" spans="1:5" hidden="1" x14ac:dyDescent="0.25">
      <c r="A4048">
        <v>2171</v>
      </c>
      <c r="B4048" t="s">
        <v>37</v>
      </c>
      <c r="C4048" t="s">
        <v>1742</v>
      </c>
      <c r="D4048" t="str">
        <f t="shared" si="63"/>
        <v>FAOP3605</v>
      </c>
      <c r="E4048" t="s">
        <v>1623</v>
      </c>
    </row>
    <row r="4049" spans="1:5" hidden="1" x14ac:dyDescent="0.25">
      <c r="A4049">
        <v>2171</v>
      </c>
      <c r="B4049" t="s">
        <v>37</v>
      </c>
      <c r="C4049" t="s">
        <v>354</v>
      </c>
      <c r="D4049" t="str">
        <f t="shared" si="63"/>
        <v>FAOP3610</v>
      </c>
      <c r="E4049" t="s">
        <v>1623</v>
      </c>
    </row>
    <row r="4050" spans="1:5" hidden="1" x14ac:dyDescent="0.25">
      <c r="A4050">
        <v>2171</v>
      </c>
      <c r="B4050" t="s">
        <v>37</v>
      </c>
      <c r="C4050" t="s">
        <v>1628</v>
      </c>
      <c r="D4050" t="str">
        <f t="shared" si="63"/>
        <v>FAOP3612</v>
      </c>
      <c r="E4050" t="s">
        <v>1623</v>
      </c>
    </row>
    <row r="4051" spans="1:5" hidden="1" x14ac:dyDescent="0.25">
      <c r="A4051">
        <v>2171</v>
      </c>
      <c r="B4051" t="s">
        <v>37</v>
      </c>
      <c r="C4051" t="s">
        <v>400</v>
      </c>
      <c r="D4051" t="str">
        <f t="shared" si="63"/>
        <v>FAOP3617</v>
      </c>
      <c r="E4051" t="s">
        <v>1623</v>
      </c>
    </row>
    <row r="4052" spans="1:5" hidden="1" x14ac:dyDescent="0.25">
      <c r="A4052">
        <v>2171</v>
      </c>
      <c r="B4052" t="s">
        <v>37</v>
      </c>
      <c r="C4052" t="s">
        <v>1818</v>
      </c>
      <c r="D4052" t="str">
        <f t="shared" si="63"/>
        <v>FAOP3624</v>
      </c>
      <c r="E4052" t="s">
        <v>1623</v>
      </c>
    </row>
    <row r="4053" spans="1:5" hidden="1" x14ac:dyDescent="0.25">
      <c r="A4053">
        <v>2171</v>
      </c>
      <c r="B4053" t="s">
        <v>37</v>
      </c>
      <c r="C4053" t="s">
        <v>441</v>
      </c>
      <c r="D4053" t="str">
        <f t="shared" si="63"/>
        <v>FAOP3625</v>
      </c>
      <c r="E4053" t="s">
        <v>1623</v>
      </c>
    </row>
    <row r="4054" spans="1:5" hidden="1" x14ac:dyDescent="0.25">
      <c r="A4054">
        <v>2171</v>
      </c>
      <c r="B4054" t="s">
        <v>37</v>
      </c>
      <c r="C4054" t="s">
        <v>467</v>
      </c>
      <c r="D4054" t="str">
        <f t="shared" si="63"/>
        <v>FAOP3631</v>
      </c>
      <c r="E4054" t="s">
        <v>1645</v>
      </c>
    </row>
    <row r="4055" spans="1:5" hidden="1" x14ac:dyDescent="0.25">
      <c r="A4055">
        <v>2171</v>
      </c>
      <c r="B4055" t="s">
        <v>37</v>
      </c>
      <c r="C4055" t="s">
        <v>470</v>
      </c>
      <c r="D4055" t="str">
        <f t="shared" si="63"/>
        <v>FAOP3699</v>
      </c>
      <c r="E4055" t="s">
        <v>1623</v>
      </c>
    </row>
    <row r="4056" spans="1:5" hidden="1" x14ac:dyDescent="0.25">
      <c r="A4056">
        <v>2171</v>
      </c>
      <c r="B4056" t="s">
        <v>37</v>
      </c>
      <c r="C4056" t="s">
        <v>1629</v>
      </c>
      <c r="D4056" t="str">
        <f t="shared" si="63"/>
        <v>FAOP3701</v>
      </c>
      <c r="E4056" t="s">
        <v>102</v>
      </c>
    </row>
    <row r="4057" spans="1:5" hidden="1" x14ac:dyDescent="0.25">
      <c r="A4057">
        <v>2171</v>
      </c>
      <c r="B4057" t="s">
        <v>37</v>
      </c>
      <c r="C4057" t="s">
        <v>1693</v>
      </c>
      <c r="D4057" t="str">
        <f t="shared" si="63"/>
        <v>FAOP3702</v>
      </c>
      <c r="E4057" t="s">
        <v>1630</v>
      </c>
    </row>
    <row r="4058" spans="1:5" hidden="1" x14ac:dyDescent="0.25">
      <c r="A4058">
        <v>2171</v>
      </c>
      <c r="B4058" t="s">
        <v>37</v>
      </c>
      <c r="C4058" t="s">
        <v>1631</v>
      </c>
      <c r="D4058" t="str">
        <f t="shared" si="63"/>
        <v>FAOP3703</v>
      </c>
      <c r="E4058" t="s">
        <v>116</v>
      </c>
    </row>
    <row r="4059" spans="1:5" hidden="1" x14ac:dyDescent="0.25">
      <c r="A4059">
        <v>2171</v>
      </c>
      <c r="B4059" t="s">
        <v>37</v>
      </c>
      <c r="C4059" t="s">
        <v>1632</v>
      </c>
      <c r="D4059" t="str">
        <f t="shared" si="63"/>
        <v>FAOP3704</v>
      </c>
      <c r="E4059" t="s">
        <v>116</v>
      </c>
    </row>
    <row r="4060" spans="1:5" hidden="1" x14ac:dyDescent="0.25">
      <c r="A4060">
        <v>2171</v>
      </c>
      <c r="B4060" t="s">
        <v>37</v>
      </c>
      <c r="C4060" t="s">
        <v>1633</v>
      </c>
      <c r="D4060" t="str">
        <f t="shared" si="63"/>
        <v>FAOP3705</v>
      </c>
      <c r="E4060" t="s">
        <v>116</v>
      </c>
    </row>
    <row r="4061" spans="1:5" hidden="1" x14ac:dyDescent="0.25">
      <c r="A4061">
        <v>2171</v>
      </c>
      <c r="B4061" t="s">
        <v>37</v>
      </c>
      <c r="C4061" t="s">
        <v>1850</v>
      </c>
      <c r="D4061" t="str">
        <f t="shared" si="63"/>
        <v>FAOP3707</v>
      </c>
      <c r="E4061" t="s">
        <v>1646</v>
      </c>
    </row>
    <row r="4062" spans="1:5" hidden="1" x14ac:dyDescent="0.25">
      <c r="A4062">
        <v>2171</v>
      </c>
      <c r="B4062" t="s">
        <v>37</v>
      </c>
      <c r="C4062" t="s">
        <v>232</v>
      </c>
      <c r="D4062" t="str">
        <f t="shared" si="63"/>
        <v>FAOP3901</v>
      </c>
      <c r="E4062" t="s">
        <v>1596</v>
      </c>
    </row>
    <row r="4063" spans="1:5" hidden="1" x14ac:dyDescent="0.25">
      <c r="A4063">
        <v>2171</v>
      </c>
      <c r="B4063" t="s">
        <v>37</v>
      </c>
      <c r="C4063" t="s">
        <v>1634</v>
      </c>
      <c r="D4063" t="str">
        <f t="shared" si="63"/>
        <v>FAOP3903</v>
      </c>
      <c r="E4063" t="s">
        <v>86</v>
      </c>
    </row>
    <row r="4064" spans="1:5" hidden="1" x14ac:dyDescent="0.25">
      <c r="A4064">
        <v>2171</v>
      </c>
      <c r="B4064" t="s">
        <v>37</v>
      </c>
      <c r="C4064" t="s">
        <v>298</v>
      </c>
      <c r="D4064" t="str">
        <f t="shared" si="63"/>
        <v>FAOP3904</v>
      </c>
      <c r="E4064" t="s">
        <v>1623</v>
      </c>
    </row>
    <row r="4065" spans="1:5" hidden="1" x14ac:dyDescent="0.25">
      <c r="A4065">
        <v>2171</v>
      </c>
      <c r="B4065" t="s">
        <v>37</v>
      </c>
      <c r="C4065" t="s">
        <v>335</v>
      </c>
      <c r="D4065" t="str">
        <f t="shared" si="63"/>
        <v>FAOP3909</v>
      </c>
      <c r="E4065" t="s">
        <v>1623</v>
      </c>
    </row>
    <row r="4066" spans="1:5" hidden="1" x14ac:dyDescent="0.25">
      <c r="A4066">
        <v>2171</v>
      </c>
      <c r="B4066" t="s">
        <v>37</v>
      </c>
      <c r="C4066" t="s">
        <v>345</v>
      </c>
      <c r="D4066" t="str">
        <f t="shared" si="63"/>
        <v>FAOP3910</v>
      </c>
      <c r="E4066" t="s">
        <v>1623</v>
      </c>
    </row>
    <row r="4067" spans="1:5" hidden="1" x14ac:dyDescent="0.25">
      <c r="A4067">
        <v>2171</v>
      </c>
      <c r="B4067" t="s">
        <v>37</v>
      </c>
      <c r="C4067" t="s">
        <v>355</v>
      </c>
      <c r="D4067" t="str">
        <f t="shared" si="63"/>
        <v>FAOP3911</v>
      </c>
      <c r="E4067" t="s">
        <v>1623</v>
      </c>
    </row>
    <row r="4068" spans="1:5" hidden="1" x14ac:dyDescent="0.25">
      <c r="A4068">
        <v>2171</v>
      </c>
      <c r="B4068" t="s">
        <v>37</v>
      </c>
      <c r="C4068" t="s">
        <v>1636</v>
      </c>
      <c r="D4068" t="str">
        <f t="shared" si="63"/>
        <v>FAOP3912</v>
      </c>
      <c r="E4068" t="s">
        <v>1637</v>
      </c>
    </row>
    <row r="4069" spans="1:5" hidden="1" x14ac:dyDescent="0.25">
      <c r="A4069">
        <v>2171</v>
      </c>
      <c r="B4069" t="s">
        <v>37</v>
      </c>
      <c r="C4069" t="s">
        <v>1638</v>
      </c>
      <c r="D4069" t="str">
        <f t="shared" si="63"/>
        <v>FAOP3913</v>
      </c>
      <c r="E4069" t="s">
        <v>1637</v>
      </c>
    </row>
    <row r="4070" spans="1:5" hidden="1" x14ac:dyDescent="0.25">
      <c r="A4070">
        <v>2171</v>
      </c>
      <c r="B4070" t="s">
        <v>37</v>
      </c>
      <c r="C4070" t="s">
        <v>376</v>
      </c>
      <c r="D4070" t="str">
        <f t="shared" si="63"/>
        <v>FAOP3914</v>
      </c>
      <c r="E4070" t="s">
        <v>1648</v>
      </c>
    </row>
    <row r="4071" spans="1:5" hidden="1" x14ac:dyDescent="0.25">
      <c r="A4071">
        <v>2171</v>
      </c>
      <c r="B4071" t="s">
        <v>37</v>
      </c>
      <c r="C4071" t="s">
        <v>383</v>
      </c>
      <c r="D4071" t="str">
        <f t="shared" si="63"/>
        <v>FAOP3915</v>
      </c>
      <c r="E4071" t="s">
        <v>1637</v>
      </c>
    </row>
    <row r="4072" spans="1:5" hidden="1" x14ac:dyDescent="0.25">
      <c r="A4072">
        <v>2171</v>
      </c>
      <c r="B4072" t="s">
        <v>37</v>
      </c>
      <c r="C4072" t="s">
        <v>1639</v>
      </c>
      <c r="D4072" t="str">
        <f t="shared" si="63"/>
        <v>FAOP3917</v>
      </c>
      <c r="E4072" t="s">
        <v>1615</v>
      </c>
    </row>
    <row r="4073" spans="1:5" hidden="1" x14ac:dyDescent="0.25">
      <c r="A4073">
        <v>2171</v>
      </c>
      <c r="B4073" t="s">
        <v>37</v>
      </c>
      <c r="C4073" t="s">
        <v>1641</v>
      </c>
      <c r="D4073" t="str">
        <f t="shared" si="63"/>
        <v>FAOP3919</v>
      </c>
      <c r="E4073" t="s">
        <v>2102</v>
      </c>
    </row>
    <row r="4074" spans="1:5" hidden="1" x14ac:dyDescent="0.25">
      <c r="A4074">
        <v>2171</v>
      </c>
      <c r="B4074" t="s">
        <v>37</v>
      </c>
      <c r="C4074" t="s">
        <v>1642</v>
      </c>
      <c r="D4074" t="str">
        <f t="shared" si="63"/>
        <v>FAOP3921</v>
      </c>
      <c r="E4074" t="s">
        <v>2102</v>
      </c>
    </row>
    <row r="4075" spans="1:5" hidden="1" x14ac:dyDescent="0.25">
      <c r="A4075">
        <v>2171</v>
      </c>
      <c r="B4075" t="s">
        <v>37</v>
      </c>
      <c r="C4075" t="s">
        <v>1643</v>
      </c>
      <c r="D4075" t="str">
        <f t="shared" si="63"/>
        <v>FAOP3922</v>
      </c>
      <c r="E4075" t="s">
        <v>1611</v>
      </c>
    </row>
    <row r="4076" spans="1:5" hidden="1" x14ac:dyDescent="0.25">
      <c r="A4076">
        <v>2171</v>
      </c>
      <c r="B4076" t="s">
        <v>37</v>
      </c>
      <c r="C4076" t="s">
        <v>427</v>
      </c>
      <c r="D4076" t="str">
        <f t="shared" si="63"/>
        <v>FAOP3923</v>
      </c>
      <c r="E4076" t="s">
        <v>1623</v>
      </c>
    </row>
    <row r="4077" spans="1:5" hidden="1" x14ac:dyDescent="0.25">
      <c r="A4077">
        <v>2171</v>
      </c>
      <c r="B4077" t="s">
        <v>37</v>
      </c>
      <c r="C4077" t="s">
        <v>1644</v>
      </c>
      <c r="D4077" t="str">
        <f t="shared" si="63"/>
        <v>FAOP3924</v>
      </c>
      <c r="E4077" t="s">
        <v>1645</v>
      </c>
    </row>
    <row r="4078" spans="1:5" hidden="1" x14ac:dyDescent="0.25">
      <c r="A4078">
        <v>2171</v>
      </c>
      <c r="B4078" t="s">
        <v>37</v>
      </c>
      <c r="C4078" t="s">
        <v>442</v>
      </c>
      <c r="D4078" t="str">
        <f t="shared" si="63"/>
        <v>FAOP3926</v>
      </c>
      <c r="E4078" t="s">
        <v>1646</v>
      </c>
    </row>
    <row r="4079" spans="1:5" hidden="1" x14ac:dyDescent="0.25">
      <c r="A4079">
        <v>2171</v>
      </c>
      <c r="B4079" t="s">
        <v>37</v>
      </c>
      <c r="C4079" t="s">
        <v>1647</v>
      </c>
      <c r="D4079" t="str">
        <f t="shared" si="63"/>
        <v>FAOP3927</v>
      </c>
      <c r="E4079" t="s">
        <v>1648</v>
      </c>
    </row>
    <row r="4080" spans="1:5" hidden="1" x14ac:dyDescent="0.25">
      <c r="A4080">
        <v>2171</v>
      </c>
      <c r="B4080" t="s">
        <v>37</v>
      </c>
      <c r="C4080" t="s">
        <v>1650</v>
      </c>
      <c r="D4080" t="str">
        <f t="shared" si="63"/>
        <v>FAOP3931</v>
      </c>
      <c r="E4080" t="s">
        <v>1623</v>
      </c>
    </row>
    <row r="4081" spans="1:5" hidden="1" x14ac:dyDescent="0.25">
      <c r="A4081">
        <v>2171</v>
      </c>
      <c r="B4081" t="s">
        <v>37</v>
      </c>
      <c r="C4081" t="s">
        <v>1652</v>
      </c>
      <c r="D4081" t="str">
        <f t="shared" si="63"/>
        <v>FAOP3936</v>
      </c>
      <c r="E4081" t="s">
        <v>93</v>
      </c>
    </row>
    <row r="4082" spans="1:5" hidden="1" x14ac:dyDescent="0.25">
      <c r="A4082">
        <v>2171</v>
      </c>
      <c r="B4082" t="s">
        <v>37</v>
      </c>
      <c r="C4082" t="s">
        <v>1654</v>
      </c>
      <c r="D4082" t="str">
        <f t="shared" si="63"/>
        <v>FAOP3943</v>
      </c>
      <c r="E4082" t="s">
        <v>1615</v>
      </c>
    </row>
    <row r="4083" spans="1:5" hidden="1" x14ac:dyDescent="0.25">
      <c r="A4083">
        <v>2171</v>
      </c>
      <c r="B4083" t="s">
        <v>37</v>
      </c>
      <c r="C4083" t="s">
        <v>497</v>
      </c>
      <c r="D4083" t="str">
        <f t="shared" si="63"/>
        <v>FAOP3955</v>
      </c>
      <c r="E4083" t="s">
        <v>1623</v>
      </c>
    </row>
    <row r="4084" spans="1:5" hidden="1" x14ac:dyDescent="0.25">
      <c r="A4084">
        <v>2171</v>
      </c>
      <c r="B4084" t="s">
        <v>37</v>
      </c>
      <c r="C4084" t="s">
        <v>1657</v>
      </c>
      <c r="D4084" t="str">
        <f t="shared" si="63"/>
        <v>FAOP3961</v>
      </c>
      <c r="E4084" t="s">
        <v>102</v>
      </c>
    </row>
    <row r="4085" spans="1:5" hidden="1" x14ac:dyDescent="0.25">
      <c r="A4085">
        <v>2171</v>
      </c>
      <c r="B4085" t="s">
        <v>37</v>
      </c>
      <c r="C4085" t="s">
        <v>1660</v>
      </c>
      <c r="D4085" t="str">
        <f t="shared" si="63"/>
        <v>FAOP3970</v>
      </c>
      <c r="E4085" t="s">
        <v>1648</v>
      </c>
    </row>
    <row r="4086" spans="1:5" hidden="1" x14ac:dyDescent="0.25">
      <c r="A4086">
        <v>2171</v>
      </c>
      <c r="B4086" t="s">
        <v>37</v>
      </c>
      <c r="C4086" t="s">
        <v>1661</v>
      </c>
      <c r="D4086" t="str">
        <f t="shared" si="63"/>
        <v>FAOP3987</v>
      </c>
      <c r="E4086" t="s">
        <v>1615</v>
      </c>
    </row>
    <row r="4087" spans="1:5" hidden="1" x14ac:dyDescent="0.25">
      <c r="A4087">
        <v>2171</v>
      </c>
      <c r="B4087" t="s">
        <v>37</v>
      </c>
      <c r="C4087" t="s">
        <v>530</v>
      </c>
      <c r="D4087" t="str">
        <f t="shared" si="63"/>
        <v>FAOP3991</v>
      </c>
      <c r="E4087" t="s">
        <v>2112</v>
      </c>
    </row>
    <row r="4088" spans="1:5" hidden="1" x14ac:dyDescent="0.25">
      <c r="A4088">
        <v>2171</v>
      </c>
      <c r="B4088" t="s">
        <v>37</v>
      </c>
      <c r="C4088" t="s">
        <v>1746</v>
      </c>
      <c r="D4088" t="str">
        <f t="shared" si="63"/>
        <v>FAOP3992</v>
      </c>
      <c r="E4088" t="s">
        <v>1744</v>
      </c>
    </row>
    <row r="4089" spans="1:5" hidden="1" x14ac:dyDescent="0.25">
      <c r="A4089">
        <v>2171</v>
      </c>
      <c r="B4089" t="s">
        <v>37</v>
      </c>
      <c r="C4089" t="s">
        <v>1663</v>
      </c>
      <c r="D4089" t="str">
        <f t="shared" si="63"/>
        <v>FAOP3999</v>
      </c>
      <c r="E4089" t="s">
        <v>1623</v>
      </c>
    </row>
    <row r="4090" spans="1:5" hidden="1" x14ac:dyDescent="0.25">
      <c r="A4090">
        <v>2171</v>
      </c>
      <c r="B4090" t="s">
        <v>37</v>
      </c>
      <c r="C4090" t="s">
        <v>1664</v>
      </c>
      <c r="D4090" t="str">
        <f t="shared" si="63"/>
        <v>FAOP4002</v>
      </c>
      <c r="E4090" t="s">
        <v>1648</v>
      </c>
    </row>
    <row r="4091" spans="1:5" hidden="1" x14ac:dyDescent="0.25">
      <c r="A4091">
        <v>2171</v>
      </c>
      <c r="B4091" t="s">
        <v>37</v>
      </c>
      <c r="C4091" t="s">
        <v>1665</v>
      </c>
      <c r="D4091" t="str">
        <f t="shared" si="63"/>
        <v>FAOP4003</v>
      </c>
      <c r="E4091" t="s">
        <v>93</v>
      </c>
    </row>
    <row r="4092" spans="1:5" hidden="1" x14ac:dyDescent="0.25">
      <c r="A4092">
        <v>2171</v>
      </c>
      <c r="B4092" t="s">
        <v>37</v>
      </c>
      <c r="C4092" t="s">
        <v>1666</v>
      </c>
      <c r="D4092" t="str">
        <f t="shared" si="63"/>
        <v>FAOP4004</v>
      </c>
      <c r="E4092" t="s">
        <v>1648</v>
      </c>
    </row>
    <row r="4093" spans="1:5" hidden="1" x14ac:dyDescent="0.25">
      <c r="A4093">
        <v>2171</v>
      </c>
      <c r="B4093" t="s">
        <v>37</v>
      </c>
      <c r="C4093" t="s">
        <v>1667</v>
      </c>
      <c r="D4093" t="str">
        <f t="shared" si="63"/>
        <v>FAOP4005</v>
      </c>
      <c r="E4093" t="s">
        <v>1648</v>
      </c>
    </row>
    <row r="4094" spans="1:5" hidden="1" x14ac:dyDescent="0.25">
      <c r="A4094">
        <v>2171</v>
      </c>
      <c r="B4094" t="s">
        <v>37</v>
      </c>
      <c r="C4094" t="s">
        <v>1698</v>
      </c>
      <c r="D4094" t="str">
        <f t="shared" si="63"/>
        <v>FAOP4006</v>
      </c>
      <c r="E4094" t="s">
        <v>1675</v>
      </c>
    </row>
    <row r="4095" spans="1:5" hidden="1" x14ac:dyDescent="0.25">
      <c r="A4095">
        <v>2171</v>
      </c>
      <c r="B4095" t="s">
        <v>37</v>
      </c>
      <c r="C4095" t="s">
        <v>1668</v>
      </c>
      <c r="D4095" t="str">
        <f t="shared" si="63"/>
        <v>FAOP4701</v>
      </c>
      <c r="E4095" t="s">
        <v>1669</v>
      </c>
    </row>
    <row r="4096" spans="1:5" hidden="1" x14ac:dyDescent="0.25">
      <c r="A4096">
        <v>2171</v>
      </c>
      <c r="B4096" t="s">
        <v>37</v>
      </c>
      <c r="C4096" t="s">
        <v>264</v>
      </c>
      <c r="D4096" t="str">
        <f t="shared" si="63"/>
        <v>FAOP4703</v>
      </c>
      <c r="E4096" t="s">
        <v>1669</v>
      </c>
    </row>
    <row r="4097" spans="1:5" hidden="1" x14ac:dyDescent="0.25">
      <c r="A4097">
        <v>2171</v>
      </c>
      <c r="B4097" t="s">
        <v>37</v>
      </c>
      <c r="C4097" t="s">
        <v>315</v>
      </c>
      <c r="D4097" t="str">
        <f t="shared" si="63"/>
        <v>FAOP4706</v>
      </c>
      <c r="E4097" t="s">
        <v>1669</v>
      </c>
    </row>
    <row r="4098" spans="1:5" hidden="1" x14ac:dyDescent="0.25">
      <c r="A4098">
        <v>2171</v>
      </c>
      <c r="B4098" t="s">
        <v>37</v>
      </c>
      <c r="C4098" t="s">
        <v>327</v>
      </c>
      <c r="D4098" t="str">
        <f t="shared" si="63"/>
        <v>FAOP4707</v>
      </c>
      <c r="E4098" t="s">
        <v>1669</v>
      </c>
    </row>
    <row r="4099" spans="1:5" hidden="1" x14ac:dyDescent="0.25">
      <c r="A4099">
        <v>2171</v>
      </c>
      <c r="B4099" t="s">
        <v>37</v>
      </c>
      <c r="C4099" t="s">
        <v>363</v>
      </c>
      <c r="D4099" t="str">
        <f t="shared" si="63"/>
        <v>FAOP4799</v>
      </c>
      <c r="E4099" t="s">
        <v>1669</v>
      </c>
    </row>
    <row r="4100" spans="1:5" hidden="1" x14ac:dyDescent="0.25">
      <c r="A4100">
        <v>2171</v>
      </c>
      <c r="B4100" t="s">
        <v>37</v>
      </c>
      <c r="C4100" t="s">
        <v>239</v>
      </c>
      <c r="D4100" t="str">
        <f t="shared" si="63"/>
        <v>FAOP4801</v>
      </c>
      <c r="E4100" t="s">
        <v>1596</v>
      </c>
    </row>
    <row r="4101" spans="1:5" hidden="1" x14ac:dyDescent="0.25">
      <c r="A4101">
        <v>2171</v>
      </c>
      <c r="B4101" t="s">
        <v>37</v>
      </c>
      <c r="C4101" t="s">
        <v>1848</v>
      </c>
      <c r="D4101" t="str">
        <f t="shared" ref="D4101:D4164" si="64">CONCATENATE(B4101,LEFT(C4101,4))</f>
        <v>FAOP4906</v>
      </c>
      <c r="E4101" t="s">
        <v>64</v>
      </c>
    </row>
    <row r="4102" spans="1:5" hidden="1" x14ac:dyDescent="0.25">
      <c r="A4102">
        <v>2171</v>
      </c>
      <c r="B4102" t="s">
        <v>37</v>
      </c>
      <c r="C4102" t="s">
        <v>348</v>
      </c>
      <c r="D4102" t="str">
        <f t="shared" si="64"/>
        <v>FAOP5110</v>
      </c>
      <c r="E4102" t="s">
        <v>1671</v>
      </c>
    </row>
    <row r="4103" spans="1:5" hidden="1" x14ac:dyDescent="0.25">
      <c r="A4103">
        <v>2171</v>
      </c>
      <c r="B4103" t="s">
        <v>37</v>
      </c>
      <c r="C4103" t="s">
        <v>1673</v>
      </c>
      <c r="D4103" t="str">
        <f t="shared" si="64"/>
        <v>FAOP5204</v>
      </c>
      <c r="E4103" t="s">
        <v>1674</v>
      </c>
    </row>
    <row r="4104" spans="1:5" hidden="1" x14ac:dyDescent="0.25">
      <c r="A4104">
        <v>2171</v>
      </c>
      <c r="B4104" t="s">
        <v>37</v>
      </c>
      <c r="C4104" t="s">
        <v>328</v>
      </c>
      <c r="D4104" t="str">
        <f t="shared" si="64"/>
        <v>FAOP5206</v>
      </c>
      <c r="E4104" t="s">
        <v>1675</v>
      </c>
    </row>
    <row r="4105" spans="1:5" hidden="1" x14ac:dyDescent="0.25">
      <c r="A4105">
        <v>2171</v>
      </c>
      <c r="B4105" t="s">
        <v>37</v>
      </c>
      <c r="C4105" t="s">
        <v>1676</v>
      </c>
      <c r="D4105" t="str">
        <f t="shared" si="64"/>
        <v>FAOP5207</v>
      </c>
      <c r="E4105" t="s">
        <v>1675</v>
      </c>
    </row>
    <row r="4106" spans="1:5" hidden="1" x14ac:dyDescent="0.25">
      <c r="A4106">
        <v>2171</v>
      </c>
      <c r="B4106" t="s">
        <v>37</v>
      </c>
      <c r="C4106" t="s">
        <v>1677</v>
      </c>
      <c r="D4106" t="str">
        <f t="shared" si="64"/>
        <v>FAOP5208</v>
      </c>
      <c r="E4106" t="s">
        <v>1675</v>
      </c>
    </row>
    <row r="4107" spans="1:5" hidden="1" x14ac:dyDescent="0.25">
      <c r="A4107">
        <v>2171</v>
      </c>
      <c r="B4107" t="s">
        <v>37</v>
      </c>
      <c r="C4107" t="s">
        <v>358</v>
      </c>
      <c r="D4107" t="str">
        <f t="shared" si="64"/>
        <v>FAOP5209</v>
      </c>
      <c r="E4107" t="s">
        <v>1674</v>
      </c>
    </row>
    <row r="4108" spans="1:5" hidden="1" x14ac:dyDescent="0.25">
      <c r="A4108">
        <v>2171</v>
      </c>
      <c r="B4108" t="s">
        <v>37</v>
      </c>
      <c r="C4108" t="s">
        <v>1678</v>
      </c>
      <c r="D4108" t="str">
        <f t="shared" si="64"/>
        <v>FAOP5210</v>
      </c>
      <c r="E4108" t="s">
        <v>1674</v>
      </c>
    </row>
    <row r="4109" spans="1:5" hidden="1" x14ac:dyDescent="0.25">
      <c r="A4109">
        <v>2171</v>
      </c>
      <c r="B4109" t="s">
        <v>37</v>
      </c>
      <c r="C4109" t="s">
        <v>1713</v>
      </c>
      <c r="D4109" t="str">
        <f t="shared" si="64"/>
        <v>FAOP5211</v>
      </c>
      <c r="E4109" t="s">
        <v>1606</v>
      </c>
    </row>
    <row r="4110" spans="1:5" hidden="1" x14ac:dyDescent="0.25">
      <c r="A4110">
        <v>2171</v>
      </c>
      <c r="B4110" t="s">
        <v>37</v>
      </c>
      <c r="C4110" t="s">
        <v>1679</v>
      </c>
      <c r="D4110" t="str">
        <f t="shared" si="64"/>
        <v>FAOP5212</v>
      </c>
      <c r="E4110" t="s">
        <v>1674</v>
      </c>
    </row>
    <row r="4111" spans="1:5" hidden="1" x14ac:dyDescent="0.25">
      <c r="A4111">
        <v>2171</v>
      </c>
      <c r="B4111" t="s">
        <v>37</v>
      </c>
      <c r="C4111" t="s">
        <v>390</v>
      </c>
      <c r="D4111" t="str">
        <f t="shared" si="64"/>
        <v>FAOP5214</v>
      </c>
      <c r="E4111" t="s">
        <v>1674</v>
      </c>
    </row>
    <row r="4112" spans="1:5" hidden="1" x14ac:dyDescent="0.25">
      <c r="A4112">
        <v>2171</v>
      </c>
      <c r="B4112" t="s">
        <v>37</v>
      </c>
      <c r="C4112" t="s">
        <v>1753</v>
      </c>
      <c r="D4112" t="str">
        <f t="shared" si="64"/>
        <v>FAOP5218</v>
      </c>
      <c r="E4112" t="s">
        <v>1674</v>
      </c>
    </row>
    <row r="4113" spans="1:5" hidden="1" x14ac:dyDescent="0.25">
      <c r="A4113">
        <v>2171</v>
      </c>
      <c r="B4113" t="s">
        <v>37</v>
      </c>
      <c r="C4113" t="s">
        <v>1681</v>
      </c>
      <c r="D4113" t="str">
        <f t="shared" si="64"/>
        <v>FAOP5220</v>
      </c>
      <c r="E4113" t="s">
        <v>1675</v>
      </c>
    </row>
    <row r="4114" spans="1:5" hidden="1" x14ac:dyDescent="0.25">
      <c r="A4114">
        <v>2171</v>
      </c>
      <c r="B4114" t="s">
        <v>37</v>
      </c>
      <c r="C4114" t="s">
        <v>448</v>
      </c>
      <c r="D4114" t="str">
        <f t="shared" si="64"/>
        <v>FAOP5225</v>
      </c>
      <c r="E4114" t="s">
        <v>1674</v>
      </c>
    </row>
    <row r="4115" spans="1:5" hidden="1" x14ac:dyDescent="0.25">
      <c r="A4115">
        <v>2171</v>
      </c>
      <c r="B4115" t="s">
        <v>37</v>
      </c>
      <c r="C4115" t="s">
        <v>1683</v>
      </c>
      <c r="D4115" t="str">
        <f t="shared" si="64"/>
        <v>FAOP5227</v>
      </c>
      <c r="E4115" t="s">
        <v>1674</v>
      </c>
    </row>
    <row r="4116" spans="1:5" hidden="1" x14ac:dyDescent="0.25">
      <c r="A4116">
        <v>2171</v>
      </c>
      <c r="B4116" t="s">
        <v>37</v>
      </c>
      <c r="C4116" t="s">
        <v>458</v>
      </c>
      <c r="D4116" t="str">
        <f t="shared" si="64"/>
        <v>FAOP5299</v>
      </c>
      <c r="E4116" t="s">
        <v>1674</v>
      </c>
    </row>
    <row r="4117" spans="1:5" hidden="1" x14ac:dyDescent="0.25">
      <c r="A4117">
        <v>2171</v>
      </c>
      <c r="B4117" t="s">
        <v>37</v>
      </c>
      <c r="C4117" t="s">
        <v>1723</v>
      </c>
      <c r="D4117" t="str">
        <f t="shared" si="64"/>
        <v>FAOP9108</v>
      </c>
      <c r="E4117" t="s">
        <v>1724</v>
      </c>
    </row>
    <row r="4118" spans="1:5" hidden="1" x14ac:dyDescent="0.25">
      <c r="A4118">
        <v>2171</v>
      </c>
      <c r="B4118" t="s">
        <v>37</v>
      </c>
      <c r="C4118" t="s">
        <v>1729</v>
      </c>
      <c r="D4118" t="str">
        <f t="shared" si="64"/>
        <v>FAOP9201</v>
      </c>
      <c r="E4118" t="s">
        <v>1685</v>
      </c>
    </row>
    <row r="4119" spans="1:5" hidden="1" x14ac:dyDescent="0.25">
      <c r="A4119">
        <v>2171</v>
      </c>
      <c r="B4119" t="s">
        <v>37</v>
      </c>
      <c r="C4119" t="s">
        <v>1684</v>
      </c>
      <c r="D4119" t="str">
        <f t="shared" si="64"/>
        <v>FAOP9202</v>
      </c>
      <c r="E4119" t="s">
        <v>1685</v>
      </c>
    </row>
    <row r="4120" spans="1:5" hidden="1" x14ac:dyDescent="0.25">
      <c r="A4120">
        <v>2171</v>
      </c>
      <c r="B4120" t="s">
        <v>37</v>
      </c>
      <c r="C4120" t="s">
        <v>1851</v>
      </c>
      <c r="D4120" t="str">
        <f t="shared" si="64"/>
        <v>FAOP9203</v>
      </c>
      <c r="E4120" t="s">
        <v>1685</v>
      </c>
    </row>
    <row r="4121" spans="1:5" hidden="1" x14ac:dyDescent="0.25">
      <c r="A4121">
        <v>2171</v>
      </c>
      <c r="B4121" t="s">
        <v>37</v>
      </c>
      <c r="C4121" t="s">
        <v>330</v>
      </c>
      <c r="D4121" t="str">
        <f t="shared" si="64"/>
        <v>FAOP9306</v>
      </c>
      <c r="E4121" t="s">
        <v>1686</v>
      </c>
    </row>
    <row r="4122" spans="1:5" hidden="1" x14ac:dyDescent="0.25">
      <c r="A4122">
        <v>2171</v>
      </c>
      <c r="B4122" t="s">
        <v>37</v>
      </c>
      <c r="C4122" t="s">
        <v>359</v>
      </c>
      <c r="D4122" t="str">
        <f t="shared" si="64"/>
        <v>FAOP9309</v>
      </c>
      <c r="E4122" t="s">
        <v>1623</v>
      </c>
    </row>
    <row r="4123" spans="1:5" hidden="1" x14ac:dyDescent="0.25">
      <c r="A4123">
        <v>2171</v>
      </c>
      <c r="B4123" t="s">
        <v>37</v>
      </c>
      <c r="C4123" t="s">
        <v>1687</v>
      </c>
      <c r="D4123" t="str">
        <f t="shared" si="64"/>
        <v>FAOP9399</v>
      </c>
      <c r="E4123" t="s">
        <v>2113</v>
      </c>
    </row>
    <row r="4124" spans="1:5" hidden="1" x14ac:dyDescent="0.25">
      <c r="A4124">
        <v>2171</v>
      </c>
      <c r="B4124" t="s">
        <v>37</v>
      </c>
      <c r="C4124" t="s">
        <v>481</v>
      </c>
      <c r="D4124" t="str">
        <f t="shared" si="64"/>
        <v>FAOP3942</v>
      </c>
      <c r="E4124" t="s">
        <v>2102</v>
      </c>
    </row>
    <row r="4125" spans="1:5" hidden="1" x14ac:dyDescent="0.25">
      <c r="A4125">
        <v>2181</v>
      </c>
      <c r="B4125" t="s">
        <v>550</v>
      </c>
      <c r="C4125" t="s">
        <v>1595</v>
      </c>
      <c r="D4125" t="str">
        <f t="shared" si="64"/>
        <v>FCS0810</v>
      </c>
      <c r="E4125" t="s">
        <v>1596</v>
      </c>
    </row>
    <row r="4126" spans="1:5" hidden="1" x14ac:dyDescent="0.25">
      <c r="A4126">
        <v>2181</v>
      </c>
      <c r="B4126" t="s">
        <v>550</v>
      </c>
      <c r="C4126" t="s">
        <v>398</v>
      </c>
      <c r="D4126" t="str">
        <f t="shared" si="64"/>
        <v>FCS1325</v>
      </c>
      <c r="E4126" t="s">
        <v>1689</v>
      </c>
    </row>
    <row r="4127" spans="1:5" hidden="1" x14ac:dyDescent="0.25">
      <c r="A4127">
        <v>2181</v>
      </c>
      <c r="B4127" t="s">
        <v>550</v>
      </c>
      <c r="C4127" t="s">
        <v>1597</v>
      </c>
      <c r="D4127" t="str">
        <f t="shared" si="64"/>
        <v>FCS1401</v>
      </c>
      <c r="E4127" t="s">
        <v>43</v>
      </c>
    </row>
    <row r="4128" spans="1:5" hidden="1" x14ac:dyDescent="0.25">
      <c r="A4128">
        <v>2181</v>
      </c>
      <c r="B4128" t="s">
        <v>550</v>
      </c>
      <c r="C4128" t="s">
        <v>1601</v>
      </c>
      <c r="D4128" t="str">
        <f t="shared" si="64"/>
        <v>FCS3003</v>
      </c>
      <c r="E4128" t="s">
        <v>1600</v>
      </c>
    </row>
    <row r="4129" spans="1:5" hidden="1" x14ac:dyDescent="0.25">
      <c r="A4129">
        <v>2181</v>
      </c>
      <c r="B4129" t="s">
        <v>550</v>
      </c>
      <c r="C4129" t="s">
        <v>1602</v>
      </c>
      <c r="D4129" t="str">
        <f t="shared" si="64"/>
        <v>FCS3004</v>
      </c>
      <c r="E4129" t="s">
        <v>1600</v>
      </c>
    </row>
    <row r="4130" spans="1:5" hidden="1" x14ac:dyDescent="0.25">
      <c r="A4130">
        <v>2181</v>
      </c>
      <c r="B4130" t="s">
        <v>550</v>
      </c>
      <c r="C4130" t="s">
        <v>1603</v>
      </c>
      <c r="D4130" t="str">
        <f t="shared" si="64"/>
        <v>FCS3005</v>
      </c>
      <c r="E4130" t="s">
        <v>1600</v>
      </c>
    </row>
    <row r="4131" spans="1:5" hidden="1" x14ac:dyDescent="0.25">
      <c r="A4131">
        <v>2181</v>
      </c>
      <c r="B4131" t="s">
        <v>550</v>
      </c>
      <c r="C4131" t="s">
        <v>1604</v>
      </c>
      <c r="D4131" t="str">
        <f t="shared" si="64"/>
        <v>FCS3008</v>
      </c>
      <c r="E4131" t="s">
        <v>1600</v>
      </c>
    </row>
    <row r="4132" spans="1:5" hidden="1" x14ac:dyDescent="0.25">
      <c r="A4132">
        <v>2181</v>
      </c>
      <c r="B4132" t="s">
        <v>550</v>
      </c>
      <c r="C4132" t="s">
        <v>353</v>
      </c>
      <c r="D4132" t="str">
        <f t="shared" si="64"/>
        <v>FCS3009</v>
      </c>
      <c r="E4132" t="s">
        <v>1600</v>
      </c>
    </row>
    <row r="4133" spans="1:5" hidden="1" x14ac:dyDescent="0.25">
      <c r="A4133">
        <v>2181</v>
      </c>
      <c r="B4133" t="s">
        <v>550</v>
      </c>
      <c r="C4133" t="s">
        <v>1605</v>
      </c>
      <c r="D4133" t="str">
        <f t="shared" si="64"/>
        <v>FCS3010</v>
      </c>
      <c r="E4133" t="s">
        <v>1606</v>
      </c>
    </row>
    <row r="4134" spans="1:5" hidden="1" x14ac:dyDescent="0.25">
      <c r="A4134">
        <v>2181</v>
      </c>
      <c r="B4134" t="s">
        <v>550</v>
      </c>
      <c r="C4134" t="s">
        <v>137</v>
      </c>
      <c r="D4134" t="str">
        <f t="shared" si="64"/>
        <v>FCS3012</v>
      </c>
      <c r="E4134" t="s">
        <v>1606</v>
      </c>
    </row>
    <row r="4135" spans="1:5" hidden="1" x14ac:dyDescent="0.25">
      <c r="A4135">
        <v>2181</v>
      </c>
      <c r="B4135" t="s">
        <v>550</v>
      </c>
      <c r="C4135" t="s">
        <v>1607</v>
      </c>
      <c r="D4135" t="str">
        <f t="shared" si="64"/>
        <v>FCS3013</v>
      </c>
      <c r="E4135" t="s">
        <v>1600</v>
      </c>
    </row>
    <row r="4136" spans="1:5" hidden="1" x14ac:dyDescent="0.25">
      <c r="A4136">
        <v>2181</v>
      </c>
      <c r="B4136" t="s">
        <v>550</v>
      </c>
      <c r="C4136" t="s">
        <v>1608</v>
      </c>
      <c r="D4136" t="str">
        <f t="shared" si="64"/>
        <v>FCS3015</v>
      </c>
      <c r="E4136" t="s">
        <v>1600</v>
      </c>
    </row>
    <row r="4137" spans="1:5" hidden="1" x14ac:dyDescent="0.25">
      <c r="A4137">
        <v>2181</v>
      </c>
      <c r="B4137" t="s">
        <v>550</v>
      </c>
      <c r="C4137" t="s">
        <v>1609</v>
      </c>
      <c r="D4137" t="str">
        <f t="shared" si="64"/>
        <v>FCS3016</v>
      </c>
      <c r="E4137" t="s">
        <v>1600</v>
      </c>
    </row>
    <row r="4138" spans="1:5" hidden="1" x14ac:dyDescent="0.25">
      <c r="A4138">
        <v>2181</v>
      </c>
      <c r="B4138" t="s">
        <v>550</v>
      </c>
      <c r="C4138" t="s">
        <v>405</v>
      </c>
      <c r="D4138" t="str">
        <f t="shared" si="64"/>
        <v>FCS3017</v>
      </c>
      <c r="E4138" t="s">
        <v>1600</v>
      </c>
    </row>
    <row r="4139" spans="1:5" hidden="1" x14ac:dyDescent="0.25">
      <c r="A4139">
        <v>2181</v>
      </c>
      <c r="B4139" t="s">
        <v>550</v>
      </c>
      <c r="C4139" t="s">
        <v>1610</v>
      </c>
      <c r="D4139" t="str">
        <f t="shared" si="64"/>
        <v>FCS3019</v>
      </c>
      <c r="E4139" t="s">
        <v>1611</v>
      </c>
    </row>
    <row r="4140" spans="1:5" hidden="1" x14ac:dyDescent="0.25">
      <c r="A4140">
        <v>2181</v>
      </c>
      <c r="B4140" t="s">
        <v>550</v>
      </c>
      <c r="C4140" t="s">
        <v>1612</v>
      </c>
      <c r="D4140" t="str">
        <f t="shared" si="64"/>
        <v>FCS3020</v>
      </c>
      <c r="E4140" t="s">
        <v>1600</v>
      </c>
    </row>
    <row r="4141" spans="1:5" hidden="1" x14ac:dyDescent="0.25">
      <c r="A4141">
        <v>2181</v>
      </c>
      <c r="B4141" t="s">
        <v>550</v>
      </c>
      <c r="C4141" t="s">
        <v>1613</v>
      </c>
      <c r="D4141" t="str">
        <f t="shared" si="64"/>
        <v>FCS3021</v>
      </c>
      <c r="E4141" t="s">
        <v>1600</v>
      </c>
    </row>
    <row r="4142" spans="1:5" hidden="1" x14ac:dyDescent="0.25">
      <c r="A4142">
        <v>2181</v>
      </c>
      <c r="B4142" t="s">
        <v>550</v>
      </c>
      <c r="C4142" t="s">
        <v>430</v>
      </c>
      <c r="D4142" t="str">
        <f t="shared" si="64"/>
        <v>FCS3022</v>
      </c>
      <c r="E4142" t="s">
        <v>1600</v>
      </c>
    </row>
    <row r="4143" spans="1:5" hidden="1" x14ac:dyDescent="0.25">
      <c r="A4143">
        <v>2181</v>
      </c>
      <c r="B4143" t="s">
        <v>550</v>
      </c>
      <c r="C4143" t="s">
        <v>440</v>
      </c>
      <c r="D4143" t="str">
        <f t="shared" si="64"/>
        <v>FCS3024</v>
      </c>
      <c r="E4143" t="s">
        <v>1600</v>
      </c>
    </row>
    <row r="4144" spans="1:5" hidden="1" x14ac:dyDescent="0.25">
      <c r="A4144">
        <v>2181</v>
      </c>
      <c r="B4144" t="s">
        <v>550</v>
      </c>
      <c r="C4144" t="s">
        <v>1616</v>
      </c>
      <c r="D4144" t="str">
        <f t="shared" si="64"/>
        <v>FCS3025</v>
      </c>
      <c r="E4144" t="s">
        <v>1600</v>
      </c>
    </row>
    <row r="4145" spans="1:5" hidden="1" x14ac:dyDescent="0.25">
      <c r="A4145">
        <v>2181</v>
      </c>
      <c r="B4145" t="s">
        <v>550</v>
      </c>
      <c r="C4145" t="s">
        <v>1617</v>
      </c>
      <c r="D4145" t="str">
        <f t="shared" si="64"/>
        <v>FCS3026</v>
      </c>
      <c r="E4145" t="s">
        <v>1615</v>
      </c>
    </row>
    <row r="4146" spans="1:5" hidden="1" x14ac:dyDescent="0.25">
      <c r="A4146">
        <v>2181</v>
      </c>
      <c r="B4146" t="s">
        <v>550</v>
      </c>
      <c r="C4146" t="s">
        <v>1618</v>
      </c>
      <c r="D4146" t="str">
        <f t="shared" si="64"/>
        <v>FCS3027</v>
      </c>
      <c r="E4146" t="s">
        <v>1600</v>
      </c>
    </row>
    <row r="4147" spans="1:5" hidden="1" x14ac:dyDescent="0.25">
      <c r="A4147">
        <v>2181</v>
      </c>
      <c r="B4147" t="s">
        <v>550</v>
      </c>
      <c r="C4147" t="s">
        <v>1703</v>
      </c>
      <c r="D4147" t="str">
        <f t="shared" si="64"/>
        <v>FCS3041</v>
      </c>
      <c r="E4147" t="s">
        <v>1623</v>
      </c>
    </row>
    <row r="4148" spans="1:5" hidden="1" x14ac:dyDescent="0.25">
      <c r="A4148">
        <v>2181</v>
      </c>
      <c r="B4148" t="s">
        <v>550</v>
      </c>
      <c r="C4148" t="s">
        <v>490</v>
      </c>
      <c r="D4148" t="str">
        <f t="shared" si="64"/>
        <v>FCS3099</v>
      </c>
      <c r="E4148" t="s">
        <v>1600</v>
      </c>
    </row>
    <row r="4149" spans="1:5" hidden="1" x14ac:dyDescent="0.25">
      <c r="A4149">
        <v>2181</v>
      </c>
      <c r="B4149" t="s">
        <v>550</v>
      </c>
      <c r="C4149" t="s">
        <v>1626</v>
      </c>
      <c r="D4149" t="str">
        <f t="shared" si="64"/>
        <v>FCS3302</v>
      </c>
      <c r="E4149" t="s">
        <v>43</v>
      </c>
    </row>
    <row r="4150" spans="1:5" hidden="1" x14ac:dyDescent="0.25">
      <c r="A4150">
        <v>2181</v>
      </c>
      <c r="B4150" t="s">
        <v>550</v>
      </c>
      <c r="C4150" t="s">
        <v>1627</v>
      </c>
      <c r="D4150" t="str">
        <f t="shared" si="64"/>
        <v>FCS3304</v>
      </c>
      <c r="E4150" t="s">
        <v>43</v>
      </c>
    </row>
    <row r="4151" spans="1:5" hidden="1" x14ac:dyDescent="0.25">
      <c r="A4151">
        <v>2181</v>
      </c>
      <c r="B4151" t="s">
        <v>550</v>
      </c>
      <c r="C4151" t="s">
        <v>308</v>
      </c>
      <c r="D4151" t="str">
        <f t="shared" si="64"/>
        <v>FCS3305</v>
      </c>
      <c r="E4151" t="s">
        <v>43</v>
      </c>
    </row>
    <row r="4152" spans="1:5" hidden="1" x14ac:dyDescent="0.25">
      <c r="A4152">
        <v>2181</v>
      </c>
      <c r="B4152" t="s">
        <v>550</v>
      </c>
      <c r="C4152" t="s">
        <v>1740</v>
      </c>
      <c r="D4152" t="str">
        <f t="shared" si="64"/>
        <v>FCS3405</v>
      </c>
      <c r="E4152" t="s">
        <v>1596</v>
      </c>
    </row>
    <row r="4153" spans="1:5" hidden="1" x14ac:dyDescent="0.25">
      <c r="A4153">
        <v>2181</v>
      </c>
      <c r="B4153" t="s">
        <v>550</v>
      </c>
      <c r="C4153" t="s">
        <v>1705</v>
      </c>
      <c r="D4153" t="str">
        <f t="shared" si="64"/>
        <v>FCS3502</v>
      </c>
      <c r="E4153" t="s">
        <v>1623</v>
      </c>
    </row>
    <row r="4154" spans="1:5" hidden="1" x14ac:dyDescent="0.25">
      <c r="A4154">
        <v>2181</v>
      </c>
      <c r="B4154" t="s">
        <v>550</v>
      </c>
      <c r="C4154" t="s">
        <v>1742</v>
      </c>
      <c r="D4154" t="str">
        <f t="shared" si="64"/>
        <v>FCS3605</v>
      </c>
      <c r="E4154" t="s">
        <v>1623</v>
      </c>
    </row>
    <row r="4155" spans="1:5" hidden="1" x14ac:dyDescent="0.25">
      <c r="A4155">
        <v>2181</v>
      </c>
      <c r="B4155" t="s">
        <v>550</v>
      </c>
      <c r="C4155" t="s">
        <v>354</v>
      </c>
      <c r="D4155" t="str">
        <f t="shared" si="64"/>
        <v>FCS3610</v>
      </c>
      <c r="E4155" t="s">
        <v>1623</v>
      </c>
    </row>
    <row r="4156" spans="1:5" hidden="1" x14ac:dyDescent="0.25">
      <c r="A4156">
        <v>2181</v>
      </c>
      <c r="B4156" t="s">
        <v>550</v>
      </c>
      <c r="C4156" t="s">
        <v>1628</v>
      </c>
      <c r="D4156" t="str">
        <f t="shared" si="64"/>
        <v>FCS3612</v>
      </c>
      <c r="E4156" t="s">
        <v>1623</v>
      </c>
    </row>
    <row r="4157" spans="1:5" hidden="1" x14ac:dyDescent="0.25">
      <c r="A4157">
        <v>2181</v>
      </c>
      <c r="B4157" t="s">
        <v>550</v>
      </c>
      <c r="C4157" t="s">
        <v>470</v>
      </c>
      <c r="D4157" t="str">
        <f t="shared" si="64"/>
        <v>FCS3699</v>
      </c>
      <c r="E4157" t="s">
        <v>1623</v>
      </c>
    </row>
    <row r="4158" spans="1:5" hidden="1" x14ac:dyDescent="0.25">
      <c r="A4158">
        <v>2181</v>
      </c>
      <c r="B4158" t="s">
        <v>550</v>
      </c>
      <c r="C4158" t="s">
        <v>1693</v>
      </c>
      <c r="D4158" t="str">
        <f t="shared" si="64"/>
        <v>FCS3702</v>
      </c>
      <c r="E4158" t="s">
        <v>1630</v>
      </c>
    </row>
    <row r="4159" spans="1:5" hidden="1" x14ac:dyDescent="0.25">
      <c r="A4159">
        <v>2181</v>
      </c>
      <c r="B4159" t="s">
        <v>550</v>
      </c>
      <c r="C4159" t="s">
        <v>1631</v>
      </c>
      <c r="D4159" t="str">
        <f t="shared" si="64"/>
        <v>FCS3703</v>
      </c>
      <c r="E4159" t="s">
        <v>116</v>
      </c>
    </row>
    <row r="4160" spans="1:5" hidden="1" x14ac:dyDescent="0.25">
      <c r="A4160">
        <v>2181</v>
      </c>
      <c r="B4160" t="s">
        <v>550</v>
      </c>
      <c r="C4160" t="s">
        <v>1632</v>
      </c>
      <c r="D4160" t="str">
        <f t="shared" si="64"/>
        <v>FCS3704</v>
      </c>
      <c r="E4160" t="s">
        <v>116</v>
      </c>
    </row>
    <row r="4161" spans="1:5" hidden="1" x14ac:dyDescent="0.25">
      <c r="A4161">
        <v>2181</v>
      </c>
      <c r="B4161" t="s">
        <v>550</v>
      </c>
      <c r="C4161" t="s">
        <v>1633</v>
      </c>
      <c r="D4161" t="str">
        <f t="shared" si="64"/>
        <v>FCS3705</v>
      </c>
      <c r="E4161" t="s">
        <v>116</v>
      </c>
    </row>
    <row r="4162" spans="1:5" hidden="1" x14ac:dyDescent="0.25">
      <c r="A4162">
        <v>2181</v>
      </c>
      <c r="B4162" t="s">
        <v>550</v>
      </c>
      <c r="C4162" t="s">
        <v>232</v>
      </c>
      <c r="D4162" t="str">
        <f t="shared" si="64"/>
        <v>FCS3901</v>
      </c>
      <c r="E4162" t="s">
        <v>1596</v>
      </c>
    </row>
    <row r="4163" spans="1:5" hidden="1" x14ac:dyDescent="0.25">
      <c r="A4163">
        <v>2181</v>
      </c>
      <c r="B4163" t="s">
        <v>550</v>
      </c>
      <c r="C4163" t="s">
        <v>298</v>
      </c>
      <c r="D4163" t="str">
        <f t="shared" si="64"/>
        <v>FCS3904</v>
      </c>
      <c r="E4163" t="s">
        <v>1623</v>
      </c>
    </row>
    <row r="4164" spans="1:5" hidden="1" x14ac:dyDescent="0.25">
      <c r="A4164">
        <v>2181</v>
      </c>
      <c r="B4164" t="s">
        <v>550</v>
      </c>
      <c r="C4164" t="s">
        <v>1635</v>
      </c>
      <c r="D4164" t="str">
        <f t="shared" si="64"/>
        <v>FCS3908</v>
      </c>
      <c r="E4164" t="s">
        <v>1623</v>
      </c>
    </row>
    <row r="4165" spans="1:5" hidden="1" x14ac:dyDescent="0.25">
      <c r="A4165">
        <v>2181</v>
      </c>
      <c r="B4165" t="s">
        <v>550</v>
      </c>
      <c r="C4165" t="s">
        <v>355</v>
      </c>
      <c r="D4165" t="str">
        <f t="shared" ref="D4165:D4228" si="65">CONCATENATE(B4165,LEFT(C4165,4))</f>
        <v>FCS3911</v>
      </c>
      <c r="E4165" t="s">
        <v>1623</v>
      </c>
    </row>
    <row r="4166" spans="1:5" hidden="1" x14ac:dyDescent="0.25">
      <c r="A4166">
        <v>2181</v>
      </c>
      <c r="B4166" t="s">
        <v>550</v>
      </c>
      <c r="C4166" t="s">
        <v>1636</v>
      </c>
      <c r="D4166" t="str">
        <f t="shared" si="65"/>
        <v>FCS3912</v>
      </c>
      <c r="E4166" t="s">
        <v>1637</v>
      </c>
    </row>
    <row r="4167" spans="1:5" hidden="1" x14ac:dyDescent="0.25">
      <c r="A4167">
        <v>2181</v>
      </c>
      <c r="B4167" t="s">
        <v>550</v>
      </c>
      <c r="C4167" t="s">
        <v>1638</v>
      </c>
      <c r="D4167" t="str">
        <f t="shared" si="65"/>
        <v>FCS3913</v>
      </c>
      <c r="E4167" t="s">
        <v>1637</v>
      </c>
    </row>
    <row r="4168" spans="1:5" hidden="1" x14ac:dyDescent="0.25">
      <c r="A4168">
        <v>2181</v>
      </c>
      <c r="B4168" t="s">
        <v>550</v>
      </c>
      <c r="C4168" t="s">
        <v>383</v>
      </c>
      <c r="D4168" t="str">
        <f t="shared" si="65"/>
        <v>FCS3915</v>
      </c>
      <c r="E4168" t="s">
        <v>1637</v>
      </c>
    </row>
    <row r="4169" spans="1:5" hidden="1" x14ac:dyDescent="0.25">
      <c r="A4169">
        <v>2181</v>
      </c>
      <c r="B4169" t="s">
        <v>550</v>
      </c>
      <c r="C4169" t="s">
        <v>1639</v>
      </c>
      <c r="D4169" t="str">
        <f t="shared" si="65"/>
        <v>FCS3917</v>
      </c>
      <c r="E4169" t="s">
        <v>1615</v>
      </c>
    </row>
    <row r="4170" spans="1:5" hidden="1" x14ac:dyDescent="0.25">
      <c r="A4170">
        <v>2181</v>
      </c>
      <c r="B4170" t="s">
        <v>550</v>
      </c>
      <c r="C4170" t="s">
        <v>1641</v>
      </c>
      <c r="D4170" t="str">
        <f t="shared" si="65"/>
        <v>FCS3919</v>
      </c>
      <c r="E4170" t="s">
        <v>2102</v>
      </c>
    </row>
    <row r="4171" spans="1:5" hidden="1" x14ac:dyDescent="0.25">
      <c r="A4171">
        <v>2181</v>
      </c>
      <c r="B4171" t="s">
        <v>550</v>
      </c>
      <c r="C4171" t="s">
        <v>1694</v>
      </c>
      <c r="D4171" t="str">
        <f t="shared" si="65"/>
        <v>FCS3920</v>
      </c>
      <c r="E4171" t="s">
        <v>1692</v>
      </c>
    </row>
    <row r="4172" spans="1:5" hidden="1" x14ac:dyDescent="0.25">
      <c r="A4172">
        <v>2181</v>
      </c>
      <c r="B4172" t="s">
        <v>550</v>
      </c>
      <c r="C4172" t="s">
        <v>1642</v>
      </c>
      <c r="D4172" t="str">
        <f t="shared" si="65"/>
        <v>FCS3921</v>
      </c>
      <c r="E4172" t="s">
        <v>2102</v>
      </c>
    </row>
    <row r="4173" spans="1:5" hidden="1" x14ac:dyDescent="0.25">
      <c r="A4173">
        <v>2181</v>
      </c>
      <c r="B4173" t="s">
        <v>550</v>
      </c>
      <c r="C4173" t="s">
        <v>1643</v>
      </c>
      <c r="D4173" t="str">
        <f t="shared" si="65"/>
        <v>FCS3922</v>
      </c>
      <c r="E4173" t="s">
        <v>1611</v>
      </c>
    </row>
    <row r="4174" spans="1:5" hidden="1" x14ac:dyDescent="0.25">
      <c r="A4174">
        <v>2181</v>
      </c>
      <c r="B4174" t="s">
        <v>550</v>
      </c>
      <c r="C4174" t="s">
        <v>437</v>
      </c>
      <c r="D4174" t="str">
        <f t="shared" si="65"/>
        <v>FCS3925</v>
      </c>
      <c r="E4174" t="s">
        <v>1623</v>
      </c>
    </row>
    <row r="4175" spans="1:5" hidden="1" x14ac:dyDescent="0.25">
      <c r="A4175">
        <v>2181</v>
      </c>
      <c r="B4175" t="s">
        <v>550</v>
      </c>
      <c r="C4175" t="s">
        <v>442</v>
      </c>
      <c r="D4175" t="str">
        <f t="shared" si="65"/>
        <v>FCS3926</v>
      </c>
      <c r="E4175" t="s">
        <v>1646</v>
      </c>
    </row>
    <row r="4176" spans="1:5" hidden="1" x14ac:dyDescent="0.25">
      <c r="A4176">
        <v>2181</v>
      </c>
      <c r="B4176" t="s">
        <v>550</v>
      </c>
      <c r="C4176" t="s">
        <v>1650</v>
      </c>
      <c r="D4176" t="str">
        <f t="shared" si="65"/>
        <v>FCS3931</v>
      </c>
      <c r="E4176" t="s">
        <v>1623</v>
      </c>
    </row>
    <row r="4177" spans="1:5" hidden="1" x14ac:dyDescent="0.25">
      <c r="A4177">
        <v>2181</v>
      </c>
      <c r="B4177" t="s">
        <v>550</v>
      </c>
      <c r="C4177" t="s">
        <v>1652</v>
      </c>
      <c r="D4177" t="str">
        <f t="shared" si="65"/>
        <v>FCS3936</v>
      </c>
      <c r="E4177" t="s">
        <v>93</v>
      </c>
    </row>
    <row r="4178" spans="1:5" hidden="1" x14ac:dyDescent="0.25">
      <c r="A4178">
        <v>2181</v>
      </c>
      <c r="B4178" t="s">
        <v>550</v>
      </c>
      <c r="C4178" t="s">
        <v>1708</v>
      </c>
      <c r="D4178" t="str">
        <f t="shared" si="65"/>
        <v>FCS3938</v>
      </c>
      <c r="E4178" t="s">
        <v>1623</v>
      </c>
    </row>
    <row r="4179" spans="1:5" hidden="1" x14ac:dyDescent="0.25">
      <c r="A4179">
        <v>2181</v>
      </c>
      <c r="B4179" t="s">
        <v>550</v>
      </c>
      <c r="C4179" t="s">
        <v>1714</v>
      </c>
      <c r="D4179" t="str">
        <f t="shared" si="65"/>
        <v>FCS3939</v>
      </c>
      <c r="E4179" t="s">
        <v>1623</v>
      </c>
    </row>
    <row r="4180" spans="1:5" hidden="1" x14ac:dyDescent="0.25">
      <c r="A4180">
        <v>2181</v>
      </c>
      <c r="B4180" t="s">
        <v>550</v>
      </c>
      <c r="C4180" t="s">
        <v>1653</v>
      </c>
      <c r="D4180" t="str">
        <f t="shared" si="65"/>
        <v>FCS3940</v>
      </c>
      <c r="E4180" t="s">
        <v>1648</v>
      </c>
    </row>
    <row r="4181" spans="1:5" hidden="1" x14ac:dyDescent="0.25">
      <c r="A4181">
        <v>2181</v>
      </c>
      <c r="B4181" t="s">
        <v>550</v>
      </c>
      <c r="C4181" t="s">
        <v>1654</v>
      </c>
      <c r="D4181" t="str">
        <f t="shared" si="65"/>
        <v>FCS3943</v>
      </c>
      <c r="E4181" t="s">
        <v>1615</v>
      </c>
    </row>
    <row r="4182" spans="1:5" hidden="1" x14ac:dyDescent="0.25">
      <c r="A4182">
        <v>2181</v>
      </c>
      <c r="B4182" t="s">
        <v>550</v>
      </c>
      <c r="C4182" t="s">
        <v>487</v>
      </c>
      <c r="D4182" t="str">
        <f t="shared" si="65"/>
        <v>FCS3946</v>
      </c>
      <c r="E4182" t="s">
        <v>1744</v>
      </c>
    </row>
    <row r="4183" spans="1:5" hidden="1" x14ac:dyDescent="0.25">
      <c r="A4183">
        <v>2181</v>
      </c>
      <c r="B4183" t="s">
        <v>550</v>
      </c>
      <c r="C4183" t="s">
        <v>1701</v>
      </c>
      <c r="D4183" t="str">
        <f t="shared" si="65"/>
        <v>FCS3952</v>
      </c>
      <c r="E4183" t="s">
        <v>64</v>
      </c>
    </row>
    <row r="4184" spans="1:5" hidden="1" x14ac:dyDescent="0.25">
      <c r="A4184">
        <v>2181</v>
      </c>
      <c r="B4184" t="s">
        <v>550</v>
      </c>
      <c r="C4184" t="s">
        <v>1656</v>
      </c>
      <c r="D4184" t="str">
        <f t="shared" si="65"/>
        <v>FCS3959</v>
      </c>
      <c r="E4184" t="s">
        <v>1623</v>
      </c>
    </row>
    <row r="4185" spans="1:5" hidden="1" x14ac:dyDescent="0.25">
      <c r="A4185">
        <v>2181</v>
      </c>
      <c r="B4185" t="s">
        <v>550</v>
      </c>
      <c r="C4185" t="s">
        <v>1657</v>
      </c>
      <c r="D4185" t="str">
        <f t="shared" si="65"/>
        <v>FCS3961</v>
      </c>
      <c r="E4185" t="s">
        <v>1630</v>
      </c>
    </row>
    <row r="4186" spans="1:5" hidden="1" x14ac:dyDescent="0.25">
      <c r="A4186">
        <v>2181</v>
      </c>
      <c r="B4186" t="s">
        <v>550</v>
      </c>
      <c r="C4186" t="s">
        <v>1660</v>
      </c>
      <c r="D4186" t="str">
        <f t="shared" si="65"/>
        <v>FCS3970</v>
      </c>
      <c r="E4186" t="s">
        <v>1648</v>
      </c>
    </row>
    <row r="4187" spans="1:5" hidden="1" x14ac:dyDescent="0.25">
      <c r="A4187">
        <v>2181</v>
      </c>
      <c r="B4187" t="s">
        <v>550</v>
      </c>
      <c r="C4187" t="s">
        <v>512</v>
      </c>
      <c r="D4187" t="str">
        <f t="shared" si="65"/>
        <v>FCS3971</v>
      </c>
      <c r="E4187" t="s">
        <v>2103</v>
      </c>
    </row>
    <row r="4188" spans="1:5" hidden="1" x14ac:dyDescent="0.25">
      <c r="A4188">
        <v>2181</v>
      </c>
      <c r="B4188" t="s">
        <v>550</v>
      </c>
      <c r="C4188" t="s">
        <v>515</v>
      </c>
      <c r="D4188" t="str">
        <f t="shared" si="65"/>
        <v>FCS3974</v>
      </c>
      <c r="E4188" t="s">
        <v>1697</v>
      </c>
    </row>
    <row r="4189" spans="1:5" hidden="1" x14ac:dyDescent="0.25">
      <c r="A4189">
        <v>2181</v>
      </c>
      <c r="B4189" t="s">
        <v>550</v>
      </c>
      <c r="C4189" t="s">
        <v>1726</v>
      </c>
      <c r="D4189" t="str">
        <f t="shared" si="65"/>
        <v>FCS3980</v>
      </c>
      <c r="E4189" t="s">
        <v>1689</v>
      </c>
    </row>
    <row r="4190" spans="1:5" hidden="1" x14ac:dyDescent="0.25">
      <c r="A4190">
        <v>2181</v>
      </c>
      <c r="B4190" t="s">
        <v>550</v>
      </c>
      <c r="C4190" t="s">
        <v>525</v>
      </c>
      <c r="D4190" t="str">
        <f t="shared" si="65"/>
        <v>FCS3986</v>
      </c>
      <c r="E4190" t="s">
        <v>1623</v>
      </c>
    </row>
    <row r="4191" spans="1:5" hidden="1" x14ac:dyDescent="0.25">
      <c r="A4191">
        <v>2181</v>
      </c>
      <c r="B4191" t="s">
        <v>550</v>
      </c>
      <c r="C4191" t="s">
        <v>1661</v>
      </c>
      <c r="D4191" t="str">
        <f t="shared" si="65"/>
        <v>FCS3987</v>
      </c>
      <c r="E4191" t="s">
        <v>1615</v>
      </c>
    </row>
    <row r="4192" spans="1:5" hidden="1" x14ac:dyDescent="0.25">
      <c r="A4192">
        <v>2181</v>
      </c>
      <c r="B4192" t="s">
        <v>550</v>
      </c>
      <c r="C4192" t="s">
        <v>1746</v>
      </c>
      <c r="D4192" t="str">
        <f t="shared" si="65"/>
        <v>FCS3992</v>
      </c>
      <c r="E4192" t="s">
        <v>1744</v>
      </c>
    </row>
    <row r="4193" spans="1:5" hidden="1" x14ac:dyDescent="0.25">
      <c r="A4193">
        <v>2181</v>
      </c>
      <c r="B4193" t="s">
        <v>550</v>
      </c>
      <c r="C4193" t="s">
        <v>1663</v>
      </c>
      <c r="D4193" t="str">
        <f t="shared" si="65"/>
        <v>FCS3999</v>
      </c>
      <c r="E4193" t="s">
        <v>1623</v>
      </c>
    </row>
    <row r="4194" spans="1:5" hidden="1" x14ac:dyDescent="0.25">
      <c r="A4194">
        <v>2181</v>
      </c>
      <c r="B4194" t="s">
        <v>550</v>
      </c>
      <c r="C4194" t="s">
        <v>1664</v>
      </c>
      <c r="D4194" t="str">
        <f t="shared" si="65"/>
        <v>FCS4002</v>
      </c>
      <c r="E4194" t="s">
        <v>1648</v>
      </c>
    </row>
    <row r="4195" spans="1:5" hidden="1" x14ac:dyDescent="0.25">
      <c r="A4195">
        <v>2181</v>
      </c>
      <c r="B4195" t="s">
        <v>550</v>
      </c>
      <c r="C4195" t="s">
        <v>1665</v>
      </c>
      <c r="D4195" t="str">
        <f t="shared" si="65"/>
        <v>FCS4003</v>
      </c>
      <c r="E4195" t="s">
        <v>93</v>
      </c>
    </row>
    <row r="4196" spans="1:5" hidden="1" x14ac:dyDescent="0.25">
      <c r="A4196">
        <v>2181</v>
      </c>
      <c r="B4196" t="s">
        <v>550</v>
      </c>
      <c r="C4196" t="s">
        <v>1666</v>
      </c>
      <c r="D4196" t="str">
        <f t="shared" si="65"/>
        <v>FCS4004</v>
      </c>
      <c r="E4196" t="s">
        <v>1648</v>
      </c>
    </row>
    <row r="4197" spans="1:5" hidden="1" x14ac:dyDescent="0.25">
      <c r="A4197">
        <v>2181</v>
      </c>
      <c r="B4197" t="s">
        <v>550</v>
      </c>
      <c r="C4197" t="s">
        <v>1667</v>
      </c>
      <c r="D4197" t="str">
        <f t="shared" si="65"/>
        <v>FCS4005</v>
      </c>
      <c r="E4197" t="s">
        <v>1648</v>
      </c>
    </row>
    <row r="4198" spans="1:5" hidden="1" x14ac:dyDescent="0.25">
      <c r="A4198">
        <v>2181</v>
      </c>
      <c r="B4198" t="s">
        <v>550</v>
      </c>
      <c r="C4198" t="s">
        <v>1698</v>
      </c>
      <c r="D4198" t="str">
        <f t="shared" si="65"/>
        <v>FCS4006</v>
      </c>
      <c r="E4198" t="s">
        <v>1675</v>
      </c>
    </row>
    <row r="4199" spans="1:5" hidden="1" x14ac:dyDescent="0.25">
      <c r="A4199">
        <v>2181</v>
      </c>
      <c r="B4199" t="s">
        <v>550</v>
      </c>
      <c r="C4199" t="s">
        <v>1668</v>
      </c>
      <c r="D4199" t="str">
        <f t="shared" si="65"/>
        <v>FCS4701</v>
      </c>
      <c r="E4199" t="s">
        <v>1669</v>
      </c>
    </row>
    <row r="4200" spans="1:5" hidden="1" x14ac:dyDescent="0.25">
      <c r="A4200">
        <v>2181</v>
      </c>
      <c r="B4200" t="s">
        <v>550</v>
      </c>
      <c r="C4200" t="s">
        <v>315</v>
      </c>
      <c r="D4200" t="str">
        <f t="shared" si="65"/>
        <v>FCS4706</v>
      </c>
      <c r="E4200" t="s">
        <v>1669</v>
      </c>
    </row>
    <row r="4201" spans="1:5" hidden="1" x14ac:dyDescent="0.25">
      <c r="A4201">
        <v>2181</v>
      </c>
      <c r="B4201" t="s">
        <v>550</v>
      </c>
      <c r="C4201" t="s">
        <v>327</v>
      </c>
      <c r="D4201" t="str">
        <f t="shared" si="65"/>
        <v>FCS4707</v>
      </c>
      <c r="E4201" t="s">
        <v>1669</v>
      </c>
    </row>
    <row r="4202" spans="1:5" hidden="1" x14ac:dyDescent="0.25">
      <c r="A4202">
        <v>2181</v>
      </c>
      <c r="B4202" t="s">
        <v>550</v>
      </c>
      <c r="C4202" t="s">
        <v>347</v>
      </c>
      <c r="D4202" t="str">
        <f t="shared" si="65"/>
        <v>FCS4709</v>
      </c>
      <c r="E4202" t="s">
        <v>1669</v>
      </c>
    </row>
    <row r="4203" spans="1:5" hidden="1" x14ac:dyDescent="0.25">
      <c r="A4203">
        <v>2181</v>
      </c>
      <c r="B4203" t="s">
        <v>550</v>
      </c>
      <c r="C4203" t="s">
        <v>356</v>
      </c>
      <c r="D4203" t="str">
        <f t="shared" si="65"/>
        <v>FCS4710</v>
      </c>
      <c r="E4203" t="s">
        <v>1669</v>
      </c>
    </row>
    <row r="4204" spans="1:5" hidden="1" x14ac:dyDescent="0.25">
      <c r="A4204">
        <v>2181</v>
      </c>
      <c r="B4204" t="s">
        <v>550</v>
      </c>
      <c r="C4204" t="s">
        <v>363</v>
      </c>
      <c r="D4204" t="str">
        <f t="shared" si="65"/>
        <v>FCS4799</v>
      </c>
      <c r="E4204" t="s">
        <v>1669</v>
      </c>
    </row>
    <row r="4205" spans="1:5" hidden="1" x14ac:dyDescent="0.25">
      <c r="A4205">
        <v>2181</v>
      </c>
      <c r="B4205" t="s">
        <v>550</v>
      </c>
      <c r="C4205" t="s">
        <v>1673</v>
      </c>
      <c r="D4205" t="str">
        <f t="shared" si="65"/>
        <v>FCS5204</v>
      </c>
      <c r="E4205" t="s">
        <v>1674</v>
      </c>
    </row>
    <row r="4206" spans="1:5" hidden="1" x14ac:dyDescent="0.25">
      <c r="A4206">
        <v>2181</v>
      </c>
      <c r="B4206" t="s">
        <v>550</v>
      </c>
      <c r="C4206" t="s">
        <v>1676</v>
      </c>
      <c r="D4206" t="str">
        <f t="shared" si="65"/>
        <v>FCS5207</v>
      </c>
      <c r="E4206" t="s">
        <v>1675</v>
      </c>
    </row>
    <row r="4207" spans="1:5" hidden="1" x14ac:dyDescent="0.25">
      <c r="A4207">
        <v>2181</v>
      </c>
      <c r="B4207" t="s">
        <v>550</v>
      </c>
      <c r="C4207" t="s">
        <v>1677</v>
      </c>
      <c r="D4207" t="str">
        <f t="shared" si="65"/>
        <v>FCS5208</v>
      </c>
      <c r="E4207" t="s">
        <v>1675</v>
      </c>
    </row>
    <row r="4208" spans="1:5" hidden="1" x14ac:dyDescent="0.25">
      <c r="A4208">
        <v>2181</v>
      </c>
      <c r="B4208" t="s">
        <v>550</v>
      </c>
      <c r="C4208" t="s">
        <v>1678</v>
      </c>
      <c r="D4208" t="str">
        <f t="shared" si="65"/>
        <v>FCS5210</v>
      </c>
      <c r="E4208" t="s">
        <v>1674</v>
      </c>
    </row>
    <row r="4209" spans="1:5" hidden="1" x14ac:dyDescent="0.25">
      <c r="A4209">
        <v>2181</v>
      </c>
      <c r="B4209" t="s">
        <v>550</v>
      </c>
      <c r="C4209" t="s">
        <v>1679</v>
      </c>
      <c r="D4209" t="str">
        <f t="shared" si="65"/>
        <v>FCS5212</v>
      </c>
      <c r="E4209" t="s">
        <v>1674</v>
      </c>
    </row>
    <row r="4210" spans="1:5" hidden="1" x14ac:dyDescent="0.25">
      <c r="A4210">
        <v>2181</v>
      </c>
      <c r="B4210" t="s">
        <v>550</v>
      </c>
      <c r="C4210" t="s">
        <v>390</v>
      </c>
      <c r="D4210" t="str">
        <f t="shared" si="65"/>
        <v>FCS5214</v>
      </c>
      <c r="E4210" t="s">
        <v>1674</v>
      </c>
    </row>
    <row r="4211" spans="1:5" hidden="1" x14ac:dyDescent="0.25">
      <c r="A4211">
        <v>2181</v>
      </c>
      <c r="B4211" t="s">
        <v>550</v>
      </c>
      <c r="C4211" t="s">
        <v>448</v>
      </c>
      <c r="D4211" t="str">
        <f t="shared" si="65"/>
        <v>FCS5225</v>
      </c>
      <c r="E4211" t="s">
        <v>1674</v>
      </c>
    </row>
    <row r="4212" spans="1:5" hidden="1" x14ac:dyDescent="0.25">
      <c r="A4212">
        <v>2181</v>
      </c>
      <c r="B4212" t="s">
        <v>550</v>
      </c>
      <c r="C4212" t="s">
        <v>1682</v>
      </c>
      <c r="D4212" t="str">
        <f t="shared" si="65"/>
        <v>FCS5226</v>
      </c>
      <c r="E4212" t="s">
        <v>1674</v>
      </c>
    </row>
    <row r="4213" spans="1:5" hidden="1" x14ac:dyDescent="0.25">
      <c r="A4213">
        <v>2181</v>
      </c>
      <c r="B4213" t="s">
        <v>550</v>
      </c>
      <c r="C4213" t="s">
        <v>1758</v>
      </c>
      <c r="D4213" t="str">
        <f t="shared" si="65"/>
        <v>FCS8501</v>
      </c>
      <c r="E4213" t="s">
        <v>1744</v>
      </c>
    </row>
    <row r="4214" spans="1:5" hidden="1" x14ac:dyDescent="0.25">
      <c r="A4214">
        <v>2181</v>
      </c>
      <c r="B4214" t="s">
        <v>550</v>
      </c>
      <c r="C4214" t="s">
        <v>1684</v>
      </c>
      <c r="D4214" t="str">
        <f t="shared" si="65"/>
        <v>FCS9202</v>
      </c>
      <c r="E4214" t="s">
        <v>1685</v>
      </c>
    </row>
    <row r="4215" spans="1:5" hidden="1" x14ac:dyDescent="0.25">
      <c r="A4215">
        <v>2181</v>
      </c>
      <c r="B4215" t="s">
        <v>550</v>
      </c>
      <c r="C4215" t="s">
        <v>1687</v>
      </c>
      <c r="D4215" t="str">
        <f t="shared" si="65"/>
        <v>FCS9399</v>
      </c>
      <c r="E4215" t="s">
        <v>1623</v>
      </c>
    </row>
    <row r="4216" spans="1:5" hidden="1" x14ac:dyDescent="0.25">
      <c r="A4216">
        <v>2181</v>
      </c>
      <c r="B4216" t="s">
        <v>550</v>
      </c>
      <c r="C4216" t="s">
        <v>345</v>
      </c>
      <c r="D4216" t="str">
        <f t="shared" si="65"/>
        <v>FCS3910</v>
      </c>
      <c r="E4216" t="s">
        <v>2109</v>
      </c>
    </row>
    <row r="4217" spans="1:5" hidden="1" x14ac:dyDescent="0.25">
      <c r="A4217">
        <v>2201</v>
      </c>
      <c r="B4217" t="s">
        <v>567</v>
      </c>
      <c r="C4217" t="s">
        <v>1595</v>
      </c>
      <c r="D4217" t="str">
        <f t="shared" si="65"/>
        <v>IEPHA0810</v>
      </c>
      <c r="E4217" t="s">
        <v>1596</v>
      </c>
    </row>
    <row r="4218" spans="1:5" hidden="1" x14ac:dyDescent="0.25">
      <c r="A4218">
        <v>2201</v>
      </c>
      <c r="B4218" t="s">
        <v>567</v>
      </c>
      <c r="C4218" t="s">
        <v>331</v>
      </c>
      <c r="D4218" t="str">
        <f t="shared" si="65"/>
        <v>IEPHA1314</v>
      </c>
      <c r="E4218" t="s">
        <v>1689</v>
      </c>
    </row>
    <row r="4219" spans="1:5" hidden="1" x14ac:dyDescent="0.25">
      <c r="A4219">
        <v>2201</v>
      </c>
      <c r="B4219" t="s">
        <v>567</v>
      </c>
      <c r="C4219" t="s">
        <v>398</v>
      </c>
      <c r="D4219" t="str">
        <f t="shared" si="65"/>
        <v>IEPHA1325</v>
      </c>
      <c r="E4219" t="s">
        <v>1689</v>
      </c>
    </row>
    <row r="4220" spans="1:5" hidden="1" x14ac:dyDescent="0.25">
      <c r="A4220">
        <v>2201</v>
      </c>
      <c r="B4220" t="s">
        <v>567</v>
      </c>
      <c r="C4220" t="s">
        <v>1597</v>
      </c>
      <c r="D4220" t="str">
        <f t="shared" si="65"/>
        <v>IEPHA1401</v>
      </c>
      <c r="E4220" t="s">
        <v>43</v>
      </c>
    </row>
    <row r="4221" spans="1:5" hidden="1" x14ac:dyDescent="0.25">
      <c r="A4221">
        <v>2201</v>
      </c>
      <c r="B4221" t="s">
        <v>567</v>
      </c>
      <c r="C4221" t="s">
        <v>1599</v>
      </c>
      <c r="D4221" t="str">
        <f t="shared" si="65"/>
        <v>IEPHA3001</v>
      </c>
      <c r="E4221" t="s">
        <v>1600</v>
      </c>
    </row>
    <row r="4222" spans="1:5" hidden="1" x14ac:dyDescent="0.25">
      <c r="A4222">
        <v>2201</v>
      </c>
      <c r="B4222" t="s">
        <v>567</v>
      </c>
      <c r="C4222" t="s">
        <v>1601</v>
      </c>
      <c r="D4222" t="str">
        <f t="shared" si="65"/>
        <v>IEPHA3003</v>
      </c>
      <c r="E4222" t="s">
        <v>1600</v>
      </c>
    </row>
    <row r="4223" spans="1:5" hidden="1" x14ac:dyDescent="0.25">
      <c r="A4223">
        <v>2201</v>
      </c>
      <c r="B4223" t="s">
        <v>567</v>
      </c>
      <c r="C4223" t="s">
        <v>1603</v>
      </c>
      <c r="D4223" t="str">
        <f t="shared" si="65"/>
        <v>IEPHA3005</v>
      </c>
      <c r="E4223" t="s">
        <v>1600</v>
      </c>
    </row>
    <row r="4224" spans="1:5" hidden="1" x14ac:dyDescent="0.25">
      <c r="A4224">
        <v>2201</v>
      </c>
      <c r="B4224" t="s">
        <v>567</v>
      </c>
      <c r="C4224" t="s">
        <v>322</v>
      </c>
      <c r="D4224" t="str">
        <f t="shared" si="65"/>
        <v>IEPHA3006</v>
      </c>
      <c r="E4224" t="s">
        <v>1600</v>
      </c>
    </row>
    <row r="4225" spans="1:5" hidden="1" x14ac:dyDescent="0.25">
      <c r="A4225">
        <v>2201</v>
      </c>
      <c r="B4225" t="s">
        <v>567</v>
      </c>
      <c r="C4225" t="s">
        <v>1604</v>
      </c>
      <c r="D4225" t="str">
        <f t="shared" si="65"/>
        <v>IEPHA3008</v>
      </c>
      <c r="E4225" t="s">
        <v>1600</v>
      </c>
    </row>
    <row r="4226" spans="1:5" hidden="1" x14ac:dyDescent="0.25">
      <c r="A4226">
        <v>2201</v>
      </c>
      <c r="B4226" t="s">
        <v>567</v>
      </c>
      <c r="C4226" t="s">
        <v>1605</v>
      </c>
      <c r="D4226" t="str">
        <f t="shared" si="65"/>
        <v>IEPHA3010</v>
      </c>
      <c r="E4226" t="s">
        <v>1606</v>
      </c>
    </row>
    <row r="4227" spans="1:5" hidden="1" x14ac:dyDescent="0.25">
      <c r="A4227">
        <v>2201</v>
      </c>
      <c r="B4227" t="s">
        <v>567</v>
      </c>
      <c r="C4227" t="s">
        <v>368</v>
      </c>
      <c r="D4227" t="str">
        <f t="shared" si="65"/>
        <v>IEPHA3011</v>
      </c>
      <c r="E4227" t="s">
        <v>1600</v>
      </c>
    </row>
    <row r="4228" spans="1:5" hidden="1" x14ac:dyDescent="0.25">
      <c r="A4228">
        <v>2201</v>
      </c>
      <c r="B4228" t="s">
        <v>567</v>
      </c>
      <c r="C4228" t="s">
        <v>137</v>
      </c>
      <c r="D4228" t="str">
        <f t="shared" si="65"/>
        <v>IEPHA3012</v>
      </c>
      <c r="E4228" t="s">
        <v>1606</v>
      </c>
    </row>
    <row r="4229" spans="1:5" hidden="1" x14ac:dyDescent="0.25">
      <c r="A4229">
        <v>2201</v>
      </c>
      <c r="B4229" t="s">
        <v>567</v>
      </c>
      <c r="C4229" t="s">
        <v>1607</v>
      </c>
      <c r="D4229" t="str">
        <f t="shared" ref="D4229:D4292" si="66">CONCATENATE(B4229,LEFT(C4229,4))</f>
        <v>IEPHA3013</v>
      </c>
      <c r="E4229" t="s">
        <v>1600</v>
      </c>
    </row>
    <row r="4230" spans="1:5" hidden="1" x14ac:dyDescent="0.25">
      <c r="A4230">
        <v>2201</v>
      </c>
      <c r="B4230" t="s">
        <v>567</v>
      </c>
      <c r="C4230" t="s">
        <v>1609</v>
      </c>
      <c r="D4230" t="str">
        <f t="shared" si="66"/>
        <v>IEPHA3016</v>
      </c>
      <c r="E4230" t="s">
        <v>1600</v>
      </c>
    </row>
    <row r="4231" spans="1:5" hidden="1" x14ac:dyDescent="0.25">
      <c r="A4231">
        <v>2201</v>
      </c>
      <c r="B4231" t="s">
        <v>567</v>
      </c>
      <c r="C4231" t="s">
        <v>405</v>
      </c>
      <c r="D4231" t="str">
        <f t="shared" si="66"/>
        <v>IEPHA3017</v>
      </c>
      <c r="E4231" t="s">
        <v>1600</v>
      </c>
    </row>
    <row r="4232" spans="1:5" hidden="1" x14ac:dyDescent="0.25">
      <c r="A4232">
        <v>2201</v>
      </c>
      <c r="B4232" t="s">
        <v>567</v>
      </c>
      <c r="C4232" t="s">
        <v>1610</v>
      </c>
      <c r="D4232" t="str">
        <f t="shared" si="66"/>
        <v>IEPHA3019</v>
      </c>
      <c r="E4232" t="s">
        <v>1611</v>
      </c>
    </row>
    <row r="4233" spans="1:5" hidden="1" x14ac:dyDescent="0.25">
      <c r="A4233">
        <v>2201</v>
      </c>
      <c r="B4233" t="s">
        <v>567</v>
      </c>
      <c r="C4233" t="s">
        <v>1612</v>
      </c>
      <c r="D4233" t="str">
        <f t="shared" si="66"/>
        <v>IEPHA3020</v>
      </c>
      <c r="E4233" t="s">
        <v>1600</v>
      </c>
    </row>
    <row r="4234" spans="1:5" hidden="1" x14ac:dyDescent="0.25">
      <c r="A4234">
        <v>2201</v>
      </c>
      <c r="B4234" t="s">
        <v>567</v>
      </c>
      <c r="C4234" t="s">
        <v>1613</v>
      </c>
      <c r="D4234" t="str">
        <f t="shared" si="66"/>
        <v>IEPHA3021</v>
      </c>
      <c r="E4234" t="s">
        <v>1600</v>
      </c>
    </row>
    <row r="4235" spans="1:5" hidden="1" x14ac:dyDescent="0.25">
      <c r="A4235">
        <v>2201</v>
      </c>
      <c r="B4235" t="s">
        <v>567</v>
      </c>
      <c r="C4235" t="s">
        <v>430</v>
      </c>
      <c r="D4235" t="str">
        <f t="shared" si="66"/>
        <v>IEPHA3022</v>
      </c>
      <c r="E4235" t="s">
        <v>1600</v>
      </c>
    </row>
    <row r="4236" spans="1:5" hidden="1" x14ac:dyDescent="0.25">
      <c r="A4236">
        <v>2201</v>
      </c>
      <c r="B4236" t="s">
        <v>567</v>
      </c>
      <c r="C4236" t="s">
        <v>1614</v>
      </c>
      <c r="D4236" t="str">
        <f t="shared" si="66"/>
        <v>IEPHA3023</v>
      </c>
      <c r="E4236" t="s">
        <v>1615</v>
      </c>
    </row>
    <row r="4237" spans="1:5" hidden="1" x14ac:dyDescent="0.25">
      <c r="A4237">
        <v>2201</v>
      </c>
      <c r="B4237" t="s">
        <v>567</v>
      </c>
      <c r="C4237" t="s">
        <v>440</v>
      </c>
      <c r="D4237" t="str">
        <f t="shared" si="66"/>
        <v>IEPHA3024</v>
      </c>
      <c r="E4237" t="s">
        <v>1600</v>
      </c>
    </row>
    <row r="4238" spans="1:5" hidden="1" x14ac:dyDescent="0.25">
      <c r="A4238">
        <v>2201</v>
      </c>
      <c r="B4238" t="s">
        <v>567</v>
      </c>
      <c r="C4238" t="s">
        <v>1616</v>
      </c>
      <c r="D4238" t="str">
        <f t="shared" si="66"/>
        <v>IEPHA3025</v>
      </c>
      <c r="E4238" t="s">
        <v>1600</v>
      </c>
    </row>
    <row r="4239" spans="1:5" hidden="1" x14ac:dyDescent="0.25">
      <c r="A4239">
        <v>2201</v>
      </c>
      <c r="B4239" t="s">
        <v>567</v>
      </c>
      <c r="C4239" t="s">
        <v>1617</v>
      </c>
      <c r="D4239" t="str">
        <f t="shared" si="66"/>
        <v>IEPHA3026</v>
      </c>
      <c r="E4239" t="s">
        <v>1615</v>
      </c>
    </row>
    <row r="4240" spans="1:5" hidden="1" x14ac:dyDescent="0.25">
      <c r="A4240">
        <v>2201</v>
      </c>
      <c r="B4240" t="s">
        <v>567</v>
      </c>
      <c r="C4240" t="s">
        <v>1618</v>
      </c>
      <c r="D4240" t="str">
        <f t="shared" si="66"/>
        <v>IEPHA3027</v>
      </c>
      <c r="E4240" t="s">
        <v>1600</v>
      </c>
    </row>
    <row r="4241" spans="1:5" hidden="1" x14ac:dyDescent="0.25">
      <c r="A4241">
        <v>2201</v>
      </c>
      <c r="B4241" t="s">
        <v>567</v>
      </c>
      <c r="C4241" t="s">
        <v>466</v>
      </c>
      <c r="D4241" t="str">
        <f t="shared" si="66"/>
        <v>IEPHA3030</v>
      </c>
      <c r="E4241" t="s">
        <v>1600</v>
      </c>
    </row>
    <row r="4242" spans="1:5" hidden="1" x14ac:dyDescent="0.25">
      <c r="A4242">
        <v>2201</v>
      </c>
      <c r="B4242" t="s">
        <v>567</v>
      </c>
      <c r="C4242" t="s">
        <v>1626</v>
      </c>
      <c r="D4242" t="str">
        <f t="shared" si="66"/>
        <v>IEPHA3302</v>
      </c>
      <c r="E4242" t="s">
        <v>43</v>
      </c>
    </row>
    <row r="4243" spans="1:5" hidden="1" x14ac:dyDescent="0.25">
      <c r="A4243">
        <v>2201</v>
      </c>
      <c r="B4243" t="s">
        <v>567</v>
      </c>
      <c r="C4243" t="s">
        <v>1627</v>
      </c>
      <c r="D4243" t="str">
        <f t="shared" si="66"/>
        <v>IEPHA3304</v>
      </c>
      <c r="E4243" t="s">
        <v>43</v>
      </c>
    </row>
    <row r="4244" spans="1:5" hidden="1" x14ac:dyDescent="0.25">
      <c r="A4244">
        <v>2201</v>
      </c>
      <c r="B4244" t="s">
        <v>567</v>
      </c>
      <c r="C4244" t="s">
        <v>308</v>
      </c>
      <c r="D4244" t="str">
        <f t="shared" si="66"/>
        <v>IEPHA3305</v>
      </c>
      <c r="E4244" t="s">
        <v>43</v>
      </c>
    </row>
    <row r="4245" spans="1:5" hidden="1" x14ac:dyDescent="0.25">
      <c r="A4245">
        <v>2201</v>
      </c>
      <c r="B4245" t="s">
        <v>567</v>
      </c>
      <c r="C4245" t="s">
        <v>1705</v>
      </c>
      <c r="D4245" t="str">
        <f t="shared" si="66"/>
        <v>IEPHA3502</v>
      </c>
      <c r="E4245" t="s">
        <v>1623</v>
      </c>
    </row>
    <row r="4246" spans="1:5" hidden="1" x14ac:dyDescent="0.25">
      <c r="A4246">
        <v>2201</v>
      </c>
      <c r="B4246" t="s">
        <v>567</v>
      </c>
      <c r="C4246" t="s">
        <v>354</v>
      </c>
      <c r="D4246" t="str">
        <f t="shared" si="66"/>
        <v>IEPHA3610</v>
      </c>
      <c r="E4246" t="s">
        <v>1623</v>
      </c>
    </row>
    <row r="4247" spans="1:5" hidden="1" x14ac:dyDescent="0.25">
      <c r="A4247">
        <v>2201</v>
      </c>
      <c r="B4247" t="s">
        <v>567</v>
      </c>
      <c r="C4247" t="s">
        <v>1628</v>
      </c>
      <c r="D4247" t="str">
        <f t="shared" si="66"/>
        <v>IEPHA3612</v>
      </c>
      <c r="E4247" t="s">
        <v>1623</v>
      </c>
    </row>
    <row r="4248" spans="1:5" hidden="1" x14ac:dyDescent="0.25">
      <c r="A4248">
        <v>2201</v>
      </c>
      <c r="B4248" t="s">
        <v>567</v>
      </c>
      <c r="C4248" t="s">
        <v>400</v>
      </c>
      <c r="D4248" t="str">
        <f t="shared" si="66"/>
        <v>IEPHA3617</v>
      </c>
      <c r="E4248" t="s">
        <v>1623</v>
      </c>
    </row>
    <row r="4249" spans="1:5" hidden="1" x14ac:dyDescent="0.25">
      <c r="A4249">
        <v>2201</v>
      </c>
      <c r="B4249" t="s">
        <v>567</v>
      </c>
      <c r="C4249" t="s">
        <v>470</v>
      </c>
      <c r="D4249" t="str">
        <f t="shared" si="66"/>
        <v>IEPHA3699</v>
      </c>
      <c r="E4249" t="s">
        <v>1623</v>
      </c>
    </row>
    <row r="4250" spans="1:5" hidden="1" x14ac:dyDescent="0.25">
      <c r="A4250">
        <v>2201</v>
      </c>
      <c r="B4250" t="s">
        <v>567</v>
      </c>
      <c r="C4250" t="s">
        <v>1693</v>
      </c>
      <c r="D4250" t="str">
        <f t="shared" si="66"/>
        <v>IEPHA3702</v>
      </c>
      <c r="E4250" t="s">
        <v>1630</v>
      </c>
    </row>
    <row r="4251" spans="1:5" hidden="1" x14ac:dyDescent="0.25">
      <c r="A4251">
        <v>2201</v>
      </c>
      <c r="B4251" t="s">
        <v>567</v>
      </c>
      <c r="C4251" t="s">
        <v>1631</v>
      </c>
      <c r="D4251" t="str">
        <f t="shared" si="66"/>
        <v>IEPHA3703</v>
      </c>
      <c r="E4251" t="s">
        <v>116</v>
      </c>
    </row>
    <row r="4252" spans="1:5" hidden="1" x14ac:dyDescent="0.25">
      <c r="A4252">
        <v>2201</v>
      </c>
      <c r="B4252" t="s">
        <v>567</v>
      </c>
      <c r="C4252" t="s">
        <v>1632</v>
      </c>
      <c r="D4252" t="str">
        <f t="shared" si="66"/>
        <v>IEPHA3704</v>
      </c>
      <c r="E4252" t="s">
        <v>116</v>
      </c>
    </row>
    <row r="4253" spans="1:5" hidden="1" x14ac:dyDescent="0.25">
      <c r="A4253">
        <v>2201</v>
      </c>
      <c r="B4253" t="s">
        <v>567</v>
      </c>
      <c r="C4253" t="s">
        <v>1633</v>
      </c>
      <c r="D4253" t="str">
        <f t="shared" si="66"/>
        <v>IEPHA3705</v>
      </c>
      <c r="E4253" t="s">
        <v>116</v>
      </c>
    </row>
    <row r="4254" spans="1:5" hidden="1" x14ac:dyDescent="0.25">
      <c r="A4254">
        <v>2201</v>
      </c>
      <c r="B4254" t="s">
        <v>567</v>
      </c>
      <c r="C4254" t="s">
        <v>1634</v>
      </c>
      <c r="D4254" t="str">
        <f t="shared" si="66"/>
        <v>IEPHA3903</v>
      </c>
      <c r="E4254" t="s">
        <v>86</v>
      </c>
    </row>
    <row r="4255" spans="1:5" hidden="1" x14ac:dyDescent="0.25">
      <c r="A4255">
        <v>2201</v>
      </c>
      <c r="B4255" t="s">
        <v>567</v>
      </c>
      <c r="C4255" t="s">
        <v>298</v>
      </c>
      <c r="D4255" t="str">
        <f t="shared" si="66"/>
        <v>IEPHA3904</v>
      </c>
      <c r="E4255" t="s">
        <v>1623</v>
      </c>
    </row>
    <row r="4256" spans="1:5" hidden="1" x14ac:dyDescent="0.25">
      <c r="A4256">
        <v>2201</v>
      </c>
      <c r="B4256" t="s">
        <v>567</v>
      </c>
      <c r="C4256" t="s">
        <v>325</v>
      </c>
      <c r="D4256" t="str">
        <f t="shared" si="66"/>
        <v>IEPHA3906</v>
      </c>
      <c r="E4256" t="s">
        <v>1623</v>
      </c>
    </row>
    <row r="4257" spans="1:5" hidden="1" x14ac:dyDescent="0.25">
      <c r="A4257">
        <v>2201</v>
      </c>
      <c r="B4257" t="s">
        <v>567</v>
      </c>
      <c r="C4257" t="s">
        <v>1635</v>
      </c>
      <c r="D4257" t="str">
        <f t="shared" si="66"/>
        <v>IEPHA3908</v>
      </c>
      <c r="E4257" t="s">
        <v>1623</v>
      </c>
    </row>
    <row r="4258" spans="1:5" hidden="1" x14ac:dyDescent="0.25">
      <c r="A4258">
        <v>2201</v>
      </c>
      <c r="B4258" t="s">
        <v>567</v>
      </c>
      <c r="C4258" t="s">
        <v>345</v>
      </c>
      <c r="D4258" t="str">
        <f t="shared" si="66"/>
        <v>IEPHA3910</v>
      </c>
      <c r="E4258" t="s">
        <v>1623</v>
      </c>
    </row>
    <row r="4259" spans="1:5" hidden="1" x14ac:dyDescent="0.25">
      <c r="A4259">
        <v>2201</v>
      </c>
      <c r="B4259" t="s">
        <v>567</v>
      </c>
      <c r="C4259" t="s">
        <v>355</v>
      </c>
      <c r="D4259" t="str">
        <f t="shared" si="66"/>
        <v>IEPHA3911</v>
      </c>
      <c r="E4259" t="s">
        <v>1623</v>
      </c>
    </row>
    <row r="4260" spans="1:5" hidden="1" x14ac:dyDescent="0.25">
      <c r="A4260">
        <v>2201</v>
      </c>
      <c r="B4260" t="s">
        <v>567</v>
      </c>
      <c r="C4260" t="s">
        <v>1636</v>
      </c>
      <c r="D4260" t="str">
        <f t="shared" si="66"/>
        <v>IEPHA3912</v>
      </c>
      <c r="E4260" t="s">
        <v>1637</v>
      </c>
    </row>
    <row r="4261" spans="1:5" hidden="1" x14ac:dyDescent="0.25">
      <c r="A4261">
        <v>2201</v>
      </c>
      <c r="B4261" t="s">
        <v>567</v>
      </c>
      <c r="C4261" t="s">
        <v>1638</v>
      </c>
      <c r="D4261" t="str">
        <f t="shared" si="66"/>
        <v>IEPHA3913</v>
      </c>
      <c r="E4261" t="s">
        <v>1637</v>
      </c>
    </row>
    <row r="4262" spans="1:5" hidden="1" x14ac:dyDescent="0.25">
      <c r="A4262">
        <v>2201</v>
      </c>
      <c r="B4262" t="s">
        <v>567</v>
      </c>
      <c r="C4262" t="s">
        <v>383</v>
      </c>
      <c r="D4262" t="str">
        <f t="shared" si="66"/>
        <v>IEPHA3915</v>
      </c>
      <c r="E4262" t="s">
        <v>1637</v>
      </c>
    </row>
    <row r="4263" spans="1:5" hidden="1" x14ac:dyDescent="0.25">
      <c r="A4263">
        <v>2201</v>
      </c>
      <c r="B4263" t="s">
        <v>567</v>
      </c>
      <c r="C4263" t="s">
        <v>1639</v>
      </c>
      <c r="D4263" t="str">
        <f t="shared" si="66"/>
        <v>IEPHA3917</v>
      </c>
      <c r="E4263" t="s">
        <v>1615</v>
      </c>
    </row>
    <row r="4264" spans="1:5" hidden="1" x14ac:dyDescent="0.25">
      <c r="A4264">
        <v>2201</v>
      </c>
      <c r="B4264" t="s">
        <v>567</v>
      </c>
      <c r="C4264" t="s">
        <v>1640</v>
      </c>
      <c r="D4264" t="str">
        <f t="shared" si="66"/>
        <v>IEPHA3918</v>
      </c>
      <c r="E4264" t="s">
        <v>1615</v>
      </c>
    </row>
    <row r="4265" spans="1:5" hidden="1" x14ac:dyDescent="0.25">
      <c r="A4265">
        <v>2201</v>
      </c>
      <c r="B4265" t="s">
        <v>567</v>
      </c>
      <c r="C4265" t="s">
        <v>1641</v>
      </c>
      <c r="D4265" t="str">
        <f t="shared" si="66"/>
        <v>IEPHA3919</v>
      </c>
      <c r="E4265" t="s">
        <v>2102</v>
      </c>
    </row>
    <row r="4266" spans="1:5" hidden="1" x14ac:dyDescent="0.25">
      <c r="A4266">
        <v>2201</v>
      </c>
      <c r="B4266" t="s">
        <v>567</v>
      </c>
      <c r="C4266" t="s">
        <v>1642</v>
      </c>
      <c r="D4266" t="str">
        <f t="shared" si="66"/>
        <v>IEPHA3921</v>
      </c>
      <c r="E4266" t="s">
        <v>2102</v>
      </c>
    </row>
    <row r="4267" spans="1:5" hidden="1" x14ac:dyDescent="0.25">
      <c r="A4267">
        <v>2201</v>
      </c>
      <c r="B4267" t="s">
        <v>567</v>
      </c>
      <c r="C4267" t="s">
        <v>1643</v>
      </c>
      <c r="D4267" t="str">
        <f t="shared" si="66"/>
        <v>IEPHA3922</v>
      </c>
      <c r="E4267" t="s">
        <v>1611</v>
      </c>
    </row>
    <row r="4268" spans="1:5" hidden="1" x14ac:dyDescent="0.25">
      <c r="A4268">
        <v>2201</v>
      </c>
      <c r="B4268" t="s">
        <v>567</v>
      </c>
      <c r="C4268" t="s">
        <v>427</v>
      </c>
      <c r="D4268" t="str">
        <f t="shared" si="66"/>
        <v>IEPHA3923</v>
      </c>
      <c r="E4268" t="s">
        <v>1623</v>
      </c>
    </row>
    <row r="4269" spans="1:5" hidden="1" x14ac:dyDescent="0.25">
      <c r="A4269">
        <v>2201</v>
      </c>
      <c r="B4269" t="s">
        <v>567</v>
      </c>
      <c r="C4269" t="s">
        <v>1644</v>
      </c>
      <c r="D4269" t="str">
        <f t="shared" si="66"/>
        <v>IEPHA3924</v>
      </c>
      <c r="E4269" t="s">
        <v>1645</v>
      </c>
    </row>
    <row r="4270" spans="1:5" hidden="1" x14ac:dyDescent="0.25">
      <c r="A4270">
        <v>2201</v>
      </c>
      <c r="B4270" t="s">
        <v>567</v>
      </c>
      <c r="C4270" t="s">
        <v>442</v>
      </c>
      <c r="D4270" t="str">
        <f t="shared" si="66"/>
        <v>IEPHA3926</v>
      </c>
      <c r="E4270" t="s">
        <v>1646</v>
      </c>
    </row>
    <row r="4271" spans="1:5" hidden="1" x14ac:dyDescent="0.25">
      <c r="A4271">
        <v>2201</v>
      </c>
      <c r="B4271" t="s">
        <v>567</v>
      </c>
      <c r="C4271" t="s">
        <v>1647</v>
      </c>
      <c r="D4271" t="str">
        <f t="shared" si="66"/>
        <v>IEPHA3927</v>
      </c>
      <c r="E4271" t="s">
        <v>1648</v>
      </c>
    </row>
    <row r="4272" spans="1:5" hidden="1" x14ac:dyDescent="0.25">
      <c r="A4272">
        <v>2201</v>
      </c>
      <c r="B4272" t="s">
        <v>567</v>
      </c>
      <c r="C4272" t="s">
        <v>457</v>
      </c>
      <c r="D4272" t="str">
        <f t="shared" si="66"/>
        <v>IEPHA3930</v>
      </c>
      <c r="E4272" t="s">
        <v>1646</v>
      </c>
    </row>
    <row r="4273" spans="1:5" hidden="1" x14ac:dyDescent="0.25">
      <c r="A4273">
        <v>2201</v>
      </c>
      <c r="B4273" t="s">
        <v>567</v>
      </c>
      <c r="C4273" t="s">
        <v>1650</v>
      </c>
      <c r="D4273" t="str">
        <f t="shared" si="66"/>
        <v>IEPHA3931</v>
      </c>
      <c r="E4273" t="s">
        <v>1623</v>
      </c>
    </row>
    <row r="4274" spans="1:5" hidden="1" x14ac:dyDescent="0.25">
      <c r="A4274">
        <v>2201</v>
      </c>
      <c r="B4274" t="s">
        <v>567</v>
      </c>
      <c r="C4274" t="s">
        <v>465</v>
      </c>
      <c r="D4274" t="str">
        <f t="shared" si="66"/>
        <v>IEPHA3933</v>
      </c>
      <c r="E4274" t="s">
        <v>1623</v>
      </c>
    </row>
    <row r="4275" spans="1:5" hidden="1" x14ac:dyDescent="0.25">
      <c r="A4275">
        <v>2201</v>
      </c>
      <c r="B4275" t="s">
        <v>567</v>
      </c>
      <c r="C4275" t="s">
        <v>1652</v>
      </c>
      <c r="D4275" t="str">
        <f t="shared" si="66"/>
        <v>IEPHA3936</v>
      </c>
      <c r="E4275" t="s">
        <v>93</v>
      </c>
    </row>
    <row r="4276" spans="1:5" hidden="1" x14ac:dyDescent="0.25">
      <c r="A4276">
        <v>2201</v>
      </c>
      <c r="B4276" t="s">
        <v>567</v>
      </c>
      <c r="C4276" t="s">
        <v>1708</v>
      </c>
      <c r="D4276" t="str">
        <f t="shared" si="66"/>
        <v>IEPHA3938</v>
      </c>
      <c r="E4276" t="s">
        <v>1623</v>
      </c>
    </row>
    <row r="4277" spans="1:5" hidden="1" x14ac:dyDescent="0.25">
      <c r="A4277">
        <v>2201</v>
      </c>
      <c r="B4277" t="s">
        <v>567</v>
      </c>
      <c r="C4277" t="s">
        <v>1714</v>
      </c>
      <c r="D4277" t="str">
        <f t="shared" si="66"/>
        <v>IEPHA3939</v>
      </c>
      <c r="E4277" t="s">
        <v>1623</v>
      </c>
    </row>
    <row r="4278" spans="1:5" hidden="1" x14ac:dyDescent="0.25">
      <c r="A4278">
        <v>2201</v>
      </c>
      <c r="B4278" t="s">
        <v>567</v>
      </c>
      <c r="C4278" t="s">
        <v>1653</v>
      </c>
      <c r="D4278" t="str">
        <f t="shared" si="66"/>
        <v>IEPHA3940</v>
      </c>
      <c r="E4278" t="s">
        <v>1648</v>
      </c>
    </row>
    <row r="4279" spans="1:5" hidden="1" x14ac:dyDescent="0.25">
      <c r="A4279">
        <v>2201</v>
      </c>
      <c r="B4279" t="s">
        <v>567</v>
      </c>
      <c r="C4279" t="s">
        <v>479</v>
      </c>
      <c r="D4279" t="str">
        <f t="shared" si="66"/>
        <v>IEPHA3941</v>
      </c>
      <c r="E4279" t="s">
        <v>1623</v>
      </c>
    </row>
    <row r="4280" spans="1:5" hidden="1" x14ac:dyDescent="0.25">
      <c r="A4280">
        <v>2201</v>
      </c>
      <c r="B4280" t="s">
        <v>567</v>
      </c>
      <c r="C4280" t="s">
        <v>1654</v>
      </c>
      <c r="D4280" t="str">
        <f t="shared" si="66"/>
        <v>IEPHA3943</v>
      </c>
      <c r="E4280" t="s">
        <v>1615</v>
      </c>
    </row>
    <row r="4281" spans="1:5" hidden="1" x14ac:dyDescent="0.25">
      <c r="A4281">
        <v>2201</v>
      </c>
      <c r="B4281" t="s">
        <v>567</v>
      </c>
      <c r="C4281" t="s">
        <v>487</v>
      </c>
      <c r="D4281" t="str">
        <f t="shared" si="66"/>
        <v>IEPHA3946</v>
      </c>
      <c r="E4281" t="s">
        <v>1744</v>
      </c>
    </row>
    <row r="4282" spans="1:5" hidden="1" x14ac:dyDescent="0.25">
      <c r="A4282">
        <v>2201</v>
      </c>
      <c r="B4282" t="s">
        <v>567</v>
      </c>
      <c r="C4282" t="s">
        <v>491</v>
      </c>
      <c r="D4282" t="str">
        <f t="shared" si="66"/>
        <v>IEPHA3948</v>
      </c>
      <c r="E4282" t="s">
        <v>1645</v>
      </c>
    </row>
    <row r="4283" spans="1:5" hidden="1" x14ac:dyDescent="0.25">
      <c r="A4283">
        <v>2201</v>
      </c>
      <c r="B4283" t="s">
        <v>567</v>
      </c>
      <c r="C4283" t="s">
        <v>1701</v>
      </c>
      <c r="D4283" t="str">
        <f t="shared" si="66"/>
        <v>IEPHA3952</v>
      </c>
      <c r="E4283" t="s">
        <v>64</v>
      </c>
    </row>
    <row r="4284" spans="1:5" hidden="1" x14ac:dyDescent="0.25">
      <c r="A4284">
        <v>2201</v>
      </c>
      <c r="B4284" t="s">
        <v>567</v>
      </c>
      <c r="C4284" t="s">
        <v>497</v>
      </c>
      <c r="D4284" t="str">
        <f t="shared" si="66"/>
        <v>IEPHA3955</v>
      </c>
      <c r="E4284" t="s">
        <v>1623</v>
      </c>
    </row>
    <row r="4285" spans="1:5" hidden="1" x14ac:dyDescent="0.25">
      <c r="A4285">
        <v>2201</v>
      </c>
      <c r="B4285" t="s">
        <v>567</v>
      </c>
      <c r="C4285" t="s">
        <v>1656</v>
      </c>
      <c r="D4285" t="str">
        <f t="shared" si="66"/>
        <v>IEPHA3959</v>
      </c>
      <c r="E4285" t="s">
        <v>1623</v>
      </c>
    </row>
    <row r="4286" spans="1:5" hidden="1" x14ac:dyDescent="0.25">
      <c r="A4286">
        <v>2201</v>
      </c>
      <c r="B4286" t="s">
        <v>567</v>
      </c>
      <c r="C4286" t="s">
        <v>1657</v>
      </c>
      <c r="D4286" t="str">
        <f t="shared" si="66"/>
        <v>IEPHA3961</v>
      </c>
      <c r="E4286" t="s">
        <v>102</v>
      </c>
    </row>
    <row r="4287" spans="1:5" hidden="1" x14ac:dyDescent="0.25">
      <c r="A4287">
        <v>2201</v>
      </c>
      <c r="B4287" t="s">
        <v>567</v>
      </c>
      <c r="C4287" t="s">
        <v>1696</v>
      </c>
      <c r="D4287" t="str">
        <f t="shared" si="66"/>
        <v>IEPHA3962</v>
      </c>
      <c r="E4287" t="s">
        <v>2103</v>
      </c>
    </row>
    <row r="4288" spans="1:5" hidden="1" x14ac:dyDescent="0.25">
      <c r="A4288">
        <v>2201</v>
      </c>
      <c r="B4288" t="s">
        <v>567</v>
      </c>
      <c r="C4288" t="s">
        <v>1718</v>
      </c>
      <c r="D4288" t="str">
        <f t="shared" si="66"/>
        <v>IEPHA3964</v>
      </c>
      <c r="E4288" t="s">
        <v>1852</v>
      </c>
    </row>
    <row r="4289" spans="1:5" hidden="1" x14ac:dyDescent="0.25">
      <c r="A4289">
        <v>2201</v>
      </c>
      <c r="B4289" t="s">
        <v>567</v>
      </c>
      <c r="C4289" t="s">
        <v>1659</v>
      </c>
      <c r="D4289" t="str">
        <f t="shared" si="66"/>
        <v>IEPHA3969</v>
      </c>
      <c r="E4289" t="s">
        <v>1637</v>
      </c>
    </row>
    <row r="4290" spans="1:5" hidden="1" x14ac:dyDescent="0.25">
      <c r="A4290">
        <v>2201</v>
      </c>
      <c r="B4290" t="s">
        <v>567</v>
      </c>
      <c r="C4290" t="s">
        <v>1660</v>
      </c>
      <c r="D4290" t="str">
        <f t="shared" si="66"/>
        <v>IEPHA3970</v>
      </c>
      <c r="E4290" t="s">
        <v>1648</v>
      </c>
    </row>
    <row r="4291" spans="1:5" hidden="1" x14ac:dyDescent="0.25">
      <c r="A4291">
        <v>2201</v>
      </c>
      <c r="B4291" t="s">
        <v>567</v>
      </c>
      <c r="C4291" t="s">
        <v>512</v>
      </c>
      <c r="D4291" t="str">
        <f t="shared" si="66"/>
        <v>IEPHA3971</v>
      </c>
      <c r="E4291" t="s">
        <v>2103</v>
      </c>
    </row>
    <row r="4292" spans="1:5" hidden="1" x14ac:dyDescent="0.25">
      <c r="A4292">
        <v>2201</v>
      </c>
      <c r="B4292" t="s">
        <v>567</v>
      </c>
      <c r="C4292" t="s">
        <v>1726</v>
      </c>
      <c r="D4292" t="str">
        <f t="shared" si="66"/>
        <v>IEPHA3980</v>
      </c>
      <c r="E4292" t="s">
        <v>1689</v>
      </c>
    </row>
    <row r="4293" spans="1:5" hidden="1" x14ac:dyDescent="0.25">
      <c r="A4293">
        <v>2201</v>
      </c>
      <c r="B4293" t="s">
        <v>567</v>
      </c>
      <c r="C4293" t="s">
        <v>520</v>
      </c>
      <c r="D4293" t="str">
        <f t="shared" ref="D4293:D4356" si="67">CONCATENATE(B4293,LEFT(C4293,4))</f>
        <v>IEPHA3981</v>
      </c>
      <c r="E4293" t="s">
        <v>1763</v>
      </c>
    </row>
    <row r="4294" spans="1:5" hidden="1" x14ac:dyDescent="0.25">
      <c r="A4294">
        <v>2201</v>
      </c>
      <c r="B4294" t="s">
        <v>567</v>
      </c>
      <c r="C4294" t="s">
        <v>1661</v>
      </c>
      <c r="D4294" t="str">
        <f t="shared" si="67"/>
        <v>IEPHA3987</v>
      </c>
      <c r="E4294" t="s">
        <v>1615</v>
      </c>
    </row>
    <row r="4295" spans="1:5" hidden="1" x14ac:dyDescent="0.25">
      <c r="A4295">
        <v>2201</v>
      </c>
      <c r="B4295" t="s">
        <v>567</v>
      </c>
      <c r="C4295" t="s">
        <v>1663</v>
      </c>
      <c r="D4295" t="str">
        <f t="shared" si="67"/>
        <v>IEPHA3999</v>
      </c>
      <c r="E4295" t="s">
        <v>1623</v>
      </c>
    </row>
    <row r="4296" spans="1:5" hidden="1" x14ac:dyDescent="0.25">
      <c r="A4296">
        <v>2201</v>
      </c>
      <c r="B4296" t="s">
        <v>567</v>
      </c>
      <c r="C4296" t="s">
        <v>1664</v>
      </c>
      <c r="D4296" t="str">
        <f t="shared" si="67"/>
        <v>IEPHA4002</v>
      </c>
      <c r="E4296" t="s">
        <v>1648</v>
      </c>
    </row>
    <row r="4297" spans="1:5" hidden="1" x14ac:dyDescent="0.25">
      <c r="A4297">
        <v>2201</v>
      </c>
      <c r="B4297" t="s">
        <v>567</v>
      </c>
      <c r="C4297" t="s">
        <v>1665</v>
      </c>
      <c r="D4297" t="str">
        <f t="shared" si="67"/>
        <v>IEPHA4003</v>
      </c>
      <c r="E4297" t="s">
        <v>93</v>
      </c>
    </row>
    <row r="4298" spans="1:5" hidden="1" x14ac:dyDescent="0.25">
      <c r="A4298">
        <v>2201</v>
      </c>
      <c r="B4298" t="s">
        <v>567</v>
      </c>
      <c r="C4298" t="s">
        <v>1666</v>
      </c>
      <c r="D4298" t="str">
        <f t="shared" si="67"/>
        <v>IEPHA4004</v>
      </c>
      <c r="E4298" t="s">
        <v>1648</v>
      </c>
    </row>
    <row r="4299" spans="1:5" hidden="1" x14ac:dyDescent="0.25">
      <c r="A4299">
        <v>2201</v>
      </c>
      <c r="B4299" t="s">
        <v>567</v>
      </c>
      <c r="C4299" t="s">
        <v>1667</v>
      </c>
      <c r="D4299" t="str">
        <f t="shared" si="67"/>
        <v>IEPHA4005</v>
      </c>
      <c r="E4299" t="s">
        <v>1648</v>
      </c>
    </row>
    <row r="4300" spans="1:5" hidden="1" x14ac:dyDescent="0.25">
      <c r="A4300">
        <v>2201</v>
      </c>
      <c r="B4300" t="s">
        <v>567</v>
      </c>
      <c r="C4300" t="s">
        <v>1668</v>
      </c>
      <c r="D4300" t="str">
        <f t="shared" si="67"/>
        <v>IEPHA4701</v>
      </c>
      <c r="E4300" t="s">
        <v>1669</v>
      </c>
    </row>
    <row r="4301" spans="1:5" hidden="1" x14ac:dyDescent="0.25">
      <c r="A4301">
        <v>2201</v>
      </c>
      <c r="B4301" t="s">
        <v>567</v>
      </c>
      <c r="C4301" t="s">
        <v>264</v>
      </c>
      <c r="D4301" t="str">
        <f t="shared" si="67"/>
        <v>IEPHA4703</v>
      </c>
      <c r="E4301" t="s">
        <v>1669</v>
      </c>
    </row>
    <row r="4302" spans="1:5" hidden="1" x14ac:dyDescent="0.25">
      <c r="A4302">
        <v>2201</v>
      </c>
      <c r="B4302" t="s">
        <v>567</v>
      </c>
      <c r="C4302" t="s">
        <v>315</v>
      </c>
      <c r="D4302" t="str">
        <f t="shared" si="67"/>
        <v>IEPHA4706</v>
      </c>
      <c r="E4302" t="s">
        <v>1669</v>
      </c>
    </row>
    <row r="4303" spans="1:5" hidden="1" x14ac:dyDescent="0.25">
      <c r="A4303">
        <v>2201</v>
      </c>
      <c r="B4303" t="s">
        <v>567</v>
      </c>
      <c r="C4303" t="s">
        <v>363</v>
      </c>
      <c r="D4303" t="str">
        <f t="shared" si="67"/>
        <v>IEPHA4799</v>
      </c>
      <c r="E4303" t="s">
        <v>1669</v>
      </c>
    </row>
    <row r="4304" spans="1:5" hidden="1" x14ac:dyDescent="0.25">
      <c r="A4304">
        <v>2201</v>
      </c>
      <c r="B4304" t="s">
        <v>567</v>
      </c>
      <c r="C4304" t="s">
        <v>1752</v>
      </c>
      <c r="D4304" t="str">
        <f t="shared" si="67"/>
        <v>IEPHA4904</v>
      </c>
      <c r="E4304" t="s">
        <v>1596</v>
      </c>
    </row>
    <row r="4305" spans="1:5" hidden="1" x14ac:dyDescent="0.25">
      <c r="A4305">
        <v>2201</v>
      </c>
      <c r="B4305" t="s">
        <v>567</v>
      </c>
      <c r="C4305" t="s">
        <v>1672</v>
      </c>
      <c r="D4305" t="str">
        <f t="shared" si="67"/>
        <v>IEPHA5103</v>
      </c>
      <c r="E4305" t="s">
        <v>1671</v>
      </c>
    </row>
    <row r="4306" spans="1:5" hidden="1" x14ac:dyDescent="0.25">
      <c r="A4306">
        <v>2201</v>
      </c>
      <c r="B4306" t="s">
        <v>567</v>
      </c>
      <c r="C4306" t="s">
        <v>316</v>
      </c>
      <c r="D4306" t="str">
        <f t="shared" si="67"/>
        <v>IEPHA5106</v>
      </c>
      <c r="E4306" t="s">
        <v>1671</v>
      </c>
    </row>
    <row r="4307" spans="1:5" hidden="1" x14ac:dyDescent="0.25">
      <c r="A4307">
        <v>2201</v>
      </c>
      <c r="B4307" t="s">
        <v>567</v>
      </c>
      <c r="C4307" t="s">
        <v>172</v>
      </c>
      <c r="D4307" t="str">
        <f t="shared" si="67"/>
        <v>IEPHA5107</v>
      </c>
      <c r="E4307" t="s">
        <v>1671</v>
      </c>
    </row>
    <row r="4308" spans="1:5" hidden="1" x14ac:dyDescent="0.25">
      <c r="A4308">
        <v>2201</v>
      </c>
      <c r="B4308" t="s">
        <v>567</v>
      </c>
      <c r="C4308" t="s">
        <v>1673</v>
      </c>
      <c r="D4308" t="str">
        <f t="shared" si="67"/>
        <v>IEPHA5204</v>
      </c>
      <c r="E4308" t="s">
        <v>1674</v>
      </c>
    </row>
    <row r="4309" spans="1:5" hidden="1" x14ac:dyDescent="0.25">
      <c r="A4309">
        <v>2201</v>
      </c>
      <c r="B4309" t="s">
        <v>567</v>
      </c>
      <c r="C4309" t="s">
        <v>328</v>
      </c>
      <c r="D4309" t="str">
        <f t="shared" si="67"/>
        <v>IEPHA5206</v>
      </c>
      <c r="E4309" t="s">
        <v>1675</v>
      </c>
    </row>
    <row r="4310" spans="1:5" hidden="1" x14ac:dyDescent="0.25">
      <c r="A4310">
        <v>2201</v>
      </c>
      <c r="B4310" t="s">
        <v>567</v>
      </c>
      <c r="C4310" t="s">
        <v>1676</v>
      </c>
      <c r="D4310" t="str">
        <f t="shared" si="67"/>
        <v>IEPHA5207</v>
      </c>
      <c r="E4310" t="s">
        <v>1675</v>
      </c>
    </row>
    <row r="4311" spans="1:5" hidden="1" x14ac:dyDescent="0.25">
      <c r="A4311">
        <v>2201</v>
      </c>
      <c r="B4311" t="s">
        <v>567</v>
      </c>
      <c r="C4311" t="s">
        <v>1677</v>
      </c>
      <c r="D4311" t="str">
        <f t="shared" si="67"/>
        <v>IEPHA5208</v>
      </c>
      <c r="E4311" t="s">
        <v>1675</v>
      </c>
    </row>
    <row r="4312" spans="1:5" hidden="1" x14ac:dyDescent="0.25">
      <c r="A4312">
        <v>2201</v>
      </c>
      <c r="B4312" t="s">
        <v>567</v>
      </c>
      <c r="C4312" t="s">
        <v>1678</v>
      </c>
      <c r="D4312" t="str">
        <f t="shared" si="67"/>
        <v>IEPHA5210</v>
      </c>
      <c r="E4312" t="s">
        <v>1674</v>
      </c>
    </row>
    <row r="4313" spans="1:5" hidden="1" x14ac:dyDescent="0.25">
      <c r="A4313">
        <v>2201</v>
      </c>
      <c r="B4313" t="s">
        <v>567</v>
      </c>
      <c r="C4313" t="s">
        <v>1679</v>
      </c>
      <c r="D4313" t="str">
        <f t="shared" si="67"/>
        <v>IEPHA5212</v>
      </c>
      <c r="E4313" t="s">
        <v>1674</v>
      </c>
    </row>
    <row r="4314" spans="1:5" hidden="1" x14ac:dyDescent="0.25">
      <c r="A4314">
        <v>2201</v>
      </c>
      <c r="B4314" t="s">
        <v>567</v>
      </c>
      <c r="C4314" t="s">
        <v>390</v>
      </c>
      <c r="D4314" t="str">
        <f t="shared" si="67"/>
        <v>IEPHA5214</v>
      </c>
      <c r="E4314" t="s">
        <v>1674</v>
      </c>
    </row>
    <row r="4315" spans="1:5" hidden="1" x14ac:dyDescent="0.25">
      <c r="A4315">
        <v>2201</v>
      </c>
      <c r="B4315" t="s">
        <v>567</v>
      </c>
      <c r="C4315" t="s">
        <v>1753</v>
      </c>
      <c r="D4315" t="str">
        <f t="shared" si="67"/>
        <v>IEPHA5218</v>
      </c>
      <c r="E4315" t="s">
        <v>1674</v>
      </c>
    </row>
    <row r="4316" spans="1:5" hidden="1" x14ac:dyDescent="0.25">
      <c r="A4316">
        <v>2201</v>
      </c>
      <c r="B4316" t="s">
        <v>567</v>
      </c>
      <c r="C4316" t="s">
        <v>458</v>
      </c>
      <c r="D4316" t="str">
        <f t="shared" si="67"/>
        <v>IEPHA5299</v>
      </c>
      <c r="E4316" t="s">
        <v>1674</v>
      </c>
    </row>
    <row r="4317" spans="1:5" hidden="1" x14ac:dyDescent="0.25">
      <c r="A4317">
        <v>2201</v>
      </c>
      <c r="B4317" t="s">
        <v>567</v>
      </c>
      <c r="C4317" t="s">
        <v>1684</v>
      </c>
      <c r="D4317" t="str">
        <f t="shared" si="67"/>
        <v>IEPHA9202</v>
      </c>
      <c r="E4317" t="s">
        <v>1685</v>
      </c>
    </row>
    <row r="4318" spans="1:5" hidden="1" x14ac:dyDescent="0.25">
      <c r="A4318">
        <v>2201</v>
      </c>
      <c r="B4318" t="s">
        <v>567</v>
      </c>
      <c r="C4318" t="s">
        <v>330</v>
      </c>
      <c r="D4318" t="str">
        <f t="shared" si="67"/>
        <v>IEPHA9306</v>
      </c>
      <c r="E4318" t="s">
        <v>1686</v>
      </c>
    </row>
    <row r="4319" spans="1:5" hidden="1" x14ac:dyDescent="0.25">
      <c r="A4319">
        <v>2201</v>
      </c>
      <c r="B4319" t="s">
        <v>567</v>
      </c>
      <c r="C4319" t="s">
        <v>366</v>
      </c>
      <c r="D4319" t="str">
        <f t="shared" si="67"/>
        <v>IEPHA9310</v>
      </c>
      <c r="E4319" t="s">
        <v>1623</v>
      </c>
    </row>
    <row r="4320" spans="1:5" hidden="1" x14ac:dyDescent="0.25">
      <c r="A4320">
        <v>2201</v>
      </c>
      <c r="B4320" t="s">
        <v>567</v>
      </c>
      <c r="C4320" t="s">
        <v>1687</v>
      </c>
      <c r="D4320" t="str">
        <f t="shared" si="67"/>
        <v>IEPHA9399</v>
      </c>
      <c r="E4320" t="s">
        <v>1623</v>
      </c>
    </row>
    <row r="4321" spans="1:5" hidden="1" x14ac:dyDescent="0.25">
      <c r="A4321">
        <v>2201</v>
      </c>
      <c r="B4321" t="s">
        <v>567</v>
      </c>
      <c r="C4321" t="s">
        <v>293</v>
      </c>
      <c r="D4321" t="str">
        <f t="shared" si="67"/>
        <v>IEPHA3104</v>
      </c>
      <c r="E4321" t="s">
        <v>2111</v>
      </c>
    </row>
    <row r="4322" spans="1:5" hidden="1" x14ac:dyDescent="0.25">
      <c r="A4322">
        <v>2201</v>
      </c>
      <c r="B4322" t="s">
        <v>567</v>
      </c>
      <c r="C4322" t="s">
        <v>1719</v>
      </c>
      <c r="D4322" t="str">
        <f t="shared" si="67"/>
        <v>IEPHA4101</v>
      </c>
      <c r="E4322" t="s">
        <v>1728</v>
      </c>
    </row>
    <row r="4323" spans="1:5" hidden="1" x14ac:dyDescent="0.25">
      <c r="A4323">
        <v>2201</v>
      </c>
      <c r="B4323" t="s">
        <v>567</v>
      </c>
      <c r="C4323" t="s">
        <v>456</v>
      </c>
      <c r="D4323" t="str">
        <f t="shared" si="67"/>
        <v>IEPHA3628</v>
      </c>
      <c r="E4323" t="s">
        <v>1623</v>
      </c>
    </row>
    <row r="4324" spans="1:5" hidden="1" x14ac:dyDescent="0.25">
      <c r="A4324">
        <v>2201</v>
      </c>
      <c r="B4324" t="s">
        <v>567</v>
      </c>
      <c r="C4324" t="s">
        <v>296</v>
      </c>
      <c r="D4324" t="str">
        <f t="shared" si="67"/>
        <v>IEPHA3604</v>
      </c>
      <c r="E4324" t="s">
        <v>43</v>
      </c>
    </row>
    <row r="4325" spans="1:5" hidden="1" x14ac:dyDescent="0.25">
      <c r="A4325">
        <v>2211</v>
      </c>
      <c r="B4325" t="s">
        <v>591</v>
      </c>
      <c r="C4325" t="s">
        <v>1737</v>
      </c>
      <c r="D4325" t="str">
        <f t="shared" si="67"/>
        <v>TVMINAS1307</v>
      </c>
      <c r="E4325" t="s">
        <v>1689</v>
      </c>
    </row>
    <row r="4326" spans="1:5" hidden="1" x14ac:dyDescent="0.25">
      <c r="A4326">
        <v>2211</v>
      </c>
      <c r="B4326" t="s">
        <v>591</v>
      </c>
      <c r="C4326" t="s">
        <v>331</v>
      </c>
      <c r="D4326" t="str">
        <f t="shared" si="67"/>
        <v>TVMINAS1314</v>
      </c>
      <c r="E4326" t="s">
        <v>1689</v>
      </c>
    </row>
    <row r="4327" spans="1:5" hidden="1" x14ac:dyDescent="0.25">
      <c r="A4327">
        <v>2211</v>
      </c>
      <c r="B4327" t="s">
        <v>591</v>
      </c>
      <c r="C4327" t="s">
        <v>398</v>
      </c>
      <c r="D4327" t="str">
        <f t="shared" si="67"/>
        <v>TVMINAS1325</v>
      </c>
      <c r="E4327" t="s">
        <v>1689</v>
      </c>
    </row>
    <row r="4328" spans="1:5" hidden="1" x14ac:dyDescent="0.25">
      <c r="A4328">
        <v>2211</v>
      </c>
      <c r="B4328" t="s">
        <v>591</v>
      </c>
      <c r="C4328" t="s">
        <v>1597</v>
      </c>
      <c r="D4328" t="str">
        <f t="shared" si="67"/>
        <v>TVMINAS1401</v>
      </c>
      <c r="E4328" t="s">
        <v>43</v>
      </c>
    </row>
    <row r="4329" spans="1:5" hidden="1" x14ac:dyDescent="0.25">
      <c r="A4329">
        <v>2211</v>
      </c>
      <c r="B4329" t="s">
        <v>591</v>
      </c>
      <c r="C4329" t="s">
        <v>1598</v>
      </c>
      <c r="D4329" t="str">
        <f t="shared" si="67"/>
        <v>TVMINAS1501</v>
      </c>
      <c r="E4329" t="s">
        <v>43</v>
      </c>
    </row>
    <row r="4330" spans="1:5" hidden="1" x14ac:dyDescent="0.25">
      <c r="A4330">
        <v>2211</v>
      </c>
      <c r="B4330" t="s">
        <v>591</v>
      </c>
      <c r="C4330" t="s">
        <v>1599</v>
      </c>
      <c r="D4330" t="str">
        <f t="shared" si="67"/>
        <v>TVMINAS3001</v>
      </c>
      <c r="E4330" t="s">
        <v>1600</v>
      </c>
    </row>
    <row r="4331" spans="1:5" hidden="1" x14ac:dyDescent="0.25">
      <c r="A4331">
        <v>2211</v>
      </c>
      <c r="B4331" t="s">
        <v>591</v>
      </c>
      <c r="C4331" t="s">
        <v>1601</v>
      </c>
      <c r="D4331" t="str">
        <f t="shared" si="67"/>
        <v>TVMINAS3003</v>
      </c>
      <c r="E4331" t="s">
        <v>1600</v>
      </c>
    </row>
    <row r="4332" spans="1:5" hidden="1" x14ac:dyDescent="0.25">
      <c r="A4332">
        <v>2211</v>
      </c>
      <c r="B4332" t="s">
        <v>591</v>
      </c>
      <c r="C4332" t="s">
        <v>1603</v>
      </c>
      <c r="D4332" t="str">
        <f t="shared" si="67"/>
        <v>TVMINAS3005</v>
      </c>
      <c r="E4332" t="s">
        <v>1600</v>
      </c>
    </row>
    <row r="4333" spans="1:5" hidden="1" x14ac:dyDescent="0.25">
      <c r="A4333">
        <v>2211</v>
      </c>
      <c r="B4333" t="s">
        <v>591</v>
      </c>
      <c r="C4333" t="s">
        <v>1604</v>
      </c>
      <c r="D4333" t="str">
        <f t="shared" si="67"/>
        <v>TVMINAS3008</v>
      </c>
      <c r="E4333" t="s">
        <v>1600</v>
      </c>
    </row>
    <row r="4334" spans="1:5" hidden="1" x14ac:dyDescent="0.25">
      <c r="A4334">
        <v>2211</v>
      </c>
      <c r="B4334" t="s">
        <v>591</v>
      </c>
      <c r="C4334" t="s">
        <v>1605</v>
      </c>
      <c r="D4334" t="str">
        <f t="shared" si="67"/>
        <v>TVMINAS3010</v>
      </c>
      <c r="E4334" t="s">
        <v>1606</v>
      </c>
    </row>
    <row r="4335" spans="1:5" hidden="1" x14ac:dyDescent="0.25">
      <c r="A4335">
        <v>2211</v>
      </c>
      <c r="B4335" t="s">
        <v>591</v>
      </c>
      <c r="C4335" t="s">
        <v>1608</v>
      </c>
      <c r="D4335" t="str">
        <f t="shared" si="67"/>
        <v>TVMINAS3015</v>
      </c>
      <c r="E4335" t="s">
        <v>1600</v>
      </c>
    </row>
    <row r="4336" spans="1:5" hidden="1" x14ac:dyDescent="0.25">
      <c r="A4336">
        <v>2211</v>
      </c>
      <c r="B4336" t="s">
        <v>591</v>
      </c>
      <c r="C4336" t="s">
        <v>1609</v>
      </c>
      <c r="D4336" t="str">
        <f t="shared" si="67"/>
        <v>TVMINAS3016</v>
      </c>
      <c r="E4336" t="s">
        <v>1600</v>
      </c>
    </row>
    <row r="4337" spans="1:5" hidden="1" x14ac:dyDescent="0.25">
      <c r="A4337">
        <v>2211</v>
      </c>
      <c r="B4337" t="s">
        <v>591</v>
      </c>
      <c r="C4337" t="s">
        <v>405</v>
      </c>
      <c r="D4337" t="str">
        <f t="shared" si="67"/>
        <v>TVMINAS3017</v>
      </c>
      <c r="E4337" t="s">
        <v>1600</v>
      </c>
    </row>
    <row r="4338" spans="1:5" hidden="1" x14ac:dyDescent="0.25">
      <c r="A4338">
        <v>2211</v>
      </c>
      <c r="B4338" t="s">
        <v>591</v>
      </c>
      <c r="C4338" t="s">
        <v>1610</v>
      </c>
      <c r="D4338" t="str">
        <f t="shared" si="67"/>
        <v>TVMINAS3019</v>
      </c>
      <c r="E4338" t="s">
        <v>1611</v>
      </c>
    </row>
    <row r="4339" spans="1:5" hidden="1" x14ac:dyDescent="0.25">
      <c r="A4339">
        <v>2211</v>
      </c>
      <c r="B4339" t="s">
        <v>591</v>
      </c>
      <c r="C4339" t="s">
        <v>1612</v>
      </c>
      <c r="D4339" t="str">
        <f t="shared" si="67"/>
        <v>TVMINAS3020</v>
      </c>
      <c r="E4339" t="s">
        <v>1600</v>
      </c>
    </row>
    <row r="4340" spans="1:5" hidden="1" x14ac:dyDescent="0.25">
      <c r="A4340">
        <v>2211</v>
      </c>
      <c r="B4340" t="s">
        <v>591</v>
      </c>
      <c r="C4340" t="s">
        <v>1613</v>
      </c>
      <c r="D4340" t="str">
        <f t="shared" si="67"/>
        <v>TVMINAS3021</v>
      </c>
      <c r="E4340" t="s">
        <v>1600</v>
      </c>
    </row>
    <row r="4341" spans="1:5" hidden="1" x14ac:dyDescent="0.25">
      <c r="A4341">
        <v>2211</v>
      </c>
      <c r="B4341" t="s">
        <v>591</v>
      </c>
      <c r="C4341" t="s">
        <v>430</v>
      </c>
      <c r="D4341" t="str">
        <f t="shared" si="67"/>
        <v>TVMINAS3022</v>
      </c>
      <c r="E4341" t="s">
        <v>1600</v>
      </c>
    </row>
    <row r="4342" spans="1:5" hidden="1" x14ac:dyDescent="0.25">
      <c r="A4342">
        <v>2211</v>
      </c>
      <c r="B4342" t="s">
        <v>591</v>
      </c>
      <c r="C4342" t="s">
        <v>1614</v>
      </c>
      <c r="D4342" t="str">
        <f t="shared" si="67"/>
        <v>TVMINAS3023</v>
      </c>
      <c r="E4342" t="s">
        <v>1615</v>
      </c>
    </row>
    <row r="4343" spans="1:5" hidden="1" x14ac:dyDescent="0.25">
      <c r="A4343">
        <v>2211</v>
      </c>
      <c r="B4343" t="s">
        <v>591</v>
      </c>
      <c r="C4343" t="s">
        <v>440</v>
      </c>
      <c r="D4343" t="str">
        <f t="shared" si="67"/>
        <v>TVMINAS3024</v>
      </c>
      <c r="E4343" t="s">
        <v>1600</v>
      </c>
    </row>
    <row r="4344" spans="1:5" hidden="1" x14ac:dyDescent="0.25">
      <c r="A4344">
        <v>2211</v>
      </c>
      <c r="B4344" t="s">
        <v>591</v>
      </c>
      <c r="C4344" t="s">
        <v>1616</v>
      </c>
      <c r="D4344" t="str">
        <f t="shared" si="67"/>
        <v>TVMINAS3025</v>
      </c>
      <c r="E4344" t="s">
        <v>1600</v>
      </c>
    </row>
    <row r="4345" spans="1:5" hidden="1" x14ac:dyDescent="0.25">
      <c r="A4345">
        <v>2211</v>
      </c>
      <c r="B4345" t="s">
        <v>591</v>
      </c>
      <c r="C4345" t="s">
        <v>1617</v>
      </c>
      <c r="D4345" t="str">
        <f t="shared" si="67"/>
        <v>TVMINAS3026</v>
      </c>
      <c r="E4345" t="s">
        <v>1615</v>
      </c>
    </row>
    <row r="4346" spans="1:5" hidden="1" x14ac:dyDescent="0.25">
      <c r="A4346">
        <v>2211</v>
      </c>
      <c r="B4346" t="s">
        <v>591</v>
      </c>
      <c r="C4346" t="s">
        <v>1618</v>
      </c>
      <c r="D4346" t="str">
        <f t="shared" si="67"/>
        <v>TVMINAS3027</v>
      </c>
      <c r="E4346" t="s">
        <v>1600</v>
      </c>
    </row>
    <row r="4347" spans="1:5" hidden="1" x14ac:dyDescent="0.25">
      <c r="A4347">
        <v>2211</v>
      </c>
      <c r="B4347" t="s">
        <v>591</v>
      </c>
      <c r="C4347" t="s">
        <v>1626</v>
      </c>
      <c r="D4347" t="str">
        <f t="shared" si="67"/>
        <v>TVMINAS3302</v>
      </c>
      <c r="E4347" t="s">
        <v>43</v>
      </c>
    </row>
    <row r="4348" spans="1:5" hidden="1" x14ac:dyDescent="0.25">
      <c r="A4348">
        <v>2211</v>
      </c>
      <c r="B4348" t="s">
        <v>591</v>
      </c>
      <c r="C4348" t="s">
        <v>1627</v>
      </c>
      <c r="D4348" t="str">
        <f t="shared" si="67"/>
        <v>TVMINAS3304</v>
      </c>
      <c r="E4348" t="s">
        <v>43</v>
      </c>
    </row>
    <row r="4349" spans="1:5" hidden="1" x14ac:dyDescent="0.25">
      <c r="A4349">
        <v>2211</v>
      </c>
      <c r="B4349" t="s">
        <v>591</v>
      </c>
      <c r="C4349" t="s">
        <v>227</v>
      </c>
      <c r="D4349" t="str">
        <f t="shared" si="67"/>
        <v>TVMINAS3401</v>
      </c>
      <c r="E4349" t="s">
        <v>1739</v>
      </c>
    </row>
    <row r="4350" spans="1:5" hidden="1" x14ac:dyDescent="0.25">
      <c r="A4350">
        <v>2211</v>
      </c>
      <c r="B4350" t="s">
        <v>591</v>
      </c>
      <c r="C4350" t="s">
        <v>279</v>
      </c>
      <c r="D4350" t="str">
        <f t="shared" si="67"/>
        <v>TVMINAS3403</v>
      </c>
      <c r="E4350" t="s">
        <v>1689</v>
      </c>
    </row>
    <row r="4351" spans="1:5" hidden="1" x14ac:dyDescent="0.25">
      <c r="A4351">
        <v>2211</v>
      </c>
      <c r="B4351" t="s">
        <v>591</v>
      </c>
      <c r="C4351" t="s">
        <v>295</v>
      </c>
      <c r="D4351" t="str">
        <f t="shared" si="67"/>
        <v>TVMINAS3404</v>
      </c>
      <c r="E4351" t="s">
        <v>1689</v>
      </c>
    </row>
    <row r="4352" spans="1:5" hidden="1" x14ac:dyDescent="0.25">
      <c r="A4352">
        <v>2211</v>
      </c>
      <c r="B4352" t="s">
        <v>591</v>
      </c>
      <c r="C4352" t="s">
        <v>296</v>
      </c>
      <c r="D4352" t="str">
        <f t="shared" si="67"/>
        <v>TVMINAS3604</v>
      </c>
      <c r="E4352" t="s">
        <v>43</v>
      </c>
    </row>
    <row r="4353" spans="1:5" hidden="1" x14ac:dyDescent="0.25">
      <c r="A4353">
        <v>2211</v>
      </c>
      <c r="B4353" t="s">
        <v>591</v>
      </c>
      <c r="C4353" t="s">
        <v>354</v>
      </c>
      <c r="D4353" t="str">
        <f t="shared" si="67"/>
        <v>TVMINAS3610</v>
      </c>
      <c r="E4353" t="s">
        <v>1623</v>
      </c>
    </row>
    <row r="4354" spans="1:5" hidden="1" x14ac:dyDescent="0.25">
      <c r="A4354">
        <v>2211</v>
      </c>
      <c r="B4354" t="s">
        <v>591</v>
      </c>
      <c r="C4354" t="s">
        <v>1628</v>
      </c>
      <c r="D4354" t="str">
        <f t="shared" si="67"/>
        <v>TVMINAS3612</v>
      </c>
      <c r="E4354" t="s">
        <v>1623</v>
      </c>
    </row>
    <row r="4355" spans="1:5" hidden="1" x14ac:dyDescent="0.25">
      <c r="A4355">
        <v>2211</v>
      </c>
      <c r="B4355" t="s">
        <v>591</v>
      </c>
      <c r="C4355" t="s">
        <v>1693</v>
      </c>
      <c r="D4355" t="str">
        <f t="shared" si="67"/>
        <v>TVMINAS3702</v>
      </c>
      <c r="E4355" t="s">
        <v>1630</v>
      </c>
    </row>
    <row r="4356" spans="1:5" hidden="1" x14ac:dyDescent="0.25">
      <c r="A4356">
        <v>2211</v>
      </c>
      <c r="B4356" t="s">
        <v>591</v>
      </c>
      <c r="C4356" t="s">
        <v>1631</v>
      </c>
      <c r="D4356" t="str">
        <f t="shared" si="67"/>
        <v>TVMINAS3703</v>
      </c>
      <c r="E4356" t="s">
        <v>116</v>
      </c>
    </row>
    <row r="4357" spans="1:5" hidden="1" x14ac:dyDescent="0.25">
      <c r="A4357">
        <v>2211</v>
      </c>
      <c r="B4357" t="s">
        <v>591</v>
      </c>
      <c r="C4357" t="s">
        <v>1632</v>
      </c>
      <c r="D4357" t="str">
        <f t="shared" ref="D4357:D4420" si="68">CONCATENATE(B4357,LEFT(C4357,4))</f>
        <v>TVMINAS3704</v>
      </c>
      <c r="E4357" t="s">
        <v>116</v>
      </c>
    </row>
    <row r="4358" spans="1:5" hidden="1" x14ac:dyDescent="0.25">
      <c r="A4358">
        <v>2211</v>
      </c>
      <c r="B4358" t="s">
        <v>591</v>
      </c>
      <c r="C4358" t="s">
        <v>1633</v>
      </c>
      <c r="D4358" t="str">
        <f t="shared" si="68"/>
        <v>TVMINAS3705</v>
      </c>
      <c r="E4358" t="s">
        <v>116</v>
      </c>
    </row>
    <row r="4359" spans="1:5" hidden="1" x14ac:dyDescent="0.25">
      <c r="A4359">
        <v>2211</v>
      </c>
      <c r="B4359" t="s">
        <v>591</v>
      </c>
      <c r="C4359" t="s">
        <v>232</v>
      </c>
      <c r="D4359" t="str">
        <f t="shared" si="68"/>
        <v>TVMINAS3901</v>
      </c>
      <c r="E4359" t="s">
        <v>1596</v>
      </c>
    </row>
    <row r="4360" spans="1:5" hidden="1" x14ac:dyDescent="0.25">
      <c r="A4360">
        <v>2211</v>
      </c>
      <c r="B4360" t="s">
        <v>591</v>
      </c>
      <c r="C4360" t="s">
        <v>1634</v>
      </c>
      <c r="D4360" t="str">
        <f t="shared" si="68"/>
        <v>TVMINAS3903</v>
      </c>
      <c r="E4360" t="s">
        <v>1623</v>
      </c>
    </row>
    <row r="4361" spans="1:5" hidden="1" x14ac:dyDescent="0.25">
      <c r="A4361">
        <v>2211</v>
      </c>
      <c r="B4361" t="s">
        <v>591</v>
      </c>
      <c r="C4361" t="s">
        <v>298</v>
      </c>
      <c r="D4361" t="str">
        <f t="shared" si="68"/>
        <v>TVMINAS3904</v>
      </c>
      <c r="E4361" t="s">
        <v>1623</v>
      </c>
    </row>
    <row r="4362" spans="1:5" hidden="1" x14ac:dyDescent="0.25">
      <c r="A4362">
        <v>2211</v>
      </c>
      <c r="B4362" t="s">
        <v>591</v>
      </c>
      <c r="C4362" t="s">
        <v>325</v>
      </c>
      <c r="D4362" t="str">
        <f t="shared" si="68"/>
        <v>TVMINAS3906</v>
      </c>
      <c r="E4362" t="s">
        <v>1623</v>
      </c>
    </row>
    <row r="4363" spans="1:5" hidden="1" x14ac:dyDescent="0.25">
      <c r="A4363">
        <v>2211</v>
      </c>
      <c r="B4363" t="s">
        <v>591</v>
      </c>
      <c r="C4363" t="s">
        <v>1635</v>
      </c>
      <c r="D4363" t="str">
        <f t="shared" si="68"/>
        <v>TVMINAS3908</v>
      </c>
      <c r="E4363" t="s">
        <v>1623</v>
      </c>
    </row>
    <row r="4364" spans="1:5" hidden="1" x14ac:dyDescent="0.25">
      <c r="A4364">
        <v>2211</v>
      </c>
      <c r="B4364" t="s">
        <v>591</v>
      </c>
      <c r="C4364" t="s">
        <v>345</v>
      </c>
      <c r="D4364" t="str">
        <f t="shared" si="68"/>
        <v>TVMINAS3910</v>
      </c>
      <c r="E4364" t="s">
        <v>1623</v>
      </c>
    </row>
    <row r="4365" spans="1:5" hidden="1" x14ac:dyDescent="0.25">
      <c r="A4365">
        <v>2211</v>
      </c>
      <c r="B4365" t="s">
        <v>591</v>
      </c>
      <c r="C4365" t="s">
        <v>355</v>
      </c>
      <c r="D4365" t="str">
        <f t="shared" si="68"/>
        <v>TVMINAS3911</v>
      </c>
      <c r="E4365" t="s">
        <v>1623</v>
      </c>
    </row>
    <row r="4366" spans="1:5" hidden="1" x14ac:dyDescent="0.25">
      <c r="A4366">
        <v>2211</v>
      </c>
      <c r="B4366" t="s">
        <v>591</v>
      </c>
      <c r="C4366" t="s">
        <v>1636</v>
      </c>
      <c r="D4366" t="str">
        <f t="shared" si="68"/>
        <v>TVMINAS3912</v>
      </c>
      <c r="E4366" t="s">
        <v>1637</v>
      </c>
    </row>
    <row r="4367" spans="1:5" hidden="1" x14ac:dyDescent="0.25">
      <c r="A4367">
        <v>2211</v>
      </c>
      <c r="B4367" t="s">
        <v>591</v>
      </c>
      <c r="C4367" t="s">
        <v>1638</v>
      </c>
      <c r="D4367" t="str">
        <f t="shared" si="68"/>
        <v>TVMINAS3913</v>
      </c>
      <c r="E4367" t="s">
        <v>1637</v>
      </c>
    </row>
    <row r="4368" spans="1:5" hidden="1" x14ac:dyDescent="0.25">
      <c r="A4368">
        <v>2211</v>
      </c>
      <c r="B4368" t="s">
        <v>591</v>
      </c>
      <c r="C4368" t="s">
        <v>383</v>
      </c>
      <c r="D4368" t="str">
        <f t="shared" si="68"/>
        <v>TVMINAS3915</v>
      </c>
      <c r="E4368" t="s">
        <v>1637</v>
      </c>
    </row>
    <row r="4369" spans="1:5" hidden="1" x14ac:dyDescent="0.25">
      <c r="A4369">
        <v>2211</v>
      </c>
      <c r="B4369" t="s">
        <v>591</v>
      </c>
      <c r="C4369" t="s">
        <v>1639</v>
      </c>
      <c r="D4369" t="str">
        <f t="shared" si="68"/>
        <v>TVMINAS3917</v>
      </c>
      <c r="E4369" t="s">
        <v>1615</v>
      </c>
    </row>
    <row r="4370" spans="1:5" hidden="1" x14ac:dyDescent="0.25">
      <c r="A4370">
        <v>2211</v>
      </c>
      <c r="B4370" t="s">
        <v>591</v>
      </c>
      <c r="C4370" t="s">
        <v>1640</v>
      </c>
      <c r="D4370" t="str">
        <f t="shared" si="68"/>
        <v>TVMINAS3918</v>
      </c>
      <c r="E4370" t="s">
        <v>1615</v>
      </c>
    </row>
    <row r="4371" spans="1:5" hidden="1" x14ac:dyDescent="0.25">
      <c r="A4371">
        <v>2211</v>
      </c>
      <c r="B4371" t="s">
        <v>591</v>
      </c>
      <c r="C4371" t="s">
        <v>1641</v>
      </c>
      <c r="D4371" t="str">
        <f t="shared" si="68"/>
        <v>TVMINAS3919</v>
      </c>
      <c r="E4371" t="s">
        <v>2102</v>
      </c>
    </row>
    <row r="4372" spans="1:5" hidden="1" x14ac:dyDescent="0.25">
      <c r="A4372">
        <v>2211</v>
      </c>
      <c r="B4372" t="s">
        <v>591</v>
      </c>
      <c r="C4372" t="s">
        <v>1694</v>
      </c>
      <c r="D4372" t="str">
        <f t="shared" si="68"/>
        <v>TVMINAS3920</v>
      </c>
      <c r="E4372" t="s">
        <v>1692</v>
      </c>
    </row>
    <row r="4373" spans="1:5" hidden="1" x14ac:dyDescent="0.25">
      <c r="A4373">
        <v>2211</v>
      </c>
      <c r="B4373" t="s">
        <v>591</v>
      </c>
      <c r="C4373" t="s">
        <v>1642</v>
      </c>
      <c r="D4373" t="str">
        <f t="shared" si="68"/>
        <v>TVMINAS3921</v>
      </c>
      <c r="E4373" t="s">
        <v>2102</v>
      </c>
    </row>
    <row r="4374" spans="1:5" hidden="1" x14ac:dyDescent="0.25">
      <c r="A4374">
        <v>2211</v>
      </c>
      <c r="B4374" t="s">
        <v>591</v>
      </c>
      <c r="C4374" t="s">
        <v>1643</v>
      </c>
      <c r="D4374" t="str">
        <f t="shared" si="68"/>
        <v>TVMINAS3922</v>
      </c>
      <c r="E4374" t="s">
        <v>1611</v>
      </c>
    </row>
    <row r="4375" spans="1:5" hidden="1" x14ac:dyDescent="0.25">
      <c r="A4375">
        <v>2211</v>
      </c>
      <c r="B4375" t="s">
        <v>591</v>
      </c>
      <c r="C4375" t="s">
        <v>1644</v>
      </c>
      <c r="D4375" t="str">
        <f t="shared" si="68"/>
        <v>TVMINAS3924</v>
      </c>
      <c r="E4375" t="s">
        <v>1645</v>
      </c>
    </row>
    <row r="4376" spans="1:5" hidden="1" x14ac:dyDescent="0.25">
      <c r="A4376">
        <v>2211</v>
      </c>
      <c r="B4376" t="s">
        <v>591</v>
      </c>
      <c r="C4376" t="s">
        <v>442</v>
      </c>
      <c r="D4376" t="str">
        <f t="shared" si="68"/>
        <v>TVMINAS3926</v>
      </c>
      <c r="E4376" t="s">
        <v>1646</v>
      </c>
    </row>
    <row r="4377" spans="1:5" hidden="1" x14ac:dyDescent="0.25">
      <c r="A4377">
        <v>2211</v>
      </c>
      <c r="B4377" t="s">
        <v>591</v>
      </c>
      <c r="C4377" t="s">
        <v>1647</v>
      </c>
      <c r="D4377" t="str">
        <f t="shared" si="68"/>
        <v>TVMINAS3927</v>
      </c>
      <c r="E4377" t="s">
        <v>1648</v>
      </c>
    </row>
    <row r="4378" spans="1:5" hidden="1" x14ac:dyDescent="0.25">
      <c r="A4378">
        <v>2211</v>
      </c>
      <c r="B4378" t="s">
        <v>591</v>
      </c>
      <c r="C4378" t="s">
        <v>1650</v>
      </c>
      <c r="D4378" t="str">
        <f t="shared" si="68"/>
        <v>TVMINAS3931</v>
      </c>
      <c r="E4378" t="s">
        <v>1623</v>
      </c>
    </row>
    <row r="4379" spans="1:5" hidden="1" x14ac:dyDescent="0.25">
      <c r="A4379">
        <v>2211</v>
      </c>
      <c r="B4379" t="s">
        <v>591</v>
      </c>
      <c r="C4379" t="s">
        <v>1652</v>
      </c>
      <c r="D4379" t="str">
        <f t="shared" si="68"/>
        <v>TVMINAS3936</v>
      </c>
      <c r="E4379" t="s">
        <v>93</v>
      </c>
    </row>
    <row r="4380" spans="1:5" hidden="1" x14ac:dyDescent="0.25">
      <c r="A4380">
        <v>2211</v>
      </c>
      <c r="B4380" t="s">
        <v>591</v>
      </c>
      <c r="C4380" t="s">
        <v>1695</v>
      </c>
      <c r="D4380" t="str">
        <f t="shared" si="68"/>
        <v>TVMINAS3937</v>
      </c>
      <c r="E4380" t="s">
        <v>1692</v>
      </c>
    </row>
    <row r="4381" spans="1:5" hidden="1" x14ac:dyDescent="0.25">
      <c r="A4381">
        <v>2211</v>
      </c>
      <c r="B4381" t="s">
        <v>591</v>
      </c>
      <c r="C4381" t="s">
        <v>1653</v>
      </c>
      <c r="D4381" t="str">
        <f t="shared" si="68"/>
        <v>TVMINAS3940</v>
      </c>
      <c r="E4381" t="s">
        <v>1648</v>
      </c>
    </row>
    <row r="4382" spans="1:5" hidden="1" x14ac:dyDescent="0.25">
      <c r="A4382">
        <v>2211</v>
      </c>
      <c r="B4382" t="s">
        <v>591</v>
      </c>
      <c r="C4382" t="s">
        <v>479</v>
      </c>
      <c r="D4382" t="str">
        <f t="shared" si="68"/>
        <v>TVMINAS3941</v>
      </c>
      <c r="E4382" t="s">
        <v>1623</v>
      </c>
    </row>
    <row r="4383" spans="1:5" hidden="1" x14ac:dyDescent="0.25">
      <c r="A4383">
        <v>2211</v>
      </c>
      <c r="B4383" t="s">
        <v>591</v>
      </c>
      <c r="C4383" t="s">
        <v>1654</v>
      </c>
      <c r="D4383" t="str">
        <f t="shared" si="68"/>
        <v>TVMINAS3943</v>
      </c>
      <c r="E4383" t="s">
        <v>1615</v>
      </c>
    </row>
    <row r="4384" spans="1:5" hidden="1" x14ac:dyDescent="0.25">
      <c r="A4384">
        <v>2211</v>
      </c>
      <c r="B4384" t="s">
        <v>591</v>
      </c>
      <c r="C4384" t="s">
        <v>1701</v>
      </c>
      <c r="D4384" t="str">
        <f t="shared" si="68"/>
        <v>TVMINAS3952</v>
      </c>
      <c r="E4384" t="s">
        <v>64</v>
      </c>
    </row>
    <row r="4385" spans="1:5" hidden="1" x14ac:dyDescent="0.25">
      <c r="A4385">
        <v>2211</v>
      </c>
      <c r="B4385" t="s">
        <v>591</v>
      </c>
      <c r="C4385" t="s">
        <v>498</v>
      </c>
      <c r="D4385" t="str">
        <f t="shared" si="68"/>
        <v>TVMINAS3956</v>
      </c>
      <c r="E4385" t="s">
        <v>2110</v>
      </c>
    </row>
    <row r="4386" spans="1:5" hidden="1" x14ac:dyDescent="0.25">
      <c r="A4386">
        <v>2211</v>
      </c>
      <c r="B4386" t="s">
        <v>591</v>
      </c>
      <c r="C4386" t="s">
        <v>1656</v>
      </c>
      <c r="D4386" t="str">
        <f t="shared" si="68"/>
        <v>TVMINAS3959</v>
      </c>
      <c r="E4386" t="s">
        <v>1623</v>
      </c>
    </row>
    <row r="4387" spans="1:5" hidden="1" x14ac:dyDescent="0.25">
      <c r="A4387">
        <v>2211</v>
      </c>
      <c r="B4387" t="s">
        <v>591</v>
      </c>
      <c r="C4387" t="s">
        <v>1657</v>
      </c>
      <c r="D4387" t="str">
        <f t="shared" si="68"/>
        <v>TVMINAS3961</v>
      </c>
      <c r="E4387" t="s">
        <v>102</v>
      </c>
    </row>
    <row r="4388" spans="1:5" hidden="1" x14ac:dyDescent="0.25">
      <c r="A4388">
        <v>2211</v>
      </c>
      <c r="B4388" t="s">
        <v>591</v>
      </c>
      <c r="C4388" t="s">
        <v>1696</v>
      </c>
      <c r="D4388" t="str">
        <f t="shared" si="68"/>
        <v>TVMINAS3962</v>
      </c>
      <c r="E4388" t="s">
        <v>2103</v>
      </c>
    </row>
    <row r="4389" spans="1:5" hidden="1" x14ac:dyDescent="0.25">
      <c r="A4389">
        <v>2211</v>
      </c>
      <c r="B4389" t="s">
        <v>591</v>
      </c>
      <c r="C4389" t="s">
        <v>1659</v>
      </c>
      <c r="D4389" t="str">
        <f t="shared" si="68"/>
        <v>TVMINAS3969</v>
      </c>
      <c r="E4389" t="s">
        <v>1637</v>
      </c>
    </row>
    <row r="4390" spans="1:5" hidden="1" x14ac:dyDescent="0.25">
      <c r="A4390">
        <v>2211</v>
      </c>
      <c r="B4390" t="s">
        <v>591</v>
      </c>
      <c r="C4390" t="s">
        <v>1660</v>
      </c>
      <c r="D4390" t="str">
        <f t="shared" si="68"/>
        <v>TVMINAS3970</v>
      </c>
      <c r="E4390" t="s">
        <v>1648</v>
      </c>
    </row>
    <row r="4391" spans="1:5" hidden="1" x14ac:dyDescent="0.25">
      <c r="A4391">
        <v>2211</v>
      </c>
      <c r="B4391" t="s">
        <v>591</v>
      </c>
      <c r="C4391" t="s">
        <v>525</v>
      </c>
      <c r="D4391" t="str">
        <f t="shared" si="68"/>
        <v>TVMINAS3986</v>
      </c>
      <c r="E4391" t="s">
        <v>1623</v>
      </c>
    </row>
    <row r="4392" spans="1:5" hidden="1" x14ac:dyDescent="0.25">
      <c r="A4392">
        <v>2211</v>
      </c>
      <c r="B4392" t="s">
        <v>591</v>
      </c>
      <c r="C4392" t="s">
        <v>1661</v>
      </c>
      <c r="D4392" t="str">
        <f t="shared" si="68"/>
        <v>TVMINAS3987</v>
      </c>
      <c r="E4392" t="s">
        <v>1615</v>
      </c>
    </row>
    <row r="4393" spans="1:5" hidden="1" x14ac:dyDescent="0.25">
      <c r="A4393">
        <v>2211</v>
      </c>
      <c r="B4393" t="s">
        <v>591</v>
      </c>
      <c r="C4393" t="s">
        <v>1663</v>
      </c>
      <c r="D4393" t="str">
        <f t="shared" si="68"/>
        <v>TVMINAS3999</v>
      </c>
      <c r="E4393" t="s">
        <v>1623</v>
      </c>
    </row>
    <row r="4394" spans="1:5" hidden="1" x14ac:dyDescent="0.25">
      <c r="A4394">
        <v>2211</v>
      </c>
      <c r="B4394" t="s">
        <v>591</v>
      </c>
      <c r="C4394" t="s">
        <v>1664</v>
      </c>
      <c r="D4394" t="str">
        <f t="shared" si="68"/>
        <v>TVMINAS4002</v>
      </c>
      <c r="E4394" t="s">
        <v>1648</v>
      </c>
    </row>
    <row r="4395" spans="1:5" hidden="1" x14ac:dyDescent="0.25">
      <c r="A4395">
        <v>2211</v>
      </c>
      <c r="B4395" t="s">
        <v>591</v>
      </c>
      <c r="C4395" t="s">
        <v>1665</v>
      </c>
      <c r="D4395" t="str">
        <f t="shared" si="68"/>
        <v>TVMINAS4003</v>
      </c>
      <c r="E4395" t="s">
        <v>93</v>
      </c>
    </row>
    <row r="4396" spans="1:5" hidden="1" x14ac:dyDescent="0.25">
      <c r="A4396">
        <v>2211</v>
      </c>
      <c r="B4396" t="s">
        <v>591</v>
      </c>
      <c r="C4396" t="s">
        <v>1666</v>
      </c>
      <c r="D4396" t="str">
        <f t="shared" si="68"/>
        <v>TVMINAS4004</v>
      </c>
      <c r="E4396" t="s">
        <v>1648</v>
      </c>
    </row>
    <row r="4397" spans="1:5" hidden="1" x14ac:dyDescent="0.25">
      <c r="A4397">
        <v>2211</v>
      </c>
      <c r="B4397" t="s">
        <v>591</v>
      </c>
      <c r="C4397" t="s">
        <v>1667</v>
      </c>
      <c r="D4397" t="str">
        <f t="shared" si="68"/>
        <v>TVMINAS4005</v>
      </c>
      <c r="E4397" t="s">
        <v>1648</v>
      </c>
    </row>
    <row r="4398" spans="1:5" hidden="1" x14ac:dyDescent="0.25">
      <c r="A4398">
        <v>2211</v>
      </c>
      <c r="B4398" t="s">
        <v>591</v>
      </c>
      <c r="C4398" t="s">
        <v>1668</v>
      </c>
      <c r="D4398" t="str">
        <f t="shared" si="68"/>
        <v>TVMINAS4701</v>
      </c>
      <c r="E4398" t="s">
        <v>1669</v>
      </c>
    </row>
    <row r="4399" spans="1:5" hidden="1" x14ac:dyDescent="0.25">
      <c r="A4399">
        <v>2211</v>
      </c>
      <c r="B4399" t="s">
        <v>591</v>
      </c>
      <c r="C4399" t="s">
        <v>315</v>
      </c>
      <c r="D4399" t="str">
        <f t="shared" si="68"/>
        <v>TVMINAS4706</v>
      </c>
      <c r="E4399" t="s">
        <v>1669</v>
      </c>
    </row>
    <row r="4400" spans="1:5" hidden="1" x14ac:dyDescent="0.25">
      <c r="A4400">
        <v>2211</v>
      </c>
      <c r="B4400" t="s">
        <v>591</v>
      </c>
      <c r="C4400" t="s">
        <v>356</v>
      </c>
      <c r="D4400" t="str">
        <f t="shared" si="68"/>
        <v>TVMINAS4710</v>
      </c>
      <c r="E4400" t="s">
        <v>1669</v>
      </c>
    </row>
    <row r="4401" spans="1:5" hidden="1" x14ac:dyDescent="0.25">
      <c r="A4401">
        <v>2211</v>
      </c>
      <c r="B4401" t="s">
        <v>591</v>
      </c>
      <c r="C4401" t="s">
        <v>363</v>
      </c>
      <c r="D4401" t="str">
        <f t="shared" si="68"/>
        <v>TVMINAS4799</v>
      </c>
      <c r="E4401" t="s">
        <v>1669</v>
      </c>
    </row>
    <row r="4402" spans="1:5" hidden="1" x14ac:dyDescent="0.25">
      <c r="A4402">
        <v>2211</v>
      </c>
      <c r="B4402" t="s">
        <v>591</v>
      </c>
      <c r="C4402" t="s">
        <v>1673</v>
      </c>
      <c r="D4402" t="str">
        <f t="shared" si="68"/>
        <v>TVMINAS5204</v>
      </c>
      <c r="E4402" t="s">
        <v>1674</v>
      </c>
    </row>
    <row r="4403" spans="1:5" hidden="1" x14ac:dyDescent="0.25">
      <c r="A4403">
        <v>2211</v>
      </c>
      <c r="B4403" t="s">
        <v>591</v>
      </c>
      <c r="C4403" t="s">
        <v>328</v>
      </c>
      <c r="D4403" t="str">
        <f t="shared" si="68"/>
        <v>TVMINAS5206</v>
      </c>
      <c r="E4403" t="s">
        <v>1675</v>
      </c>
    </row>
    <row r="4404" spans="1:5" hidden="1" x14ac:dyDescent="0.25">
      <c r="A4404">
        <v>2211</v>
      </c>
      <c r="B4404" t="s">
        <v>591</v>
      </c>
      <c r="C4404" t="s">
        <v>1676</v>
      </c>
      <c r="D4404" t="str">
        <f t="shared" si="68"/>
        <v>TVMINAS5207</v>
      </c>
      <c r="E4404" t="s">
        <v>1675</v>
      </c>
    </row>
    <row r="4405" spans="1:5" hidden="1" x14ac:dyDescent="0.25">
      <c r="A4405">
        <v>2211</v>
      </c>
      <c r="B4405" t="s">
        <v>591</v>
      </c>
      <c r="C4405" t="s">
        <v>1677</v>
      </c>
      <c r="D4405" t="str">
        <f t="shared" si="68"/>
        <v>TVMINAS5208</v>
      </c>
      <c r="E4405" t="s">
        <v>1675</v>
      </c>
    </row>
    <row r="4406" spans="1:5" hidden="1" x14ac:dyDescent="0.25">
      <c r="A4406">
        <v>2211</v>
      </c>
      <c r="B4406" t="s">
        <v>591</v>
      </c>
      <c r="C4406" t="s">
        <v>1678</v>
      </c>
      <c r="D4406" t="str">
        <f t="shared" si="68"/>
        <v>TVMINAS5210</v>
      </c>
      <c r="E4406" t="s">
        <v>1674</v>
      </c>
    </row>
    <row r="4407" spans="1:5" hidden="1" x14ac:dyDescent="0.25">
      <c r="A4407">
        <v>2211</v>
      </c>
      <c r="B4407" t="s">
        <v>591</v>
      </c>
      <c r="C4407" t="s">
        <v>1679</v>
      </c>
      <c r="D4407" t="str">
        <f t="shared" si="68"/>
        <v>TVMINAS5212</v>
      </c>
      <c r="E4407" t="s">
        <v>1674</v>
      </c>
    </row>
    <row r="4408" spans="1:5" hidden="1" x14ac:dyDescent="0.25">
      <c r="A4408">
        <v>2211</v>
      </c>
      <c r="B4408" t="s">
        <v>591</v>
      </c>
      <c r="C4408" t="s">
        <v>390</v>
      </c>
      <c r="D4408" t="str">
        <f t="shared" si="68"/>
        <v>TVMINAS5214</v>
      </c>
      <c r="E4408" t="s">
        <v>1674</v>
      </c>
    </row>
    <row r="4409" spans="1:5" hidden="1" x14ac:dyDescent="0.25">
      <c r="A4409">
        <v>2211</v>
      </c>
      <c r="B4409" t="s">
        <v>591</v>
      </c>
      <c r="C4409" t="s">
        <v>408</v>
      </c>
      <c r="D4409" t="str">
        <f t="shared" si="68"/>
        <v>TVMINAS5217</v>
      </c>
      <c r="E4409" t="s">
        <v>1680</v>
      </c>
    </row>
    <row r="4410" spans="1:5" hidden="1" x14ac:dyDescent="0.25">
      <c r="A4410">
        <v>2211</v>
      </c>
      <c r="B4410" t="s">
        <v>591</v>
      </c>
      <c r="C4410" t="s">
        <v>448</v>
      </c>
      <c r="D4410" t="str">
        <f t="shared" si="68"/>
        <v>TVMINAS5225</v>
      </c>
      <c r="E4410" t="s">
        <v>1674</v>
      </c>
    </row>
    <row r="4411" spans="1:5" hidden="1" x14ac:dyDescent="0.25">
      <c r="A4411">
        <v>2211</v>
      </c>
      <c r="B4411" t="s">
        <v>591</v>
      </c>
      <c r="C4411" t="s">
        <v>1684</v>
      </c>
      <c r="D4411" t="str">
        <f t="shared" si="68"/>
        <v>TVMINAS9202</v>
      </c>
      <c r="E4411" t="s">
        <v>1685</v>
      </c>
    </row>
    <row r="4412" spans="1:5" hidden="1" x14ac:dyDescent="0.25">
      <c r="A4412">
        <v>2211</v>
      </c>
      <c r="B4412" t="s">
        <v>591</v>
      </c>
      <c r="C4412" t="s">
        <v>330</v>
      </c>
      <c r="D4412" t="str">
        <f t="shared" si="68"/>
        <v>TVMINAS9306</v>
      </c>
      <c r="E4412" t="s">
        <v>1686</v>
      </c>
    </row>
    <row r="4413" spans="1:5" hidden="1" x14ac:dyDescent="0.25">
      <c r="A4413">
        <v>2211</v>
      </c>
      <c r="B4413" t="s">
        <v>591</v>
      </c>
      <c r="C4413" t="s">
        <v>1687</v>
      </c>
      <c r="D4413" t="str">
        <f t="shared" si="68"/>
        <v>TVMINAS9399</v>
      </c>
      <c r="E4413" t="s">
        <v>1623</v>
      </c>
    </row>
    <row r="4414" spans="1:5" hidden="1" x14ac:dyDescent="0.25">
      <c r="A4414">
        <v>2211</v>
      </c>
      <c r="B4414" t="s">
        <v>591</v>
      </c>
      <c r="C4414" t="s">
        <v>470</v>
      </c>
      <c r="D4414" t="str">
        <f t="shared" si="68"/>
        <v>TVMINAS3699</v>
      </c>
      <c r="E4414" t="s">
        <v>1623</v>
      </c>
    </row>
    <row r="4415" spans="1:5" hidden="1" x14ac:dyDescent="0.25">
      <c r="A4415">
        <v>2241</v>
      </c>
      <c r="B4415" t="s">
        <v>568</v>
      </c>
      <c r="C4415" t="s">
        <v>1853</v>
      </c>
      <c r="D4415" t="str">
        <f t="shared" si="68"/>
        <v>IGAM0702</v>
      </c>
      <c r="E4415" t="s">
        <v>1646</v>
      </c>
    </row>
    <row r="4416" spans="1:5" hidden="1" x14ac:dyDescent="0.25">
      <c r="A4416">
        <v>2241</v>
      </c>
      <c r="B4416" t="s">
        <v>568</v>
      </c>
      <c r="C4416" t="s">
        <v>331</v>
      </c>
      <c r="D4416" t="str">
        <f t="shared" si="68"/>
        <v>IGAM1314</v>
      </c>
      <c r="E4416" t="s">
        <v>1689</v>
      </c>
    </row>
    <row r="4417" spans="1:5" hidden="1" x14ac:dyDescent="0.25">
      <c r="A4417">
        <v>2241</v>
      </c>
      <c r="B4417" t="s">
        <v>568</v>
      </c>
      <c r="C4417" t="s">
        <v>1688</v>
      </c>
      <c r="D4417" t="str">
        <f t="shared" si="68"/>
        <v>IGAM1317</v>
      </c>
      <c r="E4417" t="s">
        <v>1689</v>
      </c>
    </row>
    <row r="4418" spans="1:5" hidden="1" x14ac:dyDescent="0.25">
      <c r="A4418">
        <v>2241</v>
      </c>
      <c r="B4418" t="s">
        <v>568</v>
      </c>
      <c r="C4418" t="s">
        <v>1597</v>
      </c>
      <c r="D4418" t="str">
        <f t="shared" si="68"/>
        <v>IGAM1401</v>
      </c>
      <c r="E4418" t="s">
        <v>43</v>
      </c>
    </row>
    <row r="4419" spans="1:5" hidden="1" x14ac:dyDescent="0.25">
      <c r="A4419">
        <v>2241</v>
      </c>
      <c r="B4419" t="s">
        <v>568</v>
      </c>
      <c r="C4419" t="s">
        <v>1599</v>
      </c>
      <c r="D4419" t="str">
        <f t="shared" si="68"/>
        <v>IGAM3001</v>
      </c>
      <c r="E4419" t="s">
        <v>1600</v>
      </c>
    </row>
    <row r="4420" spans="1:5" hidden="1" x14ac:dyDescent="0.25">
      <c r="A4420">
        <v>2241</v>
      </c>
      <c r="B4420" t="s">
        <v>568</v>
      </c>
      <c r="C4420" t="s">
        <v>1601</v>
      </c>
      <c r="D4420" t="str">
        <f t="shared" si="68"/>
        <v>IGAM3003</v>
      </c>
      <c r="E4420" t="s">
        <v>1600</v>
      </c>
    </row>
    <row r="4421" spans="1:5" hidden="1" x14ac:dyDescent="0.25">
      <c r="A4421">
        <v>2241</v>
      </c>
      <c r="B4421" t="s">
        <v>568</v>
      </c>
      <c r="C4421" t="s">
        <v>1602</v>
      </c>
      <c r="D4421" t="str">
        <f t="shared" ref="D4421:D4484" si="69">CONCATENATE(B4421,LEFT(C4421,4))</f>
        <v>IGAM3004</v>
      </c>
      <c r="E4421" t="s">
        <v>1600</v>
      </c>
    </row>
    <row r="4422" spans="1:5" hidden="1" x14ac:dyDescent="0.25">
      <c r="A4422">
        <v>2241</v>
      </c>
      <c r="B4422" t="s">
        <v>568</v>
      </c>
      <c r="C4422" t="s">
        <v>1603</v>
      </c>
      <c r="D4422" t="str">
        <f t="shared" si="69"/>
        <v>IGAM3005</v>
      </c>
      <c r="E4422" t="s">
        <v>1600</v>
      </c>
    </row>
    <row r="4423" spans="1:5" hidden="1" x14ac:dyDescent="0.25">
      <c r="A4423">
        <v>2241</v>
      </c>
      <c r="B4423" t="s">
        <v>568</v>
      </c>
      <c r="C4423" t="s">
        <v>1605</v>
      </c>
      <c r="D4423" t="str">
        <f t="shared" si="69"/>
        <v>IGAM3010</v>
      </c>
      <c r="E4423" t="s">
        <v>1606</v>
      </c>
    </row>
    <row r="4424" spans="1:5" hidden="1" x14ac:dyDescent="0.25">
      <c r="A4424">
        <v>2241</v>
      </c>
      <c r="B4424" t="s">
        <v>568</v>
      </c>
      <c r="C4424" t="s">
        <v>137</v>
      </c>
      <c r="D4424" t="str">
        <f t="shared" si="69"/>
        <v>IGAM3012</v>
      </c>
      <c r="E4424" t="s">
        <v>1606</v>
      </c>
    </row>
    <row r="4425" spans="1:5" hidden="1" x14ac:dyDescent="0.25">
      <c r="A4425">
        <v>2241</v>
      </c>
      <c r="B4425" t="s">
        <v>568</v>
      </c>
      <c r="C4425" t="s">
        <v>1607</v>
      </c>
      <c r="D4425" t="str">
        <f t="shared" si="69"/>
        <v>IGAM3013</v>
      </c>
      <c r="E4425" t="s">
        <v>1600</v>
      </c>
    </row>
    <row r="4426" spans="1:5" hidden="1" x14ac:dyDescent="0.25">
      <c r="A4426">
        <v>2241</v>
      </c>
      <c r="B4426" t="s">
        <v>568</v>
      </c>
      <c r="C4426" t="s">
        <v>1608</v>
      </c>
      <c r="D4426" t="str">
        <f t="shared" si="69"/>
        <v>IGAM3015</v>
      </c>
      <c r="E4426" t="s">
        <v>1600</v>
      </c>
    </row>
    <row r="4427" spans="1:5" hidden="1" x14ac:dyDescent="0.25">
      <c r="A4427">
        <v>2241</v>
      </c>
      <c r="B4427" t="s">
        <v>568</v>
      </c>
      <c r="C4427" t="s">
        <v>1609</v>
      </c>
      <c r="D4427" t="str">
        <f t="shared" si="69"/>
        <v>IGAM3016</v>
      </c>
      <c r="E4427" t="s">
        <v>1808</v>
      </c>
    </row>
    <row r="4428" spans="1:5" hidden="1" x14ac:dyDescent="0.25">
      <c r="A4428">
        <v>2241</v>
      </c>
      <c r="B4428" t="s">
        <v>568</v>
      </c>
      <c r="C4428" t="s">
        <v>405</v>
      </c>
      <c r="D4428" t="str">
        <f t="shared" si="69"/>
        <v>IGAM3017</v>
      </c>
      <c r="E4428" t="s">
        <v>1600</v>
      </c>
    </row>
    <row r="4429" spans="1:5" hidden="1" x14ac:dyDescent="0.25">
      <c r="A4429">
        <v>2241</v>
      </c>
      <c r="B4429" t="s">
        <v>568</v>
      </c>
      <c r="C4429" t="s">
        <v>1610</v>
      </c>
      <c r="D4429" t="str">
        <f t="shared" si="69"/>
        <v>IGAM3019</v>
      </c>
      <c r="E4429" t="s">
        <v>1611</v>
      </c>
    </row>
    <row r="4430" spans="1:5" hidden="1" x14ac:dyDescent="0.25">
      <c r="A4430">
        <v>2241</v>
      </c>
      <c r="B4430" t="s">
        <v>568</v>
      </c>
      <c r="C4430" t="s">
        <v>1612</v>
      </c>
      <c r="D4430" t="str">
        <f t="shared" si="69"/>
        <v>IGAM3020</v>
      </c>
      <c r="E4430" t="s">
        <v>1600</v>
      </c>
    </row>
    <row r="4431" spans="1:5" hidden="1" x14ac:dyDescent="0.25">
      <c r="A4431">
        <v>2241</v>
      </c>
      <c r="B4431" t="s">
        <v>568</v>
      </c>
      <c r="C4431" t="s">
        <v>1613</v>
      </c>
      <c r="D4431" t="str">
        <f t="shared" si="69"/>
        <v>IGAM3021</v>
      </c>
      <c r="E4431" t="s">
        <v>1600</v>
      </c>
    </row>
    <row r="4432" spans="1:5" hidden="1" x14ac:dyDescent="0.25">
      <c r="A4432">
        <v>2241</v>
      </c>
      <c r="B4432" t="s">
        <v>568</v>
      </c>
      <c r="C4432" t="s">
        <v>430</v>
      </c>
      <c r="D4432" t="str">
        <f t="shared" si="69"/>
        <v>IGAM3022</v>
      </c>
      <c r="E4432" t="s">
        <v>1600</v>
      </c>
    </row>
    <row r="4433" spans="1:5" hidden="1" x14ac:dyDescent="0.25">
      <c r="A4433">
        <v>2241</v>
      </c>
      <c r="B4433" t="s">
        <v>568</v>
      </c>
      <c r="C4433" t="s">
        <v>1614</v>
      </c>
      <c r="D4433" t="str">
        <f t="shared" si="69"/>
        <v>IGAM3023</v>
      </c>
      <c r="E4433" t="s">
        <v>1615</v>
      </c>
    </row>
    <row r="4434" spans="1:5" hidden="1" x14ac:dyDescent="0.25">
      <c r="A4434">
        <v>2241</v>
      </c>
      <c r="B4434" t="s">
        <v>568</v>
      </c>
      <c r="C4434" t="s">
        <v>440</v>
      </c>
      <c r="D4434" t="str">
        <f t="shared" si="69"/>
        <v>IGAM3024</v>
      </c>
      <c r="E4434" t="s">
        <v>1600</v>
      </c>
    </row>
    <row r="4435" spans="1:5" hidden="1" x14ac:dyDescent="0.25">
      <c r="A4435">
        <v>2241</v>
      </c>
      <c r="B4435" t="s">
        <v>568</v>
      </c>
      <c r="C4435" t="s">
        <v>1616</v>
      </c>
      <c r="D4435" t="str">
        <f t="shared" si="69"/>
        <v>IGAM3025</v>
      </c>
      <c r="E4435" t="s">
        <v>1600</v>
      </c>
    </row>
    <row r="4436" spans="1:5" hidden="1" x14ac:dyDescent="0.25">
      <c r="A4436">
        <v>2241</v>
      </c>
      <c r="B4436" t="s">
        <v>568</v>
      </c>
      <c r="C4436" t="s">
        <v>1617</v>
      </c>
      <c r="D4436" t="str">
        <f t="shared" si="69"/>
        <v>IGAM3026</v>
      </c>
      <c r="E4436" t="s">
        <v>1615</v>
      </c>
    </row>
    <row r="4437" spans="1:5" hidden="1" x14ac:dyDescent="0.25">
      <c r="A4437">
        <v>2241</v>
      </c>
      <c r="B4437" t="s">
        <v>568</v>
      </c>
      <c r="C4437" t="s">
        <v>1618</v>
      </c>
      <c r="D4437" t="str">
        <f t="shared" si="69"/>
        <v>IGAM3027</v>
      </c>
      <c r="E4437" t="s">
        <v>1600</v>
      </c>
    </row>
    <row r="4438" spans="1:5" hidden="1" x14ac:dyDescent="0.25">
      <c r="A4438">
        <v>2241</v>
      </c>
      <c r="B4438" t="s">
        <v>568</v>
      </c>
      <c r="C4438" t="s">
        <v>1703</v>
      </c>
      <c r="D4438" t="str">
        <f t="shared" si="69"/>
        <v>IGAM3041</v>
      </c>
      <c r="E4438" t="s">
        <v>1600</v>
      </c>
    </row>
    <row r="4439" spans="1:5" hidden="1" x14ac:dyDescent="0.25">
      <c r="A4439">
        <v>2241</v>
      </c>
      <c r="B4439" t="s">
        <v>568</v>
      </c>
      <c r="C4439" t="s">
        <v>490</v>
      </c>
      <c r="D4439" t="str">
        <f t="shared" si="69"/>
        <v>IGAM3099</v>
      </c>
      <c r="E4439" t="s">
        <v>1600</v>
      </c>
    </row>
    <row r="4440" spans="1:5" hidden="1" x14ac:dyDescent="0.25">
      <c r="A4440">
        <v>2241</v>
      </c>
      <c r="B4440" t="s">
        <v>568</v>
      </c>
      <c r="C4440" t="s">
        <v>1622</v>
      </c>
      <c r="D4440" t="str">
        <f t="shared" si="69"/>
        <v>IGAM3101</v>
      </c>
      <c r="E4440" t="s">
        <v>1792</v>
      </c>
    </row>
    <row r="4441" spans="1:5" hidden="1" x14ac:dyDescent="0.25">
      <c r="A4441">
        <v>2241</v>
      </c>
      <c r="B4441" t="s">
        <v>568</v>
      </c>
      <c r="C4441" t="s">
        <v>53</v>
      </c>
      <c r="D4441" t="str">
        <f t="shared" si="69"/>
        <v>IGAM3301</v>
      </c>
      <c r="E4441" t="s">
        <v>43</v>
      </c>
    </row>
    <row r="4442" spans="1:5" hidden="1" x14ac:dyDescent="0.25">
      <c r="A4442">
        <v>2241</v>
      </c>
      <c r="B4442" t="s">
        <v>568</v>
      </c>
      <c r="C4442" t="s">
        <v>1626</v>
      </c>
      <c r="D4442" t="str">
        <f t="shared" si="69"/>
        <v>IGAM3302</v>
      </c>
      <c r="E4442" t="s">
        <v>43</v>
      </c>
    </row>
    <row r="4443" spans="1:5" hidden="1" x14ac:dyDescent="0.25">
      <c r="A4443">
        <v>2241</v>
      </c>
      <c r="B4443" t="s">
        <v>568</v>
      </c>
      <c r="C4443" t="s">
        <v>1627</v>
      </c>
      <c r="D4443" t="str">
        <f t="shared" si="69"/>
        <v>IGAM3304</v>
      </c>
      <c r="E4443" t="s">
        <v>43</v>
      </c>
    </row>
    <row r="4444" spans="1:5" hidden="1" x14ac:dyDescent="0.25">
      <c r="A4444">
        <v>2241</v>
      </c>
      <c r="B4444" t="s">
        <v>568</v>
      </c>
      <c r="C4444" t="s">
        <v>1705</v>
      </c>
      <c r="D4444" t="str">
        <f t="shared" si="69"/>
        <v>IGAM3502</v>
      </c>
      <c r="E4444" t="s">
        <v>1706</v>
      </c>
    </row>
    <row r="4445" spans="1:5" hidden="1" x14ac:dyDescent="0.25">
      <c r="A4445">
        <v>2241</v>
      </c>
      <c r="B4445" t="s">
        <v>568</v>
      </c>
      <c r="C4445" t="s">
        <v>296</v>
      </c>
      <c r="D4445" t="str">
        <f t="shared" si="69"/>
        <v>IGAM3604</v>
      </c>
      <c r="E4445" t="s">
        <v>43</v>
      </c>
    </row>
    <row r="4446" spans="1:5" hidden="1" x14ac:dyDescent="0.25">
      <c r="A4446">
        <v>2241</v>
      </c>
      <c r="B4446" t="s">
        <v>568</v>
      </c>
      <c r="C4446" t="s">
        <v>354</v>
      </c>
      <c r="D4446" t="str">
        <f t="shared" si="69"/>
        <v>IGAM3610</v>
      </c>
      <c r="E4446" t="s">
        <v>1773</v>
      </c>
    </row>
    <row r="4447" spans="1:5" hidden="1" x14ac:dyDescent="0.25">
      <c r="A4447">
        <v>2241</v>
      </c>
      <c r="B4447" t="s">
        <v>568</v>
      </c>
      <c r="C4447" t="s">
        <v>1628</v>
      </c>
      <c r="D4447" t="str">
        <f t="shared" si="69"/>
        <v>IGAM3612</v>
      </c>
      <c r="E4447" t="s">
        <v>1774</v>
      </c>
    </row>
    <row r="4448" spans="1:5" hidden="1" x14ac:dyDescent="0.25">
      <c r="A4448">
        <v>2241</v>
      </c>
      <c r="B4448" t="s">
        <v>568</v>
      </c>
      <c r="C4448" t="s">
        <v>441</v>
      </c>
      <c r="D4448" t="str">
        <f t="shared" si="69"/>
        <v>IGAM3625</v>
      </c>
      <c r="E4448" t="s">
        <v>1854</v>
      </c>
    </row>
    <row r="4449" spans="1:5" hidden="1" x14ac:dyDescent="0.25">
      <c r="A4449">
        <v>2241</v>
      </c>
      <c r="B4449" t="s">
        <v>568</v>
      </c>
      <c r="C4449" t="s">
        <v>470</v>
      </c>
      <c r="D4449" t="str">
        <f t="shared" si="69"/>
        <v>IGAM3699</v>
      </c>
      <c r="E4449" t="s">
        <v>1776</v>
      </c>
    </row>
    <row r="4450" spans="1:5" hidden="1" x14ac:dyDescent="0.25">
      <c r="A4450">
        <v>2241</v>
      </c>
      <c r="B4450" t="s">
        <v>568</v>
      </c>
      <c r="C4450" t="s">
        <v>1693</v>
      </c>
      <c r="D4450" t="str">
        <f t="shared" si="69"/>
        <v>IGAM3702</v>
      </c>
      <c r="E4450" t="s">
        <v>1630</v>
      </c>
    </row>
    <row r="4451" spans="1:5" hidden="1" x14ac:dyDescent="0.25">
      <c r="A4451">
        <v>2241</v>
      </c>
      <c r="B4451" t="s">
        <v>568</v>
      </c>
      <c r="C4451" t="s">
        <v>1631</v>
      </c>
      <c r="D4451" t="str">
        <f t="shared" si="69"/>
        <v>IGAM3703</v>
      </c>
      <c r="E4451" t="s">
        <v>116</v>
      </c>
    </row>
    <row r="4452" spans="1:5" hidden="1" x14ac:dyDescent="0.25">
      <c r="A4452">
        <v>2241</v>
      </c>
      <c r="B4452" t="s">
        <v>568</v>
      </c>
      <c r="C4452" t="s">
        <v>1632</v>
      </c>
      <c r="D4452" t="str">
        <f t="shared" si="69"/>
        <v>IGAM3704</v>
      </c>
      <c r="E4452" t="s">
        <v>116</v>
      </c>
    </row>
    <row r="4453" spans="1:5" hidden="1" x14ac:dyDescent="0.25">
      <c r="A4453">
        <v>2241</v>
      </c>
      <c r="B4453" t="s">
        <v>568</v>
      </c>
      <c r="C4453" t="s">
        <v>1633</v>
      </c>
      <c r="D4453" t="str">
        <f t="shared" si="69"/>
        <v>IGAM3705</v>
      </c>
      <c r="E4453" t="s">
        <v>116</v>
      </c>
    </row>
    <row r="4454" spans="1:5" hidden="1" x14ac:dyDescent="0.25">
      <c r="A4454">
        <v>2241</v>
      </c>
      <c r="B4454" t="s">
        <v>568</v>
      </c>
      <c r="C4454" t="s">
        <v>298</v>
      </c>
      <c r="D4454" t="str">
        <f t="shared" si="69"/>
        <v>IGAM3904</v>
      </c>
      <c r="E4454" t="s">
        <v>1777</v>
      </c>
    </row>
    <row r="4455" spans="1:5" hidden="1" x14ac:dyDescent="0.25">
      <c r="A4455">
        <v>2241</v>
      </c>
      <c r="B4455" t="s">
        <v>568</v>
      </c>
      <c r="C4455" t="s">
        <v>325</v>
      </c>
      <c r="D4455" t="str">
        <f t="shared" si="69"/>
        <v>IGAM3906</v>
      </c>
      <c r="E4455" t="s">
        <v>1778</v>
      </c>
    </row>
    <row r="4456" spans="1:5" hidden="1" x14ac:dyDescent="0.25">
      <c r="A4456">
        <v>2241</v>
      </c>
      <c r="B4456" t="s">
        <v>568</v>
      </c>
      <c r="C4456" t="s">
        <v>1635</v>
      </c>
      <c r="D4456" t="str">
        <f t="shared" si="69"/>
        <v>IGAM3908</v>
      </c>
      <c r="E4456" t="s">
        <v>1832</v>
      </c>
    </row>
    <row r="4457" spans="1:5" hidden="1" x14ac:dyDescent="0.25">
      <c r="A4457">
        <v>2241</v>
      </c>
      <c r="B4457" t="s">
        <v>568</v>
      </c>
      <c r="C4457" t="s">
        <v>335</v>
      </c>
      <c r="D4457" t="str">
        <f t="shared" si="69"/>
        <v>IGAM3909</v>
      </c>
      <c r="E4457" t="s">
        <v>1809</v>
      </c>
    </row>
    <row r="4458" spans="1:5" hidden="1" x14ac:dyDescent="0.25">
      <c r="A4458">
        <v>2241</v>
      </c>
      <c r="B4458" t="s">
        <v>568</v>
      </c>
      <c r="C4458" t="s">
        <v>345</v>
      </c>
      <c r="D4458" t="str">
        <f t="shared" si="69"/>
        <v>IGAM3910</v>
      </c>
      <c r="E4458" t="s">
        <v>2109</v>
      </c>
    </row>
    <row r="4459" spans="1:5" hidden="1" x14ac:dyDescent="0.25">
      <c r="A4459">
        <v>2241</v>
      </c>
      <c r="B4459" t="s">
        <v>568</v>
      </c>
      <c r="C4459" t="s">
        <v>355</v>
      </c>
      <c r="D4459" t="str">
        <f t="shared" si="69"/>
        <v>IGAM3911</v>
      </c>
      <c r="E4459" t="s">
        <v>1833</v>
      </c>
    </row>
    <row r="4460" spans="1:5" hidden="1" x14ac:dyDescent="0.25">
      <c r="A4460">
        <v>2241</v>
      </c>
      <c r="B4460" t="s">
        <v>568</v>
      </c>
      <c r="C4460" t="s">
        <v>1636</v>
      </c>
      <c r="D4460" t="str">
        <f t="shared" si="69"/>
        <v>IGAM3912</v>
      </c>
      <c r="E4460" t="s">
        <v>1637</v>
      </c>
    </row>
    <row r="4461" spans="1:5" hidden="1" x14ac:dyDescent="0.25">
      <c r="A4461">
        <v>2241</v>
      </c>
      <c r="B4461" t="s">
        <v>568</v>
      </c>
      <c r="C4461" t="s">
        <v>383</v>
      </c>
      <c r="D4461" t="str">
        <f t="shared" si="69"/>
        <v>IGAM3915</v>
      </c>
      <c r="E4461" t="s">
        <v>1637</v>
      </c>
    </row>
    <row r="4462" spans="1:5" hidden="1" x14ac:dyDescent="0.25">
      <c r="A4462">
        <v>2241</v>
      </c>
      <c r="B4462" t="s">
        <v>568</v>
      </c>
      <c r="C4462" t="s">
        <v>1639</v>
      </c>
      <c r="D4462" t="str">
        <f t="shared" si="69"/>
        <v>IGAM3917</v>
      </c>
      <c r="E4462" t="s">
        <v>1615</v>
      </c>
    </row>
    <row r="4463" spans="1:5" hidden="1" x14ac:dyDescent="0.25">
      <c r="A4463">
        <v>2241</v>
      </c>
      <c r="B4463" t="s">
        <v>568</v>
      </c>
      <c r="C4463" t="s">
        <v>1640</v>
      </c>
      <c r="D4463" t="str">
        <f t="shared" si="69"/>
        <v>IGAM3918</v>
      </c>
      <c r="E4463" t="s">
        <v>1615</v>
      </c>
    </row>
    <row r="4464" spans="1:5" hidden="1" x14ac:dyDescent="0.25">
      <c r="A4464">
        <v>2241</v>
      </c>
      <c r="B4464" t="s">
        <v>568</v>
      </c>
      <c r="C4464" t="s">
        <v>1641</v>
      </c>
      <c r="D4464" t="str">
        <f t="shared" si="69"/>
        <v>IGAM3919</v>
      </c>
      <c r="E4464" t="s">
        <v>2102</v>
      </c>
    </row>
    <row r="4465" spans="1:5" hidden="1" x14ac:dyDescent="0.25">
      <c r="A4465">
        <v>2241</v>
      </c>
      <c r="B4465" t="s">
        <v>568</v>
      </c>
      <c r="C4465" t="s">
        <v>1643</v>
      </c>
      <c r="D4465" t="str">
        <f t="shared" si="69"/>
        <v>IGAM3922</v>
      </c>
      <c r="E4465" t="s">
        <v>1611</v>
      </c>
    </row>
    <row r="4466" spans="1:5" hidden="1" x14ac:dyDescent="0.25">
      <c r="A4466">
        <v>2241</v>
      </c>
      <c r="B4466" t="s">
        <v>568</v>
      </c>
      <c r="C4466" t="s">
        <v>1644</v>
      </c>
      <c r="D4466" t="str">
        <f t="shared" si="69"/>
        <v>IGAM3924</v>
      </c>
      <c r="E4466" t="s">
        <v>1645</v>
      </c>
    </row>
    <row r="4467" spans="1:5" hidden="1" x14ac:dyDescent="0.25">
      <c r="A4467">
        <v>2241</v>
      </c>
      <c r="B4467" t="s">
        <v>568</v>
      </c>
      <c r="C4467" t="s">
        <v>437</v>
      </c>
      <c r="D4467" t="str">
        <f t="shared" si="69"/>
        <v>IGAM3925</v>
      </c>
      <c r="E4467" t="s">
        <v>1834</v>
      </c>
    </row>
    <row r="4468" spans="1:5" hidden="1" x14ac:dyDescent="0.25">
      <c r="A4468">
        <v>2241</v>
      </c>
      <c r="B4468" t="s">
        <v>568</v>
      </c>
      <c r="C4468" t="s">
        <v>442</v>
      </c>
      <c r="D4468" t="str">
        <f t="shared" si="69"/>
        <v>IGAM3926</v>
      </c>
      <c r="E4468" t="s">
        <v>1646</v>
      </c>
    </row>
    <row r="4469" spans="1:5" hidden="1" x14ac:dyDescent="0.25">
      <c r="A4469">
        <v>2241</v>
      </c>
      <c r="B4469" t="s">
        <v>568</v>
      </c>
      <c r="C4469" t="s">
        <v>1647</v>
      </c>
      <c r="D4469" t="str">
        <f t="shared" si="69"/>
        <v>IGAM3927</v>
      </c>
      <c r="E4469" t="s">
        <v>1648</v>
      </c>
    </row>
    <row r="4470" spans="1:5" hidden="1" x14ac:dyDescent="0.25">
      <c r="A4470">
        <v>2241</v>
      </c>
      <c r="B4470" t="s">
        <v>568</v>
      </c>
      <c r="C4470" t="s">
        <v>457</v>
      </c>
      <c r="D4470" t="str">
        <f t="shared" si="69"/>
        <v>IGAM3930</v>
      </c>
      <c r="E4470" t="s">
        <v>1646</v>
      </c>
    </row>
    <row r="4471" spans="1:5" hidden="1" x14ac:dyDescent="0.25">
      <c r="A4471">
        <v>2241</v>
      </c>
      <c r="B4471" t="s">
        <v>568</v>
      </c>
      <c r="C4471" t="s">
        <v>1650</v>
      </c>
      <c r="D4471" t="str">
        <f t="shared" si="69"/>
        <v>IGAM3931</v>
      </c>
      <c r="E4471" t="s">
        <v>1840</v>
      </c>
    </row>
    <row r="4472" spans="1:5" hidden="1" x14ac:dyDescent="0.25">
      <c r="A4472">
        <v>2241</v>
      </c>
      <c r="B4472" t="s">
        <v>568</v>
      </c>
      <c r="C4472" t="s">
        <v>465</v>
      </c>
      <c r="D4472" t="str">
        <f t="shared" si="69"/>
        <v>IGAM3933</v>
      </c>
      <c r="E4472" t="s">
        <v>1855</v>
      </c>
    </row>
    <row r="4473" spans="1:5" hidden="1" x14ac:dyDescent="0.25">
      <c r="A4473">
        <v>2241</v>
      </c>
      <c r="B4473" t="s">
        <v>568</v>
      </c>
      <c r="C4473" t="s">
        <v>1714</v>
      </c>
      <c r="D4473" t="str">
        <f t="shared" si="69"/>
        <v>IGAM3939</v>
      </c>
      <c r="E4473" t="s">
        <v>1856</v>
      </c>
    </row>
    <row r="4474" spans="1:5" hidden="1" x14ac:dyDescent="0.25">
      <c r="A4474">
        <v>2241</v>
      </c>
      <c r="B4474" t="s">
        <v>568</v>
      </c>
      <c r="C4474" t="s">
        <v>1653</v>
      </c>
      <c r="D4474" t="str">
        <f t="shared" si="69"/>
        <v>IGAM3940</v>
      </c>
      <c r="E4474" t="s">
        <v>1648</v>
      </c>
    </row>
    <row r="4475" spans="1:5" hidden="1" x14ac:dyDescent="0.25">
      <c r="A4475">
        <v>2241</v>
      </c>
      <c r="B4475" t="s">
        <v>568</v>
      </c>
      <c r="C4475" t="s">
        <v>479</v>
      </c>
      <c r="D4475" t="str">
        <f t="shared" si="69"/>
        <v>IGAM3941</v>
      </c>
      <c r="E4475" t="s">
        <v>1782</v>
      </c>
    </row>
    <row r="4476" spans="1:5" hidden="1" x14ac:dyDescent="0.25">
      <c r="A4476">
        <v>2241</v>
      </c>
      <c r="B4476" t="s">
        <v>568</v>
      </c>
      <c r="C4476" t="s">
        <v>1654</v>
      </c>
      <c r="D4476" t="str">
        <f t="shared" si="69"/>
        <v>IGAM3943</v>
      </c>
      <c r="E4476" t="s">
        <v>1615</v>
      </c>
    </row>
    <row r="4477" spans="1:5" hidden="1" x14ac:dyDescent="0.25">
      <c r="A4477">
        <v>2241</v>
      </c>
      <c r="B4477" t="s">
        <v>568</v>
      </c>
      <c r="C4477" t="s">
        <v>491</v>
      </c>
      <c r="D4477" t="str">
        <f t="shared" si="69"/>
        <v>IGAM3948</v>
      </c>
      <c r="E4477" t="s">
        <v>1645</v>
      </c>
    </row>
    <row r="4478" spans="1:5" hidden="1" x14ac:dyDescent="0.25">
      <c r="A4478">
        <v>2241</v>
      </c>
      <c r="B4478" t="s">
        <v>568</v>
      </c>
      <c r="C4478" t="s">
        <v>1701</v>
      </c>
      <c r="D4478" t="str">
        <f t="shared" si="69"/>
        <v>IGAM3952</v>
      </c>
      <c r="E4478" t="s">
        <v>64</v>
      </c>
    </row>
    <row r="4479" spans="1:5" hidden="1" x14ac:dyDescent="0.25">
      <c r="A4479">
        <v>2241</v>
      </c>
      <c r="B4479" t="s">
        <v>568</v>
      </c>
      <c r="C4479" t="s">
        <v>1660</v>
      </c>
      <c r="D4479" t="str">
        <f t="shared" si="69"/>
        <v>IGAM3970</v>
      </c>
      <c r="E4479" t="s">
        <v>1648</v>
      </c>
    </row>
    <row r="4480" spans="1:5" hidden="1" x14ac:dyDescent="0.25">
      <c r="A4480">
        <v>2241</v>
      </c>
      <c r="B4480" t="s">
        <v>568</v>
      </c>
      <c r="C4480" t="s">
        <v>1725</v>
      </c>
      <c r="D4480" t="str">
        <f t="shared" si="69"/>
        <v>IGAM3973</v>
      </c>
      <c r="E4480" t="s">
        <v>1785</v>
      </c>
    </row>
    <row r="4481" spans="1:5" hidden="1" x14ac:dyDescent="0.25">
      <c r="A4481">
        <v>2241</v>
      </c>
      <c r="B4481" t="s">
        <v>568</v>
      </c>
      <c r="C4481" t="s">
        <v>519</v>
      </c>
      <c r="D4481" t="str">
        <f t="shared" si="69"/>
        <v>IGAM3978</v>
      </c>
      <c r="E4481" t="s">
        <v>1630</v>
      </c>
    </row>
    <row r="4482" spans="1:5" hidden="1" x14ac:dyDescent="0.25">
      <c r="A4482">
        <v>2241</v>
      </c>
      <c r="B4482" t="s">
        <v>568</v>
      </c>
      <c r="C4482" t="s">
        <v>1661</v>
      </c>
      <c r="D4482" t="str">
        <f t="shared" si="69"/>
        <v>IGAM3987</v>
      </c>
      <c r="E4482" t="s">
        <v>1615</v>
      </c>
    </row>
    <row r="4483" spans="1:5" hidden="1" x14ac:dyDescent="0.25">
      <c r="A4483">
        <v>2241</v>
      </c>
      <c r="B4483" t="s">
        <v>568</v>
      </c>
      <c r="C4483" t="s">
        <v>1663</v>
      </c>
      <c r="D4483" t="str">
        <f t="shared" si="69"/>
        <v>IGAM3999</v>
      </c>
      <c r="E4483" t="s">
        <v>1857</v>
      </c>
    </row>
    <row r="4484" spans="1:5" hidden="1" x14ac:dyDescent="0.25">
      <c r="A4484">
        <v>2241</v>
      </c>
      <c r="B4484" t="s">
        <v>568</v>
      </c>
      <c r="C4484" t="s">
        <v>1664</v>
      </c>
      <c r="D4484" t="str">
        <f t="shared" si="69"/>
        <v>IGAM4002</v>
      </c>
      <c r="E4484" t="s">
        <v>1648</v>
      </c>
    </row>
    <row r="4485" spans="1:5" hidden="1" x14ac:dyDescent="0.25">
      <c r="A4485">
        <v>2241</v>
      </c>
      <c r="B4485" t="s">
        <v>568</v>
      </c>
      <c r="C4485" t="s">
        <v>1665</v>
      </c>
      <c r="D4485" t="str">
        <f t="shared" ref="D4485:D4548" si="70">CONCATENATE(B4485,LEFT(C4485,4))</f>
        <v>IGAM4003</v>
      </c>
      <c r="E4485" t="s">
        <v>93</v>
      </c>
    </row>
    <row r="4486" spans="1:5" hidden="1" x14ac:dyDescent="0.25">
      <c r="A4486">
        <v>2241</v>
      </c>
      <c r="B4486" t="s">
        <v>568</v>
      </c>
      <c r="C4486" t="s">
        <v>1666</v>
      </c>
      <c r="D4486" t="str">
        <f t="shared" si="70"/>
        <v>IGAM4004</v>
      </c>
      <c r="E4486" t="s">
        <v>1648</v>
      </c>
    </row>
    <row r="4487" spans="1:5" hidden="1" x14ac:dyDescent="0.25">
      <c r="A4487">
        <v>2241</v>
      </c>
      <c r="B4487" t="s">
        <v>568</v>
      </c>
      <c r="C4487" t="s">
        <v>1667</v>
      </c>
      <c r="D4487" t="str">
        <f t="shared" si="70"/>
        <v>IGAM4005</v>
      </c>
      <c r="E4487" t="s">
        <v>1648</v>
      </c>
    </row>
    <row r="4488" spans="1:5" hidden="1" x14ac:dyDescent="0.25">
      <c r="A4488">
        <v>2241</v>
      </c>
      <c r="B4488" t="s">
        <v>568</v>
      </c>
      <c r="C4488" t="s">
        <v>1698</v>
      </c>
      <c r="D4488" t="str">
        <f t="shared" si="70"/>
        <v>IGAM4006</v>
      </c>
      <c r="E4488" t="s">
        <v>1675</v>
      </c>
    </row>
    <row r="4489" spans="1:5" hidden="1" x14ac:dyDescent="0.25">
      <c r="A4489">
        <v>2241</v>
      </c>
      <c r="B4489" t="s">
        <v>568</v>
      </c>
      <c r="C4489" t="s">
        <v>1719</v>
      </c>
      <c r="D4489" t="str">
        <f t="shared" si="70"/>
        <v>IGAM4101</v>
      </c>
      <c r="E4489" t="s">
        <v>1858</v>
      </c>
    </row>
    <row r="4490" spans="1:5" hidden="1" x14ac:dyDescent="0.25">
      <c r="A4490">
        <v>2241</v>
      </c>
      <c r="B4490" t="s">
        <v>568</v>
      </c>
      <c r="C4490" t="s">
        <v>1749</v>
      </c>
      <c r="D4490" t="str">
        <f t="shared" si="70"/>
        <v>IGAM4201</v>
      </c>
      <c r="E4490" t="s">
        <v>1728</v>
      </c>
    </row>
    <row r="4491" spans="1:5" hidden="1" x14ac:dyDescent="0.25">
      <c r="A4491">
        <v>2241</v>
      </c>
      <c r="B4491" t="s">
        <v>568</v>
      </c>
      <c r="C4491" t="s">
        <v>1750</v>
      </c>
      <c r="D4491" t="str">
        <f t="shared" si="70"/>
        <v>IGAM4301</v>
      </c>
      <c r="E4491" t="s">
        <v>1751</v>
      </c>
    </row>
    <row r="4492" spans="1:5" hidden="1" x14ac:dyDescent="0.25">
      <c r="A4492">
        <v>2241</v>
      </c>
      <c r="B4492" t="s">
        <v>568</v>
      </c>
      <c r="C4492" t="s">
        <v>1668</v>
      </c>
      <c r="D4492" t="str">
        <f t="shared" si="70"/>
        <v>IGAM4701</v>
      </c>
      <c r="E4492" t="s">
        <v>1669</v>
      </c>
    </row>
    <row r="4493" spans="1:5" hidden="1" x14ac:dyDescent="0.25">
      <c r="A4493">
        <v>2241</v>
      </c>
      <c r="B4493" t="s">
        <v>568</v>
      </c>
      <c r="C4493" t="s">
        <v>264</v>
      </c>
      <c r="D4493" t="str">
        <f t="shared" si="70"/>
        <v>IGAM4703</v>
      </c>
      <c r="E4493" t="s">
        <v>1669</v>
      </c>
    </row>
    <row r="4494" spans="1:5" hidden="1" x14ac:dyDescent="0.25">
      <c r="A4494">
        <v>2241</v>
      </c>
      <c r="B4494" t="s">
        <v>568</v>
      </c>
      <c r="C4494" t="s">
        <v>315</v>
      </c>
      <c r="D4494" t="str">
        <f t="shared" si="70"/>
        <v>IGAM4706</v>
      </c>
      <c r="E4494" t="s">
        <v>1669</v>
      </c>
    </row>
    <row r="4495" spans="1:5" hidden="1" x14ac:dyDescent="0.25">
      <c r="A4495">
        <v>2241</v>
      </c>
      <c r="B4495" t="s">
        <v>568</v>
      </c>
      <c r="C4495" t="s">
        <v>363</v>
      </c>
      <c r="D4495" t="str">
        <f t="shared" si="70"/>
        <v>IGAM4799</v>
      </c>
      <c r="E4495" t="s">
        <v>1669</v>
      </c>
    </row>
    <row r="4496" spans="1:5" hidden="1" x14ac:dyDescent="0.25">
      <c r="A4496">
        <v>2241</v>
      </c>
      <c r="B4496" t="s">
        <v>568</v>
      </c>
      <c r="C4496" t="s">
        <v>241</v>
      </c>
      <c r="D4496" t="str">
        <f t="shared" si="70"/>
        <v>IGAM5201</v>
      </c>
      <c r="E4496" t="s">
        <v>1621</v>
      </c>
    </row>
    <row r="4497" spans="1:5" hidden="1" x14ac:dyDescent="0.25">
      <c r="A4497">
        <v>2241</v>
      </c>
      <c r="B4497" t="s">
        <v>568</v>
      </c>
      <c r="C4497" t="s">
        <v>1673</v>
      </c>
      <c r="D4497" t="str">
        <f t="shared" si="70"/>
        <v>IGAM5204</v>
      </c>
      <c r="E4497" t="s">
        <v>1674</v>
      </c>
    </row>
    <row r="4498" spans="1:5" hidden="1" x14ac:dyDescent="0.25">
      <c r="A4498">
        <v>2241</v>
      </c>
      <c r="B4498" t="s">
        <v>568</v>
      </c>
      <c r="C4498" t="s">
        <v>328</v>
      </c>
      <c r="D4498" t="str">
        <f t="shared" si="70"/>
        <v>IGAM5206</v>
      </c>
      <c r="E4498" t="s">
        <v>1675</v>
      </c>
    </row>
    <row r="4499" spans="1:5" hidden="1" x14ac:dyDescent="0.25">
      <c r="A4499">
        <v>2241</v>
      </c>
      <c r="B4499" t="s">
        <v>568</v>
      </c>
      <c r="C4499" t="s">
        <v>1676</v>
      </c>
      <c r="D4499" t="str">
        <f t="shared" si="70"/>
        <v>IGAM5207</v>
      </c>
      <c r="E4499" t="s">
        <v>1675</v>
      </c>
    </row>
    <row r="4500" spans="1:5" hidden="1" x14ac:dyDescent="0.25">
      <c r="A4500">
        <v>2241</v>
      </c>
      <c r="B4500" t="s">
        <v>568</v>
      </c>
      <c r="C4500" t="s">
        <v>1677</v>
      </c>
      <c r="D4500" t="str">
        <f t="shared" si="70"/>
        <v>IGAM5208</v>
      </c>
      <c r="E4500" t="s">
        <v>1675</v>
      </c>
    </row>
    <row r="4501" spans="1:5" hidden="1" x14ac:dyDescent="0.25">
      <c r="A4501">
        <v>2241</v>
      </c>
      <c r="B4501" t="s">
        <v>568</v>
      </c>
      <c r="C4501" t="s">
        <v>1678</v>
      </c>
      <c r="D4501" t="str">
        <f t="shared" si="70"/>
        <v>IGAM5210</v>
      </c>
      <c r="E4501" t="s">
        <v>1674</v>
      </c>
    </row>
    <row r="4502" spans="1:5" hidden="1" x14ac:dyDescent="0.25">
      <c r="A4502">
        <v>2241</v>
      </c>
      <c r="B4502" t="s">
        <v>568</v>
      </c>
      <c r="C4502" t="s">
        <v>1679</v>
      </c>
      <c r="D4502" t="str">
        <f t="shared" si="70"/>
        <v>IGAM5212</v>
      </c>
      <c r="E4502" t="s">
        <v>1674</v>
      </c>
    </row>
    <row r="4503" spans="1:5" hidden="1" x14ac:dyDescent="0.25">
      <c r="A4503">
        <v>2241</v>
      </c>
      <c r="B4503" t="s">
        <v>568</v>
      </c>
      <c r="C4503" t="s">
        <v>408</v>
      </c>
      <c r="D4503" t="str">
        <f t="shared" si="70"/>
        <v>IGAM5217</v>
      </c>
      <c r="E4503" t="s">
        <v>1674</v>
      </c>
    </row>
    <row r="4504" spans="1:5" hidden="1" x14ac:dyDescent="0.25">
      <c r="A4504">
        <v>2241</v>
      </c>
      <c r="B4504" t="s">
        <v>568</v>
      </c>
      <c r="C4504" t="s">
        <v>433</v>
      </c>
      <c r="D4504" t="str">
        <f t="shared" si="70"/>
        <v>IGAM5222</v>
      </c>
      <c r="E4504" t="s">
        <v>1674</v>
      </c>
    </row>
    <row r="4505" spans="1:5" hidden="1" x14ac:dyDescent="0.25">
      <c r="A4505">
        <v>2241</v>
      </c>
      <c r="B4505" t="s">
        <v>568</v>
      </c>
      <c r="C4505" t="s">
        <v>448</v>
      </c>
      <c r="D4505" t="str">
        <f t="shared" si="70"/>
        <v>IGAM5225</v>
      </c>
      <c r="E4505" t="s">
        <v>1674</v>
      </c>
    </row>
    <row r="4506" spans="1:5" hidden="1" x14ac:dyDescent="0.25">
      <c r="A4506">
        <v>2241</v>
      </c>
      <c r="B4506" t="s">
        <v>568</v>
      </c>
      <c r="C4506" t="s">
        <v>1700</v>
      </c>
      <c r="D4506" t="str">
        <f t="shared" si="70"/>
        <v>IGAM5230</v>
      </c>
      <c r="E4506" t="s">
        <v>1674</v>
      </c>
    </row>
    <row r="4507" spans="1:5" hidden="1" x14ac:dyDescent="0.25">
      <c r="A4507">
        <v>2241</v>
      </c>
      <c r="B4507" t="s">
        <v>568</v>
      </c>
      <c r="C4507" t="s">
        <v>1684</v>
      </c>
      <c r="D4507" t="str">
        <f t="shared" si="70"/>
        <v>IGAM9202</v>
      </c>
      <c r="E4507" t="s">
        <v>1685</v>
      </c>
    </row>
    <row r="4508" spans="1:5" hidden="1" x14ac:dyDescent="0.25">
      <c r="A4508">
        <v>2241</v>
      </c>
      <c r="B4508" t="s">
        <v>568</v>
      </c>
      <c r="C4508" t="s">
        <v>330</v>
      </c>
      <c r="D4508" t="str">
        <f t="shared" si="70"/>
        <v>IGAM9306</v>
      </c>
      <c r="E4508" t="s">
        <v>1686</v>
      </c>
    </row>
    <row r="4509" spans="1:5" hidden="1" x14ac:dyDescent="0.25">
      <c r="A4509">
        <v>2241</v>
      </c>
      <c r="B4509" t="s">
        <v>568</v>
      </c>
      <c r="C4509" t="s">
        <v>366</v>
      </c>
      <c r="D4509" t="str">
        <f t="shared" si="70"/>
        <v>IGAM9310</v>
      </c>
      <c r="E4509" t="s">
        <v>1859</v>
      </c>
    </row>
    <row r="4510" spans="1:5" hidden="1" x14ac:dyDescent="0.25">
      <c r="A4510">
        <v>2241</v>
      </c>
      <c r="B4510" t="s">
        <v>568</v>
      </c>
      <c r="C4510" t="s">
        <v>1687</v>
      </c>
      <c r="D4510" t="str">
        <f t="shared" si="70"/>
        <v>IGAM9399</v>
      </c>
      <c r="E4510" t="s">
        <v>1791</v>
      </c>
    </row>
    <row r="4511" spans="1:5" hidden="1" x14ac:dyDescent="0.25">
      <c r="A4511">
        <v>2241</v>
      </c>
      <c r="B4511" t="s">
        <v>568</v>
      </c>
      <c r="C4511" t="s">
        <v>1634</v>
      </c>
      <c r="D4511" t="str">
        <f t="shared" si="70"/>
        <v>IGAM3903</v>
      </c>
      <c r="E4511" t="s">
        <v>1623</v>
      </c>
    </row>
    <row r="4512" spans="1:5" hidden="1" x14ac:dyDescent="0.25">
      <c r="A4512">
        <v>2241</v>
      </c>
      <c r="B4512" t="s">
        <v>568</v>
      </c>
      <c r="C4512" t="s">
        <v>439</v>
      </c>
      <c r="D4512" t="str">
        <f t="shared" si="70"/>
        <v>IGAM9326</v>
      </c>
      <c r="E4512" t="s">
        <v>1623</v>
      </c>
    </row>
    <row r="4513" spans="1:5" hidden="1" x14ac:dyDescent="0.25">
      <c r="A4513">
        <v>2251</v>
      </c>
      <c r="B4513" t="s">
        <v>572</v>
      </c>
      <c r="C4513" t="s">
        <v>1597</v>
      </c>
      <c r="D4513" t="str">
        <f t="shared" si="70"/>
        <v>JUCEMG1401</v>
      </c>
      <c r="E4513" t="s">
        <v>43</v>
      </c>
    </row>
    <row r="4514" spans="1:5" hidden="1" x14ac:dyDescent="0.25">
      <c r="A4514">
        <v>2251</v>
      </c>
      <c r="B4514" t="s">
        <v>572</v>
      </c>
      <c r="C4514" t="s">
        <v>1601</v>
      </c>
      <c r="D4514" t="str">
        <f t="shared" si="70"/>
        <v>JUCEMG3003</v>
      </c>
      <c r="E4514" t="s">
        <v>1600</v>
      </c>
    </row>
    <row r="4515" spans="1:5" hidden="1" x14ac:dyDescent="0.25">
      <c r="A4515">
        <v>2251</v>
      </c>
      <c r="B4515" t="s">
        <v>572</v>
      </c>
      <c r="C4515" t="s">
        <v>1603</v>
      </c>
      <c r="D4515" t="str">
        <f t="shared" si="70"/>
        <v>JUCEMG3005</v>
      </c>
      <c r="E4515" t="s">
        <v>1600</v>
      </c>
    </row>
    <row r="4516" spans="1:5" hidden="1" x14ac:dyDescent="0.25">
      <c r="A4516">
        <v>2251</v>
      </c>
      <c r="B4516" t="s">
        <v>572</v>
      </c>
      <c r="C4516" t="s">
        <v>1604</v>
      </c>
      <c r="D4516" t="str">
        <f t="shared" si="70"/>
        <v>JUCEMG3008</v>
      </c>
      <c r="E4516" t="s">
        <v>1600</v>
      </c>
    </row>
    <row r="4517" spans="1:5" hidden="1" x14ac:dyDescent="0.25">
      <c r="A4517">
        <v>2251</v>
      </c>
      <c r="B4517" t="s">
        <v>572</v>
      </c>
      <c r="C4517" t="s">
        <v>1605</v>
      </c>
      <c r="D4517" t="str">
        <f t="shared" si="70"/>
        <v>JUCEMG3010</v>
      </c>
      <c r="E4517" t="s">
        <v>1606</v>
      </c>
    </row>
    <row r="4518" spans="1:5" hidden="1" x14ac:dyDescent="0.25">
      <c r="A4518">
        <v>2251</v>
      </c>
      <c r="B4518" t="s">
        <v>572</v>
      </c>
      <c r="C4518" t="s">
        <v>1608</v>
      </c>
      <c r="D4518" t="str">
        <f t="shared" si="70"/>
        <v>JUCEMG3015</v>
      </c>
      <c r="E4518" t="s">
        <v>1600</v>
      </c>
    </row>
    <row r="4519" spans="1:5" hidden="1" x14ac:dyDescent="0.25">
      <c r="A4519">
        <v>2251</v>
      </c>
      <c r="B4519" t="s">
        <v>572</v>
      </c>
      <c r="C4519" t="s">
        <v>1609</v>
      </c>
      <c r="D4519" t="str">
        <f t="shared" si="70"/>
        <v>JUCEMG3016</v>
      </c>
      <c r="E4519" t="s">
        <v>1600</v>
      </c>
    </row>
    <row r="4520" spans="1:5" hidden="1" x14ac:dyDescent="0.25">
      <c r="A4520">
        <v>2251</v>
      </c>
      <c r="B4520" t="s">
        <v>572</v>
      </c>
      <c r="C4520" t="s">
        <v>1612</v>
      </c>
      <c r="D4520" t="str">
        <f t="shared" si="70"/>
        <v>JUCEMG3020</v>
      </c>
      <c r="E4520" t="s">
        <v>1600</v>
      </c>
    </row>
    <row r="4521" spans="1:5" hidden="1" x14ac:dyDescent="0.25">
      <c r="A4521">
        <v>2251</v>
      </c>
      <c r="B4521" t="s">
        <v>572</v>
      </c>
      <c r="C4521" t="s">
        <v>430</v>
      </c>
      <c r="D4521" t="str">
        <f t="shared" si="70"/>
        <v>JUCEMG3022</v>
      </c>
      <c r="E4521" t="s">
        <v>1600</v>
      </c>
    </row>
    <row r="4522" spans="1:5" hidden="1" x14ac:dyDescent="0.25">
      <c r="A4522">
        <v>2251</v>
      </c>
      <c r="B4522" t="s">
        <v>572</v>
      </c>
      <c r="C4522" t="s">
        <v>440</v>
      </c>
      <c r="D4522" t="str">
        <f t="shared" si="70"/>
        <v>JUCEMG3024</v>
      </c>
      <c r="E4522" t="s">
        <v>1600</v>
      </c>
    </row>
    <row r="4523" spans="1:5" hidden="1" x14ac:dyDescent="0.25">
      <c r="A4523">
        <v>2251</v>
      </c>
      <c r="B4523" t="s">
        <v>572</v>
      </c>
      <c r="C4523" t="s">
        <v>1617</v>
      </c>
      <c r="D4523" t="str">
        <f t="shared" si="70"/>
        <v>JUCEMG3026</v>
      </c>
      <c r="E4523" t="s">
        <v>1615</v>
      </c>
    </row>
    <row r="4524" spans="1:5" hidden="1" x14ac:dyDescent="0.25">
      <c r="A4524">
        <v>2251</v>
      </c>
      <c r="B4524" t="s">
        <v>572</v>
      </c>
      <c r="C4524" t="s">
        <v>1618</v>
      </c>
      <c r="D4524" t="str">
        <f t="shared" si="70"/>
        <v>JUCEMG3027</v>
      </c>
      <c r="E4524" t="s">
        <v>1600</v>
      </c>
    </row>
    <row r="4525" spans="1:5" hidden="1" x14ac:dyDescent="0.25">
      <c r="A4525">
        <v>2251</v>
      </c>
      <c r="B4525" t="s">
        <v>572</v>
      </c>
      <c r="C4525" t="s">
        <v>466</v>
      </c>
      <c r="D4525" t="str">
        <f t="shared" si="70"/>
        <v>JUCEMG3030</v>
      </c>
      <c r="E4525" t="s">
        <v>1600</v>
      </c>
    </row>
    <row r="4526" spans="1:5" hidden="1" x14ac:dyDescent="0.25">
      <c r="A4526">
        <v>2251</v>
      </c>
      <c r="B4526" t="s">
        <v>572</v>
      </c>
      <c r="C4526" t="s">
        <v>490</v>
      </c>
      <c r="D4526" t="str">
        <f t="shared" si="70"/>
        <v>JUCEMG3099</v>
      </c>
      <c r="E4526" t="s">
        <v>1600</v>
      </c>
    </row>
    <row r="4527" spans="1:5" hidden="1" x14ac:dyDescent="0.25">
      <c r="A4527">
        <v>2251</v>
      </c>
      <c r="B4527" t="s">
        <v>572</v>
      </c>
      <c r="C4527" t="s">
        <v>53</v>
      </c>
      <c r="D4527" t="str">
        <f t="shared" si="70"/>
        <v>JUCEMG3301</v>
      </c>
      <c r="E4527" t="s">
        <v>43</v>
      </c>
    </row>
    <row r="4528" spans="1:5" hidden="1" x14ac:dyDescent="0.25">
      <c r="A4528">
        <v>2251</v>
      </c>
      <c r="B4528" t="s">
        <v>572</v>
      </c>
      <c r="C4528" t="s">
        <v>1626</v>
      </c>
      <c r="D4528" t="str">
        <f t="shared" si="70"/>
        <v>JUCEMG3302</v>
      </c>
      <c r="E4528" t="s">
        <v>43</v>
      </c>
    </row>
    <row r="4529" spans="1:5" hidden="1" x14ac:dyDescent="0.25">
      <c r="A4529">
        <v>2251</v>
      </c>
      <c r="B4529" t="s">
        <v>572</v>
      </c>
      <c r="C4529" t="s">
        <v>1627</v>
      </c>
      <c r="D4529" t="str">
        <f t="shared" si="70"/>
        <v>JUCEMG3304</v>
      </c>
      <c r="E4529" t="s">
        <v>43</v>
      </c>
    </row>
    <row r="4530" spans="1:5" hidden="1" x14ac:dyDescent="0.25">
      <c r="A4530">
        <v>2251</v>
      </c>
      <c r="B4530" t="s">
        <v>572</v>
      </c>
      <c r="C4530" t="s">
        <v>308</v>
      </c>
      <c r="D4530" t="str">
        <f t="shared" si="70"/>
        <v>JUCEMG3305</v>
      </c>
      <c r="E4530" t="s">
        <v>1623</v>
      </c>
    </row>
    <row r="4531" spans="1:5" hidden="1" x14ac:dyDescent="0.25">
      <c r="A4531">
        <v>2251</v>
      </c>
      <c r="B4531" t="s">
        <v>572</v>
      </c>
      <c r="C4531" t="s">
        <v>296</v>
      </c>
      <c r="D4531" t="str">
        <f t="shared" si="70"/>
        <v>JUCEMG3604</v>
      </c>
      <c r="E4531" t="s">
        <v>43</v>
      </c>
    </row>
    <row r="4532" spans="1:5" hidden="1" x14ac:dyDescent="0.25">
      <c r="A4532">
        <v>2251</v>
      </c>
      <c r="B4532" t="s">
        <v>572</v>
      </c>
      <c r="C4532" t="s">
        <v>354</v>
      </c>
      <c r="D4532" t="str">
        <f t="shared" si="70"/>
        <v>JUCEMG3610</v>
      </c>
      <c r="E4532" t="s">
        <v>1623</v>
      </c>
    </row>
    <row r="4533" spans="1:5" hidden="1" x14ac:dyDescent="0.25">
      <c r="A4533">
        <v>2251</v>
      </c>
      <c r="B4533" t="s">
        <v>572</v>
      </c>
      <c r="C4533" t="s">
        <v>1628</v>
      </c>
      <c r="D4533" t="str">
        <f t="shared" si="70"/>
        <v>JUCEMG3612</v>
      </c>
      <c r="E4533" t="s">
        <v>1623</v>
      </c>
    </row>
    <row r="4534" spans="1:5" hidden="1" x14ac:dyDescent="0.25">
      <c r="A4534">
        <v>2251</v>
      </c>
      <c r="B4534" t="s">
        <v>572</v>
      </c>
      <c r="C4534" t="s">
        <v>467</v>
      </c>
      <c r="D4534" t="str">
        <f t="shared" si="70"/>
        <v>JUCEMG3631</v>
      </c>
      <c r="E4534" t="s">
        <v>1645</v>
      </c>
    </row>
    <row r="4535" spans="1:5" hidden="1" x14ac:dyDescent="0.25">
      <c r="A4535">
        <v>2251</v>
      </c>
      <c r="B4535" t="s">
        <v>572</v>
      </c>
      <c r="C4535" t="s">
        <v>1629</v>
      </c>
      <c r="D4535" t="str">
        <f t="shared" si="70"/>
        <v>JUCEMG3701</v>
      </c>
      <c r="E4535" t="s">
        <v>102</v>
      </c>
    </row>
    <row r="4536" spans="1:5" hidden="1" x14ac:dyDescent="0.25">
      <c r="A4536">
        <v>2251</v>
      </c>
      <c r="B4536" t="s">
        <v>572</v>
      </c>
      <c r="C4536" t="s">
        <v>1693</v>
      </c>
      <c r="D4536" t="str">
        <f t="shared" si="70"/>
        <v>JUCEMG3702</v>
      </c>
      <c r="E4536" t="s">
        <v>1630</v>
      </c>
    </row>
    <row r="4537" spans="1:5" hidden="1" x14ac:dyDescent="0.25">
      <c r="A4537">
        <v>2251</v>
      </c>
      <c r="B4537" t="s">
        <v>572</v>
      </c>
      <c r="C4537" t="s">
        <v>1632</v>
      </c>
      <c r="D4537" t="str">
        <f t="shared" si="70"/>
        <v>JUCEMG3704</v>
      </c>
      <c r="E4537" t="s">
        <v>116</v>
      </c>
    </row>
    <row r="4538" spans="1:5" hidden="1" x14ac:dyDescent="0.25">
      <c r="A4538">
        <v>2251</v>
      </c>
      <c r="B4538" t="s">
        <v>572</v>
      </c>
      <c r="C4538" t="s">
        <v>325</v>
      </c>
      <c r="D4538" t="str">
        <f t="shared" si="70"/>
        <v>JUCEMG3906</v>
      </c>
      <c r="E4538" t="s">
        <v>1623</v>
      </c>
    </row>
    <row r="4539" spans="1:5" hidden="1" x14ac:dyDescent="0.25">
      <c r="A4539">
        <v>2251</v>
      </c>
      <c r="B4539" t="s">
        <v>572</v>
      </c>
      <c r="C4539" t="s">
        <v>1635</v>
      </c>
      <c r="D4539" t="str">
        <f t="shared" si="70"/>
        <v>JUCEMG3908</v>
      </c>
      <c r="E4539" t="s">
        <v>1623</v>
      </c>
    </row>
    <row r="4540" spans="1:5" hidden="1" x14ac:dyDescent="0.25">
      <c r="A4540">
        <v>2251</v>
      </c>
      <c r="B4540" t="s">
        <v>572</v>
      </c>
      <c r="C4540" t="s">
        <v>345</v>
      </c>
      <c r="D4540" t="str">
        <f t="shared" si="70"/>
        <v>JUCEMG3910</v>
      </c>
      <c r="E4540" t="s">
        <v>1623</v>
      </c>
    </row>
    <row r="4541" spans="1:5" hidden="1" x14ac:dyDescent="0.25">
      <c r="A4541">
        <v>2251</v>
      </c>
      <c r="B4541" t="s">
        <v>572</v>
      </c>
      <c r="C4541" t="s">
        <v>355</v>
      </c>
      <c r="D4541" t="str">
        <f t="shared" si="70"/>
        <v>JUCEMG3911</v>
      </c>
      <c r="E4541" t="s">
        <v>1623</v>
      </c>
    </row>
    <row r="4542" spans="1:5" hidden="1" x14ac:dyDescent="0.25">
      <c r="A4542">
        <v>2251</v>
      </c>
      <c r="B4542" t="s">
        <v>572</v>
      </c>
      <c r="C4542" t="s">
        <v>1636</v>
      </c>
      <c r="D4542" t="str">
        <f t="shared" si="70"/>
        <v>JUCEMG3912</v>
      </c>
      <c r="E4542" t="s">
        <v>1637</v>
      </c>
    </row>
    <row r="4543" spans="1:5" hidden="1" x14ac:dyDescent="0.25">
      <c r="A4543">
        <v>2251</v>
      </c>
      <c r="B4543" t="s">
        <v>572</v>
      </c>
      <c r="C4543" t="s">
        <v>1638</v>
      </c>
      <c r="D4543" t="str">
        <f t="shared" si="70"/>
        <v>JUCEMG3913</v>
      </c>
      <c r="E4543" t="s">
        <v>1637</v>
      </c>
    </row>
    <row r="4544" spans="1:5" hidden="1" x14ac:dyDescent="0.25">
      <c r="A4544">
        <v>2251</v>
      </c>
      <c r="B4544" t="s">
        <v>572</v>
      </c>
      <c r="C4544" t="s">
        <v>383</v>
      </c>
      <c r="D4544" t="str">
        <f t="shared" si="70"/>
        <v>JUCEMG3915</v>
      </c>
      <c r="E4544" t="s">
        <v>1637</v>
      </c>
    </row>
    <row r="4545" spans="1:5" hidden="1" x14ac:dyDescent="0.25">
      <c r="A4545">
        <v>2251</v>
      </c>
      <c r="B4545" t="s">
        <v>572</v>
      </c>
      <c r="C4545" t="s">
        <v>1639</v>
      </c>
      <c r="D4545" t="str">
        <f t="shared" si="70"/>
        <v>JUCEMG3917</v>
      </c>
      <c r="E4545" t="s">
        <v>1615</v>
      </c>
    </row>
    <row r="4546" spans="1:5" hidden="1" x14ac:dyDescent="0.25">
      <c r="A4546">
        <v>2251</v>
      </c>
      <c r="B4546" t="s">
        <v>572</v>
      </c>
      <c r="C4546" t="s">
        <v>1641</v>
      </c>
      <c r="D4546" t="str">
        <f t="shared" si="70"/>
        <v>JUCEMG3919</v>
      </c>
      <c r="E4546" t="s">
        <v>2102</v>
      </c>
    </row>
    <row r="4547" spans="1:5" hidden="1" x14ac:dyDescent="0.25">
      <c r="A4547">
        <v>2251</v>
      </c>
      <c r="B4547" t="s">
        <v>572</v>
      </c>
      <c r="C4547" t="s">
        <v>1694</v>
      </c>
      <c r="D4547" t="str">
        <f t="shared" si="70"/>
        <v>JUCEMG3920</v>
      </c>
      <c r="E4547" t="s">
        <v>1692</v>
      </c>
    </row>
    <row r="4548" spans="1:5" hidden="1" x14ac:dyDescent="0.25">
      <c r="A4548">
        <v>2251</v>
      </c>
      <c r="B4548" t="s">
        <v>572</v>
      </c>
      <c r="C4548" t="s">
        <v>1642</v>
      </c>
      <c r="D4548" t="str">
        <f t="shared" si="70"/>
        <v>JUCEMG3921</v>
      </c>
      <c r="E4548" t="s">
        <v>2102</v>
      </c>
    </row>
    <row r="4549" spans="1:5" hidden="1" x14ac:dyDescent="0.25">
      <c r="A4549">
        <v>2251</v>
      </c>
      <c r="B4549" t="s">
        <v>572</v>
      </c>
      <c r="C4549" t="s">
        <v>1643</v>
      </c>
      <c r="D4549" t="str">
        <f t="shared" ref="D4549:D4612" si="71">CONCATENATE(B4549,LEFT(C4549,4))</f>
        <v>JUCEMG3922</v>
      </c>
      <c r="E4549" t="s">
        <v>1611</v>
      </c>
    </row>
    <row r="4550" spans="1:5" hidden="1" x14ac:dyDescent="0.25">
      <c r="A4550">
        <v>2251</v>
      </c>
      <c r="B4550" t="s">
        <v>572</v>
      </c>
      <c r="C4550" t="s">
        <v>437</v>
      </c>
      <c r="D4550" t="str">
        <f t="shared" si="71"/>
        <v>JUCEMG3925</v>
      </c>
      <c r="E4550" t="s">
        <v>1646</v>
      </c>
    </row>
    <row r="4551" spans="1:5" hidden="1" x14ac:dyDescent="0.25">
      <c r="A4551">
        <v>2251</v>
      </c>
      <c r="B4551" t="s">
        <v>572</v>
      </c>
      <c r="C4551" t="s">
        <v>442</v>
      </c>
      <c r="D4551" t="str">
        <f t="shared" si="71"/>
        <v>JUCEMG3926</v>
      </c>
      <c r="E4551" t="s">
        <v>1646</v>
      </c>
    </row>
    <row r="4552" spans="1:5" hidden="1" x14ac:dyDescent="0.25">
      <c r="A4552">
        <v>2251</v>
      </c>
      <c r="B4552" t="s">
        <v>572</v>
      </c>
      <c r="C4552" t="s">
        <v>1647</v>
      </c>
      <c r="D4552" t="str">
        <f t="shared" si="71"/>
        <v>JUCEMG3927</v>
      </c>
      <c r="E4552" t="s">
        <v>1648</v>
      </c>
    </row>
    <row r="4553" spans="1:5" hidden="1" x14ac:dyDescent="0.25">
      <c r="A4553">
        <v>2251</v>
      </c>
      <c r="B4553" t="s">
        <v>572</v>
      </c>
      <c r="C4553" t="s">
        <v>1650</v>
      </c>
      <c r="D4553" t="str">
        <f t="shared" si="71"/>
        <v>JUCEMG3931</v>
      </c>
      <c r="E4553" t="s">
        <v>1623</v>
      </c>
    </row>
    <row r="4554" spans="1:5" hidden="1" x14ac:dyDescent="0.25">
      <c r="A4554">
        <v>2251</v>
      </c>
      <c r="B4554" t="s">
        <v>572</v>
      </c>
      <c r="C4554" t="s">
        <v>1652</v>
      </c>
      <c r="D4554" t="str">
        <f t="shared" si="71"/>
        <v>JUCEMG3936</v>
      </c>
      <c r="E4554" t="s">
        <v>93</v>
      </c>
    </row>
    <row r="4555" spans="1:5" hidden="1" x14ac:dyDescent="0.25">
      <c r="A4555">
        <v>2251</v>
      </c>
      <c r="B4555" t="s">
        <v>572</v>
      </c>
      <c r="C4555" t="s">
        <v>1714</v>
      </c>
      <c r="D4555" t="str">
        <f t="shared" si="71"/>
        <v>JUCEMG3939</v>
      </c>
      <c r="E4555" t="s">
        <v>1623</v>
      </c>
    </row>
    <row r="4556" spans="1:5" hidden="1" x14ac:dyDescent="0.25">
      <c r="A4556">
        <v>2251</v>
      </c>
      <c r="B4556" t="s">
        <v>572</v>
      </c>
      <c r="C4556" t="s">
        <v>1653</v>
      </c>
      <c r="D4556" t="str">
        <f t="shared" si="71"/>
        <v>JUCEMG3940</v>
      </c>
      <c r="E4556" t="s">
        <v>1648</v>
      </c>
    </row>
    <row r="4557" spans="1:5" hidden="1" x14ac:dyDescent="0.25">
      <c r="A4557">
        <v>2251</v>
      </c>
      <c r="B4557" t="s">
        <v>572</v>
      </c>
      <c r="C4557" t="s">
        <v>481</v>
      </c>
      <c r="D4557" t="str">
        <f t="shared" si="71"/>
        <v>JUCEMG3942</v>
      </c>
      <c r="E4557" t="s">
        <v>1623</v>
      </c>
    </row>
    <row r="4558" spans="1:5" hidden="1" x14ac:dyDescent="0.25">
      <c r="A4558">
        <v>2251</v>
      </c>
      <c r="B4558" t="s">
        <v>572</v>
      </c>
      <c r="C4558" t="s">
        <v>1654</v>
      </c>
      <c r="D4558" t="str">
        <f t="shared" si="71"/>
        <v>JUCEMG3943</v>
      </c>
      <c r="E4558" t="s">
        <v>1615</v>
      </c>
    </row>
    <row r="4559" spans="1:5" hidden="1" x14ac:dyDescent="0.25">
      <c r="A4559">
        <v>2251</v>
      </c>
      <c r="B4559" t="s">
        <v>572</v>
      </c>
      <c r="C4559" t="s">
        <v>1701</v>
      </c>
      <c r="D4559" t="str">
        <f t="shared" si="71"/>
        <v>JUCEMG3952</v>
      </c>
      <c r="E4559" t="s">
        <v>64</v>
      </c>
    </row>
    <row r="4560" spans="1:5" hidden="1" x14ac:dyDescent="0.25">
      <c r="A4560">
        <v>2251</v>
      </c>
      <c r="B4560" t="s">
        <v>572</v>
      </c>
      <c r="C4560" t="s">
        <v>495</v>
      </c>
      <c r="D4560" t="str">
        <f t="shared" si="71"/>
        <v>JUCEMG3953</v>
      </c>
      <c r="E4560" t="s">
        <v>1645</v>
      </c>
    </row>
    <row r="4561" spans="1:5" hidden="1" x14ac:dyDescent="0.25">
      <c r="A4561">
        <v>2251</v>
      </c>
      <c r="B4561" t="s">
        <v>572</v>
      </c>
      <c r="C4561" t="s">
        <v>1656</v>
      </c>
      <c r="D4561" t="str">
        <f t="shared" si="71"/>
        <v>JUCEMG3959</v>
      </c>
      <c r="E4561" t="s">
        <v>1623</v>
      </c>
    </row>
    <row r="4562" spans="1:5" hidden="1" x14ac:dyDescent="0.25">
      <c r="A4562">
        <v>2251</v>
      </c>
      <c r="B4562" t="s">
        <v>572</v>
      </c>
      <c r="C4562" t="s">
        <v>1660</v>
      </c>
      <c r="D4562" t="str">
        <f t="shared" si="71"/>
        <v>JUCEMG3970</v>
      </c>
      <c r="E4562" t="s">
        <v>1648</v>
      </c>
    </row>
    <row r="4563" spans="1:5" hidden="1" x14ac:dyDescent="0.25">
      <c r="A4563">
        <v>2251</v>
      </c>
      <c r="B4563" t="s">
        <v>572</v>
      </c>
      <c r="C4563" t="s">
        <v>519</v>
      </c>
      <c r="D4563" t="str">
        <f t="shared" si="71"/>
        <v>JUCEMG3978</v>
      </c>
      <c r="E4563" t="s">
        <v>1630</v>
      </c>
    </row>
    <row r="4564" spans="1:5" hidden="1" x14ac:dyDescent="0.25">
      <c r="A4564">
        <v>2251</v>
      </c>
      <c r="B4564" t="s">
        <v>572</v>
      </c>
      <c r="C4564" t="s">
        <v>1663</v>
      </c>
      <c r="D4564" t="str">
        <f t="shared" si="71"/>
        <v>JUCEMG3999</v>
      </c>
      <c r="E4564" t="s">
        <v>1623</v>
      </c>
    </row>
    <row r="4565" spans="1:5" hidden="1" x14ac:dyDescent="0.25">
      <c r="A4565">
        <v>2251</v>
      </c>
      <c r="B4565" t="s">
        <v>572</v>
      </c>
      <c r="C4565" t="s">
        <v>1664</v>
      </c>
      <c r="D4565" t="str">
        <f t="shared" si="71"/>
        <v>JUCEMG4002</v>
      </c>
      <c r="E4565" t="s">
        <v>1648</v>
      </c>
    </row>
    <row r="4566" spans="1:5" hidden="1" x14ac:dyDescent="0.25">
      <c r="A4566">
        <v>2251</v>
      </c>
      <c r="B4566" t="s">
        <v>572</v>
      </c>
      <c r="C4566" t="s">
        <v>1665</v>
      </c>
      <c r="D4566" t="str">
        <f t="shared" si="71"/>
        <v>JUCEMG4003</v>
      </c>
      <c r="E4566" t="s">
        <v>93</v>
      </c>
    </row>
    <row r="4567" spans="1:5" hidden="1" x14ac:dyDescent="0.25">
      <c r="A4567">
        <v>2251</v>
      </c>
      <c r="B4567" t="s">
        <v>572</v>
      </c>
      <c r="C4567" t="s">
        <v>1666</v>
      </c>
      <c r="D4567" t="str">
        <f t="shared" si="71"/>
        <v>JUCEMG4004</v>
      </c>
      <c r="E4567" t="s">
        <v>1648</v>
      </c>
    </row>
    <row r="4568" spans="1:5" hidden="1" x14ac:dyDescent="0.25">
      <c r="A4568">
        <v>2251</v>
      </c>
      <c r="B4568" t="s">
        <v>572</v>
      </c>
      <c r="C4568" t="s">
        <v>1667</v>
      </c>
      <c r="D4568" t="str">
        <f t="shared" si="71"/>
        <v>JUCEMG4005</v>
      </c>
      <c r="E4568" t="s">
        <v>1648</v>
      </c>
    </row>
    <row r="4569" spans="1:5" hidden="1" x14ac:dyDescent="0.25">
      <c r="A4569">
        <v>2251</v>
      </c>
      <c r="B4569" t="s">
        <v>572</v>
      </c>
      <c r="C4569" t="s">
        <v>1698</v>
      </c>
      <c r="D4569" t="str">
        <f t="shared" si="71"/>
        <v>JUCEMG4006</v>
      </c>
      <c r="E4569" t="s">
        <v>1675</v>
      </c>
    </row>
    <row r="4570" spans="1:5" hidden="1" x14ac:dyDescent="0.25">
      <c r="A4570">
        <v>2251</v>
      </c>
      <c r="B4570" t="s">
        <v>572</v>
      </c>
      <c r="C4570" t="s">
        <v>1794</v>
      </c>
      <c r="D4570" t="str">
        <f t="shared" si="71"/>
        <v>JUCEMG4602</v>
      </c>
      <c r="E4570" t="s">
        <v>1596</v>
      </c>
    </row>
    <row r="4571" spans="1:5" hidden="1" x14ac:dyDescent="0.25">
      <c r="A4571">
        <v>2251</v>
      </c>
      <c r="B4571" t="s">
        <v>572</v>
      </c>
      <c r="C4571" t="s">
        <v>1668</v>
      </c>
      <c r="D4571" t="str">
        <f t="shared" si="71"/>
        <v>JUCEMG4701</v>
      </c>
      <c r="E4571" t="s">
        <v>1669</v>
      </c>
    </row>
    <row r="4572" spans="1:5" hidden="1" x14ac:dyDescent="0.25">
      <c r="A4572">
        <v>2251</v>
      </c>
      <c r="B4572" t="s">
        <v>572</v>
      </c>
      <c r="C4572" t="s">
        <v>264</v>
      </c>
      <c r="D4572" t="str">
        <f t="shared" si="71"/>
        <v>JUCEMG4703</v>
      </c>
      <c r="E4572" t="s">
        <v>1669</v>
      </c>
    </row>
    <row r="4573" spans="1:5" hidden="1" x14ac:dyDescent="0.25">
      <c r="A4573">
        <v>2251</v>
      </c>
      <c r="B4573" t="s">
        <v>572</v>
      </c>
      <c r="C4573" t="s">
        <v>315</v>
      </c>
      <c r="D4573" t="str">
        <f t="shared" si="71"/>
        <v>JUCEMG4706</v>
      </c>
      <c r="E4573" t="s">
        <v>1669</v>
      </c>
    </row>
    <row r="4574" spans="1:5" hidden="1" x14ac:dyDescent="0.25">
      <c r="A4574">
        <v>2251</v>
      </c>
      <c r="B4574" t="s">
        <v>572</v>
      </c>
      <c r="C4574" t="s">
        <v>327</v>
      </c>
      <c r="D4574" t="str">
        <f t="shared" si="71"/>
        <v>JUCEMG4707</v>
      </c>
      <c r="E4574" t="s">
        <v>1669</v>
      </c>
    </row>
    <row r="4575" spans="1:5" hidden="1" x14ac:dyDescent="0.25">
      <c r="A4575">
        <v>2251</v>
      </c>
      <c r="B4575" t="s">
        <v>572</v>
      </c>
      <c r="C4575" t="s">
        <v>363</v>
      </c>
      <c r="D4575" t="str">
        <f t="shared" si="71"/>
        <v>JUCEMG4799</v>
      </c>
      <c r="E4575" t="s">
        <v>1669</v>
      </c>
    </row>
    <row r="4576" spans="1:5" hidden="1" x14ac:dyDescent="0.25">
      <c r="A4576">
        <v>2251</v>
      </c>
      <c r="B4576" t="s">
        <v>572</v>
      </c>
      <c r="C4576" t="s">
        <v>1752</v>
      </c>
      <c r="D4576" t="str">
        <f t="shared" si="71"/>
        <v>JUCEMG4904</v>
      </c>
      <c r="E4576" t="s">
        <v>1596</v>
      </c>
    </row>
    <row r="4577" spans="1:5" hidden="1" x14ac:dyDescent="0.25">
      <c r="A4577">
        <v>2251</v>
      </c>
      <c r="B4577" t="s">
        <v>572</v>
      </c>
      <c r="C4577" t="s">
        <v>1848</v>
      </c>
      <c r="D4577" t="str">
        <f t="shared" si="71"/>
        <v>JUCEMG4906</v>
      </c>
      <c r="E4577" t="s">
        <v>64</v>
      </c>
    </row>
    <row r="4578" spans="1:5" hidden="1" x14ac:dyDescent="0.25">
      <c r="A4578">
        <v>2251</v>
      </c>
      <c r="B4578" t="s">
        <v>572</v>
      </c>
      <c r="C4578" t="s">
        <v>1676</v>
      </c>
      <c r="D4578" t="str">
        <f t="shared" si="71"/>
        <v>JUCEMG5207</v>
      </c>
      <c r="E4578" t="s">
        <v>1675</v>
      </c>
    </row>
    <row r="4579" spans="1:5" hidden="1" x14ac:dyDescent="0.25">
      <c r="A4579">
        <v>2251</v>
      </c>
      <c r="B4579" t="s">
        <v>572</v>
      </c>
      <c r="C4579" t="s">
        <v>1677</v>
      </c>
      <c r="D4579" t="str">
        <f t="shared" si="71"/>
        <v>JUCEMG5208</v>
      </c>
      <c r="E4579" t="s">
        <v>1675</v>
      </c>
    </row>
    <row r="4580" spans="1:5" hidden="1" x14ac:dyDescent="0.25">
      <c r="A4580">
        <v>2251</v>
      </c>
      <c r="B4580" t="s">
        <v>572</v>
      </c>
      <c r="C4580" t="s">
        <v>1679</v>
      </c>
      <c r="D4580" t="str">
        <f t="shared" si="71"/>
        <v>JUCEMG5212</v>
      </c>
      <c r="E4580" t="s">
        <v>1674</v>
      </c>
    </row>
    <row r="4581" spans="1:5" hidden="1" x14ac:dyDescent="0.25">
      <c r="A4581">
        <v>2251</v>
      </c>
      <c r="B4581" t="s">
        <v>572</v>
      </c>
      <c r="C4581" t="s">
        <v>1729</v>
      </c>
      <c r="D4581" t="str">
        <f t="shared" si="71"/>
        <v>JUCEMG9201</v>
      </c>
      <c r="E4581" t="s">
        <v>1685</v>
      </c>
    </row>
    <row r="4582" spans="1:5" hidden="1" x14ac:dyDescent="0.25">
      <c r="A4582">
        <v>2251</v>
      </c>
      <c r="B4582" t="s">
        <v>572</v>
      </c>
      <c r="C4582" t="s">
        <v>1684</v>
      </c>
      <c r="D4582" t="str">
        <f t="shared" si="71"/>
        <v>JUCEMG9202</v>
      </c>
      <c r="E4582" t="s">
        <v>1685</v>
      </c>
    </row>
    <row r="4583" spans="1:5" hidden="1" x14ac:dyDescent="0.25">
      <c r="A4583">
        <v>2251</v>
      </c>
      <c r="B4583" t="s">
        <v>572</v>
      </c>
      <c r="C4583" t="s">
        <v>330</v>
      </c>
      <c r="D4583" t="str">
        <f t="shared" si="71"/>
        <v>JUCEMG9306</v>
      </c>
      <c r="E4583" t="s">
        <v>1686</v>
      </c>
    </row>
    <row r="4584" spans="1:5" hidden="1" x14ac:dyDescent="0.25">
      <c r="A4584">
        <v>2251</v>
      </c>
      <c r="B4584" t="s">
        <v>572</v>
      </c>
      <c r="C4584" t="s">
        <v>1687</v>
      </c>
      <c r="D4584" t="str">
        <f t="shared" si="71"/>
        <v>JUCEMG9399</v>
      </c>
      <c r="E4584" t="s">
        <v>1623</v>
      </c>
    </row>
    <row r="4585" spans="1:5" hidden="1" x14ac:dyDescent="0.25">
      <c r="A4585">
        <v>2251</v>
      </c>
      <c r="B4585" t="s">
        <v>572</v>
      </c>
      <c r="C4585" t="s">
        <v>1814</v>
      </c>
      <c r="D4585" t="str">
        <f t="shared" si="71"/>
        <v>JUCEMG9701</v>
      </c>
      <c r="E4585" t="s">
        <v>1623</v>
      </c>
    </row>
    <row r="4586" spans="1:5" hidden="1" x14ac:dyDescent="0.25">
      <c r="A4586">
        <v>2251</v>
      </c>
      <c r="B4586" t="s">
        <v>572</v>
      </c>
      <c r="C4586" t="s">
        <v>491</v>
      </c>
      <c r="D4586" t="str">
        <f t="shared" si="71"/>
        <v>JUCEMG3948</v>
      </c>
      <c r="E4586" t="s">
        <v>1645</v>
      </c>
    </row>
    <row r="4587" spans="1:5" hidden="1" x14ac:dyDescent="0.25">
      <c r="A4587">
        <v>2251</v>
      </c>
      <c r="B4587" t="s">
        <v>572</v>
      </c>
      <c r="C4587" t="s">
        <v>1634</v>
      </c>
      <c r="D4587" t="str">
        <f t="shared" si="71"/>
        <v>JUCEMG3903</v>
      </c>
      <c r="E4587" t="s">
        <v>1623</v>
      </c>
    </row>
    <row r="4588" spans="1:5" hidden="1" x14ac:dyDescent="0.25">
      <c r="A4588">
        <v>2251</v>
      </c>
      <c r="B4588" t="s">
        <v>572</v>
      </c>
      <c r="C4588" t="s">
        <v>1633</v>
      </c>
      <c r="D4588" t="str">
        <f t="shared" si="71"/>
        <v>JUCEMG3705</v>
      </c>
      <c r="E4588" t="s">
        <v>116</v>
      </c>
    </row>
    <row r="4589" spans="1:5" hidden="1" x14ac:dyDescent="0.25">
      <c r="A4589">
        <v>2251</v>
      </c>
      <c r="B4589" t="s">
        <v>572</v>
      </c>
      <c r="C4589" t="s">
        <v>479</v>
      </c>
      <c r="D4589" t="str">
        <f t="shared" si="71"/>
        <v>JUCEMG3941</v>
      </c>
      <c r="E4589" t="s">
        <v>1623</v>
      </c>
    </row>
    <row r="4590" spans="1:5" hidden="1" x14ac:dyDescent="0.25">
      <c r="A4590">
        <v>2251</v>
      </c>
      <c r="B4590" t="s">
        <v>572</v>
      </c>
      <c r="C4590" t="s">
        <v>1682</v>
      </c>
      <c r="D4590" t="str">
        <f t="shared" si="71"/>
        <v>JUCEMG5226</v>
      </c>
      <c r="E4590" t="s">
        <v>1674</v>
      </c>
    </row>
    <row r="4591" spans="1:5" hidden="1" x14ac:dyDescent="0.25">
      <c r="A4591">
        <v>2251</v>
      </c>
      <c r="B4591" t="s">
        <v>572</v>
      </c>
      <c r="C4591" t="s">
        <v>1644</v>
      </c>
      <c r="D4591" t="str">
        <f t="shared" si="71"/>
        <v>JUCEMG3924</v>
      </c>
      <c r="E4591" t="s">
        <v>1623</v>
      </c>
    </row>
    <row r="4592" spans="1:5" hidden="1" x14ac:dyDescent="0.25">
      <c r="A4592">
        <v>2261</v>
      </c>
      <c r="B4592" t="s">
        <v>561</v>
      </c>
      <c r="C4592" t="s">
        <v>1853</v>
      </c>
      <c r="D4592" t="str">
        <f t="shared" si="71"/>
        <v>FUNED0702</v>
      </c>
      <c r="E4592" t="s">
        <v>1646</v>
      </c>
    </row>
    <row r="4593" spans="1:5" hidden="1" x14ac:dyDescent="0.25">
      <c r="A4593">
        <v>2261</v>
      </c>
      <c r="B4593" t="s">
        <v>561</v>
      </c>
      <c r="C4593" t="s">
        <v>1860</v>
      </c>
      <c r="D4593" t="str">
        <f t="shared" si="71"/>
        <v>FUNED0803</v>
      </c>
      <c r="E4593" t="s">
        <v>1596</v>
      </c>
    </row>
    <row r="4594" spans="1:5" hidden="1" x14ac:dyDescent="0.25">
      <c r="A4594">
        <v>2261</v>
      </c>
      <c r="B4594" t="s">
        <v>561</v>
      </c>
      <c r="C4594" t="s">
        <v>1595</v>
      </c>
      <c r="D4594" t="str">
        <f t="shared" si="71"/>
        <v>FUNED0810</v>
      </c>
      <c r="E4594" t="s">
        <v>1596</v>
      </c>
    </row>
    <row r="4595" spans="1:5" hidden="1" x14ac:dyDescent="0.25">
      <c r="A4595">
        <v>2261</v>
      </c>
      <c r="B4595" t="s">
        <v>561</v>
      </c>
      <c r="C4595" t="s">
        <v>1737</v>
      </c>
      <c r="D4595" t="str">
        <f t="shared" si="71"/>
        <v>FUNED1307</v>
      </c>
      <c r="E4595" t="s">
        <v>1689</v>
      </c>
    </row>
    <row r="4596" spans="1:5" hidden="1" x14ac:dyDescent="0.25">
      <c r="A4596">
        <v>2261</v>
      </c>
      <c r="B4596" t="s">
        <v>561</v>
      </c>
      <c r="C4596" t="s">
        <v>331</v>
      </c>
      <c r="D4596" t="str">
        <f t="shared" si="71"/>
        <v>FUNED1314</v>
      </c>
      <c r="E4596" t="s">
        <v>1689</v>
      </c>
    </row>
    <row r="4597" spans="1:5" hidden="1" x14ac:dyDescent="0.25">
      <c r="A4597">
        <v>2261</v>
      </c>
      <c r="B4597" t="s">
        <v>561</v>
      </c>
      <c r="C4597" t="s">
        <v>1688</v>
      </c>
      <c r="D4597" t="str">
        <f t="shared" si="71"/>
        <v>FUNED1317</v>
      </c>
      <c r="E4597" t="s">
        <v>1689</v>
      </c>
    </row>
    <row r="4598" spans="1:5" hidden="1" x14ac:dyDescent="0.25">
      <c r="A4598">
        <v>2261</v>
      </c>
      <c r="B4598" t="s">
        <v>561</v>
      </c>
      <c r="C4598" t="s">
        <v>1796</v>
      </c>
      <c r="D4598" t="str">
        <f t="shared" si="71"/>
        <v>FUNED1323</v>
      </c>
      <c r="E4598" t="s">
        <v>1606</v>
      </c>
    </row>
    <row r="4599" spans="1:5" hidden="1" x14ac:dyDescent="0.25">
      <c r="A4599">
        <v>2261</v>
      </c>
      <c r="B4599" t="s">
        <v>561</v>
      </c>
      <c r="C4599" t="s">
        <v>398</v>
      </c>
      <c r="D4599" t="str">
        <f t="shared" si="71"/>
        <v>FUNED1325</v>
      </c>
      <c r="E4599" t="s">
        <v>1689</v>
      </c>
    </row>
    <row r="4600" spans="1:5" hidden="1" x14ac:dyDescent="0.25">
      <c r="A4600">
        <v>2261</v>
      </c>
      <c r="B4600" t="s">
        <v>561</v>
      </c>
      <c r="C4600" t="s">
        <v>1597</v>
      </c>
      <c r="D4600" t="str">
        <f t="shared" si="71"/>
        <v>FUNED1401</v>
      </c>
      <c r="E4600" t="s">
        <v>43</v>
      </c>
    </row>
    <row r="4601" spans="1:5" hidden="1" x14ac:dyDescent="0.25">
      <c r="A4601">
        <v>2261</v>
      </c>
      <c r="B4601" t="s">
        <v>561</v>
      </c>
      <c r="C4601" t="s">
        <v>1807</v>
      </c>
      <c r="D4601" t="str">
        <f t="shared" si="71"/>
        <v>FUNED2001</v>
      </c>
      <c r="E4601" t="s">
        <v>1596</v>
      </c>
    </row>
    <row r="4602" spans="1:5" hidden="1" x14ac:dyDescent="0.25">
      <c r="A4602">
        <v>2261</v>
      </c>
      <c r="B4602" t="s">
        <v>561</v>
      </c>
      <c r="C4602" t="s">
        <v>1599</v>
      </c>
      <c r="D4602" t="str">
        <f t="shared" si="71"/>
        <v>FUNED3001</v>
      </c>
      <c r="E4602" t="s">
        <v>1600</v>
      </c>
    </row>
    <row r="4603" spans="1:5" hidden="1" x14ac:dyDescent="0.25">
      <c r="A4603">
        <v>2261</v>
      </c>
      <c r="B4603" t="s">
        <v>561</v>
      </c>
      <c r="C4603" t="s">
        <v>255</v>
      </c>
      <c r="D4603" t="str">
        <f t="shared" si="71"/>
        <v>FUNED3002</v>
      </c>
      <c r="E4603" t="s">
        <v>1600</v>
      </c>
    </row>
    <row r="4604" spans="1:5" hidden="1" x14ac:dyDescent="0.25">
      <c r="A4604">
        <v>2261</v>
      </c>
      <c r="B4604" t="s">
        <v>561</v>
      </c>
      <c r="C4604" t="s">
        <v>1601</v>
      </c>
      <c r="D4604" t="str">
        <f t="shared" si="71"/>
        <v>FUNED3003</v>
      </c>
      <c r="E4604" t="s">
        <v>1600</v>
      </c>
    </row>
    <row r="4605" spans="1:5" hidden="1" x14ac:dyDescent="0.25">
      <c r="A4605">
        <v>2261</v>
      </c>
      <c r="B4605" t="s">
        <v>561</v>
      </c>
      <c r="C4605" t="s">
        <v>1602</v>
      </c>
      <c r="D4605" t="str">
        <f t="shared" si="71"/>
        <v>FUNED3004</v>
      </c>
      <c r="E4605" t="s">
        <v>1600</v>
      </c>
    </row>
    <row r="4606" spans="1:5" hidden="1" x14ac:dyDescent="0.25">
      <c r="A4606">
        <v>2261</v>
      </c>
      <c r="B4606" t="s">
        <v>561</v>
      </c>
      <c r="C4606" t="s">
        <v>1603</v>
      </c>
      <c r="D4606" t="str">
        <f t="shared" si="71"/>
        <v>FUNED3005</v>
      </c>
      <c r="E4606" t="s">
        <v>1600</v>
      </c>
    </row>
    <row r="4607" spans="1:5" hidden="1" x14ac:dyDescent="0.25">
      <c r="A4607">
        <v>2261</v>
      </c>
      <c r="B4607" t="s">
        <v>561</v>
      </c>
      <c r="C4607" t="s">
        <v>322</v>
      </c>
      <c r="D4607" t="str">
        <f t="shared" si="71"/>
        <v>FUNED3006</v>
      </c>
      <c r="E4607" t="s">
        <v>1600</v>
      </c>
    </row>
    <row r="4608" spans="1:5" hidden="1" x14ac:dyDescent="0.25">
      <c r="A4608">
        <v>2261</v>
      </c>
      <c r="B4608" t="s">
        <v>561</v>
      </c>
      <c r="C4608" t="s">
        <v>332</v>
      </c>
      <c r="D4608" t="str">
        <f t="shared" si="71"/>
        <v>FUNED3007</v>
      </c>
      <c r="E4608" t="s">
        <v>1600</v>
      </c>
    </row>
    <row r="4609" spans="1:5" hidden="1" x14ac:dyDescent="0.25">
      <c r="A4609">
        <v>2261</v>
      </c>
      <c r="B4609" t="s">
        <v>561</v>
      </c>
      <c r="C4609" t="s">
        <v>1604</v>
      </c>
      <c r="D4609" t="str">
        <f t="shared" si="71"/>
        <v>FUNED3008</v>
      </c>
      <c r="E4609" t="s">
        <v>1600</v>
      </c>
    </row>
    <row r="4610" spans="1:5" hidden="1" x14ac:dyDescent="0.25">
      <c r="A4610">
        <v>2261</v>
      </c>
      <c r="B4610" t="s">
        <v>561</v>
      </c>
      <c r="C4610" t="s">
        <v>353</v>
      </c>
      <c r="D4610" t="str">
        <f t="shared" si="71"/>
        <v>FUNED3009</v>
      </c>
      <c r="E4610" t="s">
        <v>1600</v>
      </c>
    </row>
    <row r="4611" spans="1:5" hidden="1" x14ac:dyDescent="0.25">
      <c r="A4611">
        <v>2261</v>
      </c>
      <c r="B4611" t="s">
        <v>561</v>
      </c>
      <c r="C4611" t="s">
        <v>1605</v>
      </c>
      <c r="D4611" t="str">
        <f t="shared" si="71"/>
        <v>FUNED3010</v>
      </c>
      <c r="E4611" t="s">
        <v>1606</v>
      </c>
    </row>
    <row r="4612" spans="1:5" hidden="1" x14ac:dyDescent="0.25">
      <c r="A4612">
        <v>2261</v>
      </c>
      <c r="B4612" t="s">
        <v>561</v>
      </c>
      <c r="C4612" t="s">
        <v>368</v>
      </c>
      <c r="D4612" t="str">
        <f t="shared" si="71"/>
        <v>FUNED3011</v>
      </c>
      <c r="E4612" t="s">
        <v>1600</v>
      </c>
    </row>
    <row r="4613" spans="1:5" hidden="1" x14ac:dyDescent="0.25">
      <c r="A4613">
        <v>2261</v>
      </c>
      <c r="B4613" t="s">
        <v>561</v>
      </c>
      <c r="C4613" t="s">
        <v>137</v>
      </c>
      <c r="D4613" t="str">
        <f t="shared" ref="D4613:D4676" si="72">CONCATENATE(B4613,LEFT(C4613,4))</f>
        <v>FUNED3012</v>
      </c>
      <c r="E4613" t="s">
        <v>1606</v>
      </c>
    </row>
    <row r="4614" spans="1:5" hidden="1" x14ac:dyDescent="0.25">
      <c r="A4614">
        <v>2261</v>
      </c>
      <c r="B4614" t="s">
        <v>561</v>
      </c>
      <c r="C4614" t="s">
        <v>1607</v>
      </c>
      <c r="D4614" t="str">
        <f t="shared" si="72"/>
        <v>FUNED3013</v>
      </c>
      <c r="E4614" t="s">
        <v>1600</v>
      </c>
    </row>
    <row r="4615" spans="1:5" hidden="1" x14ac:dyDescent="0.25">
      <c r="A4615">
        <v>2261</v>
      </c>
      <c r="B4615" t="s">
        <v>561</v>
      </c>
      <c r="C4615" t="s">
        <v>1608</v>
      </c>
      <c r="D4615" t="str">
        <f t="shared" si="72"/>
        <v>FUNED3015</v>
      </c>
      <c r="E4615" t="s">
        <v>1600</v>
      </c>
    </row>
    <row r="4616" spans="1:5" hidden="1" x14ac:dyDescent="0.25">
      <c r="A4616">
        <v>2261</v>
      </c>
      <c r="B4616" t="s">
        <v>561</v>
      </c>
      <c r="C4616" t="s">
        <v>1609</v>
      </c>
      <c r="D4616" t="str">
        <f t="shared" si="72"/>
        <v>FUNED3016</v>
      </c>
      <c r="E4616" t="s">
        <v>1600</v>
      </c>
    </row>
    <row r="4617" spans="1:5" hidden="1" x14ac:dyDescent="0.25">
      <c r="A4617">
        <v>2261</v>
      </c>
      <c r="B4617" t="s">
        <v>561</v>
      </c>
      <c r="C4617" t="s">
        <v>405</v>
      </c>
      <c r="D4617" t="str">
        <f t="shared" si="72"/>
        <v>FUNED3017</v>
      </c>
      <c r="E4617" t="s">
        <v>1600</v>
      </c>
    </row>
    <row r="4618" spans="1:5" hidden="1" x14ac:dyDescent="0.25">
      <c r="A4618">
        <v>2261</v>
      </c>
      <c r="B4618" t="s">
        <v>561</v>
      </c>
      <c r="C4618" t="s">
        <v>410</v>
      </c>
      <c r="D4618" t="str">
        <f t="shared" si="72"/>
        <v>FUNED3018</v>
      </c>
      <c r="E4618" t="s">
        <v>1600</v>
      </c>
    </row>
    <row r="4619" spans="1:5" hidden="1" x14ac:dyDescent="0.25">
      <c r="A4619">
        <v>2261</v>
      </c>
      <c r="B4619" t="s">
        <v>561</v>
      </c>
      <c r="C4619" t="s">
        <v>1610</v>
      </c>
      <c r="D4619" t="str">
        <f t="shared" si="72"/>
        <v>FUNED3019</v>
      </c>
      <c r="E4619" t="s">
        <v>1611</v>
      </c>
    </row>
    <row r="4620" spans="1:5" hidden="1" x14ac:dyDescent="0.25">
      <c r="A4620">
        <v>2261</v>
      </c>
      <c r="B4620" t="s">
        <v>561</v>
      </c>
      <c r="C4620" t="s">
        <v>1612</v>
      </c>
      <c r="D4620" t="str">
        <f t="shared" si="72"/>
        <v>FUNED3020</v>
      </c>
      <c r="E4620" t="s">
        <v>1600</v>
      </c>
    </row>
    <row r="4621" spans="1:5" hidden="1" x14ac:dyDescent="0.25">
      <c r="A4621">
        <v>2261</v>
      </c>
      <c r="B4621" t="s">
        <v>561</v>
      </c>
      <c r="C4621" t="s">
        <v>1613</v>
      </c>
      <c r="D4621" t="str">
        <f t="shared" si="72"/>
        <v>FUNED3021</v>
      </c>
      <c r="E4621" t="s">
        <v>1600</v>
      </c>
    </row>
    <row r="4622" spans="1:5" hidden="1" x14ac:dyDescent="0.25">
      <c r="A4622">
        <v>2261</v>
      </c>
      <c r="B4622" t="s">
        <v>561</v>
      </c>
      <c r="C4622" t="s">
        <v>430</v>
      </c>
      <c r="D4622" t="str">
        <f t="shared" si="72"/>
        <v>FUNED3022</v>
      </c>
      <c r="E4622" t="s">
        <v>1600</v>
      </c>
    </row>
    <row r="4623" spans="1:5" hidden="1" x14ac:dyDescent="0.25">
      <c r="A4623">
        <v>2261</v>
      </c>
      <c r="B4623" t="s">
        <v>561</v>
      </c>
      <c r="C4623" t="s">
        <v>1614</v>
      </c>
      <c r="D4623" t="str">
        <f t="shared" si="72"/>
        <v>FUNED3023</v>
      </c>
      <c r="E4623" t="s">
        <v>1615</v>
      </c>
    </row>
    <row r="4624" spans="1:5" hidden="1" x14ac:dyDescent="0.25">
      <c r="A4624">
        <v>2261</v>
      </c>
      <c r="B4624" t="s">
        <v>561</v>
      </c>
      <c r="C4624" t="s">
        <v>440</v>
      </c>
      <c r="D4624" t="str">
        <f t="shared" si="72"/>
        <v>FUNED3024</v>
      </c>
      <c r="E4624" t="s">
        <v>1600</v>
      </c>
    </row>
    <row r="4625" spans="1:5" hidden="1" x14ac:dyDescent="0.25">
      <c r="A4625">
        <v>2261</v>
      </c>
      <c r="B4625" t="s">
        <v>561</v>
      </c>
      <c r="C4625" t="s">
        <v>1616</v>
      </c>
      <c r="D4625" t="str">
        <f t="shared" si="72"/>
        <v>FUNED3025</v>
      </c>
      <c r="E4625" t="s">
        <v>1600</v>
      </c>
    </row>
    <row r="4626" spans="1:5" hidden="1" x14ac:dyDescent="0.25">
      <c r="A4626">
        <v>2261</v>
      </c>
      <c r="B4626" t="s">
        <v>561</v>
      </c>
      <c r="C4626" t="s">
        <v>1617</v>
      </c>
      <c r="D4626" t="str">
        <f t="shared" si="72"/>
        <v>FUNED3026</v>
      </c>
      <c r="E4626" t="s">
        <v>1615</v>
      </c>
    </row>
    <row r="4627" spans="1:5" hidden="1" x14ac:dyDescent="0.25">
      <c r="A4627">
        <v>2261</v>
      </c>
      <c r="B4627" t="s">
        <v>561</v>
      </c>
      <c r="C4627" t="s">
        <v>1618</v>
      </c>
      <c r="D4627" t="str">
        <f t="shared" si="72"/>
        <v>FUNED3027</v>
      </c>
      <c r="E4627" t="s">
        <v>1600</v>
      </c>
    </row>
    <row r="4628" spans="1:5" hidden="1" x14ac:dyDescent="0.25">
      <c r="A4628">
        <v>2261</v>
      </c>
      <c r="B4628" t="s">
        <v>561</v>
      </c>
      <c r="C4628" t="s">
        <v>460</v>
      </c>
      <c r="D4628" t="str">
        <f t="shared" si="72"/>
        <v>FUNED3028</v>
      </c>
      <c r="E4628" t="s">
        <v>1600</v>
      </c>
    </row>
    <row r="4629" spans="1:5" hidden="1" x14ac:dyDescent="0.25">
      <c r="A4629">
        <v>2261</v>
      </c>
      <c r="B4629" t="s">
        <v>561</v>
      </c>
      <c r="C4629" t="s">
        <v>1702</v>
      </c>
      <c r="D4629" t="str">
        <f t="shared" si="72"/>
        <v>FUNED3029</v>
      </c>
      <c r="E4629" t="s">
        <v>1600</v>
      </c>
    </row>
    <row r="4630" spans="1:5" hidden="1" x14ac:dyDescent="0.25">
      <c r="A4630">
        <v>2261</v>
      </c>
      <c r="B4630" t="s">
        <v>561</v>
      </c>
      <c r="C4630" t="s">
        <v>466</v>
      </c>
      <c r="D4630" t="str">
        <f t="shared" si="72"/>
        <v>FUNED3030</v>
      </c>
      <c r="E4630" t="s">
        <v>1600</v>
      </c>
    </row>
    <row r="4631" spans="1:5" hidden="1" x14ac:dyDescent="0.25">
      <c r="A4631">
        <v>2261</v>
      </c>
      <c r="B4631" t="s">
        <v>561</v>
      </c>
      <c r="C4631" t="s">
        <v>469</v>
      </c>
      <c r="D4631" t="str">
        <f t="shared" si="72"/>
        <v>FUNED3031</v>
      </c>
      <c r="E4631" t="s">
        <v>1600</v>
      </c>
    </row>
    <row r="4632" spans="1:5" hidden="1" x14ac:dyDescent="0.25">
      <c r="A4632">
        <v>2261</v>
      </c>
      <c r="B4632" t="s">
        <v>561</v>
      </c>
      <c r="C4632" t="s">
        <v>484</v>
      </c>
      <c r="D4632" t="str">
        <f t="shared" si="72"/>
        <v>FUNED3039</v>
      </c>
      <c r="E4632" t="s">
        <v>1600</v>
      </c>
    </row>
    <row r="4633" spans="1:5" hidden="1" x14ac:dyDescent="0.25">
      <c r="A4633">
        <v>2261</v>
      </c>
      <c r="B4633" t="s">
        <v>561</v>
      </c>
      <c r="C4633" t="s">
        <v>486</v>
      </c>
      <c r="D4633" t="str">
        <f t="shared" si="72"/>
        <v>FUNED3040</v>
      </c>
      <c r="E4633" t="s">
        <v>1600</v>
      </c>
    </row>
    <row r="4634" spans="1:5" hidden="1" x14ac:dyDescent="0.25">
      <c r="A4634">
        <v>2261</v>
      </c>
      <c r="B4634" t="s">
        <v>561</v>
      </c>
      <c r="C4634" t="s">
        <v>1703</v>
      </c>
      <c r="D4634" t="str">
        <f t="shared" si="72"/>
        <v>FUNED3041</v>
      </c>
      <c r="E4634" t="s">
        <v>1623</v>
      </c>
    </row>
    <row r="4635" spans="1:5" hidden="1" x14ac:dyDescent="0.25">
      <c r="A4635">
        <v>2261</v>
      </c>
      <c r="B4635" t="s">
        <v>561</v>
      </c>
      <c r="C4635" t="s">
        <v>490</v>
      </c>
      <c r="D4635" t="str">
        <f t="shared" si="72"/>
        <v>FUNED3099</v>
      </c>
      <c r="E4635" t="s">
        <v>1600</v>
      </c>
    </row>
    <row r="4636" spans="1:5" hidden="1" x14ac:dyDescent="0.25">
      <c r="A4636">
        <v>2261</v>
      </c>
      <c r="B4636" t="s">
        <v>561</v>
      </c>
      <c r="C4636" t="s">
        <v>293</v>
      </c>
      <c r="D4636" t="str">
        <f t="shared" si="72"/>
        <v>FUNED3104</v>
      </c>
      <c r="E4636" t="s">
        <v>1623</v>
      </c>
    </row>
    <row r="4637" spans="1:5" hidden="1" x14ac:dyDescent="0.25">
      <c r="A4637">
        <v>2261</v>
      </c>
      <c r="B4637" t="s">
        <v>561</v>
      </c>
      <c r="C4637" t="s">
        <v>226</v>
      </c>
      <c r="D4637" t="str">
        <f t="shared" si="72"/>
        <v>FUNED3201</v>
      </c>
      <c r="E4637" t="s">
        <v>1623</v>
      </c>
    </row>
    <row r="4638" spans="1:5" hidden="1" x14ac:dyDescent="0.25">
      <c r="A4638">
        <v>2261</v>
      </c>
      <c r="B4638" t="s">
        <v>561</v>
      </c>
      <c r="C4638" t="s">
        <v>53</v>
      </c>
      <c r="D4638" t="str">
        <f t="shared" si="72"/>
        <v>FUNED3301</v>
      </c>
      <c r="E4638" t="s">
        <v>43</v>
      </c>
    </row>
    <row r="4639" spans="1:5" hidden="1" x14ac:dyDescent="0.25">
      <c r="A4639">
        <v>2261</v>
      </c>
      <c r="B4639" t="s">
        <v>561</v>
      </c>
      <c r="C4639" t="s">
        <v>1626</v>
      </c>
      <c r="D4639" t="str">
        <f t="shared" si="72"/>
        <v>FUNED3302</v>
      </c>
      <c r="E4639" t="s">
        <v>43</v>
      </c>
    </row>
    <row r="4640" spans="1:5" hidden="1" x14ac:dyDescent="0.25">
      <c r="A4640">
        <v>2261</v>
      </c>
      <c r="B4640" t="s">
        <v>561</v>
      </c>
      <c r="C4640" t="s">
        <v>1627</v>
      </c>
      <c r="D4640" t="str">
        <f t="shared" si="72"/>
        <v>FUNED3304</v>
      </c>
      <c r="E4640" t="s">
        <v>43</v>
      </c>
    </row>
    <row r="4641" spans="1:5" hidden="1" x14ac:dyDescent="0.25">
      <c r="A4641">
        <v>2261</v>
      </c>
      <c r="B4641" t="s">
        <v>561</v>
      </c>
      <c r="C4641" t="s">
        <v>308</v>
      </c>
      <c r="D4641" t="str">
        <f t="shared" si="72"/>
        <v>FUNED3305</v>
      </c>
      <c r="E4641" t="s">
        <v>43</v>
      </c>
    </row>
    <row r="4642" spans="1:5" hidden="1" x14ac:dyDescent="0.25">
      <c r="A4642">
        <v>2261</v>
      </c>
      <c r="B4642" t="s">
        <v>561</v>
      </c>
      <c r="C4642" t="s">
        <v>227</v>
      </c>
      <c r="D4642" t="str">
        <f t="shared" si="72"/>
        <v>FUNED3401</v>
      </c>
      <c r="E4642" t="s">
        <v>1739</v>
      </c>
    </row>
    <row r="4643" spans="1:5" hidden="1" x14ac:dyDescent="0.25">
      <c r="A4643">
        <v>2261</v>
      </c>
      <c r="B4643" t="s">
        <v>561</v>
      </c>
      <c r="C4643" t="s">
        <v>279</v>
      </c>
      <c r="D4643" t="str">
        <f t="shared" si="72"/>
        <v>FUNED3403</v>
      </c>
      <c r="E4643" t="s">
        <v>1689</v>
      </c>
    </row>
    <row r="4644" spans="1:5" hidden="1" x14ac:dyDescent="0.25">
      <c r="A4644">
        <v>2261</v>
      </c>
      <c r="B4644" t="s">
        <v>561</v>
      </c>
      <c r="C4644" t="s">
        <v>295</v>
      </c>
      <c r="D4644" t="str">
        <f t="shared" si="72"/>
        <v>FUNED3404</v>
      </c>
      <c r="E4644" t="s">
        <v>1689</v>
      </c>
    </row>
    <row r="4645" spans="1:5" hidden="1" x14ac:dyDescent="0.25">
      <c r="A4645">
        <v>2261</v>
      </c>
      <c r="B4645" t="s">
        <v>561</v>
      </c>
      <c r="C4645" t="s">
        <v>1705</v>
      </c>
      <c r="D4645" t="str">
        <f t="shared" si="72"/>
        <v>FUNED3502</v>
      </c>
      <c r="E4645" t="s">
        <v>1706</v>
      </c>
    </row>
    <row r="4646" spans="1:5" hidden="1" x14ac:dyDescent="0.25">
      <c r="A4646">
        <v>2261</v>
      </c>
      <c r="B4646" t="s">
        <v>561</v>
      </c>
      <c r="C4646" t="s">
        <v>1690</v>
      </c>
      <c r="D4646" t="str">
        <f t="shared" si="72"/>
        <v>FUNED3601</v>
      </c>
      <c r="E4646" t="s">
        <v>64</v>
      </c>
    </row>
    <row r="4647" spans="1:5" hidden="1" x14ac:dyDescent="0.25">
      <c r="A4647">
        <v>2261</v>
      </c>
      <c r="B4647" t="s">
        <v>561</v>
      </c>
      <c r="C4647" t="s">
        <v>260</v>
      </c>
      <c r="D4647" t="str">
        <f t="shared" si="72"/>
        <v>FUNED3602</v>
      </c>
      <c r="E4647" t="s">
        <v>1606</v>
      </c>
    </row>
    <row r="4648" spans="1:5" hidden="1" x14ac:dyDescent="0.25">
      <c r="A4648">
        <v>2261</v>
      </c>
      <c r="B4648" t="s">
        <v>561</v>
      </c>
      <c r="C4648" t="s">
        <v>296</v>
      </c>
      <c r="D4648" t="str">
        <f t="shared" si="72"/>
        <v>FUNED3604</v>
      </c>
      <c r="E4648" t="s">
        <v>43</v>
      </c>
    </row>
    <row r="4649" spans="1:5" hidden="1" x14ac:dyDescent="0.25">
      <c r="A4649">
        <v>2261</v>
      </c>
      <c r="B4649" t="s">
        <v>561</v>
      </c>
      <c r="C4649" t="s">
        <v>354</v>
      </c>
      <c r="D4649" t="str">
        <f t="shared" si="72"/>
        <v>FUNED3610</v>
      </c>
      <c r="E4649" t="s">
        <v>1623</v>
      </c>
    </row>
    <row r="4650" spans="1:5" hidden="1" x14ac:dyDescent="0.25">
      <c r="A4650">
        <v>2261</v>
      </c>
      <c r="B4650" t="s">
        <v>561</v>
      </c>
      <c r="C4650" t="s">
        <v>1628</v>
      </c>
      <c r="D4650" t="str">
        <f t="shared" si="72"/>
        <v>FUNED3612</v>
      </c>
      <c r="E4650" t="s">
        <v>1623</v>
      </c>
    </row>
    <row r="4651" spans="1:5" hidden="1" x14ac:dyDescent="0.25">
      <c r="A4651">
        <v>2261</v>
      </c>
      <c r="B4651" t="s">
        <v>561</v>
      </c>
      <c r="C4651" t="s">
        <v>382</v>
      </c>
      <c r="D4651" t="str">
        <f t="shared" si="72"/>
        <v>FUNED3614</v>
      </c>
      <c r="E4651" t="s">
        <v>1623</v>
      </c>
    </row>
    <row r="4652" spans="1:5" hidden="1" x14ac:dyDescent="0.25">
      <c r="A4652">
        <v>2261</v>
      </c>
      <c r="B4652" t="s">
        <v>561</v>
      </c>
      <c r="C4652" t="s">
        <v>1743</v>
      </c>
      <c r="D4652" t="str">
        <f t="shared" si="72"/>
        <v>FUNED3616</v>
      </c>
      <c r="E4652" t="s">
        <v>1615</v>
      </c>
    </row>
    <row r="4653" spans="1:5" hidden="1" x14ac:dyDescent="0.25">
      <c r="A4653">
        <v>2261</v>
      </c>
      <c r="B4653" t="s">
        <v>561</v>
      </c>
      <c r="C4653" t="s">
        <v>467</v>
      </c>
      <c r="D4653" t="str">
        <f t="shared" si="72"/>
        <v>FUNED3631</v>
      </c>
      <c r="E4653" t="s">
        <v>1808</v>
      </c>
    </row>
    <row r="4654" spans="1:5" hidden="1" x14ac:dyDescent="0.25">
      <c r="A4654">
        <v>2261</v>
      </c>
      <c r="B4654" t="s">
        <v>561</v>
      </c>
      <c r="C4654" t="s">
        <v>470</v>
      </c>
      <c r="D4654" t="str">
        <f t="shared" si="72"/>
        <v>FUNED3699</v>
      </c>
      <c r="E4654" t="s">
        <v>1623</v>
      </c>
    </row>
    <row r="4655" spans="1:5" hidden="1" x14ac:dyDescent="0.25">
      <c r="A4655">
        <v>2261</v>
      </c>
      <c r="B4655" t="s">
        <v>561</v>
      </c>
      <c r="C4655" t="s">
        <v>1629</v>
      </c>
      <c r="D4655" t="str">
        <f t="shared" si="72"/>
        <v>FUNED3701</v>
      </c>
      <c r="E4655" t="s">
        <v>1630</v>
      </c>
    </row>
    <row r="4656" spans="1:5" hidden="1" x14ac:dyDescent="0.25">
      <c r="A4656">
        <v>2261</v>
      </c>
      <c r="B4656" t="s">
        <v>561</v>
      </c>
      <c r="C4656" t="s">
        <v>1693</v>
      </c>
      <c r="D4656" t="str">
        <f t="shared" si="72"/>
        <v>FUNED3702</v>
      </c>
      <c r="E4656" t="s">
        <v>1630</v>
      </c>
    </row>
    <row r="4657" spans="1:5" hidden="1" x14ac:dyDescent="0.25">
      <c r="A4657">
        <v>2261</v>
      </c>
      <c r="B4657" t="s">
        <v>561</v>
      </c>
      <c r="C4657" t="s">
        <v>1631</v>
      </c>
      <c r="D4657" t="str">
        <f t="shared" si="72"/>
        <v>FUNED3703</v>
      </c>
      <c r="E4657" t="s">
        <v>116</v>
      </c>
    </row>
    <row r="4658" spans="1:5" hidden="1" x14ac:dyDescent="0.25">
      <c r="A4658">
        <v>2261</v>
      </c>
      <c r="B4658" t="s">
        <v>561</v>
      </c>
      <c r="C4658" t="s">
        <v>1632</v>
      </c>
      <c r="D4658" t="str">
        <f t="shared" si="72"/>
        <v>FUNED3704</v>
      </c>
      <c r="E4658" t="s">
        <v>116</v>
      </c>
    </row>
    <row r="4659" spans="1:5" hidden="1" x14ac:dyDescent="0.25">
      <c r="A4659">
        <v>2261</v>
      </c>
      <c r="B4659" t="s">
        <v>561</v>
      </c>
      <c r="C4659" t="s">
        <v>1633</v>
      </c>
      <c r="D4659" t="str">
        <f t="shared" si="72"/>
        <v>FUNED3705</v>
      </c>
      <c r="E4659" t="s">
        <v>116</v>
      </c>
    </row>
    <row r="4660" spans="1:5" hidden="1" x14ac:dyDescent="0.25">
      <c r="A4660">
        <v>2261</v>
      </c>
      <c r="B4660" t="s">
        <v>561</v>
      </c>
      <c r="C4660" t="s">
        <v>1634</v>
      </c>
      <c r="D4660" t="str">
        <f t="shared" si="72"/>
        <v>FUNED3903</v>
      </c>
      <c r="E4660" t="s">
        <v>86</v>
      </c>
    </row>
    <row r="4661" spans="1:5" hidden="1" x14ac:dyDescent="0.25">
      <c r="A4661">
        <v>2261</v>
      </c>
      <c r="B4661" t="s">
        <v>561</v>
      </c>
      <c r="C4661" t="s">
        <v>298</v>
      </c>
      <c r="D4661" t="str">
        <f t="shared" si="72"/>
        <v>FUNED3904</v>
      </c>
      <c r="E4661" t="s">
        <v>1623</v>
      </c>
    </row>
    <row r="4662" spans="1:5" hidden="1" x14ac:dyDescent="0.25">
      <c r="A4662">
        <v>2261</v>
      </c>
      <c r="B4662" t="s">
        <v>561</v>
      </c>
      <c r="C4662" t="s">
        <v>325</v>
      </c>
      <c r="D4662" t="str">
        <f t="shared" si="72"/>
        <v>FUNED3906</v>
      </c>
      <c r="E4662" t="s">
        <v>1623</v>
      </c>
    </row>
    <row r="4663" spans="1:5" hidden="1" x14ac:dyDescent="0.25">
      <c r="A4663">
        <v>2261</v>
      </c>
      <c r="B4663" t="s">
        <v>561</v>
      </c>
      <c r="C4663" t="s">
        <v>1635</v>
      </c>
      <c r="D4663" t="str">
        <f t="shared" si="72"/>
        <v>FUNED3908</v>
      </c>
      <c r="E4663" t="s">
        <v>1623</v>
      </c>
    </row>
    <row r="4664" spans="1:5" hidden="1" x14ac:dyDescent="0.25">
      <c r="A4664">
        <v>2261</v>
      </c>
      <c r="B4664" t="s">
        <v>561</v>
      </c>
      <c r="C4664" t="s">
        <v>335</v>
      </c>
      <c r="D4664" t="str">
        <f t="shared" si="72"/>
        <v>FUNED3909</v>
      </c>
      <c r="E4664" t="s">
        <v>1623</v>
      </c>
    </row>
    <row r="4665" spans="1:5" hidden="1" x14ac:dyDescent="0.25">
      <c r="A4665">
        <v>2261</v>
      </c>
      <c r="B4665" t="s">
        <v>561</v>
      </c>
      <c r="C4665" t="s">
        <v>345</v>
      </c>
      <c r="D4665" t="str">
        <f t="shared" si="72"/>
        <v>FUNED3910</v>
      </c>
      <c r="E4665" t="s">
        <v>1623</v>
      </c>
    </row>
    <row r="4666" spans="1:5" hidden="1" x14ac:dyDescent="0.25">
      <c r="A4666">
        <v>2261</v>
      </c>
      <c r="B4666" t="s">
        <v>561</v>
      </c>
      <c r="C4666" t="s">
        <v>355</v>
      </c>
      <c r="D4666" t="str">
        <f t="shared" si="72"/>
        <v>FUNED3911</v>
      </c>
      <c r="E4666" t="s">
        <v>1623</v>
      </c>
    </row>
    <row r="4667" spans="1:5" hidden="1" x14ac:dyDescent="0.25">
      <c r="A4667">
        <v>2261</v>
      </c>
      <c r="B4667" t="s">
        <v>561</v>
      </c>
      <c r="C4667" t="s">
        <v>1636</v>
      </c>
      <c r="D4667" t="str">
        <f t="shared" si="72"/>
        <v>FUNED3912</v>
      </c>
      <c r="E4667" t="s">
        <v>1637</v>
      </c>
    </row>
    <row r="4668" spans="1:5" hidden="1" x14ac:dyDescent="0.25">
      <c r="A4668">
        <v>2261</v>
      </c>
      <c r="B4668" t="s">
        <v>561</v>
      </c>
      <c r="C4668" t="s">
        <v>1638</v>
      </c>
      <c r="D4668" t="str">
        <f t="shared" si="72"/>
        <v>FUNED3913</v>
      </c>
      <c r="E4668" t="s">
        <v>1637</v>
      </c>
    </row>
    <row r="4669" spans="1:5" hidden="1" x14ac:dyDescent="0.25">
      <c r="A4669">
        <v>2261</v>
      </c>
      <c r="B4669" t="s">
        <v>561</v>
      </c>
      <c r="C4669" t="s">
        <v>383</v>
      </c>
      <c r="D4669" t="str">
        <f t="shared" si="72"/>
        <v>FUNED3915</v>
      </c>
      <c r="E4669" t="s">
        <v>1637</v>
      </c>
    </row>
    <row r="4670" spans="1:5" hidden="1" x14ac:dyDescent="0.25">
      <c r="A4670">
        <v>2261</v>
      </c>
      <c r="B4670" t="s">
        <v>561</v>
      </c>
      <c r="C4670" t="s">
        <v>1639</v>
      </c>
      <c r="D4670" t="str">
        <f t="shared" si="72"/>
        <v>FUNED3917</v>
      </c>
      <c r="E4670" t="s">
        <v>1615</v>
      </c>
    </row>
    <row r="4671" spans="1:5" hidden="1" x14ac:dyDescent="0.25">
      <c r="A4671">
        <v>2261</v>
      </c>
      <c r="B4671" t="s">
        <v>561</v>
      </c>
      <c r="C4671" t="s">
        <v>1640</v>
      </c>
      <c r="D4671" t="str">
        <f t="shared" si="72"/>
        <v>FUNED3918</v>
      </c>
      <c r="E4671" t="s">
        <v>1615</v>
      </c>
    </row>
    <row r="4672" spans="1:5" hidden="1" x14ac:dyDescent="0.25">
      <c r="A4672">
        <v>2261</v>
      </c>
      <c r="B4672" t="s">
        <v>561</v>
      </c>
      <c r="C4672" t="s">
        <v>1641</v>
      </c>
      <c r="D4672" t="str">
        <f t="shared" si="72"/>
        <v>FUNED3919</v>
      </c>
      <c r="E4672" t="s">
        <v>2102</v>
      </c>
    </row>
    <row r="4673" spans="1:5" hidden="1" x14ac:dyDescent="0.25">
      <c r="A4673">
        <v>2261</v>
      </c>
      <c r="B4673" t="s">
        <v>561</v>
      </c>
      <c r="C4673" t="s">
        <v>1642</v>
      </c>
      <c r="D4673" t="str">
        <f t="shared" si="72"/>
        <v>FUNED3921</v>
      </c>
      <c r="E4673" t="s">
        <v>2102</v>
      </c>
    </row>
    <row r="4674" spans="1:5" hidden="1" x14ac:dyDescent="0.25">
      <c r="A4674">
        <v>2261</v>
      </c>
      <c r="B4674" t="s">
        <v>561</v>
      </c>
      <c r="C4674" t="s">
        <v>1643</v>
      </c>
      <c r="D4674" t="str">
        <f t="shared" si="72"/>
        <v>FUNED3922</v>
      </c>
      <c r="E4674" t="s">
        <v>1611</v>
      </c>
    </row>
    <row r="4675" spans="1:5" hidden="1" x14ac:dyDescent="0.25">
      <c r="A4675">
        <v>2261</v>
      </c>
      <c r="B4675" t="s">
        <v>561</v>
      </c>
      <c r="C4675" t="s">
        <v>427</v>
      </c>
      <c r="D4675" t="str">
        <f t="shared" si="72"/>
        <v>FUNED3923</v>
      </c>
      <c r="E4675" t="s">
        <v>1623</v>
      </c>
    </row>
    <row r="4676" spans="1:5" hidden="1" x14ac:dyDescent="0.25">
      <c r="A4676">
        <v>2261</v>
      </c>
      <c r="B4676" t="s">
        <v>561</v>
      </c>
      <c r="C4676" t="s">
        <v>1644</v>
      </c>
      <c r="D4676" t="str">
        <f t="shared" si="72"/>
        <v>FUNED3924</v>
      </c>
      <c r="E4676" t="s">
        <v>1645</v>
      </c>
    </row>
    <row r="4677" spans="1:5" hidden="1" x14ac:dyDescent="0.25">
      <c r="A4677">
        <v>2261</v>
      </c>
      <c r="B4677" t="s">
        <v>561</v>
      </c>
      <c r="C4677" t="s">
        <v>437</v>
      </c>
      <c r="D4677" t="str">
        <f t="shared" ref="D4677:D4740" si="73">CONCATENATE(B4677,LEFT(C4677,4))</f>
        <v>FUNED3925</v>
      </c>
      <c r="E4677" t="s">
        <v>1646</v>
      </c>
    </row>
    <row r="4678" spans="1:5" hidden="1" x14ac:dyDescent="0.25">
      <c r="A4678">
        <v>2261</v>
      </c>
      <c r="B4678" t="s">
        <v>561</v>
      </c>
      <c r="C4678" t="s">
        <v>442</v>
      </c>
      <c r="D4678" t="str">
        <f t="shared" si="73"/>
        <v>FUNED3926</v>
      </c>
      <c r="E4678" t="s">
        <v>1646</v>
      </c>
    </row>
    <row r="4679" spans="1:5" hidden="1" x14ac:dyDescent="0.25">
      <c r="A4679">
        <v>2261</v>
      </c>
      <c r="B4679" t="s">
        <v>561</v>
      </c>
      <c r="C4679" t="s">
        <v>1647</v>
      </c>
      <c r="D4679" t="str">
        <f t="shared" si="73"/>
        <v>FUNED3927</v>
      </c>
      <c r="E4679" t="s">
        <v>1648</v>
      </c>
    </row>
    <row r="4680" spans="1:5" hidden="1" x14ac:dyDescent="0.25">
      <c r="A4680">
        <v>2261</v>
      </c>
      <c r="B4680" t="s">
        <v>561</v>
      </c>
      <c r="C4680" t="s">
        <v>457</v>
      </c>
      <c r="D4680" t="str">
        <f t="shared" si="73"/>
        <v>FUNED3930</v>
      </c>
      <c r="E4680" t="s">
        <v>1646</v>
      </c>
    </row>
    <row r="4681" spans="1:5" hidden="1" x14ac:dyDescent="0.25">
      <c r="A4681">
        <v>2261</v>
      </c>
      <c r="B4681" t="s">
        <v>561</v>
      </c>
      <c r="C4681" t="s">
        <v>1650</v>
      </c>
      <c r="D4681" t="str">
        <f t="shared" si="73"/>
        <v>FUNED3931</v>
      </c>
      <c r="E4681" t="s">
        <v>1623</v>
      </c>
    </row>
    <row r="4682" spans="1:5" hidden="1" x14ac:dyDescent="0.25">
      <c r="A4682">
        <v>2261</v>
      </c>
      <c r="B4682" t="s">
        <v>561</v>
      </c>
      <c r="C4682" t="s">
        <v>1652</v>
      </c>
      <c r="D4682" t="str">
        <f t="shared" si="73"/>
        <v>FUNED3936</v>
      </c>
      <c r="E4682" t="s">
        <v>93</v>
      </c>
    </row>
    <row r="4683" spans="1:5" hidden="1" x14ac:dyDescent="0.25">
      <c r="A4683">
        <v>2261</v>
      </c>
      <c r="B4683" t="s">
        <v>561</v>
      </c>
      <c r="C4683" t="s">
        <v>1653</v>
      </c>
      <c r="D4683" t="str">
        <f t="shared" si="73"/>
        <v>FUNED3940</v>
      </c>
      <c r="E4683" t="s">
        <v>1648</v>
      </c>
    </row>
    <row r="4684" spans="1:5" hidden="1" x14ac:dyDescent="0.25">
      <c r="A4684">
        <v>2261</v>
      </c>
      <c r="B4684" t="s">
        <v>561</v>
      </c>
      <c r="C4684" t="s">
        <v>479</v>
      </c>
      <c r="D4684" t="str">
        <f t="shared" si="73"/>
        <v>FUNED3941</v>
      </c>
      <c r="E4684" t="s">
        <v>1623</v>
      </c>
    </row>
    <row r="4685" spans="1:5" hidden="1" x14ac:dyDescent="0.25">
      <c r="A4685">
        <v>2261</v>
      </c>
      <c r="B4685" t="s">
        <v>561</v>
      </c>
      <c r="C4685" t="s">
        <v>1654</v>
      </c>
      <c r="D4685" t="str">
        <f t="shared" si="73"/>
        <v>FUNED3943</v>
      </c>
      <c r="E4685" t="s">
        <v>1615</v>
      </c>
    </row>
    <row r="4686" spans="1:5" hidden="1" x14ac:dyDescent="0.25">
      <c r="A4686">
        <v>2261</v>
      </c>
      <c r="B4686" t="s">
        <v>561</v>
      </c>
      <c r="C4686" t="s">
        <v>491</v>
      </c>
      <c r="D4686" t="str">
        <f t="shared" si="73"/>
        <v>FUNED3948</v>
      </c>
      <c r="E4686" t="s">
        <v>1645</v>
      </c>
    </row>
    <row r="4687" spans="1:5" hidden="1" x14ac:dyDescent="0.25">
      <c r="A4687">
        <v>2261</v>
      </c>
      <c r="B4687" t="s">
        <v>561</v>
      </c>
      <c r="C4687" t="s">
        <v>497</v>
      </c>
      <c r="D4687" t="str">
        <f t="shared" si="73"/>
        <v>FUNED3955</v>
      </c>
      <c r="E4687" t="s">
        <v>1623</v>
      </c>
    </row>
    <row r="4688" spans="1:5" hidden="1" x14ac:dyDescent="0.25">
      <c r="A4688">
        <v>2261</v>
      </c>
      <c r="B4688" t="s">
        <v>561</v>
      </c>
      <c r="C4688" t="s">
        <v>1656</v>
      </c>
      <c r="D4688" t="str">
        <f t="shared" si="73"/>
        <v>FUNED3959</v>
      </c>
      <c r="E4688" t="s">
        <v>1623</v>
      </c>
    </row>
    <row r="4689" spans="1:5" hidden="1" x14ac:dyDescent="0.25">
      <c r="A4689">
        <v>2261</v>
      </c>
      <c r="B4689" t="s">
        <v>561</v>
      </c>
      <c r="C4689" t="s">
        <v>1657</v>
      </c>
      <c r="D4689" t="str">
        <f t="shared" si="73"/>
        <v>FUNED3961</v>
      </c>
      <c r="E4689" t="s">
        <v>1630</v>
      </c>
    </row>
    <row r="4690" spans="1:5" hidden="1" x14ac:dyDescent="0.25">
      <c r="A4690">
        <v>2261</v>
      </c>
      <c r="B4690" t="s">
        <v>561</v>
      </c>
      <c r="C4690" t="s">
        <v>1696</v>
      </c>
      <c r="D4690" t="str">
        <f t="shared" si="73"/>
        <v>FUNED3962</v>
      </c>
      <c r="E4690" t="s">
        <v>2103</v>
      </c>
    </row>
    <row r="4691" spans="1:5" hidden="1" x14ac:dyDescent="0.25">
      <c r="A4691">
        <v>2261</v>
      </c>
      <c r="B4691" t="s">
        <v>561</v>
      </c>
      <c r="C4691" t="s">
        <v>1718</v>
      </c>
      <c r="D4691" t="str">
        <f t="shared" si="73"/>
        <v>FUNED3964</v>
      </c>
      <c r="E4691" t="s">
        <v>1623</v>
      </c>
    </row>
    <row r="4692" spans="1:5" hidden="1" x14ac:dyDescent="0.25">
      <c r="A4692">
        <v>2261</v>
      </c>
      <c r="B4692" t="s">
        <v>561</v>
      </c>
      <c r="C4692" t="s">
        <v>1820</v>
      </c>
      <c r="D4692" t="str">
        <f t="shared" si="73"/>
        <v>FUNED3965</v>
      </c>
      <c r="E4692" t="s">
        <v>1606</v>
      </c>
    </row>
    <row r="4693" spans="1:5" hidden="1" x14ac:dyDescent="0.25">
      <c r="A4693">
        <v>2261</v>
      </c>
      <c r="B4693" t="s">
        <v>561</v>
      </c>
      <c r="C4693" t="s">
        <v>1659</v>
      </c>
      <c r="D4693" t="str">
        <f t="shared" si="73"/>
        <v>FUNED3969</v>
      </c>
      <c r="E4693" t="s">
        <v>1637</v>
      </c>
    </row>
    <row r="4694" spans="1:5" hidden="1" x14ac:dyDescent="0.25">
      <c r="A4694">
        <v>2261</v>
      </c>
      <c r="B4694" t="s">
        <v>561</v>
      </c>
      <c r="C4694" t="s">
        <v>1660</v>
      </c>
      <c r="D4694" t="str">
        <f t="shared" si="73"/>
        <v>FUNED3970</v>
      </c>
      <c r="E4694" t="s">
        <v>1648</v>
      </c>
    </row>
    <row r="4695" spans="1:5" hidden="1" x14ac:dyDescent="0.25">
      <c r="A4695">
        <v>2261</v>
      </c>
      <c r="B4695" t="s">
        <v>561</v>
      </c>
      <c r="C4695" t="s">
        <v>513</v>
      </c>
      <c r="D4695" t="str">
        <f t="shared" si="73"/>
        <v>FUNED3972</v>
      </c>
      <c r="E4695" t="s">
        <v>1637</v>
      </c>
    </row>
    <row r="4696" spans="1:5" hidden="1" x14ac:dyDescent="0.25">
      <c r="A4696">
        <v>2261</v>
      </c>
      <c r="B4696" t="s">
        <v>561</v>
      </c>
      <c r="C4696" t="s">
        <v>520</v>
      </c>
      <c r="D4696" t="str">
        <f t="shared" si="73"/>
        <v>FUNED3981</v>
      </c>
      <c r="E4696" t="s">
        <v>1623</v>
      </c>
    </row>
    <row r="4697" spans="1:5" hidden="1" x14ac:dyDescent="0.25">
      <c r="A4697">
        <v>2261</v>
      </c>
      <c r="B4697" t="s">
        <v>561</v>
      </c>
      <c r="C4697" t="s">
        <v>1661</v>
      </c>
      <c r="D4697" t="str">
        <f t="shared" si="73"/>
        <v>FUNED3987</v>
      </c>
      <c r="E4697" t="s">
        <v>1615</v>
      </c>
    </row>
    <row r="4698" spans="1:5" hidden="1" x14ac:dyDescent="0.25">
      <c r="A4698">
        <v>2261</v>
      </c>
      <c r="B4698" t="s">
        <v>561</v>
      </c>
      <c r="C4698" t="s">
        <v>1735</v>
      </c>
      <c r="D4698" t="str">
        <f t="shared" si="73"/>
        <v>FUNED3998</v>
      </c>
      <c r="E4698" t="s">
        <v>1808</v>
      </c>
    </row>
    <row r="4699" spans="1:5" hidden="1" x14ac:dyDescent="0.25">
      <c r="A4699">
        <v>2261</v>
      </c>
      <c r="B4699" t="s">
        <v>561</v>
      </c>
      <c r="C4699" t="s">
        <v>1663</v>
      </c>
      <c r="D4699" t="str">
        <f t="shared" si="73"/>
        <v>FUNED3999</v>
      </c>
      <c r="E4699" t="s">
        <v>1623</v>
      </c>
    </row>
    <row r="4700" spans="1:5" hidden="1" x14ac:dyDescent="0.25">
      <c r="A4700">
        <v>2261</v>
      </c>
      <c r="B4700" t="s">
        <v>561</v>
      </c>
      <c r="C4700" t="s">
        <v>1664</v>
      </c>
      <c r="D4700" t="str">
        <f t="shared" si="73"/>
        <v>FUNED4002</v>
      </c>
      <c r="E4700" t="s">
        <v>1648</v>
      </c>
    </row>
    <row r="4701" spans="1:5" hidden="1" x14ac:dyDescent="0.25">
      <c r="A4701">
        <v>2261</v>
      </c>
      <c r="B4701" t="s">
        <v>561</v>
      </c>
      <c r="C4701" t="s">
        <v>1665</v>
      </c>
      <c r="D4701" t="str">
        <f t="shared" si="73"/>
        <v>FUNED4003</v>
      </c>
      <c r="E4701" t="s">
        <v>93</v>
      </c>
    </row>
    <row r="4702" spans="1:5" hidden="1" x14ac:dyDescent="0.25">
      <c r="A4702">
        <v>2261</v>
      </c>
      <c r="B4702" t="s">
        <v>561</v>
      </c>
      <c r="C4702" t="s">
        <v>1666</v>
      </c>
      <c r="D4702" t="str">
        <f t="shared" si="73"/>
        <v>FUNED4004</v>
      </c>
      <c r="E4702" t="s">
        <v>1648</v>
      </c>
    </row>
    <row r="4703" spans="1:5" hidden="1" x14ac:dyDescent="0.25">
      <c r="A4703">
        <v>2261</v>
      </c>
      <c r="B4703" t="s">
        <v>561</v>
      </c>
      <c r="C4703" t="s">
        <v>1667</v>
      </c>
      <c r="D4703" t="str">
        <f t="shared" si="73"/>
        <v>FUNED4005</v>
      </c>
      <c r="E4703" t="s">
        <v>1648</v>
      </c>
    </row>
    <row r="4704" spans="1:5" hidden="1" x14ac:dyDescent="0.25">
      <c r="A4704">
        <v>2261</v>
      </c>
      <c r="B4704" t="s">
        <v>561</v>
      </c>
      <c r="C4704" t="s">
        <v>1698</v>
      </c>
      <c r="D4704" t="str">
        <f t="shared" si="73"/>
        <v>FUNED4006</v>
      </c>
      <c r="E4704" t="s">
        <v>1675</v>
      </c>
    </row>
    <row r="4705" spans="1:5" hidden="1" x14ac:dyDescent="0.25">
      <c r="A4705">
        <v>2261</v>
      </c>
      <c r="B4705" t="s">
        <v>561</v>
      </c>
      <c r="C4705" t="s">
        <v>1750</v>
      </c>
      <c r="D4705" t="str">
        <f t="shared" si="73"/>
        <v>FUNED4301</v>
      </c>
      <c r="E4705" t="s">
        <v>1751</v>
      </c>
    </row>
    <row r="4706" spans="1:5" hidden="1" x14ac:dyDescent="0.25">
      <c r="A4706">
        <v>2261</v>
      </c>
      <c r="B4706" t="s">
        <v>561</v>
      </c>
      <c r="C4706" t="s">
        <v>1861</v>
      </c>
      <c r="D4706" t="str">
        <f t="shared" si="73"/>
        <v>FUNED4601</v>
      </c>
      <c r="E4706" t="s">
        <v>1596</v>
      </c>
    </row>
    <row r="4707" spans="1:5" hidden="1" x14ac:dyDescent="0.25">
      <c r="A4707">
        <v>2261</v>
      </c>
      <c r="B4707" t="s">
        <v>561</v>
      </c>
      <c r="C4707" t="s">
        <v>1668</v>
      </c>
      <c r="D4707" t="str">
        <f t="shared" si="73"/>
        <v>FUNED4701</v>
      </c>
      <c r="E4707" t="s">
        <v>1669</v>
      </c>
    </row>
    <row r="4708" spans="1:5" hidden="1" x14ac:dyDescent="0.25">
      <c r="A4708">
        <v>2261</v>
      </c>
      <c r="B4708" t="s">
        <v>561</v>
      </c>
      <c r="C4708" t="s">
        <v>238</v>
      </c>
      <c r="D4708" t="str">
        <f t="shared" si="73"/>
        <v>FUNED4702</v>
      </c>
      <c r="E4708" t="s">
        <v>1669</v>
      </c>
    </row>
    <row r="4709" spans="1:5" hidden="1" x14ac:dyDescent="0.25">
      <c r="A4709">
        <v>2261</v>
      </c>
      <c r="B4709" t="s">
        <v>561</v>
      </c>
      <c r="C4709" t="s">
        <v>264</v>
      </c>
      <c r="D4709" t="str">
        <f t="shared" si="73"/>
        <v>FUNED4703</v>
      </c>
      <c r="E4709" t="s">
        <v>1669</v>
      </c>
    </row>
    <row r="4710" spans="1:5" hidden="1" x14ac:dyDescent="0.25">
      <c r="A4710">
        <v>2261</v>
      </c>
      <c r="B4710" t="s">
        <v>561</v>
      </c>
      <c r="C4710" t="s">
        <v>315</v>
      </c>
      <c r="D4710" t="str">
        <f t="shared" si="73"/>
        <v>FUNED4706</v>
      </c>
      <c r="E4710" t="s">
        <v>1669</v>
      </c>
    </row>
    <row r="4711" spans="1:5" hidden="1" x14ac:dyDescent="0.25">
      <c r="A4711">
        <v>2261</v>
      </c>
      <c r="B4711" t="s">
        <v>561</v>
      </c>
      <c r="C4711" t="s">
        <v>363</v>
      </c>
      <c r="D4711" t="str">
        <f t="shared" si="73"/>
        <v>FUNED4799</v>
      </c>
      <c r="E4711" t="s">
        <v>1669</v>
      </c>
    </row>
    <row r="4712" spans="1:5" hidden="1" x14ac:dyDescent="0.25">
      <c r="A4712">
        <v>2261</v>
      </c>
      <c r="B4712" t="s">
        <v>561</v>
      </c>
      <c r="C4712" t="s">
        <v>1752</v>
      </c>
      <c r="D4712" t="str">
        <f t="shared" si="73"/>
        <v>FUNED4904</v>
      </c>
      <c r="E4712" t="s">
        <v>1596</v>
      </c>
    </row>
    <row r="4713" spans="1:5" hidden="1" x14ac:dyDescent="0.25">
      <c r="A4713">
        <v>2261</v>
      </c>
      <c r="B4713" t="s">
        <v>561</v>
      </c>
      <c r="C4713" t="s">
        <v>1712</v>
      </c>
      <c r="D4713" t="str">
        <f t="shared" si="73"/>
        <v>FUNED4905</v>
      </c>
      <c r="E4713" t="s">
        <v>64</v>
      </c>
    </row>
    <row r="4714" spans="1:5" hidden="1" x14ac:dyDescent="0.25">
      <c r="A4714">
        <v>2261</v>
      </c>
      <c r="B4714" t="s">
        <v>561</v>
      </c>
      <c r="C4714" t="s">
        <v>1670</v>
      </c>
      <c r="D4714" t="str">
        <f t="shared" si="73"/>
        <v>FUNED5101</v>
      </c>
      <c r="E4714" t="s">
        <v>1671</v>
      </c>
    </row>
    <row r="4715" spans="1:5" hidden="1" x14ac:dyDescent="0.25">
      <c r="A4715">
        <v>2261</v>
      </c>
      <c r="B4715" t="s">
        <v>561</v>
      </c>
      <c r="C4715" t="s">
        <v>1672</v>
      </c>
      <c r="D4715" t="str">
        <f t="shared" si="73"/>
        <v>FUNED5103</v>
      </c>
      <c r="E4715" t="s">
        <v>1671</v>
      </c>
    </row>
    <row r="4716" spans="1:5" hidden="1" x14ac:dyDescent="0.25">
      <c r="A4716">
        <v>2261</v>
      </c>
      <c r="B4716" t="s">
        <v>561</v>
      </c>
      <c r="C4716" t="s">
        <v>1721</v>
      </c>
      <c r="D4716" t="str">
        <f t="shared" si="73"/>
        <v>FUNED5114</v>
      </c>
      <c r="E4716" t="s">
        <v>1671</v>
      </c>
    </row>
    <row r="4717" spans="1:5" hidden="1" x14ac:dyDescent="0.25">
      <c r="A4717">
        <v>2261</v>
      </c>
      <c r="B4717" t="s">
        <v>561</v>
      </c>
      <c r="C4717" t="s">
        <v>1673</v>
      </c>
      <c r="D4717" t="str">
        <f t="shared" si="73"/>
        <v>FUNED5204</v>
      </c>
      <c r="E4717" t="s">
        <v>1674</v>
      </c>
    </row>
    <row r="4718" spans="1:5" hidden="1" x14ac:dyDescent="0.25">
      <c r="A4718">
        <v>2261</v>
      </c>
      <c r="B4718" t="s">
        <v>561</v>
      </c>
      <c r="C4718" t="s">
        <v>328</v>
      </c>
      <c r="D4718" t="str">
        <f t="shared" si="73"/>
        <v>FUNED5206</v>
      </c>
      <c r="E4718" t="s">
        <v>1675</v>
      </c>
    </row>
    <row r="4719" spans="1:5" hidden="1" x14ac:dyDescent="0.25">
      <c r="A4719">
        <v>2261</v>
      </c>
      <c r="B4719" t="s">
        <v>561</v>
      </c>
      <c r="C4719" t="s">
        <v>1676</v>
      </c>
      <c r="D4719" t="str">
        <f t="shared" si="73"/>
        <v>FUNED5207</v>
      </c>
      <c r="E4719" t="s">
        <v>1675</v>
      </c>
    </row>
    <row r="4720" spans="1:5" hidden="1" x14ac:dyDescent="0.25">
      <c r="A4720">
        <v>2261</v>
      </c>
      <c r="B4720" t="s">
        <v>561</v>
      </c>
      <c r="C4720" t="s">
        <v>1677</v>
      </c>
      <c r="D4720" t="str">
        <f t="shared" si="73"/>
        <v>FUNED5208</v>
      </c>
      <c r="E4720" t="s">
        <v>1675</v>
      </c>
    </row>
    <row r="4721" spans="1:5" hidden="1" x14ac:dyDescent="0.25">
      <c r="A4721">
        <v>2261</v>
      </c>
      <c r="B4721" t="s">
        <v>561</v>
      </c>
      <c r="C4721" t="s">
        <v>358</v>
      </c>
      <c r="D4721" t="str">
        <f t="shared" si="73"/>
        <v>FUNED5209</v>
      </c>
      <c r="E4721" t="s">
        <v>1674</v>
      </c>
    </row>
    <row r="4722" spans="1:5" hidden="1" x14ac:dyDescent="0.25">
      <c r="A4722">
        <v>2261</v>
      </c>
      <c r="B4722" t="s">
        <v>561</v>
      </c>
      <c r="C4722" t="s">
        <v>1678</v>
      </c>
      <c r="D4722" t="str">
        <f t="shared" si="73"/>
        <v>FUNED5210</v>
      </c>
      <c r="E4722" t="s">
        <v>1674</v>
      </c>
    </row>
    <row r="4723" spans="1:5" hidden="1" x14ac:dyDescent="0.25">
      <c r="A4723">
        <v>2261</v>
      </c>
      <c r="B4723" t="s">
        <v>561</v>
      </c>
      <c r="C4723" t="s">
        <v>1713</v>
      </c>
      <c r="D4723" t="str">
        <f t="shared" si="73"/>
        <v>FUNED5211</v>
      </c>
      <c r="E4723" t="s">
        <v>1606</v>
      </c>
    </row>
    <row r="4724" spans="1:5" hidden="1" x14ac:dyDescent="0.25">
      <c r="A4724">
        <v>2261</v>
      </c>
      <c r="B4724" t="s">
        <v>561</v>
      </c>
      <c r="C4724" t="s">
        <v>1679</v>
      </c>
      <c r="D4724" t="str">
        <f t="shared" si="73"/>
        <v>FUNED5212</v>
      </c>
      <c r="E4724" t="s">
        <v>1674</v>
      </c>
    </row>
    <row r="4725" spans="1:5" hidden="1" x14ac:dyDescent="0.25">
      <c r="A4725">
        <v>2261</v>
      </c>
      <c r="B4725" t="s">
        <v>561</v>
      </c>
      <c r="C4725" t="s">
        <v>384</v>
      </c>
      <c r="D4725" t="str">
        <f t="shared" si="73"/>
        <v>FUNED5213</v>
      </c>
      <c r="E4725" t="s">
        <v>1674</v>
      </c>
    </row>
    <row r="4726" spans="1:5" hidden="1" x14ac:dyDescent="0.25">
      <c r="A4726">
        <v>2261</v>
      </c>
      <c r="B4726" t="s">
        <v>561</v>
      </c>
      <c r="C4726" t="s">
        <v>390</v>
      </c>
      <c r="D4726" t="str">
        <f t="shared" si="73"/>
        <v>FUNED5214</v>
      </c>
      <c r="E4726" t="s">
        <v>1674</v>
      </c>
    </row>
    <row r="4727" spans="1:5" hidden="1" x14ac:dyDescent="0.25">
      <c r="A4727">
        <v>2261</v>
      </c>
      <c r="B4727" t="s">
        <v>561</v>
      </c>
      <c r="C4727" t="s">
        <v>402</v>
      </c>
      <c r="D4727" t="str">
        <f t="shared" si="73"/>
        <v>FUNED5216</v>
      </c>
      <c r="E4727" t="s">
        <v>1674</v>
      </c>
    </row>
    <row r="4728" spans="1:5" hidden="1" x14ac:dyDescent="0.25">
      <c r="A4728">
        <v>2261</v>
      </c>
      <c r="B4728" t="s">
        <v>561</v>
      </c>
      <c r="C4728" t="s">
        <v>408</v>
      </c>
      <c r="D4728" t="str">
        <f t="shared" si="73"/>
        <v>FUNED5217</v>
      </c>
      <c r="E4728" t="s">
        <v>1674</v>
      </c>
    </row>
    <row r="4729" spans="1:5" hidden="1" x14ac:dyDescent="0.25">
      <c r="A4729">
        <v>2261</v>
      </c>
      <c r="B4729" t="s">
        <v>561</v>
      </c>
      <c r="C4729" t="s">
        <v>1681</v>
      </c>
      <c r="D4729" t="str">
        <f t="shared" si="73"/>
        <v>FUNED5220</v>
      </c>
      <c r="E4729" t="s">
        <v>1675</v>
      </c>
    </row>
    <row r="4730" spans="1:5" hidden="1" x14ac:dyDescent="0.25">
      <c r="A4730">
        <v>2261</v>
      </c>
      <c r="B4730" t="s">
        <v>561</v>
      </c>
      <c r="C4730" t="s">
        <v>428</v>
      </c>
      <c r="D4730" t="str">
        <f t="shared" si="73"/>
        <v>FUNED5221</v>
      </c>
      <c r="E4730" t="s">
        <v>1674</v>
      </c>
    </row>
    <row r="4731" spans="1:5" hidden="1" x14ac:dyDescent="0.25">
      <c r="A4731">
        <v>2261</v>
      </c>
      <c r="B4731" t="s">
        <v>561</v>
      </c>
      <c r="C4731" t="s">
        <v>433</v>
      </c>
      <c r="D4731" t="str">
        <f t="shared" si="73"/>
        <v>FUNED5222</v>
      </c>
      <c r="E4731" t="s">
        <v>1674</v>
      </c>
    </row>
    <row r="4732" spans="1:5" hidden="1" x14ac:dyDescent="0.25">
      <c r="A4732">
        <v>2261</v>
      </c>
      <c r="B4732" t="s">
        <v>561</v>
      </c>
      <c r="C4732" t="s">
        <v>448</v>
      </c>
      <c r="D4732" t="str">
        <f t="shared" si="73"/>
        <v>FUNED5225</v>
      </c>
      <c r="E4732" t="s">
        <v>1674</v>
      </c>
    </row>
    <row r="4733" spans="1:5" hidden="1" x14ac:dyDescent="0.25">
      <c r="A4733">
        <v>2261</v>
      </c>
      <c r="B4733" t="s">
        <v>561</v>
      </c>
      <c r="C4733" t="s">
        <v>1682</v>
      </c>
      <c r="D4733" t="str">
        <f t="shared" si="73"/>
        <v>FUNED5226</v>
      </c>
      <c r="E4733" t="s">
        <v>1674</v>
      </c>
    </row>
    <row r="4734" spans="1:5" hidden="1" x14ac:dyDescent="0.25">
      <c r="A4734">
        <v>2261</v>
      </c>
      <c r="B4734" t="s">
        <v>561</v>
      </c>
      <c r="C4734" t="s">
        <v>458</v>
      </c>
      <c r="D4734" t="str">
        <f t="shared" si="73"/>
        <v>FUNED5299</v>
      </c>
      <c r="E4734" t="s">
        <v>1674</v>
      </c>
    </row>
    <row r="4735" spans="1:5" hidden="1" x14ac:dyDescent="0.25">
      <c r="A4735">
        <v>2261</v>
      </c>
      <c r="B4735" t="s">
        <v>561</v>
      </c>
      <c r="C4735" t="s">
        <v>1684</v>
      </c>
      <c r="D4735" t="str">
        <f t="shared" si="73"/>
        <v>FUNED9202</v>
      </c>
      <c r="E4735" t="s">
        <v>1685</v>
      </c>
    </row>
    <row r="4736" spans="1:5" hidden="1" x14ac:dyDescent="0.25">
      <c r="A4736">
        <v>2261</v>
      </c>
      <c r="B4736" t="s">
        <v>561</v>
      </c>
      <c r="C4736" t="s">
        <v>330</v>
      </c>
      <c r="D4736" t="str">
        <f t="shared" si="73"/>
        <v>FUNED9306</v>
      </c>
      <c r="E4736" t="s">
        <v>1686</v>
      </c>
    </row>
    <row r="4737" spans="1:5" hidden="1" x14ac:dyDescent="0.25">
      <c r="A4737">
        <v>2261</v>
      </c>
      <c r="B4737" t="s">
        <v>561</v>
      </c>
      <c r="C4737" t="s">
        <v>1687</v>
      </c>
      <c r="D4737" t="str">
        <f t="shared" si="73"/>
        <v>FUNED9399</v>
      </c>
      <c r="E4737" t="s">
        <v>1623</v>
      </c>
    </row>
    <row r="4738" spans="1:5" hidden="1" x14ac:dyDescent="0.25">
      <c r="A4738">
        <v>2261</v>
      </c>
      <c r="B4738" t="s">
        <v>561</v>
      </c>
      <c r="C4738" t="s">
        <v>1814</v>
      </c>
      <c r="D4738" t="str">
        <f t="shared" si="73"/>
        <v>FUNED9701</v>
      </c>
      <c r="E4738" t="s">
        <v>1623</v>
      </c>
    </row>
    <row r="4739" spans="1:5" hidden="1" x14ac:dyDescent="0.25">
      <c r="A4739">
        <v>2271</v>
      </c>
      <c r="B4739" t="s">
        <v>556</v>
      </c>
      <c r="C4739" t="s">
        <v>1737</v>
      </c>
      <c r="D4739" t="str">
        <f t="shared" si="73"/>
        <v>FHEMIG1307</v>
      </c>
      <c r="E4739" t="s">
        <v>1689</v>
      </c>
    </row>
    <row r="4740" spans="1:5" hidden="1" x14ac:dyDescent="0.25">
      <c r="A4740">
        <v>2271</v>
      </c>
      <c r="B4740" t="s">
        <v>556</v>
      </c>
      <c r="C4740" t="s">
        <v>1730</v>
      </c>
      <c r="D4740" t="str">
        <f t="shared" si="73"/>
        <v>FHEMIG1313</v>
      </c>
      <c r="E4740" t="s">
        <v>1606</v>
      </c>
    </row>
    <row r="4741" spans="1:5" hidden="1" x14ac:dyDescent="0.25">
      <c r="A4741">
        <v>2271</v>
      </c>
      <c r="B4741" t="s">
        <v>556</v>
      </c>
      <c r="C4741" t="s">
        <v>1688</v>
      </c>
      <c r="D4741" t="str">
        <f t="shared" ref="D4741:D4804" si="74">CONCATENATE(B4741,LEFT(C4741,4))</f>
        <v>FHEMIG1317</v>
      </c>
      <c r="E4741" t="s">
        <v>1689</v>
      </c>
    </row>
    <row r="4742" spans="1:5" hidden="1" x14ac:dyDescent="0.25">
      <c r="A4742">
        <v>2271</v>
      </c>
      <c r="B4742" t="s">
        <v>556</v>
      </c>
      <c r="C4742" t="s">
        <v>1796</v>
      </c>
      <c r="D4742" t="str">
        <f t="shared" si="74"/>
        <v>FHEMIG1323</v>
      </c>
      <c r="E4742" t="s">
        <v>1606</v>
      </c>
    </row>
    <row r="4743" spans="1:5" hidden="1" x14ac:dyDescent="0.25">
      <c r="A4743">
        <v>2271</v>
      </c>
      <c r="B4743" t="s">
        <v>556</v>
      </c>
      <c r="C4743" t="s">
        <v>398</v>
      </c>
      <c r="D4743" t="str">
        <f t="shared" si="74"/>
        <v>FHEMIG1325</v>
      </c>
      <c r="E4743" t="s">
        <v>1689</v>
      </c>
    </row>
    <row r="4744" spans="1:5" hidden="1" x14ac:dyDescent="0.25">
      <c r="A4744">
        <v>2271</v>
      </c>
      <c r="B4744" t="s">
        <v>556</v>
      </c>
      <c r="C4744" t="s">
        <v>1597</v>
      </c>
      <c r="D4744" t="str">
        <f t="shared" si="74"/>
        <v>FHEMIG1401</v>
      </c>
      <c r="E4744" t="s">
        <v>43</v>
      </c>
    </row>
    <row r="4745" spans="1:5" hidden="1" x14ac:dyDescent="0.25">
      <c r="A4745">
        <v>2271</v>
      </c>
      <c r="B4745" t="s">
        <v>556</v>
      </c>
      <c r="C4745" t="s">
        <v>1598</v>
      </c>
      <c r="D4745" t="str">
        <f t="shared" si="74"/>
        <v>FHEMIG1501</v>
      </c>
      <c r="E4745" t="s">
        <v>43</v>
      </c>
    </row>
    <row r="4746" spans="1:5" hidden="1" x14ac:dyDescent="0.25">
      <c r="A4746">
        <v>2271</v>
      </c>
      <c r="B4746" t="s">
        <v>556</v>
      </c>
      <c r="C4746" t="s">
        <v>1599</v>
      </c>
      <c r="D4746" t="str">
        <f t="shared" si="74"/>
        <v>FHEMIG3001</v>
      </c>
      <c r="E4746" t="s">
        <v>1600</v>
      </c>
    </row>
    <row r="4747" spans="1:5" hidden="1" x14ac:dyDescent="0.25">
      <c r="A4747">
        <v>2271</v>
      </c>
      <c r="B4747" t="s">
        <v>556</v>
      </c>
      <c r="C4747" t="s">
        <v>255</v>
      </c>
      <c r="D4747" t="str">
        <f t="shared" si="74"/>
        <v>FHEMIG3002</v>
      </c>
      <c r="E4747" t="s">
        <v>1600</v>
      </c>
    </row>
    <row r="4748" spans="1:5" hidden="1" x14ac:dyDescent="0.25">
      <c r="A4748">
        <v>2271</v>
      </c>
      <c r="B4748" t="s">
        <v>556</v>
      </c>
      <c r="C4748" t="s">
        <v>1601</v>
      </c>
      <c r="D4748" t="str">
        <f t="shared" si="74"/>
        <v>FHEMIG3003</v>
      </c>
      <c r="E4748" t="s">
        <v>1600</v>
      </c>
    </row>
    <row r="4749" spans="1:5" hidden="1" x14ac:dyDescent="0.25">
      <c r="A4749">
        <v>2271</v>
      </c>
      <c r="B4749" t="s">
        <v>556</v>
      </c>
      <c r="C4749" t="s">
        <v>1602</v>
      </c>
      <c r="D4749" t="str">
        <f t="shared" si="74"/>
        <v>FHEMIG3004</v>
      </c>
      <c r="E4749" t="s">
        <v>1600</v>
      </c>
    </row>
    <row r="4750" spans="1:5" hidden="1" x14ac:dyDescent="0.25">
      <c r="A4750">
        <v>2271</v>
      </c>
      <c r="B4750" t="s">
        <v>556</v>
      </c>
      <c r="C4750" t="s">
        <v>1603</v>
      </c>
      <c r="D4750" t="str">
        <f t="shared" si="74"/>
        <v>FHEMIG3005</v>
      </c>
      <c r="E4750" t="s">
        <v>1600</v>
      </c>
    </row>
    <row r="4751" spans="1:5" hidden="1" x14ac:dyDescent="0.25">
      <c r="A4751">
        <v>2271</v>
      </c>
      <c r="B4751" t="s">
        <v>556</v>
      </c>
      <c r="C4751" t="s">
        <v>322</v>
      </c>
      <c r="D4751" t="str">
        <f t="shared" si="74"/>
        <v>FHEMIG3006</v>
      </c>
      <c r="E4751" t="s">
        <v>1600</v>
      </c>
    </row>
    <row r="4752" spans="1:5" hidden="1" x14ac:dyDescent="0.25">
      <c r="A4752">
        <v>2271</v>
      </c>
      <c r="B4752" t="s">
        <v>556</v>
      </c>
      <c r="C4752" t="s">
        <v>332</v>
      </c>
      <c r="D4752" t="str">
        <f t="shared" si="74"/>
        <v>FHEMIG3007</v>
      </c>
      <c r="E4752" t="s">
        <v>1600</v>
      </c>
    </row>
    <row r="4753" spans="1:5" hidden="1" x14ac:dyDescent="0.25">
      <c r="A4753">
        <v>2271</v>
      </c>
      <c r="B4753" t="s">
        <v>556</v>
      </c>
      <c r="C4753" t="s">
        <v>1604</v>
      </c>
      <c r="D4753" t="str">
        <f t="shared" si="74"/>
        <v>FHEMIG3008</v>
      </c>
      <c r="E4753" t="s">
        <v>1600</v>
      </c>
    </row>
    <row r="4754" spans="1:5" hidden="1" x14ac:dyDescent="0.25">
      <c r="A4754">
        <v>2271</v>
      </c>
      <c r="B4754" t="s">
        <v>556</v>
      </c>
      <c r="C4754" t="s">
        <v>1605</v>
      </c>
      <c r="D4754" t="str">
        <f t="shared" si="74"/>
        <v>FHEMIG3010</v>
      </c>
      <c r="E4754" t="s">
        <v>1606</v>
      </c>
    </row>
    <row r="4755" spans="1:5" hidden="1" x14ac:dyDescent="0.25">
      <c r="A4755">
        <v>2271</v>
      </c>
      <c r="B4755" t="s">
        <v>556</v>
      </c>
      <c r="C4755" t="s">
        <v>368</v>
      </c>
      <c r="D4755" t="str">
        <f t="shared" si="74"/>
        <v>FHEMIG3011</v>
      </c>
      <c r="E4755" t="s">
        <v>1600</v>
      </c>
    </row>
    <row r="4756" spans="1:5" hidden="1" x14ac:dyDescent="0.25">
      <c r="A4756">
        <v>2271</v>
      </c>
      <c r="B4756" t="s">
        <v>556</v>
      </c>
      <c r="C4756" t="s">
        <v>137</v>
      </c>
      <c r="D4756" t="str">
        <f t="shared" si="74"/>
        <v>FHEMIG3012</v>
      </c>
      <c r="E4756" t="s">
        <v>1606</v>
      </c>
    </row>
    <row r="4757" spans="1:5" hidden="1" x14ac:dyDescent="0.25">
      <c r="A4757">
        <v>2271</v>
      </c>
      <c r="B4757" t="s">
        <v>556</v>
      </c>
      <c r="C4757" t="s">
        <v>1607</v>
      </c>
      <c r="D4757" t="str">
        <f t="shared" si="74"/>
        <v>FHEMIG3013</v>
      </c>
      <c r="E4757" t="s">
        <v>1600</v>
      </c>
    </row>
    <row r="4758" spans="1:5" hidden="1" x14ac:dyDescent="0.25">
      <c r="A4758">
        <v>2271</v>
      </c>
      <c r="B4758" t="s">
        <v>556</v>
      </c>
      <c r="C4758" t="s">
        <v>387</v>
      </c>
      <c r="D4758" t="str">
        <f t="shared" si="74"/>
        <v>FHEMIG3014</v>
      </c>
      <c r="E4758" t="s">
        <v>1600</v>
      </c>
    </row>
    <row r="4759" spans="1:5" hidden="1" x14ac:dyDescent="0.25">
      <c r="A4759">
        <v>2271</v>
      </c>
      <c r="B4759" t="s">
        <v>556</v>
      </c>
      <c r="C4759" t="s">
        <v>1608</v>
      </c>
      <c r="D4759" t="str">
        <f t="shared" si="74"/>
        <v>FHEMIG3015</v>
      </c>
      <c r="E4759" t="s">
        <v>1600</v>
      </c>
    </row>
    <row r="4760" spans="1:5" hidden="1" x14ac:dyDescent="0.25">
      <c r="A4760">
        <v>2271</v>
      </c>
      <c r="B4760" t="s">
        <v>556</v>
      </c>
      <c r="C4760" t="s">
        <v>1609</v>
      </c>
      <c r="D4760" t="str">
        <f t="shared" si="74"/>
        <v>FHEMIG3016</v>
      </c>
      <c r="E4760" t="s">
        <v>1600</v>
      </c>
    </row>
    <row r="4761" spans="1:5" hidden="1" x14ac:dyDescent="0.25">
      <c r="A4761">
        <v>2271</v>
      </c>
      <c r="B4761" t="s">
        <v>556</v>
      </c>
      <c r="C4761" t="s">
        <v>405</v>
      </c>
      <c r="D4761" t="str">
        <f t="shared" si="74"/>
        <v>FHEMIG3017</v>
      </c>
      <c r="E4761" t="s">
        <v>1600</v>
      </c>
    </row>
    <row r="4762" spans="1:5" hidden="1" x14ac:dyDescent="0.25">
      <c r="A4762">
        <v>2271</v>
      </c>
      <c r="B4762" t="s">
        <v>556</v>
      </c>
      <c r="C4762" t="s">
        <v>410</v>
      </c>
      <c r="D4762" t="str">
        <f t="shared" si="74"/>
        <v>FHEMIG3018</v>
      </c>
      <c r="E4762" t="s">
        <v>1600</v>
      </c>
    </row>
    <row r="4763" spans="1:5" hidden="1" x14ac:dyDescent="0.25">
      <c r="A4763">
        <v>2271</v>
      </c>
      <c r="B4763" t="s">
        <v>556</v>
      </c>
      <c r="C4763" t="s">
        <v>1610</v>
      </c>
      <c r="D4763" t="str">
        <f t="shared" si="74"/>
        <v>FHEMIG3019</v>
      </c>
      <c r="E4763" t="s">
        <v>1611</v>
      </c>
    </row>
    <row r="4764" spans="1:5" hidden="1" x14ac:dyDescent="0.25">
      <c r="A4764">
        <v>2271</v>
      </c>
      <c r="B4764" t="s">
        <v>556</v>
      </c>
      <c r="C4764" t="s">
        <v>1612</v>
      </c>
      <c r="D4764" t="str">
        <f t="shared" si="74"/>
        <v>FHEMIG3020</v>
      </c>
      <c r="E4764" t="s">
        <v>1600</v>
      </c>
    </row>
    <row r="4765" spans="1:5" hidden="1" x14ac:dyDescent="0.25">
      <c r="A4765">
        <v>2271</v>
      </c>
      <c r="B4765" t="s">
        <v>556</v>
      </c>
      <c r="C4765" t="s">
        <v>1613</v>
      </c>
      <c r="D4765" t="str">
        <f t="shared" si="74"/>
        <v>FHEMIG3021</v>
      </c>
      <c r="E4765" t="s">
        <v>1600</v>
      </c>
    </row>
    <row r="4766" spans="1:5" hidden="1" x14ac:dyDescent="0.25">
      <c r="A4766">
        <v>2271</v>
      </c>
      <c r="B4766" t="s">
        <v>556</v>
      </c>
      <c r="C4766" t="s">
        <v>430</v>
      </c>
      <c r="D4766" t="str">
        <f t="shared" si="74"/>
        <v>FHEMIG3022</v>
      </c>
      <c r="E4766" t="s">
        <v>1600</v>
      </c>
    </row>
    <row r="4767" spans="1:5" hidden="1" x14ac:dyDescent="0.25">
      <c r="A4767">
        <v>2271</v>
      </c>
      <c r="B4767" t="s">
        <v>556</v>
      </c>
      <c r="C4767" t="s">
        <v>1614</v>
      </c>
      <c r="D4767" t="str">
        <f t="shared" si="74"/>
        <v>FHEMIG3023</v>
      </c>
      <c r="E4767" t="s">
        <v>1615</v>
      </c>
    </row>
    <row r="4768" spans="1:5" hidden="1" x14ac:dyDescent="0.25">
      <c r="A4768">
        <v>2271</v>
      </c>
      <c r="B4768" t="s">
        <v>556</v>
      </c>
      <c r="C4768" t="s">
        <v>440</v>
      </c>
      <c r="D4768" t="str">
        <f t="shared" si="74"/>
        <v>FHEMIG3024</v>
      </c>
      <c r="E4768" t="s">
        <v>1600</v>
      </c>
    </row>
    <row r="4769" spans="1:5" hidden="1" x14ac:dyDescent="0.25">
      <c r="A4769">
        <v>2271</v>
      </c>
      <c r="B4769" t="s">
        <v>556</v>
      </c>
      <c r="C4769" t="s">
        <v>1616</v>
      </c>
      <c r="D4769" t="str">
        <f t="shared" si="74"/>
        <v>FHEMIG3025</v>
      </c>
      <c r="E4769" t="s">
        <v>1600</v>
      </c>
    </row>
    <row r="4770" spans="1:5" hidden="1" x14ac:dyDescent="0.25">
      <c r="A4770">
        <v>2271</v>
      </c>
      <c r="B4770" t="s">
        <v>556</v>
      </c>
      <c r="C4770" t="s">
        <v>1617</v>
      </c>
      <c r="D4770" t="str">
        <f t="shared" si="74"/>
        <v>FHEMIG3026</v>
      </c>
      <c r="E4770" t="s">
        <v>1615</v>
      </c>
    </row>
    <row r="4771" spans="1:5" hidden="1" x14ac:dyDescent="0.25">
      <c r="A4771">
        <v>2271</v>
      </c>
      <c r="B4771" t="s">
        <v>556</v>
      </c>
      <c r="C4771" t="s">
        <v>1618</v>
      </c>
      <c r="D4771" t="str">
        <f t="shared" si="74"/>
        <v>FHEMIG3027</v>
      </c>
      <c r="E4771" t="s">
        <v>1600</v>
      </c>
    </row>
    <row r="4772" spans="1:5" hidden="1" x14ac:dyDescent="0.25">
      <c r="A4772">
        <v>2271</v>
      </c>
      <c r="B4772" t="s">
        <v>556</v>
      </c>
      <c r="C4772" t="s">
        <v>1702</v>
      </c>
      <c r="D4772" t="str">
        <f t="shared" si="74"/>
        <v>FHEMIG3029</v>
      </c>
      <c r="E4772" t="s">
        <v>1600</v>
      </c>
    </row>
    <row r="4773" spans="1:5" hidden="1" x14ac:dyDescent="0.25">
      <c r="A4773">
        <v>2271</v>
      </c>
      <c r="B4773" t="s">
        <v>556</v>
      </c>
      <c r="C4773" t="s">
        <v>466</v>
      </c>
      <c r="D4773" t="str">
        <f t="shared" si="74"/>
        <v>FHEMIG3030</v>
      </c>
      <c r="E4773" t="s">
        <v>1600</v>
      </c>
    </row>
    <row r="4774" spans="1:5" hidden="1" x14ac:dyDescent="0.25">
      <c r="A4774">
        <v>2271</v>
      </c>
      <c r="B4774" t="s">
        <v>556</v>
      </c>
      <c r="C4774" t="s">
        <v>469</v>
      </c>
      <c r="D4774" t="str">
        <f t="shared" si="74"/>
        <v>FHEMIG3031</v>
      </c>
      <c r="E4774" t="s">
        <v>1600</v>
      </c>
    </row>
    <row r="4775" spans="1:5" hidden="1" x14ac:dyDescent="0.25">
      <c r="A4775">
        <v>2271</v>
      </c>
      <c r="B4775" t="s">
        <v>556</v>
      </c>
      <c r="C4775" t="s">
        <v>1619</v>
      </c>
      <c r="D4775" t="str">
        <f t="shared" si="74"/>
        <v>FHEMIG3032</v>
      </c>
      <c r="E4775" t="s">
        <v>1600</v>
      </c>
    </row>
    <row r="4776" spans="1:5" hidden="1" x14ac:dyDescent="0.25">
      <c r="A4776">
        <v>2271</v>
      </c>
      <c r="B4776" t="s">
        <v>556</v>
      </c>
      <c r="C4776" t="s">
        <v>476</v>
      </c>
      <c r="D4776" t="str">
        <f t="shared" si="74"/>
        <v>FHEMIG3034</v>
      </c>
      <c r="E4776" t="s">
        <v>1621</v>
      </c>
    </row>
    <row r="4777" spans="1:5" hidden="1" x14ac:dyDescent="0.25">
      <c r="A4777">
        <v>2271</v>
      </c>
      <c r="B4777" t="s">
        <v>556</v>
      </c>
      <c r="C4777" t="s">
        <v>484</v>
      </c>
      <c r="D4777" t="str">
        <f t="shared" si="74"/>
        <v>FHEMIG3039</v>
      </c>
      <c r="E4777" t="s">
        <v>1600</v>
      </c>
    </row>
    <row r="4778" spans="1:5" hidden="1" x14ac:dyDescent="0.25">
      <c r="A4778">
        <v>2271</v>
      </c>
      <c r="B4778" t="s">
        <v>556</v>
      </c>
      <c r="C4778" t="s">
        <v>486</v>
      </c>
      <c r="D4778" t="str">
        <f t="shared" si="74"/>
        <v>FHEMIG3040</v>
      </c>
      <c r="E4778" t="s">
        <v>1600</v>
      </c>
    </row>
    <row r="4779" spans="1:5" hidden="1" x14ac:dyDescent="0.25">
      <c r="A4779">
        <v>2271</v>
      </c>
      <c r="B4779" t="s">
        <v>556</v>
      </c>
      <c r="C4779" t="s">
        <v>1703</v>
      </c>
      <c r="D4779" t="str">
        <f t="shared" si="74"/>
        <v>FHEMIG3041</v>
      </c>
      <c r="E4779" t="s">
        <v>1623</v>
      </c>
    </row>
    <row r="4780" spans="1:5" hidden="1" x14ac:dyDescent="0.25">
      <c r="A4780">
        <v>2271</v>
      </c>
      <c r="B4780" t="s">
        <v>556</v>
      </c>
      <c r="C4780" t="s">
        <v>490</v>
      </c>
      <c r="D4780" t="str">
        <f t="shared" si="74"/>
        <v>FHEMIG3099</v>
      </c>
      <c r="E4780" t="s">
        <v>1600</v>
      </c>
    </row>
    <row r="4781" spans="1:5" hidden="1" x14ac:dyDescent="0.25">
      <c r="A4781">
        <v>2271</v>
      </c>
      <c r="B4781" t="s">
        <v>556</v>
      </c>
      <c r="C4781" t="s">
        <v>1622</v>
      </c>
      <c r="D4781" t="str">
        <f t="shared" si="74"/>
        <v>FHEMIG3101</v>
      </c>
      <c r="E4781" t="s">
        <v>1623</v>
      </c>
    </row>
    <row r="4782" spans="1:5" hidden="1" x14ac:dyDescent="0.25">
      <c r="A4782">
        <v>2271</v>
      </c>
      <c r="B4782" t="s">
        <v>556</v>
      </c>
      <c r="C4782" t="s">
        <v>293</v>
      </c>
      <c r="D4782" t="str">
        <f t="shared" si="74"/>
        <v>FHEMIG3104</v>
      </c>
      <c r="E4782" t="s">
        <v>1623</v>
      </c>
    </row>
    <row r="4783" spans="1:5" hidden="1" x14ac:dyDescent="0.25">
      <c r="A4783">
        <v>2271</v>
      </c>
      <c r="B4783" t="s">
        <v>556</v>
      </c>
      <c r="C4783" t="s">
        <v>226</v>
      </c>
      <c r="D4783" t="str">
        <f t="shared" si="74"/>
        <v>FHEMIG3201</v>
      </c>
      <c r="E4783" t="s">
        <v>1623</v>
      </c>
    </row>
    <row r="4784" spans="1:5" hidden="1" x14ac:dyDescent="0.25">
      <c r="A4784">
        <v>2271</v>
      </c>
      <c r="B4784" t="s">
        <v>556</v>
      </c>
      <c r="C4784" t="s">
        <v>53</v>
      </c>
      <c r="D4784" t="str">
        <f t="shared" si="74"/>
        <v>FHEMIG3301</v>
      </c>
      <c r="E4784" t="s">
        <v>43</v>
      </c>
    </row>
    <row r="4785" spans="1:5" hidden="1" x14ac:dyDescent="0.25">
      <c r="A4785">
        <v>2271</v>
      </c>
      <c r="B4785" t="s">
        <v>556</v>
      </c>
      <c r="C4785" t="s">
        <v>1626</v>
      </c>
      <c r="D4785" t="str">
        <f t="shared" si="74"/>
        <v>FHEMIG3302</v>
      </c>
      <c r="E4785" t="s">
        <v>43</v>
      </c>
    </row>
    <row r="4786" spans="1:5" hidden="1" x14ac:dyDescent="0.25">
      <c r="A4786">
        <v>2271</v>
      </c>
      <c r="B4786" t="s">
        <v>556</v>
      </c>
      <c r="C4786" t="s">
        <v>1627</v>
      </c>
      <c r="D4786" t="str">
        <f t="shared" si="74"/>
        <v>FHEMIG3304</v>
      </c>
      <c r="E4786" t="s">
        <v>43</v>
      </c>
    </row>
    <row r="4787" spans="1:5" hidden="1" x14ac:dyDescent="0.25">
      <c r="A4787">
        <v>2271</v>
      </c>
      <c r="B4787" t="s">
        <v>556</v>
      </c>
      <c r="C4787" t="s">
        <v>308</v>
      </c>
      <c r="D4787" t="str">
        <f t="shared" si="74"/>
        <v>FHEMIG3305</v>
      </c>
      <c r="E4787" t="s">
        <v>1623</v>
      </c>
    </row>
    <row r="4788" spans="1:5" hidden="1" x14ac:dyDescent="0.25">
      <c r="A4788">
        <v>2271</v>
      </c>
      <c r="B4788" t="s">
        <v>556</v>
      </c>
      <c r="C4788" t="s">
        <v>227</v>
      </c>
      <c r="D4788" t="str">
        <f t="shared" si="74"/>
        <v>FHEMIG3401</v>
      </c>
      <c r="E4788" t="s">
        <v>1739</v>
      </c>
    </row>
    <row r="4789" spans="1:5" hidden="1" x14ac:dyDescent="0.25">
      <c r="A4789">
        <v>2271</v>
      </c>
      <c r="B4789" t="s">
        <v>556</v>
      </c>
      <c r="C4789" t="s">
        <v>279</v>
      </c>
      <c r="D4789" t="str">
        <f t="shared" si="74"/>
        <v>FHEMIG3403</v>
      </c>
      <c r="E4789" t="s">
        <v>1689</v>
      </c>
    </row>
    <row r="4790" spans="1:5" hidden="1" x14ac:dyDescent="0.25">
      <c r="A4790">
        <v>2271</v>
      </c>
      <c r="B4790" t="s">
        <v>556</v>
      </c>
      <c r="C4790" t="s">
        <v>295</v>
      </c>
      <c r="D4790" t="str">
        <f t="shared" si="74"/>
        <v>FHEMIG3404</v>
      </c>
      <c r="E4790" t="s">
        <v>1689</v>
      </c>
    </row>
    <row r="4791" spans="1:5" hidden="1" x14ac:dyDescent="0.25">
      <c r="A4791">
        <v>2271</v>
      </c>
      <c r="B4791" t="s">
        <v>556</v>
      </c>
      <c r="C4791" t="s">
        <v>1705</v>
      </c>
      <c r="D4791" t="str">
        <f t="shared" si="74"/>
        <v>FHEMIG3502</v>
      </c>
      <c r="E4791" t="s">
        <v>1706</v>
      </c>
    </row>
    <row r="4792" spans="1:5" hidden="1" x14ac:dyDescent="0.25">
      <c r="A4792">
        <v>2271</v>
      </c>
      <c r="B4792" t="s">
        <v>556</v>
      </c>
      <c r="C4792" t="s">
        <v>260</v>
      </c>
      <c r="D4792" t="str">
        <f t="shared" si="74"/>
        <v>FHEMIG3602</v>
      </c>
      <c r="E4792" t="s">
        <v>1606</v>
      </c>
    </row>
    <row r="4793" spans="1:5" hidden="1" x14ac:dyDescent="0.25">
      <c r="A4793">
        <v>2271</v>
      </c>
      <c r="B4793" t="s">
        <v>556</v>
      </c>
      <c r="C4793" t="s">
        <v>296</v>
      </c>
      <c r="D4793" t="str">
        <f t="shared" si="74"/>
        <v>FHEMIG3604</v>
      </c>
      <c r="E4793" t="s">
        <v>43</v>
      </c>
    </row>
    <row r="4794" spans="1:5" hidden="1" x14ac:dyDescent="0.25">
      <c r="A4794">
        <v>2271</v>
      </c>
      <c r="B4794" t="s">
        <v>556</v>
      </c>
      <c r="C4794" t="s">
        <v>1742</v>
      </c>
      <c r="D4794" t="str">
        <f t="shared" si="74"/>
        <v>FHEMIG3605</v>
      </c>
      <c r="E4794" t="s">
        <v>1623</v>
      </c>
    </row>
    <row r="4795" spans="1:5" hidden="1" x14ac:dyDescent="0.25">
      <c r="A4795">
        <v>2271</v>
      </c>
      <c r="B4795" t="s">
        <v>556</v>
      </c>
      <c r="C4795" t="s">
        <v>1817</v>
      </c>
      <c r="D4795" t="str">
        <f t="shared" si="74"/>
        <v>FHEMIG3608</v>
      </c>
      <c r="E4795" t="s">
        <v>1606</v>
      </c>
    </row>
    <row r="4796" spans="1:5" hidden="1" x14ac:dyDescent="0.25">
      <c r="A4796">
        <v>2271</v>
      </c>
      <c r="B4796" t="s">
        <v>556</v>
      </c>
      <c r="C4796" t="s">
        <v>354</v>
      </c>
      <c r="D4796" t="str">
        <f t="shared" si="74"/>
        <v>FHEMIG3610</v>
      </c>
      <c r="E4796" t="s">
        <v>1623</v>
      </c>
    </row>
    <row r="4797" spans="1:5" hidden="1" x14ac:dyDescent="0.25">
      <c r="A4797">
        <v>2271</v>
      </c>
      <c r="B4797" t="s">
        <v>556</v>
      </c>
      <c r="C4797" t="s">
        <v>1628</v>
      </c>
      <c r="D4797" t="str">
        <f t="shared" si="74"/>
        <v>FHEMIG3612</v>
      </c>
      <c r="E4797" t="s">
        <v>1623</v>
      </c>
    </row>
    <row r="4798" spans="1:5" hidden="1" x14ac:dyDescent="0.25">
      <c r="A4798">
        <v>2271</v>
      </c>
      <c r="B4798" t="s">
        <v>556</v>
      </c>
      <c r="C4798" t="s">
        <v>400</v>
      </c>
      <c r="D4798" t="str">
        <f t="shared" si="74"/>
        <v>FHEMIG3617</v>
      </c>
      <c r="E4798" t="s">
        <v>1623</v>
      </c>
    </row>
    <row r="4799" spans="1:5" hidden="1" x14ac:dyDescent="0.25">
      <c r="A4799">
        <v>2271</v>
      </c>
      <c r="B4799" t="s">
        <v>556</v>
      </c>
      <c r="C4799" t="s">
        <v>406</v>
      </c>
      <c r="D4799" t="str">
        <f t="shared" si="74"/>
        <v>FHEMIG3618</v>
      </c>
      <c r="E4799" t="s">
        <v>1611</v>
      </c>
    </row>
    <row r="4800" spans="1:5" hidden="1" x14ac:dyDescent="0.25">
      <c r="A4800">
        <v>2271</v>
      </c>
      <c r="B4800" t="s">
        <v>556</v>
      </c>
      <c r="C4800" t="s">
        <v>467</v>
      </c>
      <c r="D4800" t="str">
        <f t="shared" si="74"/>
        <v>FHEMIG3631</v>
      </c>
      <c r="E4800" t="s">
        <v>1645</v>
      </c>
    </row>
    <row r="4801" spans="1:5" hidden="1" x14ac:dyDescent="0.25">
      <c r="A4801">
        <v>2271</v>
      </c>
      <c r="B4801" t="s">
        <v>556</v>
      </c>
      <c r="C4801" t="s">
        <v>1629</v>
      </c>
      <c r="D4801" t="str">
        <f t="shared" si="74"/>
        <v>FHEMIG3701</v>
      </c>
      <c r="E4801" t="s">
        <v>1630</v>
      </c>
    </row>
    <row r="4802" spans="1:5" hidden="1" x14ac:dyDescent="0.25">
      <c r="A4802">
        <v>2271</v>
      </c>
      <c r="B4802" t="s">
        <v>556</v>
      </c>
      <c r="C4802" t="s">
        <v>1693</v>
      </c>
      <c r="D4802" t="str">
        <f t="shared" si="74"/>
        <v>FHEMIG3702</v>
      </c>
      <c r="E4802" t="s">
        <v>1630</v>
      </c>
    </row>
    <row r="4803" spans="1:5" hidden="1" x14ac:dyDescent="0.25">
      <c r="A4803">
        <v>2271</v>
      </c>
      <c r="B4803" t="s">
        <v>556</v>
      </c>
      <c r="C4803" t="s">
        <v>1631</v>
      </c>
      <c r="D4803" t="str">
        <f t="shared" si="74"/>
        <v>FHEMIG3703</v>
      </c>
      <c r="E4803" t="s">
        <v>116</v>
      </c>
    </row>
    <row r="4804" spans="1:5" hidden="1" x14ac:dyDescent="0.25">
      <c r="A4804">
        <v>2271</v>
      </c>
      <c r="B4804" t="s">
        <v>556</v>
      </c>
      <c r="C4804" t="s">
        <v>1632</v>
      </c>
      <c r="D4804" t="str">
        <f t="shared" si="74"/>
        <v>FHEMIG3704</v>
      </c>
      <c r="E4804" t="s">
        <v>116</v>
      </c>
    </row>
    <row r="4805" spans="1:5" hidden="1" x14ac:dyDescent="0.25">
      <c r="A4805">
        <v>2271</v>
      </c>
      <c r="B4805" t="s">
        <v>556</v>
      </c>
      <c r="C4805" t="s">
        <v>1633</v>
      </c>
      <c r="D4805" t="str">
        <f t="shared" ref="D4805:D4868" si="75">CONCATENATE(B4805,LEFT(C4805,4))</f>
        <v>FHEMIG3705</v>
      </c>
      <c r="E4805" t="s">
        <v>116</v>
      </c>
    </row>
    <row r="4806" spans="1:5" hidden="1" x14ac:dyDescent="0.25">
      <c r="A4806">
        <v>2271</v>
      </c>
      <c r="B4806" t="s">
        <v>556</v>
      </c>
      <c r="C4806" t="s">
        <v>232</v>
      </c>
      <c r="D4806" t="str">
        <f t="shared" si="75"/>
        <v>FHEMIG3901</v>
      </c>
      <c r="E4806" t="s">
        <v>1596</v>
      </c>
    </row>
    <row r="4807" spans="1:5" hidden="1" x14ac:dyDescent="0.25">
      <c r="A4807">
        <v>2271</v>
      </c>
      <c r="B4807" t="s">
        <v>556</v>
      </c>
      <c r="C4807" t="s">
        <v>1830</v>
      </c>
      <c r="D4807" t="str">
        <f t="shared" si="75"/>
        <v>FHEMIG3902</v>
      </c>
      <c r="E4807" t="s">
        <v>1596</v>
      </c>
    </row>
    <row r="4808" spans="1:5" hidden="1" x14ac:dyDescent="0.25">
      <c r="A4808">
        <v>2271</v>
      </c>
      <c r="B4808" t="s">
        <v>556</v>
      </c>
      <c r="C4808" t="s">
        <v>1634</v>
      </c>
      <c r="D4808" t="str">
        <f t="shared" si="75"/>
        <v>FHEMIG3903</v>
      </c>
      <c r="E4808" t="s">
        <v>86</v>
      </c>
    </row>
    <row r="4809" spans="1:5" hidden="1" x14ac:dyDescent="0.25">
      <c r="A4809">
        <v>2271</v>
      </c>
      <c r="B4809" t="s">
        <v>556</v>
      </c>
      <c r="C4809" t="s">
        <v>298</v>
      </c>
      <c r="D4809" t="str">
        <f t="shared" si="75"/>
        <v>FHEMIG3904</v>
      </c>
      <c r="E4809" t="s">
        <v>1623</v>
      </c>
    </row>
    <row r="4810" spans="1:5" hidden="1" x14ac:dyDescent="0.25">
      <c r="A4810">
        <v>2271</v>
      </c>
      <c r="B4810" t="s">
        <v>556</v>
      </c>
      <c r="C4810" t="s">
        <v>325</v>
      </c>
      <c r="D4810" t="str">
        <f t="shared" si="75"/>
        <v>FHEMIG3906</v>
      </c>
      <c r="E4810" t="s">
        <v>1623</v>
      </c>
    </row>
    <row r="4811" spans="1:5" hidden="1" x14ac:dyDescent="0.25">
      <c r="A4811">
        <v>2271</v>
      </c>
      <c r="B4811" t="s">
        <v>556</v>
      </c>
      <c r="C4811" t="s">
        <v>1635</v>
      </c>
      <c r="D4811" t="str">
        <f t="shared" si="75"/>
        <v>FHEMIG3908</v>
      </c>
      <c r="E4811" t="s">
        <v>1623</v>
      </c>
    </row>
    <row r="4812" spans="1:5" hidden="1" x14ac:dyDescent="0.25">
      <c r="A4812">
        <v>2271</v>
      </c>
      <c r="B4812" t="s">
        <v>556</v>
      </c>
      <c r="C4812" t="s">
        <v>345</v>
      </c>
      <c r="D4812" t="str">
        <f t="shared" si="75"/>
        <v>FHEMIG3910</v>
      </c>
      <c r="E4812" t="s">
        <v>1623</v>
      </c>
    </row>
    <row r="4813" spans="1:5" hidden="1" x14ac:dyDescent="0.25">
      <c r="A4813">
        <v>2271</v>
      </c>
      <c r="B4813" t="s">
        <v>556</v>
      </c>
      <c r="C4813" t="s">
        <v>355</v>
      </c>
      <c r="D4813" t="str">
        <f t="shared" si="75"/>
        <v>FHEMIG3911</v>
      </c>
      <c r="E4813" t="s">
        <v>1623</v>
      </c>
    </row>
    <row r="4814" spans="1:5" hidden="1" x14ac:dyDescent="0.25">
      <c r="A4814">
        <v>2271</v>
      </c>
      <c r="B4814" t="s">
        <v>556</v>
      </c>
      <c r="C4814" t="s">
        <v>1636</v>
      </c>
      <c r="D4814" t="str">
        <f t="shared" si="75"/>
        <v>FHEMIG3912</v>
      </c>
      <c r="E4814" t="s">
        <v>1637</v>
      </c>
    </row>
    <row r="4815" spans="1:5" hidden="1" x14ac:dyDescent="0.25">
      <c r="A4815">
        <v>2271</v>
      </c>
      <c r="B4815" t="s">
        <v>556</v>
      </c>
      <c r="C4815" t="s">
        <v>1638</v>
      </c>
      <c r="D4815" t="str">
        <f t="shared" si="75"/>
        <v>FHEMIG3913</v>
      </c>
      <c r="E4815" t="s">
        <v>1637</v>
      </c>
    </row>
    <row r="4816" spans="1:5" hidden="1" x14ac:dyDescent="0.25">
      <c r="A4816">
        <v>2271</v>
      </c>
      <c r="B4816" t="s">
        <v>556</v>
      </c>
      <c r="C4816" t="s">
        <v>383</v>
      </c>
      <c r="D4816" t="str">
        <f t="shared" si="75"/>
        <v>FHEMIG3915</v>
      </c>
      <c r="E4816" t="s">
        <v>1637</v>
      </c>
    </row>
    <row r="4817" spans="1:5" hidden="1" x14ac:dyDescent="0.25">
      <c r="A4817">
        <v>2271</v>
      </c>
      <c r="B4817" t="s">
        <v>556</v>
      </c>
      <c r="C4817" t="s">
        <v>1639</v>
      </c>
      <c r="D4817" t="str">
        <f t="shared" si="75"/>
        <v>FHEMIG3917</v>
      </c>
      <c r="E4817" t="s">
        <v>1615</v>
      </c>
    </row>
    <row r="4818" spans="1:5" hidden="1" x14ac:dyDescent="0.25">
      <c r="A4818">
        <v>2271</v>
      </c>
      <c r="B4818" t="s">
        <v>556</v>
      </c>
      <c r="C4818" t="s">
        <v>1640</v>
      </c>
      <c r="D4818" t="str">
        <f t="shared" si="75"/>
        <v>FHEMIG3918</v>
      </c>
      <c r="E4818" t="s">
        <v>1615</v>
      </c>
    </row>
    <row r="4819" spans="1:5" hidden="1" x14ac:dyDescent="0.25">
      <c r="A4819">
        <v>2271</v>
      </c>
      <c r="B4819" t="s">
        <v>556</v>
      </c>
      <c r="C4819" t="s">
        <v>1641</v>
      </c>
      <c r="D4819" t="str">
        <f t="shared" si="75"/>
        <v>FHEMIG3919</v>
      </c>
      <c r="E4819" t="s">
        <v>2102</v>
      </c>
    </row>
    <row r="4820" spans="1:5" hidden="1" x14ac:dyDescent="0.25">
      <c r="A4820">
        <v>2271</v>
      </c>
      <c r="B4820" t="s">
        <v>556</v>
      </c>
      <c r="C4820" t="s">
        <v>1694</v>
      </c>
      <c r="D4820" t="str">
        <f t="shared" si="75"/>
        <v>FHEMIG3920</v>
      </c>
      <c r="E4820" t="s">
        <v>1692</v>
      </c>
    </row>
    <row r="4821" spans="1:5" hidden="1" x14ac:dyDescent="0.25">
      <c r="A4821">
        <v>2271</v>
      </c>
      <c r="B4821" t="s">
        <v>556</v>
      </c>
      <c r="C4821" t="s">
        <v>1642</v>
      </c>
      <c r="D4821" t="str">
        <f t="shared" si="75"/>
        <v>FHEMIG3921</v>
      </c>
      <c r="E4821" t="s">
        <v>2102</v>
      </c>
    </row>
    <row r="4822" spans="1:5" hidden="1" x14ac:dyDescent="0.25">
      <c r="A4822">
        <v>2271</v>
      </c>
      <c r="B4822" t="s">
        <v>556</v>
      </c>
      <c r="C4822" t="s">
        <v>1643</v>
      </c>
      <c r="D4822" t="str">
        <f t="shared" si="75"/>
        <v>FHEMIG3922</v>
      </c>
      <c r="E4822" t="s">
        <v>1611</v>
      </c>
    </row>
    <row r="4823" spans="1:5" hidden="1" x14ac:dyDescent="0.25">
      <c r="A4823">
        <v>2271</v>
      </c>
      <c r="B4823" t="s">
        <v>556</v>
      </c>
      <c r="C4823" t="s">
        <v>1644</v>
      </c>
      <c r="D4823" t="str">
        <f t="shared" si="75"/>
        <v>FHEMIG3924</v>
      </c>
      <c r="E4823" t="s">
        <v>1645</v>
      </c>
    </row>
    <row r="4824" spans="1:5" hidden="1" x14ac:dyDescent="0.25">
      <c r="A4824">
        <v>2271</v>
      </c>
      <c r="B4824" t="s">
        <v>556</v>
      </c>
      <c r="C4824" t="s">
        <v>442</v>
      </c>
      <c r="D4824" t="str">
        <f t="shared" si="75"/>
        <v>FHEMIG3926</v>
      </c>
      <c r="E4824" t="s">
        <v>1646</v>
      </c>
    </row>
    <row r="4825" spans="1:5" hidden="1" x14ac:dyDescent="0.25">
      <c r="A4825">
        <v>2271</v>
      </c>
      <c r="B4825" t="s">
        <v>556</v>
      </c>
      <c r="C4825" t="s">
        <v>1647</v>
      </c>
      <c r="D4825" t="str">
        <f t="shared" si="75"/>
        <v>FHEMIG3927</v>
      </c>
      <c r="E4825" t="s">
        <v>1648</v>
      </c>
    </row>
    <row r="4826" spans="1:5" hidden="1" x14ac:dyDescent="0.25">
      <c r="A4826">
        <v>2271</v>
      </c>
      <c r="B4826" t="s">
        <v>556</v>
      </c>
      <c r="C4826" t="s">
        <v>1862</v>
      </c>
      <c r="D4826" t="str">
        <f t="shared" si="75"/>
        <v>FHEMIG3928</v>
      </c>
      <c r="E4826" t="s">
        <v>1808</v>
      </c>
    </row>
    <row r="4827" spans="1:5" hidden="1" x14ac:dyDescent="0.25">
      <c r="A4827">
        <v>2271</v>
      </c>
      <c r="B4827" t="s">
        <v>556</v>
      </c>
      <c r="C4827" t="s">
        <v>1649</v>
      </c>
      <c r="D4827" t="str">
        <f t="shared" si="75"/>
        <v>FHEMIG3929</v>
      </c>
      <c r="E4827" t="s">
        <v>1606</v>
      </c>
    </row>
    <row r="4828" spans="1:5" hidden="1" x14ac:dyDescent="0.25">
      <c r="A4828">
        <v>2271</v>
      </c>
      <c r="B4828" t="s">
        <v>556</v>
      </c>
      <c r="C4828" t="s">
        <v>457</v>
      </c>
      <c r="D4828" t="str">
        <f t="shared" si="75"/>
        <v>FHEMIG3930</v>
      </c>
      <c r="E4828" t="s">
        <v>1646</v>
      </c>
    </row>
    <row r="4829" spans="1:5" hidden="1" x14ac:dyDescent="0.25">
      <c r="A4829">
        <v>2271</v>
      </c>
      <c r="B4829" t="s">
        <v>556</v>
      </c>
      <c r="C4829" t="s">
        <v>1650</v>
      </c>
      <c r="D4829" t="str">
        <f t="shared" si="75"/>
        <v>FHEMIG3931</v>
      </c>
      <c r="E4829" t="s">
        <v>1623</v>
      </c>
    </row>
    <row r="4830" spans="1:5" hidden="1" x14ac:dyDescent="0.25">
      <c r="A4830">
        <v>2271</v>
      </c>
      <c r="B4830" t="s">
        <v>556</v>
      </c>
      <c r="C4830" t="s">
        <v>465</v>
      </c>
      <c r="D4830" t="str">
        <f t="shared" si="75"/>
        <v>FHEMIG3933</v>
      </c>
      <c r="E4830" t="s">
        <v>1623</v>
      </c>
    </row>
    <row r="4831" spans="1:5" hidden="1" x14ac:dyDescent="0.25">
      <c r="A4831">
        <v>2271</v>
      </c>
      <c r="B4831" t="s">
        <v>556</v>
      </c>
      <c r="C4831" t="s">
        <v>1651</v>
      </c>
      <c r="D4831" t="str">
        <f t="shared" si="75"/>
        <v>FHEMIG3935</v>
      </c>
      <c r="E4831" t="s">
        <v>1621</v>
      </c>
    </row>
    <row r="4832" spans="1:5" hidden="1" x14ac:dyDescent="0.25">
      <c r="A4832">
        <v>2271</v>
      </c>
      <c r="B4832" t="s">
        <v>556</v>
      </c>
      <c r="C4832" t="s">
        <v>1652</v>
      </c>
      <c r="D4832" t="str">
        <f t="shared" si="75"/>
        <v>FHEMIG3936</v>
      </c>
      <c r="E4832" t="s">
        <v>93</v>
      </c>
    </row>
    <row r="4833" spans="1:5" hidden="1" x14ac:dyDescent="0.25">
      <c r="A4833">
        <v>2271</v>
      </c>
      <c r="B4833" t="s">
        <v>556</v>
      </c>
      <c r="C4833" t="s">
        <v>1695</v>
      </c>
      <c r="D4833" t="str">
        <f t="shared" si="75"/>
        <v>FHEMIG3937</v>
      </c>
      <c r="E4833" t="s">
        <v>1692</v>
      </c>
    </row>
    <row r="4834" spans="1:5" hidden="1" x14ac:dyDescent="0.25">
      <c r="A4834">
        <v>2271</v>
      </c>
      <c r="B4834" t="s">
        <v>556</v>
      </c>
      <c r="C4834" t="s">
        <v>1714</v>
      </c>
      <c r="D4834" t="str">
        <f t="shared" si="75"/>
        <v>FHEMIG3939</v>
      </c>
      <c r="E4834" t="s">
        <v>1623</v>
      </c>
    </row>
    <row r="4835" spans="1:5" hidden="1" x14ac:dyDescent="0.25">
      <c r="A4835">
        <v>2271</v>
      </c>
      <c r="B4835" t="s">
        <v>556</v>
      </c>
      <c r="C4835" t="s">
        <v>1653</v>
      </c>
      <c r="D4835" t="str">
        <f t="shared" si="75"/>
        <v>FHEMIG3940</v>
      </c>
      <c r="E4835" t="s">
        <v>1648</v>
      </c>
    </row>
    <row r="4836" spans="1:5" hidden="1" x14ac:dyDescent="0.25">
      <c r="A4836">
        <v>2271</v>
      </c>
      <c r="B4836" t="s">
        <v>556</v>
      </c>
      <c r="C4836" t="s">
        <v>479</v>
      </c>
      <c r="D4836" t="str">
        <f t="shared" si="75"/>
        <v>FHEMIG3941</v>
      </c>
      <c r="E4836" t="s">
        <v>1623</v>
      </c>
    </row>
    <row r="4837" spans="1:5" hidden="1" x14ac:dyDescent="0.25">
      <c r="A4837">
        <v>2271</v>
      </c>
      <c r="B4837" t="s">
        <v>556</v>
      </c>
      <c r="C4837" t="s">
        <v>481</v>
      </c>
      <c r="D4837" t="str">
        <f t="shared" si="75"/>
        <v>FHEMIG3942</v>
      </c>
      <c r="E4837" t="s">
        <v>1623</v>
      </c>
    </row>
    <row r="4838" spans="1:5" hidden="1" x14ac:dyDescent="0.25">
      <c r="A4838">
        <v>2271</v>
      </c>
      <c r="B4838" t="s">
        <v>556</v>
      </c>
      <c r="C4838" t="s">
        <v>1654</v>
      </c>
      <c r="D4838" t="str">
        <f t="shared" si="75"/>
        <v>FHEMIG3943</v>
      </c>
      <c r="E4838" t="s">
        <v>1615</v>
      </c>
    </row>
    <row r="4839" spans="1:5" hidden="1" x14ac:dyDescent="0.25">
      <c r="A4839">
        <v>2271</v>
      </c>
      <c r="B4839" t="s">
        <v>556</v>
      </c>
      <c r="C4839" t="s">
        <v>487</v>
      </c>
      <c r="D4839" t="str">
        <f t="shared" si="75"/>
        <v>FHEMIG3946</v>
      </c>
      <c r="E4839" t="s">
        <v>1744</v>
      </c>
    </row>
    <row r="4840" spans="1:5" hidden="1" x14ac:dyDescent="0.25">
      <c r="A4840">
        <v>2271</v>
      </c>
      <c r="B4840" t="s">
        <v>556</v>
      </c>
      <c r="C4840" t="s">
        <v>491</v>
      </c>
      <c r="D4840" t="str">
        <f t="shared" si="75"/>
        <v>FHEMIG3948</v>
      </c>
      <c r="E4840" t="s">
        <v>1645</v>
      </c>
    </row>
    <row r="4841" spans="1:5" hidden="1" x14ac:dyDescent="0.25">
      <c r="A4841">
        <v>2271</v>
      </c>
      <c r="B4841" t="s">
        <v>556</v>
      </c>
      <c r="C4841" t="s">
        <v>494</v>
      </c>
      <c r="D4841" t="str">
        <f t="shared" si="75"/>
        <v>FHEMIG3951</v>
      </c>
      <c r="E4841" t="s">
        <v>1671</v>
      </c>
    </row>
    <row r="4842" spans="1:5" hidden="1" x14ac:dyDescent="0.25">
      <c r="A4842">
        <v>2271</v>
      </c>
      <c r="B4842" t="s">
        <v>556</v>
      </c>
      <c r="C4842" t="s">
        <v>1701</v>
      </c>
      <c r="D4842" t="str">
        <f t="shared" si="75"/>
        <v>FHEMIG3952</v>
      </c>
      <c r="E4842" t="s">
        <v>64</v>
      </c>
    </row>
    <row r="4843" spans="1:5" hidden="1" x14ac:dyDescent="0.25">
      <c r="A4843">
        <v>2271</v>
      </c>
      <c r="B4843" t="s">
        <v>556</v>
      </c>
      <c r="C4843" t="s">
        <v>495</v>
      </c>
      <c r="D4843" t="str">
        <f t="shared" si="75"/>
        <v>FHEMIG3953</v>
      </c>
      <c r="E4843" t="s">
        <v>1645</v>
      </c>
    </row>
    <row r="4844" spans="1:5" hidden="1" x14ac:dyDescent="0.25">
      <c r="A4844">
        <v>2271</v>
      </c>
      <c r="B4844" t="s">
        <v>556</v>
      </c>
      <c r="C4844" t="s">
        <v>497</v>
      </c>
      <c r="D4844" t="str">
        <f t="shared" si="75"/>
        <v>FHEMIG3955</v>
      </c>
      <c r="E4844" t="s">
        <v>1623</v>
      </c>
    </row>
    <row r="4845" spans="1:5" hidden="1" x14ac:dyDescent="0.25">
      <c r="A4845">
        <v>2271</v>
      </c>
      <c r="B4845" t="s">
        <v>556</v>
      </c>
      <c r="C4845" t="s">
        <v>1656</v>
      </c>
      <c r="D4845" t="str">
        <f t="shared" si="75"/>
        <v>FHEMIG3959</v>
      </c>
      <c r="E4845" t="s">
        <v>1623</v>
      </c>
    </row>
    <row r="4846" spans="1:5" hidden="1" x14ac:dyDescent="0.25">
      <c r="A4846">
        <v>2271</v>
      </c>
      <c r="B4846" t="s">
        <v>556</v>
      </c>
      <c r="C4846" t="s">
        <v>1657</v>
      </c>
      <c r="D4846" t="str">
        <f t="shared" si="75"/>
        <v>FHEMIG3961</v>
      </c>
      <c r="E4846" t="s">
        <v>1630</v>
      </c>
    </row>
    <row r="4847" spans="1:5" hidden="1" x14ac:dyDescent="0.25">
      <c r="A4847">
        <v>2271</v>
      </c>
      <c r="B4847" t="s">
        <v>556</v>
      </c>
      <c r="C4847" t="s">
        <v>1696</v>
      </c>
      <c r="D4847" t="str">
        <f t="shared" si="75"/>
        <v>FHEMIG3962</v>
      </c>
      <c r="E4847" t="s">
        <v>2103</v>
      </c>
    </row>
    <row r="4848" spans="1:5" hidden="1" x14ac:dyDescent="0.25">
      <c r="A4848">
        <v>2271</v>
      </c>
      <c r="B4848" t="s">
        <v>556</v>
      </c>
      <c r="C4848" t="s">
        <v>1718</v>
      </c>
      <c r="D4848" t="str">
        <f t="shared" si="75"/>
        <v>FHEMIG3964</v>
      </c>
      <c r="E4848" t="s">
        <v>1623</v>
      </c>
    </row>
    <row r="4849" spans="1:5" hidden="1" x14ac:dyDescent="0.25">
      <c r="A4849">
        <v>2271</v>
      </c>
      <c r="B4849" t="s">
        <v>556</v>
      </c>
      <c r="C4849" t="s">
        <v>1820</v>
      </c>
      <c r="D4849" t="str">
        <f t="shared" si="75"/>
        <v>FHEMIG3965</v>
      </c>
      <c r="E4849" t="s">
        <v>1606</v>
      </c>
    </row>
    <row r="4850" spans="1:5" hidden="1" x14ac:dyDescent="0.25">
      <c r="A4850">
        <v>2271</v>
      </c>
      <c r="B4850" t="s">
        <v>556</v>
      </c>
      <c r="C4850" t="s">
        <v>1659</v>
      </c>
      <c r="D4850" t="str">
        <f t="shared" si="75"/>
        <v>FHEMIG3969</v>
      </c>
      <c r="E4850" t="s">
        <v>1637</v>
      </c>
    </row>
    <row r="4851" spans="1:5" hidden="1" x14ac:dyDescent="0.25">
      <c r="A4851">
        <v>2271</v>
      </c>
      <c r="B4851" t="s">
        <v>556</v>
      </c>
      <c r="C4851" t="s">
        <v>1660</v>
      </c>
      <c r="D4851" t="str">
        <f t="shared" si="75"/>
        <v>FHEMIG3970</v>
      </c>
      <c r="E4851" t="s">
        <v>1648</v>
      </c>
    </row>
    <row r="4852" spans="1:5" hidden="1" x14ac:dyDescent="0.25">
      <c r="A4852">
        <v>2271</v>
      </c>
      <c r="B4852" t="s">
        <v>556</v>
      </c>
      <c r="C4852" t="s">
        <v>1725</v>
      </c>
      <c r="D4852" t="str">
        <f t="shared" si="75"/>
        <v>FHEMIG3973</v>
      </c>
      <c r="E4852" t="s">
        <v>1623</v>
      </c>
    </row>
    <row r="4853" spans="1:5" hidden="1" x14ac:dyDescent="0.25">
      <c r="A4853">
        <v>2271</v>
      </c>
      <c r="B4853" t="s">
        <v>556</v>
      </c>
      <c r="C4853" t="s">
        <v>515</v>
      </c>
      <c r="D4853" t="str">
        <f t="shared" si="75"/>
        <v>FHEMIG3974</v>
      </c>
      <c r="E4853" t="s">
        <v>1697</v>
      </c>
    </row>
    <row r="4854" spans="1:5" hidden="1" x14ac:dyDescent="0.25">
      <c r="A4854">
        <v>2271</v>
      </c>
      <c r="B4854" t="s">
        <v>556</v>
      </c>
      <c r="C4854" t="s">
        <v>1761</v>
      </c>
      <c r="D4854" t="str">
        <f t="shared" si="75"/>
        <v>FHEMIG3975</v>
      </c>
      <c r="E4854" t="s">
        <v>1623</v>
      </c>
    </row>
    <row r="4855" spans="1:5" hidden="1" x14ac:dyDescent="0.25">
      <c r="A4855">
        <v>2271</v>
      </c>
      <c r="B4855" t="s">
        <v>556</v>
      </c>
      <c r="C4855" t="s">
        <v>1863</v>
      </c>
      <c r="D4855" t="str">
        <f t="shared" si="75"/>
        <v>FHEMIG3976</v>
      </c>
      <c r="E4855" t="s">
        <v>1808</v>
      </c>
    </row>
    <row r="4856" spans="1:5" hidden="1" x14ac:dyDescent="0.25">
      <c r="A4856">
        <v>2271</v>
      </c>
      <c r="B4856" t="s">
        <v>556</v>
      </c>
      <c r="C4856" t="s">
        <v>519</v>
      </c>
      <c r="D4856" t="str">
        <f t="shared" si="75"/>
        <v>FHEMIG3978</v>
      </c>
      <c r="E4856" t="s">
        <v>1630</v>
      </c>
    </row>
    <row r="4857" spans="1:5" hidden="1" x14ac:dyDescent="0.25">
      <c r="A4857">
        <v>2271</v>
      </c>
      <c r="B4857" t="s">
        <v>556</v>
      </c>
      <c r="C4857" t="s">
        <v>1726</v>
      </c>
      <c r="D4857" t="str">
        <f t="shared" si="75"/>
        <v>FHEMIG3980</v>
      </c>
      <c r="E4857" t="s">
        <v>1689</v>
      </c>
    </row>
    <row r="4858" spans="1:5" hidden="1" x14ac:dyDescent="0.25">
      <c r="A4858">
        <v>2271</v>
      </c>
      <c r="B4858" t="s">
        <v>556</v>
      </c>
      <c r="C4858" t="s">
        <v>520</v>
      </c>
      <c r="D4858" t="str">
        <f t="shared" si="75"/>
        <v>FHEMIG3981</v>
      </c>
      <c r="E4858" t="s">
        <v>1623</v>
      </c>
    </row>
    <row r="4859" spans="1:5" hidden="1" x14ac:dyDescent="0.25">
      <c r="A4859">
        <v>2271</v>
      </c>
      <c r="B4859" t="s">
        <v>556</v>
      </c>
      <c r="C4859" t="s">
        <v>1821</v>
      </c>
      <c r="D4859" t="str">
        <f t="shared" si="75"/>
        <v>FHEMIG3982</v>
      </c>
      <c r="E4859" t="s">
        <v>1623</v>
      </c>
    </row>
    <row r="4860" spans="1:5" hidden="1" x14ac:dyDescent="0.25">
      <c r="A4860">
        <v>2271</v>
      </c>
      <c r="B4860" t="s">
        <v>556</v>
      </c>
      <c r="C4860" t="s">
        <v>525</v>
      </c>
      <c r="D4860" t="str">
        <f t="shared" si="75"/>
        <v>FHEMIG3986</v>
      </c>
      <c r="E4860" t="s">
        <v>1623</v>
      </c>
    </row>
    <row r="4861" spans="1:5" hidden="1" x14ac:dyDescent="0.25">
      <c r="A4861">
        <v>2271</v>
      </c>
      <c r="B4861" t="s">
        <v>556</v>
      </c>
      <c r="C4861" t="s">
        <v>1661</v>
      </c>
      <c r="D4861" t="str">
        <f t="shared" si="75"/>
        <v>FHEMIG3987</v>
      </c>
      <c r="E4861" t="s">
        <v>1615</v>
      </c>
    </row>
    <row r="4862" spans="1:5" hidden="1" x14ac:dyDescent="0.25">
      <c r="A4862">
        <v>2271</v>
      </c>
      <c r="B4862" t="s">
        <v>556</v>
      </c>
      <c r="C4862" t="s">
        <v>527</v>
      </c>
      <c r="D4862" t="str">
        <f t="shared" si="75"/>
        <v>FHEMIG3988</v>
      </c>
      <c r="E4862" t="s">
        <v>1623</v>
      </c>
    </row>
    <row r="4863" spans="1:5" hidden="1" x14ac:dyDescent="0.25">
      <c r="A4863">
        <v>2271</v>
      </c>
      <c r="B4863" t="s">
        <v>556</v>
      </c>
      <c r="C4863" t="s">
        <v>1662</v>
      </c>
      <c r="D4863" t="str">
        <f t="shared" si="75"/>
        <v>FHEMIG3994</v>
      </c>
      <c r="E4863" t="s">
        <v>1621</v>
      </c>
    </row>
    <row r="4864" spans="1:5" hidden="1" x14ac:dyDescent="0.25">
      <c r="A4864">
        <v>2271</v>
      </c>
      <c r="B4864" t="s">
        <v>556</v>
      </c>
      <c r="C4864" t="s">
        <v>1710</v>
      </c>
      <c r="D4864" t="str">
        <f t="shared" si="75"/>
        <v>FHEMIG3995</v>
      </c>
      <c r="E4864" t="s">
        <v>1623</v>
      </c>
    </row>
    <row r="4865" spans="1:5" hidden="1" x14ac:dyDescent="0.25">
      <c r="A4865">
        <v>2271</v>
      </c>
      <c r="B4865" t="s">
        <v>556</v>
      </c>
      <c r="C4865" t="s">
        <v>1735</v>
      </c>
      <c r="D4865" t="str">
        <f t="shared" si="75"/>
        <v>FHEMIG3998</v>
      </c>
      <c r="E4865" t="s">
        <v>1808</v>
      </c>
    </row>
    <row r="4866" spans="1:5" hidden="1" x14ac:dyDescent="0.25">
      <c r="A4866">
        <v>2271</v>
      </c>
      <c r="B4866" t="s">
        <v>556</v>
      </c>
      <c r="C4866" t="s">
        <v>1663</v>
      </c>
      <c r="D4866" t="str">
        <f t="shared" si="75"/>
        <v>FHEMIG3999</v>
      </c>
      <c r="E4866" t="s">
        <v>1623</v>
      </c>
    </row>
    <row r="4867" spans="1:5" hidden="1" x14ac:dyDescent="0.25">
      <c r="A4867">
        <v>2271</v>
      </c>
      <c r="B4867" t="s">
        <v>556</v>
      </c>
      <c r="C4867" t="s">
        <v>1664</v>
      </c>
      <c r="D4867" t="str">
        <f t="shared" si="75"/>
        <v>FHEMIG4002</v>
      </c>
      <c r="E4867" t="s">
        <v>1648</v>
      </c>
    </row>
    <row r="4868" spans="1:5" hidden="1" x14ac:dyDescent="0.25">
      <c r="A4868">
        <v>2271</v>
      </c>
      <c r="B4868" t="s">
        <v>556</v>
      </c>
      <c r="C4868" t="s">
        <v>1665</v>
      </c>
      <c r="D4868" t="str">
        <f t="shared" si="75"/>
        <v>FHEMIG4003</v>
      </c>
      <c r="E4868" t="s">
        <v>93</v>
      </c>
    </row>
    <row r="4869" spans="1:5" hidden="1" x14ac:dyDescent="0.25">
      <c r="A4869">
        <v>2271</v>
      </c>
      <c r="B4869" t="s">
        <v>556</v>
      </c>
      <c r="C4869" t="s">
        <v>1666</v>
      </c>
      <c r="D4869" t="str">
        <f t="shared" ref="D4869:D4932" si="76">CONCATENATE(B4869,LEFT(C4869,4))</f>
        <v>FHEMIG4004</v>
      </c>
      <c r="E4869" t="s">
        <v>1648</v>
      </c>
    </row>
    <row r="4870" spans="1:5" hidden="1" x14ac:dyDescent="0.25">
      <c r="A4870">
        <v>2271</v>
      </c>
      <c r="B4870" t="s">
        <v>556</v>
      </c>
      <c r="C4870" t="s">
        <v>1667</v>
      </c>
      <c r="D4870" t="str">
        <f t="shared" si="76"/>
        <v>FHEMIG4005</v>
      </c>
      <c r="E4870" t="s">
        <v>1648</v>
      </c>
    </row>
    <row r="4871" spans="1:5" hidden="1" x14ac:dyDescent="0.25">
      <c r="A4871">
        <v>2271</v>
      </c>
      <c r="B4871" t="s">
        <v>556</v>
      </c>
      <c r="C4871" t="s">
        <v>1698</v>
      </c>
      <c r="D4871" t="str">
        <f t="shared" si="76"/>
        <v>FHEMIG4006</v>
      </c>
      <c r="E4871" t="s">
        <v>1675</v>
      </c>
    </row>
    <row r="4872" spans="1:5" hidden="1" x14ac:dyDescent="0.25">
      <c r="A4872">
        <v>2271</v>
      </c>
      <c r="B4872" t="s">
        <v>556</v>
      </c>
      <c r="C4872" t="s">
        <v>1719</v>
      </c>
      <c r="D4872" t="str">
        <f t="shared" si="76"/>
        <v>FHEMIG4101</v>
      </c>
      <c r="E4872" t="s">
        <v>1623</v>
      </c>
    </row>
    <row r="4873" spans="1:5" hidden="1" x14ac:dyDescent="0.25">
      <c r="A4873">
        <v>2271</v>
      </c>
      <c r="B4873" t="s">
        <v>556</v>
      </c>
      <c r="C4873" t="s">
        <v>1749</v>
      </c>
      <c r="D4873" t="str">
        <f t="shared" si="76"/>
        <v>FHEMIG4201</v>
      </c>
      <c r="E4873" t="s">
        <v>1728</v>
      </c>
    </row>
    <row r="4874" spans="1:5" hidden="1" x14ac:dyDescent="0.25">
      <c r="A4874">
        <v>2271</v>
      </c>
      <c r="B4874" t="s">
        <v>556</v>
      </c>
      <c r="C4874" t="s">
        <v>1668</v>
      </c>
      <c r="D4874" t="str">
        <f t="shared" si="76"/>
        <v>FHEMIG4701</v>
      </c>
      <c r="E4874" t="s">
        <v>1669</v>
      </c>
    </row>
    <row r="4875" spans="1:5" hidden="1" x14ac:dyDescent="0.25">
      <c r="A4875">
        <v>2271</v>
      </c>
      <c r="B4875" t="s">
        <v>556</v>
      </c>
      <c r="C4875" t="s">
        <v>238</v>
      </c>
      <c r="D4875" t="str">
        <f t="shared" si="76"/>
        <v>FHEMIG4702</v>
      </c>
      <c r="E4875" t="s">
        <v>1669</v>
      </c>
    </row>
    <row r="4876" spans="1:5" hidden="1" x14ac:dyDescent="0.25">
      <c r="A4876">
        <v>2271</v>
      </c>
      <c r="B4876" t="s">
        <v>556</v>
      </c>
      <c r="C4876" t="s">
        <v>264</v>
      </c>
      <c r="D4876" t="str">
        <f t="shared" si="76"/>
        <v>FHEMIG4703</v>
      </c>
      <c r="E4876" t="s">
        <v>1669</v>
      </c>
    </row>
    <row r="4877" spans="1:5" hidden="1" x14ac:dyDescent="0.25">
      <c r="A4877">
        <v>2271</v>
      </c>
      <c r="B4877" t="s">
        <v>556</v>
      </c>
      <c r="C4877" t="s">
        <v>315</v>
      </c>
      <c r="D4877" t="str">
        <f t="shared" si="76"/>
        <v>FHEMIG4706</v>
      </c>
      <c r="E4877" t="s">
        <v>1669</v>
      </c>
    </row>
    <row r="4878" spans="1:5" hidden="1" x14ac:dyDescent="0.25">
      <c r="A4878">
        <v>2271</v>
      </c>
      <c r="B4878" t="s">
        <v>556</v>
      </c>
      <c r="C4878" t="s">
        <v>327</v>
      </c>
      <c r="D4878" t="str">
        <f t="shared" si="76"/>
        <v>FHEMIG4707</v>
      </c>
      <c r="E4878" t="s">
        <v>1669</v>
      </c>
    </row>
    <row r="4879" spans="1:5" hidden="1" x14ac:dyDescent="0.25">
      <c r="A4879">
        <v>2271</v>
      </c>
      <c r="B4879" t="s">
        <v>556</v>
      </c>
      <c r="C4879" t="s">
        <v>337</v>
      </c>
      <c r="D4879" t="str">
        <f t="shared" si="76"/>
        <v>FHEMIG4708</v>
      </c>
      <c r="E4879" t="s">
        <v>1669</v>
      </c>
    </row>
    <row r="4880" spans="1:5" hidden="1" x14ac:dyDescent="0.25">
      <c r="A4880">
        <v>2271</v>
      </c>
      <c r="B4880" t="s">
        <v>556</v>
      </c>
      <c r="C4880" t="s">
        <v>347</v>
      </c>
      <c r="D4880" t="str">
        <f t="shared" si="76"/>
        <v>FHEMIG4709</v>
      </c>
      <c r="E4880" t="s">
        <v>1669</v>
      </c>
    </row>
    <row r="4881" spans="1:5" hidden="1" x14ac:dyDescent="0.25">
      <c r="A4881">
        <v>2271</v>
      </c>
      <c r="B4881" t="s">
        <v>556</v>
      </c>
      <c r="C4881" t="s">
        <v>356</v>
      </c>
      <c r="D4881" t="str">
        <f t="shared" si="76"/>
        <v>FHEMIG4710</v>
      </c>
      <c r="E4881" t="s">
        <v>1669</v>
      </c>
    </row>
    <row r="4882" spans="1:5" hidden="1" x14ac:dyDescent="0.25">
      <c r="A4882">
        <v>2271</v>
      </c>
      <c r="B4882" t="s">
        <v>556</v>
      </c>
      <c r="C4882" t="s">
        <v>363</v>
      </c>
      <c r="D4882" t="str">
        <f t="shared" si="76"/>
        <v>FHEMIG4799</v>
      </c>
      <c r="E4882" t="s">
        <v>1669</v>
      </c>
    </row>
    <row r="4883" spans="1:5" hidden="1" x14ac:dyDescent="0.25">
      <c r="A4883">
        <v>2271</v>
      </c>
      <c r="B4883" t="s">
        <v>556</v>
      </c>
      <c r="C4883" t="s">
        <v>1864</v>
      </c>
      <c r="D4883" t="str">
        <f t="shared" si="76"/>
        <v>FHEMIG4903</v>
      </c>
      <c r="E4883" t="s">
        <v>1623</v>
      </c>
    </row>
    <row r="4884" spans="1:5" hidden="1" x14ac:dyDescent="0.25">
      <c r="A4884">
        <v>2271</v>
      </c>
      <c r="B4884" t="s">
        <v>556</v>
      </c>
      <c r="C4884" t="s">
        <v>1752</v>
      </c>
      <c r="D4884" t="str">
        <f t="shared" si="76"/>
        <v>FHEMIG4904</v>
      </c>
      <c r="E4884" t="s">
        <v>1596</v>
      </c>
    </row>
    <row r="4885" spans="1:5" hidden="1" x14ac:dyDescent="0.25">
      <c r="A4885">
        <v>2271</v>
      </c>
      <c r="B4885" t="s">
        <v>556</v>
      </c>
      <c r="C4885" t="s">
        <v>1670</v>
      </c>
      <c r="D4885" t="str">
        <f t="shared" si="76"/>
        <v>FHEMIG5101</v>
      </c>
      <c r="E4885" t="s">
        <v>1671</v>
      </c>
    </row>
    <row r="4886" spans="1:5" hidden="1" x14ac:dyDescent="0.25">
      <c r="A4886">
        <v>2271</v>
      </c>
      <c r="B4886" t="s">
        <v>556</v>
      </c>
      <c r="C4886" t="s">
        <v>1672</v>
      </c>
      <c r="D4886" t="str">
        <f t="shared" si="76"/>
        <v>FHEMIG5103</v>
      </c>
      <c r="E4886" t="s">
        <v>1671</v>
      </c>
    </row>
    <row r="4887" spans="1:5" hidden="1" x14ac:dyDescent="0.25">
      <c r="A4887">
        <v>2271</v>
      </c>
      <c r="B4887" t="s">
        <v>556</v>
      </c>
      <c r="C4887" t="s">
        <v>172</v>
      </c>
      <c r="D4887" t="str">
        <f t="shared" si="76"/>
        <v>FHEMIG5107</v>
      </c>
      <c r="E4887" t="s">
        <v>1671</v>
      </c>
    </row>
    <row r="4888" spans="1:5" hidden="1" x14ac:dyDescent="0.25">
      <c r="A4888">
        <v>2271</v>
      </c>
      <c r="B4888" t="s">
        <v>556</v>
      </c>
      <c r="C4888" t="s">
        <v>348</v>
      </c>
      <c r="D4888" t="str">
        <f t="shared" si="76"/>
        <v>FHEMIG5110</v>
      </c>
      <c r="E4888" t="s">
        <v>1671</v>
      </c>
    </row>
    <row r="4889" spans="1:5" hidden="1" x14ac:dyDescent="0.25">
      <c r="A4889">
        <v>2271</v>
      </c>
      <c r="B4889" t="s">
        <v>556</v>
      </c>
      <c r="C4889" t="s">
        <v>371</v>
      </c>
      <c r="D4889" t="str">
        <f t="shared" si="76"/>
        <v>FHEMIG5113</v>
      </c>
      <c r="E4889" t="s">
        <v>1671</v>
      </c>
    </row>
    <row r="4890" spans="1:5" hidden="1" x14ac:dyDescent="0.25">
      <c r="A4890">
        <v>2271</v>
      </c>
      <c r="B4890" t="s">
        <v>556</v>
      </c>
      <c r="C4890" t="s">
        <v>1721</v>
      </c>
      <c r="D4890" t="str">
        <f t="shared" si="76"/>
        <v>FHEMIG5114</v>
      </c>
      <c r="E4890" t="s">
        <v>1671</v>
      </c>
    </row>
    <row r="4891" spans="1:5" hidden="1" x14ac:dyDescent="0.25">
      <c r="A4891">
        <v>2271</v>
      </c>
      <c r="B4891" t="s">
        <v>556</v>
      </c>
      <c r="C4891" t="s">
        <v>287</v>
      </c>
      <c r="D4891" t="str">
        <f t="shared" si="76"/>
        <v>FHEMIG5203</v>
      </c>
      <c r="E4891" t="s">
        <v>1674</v>
      </c>
    </row>
    <row r="4892" spans="1:5" hidden="1" x14ac:dyDescent="0.25">
      <c r="A4892">
        <v>2271</v>
      </c>
      <c r="B4892" t="s">
        <v>556</v>
      </c>
      <c r="C4892" t="s">
        <v>1673</v>
      </c>
      <c r="D4892" t="str">
        <f t="shared" si="76"/>
        <v>FHEMIG5204</v>
      </c>
      <c r="E4892" t="s">
        <v>1674</v>
      </c>
    </row>
    <row r="4893" spans="1:5" hidden="1" x14ac:dyDescent="0.25">
      <c r="A4893">
        <v>2271</v>
      </c>
      <c r="B4893" t="s">
        <v>556</v>
      </c>
      <c r="C4893" t="s">
        <v>328</v>
      </c>
      <c r="D4893" t="str">
        <f t="shared" si="76"/>
        <v>FHEMIG5206</v>
      </c>
      <c r="E4893" t="s">
        <v>1675</v>
      </c>
    </row>
    <row r="4894" spans="1:5" hidden="1" x14ac:dyDescent="0.25">
      <c r="A4894">
        <v>2271</v>
      </c>
      <c r="B4894" t="s">
        <v>556</v>
      </c>
      <c r="C4894" t="s">
        <v>1676</v>
      </c>
      <c r="D4894" t="str">
        <f t="shared" si="76"/>
        <v>FHEMIG5207</v>
      </c>
      <c r="E4894" t="s">
        <v>1675</v>
      </c>
    </row>
    <row r="4895" spans="1:5" hidden="1" x14ac:dyDescent="0.25">
      <c r="A4895">
        <v>2271</v>
      </c>
      <c r="B4895" t="s">
        <v>556</v>
      </c>
      <c r="C4895" t="s">
        <v>1677</v>
      </c>
      <c r="D4895" t="str">
        <f t="shared" si="76"/>
        <v>FHEMIG5208</v>
      </c>
      <c r="E4895" t="s">
        <v>1675</v>
      </c>
    </row>
    <row r="4896" spans="1:5" hidden="1" x14ac:dyDescent="0.25">
      <c r="A4896">
        <v>2271</v>
      </c>
      <c r="B4896" t="s">
        <v>556</v>
      </c>
      <c r="C4896" t="s">
        <v>358</v>
      </c>
      <c r="D4896" t="str">
        <f t="shared" si="76"/>
        <v>FHEMIG5209</v>
      </c>
      <c r="E4896" t="s">
        <v>1674</v>
      </c>
    </row>
    <row r="4897" spans="1:5" hidden="1" x14ac:dyDescent="0.25">
      <c r="A4897">
        <v>2271</v>
      </c>
      <c r="B4897" t="s">
        <v>556</v>
      </c>
      <c r="C4897" t="s">
        <v>1678</v>
      </c>
      <c r="D4897" t="str">
        <f t="shared" si="76"/>
        <v>FHEMIG5210</v>
      </c>
      <c r="E4897" t="s">
        <v>1674</v>
      </c>
    </row>
    <row r="4898" spans="1:5" hidden="1" x14ac:dyDescent="0.25">
      <c r="A4898">
        <v>2271</v>
      </c>
      <c r="B4898" t="s">
        <v>556</v>
      </c>
      <c r="C4898" t="s">
        <v>1713</v>
      </c>
      <c r="D4898" t="str">
        <f t="shared" si="76"/>
        <v>FHEMIG5211</v>
      </c>
      <c r="E4898" t="s">
        <v>1606</v>
      </c>
    </row>
    <row r="4899" spans="1:5" hidden="1" x14ac:dyDescent="0.25">
      <c r="A4899">
        <v>2271</v>
      </c>
      <c r="B4899" t="s">
        <v>556</v>
      </c>
      <c r="C4899" t="s">
        <v>1679</v>
      </c>
      <c r="D4899" t="str">
        <f t="shared" si="76"/>
        <v>FHEMIG5212</v>
      </c>
      <c r="E4899" t="s">
        <v>1674</v>
      </c>
    </row>
    <row r="4900" spans="1:5" hidden="1" x14ac:dyDescent="0.25">
      <c r="A4900">
        <v>2271</v>
      </c>
      <c r="B4900" t="s">
        <v>556</v>
      </c>
      <c r="C4900" t="s">
        <v>384</v>
      </c>
      <c r="D4900" t="str">
        <f t="shared" si="76"/>
        <v>FHEMIG5213</v>
      </c>
      <c r="E4900" t="s">
        <v>1674</v>
      </c>
    </row>
    <row r="4901" spans="1:5" hidden="1" x14ac:dyDescent="0.25">
      <c r="A4901">
        <v>2271</v>
      </c>
      <c r="B4901" t="s">
        <v>556</v>
      </c>
      <c r="C4901" t="s">
        <v>390</v>
      </c>
      <c r="D4901" t="str">
        <f t="shared" si="76"/>
        <v>FHEMIG5214</v>
      </c>
      <c r="E4901" t="s">
        <v>1674</v>
      </c>
    </row>
    <row r="4902" spans="1:5" hidden="1" x14ac:dyDescent="0.25">
      <c r="A4902">
        <v>2271</v>
      </c>
      <c r="B4902" t="s">
        <v>556</v>
      </c>
      <c r="C4902" t="s">
        <v>396</v>
      </c>
      <c r="D4902" t="str">
        <f t="shared" si="76"/>
        <v>FHEMIG5215</v>
      </c>
      <c r="E4902" t="s">
        <v>1674</v>
      </c>
    </row>
    <row r="4903" spans="1:5" hidden="1" x14ac:dyDescent="0.25">
      <c r="A4903">
        <v>2271</v>
      </c>
      <c r="B4903" t="s">
        <v>556</v>
      </c>
      <c r="C4903" t="s">
        <v>402</v>
      </c>
      <c r="D4903" t="str">
        <f t="shared" si="76"/>
        <v>FHEMIG5216</v>
      </c>
      <c r="E4903" t="s">
        <v>1680</v>
      </c>
    </row>
    <row r="4904" spans="1:5" hidden="1" x14ac:dyDescent="0.25">
      <c r="A4904">
        <v>2271</v>
      </c>
      <c r="B4904" t="s">
        <v>556</v>
      </c>
      <c r="C4904" t="s">
        <v>408</v>
      </c>
      <c r="D4904" t="str">
        <f t="shared" si="76"/>
        <v>FHEMIG5217</v>
      </c>
      <c r="E4904" t="s">
        <v>1680</v>
      </c>
    </row>
    <row r="4905" spans="1:5" hidden="1" x14ac:dyDescent="0.25">
      <c r="A4905">
        <v>2271</v>
      </c>
      <c r="B4905" t="s">
        <v>556</v>
      </c>
      <c r="C4905" t="s">
        <v>418</v>
      </c>
      <c r="D4905" t="str">
        <f t="shared" si="76"/>
        <v>FHEMIG5219</v>
      </c>
      <c r="E4905" t="s">
        <v>1674</v>
      </c>
    </row>
    <row r="4906" spans="1:5" hidden="1" x14ac:dyDescent="0.25">
      <c r="A4906">
        <v>2271</v>
      </c>
      <c r="B4906" t="s">
        <v>556</v>
      </c>
      <c r="C4906" t="s">
        <v>1681</v>
      </c>
      <c r="D4906" t="str">
        <f t="shared" si="76"/>
        <v>FHEMIG5220</v>
      </c>
      <c r="E4906" t="s">
        <v>1675</v>
      </c>
    </row>
    <row r="4907" spans="1:5" hidden="1" x14ac:dyDescent="0.25">
      <c r="A4907">
        <v>2271</v>
      </c>
      <c r="B4907" t="s">
        <v>556</v>
      </c>
      <c r="C4907" t="s">
        <v>428</v>
      </c>
      <c r="D4907" t="str">
        <f t="shared" si="76"/>
        <v>FHEMIG5221</v>
      </c>
      <c r="E4907" t="s">
        <v>1674</v>
      </c>
    </row>
    <row r="4908" spans="1:5" hidden="1" x14ac:dyDescent="0.25">
      <c r="A4908">
        <v>2271</v>
      </c>
      <c r="B4908" t="s">
        <v>556</v>
      </c>
      <c r="C4908" t="s">
        <v>448</v>
      </c>
      <c r="D4908" t="str">
        <f t="shared" si="76"/>
        <v>FHEMIG5225</v>
      </c>
      <c r="E4908" t="s">
        <v>1674</v>
      </c>
    </row>
    <row r="4909" spans="1:5" hidden="1" x14ac:dyDescent="0.25">
      <c r="A4909">
        <v>2271</v>
      </c>
      <c r="B4909" t="s">
        <v>556</v>
      </c>
      <c r="C4909" t="s">
        <v>1682</v>
      </c>
      <c r="D4909" t="str">
        <f t="shared" si="76"/>
        <v>FHEMIG5226</v>
      </c>
      <c r="E4909" t="s">
        <v>1674</v>
      </c>
    </row>
    <row r="4910" spans="1:5" hidden="1" x14ac:dyDescent="0.25">
      <c r="A4910">
        <v>2271</v>
      </c>
      <c r="B4910" t="s">
        <v>556</v>
      </c>
      <c r="C4910" t="s">
        <v>1683</v>
      </c>
      <c r="D4910" t="str">
        <f t="shared" si="76"/>
        <v>FHEMIG5227</v>
      </c>
      <c r="E4910" t="s">
        <v>1674</v>
      </c>
    </row>
    <row r="4911" spans="1:5" hidden="1" x14ac:dyDescent="0.25">
      <c r="A4911">
        <v>2271</v>
      </c>
      <c r="B4911" t="s">
        <v>556</v>
      </c>
      <c r="C4911" t="s">
        <v>458</v>
      </c>
      <c r="D4911" t="str">
        <f t="shared" si="76"/>
        <v>FHEMIG5299</v>
      </c>
      <c r="E4911" t="s">
        <v>1674</v>
      </c>
    </row>
    <row r="4912" spans="1:5" hidden="1" x14ac:dyDescent="0.25">
      <c r="A4912">
        <v>2271</v>
      </c>
      <c r="B4912" t="s">
        <v>556</v>
      </c>
      <c r="C4912" t="s">
        <v>1822</v>
      </c>
      <c r="D4912" t="str">
        <f t="shared" si="76"/>
        <v>FHEMIG5905</v>
      </c>
      <c r="E4912" t="s">
        <v>1623</v>
      </c>
    </row>
    <row r="4913" spans="1:5" hidden="1" x14ac:dyDescent="0.25">
      <c r="A4913">
        <v>2271</v>
      </c>
      <c r="B4913" t="s">
        <v>556</v>
      </c>
      <c r="C4913" t="s">
        <v>1723</v>
      </c>
      <c r="D4913" t="str">
        <f t="shared" si="76"/>
        <v>FHEMIG9108</v>
      </c>
      <c r="E4913" t="s">
        <v>1724</v>
      </c>
    </row>
    <row r="4914" spans="1:5" hidden="1" x14ac:dyDescent="0.25">
      <c r="A4914">
        <v>2271</v>
      </c>
      <c r="B4914" t="s">
        <v>556</v>
      </c>
      <c r="C4914" t="s">
        <v>1684</v>
      </c>
      <c r="D4914" t="str">
        <f t="shared" si="76"/>
        <v>FHEMIG9202</v>
      </c>
      <c r="E4914" t="s">
        <v>1685</v>
      </c>
    </row>
    <row r="4915" spans="1:5" hidden="1" x14ac:dyDescent="0.25">
      <c r="A4915">
        <v>2271</v>
      </c>
      <c r="B4915" t="s">
        <v>556</v>
      </c>
      <c r="C4915" t="s">
        <v>330</v>
      </c>
      <c r="D4915" t="str">
        <f t="shared" si="76"/>
        <v>FHEMIG9306</v>
      </c>
      <c r="E4915" t="s">
        <v>1686</v>
      </c>
    </row>
    <row r="4916" spans="1:5" hidden="1" x14ac:dyDescent="0.25">
      <c r="A4916">
        <v>2271</v>
      </c>
      <c r="B4916" t="s">
        <v>556</v>
      </c>
      <c r="C4916" t="s">
        <v>366</v>
      </c>
      <c r="D4916" t="str">
        <f t="shared" si="76"/>
        <v>FHEMIG9310</v>
      </c>
      <c r="E4916" t="s">
        <v>1623</v>
      </c>
    </row>
    <row r="4917" spans="1:5" hidden="1" x14ac:dyDescent="0.25">
      <c r="A4917">
        <v>2271</v>
      </c>
      <c r="B4917" t="s">
        <v>556</v>
      </c>
      <c r="C4917" t="s">
        <v>379</v>
      </c>
      <c r="D4917" t="str">
        <f t="shared" si="76"/>
        <v>FHEMIG9312</v>
      </c>
      <c r="E4917" t="s">
        <v>1623</v>
      </c>
    </row>
    <row r="4918" spans="1:5" hidden="1" x14ac:dyDescent="0.25">
      <c r="A4918">
        <v>2271</v>
      </c>
      <c r="B4918" t="s">
        <v>556</v>
      </c>
      <c r="C4918" t="s">
        <v>439</v>
      </c>
      <c r="D4918" t="str">
        <f t="shared" si="76"/>
        <v>FHEMIG9326</v>
      </c>
      <c r="E4918" t="s">
        <v>1623</v>
      </c>
    </row>
    <row r="4919" spans="1:5" hidden="1" x14ac:dyDescent="0.25">
      <c r="A4919">
        <v>2271</v>
      </c>
      <c r="B4919" t="s">
        <v>556</v>
      </c>
      <c r="C4919" t="s">
        <v>444</v>
      </c>
      <c r="D4919" t="str">
        <f t="shared" si="76"/>
        <v>FHEMIG9327</v>
      </c>
      <c r="E4919" t="s">
        <v>1623</v>
      </c>
    </row>
    <row r="4920" spans="1:5" hidden="1" x14ac:dyDescent="0.25">
      <c r="A4920">
        <v>2271</v>
      </c>
      <c r="B4920" t="s">
        <v>556</v>
      </c>
      <c r="C4920" t="s">
        <v>1687</v>
      </c>
      <c r="D4920" t="str">
        <f t="shared" si="76"/>
        <v>FHEMIG9399</v>
      </c>
      <c r="E4920" t="s">
        <v>1623</v>
      </c>
    </row>
    <row r="4921" spans="1:5" hidden="1" x14ac:dyDescent="0.25">
      <c r="A4921">
        <v>2271</v>
      </c>
      <c r="B4921" t="s">
        <v>556</v>
      </c>
      <c r="C4921" t="s">
        <v>1814</v>
      </c>
      <c r="D4921" t="str">
        <f t="shared" si="76"/>
        <v>FHEMIG9701</v>
      </c>
      <c r="E4921" t="s">
        <v>1623</v>
      </c>
    </row>
    <row r="4922" spans="1:5" hidden="1" x14ac:dyDescent="0.25">
      <c r="A4922">
        <v>2281</v>
      </c>
      <c r="B4922" t="s">
        <v>594</v>
      </c>
      <c r="C4922" t="s">
        <v>1737</v>
      </c>
      <c r="D4922" t="str">
        <f t="shared" si="76"/>
        <v>UTRAMIG1307</v>
      </c>
      <c r="E4922" t="s">
        <v>1689</v>
      </c>
    </row>
    <row r="4923" spans="1:5" hidden="1" x14ac:dyDescent="0.25">
      <c r="A4923">
        <v>2281</v>
      </c>
      <c r="B4923" t="s">
        <v>594</v>
      </c>
      <c r="C4923" t="s">
        <v>331</v>
      </c>
      <c r="D4923" t="str">
        <f t="shared" si="76"/>
        <v>UTRAMIG1314</v>
      </c>
      <c r="E4923" t="s">
        <v>1689</v>
      </c>
    </row>
    <row r="4924" spans="1:5" hidden="1" x14ac:dyDescent="0.25">
      <c r="A4924">
        <v>2281</v>
      </c>
      <c r="B4924" t="s">
        <v>594</v>
      </c>
      <c r="C4924" t="s">
        <v>1688</v>
      </c>
      <c r="D4924" t="str">
        <f t="shared" si="76"/>
        <v>UTRAMIG1317</v>
      </c>
      <c r="E4924" t="s">
        <v>1689</v>
      </c>
    </row>
    <row r="4925" spans="1:5" hidden="1" x14ac:dyDescent="0.25">
      <c r="A4925">
        <v>2281</v>
      </c>
      <c r="B4925" t="s">
        <v>594</v>
      </c>
      <c r="C4925" t="s">
        <v>398</v>
      </c>
      <c r="D4925" t="str">
        <f t="shared" si="76"/>
        <v>UTRAMIG1325</v>
      </c>
      <c r="E4925" t="s">
        <v>1689</v>
      </c>
    </row>
    <row r="4926" spans="1:5" hidden="1" x14ac:dyDescent="0.25">
      <c r="A4926">
        <v>2281</v>
      </c>
      <c r="B4926" t="s">
        <v>594</v>
      </c>
      <c r="C4926" t="s">
        <v>1597</v>
      </c>
      <c r="D4926" t="str">
        <f t="shared" si="76"/>
        <v>UTRAMIG1401</v>
      </c>
      <c r="E4926" t="s">
        <v>43</v>
      </c>
    </row>
    <row r="4927" spans="1:5" hidden="1" x14ac:dyDescent="0.25">
      <c r="A4927">
        <v>2281</v>
      </c>
      <c r="B4927" t="s">
        <v>594</v>
      </c>
      <c r="C4927" t="s">
        <v>221</v>
      </c>
      <c r="D4927" t="str">
        <f t="shared" si="76"/>
        <v>UTRAMIG1801</v>
      </c>
      <c r="E4927" t="s">
        <v>1738</v>
      </c>
    </row>
    <row r="4928" spans="1:5" hidden="1" x14ac:dyDescent="0.25">
      <c r="A4928">
        <v>2281</v>
      </c>
      <c r="B4928" t="s">
        <v>594</v>
      </c>
      <c r="C4928" t="s">
        <v>1599</v>
      </c>
      <c r="D4928" t="str">
        <f t="shared" si="76"/>
        <v>UTRAMIG3001</v>
      </c>
      <c r="E4928" t="s">
        <v>1600</v>
      </c>
    </row>
    <row r="4929" spans="1:5" hidden="1" x14ac:dyDescent="0.25">
      <c r="A4929">
        <v>2281</v>
      </c>
      <c r="B4929" t="s">
        <v>594</v>
      </c>
      <c r="C4929" t="s">
        <v>1601</v>
      </c>
      <c r="D4929" t="str">
        <f t="shared" si="76"/>
        <v>UTRAMIG3003</v>
      </c>
      <c r="E4929" t="s">
        <v>1600</v>
      </c>
    </row>
    <row r="4930" spans="1:5" hidden="1" x14ac:dyDescent="0.25">
      <c r="A4930">
        <v>2281</v>
      </c>
      <c r="B4930" t="s">
        <v>594</v>
      </c>
      <c r="C4930" t="s">
        <v>1602</v>
      </c>
      <c r="D4930" t="str">
        <f t="shared" si="76"/>
        <v>UTRAMIG3004</v>
      </c>
      <c r="E4930" t="s">
        <v>1600</v>
      </c>
    </row>
    <row r="4931" spans="1:5" hidden="1" x14ac:dyDescent="0.25">
      <c r="A4931">
        <v>2281</v>
      </c>
      <c r="B4931" t="s">
        <v>594</v>
      </c>
      <c r="C4931" t="s">
        <v>1603</v>
      </c>
      <c r="D4931" t="str">
        <f t="shared" si="76"/>
        <v>UTRAMIG3005</v>
      </c>
      <c r="E4931" t="s">
        <v>1600</v>
      </c>
    </row>
    <row r="4932" spans="1:5" hidden="1" x14ac:dyDescent="0.25">
      <c r="A4932">
        <v>2281</v>
      </c>
      <c r="B4932" t="s">
        <v>594</v>
      </c>
      <c r="C4932" t="s">
        <v>332</v>
      </c>
      <c r="D4932" t="str">
        <f t="shared" si="76"/>
        <v>UTRAMIG3007</v>
      </c>
      <c r="E4932" t="s">
        <v>1600</v>
      </c>
    </row>
    <row r="4933" spans="1:5" hidden="1" x14ac:dyDescent="0.25">
      <c r="A4933">
        <v>2281</v>
      </c>
      <c r="B4933" t="s">
        <v>594</v>
      </c>
      <c r="C4933" t="s">
        <v>1604</v>
      </c>
      <c r="D4933" t="str">
        <f t="shared" ref="D4933:D4996" si="77">CONCATENATE(B4933,LEFT(C4933,4))</f>
        <v>UTRAMIG3008</v>
      </c>
      <c r="E4933" t="s">
        <v>1600</v>
      </c>
    </row>
    <row r="4934" spans="1:5" hidden="1" x14ac:dyDescent="0.25">
      <c r="A4934">
        <v>2281</v>
      </c>
      <c r="B4934" t="s">
        <v>594</v>
      </c>
      <c r="C4934" t="s">
        <v>1605</v>
      </c>
      <c r="D4934" t="str">
        <f t="shared" si="77"/>
        <v>UTRAMIG3010</v>
      </c>
      <c r="E4934" t="s">
        <v>1606</v>
      </c>
    </row>
    <row r="4935" spans="1:5" hidden="1" x14ac:dyDescent="0.25">
      <c r="A4935">
        <v>2281</v>
      </c>
      <c r="B4935" t="s">
        <v>594</v>
      </c>
      <c r="C4935" t="s">
        <v>368</v>
      </c>
      <c r="D4935" t="str">
        <f t="shared" si="77"/>
        <v>UTRAMIG3011</v>
      </c>
      <c r="E4935" t="s">
        <v>1600</v>
      </c>
    </row>
    <row r="4936" spans="1:5" hidden="1" x14ac:dyDescent="0.25">
      <c r="A4936">
        <v>2281</v>
      </c>
      <c r="B4936" t="s">
        <v>594</v>
      </c>
      <c r="C4936" t="s">
        <v>137</v>
      </c>
      <c r="D4936" t="str">
        <f t="shared" si="77"/>
        <v>UTRAMIG3012</v>
      </c>
      <c r="E4936" t="s">
        <v>1606</v>
      </c>
    </row>
    <row r="4937" spans="1:5" hidden="1" x14ac:dyDescent="0.25">
      <c r="A4937">
        <v>2281</v>
      </c>
      <c r="B4937" t="s">
        <v>594</v>
      </c>
      <c r="C4937" t="s">
        <v>1607</v>
      </c>
      <c r="D4937" t="str">
        <f t="shared" si="77"/>
        <v>UTRAMIG3013</v>
      </c>
      <c r="E4937" t="s">
        <v>1600</v>
      </c>
    </row>
    <row r="4938" spans="1:5" hidden="1" x14ac:dyDescent="0.25">
      <c r="A4938">
        <v>2281</v>
      </c>
      <c r="B4938" t="s">
        <v>594</v>
      </c>
      <c r="C4938" t="s">
        <v>1608</v>
      </c>
      <c r="D4938" t="str">
        <f t="shared" si="77"/>
        <v>UTRAMIG3015</v>
      </c>
      <c r="E4938" t="s">
        <v>1600</v>
      </c>
    </row>
    <row r="4939" spans="1:5" hidden="1" x14ac:dyDescent="0.25">
      <c r="A4939">
        <v>2281</v>
      </c>
      <c r="B4939" t="s">
        <v>594</v>
      </c>
      <c r="C4939" t="s">
        <v>1609</v>
      </c>
      <c r="D4939" t="str">
        <f t="shared" si="77"/>
        <v>UTRAMIG3016</v>
      </c>
      <c r="E4939" t="s">
        <v>1600</v>
      </c>
    </row>
    <row r="4940" spans="1:5" hidden="1" x14ac:dyDescent="0.25">
      <c r="A4940">
        <v>2281</v>
      </c>
      <c r="B4940" t="s">
        <v>594</v>
      </c>
      <c r="C4940" t="s">
        <v>405</v>
      </c>
      <c r="D4940" t="str">
        <f t="shared" si="77"/>
        <v>UTRAMIG3017</v>
      </c>
      <c r="E4940" t="s">
        <v>1600</v>
      </c>
    </row>
    <row r="4941" spans="1:5" hidden="1" x14ac:dyDescent="0.25">
      <c r="A4941">
        <v>2281</v>
      </c>
      <c r="B4941" t="s">
        <v>594</v>
      </c>
      <c r="C4941" t="s">
        <v>410</v>
      </c>
      <c r="D4941" t="str">
        <f t="shared" si="77"/>
        <v>UTRAMIG3018</v>
      </c>
      <c r="E4941" t="s">
        <v>1600</v>
      </c>
    </row>
    <row r="4942" spans="1:5" hidden="1" x14ac:dyDescent="0.25">
      <c r="A4942">
        <v>2281</v>
      </c>
      <c r="B4942" t="s">
        <v>594</v>
      </c>
      <c r="C4942" t="s">
        <v>1610</v>
      </c>
      <c r="D4942" t="str">
        <f t="shared" si="77"/>
        <v>UTRAMIG3019</v>
      </c>
      <c r="E4942" t="s">
        <v>1611</v>
      </c>
    </row>
    <row r="4943" spans="1:5" hidden="1" x14ac:dyDescent="0.25">
      <c r="A4943">
        <v>2281</v>
      </c>
      <c r="B4943" t="s">
        <v>594</v>
      </c>
      <c r="C4943" t="s">
        <v>1612</v>
      </c>
      <c r="D4943" t="str">
        <f t="shared" si="77"/>
        <v>UTRAMIG3020</v>
      </c>
      <c r="E4943" t="s">
        <v>1600</v>
      </c>
    </row>
    <row r="4944" spans="1:5" hidden="1" x14ac:dyDescent="0.25">
      <c r="A4944">
        <v>2281</v>
      </c>
      <c r="B4944" t="s">
        <v>594</v>
      </c>
      <c r="C4944" t="s">
        <v>1613</v>
      </c>
      <c r="D4944" t="str">
        <f t="shared" si="77"/>
        <v>UTRAMIG3021</v>
      </c>
      <c r="E4944" t="s">
        <v>1600</v>
      </c>
    </row>
    <row r="4945" spans="1:5" hidden="1" x14ac:dyDescent="0.25">
      <c r="A4945">
        <v>2281</v>
      </c>
      <c r="B4945" t="s">
        <v>594</v>
      </c>
      <c r="C4945" t="s">
        <v>430</v>
      </c>
      <c r="D4945" t="str">
        <f t="shared" si="77"/>
        <v>UTRAMIG3022</v>
      </c>
      <c r="E4945" t="s">
        <v>1600</v>
      </c>
    </row>
    <row r="4946" spans="1:5" hidden="1" x14ac:dyDescent="0.25">
      <c r="A4946">
        <v>2281</v>
      </c>
      <c r="B4946" t="s">
        <v>594</v>
      </c>
      <c r="C4946" t="s">
        <v>1614</v>
      </c>
      <c r="D4946" t="str">
        <f t="shared" si="77"/>
        <v>UTRAMIG3023</v>
      </c>
      <c r="E4946" t="s">
        <v>1615</v>
      </c>
    </row>
    <row r="4947" spans="1:5" hidden="1" x14ac:dyDescent="0.25">
      <c r="A4947">
        <v>2281</v>
      </c>
      <c r="B4947" t="s">
        <v>594</v>
      </c>
      <c r="C4947" t="s">
        <v>440</v>
      </c>
      <c r="D4947" t="str">
        <f t="shared" si="77"/>
        <v>UTRAMIG3024</v>
      </c>
      <c r="E4947" t="s">
        <v>1600</v>
      </c>
    </row>
    <row r="4948" spans="1:5" hidden="1" x14ac:dyDescent="0.25">
      <c r="A4948">
        <v>2281</v>
      </c>
      <c r="B4948" t="s">
        <v>594</v>
      </c>
      <c r="C4948" t="s">
        <v>1616</v>
      </c>
      <c r="D4948" t="str">
        <f t="shared" si="77"/>
        <v>UTRAMIG3025</v>
      </c>
      <c r="E4948" t="s">
        <v>1600</v>
      </c>
    </row>
    <row r="4949" spans="1:5" hidden="1" x14ac:dyDescent="0.25">
      <c r="A4949">
        <v>2281</v>
      </c>
      <c r="B4949" t="s">
        <v>594</v>
      </c>
      <c r="C4949" t="s">
        <v>1617</v>
      </c>
      <c r="D4949" t="str">
        <f t="shared" si="77"/>
        <v>UTRAMIG3026</v>
      </c>
      <c r="E4949" t="s">
        <v>1615</v>
      </c>
    </row>
    <row r="4950" spans="1:5" hidden="1" x14ac:dyDescent="0.25">
      <c r="A4950">
        <v>2281</v>
      </c>
      <c r="B4950" t="s">
        <v>594</v>
      </c>
      <c r="C4950" t="s">
        <v>1618</v>
      </c>
      <c r="D4950" t="str">
        <f t="shared" si="77"/>
        <v>UTRAMIG3027</v>
      </c>
      <c r="E4950" t="s">
        <v>1600</v>
      </c>
    </row>
    <row r="4951" spans="1:5" hidden="1" x14ac:dyDescent="0.25">
      <c r="A4951">
        <v>2281</v>
      </c>
      <c r="B4951" t="s">
        <v>594</v>
      </c>
      <c r="C4951" t="s">
        <v>1756</v>
      </c>
      <c r="D4951" t="str">
        <f t="shared" si="77"/>
        <v>UTRAMIG3036</v>
      </c>
      <c r="E4951" t="s">
        <v>1600</v>
      </c>
    </row>
    <row r="4952" spans="1:5" hidden="1" x14ac:dyDescent="0.25">
      <c r="A4952">
        <v>2281</v>
      </c>
      <c r="B4952" t="s">
        <v>594</v>
      </c>
      <c r="C4952" t="s">
        <v>490</v>
      </c>
      <c r="D4952" t="str">
        <f t="shared" si="77"/>
        <v>UTRAMIG3099</v>
      </c>
      <c r="E4952" t="s">
        <v>1600</v>
      </c>
    </row>
    <row r="4953" spans="1:5" hidden="1" x14ac:dyDescent="0.25">
      <c r="A4953">
        <v>2281</v>
      </c>
      <c r="B4953" t="s">
        <v>594</v>
      </c>
      <c r="C4953" t="s">
        <v>1626</v>
      </c>
      <c r="D4953" t="str">
        <f t="shared" si="77"/>
        <v>UTRAMIG3302</v>
      </c>
      <c r="E4953" t="s">
        <v>43</v>
      </c>
    </row>
    <row r="4954" spans="1:5" hidden="1" x14ac:dyDescent="0.25">
      <c r="A4954">
        <v>2281</v>
      </c>
      <c r="B4954" t="s">
        <v>594</v>
      </c>
      <c r="C4954" t="s">
        <v>1627</v>
      </c>
      <c r="D4954" t="str">
        <f t="shared" si="77"/>
        <v>UTRAMIG3304</v>
      </c>
      <c r="E4954" t="s">
        <v>43</v>
      </c>
    </row>
    <row r="4955" spans="1:5" hidden="1" x14ac:dyDescent="0.25">
      <c r="A4955">
        <v>2281</v>
      </c>
      <c r="B4955" t="s">
        <v>594</v>
      </c>
      <c r="C4955" t="s">
        <v>308</v>
      </c>
      <c r="D4955" t="str">
        <f t="shared" si="77"/>
        <v>UTRAMIG3305</v>
      </c>
      <c r="E4955" t="s">
        <v>43</v>
      </c>
    </row>
    <row r="4956" spans="1:5" hidden="1" x14ac:dyDescent="0.25">
      <c r="A4956">
        <v>2281</v>
      </c>
      <c r="B4956" t="s">
        <v>594</v>
      </c>
      <c r="C4956" t="s">
        <v>227</v>
      </c>
      <c r="D4956" t="str">
        <f t="shared" si="77"/>
        <v>UTRAMIG3401</v>
      </c>
      <c r="E4956" t="s">
        <v>1739</v>
      </c>
    </row>
    <row r="4957" spans="1:5" hidden="1" x14ac:dyDescent="0.25">
      <c r="A4957">
        <v>2281</v>
      </c>
      <c r="B4957" t="s">
        <v>594</v>
      </c>
      <c r="C4957" t="s">
        <v>279</v>
      </c>
      <c r="D4957" t="str">
        <f t="shared" si="77"/>
        <v>UTRAMIG3403</v>
      </c>
      <c r="E4957" t="s">
        <v>1689</v>
      </c>
    </row>
    <row r="4958" spans="1:5" hidden="1" x14ac:dyDescent="0.25">
      <c r="A4958">
        <v>2281</v>
      </c>
      <c r="B4958" t="s">
        <v>594</v>
      </c>
      <c r="C4958" t="s">
        <v>295</v>
      </c>
      <c r="D4958" t="str">
        <f t="shared" si="77"/>
        <v>UTRAMIG3404</v>
      </c>
      <c r="E4958" t="s">
        <v>1689</v>
      </c>
    </row>
    <row r="4959" spans="1:5" hidden="1" x14ac:dyDescent="0.25">
      <c r="A4959">
        <v>2281</v>
      </c>
      <c r="B4959" t="s">
        <v>594</v>
      </c>
      <c r="C4959" t="s">
        <v>1705</v>
      </c>
      <c r="D4959" t="str">
        <f t="shared" si="77"/>
        <v>UTRAMIG3502</v>
      </c>
      <c r="E4959" t="s">
        <v>1623</v>
      </c>
    </row>
    <row r="4960" spans="1:5" hidden="1" x14ac:dyDescent="0.25">
      <c r="A4960">
        <v>2281</v>
      </c>
      <c r="B4960" t="s">
        <v>594</v>
      </c>
      <c r="C4960" t="s">
        <v>1690</v>
      </c>
      <c r="D4960" t="str">
        <f t="shared" si="77"/>
        <v>UTRAMIG3601</v>
      </c>
      <c r="E4960" t="s">
        <v>64</v>
      </c>
    </row>
    <row r="4961" spans="1:5" hidden="1" x14ac:dyDescent="0.25">
      <c r="A4961">
        <v>2281</v>
      </c>
      <c r="B4961" t="s">
        <v>594</v>
      </c>
      <c r="C4961" t="s">
        <v>1742</v>
      </c>
      <c r="D4961" t="str">
        <f t="shared" si="77"/>
        <v>UTRAMIG3605</v>
      </c>
      <c r="E4961" t="s">
        <v>1623</v>
      </c>
    </row>
    <row r="4962" spans="1:5" hidden="1" x14ac:dyDescent="0.25">
      <c r="A4962">
        <v>2281</v>
      </c>
      <c r="B4962" t="s">
        <v>594</v>
      </c>
      <c r="C4962" t="s">
        <v>354</v>
      </c>
      <c r="D4962" t="str">
        <f t="shared" si="77"/>
        <v>UTRAMIG3610</v>
      </c>
      <c r="E4962" t="s">
        <v>1623</v>
      </c>
    </row>
    <row r="4963" spans="1:5" hidden="1" x14ac:dyDescent="0.25">
      <c r="A4963">
        <v>2281</v>
      </c>
      <c r="B4963" t="s">
        <v>594</v>
      </c>
      <c r="C4963" t="s">
        <v>1628</v>
      </c>
      <c r="D4963" t="str">
        <f t="shared" si="77"/>
        <v>UTRAMIG3612</v>
      </c>
      <c r="E4963" t="s">
        <v>1623</v>
      </c>
    </row>
    <row r="4964" spans="1:5" hidden="1" x14ac:dyDescent="0.25">
      <c r="A4964">
        <v>2281</v>
      </c>
      <c r="B4964" t="s">
        <v>594</v>
      </c>
      <c r="C4964" t="s">
        <v>470</v>
      </c>
      <c r="D4964" t="str">
        <f t="shared" si="77"/>
        <v>UTRAMIG3699</v>
      </c>
      <c r="E4964" t="s">
        <v>1623</v>
      </c>
    </row>
    <row r="4965" spans="1:5" hidden="1" x14ac:dyDescent="0.25">
      <c r="A4965">
        <v>2281</v>
      </c>
      <c r="B4965" t="s">
        <v>594</v>
      </c>
      <c r="C4965" t="s">
        <v>1631</v>
      </c>
      <c r="D4965" t="str">
        <f t="shared" si="77"/>
        <v>UTRAMIG3703</v>
      </c>
      <c r="E4965" t="s">
        <v>116</v>
      </c>
    </row>
    <row r="4966" spans="1:5" hidden="1" x14ac:dyDescent="0.25">
      <c r="A4966">
        <v>2281</v>
      </c>
      <c r="B4966" t="s">
        <v>594</v>
      </c>
      <c r="C4966" t="s">
        <v>1632</v>
      </c>
      <c r="D4966" t="str">
        <f t="shared" si="77"/>
        <v>UTRAMIG3704</v>
      </c>
      <c r="E4966" t="s">
        <v>116</v>
      </c>
    </row>
    <row r="4967" spans="1:5" hidden="1" x14ac:dyDescent="0.25">
      <c r="A4967">
        <v>2281</v>
      </c>
      <c r="B4967" t="s">
        <v>594</v>
      </c>
      <c r="C4967" t="s">
        <v>1633</v>
      </c>
      <c r="D4967" t="str">
        <f t="shared" si="77"/>
        <v>UTRAMIG3705</v>
      </c>
      <c r="E4967" t="s">
        <v>116</v>
      </c>
    </row>
    <row r="4968" spans="1:5" hidden="1" x14ac:dyDescent="0.25">
      <c r="A4968">
        <v>2281</v>
      </c>
      <c r="B4968" t="s">
        <v>594</v>
      </c>
      <c r="C4968" t="s">
        <v>232</v>
      </c>
      <c r="D4968" t="str">
        <f t="shared" si="77"/>
        <v>UTRAMIG3901</v>
      </c>
      <c r="E4968" t="s">
        <v>1596</v>
      </c>
    </row>
    <row r="4969" spans="1:5" hidden="1" x14ac:dyDescent="0.25">
      <c r="A4969">
        <v>2281</v>
      </c>
      <c r="B4969" t="s">
        <v>594</v>
      </c>
      <c r="C4969" t="s">
        <v>1830</v>
      </c>
      <c r="D4969" t="str">
        <f t="shared" si="77"/>
        <v>UTRAMIG3902</v>
      </c>
      <c r="E4969" t="s">
        <v>1596</v>
      </c>
    </row>
    <row r="4970" spans="1:5" hidden="1" x14ac:dyDescent="0.25">
      <c r="A4970">
        <v>2281</v>
      </c>
      <c r="B4970" t="s">
        <v>594</v>
      </c>
      <c r="C4970" t="s">
        <v>325</v>
      </c>
      <c r="D4970" t="str">
        <f t="shared" si="77"/>
        <v>UTRAMIG3906</v>
      </c>
      <c r="E4970" t="s">
        <v>1623</v>
      </c>
    </row>
    <row r="4971" spans="1:5" hidden="1" x14ac:dyDescent="0.25">
      <c r="A4971">
        <v>2281</v>
      </c>
      <c r="B4971" t="s">
        <v>594</v>
      </c>
      <c r="C4971" t="s">
        <v>345</v>
      </c>
      <c r="D4971" t="str">
        <f t="shared" si="77"/>
        <v>UTRAMIG3910</v>
      </c>
      <c r="E4971" t="s">
        <v>1623</v>
      </c>
    </row>
    <row r="4972" spans="1:5" hidden="1" x14ac:dyDescent="0.25">
      <c r="A4972">
        <v>2281</v>
      </c>
      <c r="B4972" t="s">
        <v>594</v>
      </c>
      <c r="C4972" t="s">
        <v>1636</v>
      </c>
      <c r="D4972" t="str">
        <f t="shared" si="77"/>
        <v>UTRAMIG3912</v>
      </c>
      <c r="E4972" t="s">
        <v>1637</v>
      </c>
    </row>
    <row r="4973" spans="1:5" hidden="1" x14ac:dyDescent="0.25">
      <c r="A4973">
        <v>2281</v>
      </c>
      <c r="B4973" t="s">
        <v>594</v>
      </c>
      <c r="C4973" t="s">
        <v>1638</v>
      </c>
      <c r="D4973" t="str">
        <f t="shared" si="77"/>
        <v>UTRAMIG3913</v>
      </c>
      <c r="E4973" t="s">
        <v>1637</v>
      </c>
    </row>
    <row r="4974" spans="1:5" hidden="1" x14ac:dyDescent="0.25">
      <c r="A4974">
        <v>2281</v>
      </c>
      <c r="B4974" t="s">
        <v>594</v>
      </c>
      <c r="C4974" t="s">
        <v>383</v>
      </c>
      <c r="D4974" t="str">
        <f t="shared" si="77"/>
        <v>UTRAMIG3915</v>
      </c>
      <c r="E4974" t="s">
        <v>1637</v>
      </c>
    </row>
    <row r="4975" spans="1:5" hidden="1" x14ac:dyDescent="0.25">
      <c r="A4975">
        <v>2281</v>
      </c>
      <c r="B4975" t="s">
        <v>594</v>
      </c>
      <c r="C4975" t="s">
        <v>1640</v>
      </c>
      <c r="D4975" t="str">
        <f t="shared" si="77"/>
        <v>UTRAMIG3918</v>
      </c>
      <c r="E4975" t="s">
        <v>1615</v>
      </c>
    </row>
    <row r="4976" spans="1:5" hidden="1" x14ac:dyDescent="0.25">
      <c r="A4976">
        <v>2281</v>
      </c>
      <c r="B4976" t="s">
        <v>594</v>
      </c>
      <c r="C4976" t="s">
        <v>1641</v>
      </c>
      <c r="D4976" t="str">
        <f t="shared" si="77"/>
        <v>UTRAMIG3919</v>
      </c>
      <c r="E4976" t="s">
        <v>2102</v>
      </c>
    </row>
    <row r="4977" spans="1:5" hidden="1" x14ac:dyDescent="0.25">
      <c r="A4977">
        <v>2281</v>
      </c>
      <c r="B4977" t="s">
        <v>594</v>
      </c>
      <c r="C4977" t="s">
        <v>1694</v>
      </c>
      <c r="D4977" t="str">
        <f t="shared" si="77"/>
        <v>UTRAMIG3920</v>
      </c>
      <c r="E4977" t="s">
        <v>1692</v>
      </c>
    </row>
    <row r="4978" spans="1:5" hidden="1" x14ac:dyDescent="0.25">
      <c r="A4978">
        <v>2281</v>
      </c>
      <c r="B4978" t="s">
        <v>594</v>
      </c>
      <c r="C4978" t="s">
        <v>1642</v>
      </c>
      <c r="D4978" t="str">
        <f t="shared" si="77"/>
        <v>UTRAMIG3921</v>
      </c>
      <c r="E4978" t="s">
        <v>2102</v>
      </c>
    </row>
    <row r="4979" spans="1:5" hidden="1" x14ac:dyDescent="0.25">
      <c r="A4979">
        <v>2281</v>
      </c>
      <c r="B4979" t="s">
        <v>594</v>
      </c>
      <c r="C4979" t="s">
        <v>1643</v>
      </c>
      <c r="D4979" t="str">
        <f t="shared" si="77"/>
        <v>UTRAMIG3922</v>
      </c>
      <c r="E4979" t="s">
        <v>1611</v>
      </c>
    </row>
    <row r="4980" spans="1:5" hidden="1" x14ac:dyDescent="0.25">
      <c r="A4980">
        <v>2281</v>
      </c>
      <c r="B4980" t="s">
        <v>594</v>
      </c>
      <c r="C4980" t="s">
        <v>437</v>
      </c>
      <c r="D4980" t="str">
        <f t="shared" si="77"/>
        <v>UTRAMIG3925</v>
      </c>
      <c r="E4980" t="s">
        <v>1646</v>
      </c>
    </row>
    <row r="4981" spans="1:5" hidden="1" x14ac:dyDescent="0.25">
      <c r="A4981">
        <v>2281</v>
      </c>
      <c r="B4981" t="s">
        <v>594</v>
      </c>
      <c r="C4981" t="s">
        <v>442</v>
      </c>
      <c r="D4981" t="str">
        <f t="shared" si="77"/>
        <v>UTRAMIG3926</v>
      </c>
      <c r="E4981" t="s">
        <v>1646</v>
      </c>
    </row>
    <row r="4982" spans="1:5" hidden="1" x14ac:dyDescent="0.25">
      <c r="A4982">
        <v>2281</v>
      </c>
      <c r="B4982" t="s">
        <v>594</v>
      </c>
      <c r="C4982" t="s">
        <v>1647</v>
      </c>
      <c r="D4982" t="str">
        <f t="shared" si="77"/>
        <v>UTRAMIG3927</v>
      </c>
      <c r="E4982" t="s">
        <v>1648</v>
      </c>
    </row>
    <row r="4983" spans="1:5" hidden="1" x14ac:dyDescent="0.25">
      <c r="A4983">
        <v>2281</v>
      </c>
      <c r="B4983" t="s">
        <v>594</v>
      </c>
      <c r="C4983" t="s">
        <v>1650</v>
      </c>
      <c r="D4983" t="str">
        <f t="shared" si="77"/>
        <v>UTRAMIG3931</v>
      </c>
      <c r="E4983" t="s">
        <v>2114</v>
      </c>
    </row>
    <row r="4984" spans="1:5" hidden="1" x14ac:dyDescent="0.25">
      <c r="A4984">
        <v>2281</v>
      </c>
      <c r="B4984" t="s">
        <v>594</v>
      </c>
      <c r="C4984" t="s">
        <v>1652</v>
      </c>
      <c r="D4984" t="str">
        <f t="shared" si="77"/>
        <v>UTRAMIG3936</v>
      </c>
      <c r="E4984" t="s">
        <v>93</v>
      </c>
    </row>
    <row r="4985" spans="1:5" hidden="1" x14ac:dyDescent="0.25">
      <c r="A4985">
        <v>2281</v>
      </c>
      <c r="B4985" t="s">
        <v>594</v>
      </c>
      <c r="C4985" t="s">
        <v>1653</v>
      </c>
      <c r="D4985" t="str">
        <f t="shared" si="77"/>
        <v>UTRAMIG3940</v>
      </c>
      <c r="E4985" t="s">
        <v>1648</v>
      </c>
    </row>
    <row r="4986" spans="1:5" hidden="1" x14ac:dyDescent="0.25">
      <c r="A4986">
        <v>2281</v>
      </c>
      <c r="B4986" t="s">
        <v>594</v>
      </c>
      <c r="C4986" t="s">
        <v>1654</v>
      </c>
      <c r="D4986" t="str">
        <f t="shared" si="77"/>
        <v>UTRAMIG3943</v>
      </c>
      <c r="E4986" t="s">
        <v>1615</v>
      </c>
    </row>
    <row r="4987" spans="1:5" hidden="1" x14ac:dyDescent="0.25">
      <c r="A4987">
        <v>2281</v>
      </c>
      <c r="B4987" t="s">
        <v>594</v>
      </c>
      <c r="C4987" t="s">
        <v>1656</v>
      </c>
      <c r="D4987" t="str">
        <f t="shared" si="77"/>
        <v>UTRAMIG3959</v>
      </c>
      <c r="E4987" t="s">
        <v>1623</v>
      </c>
    </row>
    <row r="4988" spans="1:5" hidden="1" x14ac:dyDescent="0.25">
      <c r="A4988">
        <v>2281</v>
      </c>
      <c r="B4988" t="s">
        <v>594</v>
      </c>
      <c r="C4988" t="s">
        <v>1657</v>
      </c>
      <c r="D4988" t="str">
        <f t="shared" si="77"/>
        <v>UTRAMIG3961</v>
      </c>
      <c r="E4988" t="s">
        <v>1630</v>
      </c>
    </row>
    <row r="4989" spans="1:5" hidden="1" x14ac:dyDescent="0.25">
      <c r="A4989">
        <v>2281</v>
      </c>
      <c r="B4989" t="s">
        <v>594</v>
      </c>
      <c r="C4989" t="s">
        <v>1659</v>
      </c>
      <c r="D4989" t="str">
        <f t="shared" si="77"/>
        <v>UTRAMIG3969</v>
      </c>
      <c r="E4989" t="s">
        <v>1637</v>
      </c>
    </row>
    <row r="4990" spans="1:5" hidden="1" x14ac:dyDescent="0.25">
      <c r="A4990">
        <v>2281</v>
      </c>
      <c r="B4990" t="s">
        <v>594</v>
      </c>
      <c r="C4990" t="s">
        <v>1660</v>
      </c>
      <c r="D4990" t="str">
        <f t="shared" si="77"/>
        <v>UTRAMIG3970</v>
      </c>
      <c r="E4990" t="s">
        <v>1648</v>
      </c>
    </row>
    <row r="4991" spans="1:5" hidden="1" x14ac:dyDescent="0.25">
      <c r="A4991">
        <v>2281</v>
      </c>
      <c r="B4991" t="s">
        <v>594</v>
      </c>
      <c r="C4991" t="s">
        <v>512</v>
      </c>
      <c r="D4991" t="str">
        <f t="shared" si="77"/>
        <v>UTRAMIG3971</v>
      </c>
      <c r="E4991" t="s">
        <v>2103</v>
      </c>
    </row>
    <row r="4992" spans="1:5" hidden="1" x14ac:dyDescent="0.25">
      <c r="A4992">
        <v>2281</v>
      </c>
      <c r="B4992" t="s">
        <v>594</v>
      </c>
      <c r="C4992" t="s">
        <v>1661</v>
      </c>
      <c r="D4992" t="str">
        <f t="shared" si="77"/>
        <v>UTRAMIG3987</v>
      </c>
      <c r="E4992" t="s">
        <v>1615</v>
      </c>
    </row>
    <row r="4993" spans="1:5" hidden="1" x14ac:dyDescent="0.25">
      <c r="A4993">
        <v>2281</v>
      </c>
      <c r="B4993" t="s">
        <v>594</v>
      </c>
      <c r="C4993" t="s">
        <v>1663</v>
      </c>
      <c r="D4993" t="str">
        <f t="shared" si="77"/>
        <v>UTRAMIG3999</v>
      </c>
      <c r="E4993" t="s">
        <v>1623</v>
      </c>
    </row>
    <row r="4994" spans="1:5" hidden="1" x14ac:dyDescent="0.25">
      <c r="A4994">
        <v>2281</v>
      </c>
      <c r="B4994" t="s">
        <v>594</v>
      </c>
      <c r="C4994" t="s">
        <v>1664</v>
      </c>
      <c r="D4994" t="str">
        <f t="shared" si="77"/>
        <v>UTRAMIG4002</v>
      </c>
      <c r="E4994" t="s">
        <v>1648</v>
      </c>
    </row>
    <row r="4995" spans="1:5" hidden="1" x14ac:dyDescent="0.25">
      <c r="A4995">
        <v>2281</v>
      </c>
      <c r="B4995" t="s">
        <v>594</v>
      </c>
      <c r="C4995" t="s">
        <v>1665</v>
      </c>
      <c r="D4995" t="str">
        <f t="shared" si="77"/>
        <v>UTRAMIG4003</v>
      </c>
      <c r="E4995" t="s">
        <v>93</v>
      </c>
    </row>
    <row r="4996" spans="1:5" hidden="1" x14ac:dyDescent="0.25">
      <c r="A4996">
        <v>2281</v>
      </c>
      <c r="B4996" t="s">
        <v>594</v>
      </c>
      <c r="C4996" t="s">
        <v>1666</v>
      </c>
      <c r="D4996" t="str">
        <f t="shared" si="77"/>
        <v>UTRAMIG4004</v>
      </c>
      <c r="E4996" t="s">
        <v>1648</v>
      </c>
    </row>
    <row r="4997" spans="1:5" hidden="1" x14ac:dyDescent="0.25">
      <c r="A4997">
        <v>2281</v>
      </c>
      <c r="B4997" t="s">
        <v>594</v>
      </c>
      <c r="C4997" t="s">
        <v>1667</v>
      </c>
      <c r="D4997" t="str">
        <f t="shared" ref="D4997:D5060" si="78">CONCATENATE(B4997,LEFT(C4997,4))</f>
        <v>UTRAMIG4005</v>
      </c>
      <c r="E4997" t="s">
        <v>1648</v>
      </c>
    </row>
    <row r="4998" spans="1:5" hidden="1" x14ac:dyDescent="0.25">
      <c r="A4998">
        <v>2281</v>
      </c>
      <c r="B4998" t="s">
        <v>594</v>
      </c>
      <c r="C4998" t="s">
        <v>1698</v>
      </c>
      <c r="D4998" t="str">
        <f t="shared" si="78"/>
        <v>UTRAMIG4006</v>
      </c>
      <c r="E4998" t="s">
        <v>1675</v>
      </c>
    </row>
    <row r="4999" spans="1:5" hidden="1" x14ac:dyDescent="0.25">
      <c r="A4999">
        <v>2281</v>
      </c>
      <c r="B4999" t="s">
        <v>594</v>
      </c>
      <c r="C4999" t="s">
        <v>1668</v>
      </c>
      <c r="D4999" t="str">
        <f t="shared" si="78"/>
        <v>UTRAMIG4701</v>
      </c>
      <c r="E4999" t="s">
        <v>1669</v>
      </c>
    </row>
    <row r="5000" spans="1:5" hidden="1" x14ac:dyDescent="0.25">
      <c r="A5000">
        <v>2281</v>
      </c>
      <c r="B5000" t="s">
        <v>594</v>
      </c>
      <c r="C5000" t="s">
        <v>264</v>
      </c>
      <c r="D5000" t="str">
        <f t="shared" si="78"/>
        <v>UTRAMIG4703</v>
      </c>
      <c r="E5000" t="s">
        <v>1669</v>
      </c>
    </row>
    <row r="5001" spans="1:5" hidden="1" x14ac:dyDescent="0.25">
      <c r="A5001">
        <v>2281</v>
      </c>
      <c r="B5001" t="s">
        <v>594</v>
      </c>
      <c r="C5001" t="s">
        <v>315</v>
      </c>
      <c r="D5001" t="str">
        <f t="shared" si="78"/>
        <v>UTRAMIG4706</v>
      </c>
      <c r="E5001" t="s">
        <v>1669</v>
      </c>
    </row>
    <row r="5002" spans="1:5" hidden="1" x14ac:dyDescent="0.25">
      <c r="A5002">
        <v>2281</v>
      </c>
      <c r="B5002" t="s">
        <v>594</v>
      </c>
      <c r="C5002" t="s">
        <v>327</v>
      </c>
      <c r="D5002" t="str">
        <f t="shared" si="78"/>
        <v>UTRAMIG4707</v>
      </c>
      <c r="E5002" t="s">
        <v>1669</v>
      </c>
    </row>
    <row r="5003" spans="1:5" hidden="1" x14ac:dyDescent="0.25">
      <c r="A5003">
        <v>2281</v>
      </c>
      <c r="B5003" t="s">
        <v>594</v>
      </c>
      <c r="C5003" t="s">
        <v>239</v>
      </c>
      <c r="D5003" t="str">
        <f t="shared" si="78"/>
        <v>UTRAMIG4801</v>
      </c>
      <c r="E5003" t="s">
        <v>1623</v>
      </c>
    </row>
    <row r="5004" spans="1:5" hidden="1" x14ac:dyDescent="0.25">
      <c r="A5004">
        <v>2281</v>
      </c>
      <c r="B5004" t="s">
        <v>594</v>
      </c>
      <c r="C5004" t="s">
        <v>285</v>
      </c>
      <c r="D5004" t="str">
        <f t="shared" si="78"/>
        <v>UTRAMIG4803</v>
      </c>
      <c r="E5004" t="s">
        <v>1865</v>
      </c>
    </row>
    <row r="5005" spans="1:5" hidden="1" x14ac:dyDescent="0.25">
      <c r="A5005">
        <v>2281</v>
      </c>
      <c r="B5005" t="s">
        <v>594</v>
      </c>
      <c r="C5005" t="s">
        <v>1712</v>
      </c>
      <c r="D5005" t="str">
        <f t="shared" si="78"/>
        <v>UTRAMIG4905</v>
      </c>
      <c r="E5005" t="s">
        <v>64</v>
      </c>
    </row>
    <row r="5006" spans="1:5" hidden="1" x14ac:dyDescent="0.25">
      <c r="A5006">
        <v>2281</v>
      </c>
      <c r="B5006" t="s">
        <v>594</v>
      </c>
      <c r="C5006" t="s">
        <v>1670</v>
      </c>
      <c r="D5006" t="str">
        <f t="shared" si="78"/>
        <v>UTRAMIG5101</v>
      </c>
      <c r="E5006" t="s">
        <v>1671</v>
      </c>
    </row>
    <row r="5007" spans="1:5" hidden="1" x14ac:dyDescent="0.25">
      <c r="A5007">
        <v>2281</v>
      </c>
      <c r="B5007" t="s">
        <v>594</v>
      </c>
      <c r="C5007" t="s">
        <v>1673</v>
      </c>
      <c r="D5007" t="str">
        <f t="shared" si="78"/>
        <v>UTRAMIG5204</v>
      </c>
      <c r="E5007" t="s">
        <v>1674</v>
      </c>
    </row>
    <row r="5008" spans="1:5" hidden="1" x14ac:dyDescent="0.25">
      <c r="A5008">
        <v>2281</v>
      </c>
      <c r="B5008" t="s">
        <v>594</v>
      </c>
      <c r="C5008" t="s">
        <v>1676</v>
      </c>
      <c r="D5008" t="str">
        <f t="shared" si="78"/>
        <v>UTRAMIG5207</v>
      </c>
      <c r="E5008" t="s">
        <v>1675</v>
      </c>
    </row>
    <row r="5009" spans="1:5" hidden="1" x14ac:dyDescent="0.25">
      <c r="A5009">
        <v>2281</v>
      </c>
      <c r="B5009" t="s">
        <v>594</v>
      </c>
      <c r="C5009" t="s">
        <v>1677</v>
      </c>
      <c r="D5009" t="str">
        <f t="shared" si="78"/>
        <v>UTRAMIG5208</v>
      </c>
      <c r="E5009" t="s">
        <v>1675</v>
      </c>
    </row>
    <row r="5010" spans="1:5" hidden="1" x14ac:dyDescent="0.25">
      <c r="A5010">
        <v>2281</v>
      </c>
      <c r="B5010" t="s">
        <v>594</v>
      </c>
      <c r="C5010" t="s">
        <v>358</v>
      </c>
      <c r="D5010" t="str">
        <f t="shared" si="78"/>
        <v>UTRAMIG5209</v>
      </c>
      <c r="E5010" t="s">
        <v>1674</v>
      </c>
    </row>
    <row r="5011" spans="1:5" hidden="1" x14ac:dyDescent="0.25">
      <c r="A5011">
        <v>2281</v>
      </c>
      <c r="B5011" t="s">
        <v>594</v>
      </c>
      <c r="C5011" t="s">
        <v>1678</v>
      </c>
      <c r="D5011" t="str">
        <f t="shared" si="78"/>
        <v>UTRAMIG5210</v>
      </c>
      <c r="E5011" t="s">
        <v>1674</v>
      </c>
    </row>
    <row r="5012" spans="1:5" hidden="1" x14ac:dyDescent="0.25">
      <c r="A5012">
        <v>2281</v>
      </c>
      <c r="B5012" t="s">
        <v>594</v>
      </c>
      <c r="C5012" t="s">
        <v>1679</v>
      </c>
      <c r="D5012" t="str">
        <f t="shared" si="78"/>
        <v>UTRAMIG5212</v>
      </c>
      <c r="E5012" t="s">
        <v>1674</v>
      </c>
    </row>
    <row r="5013" spans="1:5" hidden="1" x14ac:dyDescent="0.25">
      <c r="A5013">
        <v>2281</v>
      </c>
      <c r="B5013" t="s">
        <v>594</v>
      </c>
      <c r="C5013" t="s">
        <v>390</v>
      </c>
      <c r="D5013" t="str">
        <f t="shared" si="78"/>
        <v>UTRAMIG5214</v>
      </c>
      <c r="E5013" t="s">
        <v>1674</v>
      </c>
    </row>
    <row r="5014" spans="1:5" hidden="1" x14ac:dyDescent="0.25">
      <c r="A5014">
        <v>2281</v>
      </c>
      <c r="B5014" t="s">
        <v>594</v>
      </c>
      <c r="C5014" t="s">
        <v>1681</v>
      </c>
      <c r="D5014" t="str">
        <f t="shared" si="78"/>
        <v>UTRAMIG5220</v>
      </c>
      <c r="E5014" t="s">
        <v>1675</v>
      </c>
    </row>
    <row r="5015" spans="1:5" hidden="1" x14ac:dyDescent="0.25">
      <c r="A5015">
        <v>2281</v>
      </c>
      <c r="B5015" t="s">
        <v>594</v>
      </c>
      <c r="C5015" t="s">
        <v>428</v>
      </c>
      <c r="D5015" t="str">
        <f t="shared" si="78"/>
        <v>UTRAMIG5221</v>
      </c>
      <c r="E5015" t="s">
        <v>1674</v>
      </c>
    </row>
    <row r="5016" spans="1:5" hidden="1" x14ac:dyDescent="0.25">
      <c r="A5016">
        <v>2281</v>
      </c>
      <c r="B5016" t="s">
        <v>594</v>
      </c>
      <c r="C5016" t="s">
        <v>448</v>
      </c>
      <c r="D5016" t="str">
        <f t="shared" si="78"/>
        <v>UTRAMIG5225</v>
      </c>
      <c r="E5016" t="s">
        <v>1674</v>
      </c>
    </row>
    <row r="5017" spans="1:5" hidden="1" x14ac:dyDescent="0.25">
      <c r="A5017">
        <v>2281</v>
      </c>
      <c r="B5017" t="s">
        <v>594</v>
      </c>
      <c r="C5017" t="s">
        <v>1684</v>
      </c>
      <c r="D5017" t="str">
        <f t="shared" si="78"/>
        <v>UTRAMIG9202</v>
      </c>
      <c r="E5017" t="s">
        <v>1685</v>
      </c>
    </row>
    <row r="5018" spans="1:5" hidden="1" x14ac:dyDescent="0.25">
      <c r="A5018">
        <v>2281</v>
      </c>
      <c r="B5018" t="s">
        <v>594</v>
      </c>
      <c r="C5018" t="s">
        <v>1687</v>
      </c>
      <c r="D5018" t="str">
        <f t="shared" si="78"/>
        <v>UTRAMIG9399</v>
      </c>
      <c r="E5018" t="s">
        <v>1623</v>
      </c>
    </row>
    <row r="5019" spans="1:5" hidden="1" x14ac:dyDescent="0.25">
      <c r="A5019">
        <v>2281</v>
      </c>
      <c r="B5019" t="s">
        <v>594</v>
      </c>
      <c r="C5019" t="s">
        <v>1639</v>
      </c>
      <c r="D5019" t="str">
        <f t="shared" si="78"/>
        <v>UTRAMIG3917</v>
      </c>
      <c r="E5019" t="s">
        <v>1615</v>
      </c>
    </row>
    <row r="5020" spans="1:5" hidden="1" x14ac:dyDescent="0.25">
      <c r="A5020">
        <v>2301</v>
      </c>
      <c r="B5020" t="s">
        <v>167</v>
      </c>
      <c r="C5020" t="s">
        <v>398</v>
      </c>
      <c r="D5020" t="str">
        <f t="shared" si="78"/>
        <v>DER1325</v>
      </c>
      <c r="E5020" t="s">
        <v>1689</v>
      </c>
    </row>
    <row r="5021" spans="1:5" hidden="1" x14ac:dyDescent="0.25">
      <c r="A5021">
        <v>2301</v>
      </c>
      <c r="B5021" t="s">
        <v>167</v>
      </c>
      <c r="C5021" t="s">
        <v>1597</v>
      </c>
      <c r="D5021" t="str">
        <f t="shared" si="78"/>
        <v>DER1401</v>
      </c>
      <c r="E5021" t="s">
        <v>43</v>
      </c>
    </row>
    <row r="5022" spans="1:5" hidden="1" x14ac:dyDescent="0.25">
      <c r="A5022">
        <v>2301</v>
      </c>
      <c r="B5022" t="s">
        <v>167</v>
      </c>
      <c r="C5022" t="s">
        <v>1599</v>
      </c>
      <c r="D5022" t="str">
        <f t="shared" si="78"/>
        <v>DER3001</v>
      </c>
      <c r="E5022" t="s">
        <v>1600</v>
      </c>
    </row>
    <row r="5023" spans="1:5" hidden="1" x14ac:dyDescent="0.25">
      <c r="A5023">
        <v>2301</v>
      </c>
      <c r="B5023" t="s">
        <v>167</v>
      </c>
      <c r="C5023" t="s">
        <v>1601</v>
      </c>
      <c r="D5023" t="str">
        <f t="shared" si="78"/>
        <v>DER3003</v>
      </c>
      <c r="E5023" t="s">
        <v>1600</v>
      </c>
    </row>
    <row r="5024" spans="1:5" hidden="1" x14ac:dyDescent="0.25">
      <c r="A5024">
        <v>2301</v>
      </c>
      <c r="B5024" t="s">
        <v>167</v>
      </c>
      <c r="C5024" t="s">
        <v>1603</v>
      </c>
      <c r="D5024" t="str">
        <f t="shared" si="78"/>
        <v>DER3005</v>
      </c>
      <c r="E5024" t="s">
        <v>1600</v>
      </c>
    </row>
    <row r="5025" spans="1:5" hidden="1" x14ac:dyDescent="0.25">
      <c r="A5025">
        <v>2301</v>
      </c>
      <c r="B5025" t="s">
        <v>167</v>
      </c>
      <c r="C5025" t="s">
        <v>1604</v>
      </c>
      <c r="D5025" t="str">
        <f t="shared" si="78"/>
        <v>DER3008</v>
      </c>
      <c r="E5025" t="s">
        <v>1600</v>
      </c>
    </row>
    <row r="5026" spans="1:5" hidden="1" x14ac:dyDescent="0.25">
      <c r="A5026">
        <v>2301</v>
      </c>
      <c r="B5026" t="s">
        <v>167</v>
      </c>
      <c r="C5026" t="s">
        <v>1605</v>
      </c>
      <c r="D5026" t="str">
        <f t="shared" si="78"/>
        <v>DER3010</v>
      </c>
      <c r="E5026" t="s">
        <v>1606</v>
      </c>
    </row>
    <row r="5027" spans="1:5" hidden="1" x14ac:dyDescent="0.25">
      <c r="A5027">
        <v>2301</v>
      </c>
      <c r="B5027" t="s">
        <v>167</v>
      </c>
      <c r="C5027" t="s">
        <v>137</v>
      </c>
      <c r="D5027" t="str">
        <f t="shared" si="78"/>
        <v>DER3012</v>
      </c>
      <c r="E5027" t="s">
        <v>1606</v>
      </c>
    </row>
    <row r="5028" spans="1:5" hidden="1" x14ac:dyDescent="0.25">
      <c r="A5028">
        <v>2301</v>
      </c>
      <c r="B5028" t="s">
        <v>167</v>
      </c>
      <c r="C5028" t="s">
        <v>1607</v>
      </c>
      <c r="D5028" t="str">
        <f t="shared" si="78"/>
        <v>DER3013</v>
      </c>
      <c r="E5028" t="s">
        <v>1600</v>
      </c>
    </row>
    <row r="5029" spans="1:5" hidden="1" x14ac:dyDescent="0.25">
      <c r="A5029">
        <v>2301</v>
      </c>
      <c r="B5029" t="s">
        <v>167</v>
      </c>
      <c r="C5029" t="s">
        <v>1608</v>
      </c>
      <c r="D5029" t="str">
        <f t="shared" si="78"/>
        <v>DER3015</v>
      </c>
      <c r="E5029" t="s">
        <v>1600</v>
      </c>
    </row>
    <row r="5030" spans="1:5" hidden="1" x14ac:dyDescent="0.25">
      <c r="A5030">
        <v>2301</v>
      </c>
      <c r="B5030" t="s">
        <v>167</v>
      </c>
      <c r="C5030" t="s">
        <v>1609</v>
      </c>
      <c r="D5030" t="str">
        <f t="shared" si="78"/>
        <v>DER3016</v>
      </c>
      <c r="E5030" t="s">
        <v>1600</v>
      </c>
    </row>
    <row r="5031" spans="1:5" hidden="1" x14ac:dyDescent="0.25">
      <c r="A5031">
        <v>2301</v>
      </c>
      <c r="B5031" t="s">
        <v>167</v>
      </c>
      <c r="C5031" t="s">
        <v>405</v>
      </c>
      <c r="D5031" t="str">
        <f t="shared" si="78"/>
        <v>DER3017</v>
      </c>
      <c r="E5031" t="s">
        <v>1600</v>
      </c>
    </row>
    <row r="5032" spans="1:5" hidden="1" x14ac:dyDescent="0.25">
      <c r="A5032">
        <v>2301</v>
      </c>
      <c r="B5032" t="s">
        <v>167</v>
      </c>
      <c r="C5032" t="s">
        <v>1610</v>
      </c>
      <c r="D5032" t="str">
        <f t="shared" si="78"/>
        <v>DER3019</v>
      </c>
      <c r="E5032" t="s">
        <v>1611</v>
      </c>
    </row>
    <row r="5033" spans="1:5" hidden="1" x14ac:dyDescent="0.25">
      <c r="A5033">
        <v>2301</v>
      </c>
      <c r="B5033" t="s">
        <v>167</v>
      </c>
      <c r="C5033" t="s">
        <v>1612</v>
      </c>
      <c r="D5033" t="str">
        <f t="shared" si="78"/>
        <v>DER3020</v>
      </c>
      <c r="E5033" t="s">
        <v>1600</v>
      </c>
    </row>
    <row r="5034" spans="1:5" hidden="1" x14ac:dyDescent="0.25">
      <c r="A5034">
        <v>2301</v>
      </c>
      <c r="B5034" t="s">
        <v>167</v>
      </c>
      <c r="C5034" t="s">
        <v>1613</v>
      </c>
      <c r="D5034" t="str">
        <f t="shared" si="78"/>
        <v>DER3021</v>
      </c>
      <c r="E5034" t="s">
        <v>1600</v>
      </c>
    </row>
    <row r="5035" spans="1:5" hidden="1" x14ac:dyDescent="0.25">
      <c r="A5035">
        <v>2301</v>
      </c>
      <c r="B5035" t="s">
        <v>167</v>
      </c>
      <c r="C5035" t="s">
        <v>430</v>
      </c>
      <c r="D5035" t="str">
        <f t="shared" si="78"/>
        <v>DER3022</v>
      </c>
      <c r="E5035" t="s">
        <v>1600</v>
      </c>
    </row>
    <row r="5036" spans="1:5" hidden="1" x14ac:dyDescent="0.25">
      <c r="A5036">
        <v>2301</v>
      </c>
      <c r="B5036" t="s">
        <v>167</v>
      </c>
      <c r="C5036" t="s">
        <v>1614</v>
      </c>
      <c r="D5036" t="str">
        <f t="shared" si="78"/>
        <v>DER3023</v>
      </c>
      <c r="E5036" t="s">
        <v>1615</v>
      </c>
    </row>
    <row r="5037" spans="1:5" hidden="1" x14ac:dyDescent="0.25">
      <c r="A5037">
        <v>2301</v>
      </c>
      <c r="B5037" t="s">
        <v>167</v>
      </c>
      <c r="C5037" t="s">
        <v>440</v>
      </c>
      <c r="D5037" t="str">
        <f t="shared" si="78"/>
        <v>DER3024</v>
      </c>
      <c r="E5037" t="s">
        <v>1600</v>
      </c>
    </row>
    <row r="5038" spans="1:5" hidden="1" x14ac:dyDescent="0.25">
      <c r="A5038">
        <v>2301</v>
      </c>
      <c r="B5038" t="s">
        <v>167</v>
      </c>
      <c r="C5038" t="s">
        <v>1616</v>
      </c>
      <c r="D5038" t="str">
        <f t="shared" si="78"/>
        <v>DER3025</v>
      </c>
      <c r="E5038" t="s">
        <v>1600</v>
      </c>
    </row>
    <row r="5039" spans="1:5" hidden="1" x14ac:dyDescent="0.25">
      <c r="A5039">
        <v>2301</v>
      </c>
      <c r="B5039" t="s">
        <v>167</v>
      </c>
      <c r="C5039" t="s">
        <v>1617</v>
      </c>
      <c r="D5039" t="str">
        <f t="shared" si="78"/>
        <v>DER3026</v>
      </c>
      <c r="E5039" t="s">
        <v>1615</v>
      </c>
    </row>
    <row r="5040" spans="1:5" hidden="1" x14ac:dyDescent="0.25">
      <c r="A5040">
        <v>2301</v>
      </c>
      <c r="B5040" t="s">
        <v>167</v>
      </c>
      <c r="C5040" t="s">
        <v>1618</v>
      </c>
      <c r="D5040" t="str">
        <f t="shared" si="78"/>
        <v>DER3027</v>
      </c>
      <c r="E5040" t="s">
        <v>1600</v>
      </c>
    </row>
    <row r="5041" spans="1:5" hidden="1" x14ac:dyDescent="0.25">
      <c r="A5041">
        <v>2301</v>
      </c>
      <c r="B5041" t="s">
        <v>167</v>
      </c>
      <c r="C5041" t="s">
        <v>1702</v>
      </c>
      <c r="D5041" t="str">
        <f t="shared" si="78"/>
        <v>DER3029</v>
      </c>
      <c r="E5041" t="s">
        <v>1600</v>
      </c>
    </row>
    <row r="5042" spans="1:5" hidden="1" x14ac:dyDescent="0.25">
      <c r="A5042">
        <v>2301</v>
      </c>
      <c r="B5042" t="s">
        <v>167</v>
      </c>
      <c r="C5042" t="s">
        <v>466</v>
      </c>
      <c r="D5042" t="str">
        <f t="shared" si="78"/>
        <v>DER3030</v>
      </c>
      <c r="E5042" t="s">
        <v>1600</v>
      </c>
    </row>
    <row r="5043" spans="1:5" hidden="1" x14ac:dyDescent="0.25">
      <c r="A5043">
        <v>2301</v>
      </c>
      <c r="B5043" t="s">
        <v>167</v>
      </c>
      <c r="C5043" t="s">
        <v>469</v>
      </c>
      <c r="D5043" t="str">
        <f t="shared" si="78"/>
        <v>DER3031</v>
      </c>
      <c r="E5043" t="s">
        <v>1600</v>
      </c>
    </row>
    <row r="5044" spans="1:5" hidden="1" x14ac:dyDescent="0.25">
      <c r="A5044">
        <v>2301</v>
      </c>
      <c r="B5044" t="s">
        <v>167</v>
      </c>
      <c r="C5044" t="s">
        <v>1619</v>
      </c>
      <c r="D5044" t="str">
        <f t="shared" si="78"/>
        <v>DER3032</v>
      </c>
      <c r="E5044" t="s">
        <v>1600</v>
      </c>
    </row>
    <row r="5045" spans="1:5" hidden="1" x14ac:dyDescent="0.25">
      <c r="A5045">
        <v>2301</v>
      </c>
      <c r="B5045" t="s">
        <v>167</v>
      </c>
      <c r="C5045" t="s">
        <v>1703</v>
      </c>
      <c r="D5045" t="str">
        <f t="shared" si="78"/>
        <v>DER3041</v>
      </c>
      <c r="E5045" t="s">
        <v>1600</v>
      </c>
    </row>
    <row r="5046" spans="1:5" hidden="1" x14ac:dyDescent="0.25">
      <c r="A5046">
        <v>2301</v>
      </c>
      <c r="B5046" t="s">
        <v>167</v>
      </c>
      <c r="C5046" t="s">
        <v>53</v>
      </c>
      <c r="D5046" t="str">
        <f t="shared" si="78"/>
        <v>DER3301</v>
      </c>
      <c r="E5046" t="s">
        <v>43</v>
      </c>
    </row>
    <row r="5047" spans="1:5" hidden="1" x14ac:dyDescent="0.25">
      <c r="A5047">
        <v>2301</v>
      </c>
      <c r="B5047" t="s">
        <v>167</v>
      </c>
      <c r="C5047" t="s">
        <v>1626</v>
      </c>
      <c r="D5047" t="str">
        <f t="shared" si="78"/>
        <v>DER3302</v>
      </c>
      <c r="E5047" t="s">
        <v>43</v>
      </c>
    </row>
    <row r="5048" spans="1:5" hidden="1" x14ac:dyDescent="0.25">
      <c r="A5048">
        <v>2301</v>
      </c>
      <c r="B5048" t="s">
        <v>167</v>
      </c>
      <c r="C5048" t="s">
        <v>1627</v>
      </c>
      <c r="D5048" t="str">
        <f t="shared" si="78"/>
        <v>DER3304</v>
      </c>
      <c r="E5048" t="s">
        <v>43</v>
      </c>
    </row>
    <row r="5049" spans="1:5" hidden="1" x14ac:dyDescent="0.25">
      <c r="A5049">
        <v>2301</v>
      </c>
      <c r="B5049" t="s">
        <v>167</v>
      </c>
      <c r="C5049" t="s">
        <v>308</v>
      </c>
      <c r="D5049" t="str">
        <f t="shared" si="78"/>
        <v>DER3305</v>
      </c>
      <c r="E5049" t="s">
        <v>43</v>
      </c>
    </row>
    <row r="5050" spans="1:5" hidden="1" x14ac:dyDescent="0.25">
      <c r="A5050">
        <v>2301</v>
      </c>
      <c r="B5050" t="s">
        <v>167</v>
      </c>
      <c r="C5050" t="s">
        <v>1705</v>
      </c>
      <c r="D5050" t="str">
        <f t="shared" si="78"/>
        <v>DER3502</v>
      </c>
      <c r="E5050" t="s">
        <v>1706</v>
      </c>
    </row>
    <row r="5051" spans="1:5" hidden="1" x14ac:dyDescent="0.25">
      <c r="A5051">
        <v>2301</v>
      </c>
      <c r="B5051" t="s">
        <v>167</v>
      </c>
      <c r="C5051" t="s">
        <v>296</v>
      </c>
      <c r="D5051" t="str">
        <f t="shared" si="78"/>
        <v>DER3604</v>
      </c>
      <c r="E5051" t="s">
        <v>43</v>
      </c>
    </row>
    <row r="5052" spans="1:5" hidden="1" x14ac:dyDescent="0.25">
      <c r="A5052">
        <v>2301</v>
      </c>
      <c r="B5052" t="s">
        <v>167</v>
      </c>
      <c r="C5052" t="s">
        <v>354</v>
      </c>
      <c r="D5052" t="str">
        <f t="shared" si="78"/>
        <v>DER3610</v>
      </c>
      <c r="E5052" t="s">
        <v>1623</v>
      </c>
    </row>
    <row r="5053" spans="1:5" hidden="1" x14ac:dyDescent="0.25">
      <c r="A5053">
        <v>2301</v>
      </c>
      <c r="B5053" t="s">
        <v>167</v>
      </c>
      <c r="C5053" t="s">
        <v>1628</v>
      </c>
      <c r="D5053" t="str">
        <f t="shared" si="78"/>
        <v>DER3612</v>
      </c>
      <c r="E5053" t="s">
        <v>1623</v>
      </c>
    </row>
    <row r="5054" spans="1:5" hidden="1" x14ac:dyDescent="0.25">
      <c r="A5054">
        <v>2301</v>
      </c>
      <c r="B5054" t="s">
        <v>167</v>
      </c>
      <c r="C5054" t="s">
        <v>416</v>
      </c>
      <c r="D5054" t="str">
        <f t="shared" si="78"/>
        <v>DER3620</v>
      </c>
      <c r="E5054" t="s">
        <v>1623</v>
      </c>
    </row>
    <row r="5055" spans="1:5" hidden="1" x14ac:dyDescent="0.25">
      <c r="A5055">
        <v>2301</v>
      </c>
      <c r="B5055" t="s">
        <v>167</v>
      </c>
      <c r="C5055" t="s">
        <v>456</v>
      </c>
      <c r="D5055" t="str">
        <f t="shared" si="78"/>
        <v>DER3628</v>
      </c>
      <c r="E5055" t="s">
        <v>1623</v>
      </c>
    </row>
    <row r="5056" spans="1:5" hidden="1" x14ac:dyDescent="0.25">
      <c r="A5056">
        <v>2301</v>
      </c>
      <c r="B5056" t="s">
        <v>167</v>
      </c>
      <c r="C5056" t="s">
        <v>1629</v>
      </c>
      <c r="D5056" t="str">
        <f t="shared" si="78"/>
        <v>DER3701</v>
      </c>
      <c r="E5056" t="s">
        <v>102</v>
      </c>
    </row>
    <row r="5057" spans="1:5" hidden="1" x14ac:dyDescent="0.25">
      <c r="A5057">
        <v>2301</v>
      </c>
      <c r="B5057" t="s">
        <v>167</v>
      </c>
      <c r="C5057" t="s">
        <v>1693</v>
      </c>
      <c r="D5057" t="str">
        <f t="shared" si="78"/>
        <v>DER3702</v>
      </c>
      <c r="E5057" t="s">
        <v>1630</v>
      </c>
    </row>
    <row r="5058" spans="1:5" hidden="1" x14ac:dyDescent="0.25">
      <c r="A5058">
        <v>2301</v>
      </c>
      <c r="B5058" t="s">
        <v>167</v>
      </c>
      <c r="C5058" t="s">
        <v>1631</v>
      </c>
      <c r="D5058" t="str">
        <f t="shared" si="78"/>
        <v>DER3703</v>
      </c>
      <c r="E5058" t="s">
        <v>116</v>
      </c>
    </row>
    <row r="5059" spans="1:5" hidden="1" x14ac:dyDescent="0.25">
      <c r="A5059">
        <v>2301</v>
      </c>
      <c r="B5059" t="s">
        <v>167</v>
      </c>
      <c r="C5059" t="s">
        <v>1632</v>
      </c>
      <c r="D5059" t="str">
        <f t="shared" si="78"/>
        <v>DER3704</v>
      </c>
      <c r="E5059" t="s">
        <v>116</v>
      </c>
    </row>
    <row r="5060" spans="1:5" hidden="1" x14ac:dyDescent="0.25">
      <c r="A5060">
        <v>2301</v>
      </c>
      <c r="B5060" t="s">
        <v>167</v>
      </c>
      <c r="C5060" t="s">
        <v>1633</v>
      </c>
      <c r="D5060" t="str">
        <f t="shared" si="78"/>
        <v>DER3705</v>
      </c>
      <c r="E5060" t="s">
        <v>116</v>
      </c>
    </row>
    <row r="5061" spans="1:5" hidden="1" x14ac:dyDescent="0.25">
      <c r="A5061">
        <v>2301</v>
      </c>
      <c r="B5061" t="s">
        <v>167</v>
      </c>
      <c r="C5061" t="s">
        <v>1634</v>
      </c>
      <c r="D5061" t="str">
        <f t="shared" ref="D5061:D5124" si="79">CONCATENATE(B5061,LEFT(C5061,4))</f>
        <v>DER3903</v>
      </c>
      <c r="E5061" t="s">
        <v>1623</v>
      </c>
    </row>
    <row r="5062" spans="1:5" hidden="1" x14ac:dyDescent="0.25">
      <c r="A5062">
        <v>2301</v>
      </c>
      <c r="B5062" t="s">
        <v>167</v>
      </c>
      <c r="C5062" t="s">
        <v>298</v>
      </c>
      <c r="D5062" t="str">
        <f t="shared" si="79"/>
        <v>DER3904</v>
      </c>
      <c r="E5062" t="s">
        <v>1623</v>
      </c>
    </row>
    <row r="5063" spans="1:5" hidden="1" x14ac:dyDescent="0.25">
      <c r="A5063">
        <v>2301</v>
      </c>
      <c r="B5063" t="s">
        <v>167</v>
      </c>
      <c r="C5063" t="s">
        <v>325</v>
      </c>
      <c r="D5063" t="str">
        <f t="shared" si="79"/>
        <v>DER3906</v>
      </c>
      <c r="E5063" t="s">
        <v>2115</v>
      </c>
    </row>
    <row r="5064" spans="1:5" hidden="1" x14ac:dyDescent="0.25">
      <c r="A5064">
        <v>2301</v>
      </c>
      <c r="B5064" t="s">
        <v>167</v>
      </c>
      <c r="C5064" t="s">
        <v>1635</v>
      </c>
      <c r="D5064" t="str">
        <f t="shared" si="79"/>
        <v>DER3908</v>
      </c>
      <c r="E5064" t="s">
        <v>1623</v>
      </c>
    </row>
    <row r="5065" spans="1:5" hidden="1" x14ac:dyDescent="0.25">
      <c r="A5065">
        <v>2301</v>
      </c>
      <c r="B5065" t="s">
        <v>167</v>
      </c>
      <c r="C5065" t="s">
        <v>345</v>
      </c>
      <c r="D5065" t="str">
        <f t="shared" si="79"/>
        <v>DER3910</v>
      </c>
      <c r="E5065" t="s">
        <v>1623</v>
      </c>
    </row>
    <row r="5066" spans="1:5" hidden="1" x14ac:dyDescent="0.25">
      <c r="A5066">
        <v>2301</v>
      </c>
      <c r="B5066" t="s">
        <v>167</v>
      </c>
      <c r="C5066" t="s">
        <v>355</v>
      </c>
      <c r="D5066" t="str">
        <f t="shared" si="79"/>
        <v>DER3911</v>
      </c>
      <c r="E5066" t="s">
        <v>1623</v>
      </c>
    </row>
    <row r="5067" spans="1:5" hidden="1" x14ac:dyDescent="0.25">
      <c r="A5067">
        <v>2301</v>
      </c>
      <c r="B5067" t="s">
        <v>167</v>
      </c>
      <c r="C5067" t="s">
        <v>1636</v>
      </c>
      <c r="D5067" t="str">
        <f t="shared" si="79"/>
        <v>DER3912</v>
      </c>
      <c r="E5067" t="s">
        <v>1637</v>
      </c>
    </row>
    <row r="5068" spans="1:5" hidden="1" x14ac:dyDescent="0.25">
      <c r="A5068">
        <v>2301</v>
      </c>
      <c r="B5068" t="s">
        <v>167</v>
      </c>
      <c r="C5068" t="s">
        <v>1638</v>
      </c>
      <c r="D5068" t="str">
        <f t="shared" si="79"/>
        <v>DER3913</v>
      </c>
      <c r="E5068" t="s">
        <v>1637</v>
      </c>
    </row>
    <row r="5069" spans="1:5" hidden="1" x14ac:dyDescent="0.25">
      <c r="A5069">
        <v>2301</v>
      </c>
      <c r="B5069" t="s">
        <v>167</v>
      </c>
      <c r="C5069" t="s">
        <v>383</v>
      </c>
      <c r="D5069" t="str">
        <f t="shared" si="79"/>
        <v>DER3915</v>
      </c>
      <c r="E5069" t="s">
        <v>1637</v>
      </c>
    </row>
    <row r="5070" spans="1:5" hidden="1" x14ac:dyDescent="0.25">
      <c r="A5070">
        <v>2301</v>
      </c>
      <c r="B5070" t="s">
        <v>167</v>
      </c>
      <c r="C5070" t="s">
        <v>1639</v>
      </c>
      <c r="D5070" t="str">
        <f t="shared" si="79"/>
        <v>DER3917</v>
      </c>
      <c r="E5070" t="s">
        <v>1615</v>
      </c>
    </row>
    <row r="5071" spans="1:5" hidden="1" x14ac:dyDescent="0.25">
      <c r="A5071">
        <v>2301</v>
      </c>
      <c r="B5071" t="s">
        <v>167</v>
      </c>
      <c r="C5071" t="s">
        <v>1640</v>
      </c>
      <c r="D5071" t="str">
        <f t="shared" si="79"/>
        <v>DER3918</v>
      </c>
      <c r="E5071" t="s">
        <v>1615</v>
      </c>
    </row>
    <row r="5072" spans="1:5" hidden="1" x14ac:dyDescent="0.25">
      <c r="A5072">
        <v>2301</v>
      </c>
      <c r="B5072" t="s">
        <v>167</v>
      </c>
      <c r="C5072" t="s">
        <v>1641</v>
      </c>
      <c r="D5072" t="str">
        <f t="shared" si="79"/>
        <v>DER3919</v>
      </c>
      <c r="E5072" t="s">
        <v>2102</v>
      </c>
    </row>
    <row r="5073" spans="1:5" hidden="1" x14ac:dyDescent="0.25">
      <c r="A5073">
        <v>2301</v>
      </c>
      <c r="B5073" t="s">
        <v>167</v>
      </c>
      <c r="C5073" t="s">
        <v>1642</v>
      </c>
      <c r="D5073" t="str">
        <f t="shared" si="79"/>
        <v>DER3921</v>
      </c>
      <c r="E5073" t="s">
        <v>2102</v>
      </c>
    </row>
    <row r="5074" spans="1:5" hidden="1" x14ac:dyDescent="0.25">
      <c r="A5074">
        <v>2301</v>
      </c>
      <c r="B5074" t="s">
        <v>167</v>
      </c>
      <c r="C5074" t="s">
        <v>1643</v>
      </c>
      <c r="D5074" t="str">
        <f t="shared" si="79"/>
        <v>DER3922</v>
      </c>
      <c r="E5074" t="s">
        <v>1611</v>
      </c>
    </row>
    <row r="5075" spans="1:5" hidden="1" x14ac:dyDescent="0.25">
      <c r="A5075">
        <v>2301</v>
      </c>
      <c r="B5075" t="s">
        <v>167</v>
      </c>
      <c r="C5075" t="s">
        <v>1644</v>
      </c>
      <c r="D5075" t="str">
        <f t="shared" si="79"/>
        <v>DER3924</v>
      </c>
      <c r="E5075" t="s">
        <v>1645</v>
      </c>
    </row>
    <row r="5076" spans="1:5" hidden="1" x14ac:dyDescent="0.25">
      <c r="A5076">
        <v>2301</v>
      </c>
      <c r="B5076" t="s">
        <v>167</v>
      </c>
      <c r="C5076" t="s">
        <v>437</v>
      </c>
      <c r="D5076" t="str">
        <f t="shared" si="79"/>
        <v>DER3925</v>
      </c>
      <c r="E5076" t="s">
        <v>1646</v>
      </c>
    </row>
    <row r="5077" spans="1:5" hidden="1" x14ac:dyDescent="0.25">
      <c r="A5077">
        <v>2301</v>
      </c>
      <c r="B5077" t="s">
        <v>167</v>
      </c>
      <c r="C5077" t="s">
        <v>442</v>
      </c>
      <c r="D5077" t="str">
        <f t="shared" si="79"/>
        <v>DER3926</v>
      </c>
      <c r="E5077" t="s">
        <v>1646</v>
      </c>
    </row>
    <row r="5078" spans="1:5" hidden="1" x14ac:dyDescent="0.25">
      <c r="A5078">
        <v>2301</v>
      </c>
      <c r="B5078" t="s">
        <v>167</v>
      </c>
      <c r="C5078" t="s">
        <v>1647</v>
      </c>
      <c r="D5078" t="str">
        <f t="shared" si="79"/>
        <v>DER3927</v>
      </c>
      <c r="E5078" t="s">
        <v>1648</v>
      </c>
    </row>
    <row r="5079" spans="1:5" hidden="1" x14ac:dyDescent="0.25">
      <c r="A5079">
        <v>2301</v>
      </c>
      <c r="B5079" t="s">
        <v>167</v>
      </c>
      <c r="C5079" t="s">
        <v>1649</v>
      </c>
      <c r="D5079" t="str">
        <f t="shared" si="79"/>
        <v>DER3929</v>
      </c>
      <c r="E5079" t="s">
        <v>1606</v>
      </c>
    </row>
    <row r="5080" spans="1:5" hidden="1" x14ac:dyDescent="0.25">
      <c r="A5080">
        <v>2301</v>
      </c>
      <c r="B5080" t="s">
        <v>167</v>
      </c>
      <c r="C5080" t="s">
        <v>457</v>
      </c>
      <c r="D5080" t="str">
        <f t="shared" si="79"/>
        <v>DER3930</v>
      </c>
      <c r="E5080" t="s">
        <v>1646</v>
      </c>
    </row>
    <row r="5081" spans="1:5" hidden="1" x14ac:dyDescent="0.25">
      <c r="A5081">
        <v>2301</v>
      </c>
      <c r="B5081" t="s">
        <v>167</v>
      </c>
      <c r="C5081" t="s">
        <v>1650</v>
      </c>
      <c r="D5081" t="str">
        <f t="shared" si="79"/>
        <v>DER3931</v>
      </c>
      <c r="E5081" t="s">
        <v>1623</v>
      </c>
    </row>
    <row r="5082" spans="1:5" hidden="1" x14ac:dyDescent="0.25">
      <c r="A5082">
        <v>2301</v>
      </c>
      <c r="B5082" t="s">
        <v>167</v>
      </c>
      <c r="C5082" t="s">
        <v>1652</v>
      </c>
      <c r="D5082" t="str">
        <f t="shared" si="79"/>
        <v>DER3936</v>
      </c>
      <c r="E5082" t="s">
        <v>93</v>
      </c>
    </row>
    <row r="5083" spans="1:5" hidden="1" x14ac:dyDescent="0.25">
      <c r="A5083">
        <v>2301</v>
      </c>
      <c r="B5083" t="s">
        <v>167</v>
      </c>
      <c r="C5083" t="s">
        <v>1714</v>
      </c>
      <c r="D5083" t="str">
        <f t="shared" si="79"/>
        <v>DER3939</v>
      </c>
      <c r="E5083" t="s">
        <v>1623</v>
      </c>
    </row>
    <row r="5084" spans="1:5" hidden="1" x14ac:dyDescent="0.25">
      <c r="A5084">
        <v>2301</v>
      </c>
      <c r="B5084" t="s">
        <v>167</v>
      </c>
      <c r="C5084" t="s">
        <v>1653</v>
      </c>
      <c r="D5084" t="str">
        <f t="shared" si="79"/>
        <v>DER3940</v>
      </c>
      <c r="E5084" t="s">
        <v>1648</v>
      </c>
    </row>
    <row r="5085" spans="1:5" hidden="1" x14ac:dyDescent="0.25">
      <c r="A5085">
        <v>2301</v>
      </c>
      <c r="B5085" t="s">
        <v>167</v>
      </c>
      <c r="C5085" t="s">
        <v>479</v>
      </c>
      <c r="D5085" t="str">
        <f t="shared" si="79"/>
        <v>DER3941</v>
      </c>
      <c r="E5085" t="s">
        <v>1623</v>
      </c>
    </row>
    <row r="5086" spans="1:5" hidden="1" x14ac:dyDescent="0.25">
      <c r="A5086">
        <v>2301</v>
      </c>
      <c r="B5086" t="s">
        <v>167</v>
      </c>
      <c r="C5086" t="s">
        <v>1654</v>
      </c>
      <c r="D5086" t="str">
        <f t="shared" si="79"/>
        <v>DER3943</v>
      </c>
      <c r="E5086" t="s">
        <v>1615</v>
      </c>
    </row>
    <row r="5087" spans="1:5" hidden="1" x14ac:dyDescent="0.25">
      <c r="A5087">
        <v>2301</v>
      </c>
      <c r="B5087" t="s">
        <v>167</v>
      </c>
      <c r="C5087" t="s">
        <v>494</v>
      </c>
      <c r="D5087" t="str">
        <f t="shared" si="79"/>
        <v>DER3951</v>
      </c>
      <c r="E5087" t="s">
        <v>1671</v>
      </c>
    </row>
    <row r="5088" spans="1:5" hidden="1" x14ac:dyDescent="0.25">
      <c r="A5088">
        <v>2301</v>
      </c>
      <c r="B5088" t="s">
        <v>167</v>
      </c>
      <c r="C5088" t="s">
        <v>1701</v>
      </c>
      <c r="D5088" t="str">
        <f t="shared" si="79"/>
        <v>DER3952</v>
      </c>
      <c r="E5088" t="s">
        <v>64</v>
      </c>
    </row>
    <row r="5089" spans="1:5" hidden="1" x14ac:dyDescent="0.25">
      <c r="A5089">
        <v>2301</v>
      </c>
      <c r="B5089" t="s">
        <v>167</v>
      </c>
      <c r="C5089" t="s">
        <v>497</v>
      </c>
      <c r="D5089" t="str">
        <f t="shared" si="79"/>
        <v>DER3955</v>
      </c>
      <c r="E5089" t="s">
        <v>1623</v>
      </c>
    </row>
    <row r="5090" spans="1:5" hidden="1" x14ac:dyDescent="0.25">
      <c r="A5090">
        <v>2301</v>
      </c>
      <c r="B5090" t="s">
        <v>167</v>
      </c>
      <c r="C5090" t="s">
        <v>498</v>
      </c>
      <c r="D5090" t="str">
        <f t="shared" si="79"/>
        <v>DER3956</v>
      </c>
      <c r="E5090" t="s">
        <v>1623</v>
      </c>
    </row>
    <row r="5091" spans="1:5" hidden="1" x14ac:dyDescent="0.25">
      <c r="A5091">
        <v>2301</v>
      </c>
      <c r="B5091" t="s">
        <v>167</v>
      </c>
      <c r="C5091" t="s">
        <v>1656</v>
      </c>
      <c r="D5091" t="str">
        <f t="shared" si="79"/>
        <v>DER3959</v>
      </c>
      <c r="E5091" t="s">
        <v>1623</v>
      </c>
    </row>
    <row r="5092" spans="1:5" hidden="1" x14ac:dyDescent="0.25">
      <c r="A5092">
        <v>2301</v>
      </c>
      <c r="B5092" t="s">
        <v>167</v>
      </c>
      <c r="C5092" t="s">
        <v>1709</v>
      </c>
      <c r="D5092" t="str">
        <f t="shared" si="79"/>
        <v>DER3960</v>
      </c>
      <c r="E5092" t="s">
        <v>102</v>
      </c>
    </row>
    <row r="5093" spans="1:5" hidden="1" x14ac:dyDescent="0.25">
      <c r="A5093">
        <v>2301</v>
      </c>
      <c r="B5093" t="s">
        <v>167</v>
      </c>
      <c r="C5093" t="s">
        <v>1657</v>
      </c>
      <c r="D5093" t="str">
        <f t="shared" si="79"/>
        <v>DER3961</v>
      </c>
      <c r="E5093" t="s">
        <v>1630</v>
      </c>
    </row>
    <row r="5094" spans="1:5" hidden="1" x14ac:dyDescent="0.25">
      <c r="A5094">
        <v>2301</v>
      </c>
      <c r="B5094" t="s">
        <v>167</v>
      </c>
      <c r="C5094" t="s">
        <v>1696</v>
      </c>
      <c r="D5094" t="str">
        <f t="shared" si="79"/>
        <v>DER3962</v>
      </c>
      <c r="E5094" t="s">
        <v>2103</v>
      </c>
    </row>
    <row r="5095" spans="1:5" hidden="1" x14ac:dyDescent="0.25">
      <c r="A5095">
        <v>2301</v>
      </c>
      <c r="B5095" t="s">
        <v>167</v>
      </c>
      <c r="C5095" t="s">
        <v>1718</v>
      </c>
      <c r="D5095" t="str">
        <f t="shared" si="79"/>
        <v>DER3964</v>
      </c>
      <c r="E5095" t="s">
        <v>1852</v>
      </c>
    </row>
    <row r="5096" spans="1:5" hidden="1" x14ac:dyDescent="0.25">
      <c r="A5096">
        <v>2301</v>
      </c>
      <c r="B5096" t="s">
        <v>167</v>
      </c>
      <c r="C5096" t="s">
        <v>1659</v>
      </c>
      <c r="D5096" t="str">
        <f t="shared" si="79"/>
        <v>DER3969</v>
      </c>
      <c r="E5096" t="s">
        <v>1637</v>
      </c>
    </row>
    <row r="5097" spans="1:5" hidden="1" x14ac:dyDescent="0.25">
      <c r="A5097">
        <v>2301</v>
      </c>
      <c r="B5097" t="s">
        <v>167</v>
      </c>
      <c r="C5097" t="s">
        <v>1660</v>
      </c>
      <c r="D5097" t="str">
        <f t="shared" si="79"/>
        <v>DER3970</v>
      </c>
      <c r="E5097" t="s">
        <v>1648</v>
      </c>
    </row>
    <row r="5098" spans="1:5" hidden="1" x14ac:dyDescent="0.25">
      <c r="A5098">
        <v>2301</v>
      </c>
      <c r="B5098" t="s">
        <v>167</v>
      </c>
      <c r="C5098" t="s">
        <v>512</v>
      </c>
      <c r="D5098" t="str">
        <f t="shared" si="79"/>
        <v>DER3971</v>
      </c>
      <c r="E5098" t="s">
        <v>2103</v>
      </c>
    </row>
    <row r="5099" spans="1:5" hidden="1" x14ac:dyDescent="0.25">
      <c r="A5099">
        <v>2301</v>
      </c>
      <c r="B5099" t="s">
        <v>167</v>
      </c>
      <c r="C5099" t="s">
        <v>513</v>
      </c>
      <c r="D5099" t="str">
        <f t="shared" si="79"/>
        <v>DER3972</v>
      </c>
      <c r="E5099" t="s">
        <v>1637</v>
      </c>
    </row>
    <row r="5100" spans="1:5" hidden="1" x14ac:dyDescent="0.25">
      <c r="A5100">
        <v>2301</v>
      </c>
      <c r="B5100" t="s">
        <v>167</v>
      </c>
      <c r="C5100" t="s">
        <v>1725</v>
      </c>
      <c r="D5100" t="str">
        <f t="shared" si="79"/>
        <v>DER3973</v>
      </c>
      <c r="E5100" t="s">
        <v>2107</v>
      </c>
    </row>
    <row r="5101" spans="1:5" hidden="1" x14ac:dyDescent="0.25">
      <c r="A5101">
        <v>2301</v>
      </c>
      <c r="B5101" t="s">
        <v>167</v>
      </c>
      <c r="C5101" t="s">
        <v>1761</v>
      </c>
      <c r="D5101" t="str">
        <f t="shared" si="79"/>
        <v>DER3975</v>
      </c>
      <c r="E5101" t="s">
        <v>1623</v>
      </c>
    </row>
    <row r="5102" spans="1:5" hidden="1" x14ac:dyDescent="0.25">
      <c r="A5102">
        <v>2301</v>
      </c>
      <c r="B5102" t="s">
        <v>167</v>
      </c>
      <c r="C5102" t="s">
        <v>519</v>
      </c>
      <c r="D5102" t="str">
        <f t="shared" si="79"/>
        <v>DER3978</v>
      </c>
      <c r="E5102" t="s">
        <v>1630</v>
      </c>
    </row>
    <row r="5103" spans="1:5" hidden="1" x14ac:dyDescent="0.25">
      <c r="A5103">
        <v>2301</v>
      </c>
      <c r="B5103" t="s">
        <v>167</v>
      </c>
      <c r="C5103" t="s">
        <v>1726</v>
      </c>
      <c r="D5103" t="str">
        <f t="shared" si="79"/>
        <v>DER3980</v>
      </c>
      <c r="E5103" t="s">
        <v>1689</v>
      </c>
    </row>
    <row r="5104" spans="1:5" hidden="1" x14ac:dyDescent="0.25">
      <c r="A5104">
        <v>2301</v>
      </c>
      <c r="B5104" t="s">
        <v>167</v>
      </c>
      <c r="C5104" t="s">
        <v>520</v>
      </c>
      <c r="D5104" t="str">
        <f t="shared" si="79"/>
        <v>DER3981</v>
      </c>
      <c r="E5104" t="s">
        <v>1763</v>
      </c>
    </row>
    <row r="5105" spans="1:5" hidden="1" x14ac:dyDescent="0.25">
      <c r="A5105">
        <v>2301</v>
      </c>
      <c r="B5105" t="s">
        <v>167</v>
      </c>
      <c r="C5105" t="s">
        <v>524</v>
      </c>
      <c r="D5105" t="str">
        <f t="shared" si="79"/>
        <v>DER3985</v>
      </c>
      <c r="E5105" t="s">
        <v>1623</v>
      </c>
    </row>
    <row r="5106" spans="1:5" hidden="1" x14ac:dyDescent="0.25">
      <c r="A5106">
        <v>2301</v>
      </c>
      <c r="B5106" t="s">
        <v>167</v>
      </c>
      <c r="C5106" t="s">
        <v>1661</v>
      </c>
      <c r="D5106" t="str">
        <f t="shared" si="79"/>
        <v>DER3987</v>
      </c>
      <c r="E5106" t="s">
        <v>1615</v>
      </c>
    </row>
    <row r="5107" spans="1:5" hidden="1" x14ac:dyDescent="0.25">
      <c r="A5107">
        <v>2301</v>
      </c>
      <c r="B5107" t="s">
        <v>167</v>
      </c>
      <c r="C5107" t="s">
        <v>527</v>
      </c>
      <c r="D5107" t="str">
        <f t="shared" si="79"/>
        <v>DER3988</v>
      </c>
      <c r="E5107" t="s">
        <v>1623</v>
      </c>
    </row>
    <row r="5108" spans="1:5" hidden="1" x14ac:dyDescent="0.25">
      <c r="A5108">
        <v>2301</v>
      </c>
      <c r="B5108" t="s">
        <v>167</v>
      </c>
      <c r="C5108" t="s">
        <v>1663</v>
      </c>
      <c r="D5108" t="str">
        <f t="shared" si="79"/>
        <v>DER3999</v>
      </c>
      <c r="E5108" t="s">
        <v>1623</v>
      </c>
    </row>
    <row r="5109" spans="1:5" hidden="1" x14ac:dyDescent="0.25">
      <c r="A5109">
        <v>2301</v>
      </c>
      <c r="B5109" t="s">
        <v>167</v>
      </c>
      <c r="C5109" t="s">
        <v>1664</v>
      </c>
      <c r="D5109" t="str">
        <f t="shared" si="79"/>
        <v>DER4002</v>
      </c>
      <c r="E5109" t="s">
        <v>1648</v>
      </c>
    </row>
    <row r="5110" spans="1:5" hidden="1" x14ac:dyDescent="0.25">
      <c r="A5110">
        <v>2301</v>
      </c>
      <c r="B5110" t="s">
        <v>167</v>
      </c>
      <c r="C5110" t="s">
        <v>1665</v>
      </c>
      <c r="D5110" t="str">
        <f t="shared" si="79"/>
        <v>DER4003</v>
      </c>
      <c r="E5110" t="s">
        <v>93</v>
      </c>
    </row>
    <row r="5111" spans="1:5" hidden="1" x14ac:dyDescent="0.25">
      <c r="A5111">
        <v>2301</v>
      </c>
      <c r="B5111" t="s">
        <v>167</v>
      </c>
      <c r="C5111" t="s">
        <v>1666</v>
      </c>
      <c r="D5111" t="str">
        <f t="shared" si="79"/>
        <v>DER4004</v>
      </c>
      <c r="E5111" t="s">
        <v>1648</v>
      </c>
    </row>
    <row r="5112" spans="1:5" hidden="1" x14ac:dyDescent="0.25">
      <c r="A5112">
        <v>2301</v>
      </c>
      <c r="B5112" t="s">
        <v>167</v>
      </c>
      <c r="C5112" t="s">
        <v>1667</v>
      </c>
      <c r="D5112" t="str">
        <f t="shared" si="79"/>
        <v>DER4005</v>
      </c>
      <c r="E5112" t="s">
        <v>1648</v>
      </c>
    </row>
    <row r="5113" spans="1:5" hidden="1" x14ac:dyDescent="0.25">
      <c r="A5113">
        <v>2301</v>
      </c>
      <c r="B5113" t="s">
        <v>167</v>
      </c>
      <c r="C5113" t="s">
        <v>1698</v>
      </c>
      <c r="D5113" t="str">
        <f t="shared" si="79"/>
        <v>DER4006</v>
      </c>
      <c r="E5113" t="s">
        <v>1675</v>
      </c>
    </row>
    <row r="5114" spans="1:5" hidden="1" x14ac:dyDescent="0.25">
      <c r="A5114">
        <v>2301</v>
      </c>
      <c r="B5114" t="s">
        <v>167</v>
      </c>
      <c r="C5114" t="s">
        <v>1699</v>
      </c>
      <c r="D5114" t="str">
        <f t="shared" si="79"/>
        <v>DER4007</v>
      </c>
      <c r="E5114" t="s">
        <v>93</v>
      </c>
    </row>
    <row r="5115" spans="1:5" hidden="1" x14ac:dyDescent="0.25">
      <c r="A5115">
        <v>2301</v>
      </c>
      <c r="B5115" t="s">
        <v>167</v>
      </c>
      <c r="C5115" t="s">
        <v>1668</v>
      </c>
      <c r="D5115" t="str">
        <f t="shared" si="79"/>
        <v>DER4701</v>
      </c>
      <c r="E5115" t="s">
        <v>1669</v>
      </c>
    </row>
    <row r="5116" spans="1:5" hidden="1" x14ac:dyDescent="0.25">
      <c r="A5116">
        <v>2301</v>
      </c>
      <c r="B5116" t="s">
        <v>167</v>
      </c>
      <c r="C5116" t="s">
        <v>238</v>
      </c>
      <c r="D5116" t="str">
        <f t="shared" si="79"/>
        <v>DER4702</v>
      </c>
      <c r="E5116" t="s">
        <v>1669</v>
      </c>
    </row>
    <row r="5117" spans="1:5" hidden="1" x14ac:dyDescent="0.25">
      <c r="A5117">
        <v>2301</v>
      </c>
      <c r="B5117" t="s">
        <v>167</v>
      </c>
      <c r="C5117" t="s">
        <v>264</v>
      </c>
      <c r="D5117" t="str">
        <f t="shared" si="79"/>
        <v>DER4703</v>
      </c>
      <c r="E5117" t="s">
        <v>1669</v>
      </c>
    </row>
    <row r="5118" spans="1:5" hidden="1" x14ac:dyDescent="0.25">
      <c r="A5118">
        <v>2301</v>
      </c>
      <c r="B5118" t="s">
        <v>167</v>
      </c>
      <c r="C5118" t="s">
        <v>315</v>
      </c>
      <c r="D5118" t="str">
        <f t="shared" si="79"/>
        <v>DER4706</v>
      </c>
      <c r="E5118" t="s">
        <v>1669</v>
      </c>
    </row>
    <row r="5119" spans="1:5" hidden="1" x14ac:dyDescent="0.25">
      <c r="A5119">
        <v>2301</v>
      </c>
      <c r="B5119" t="s">
        <v>167</v>
      </c>
      <c r="C5119" t="s">
        <v>327</v>
      </c>
      <c r="D5119" t="str">
        <f t="shared" si="79"/>
        <v>DER4707</v>
      </c>
      <c r="E5119" t="s">
        <v>1669</v>
      </c>
    </row>
    <row r="5120" spans="1:5" hidden="1" x14ac:dyDescent="0.25">
      <c r="A5120">
        <v>2301</v>
      </c>
      <c r="B5120" t="s">
        <v>167</v>
      </c>
      <c r="C5120" t="s">
        <v>337</v>
      </c>
      <c r="D5120" t="str">
        <f t="shared" si="79"/>
        <v>DER4708</v>
      </c>
      <c r="E5120" t="s">
        <v>1669</v>
      </c>
    </row>
    <row r="5121" spans="1:5" hidden="1" x14ac:dyDescent="0.25">
      <c r="A5121">
        <v>2301</v>
      </c>
      <c r="B5121" t="s">
        <v>167</v>
      </c>
      <c r="C5121" t="s">
        <v>347</v>
      </c>
      <c r="D5121" t="str">
        <f t="shared" si="79"/>
        <v>DER4709</v>
      </c>
      <c r="E5121" t="s">
        <v>1669</v>
      </c>
    </row>
    <row r="5122" spans="1:5" hidden="1" x14ac:dyDescent="0.25">
      <c r="A5122">
        <v>2301</v>
      </c>
      <c r="B5122" t="s">
        <v>167</v>
      </c>
      <c r="C5122" t="s">
        <v>356</v>
      </c>
      <c r="D5122" t="str">
        <f t="shared" si="79"/>
        <v>DER4710</v>
      </c>
      <c r="E5122" t="s">
        <v>1669</v>
      </c>
    </row>
    <row r="5123" spans="1:5" hidden="1" x14ac:dyDescent="0.25">
      <c r="A5123">
        <v>2301</v>
      </c>
      <c r="B5123" t="s">
        <v>167</v>
      </c>
      <c r="C5123" t="s">
        <v>363</v>
      </c>
      <c r="D5123" t="str">
        <f t="shared" si="79"/>
        <v>DER4799</v>
      </c>
      <c r="E5123" t="s">
        <v>1669</v>
      </c>
    </row>
    <row r="5124" spans="1:5" hidden="1" x14ac:dyDescent="0.25">
      <c r="A5124">
        <v>2301</v>
      </c>
      <c r="B5124" t="s">
        <v>167</v>
      </c>
      <c r="C5124" t="s">
        <v>1670</v>
      </c>
      <c r="D5124" t="str">
        <f t="shared" si="79"/>
        <v>DER5101</v>
      </c>
      <c r="E5124" t="s">
        <v>1671</v>
      </c>
    </row>
    <row r="5125" spans="1:5" hidden="1" x14ac:dyDescent="0.25">
      <c r="A5125">
        <v>2301</v>
      </c>
      <c r="B5125" t="s">
        <v>167</v>
      </c>
      <c r="C5125" t="s">
        <v>1672</v>
      </c>
      <c r="D5125" t="str">
        <f t="shared" ref="D5125:D5188" si="80">CONCATENATE(B5125,LEFT(C5125,4))</f>
        <v>DER5103</v>
      </c>
      <c r="E5125" t="s">
        <v>1671</v>
      </c>
    </row>
    <row r="5126" spans="1:5" hidden="1" x14ac:dyDescent="0.25">
      <c r="A5126">
        <v>2301</v>
      </c>
      <c r="B5126" t="s">
        <v>167</v>
      </c>
      <c r="C5126" t="s">
        <v>316</v>
      </c>
      <c r="D5126" t="str">
        <f t="shared" si="80"/>
        <v>DER5106</v>
      </c>
      <c r="E5126" t="s">
        <v>1671</v>
      </c>
    </row>
    <row r="5127" spans="1:5" hidden="1" x14ac:dyDescent="0.25">
      <c r="A5127">
        <v>2301</v>
      </c>
      <c r="B5127" t="s">
        <v>167</v>
      </c>
      <c r="C5127" t="s">
        <v>172</v>
      </c>
      <c r="D5127" t="str">
        <f t="shared" si="80"/>
        <v>DER5107</v>
      </c>
      <c r="E5127" t="s">
        <v>1671</v>
      </c>
    </row>
    <row r="5128" spans="1:5" hidden="1" x14ac:dyDescent="0.25">
      <c r="A5128">
        <v>2301</v>
      </c>
      <c r="B5128" t="s">
        <v>167</v>
      </c>
      <c r="C5128" t="s">
        <v>348</v>
      </c>
      <c r="D5128" t="str">
        <f t="shared" si="80"/>
        <v>DER5110</v>
      </c>
      <c r="E5128" t="s">
        <v>1671</v>
      </c>
    </row>
    <row r="5129" spans="1:5" hidden="1" x14ac:dyDescent="0.25">
      <c r="A5129">
        <v>2301</v>
      </c>
      <c r="B5129" t="s">
        <v>167</v>
      </c>
      <c r="C5129" t="s">
        <v>1768</v>
      </c>
      <c r="D5129" t="str">
        <f t="shared" si="80"/>
        <v>DER5112</v>
      </c>
      <c r="E5129" t="s">
        <v>1671</v>
      </c>
    </row>
    <row r="5130" spans="1:5" hidden="1" x14ac:dyDescent="0.25">
      <c r="A5130">
        <v>2301</v>
      </c>
      <c r="B5130" t="s">
        <v>167</v>
      </c>
      <c r="C5130" t="s">
        <v>1673</v>
      </c>
      <c r="D5130" t="str">
        <f t="shared" si="80"/>
        <v>DER5204</v>
      </c>
      <c r="E5130" t="s">
        <v>2116</v>
      </c>
    </row>
    <row r="5131" spans="1:5" hidden="1" x14ac:dyDescent="0.25">
      <c r="A5131">
        <v>2301</v>
      </c>
      <c r="B5131" t="s">
        <v>167</v>
      </c>
      <c r="C5131" t="s">
        <v>328</v>
      </c>
      <c r="D5131" t="str">
        <f t="shared" si="80"/>
        <v>DER5206</v>
      </c>
      <c r="E5131" t="s">
        <v>1675</v>
      </c>
    </row>
    <row r="5132" spans="1:5" hidden="1" x14ac:dyDescent="0.25">
      <c r="A5132">
        <v>2301</v>
      </c>
      <c r="B5132" t="s">
        <v>167</v>
      </c>
      <c r="C5132" t="s">
        <v>1676</v>
      </c>
      <c r="D5132" t="str">
        <f t="shared" si="80"/>
        <v>DER5207</v>
      </c>
      <c r="E5132" t="s">
        <v>1675</v>
      </c>
    </row>
    <row r="5133" spans="1:5" hidden="1" x14ac:dyDescent="0.25">
      <c r="A5133">
        <v>2301</v>
      </c>
      <c r="B5133" t="s">
        <v>167</v>
      </c>
      <c r="C5133" t="s">
        <v>1677</v>
      </c>
      <c r="D5133" t="str">
        <f t="shared" si="80"/>
        <v>DER5208</v>
      </c>
      <c r="E5133" t="s">
        <v>1675</v>
      </c>
    </row>
    <row r="5134" spans="1:5" hidden="1" x14ac:dyDescent="0.25">
      <c r="A5134">
        <v>2301</v>
      </c>
      <c r="B5134" t="s">
        <v>167</v>
      </c>
      <c r="C5134" t="s">
        <v>1678</v>
      </c>
      <c r="D5134" t="str">
        <f t="shared" si="80"/>
        <v>DER5210</v>
      </c>
      <c r="E5134" t="s">
        <v>2116</v>
      </c>
    </row>
    <row r="5135" spans="1:5" hidden="1" x14ac:dyDescent="0.25">
      <c r="A5135">
        <v>2301</v>
      </c>
      <c r="B5135" t="s">
        <v>167</v>
      </c>
      <c r="C5135" t="s">
        <v>1679</v>
      </c>
      <c r="D5135" t="str">
        <f t="shared" si="80"/>
        <v>DER5212</v>
      </c>
      <c r="E5135" t="s">
        <v>2116</v>
      </c>
    </row>
    <row r="5136" spans="1:5" hidden="1" x14ac:dyDescent="0.25">
      <c r="A5136">
        <v>2301</v>
      </c>
      <c r="B5136" t="s">
        <v>167</v>
      </c>
      <c r="C5136" t="s">
        <v>390</v>
      </c>
      <c r="D5136" t="str">
        <f t="shared" si="80"/>
        <v>DER5214</v>
      </c>
      <c r="E5136" t="s">
        <v>2116</v>
      </c>
    </row>
    <row r="5137" spans="1:5" hidden="1" x14ac:dyDescent="0.25">
      <c r="A5137">
        <v>2301</v>
      </c>
      <c r="B5137" t="s">
        <v>167</v>
      </c>
      <c r="C5137" t="s">
        <v>408</v>
      </c>
      <c r="D5137" t="str">
        <f t="shared" si="80"/>
        <v>DER5217</v>
      </c>
      <c r="E5137" t="s">
        <v>1680</v>
      </c>
    </row>
    <row r="5138" spans="1:5" hidden="1" x14ac:dyDescent="0.25">
      <c r="A5138">
        <v>2301</v>
      </c>
      <c r="B5138" t="s">
        <v>167</v>
      </c>
      <c r="C5138" t="s">
        <v>1681</v>
      </c>
      <c r="D5138" t="str">
        <f t="shared" si="80"/>
        <v>DER5220</v>
      </c>
      <c r="E5138" t="s">
        <v>1675</v>
      </c>
    </row>
    <row r="5139" spans="1:5" hidden="1" x14ac:dyDescent="0.25">
      <c r="A5139">
        <v>2301</v>
      </c>
      <c r="B5139" t="s">
        <v>167</v>
      </c>
      <c r="C5139" t="s">
        <v>448</v>
      </c>
      <c r="D5139" t="str">
        <f t="shared" si="80"/>
        <v>DER5225</v>
      </c>
      <c r="E5139" t="s">
        <v>2116</v>
      </c>
    </row>
    <row r="5140" spans="1:5" hidden="1" x14ac:dyDescent="0.25">
      <c r="A5140">
        <v>2301</v>
      </c>
      <c r="B5140" t="s">
        <v>167</v>
      </c>
      <c r="C5140" t="s">
        <v>1700</v>
      </c>
      <c r="D5140" t="str">
        <f t="shared" si="80"/>
        <v>DER5230</v>
      </c>
      <c r="E5140" t="s">
        <v>2116</v>
      </c>
    </row>
    <row r="5141" spans="1:5" hidden="1" x14ac:dyDescent="0.25">
      <c r="A5141">
        <v>2301</v>
      </c>
      <c r="B5141" t="s">
        <v>167</v>
      </c>
      <c r="C5141" t="s">
        <v>340</v>
      </c>
      <c r="D5141" t="str">
        <f t="shared" si="80"/>
        <v>DER6107</v>
      </c>
      <c r="E5141" t="s">
        <v>1754</v>
      </c>
    </row>
    <row r="5142" spans="1:5" hidden="1" x14ac:dyDescent="0.25">
      <c r="A5142">
        <v>2301</v>
      </c>
      <c r="B5142" t="s">
        <v>167</v>
      </c>
      <c r="C5142" t="s">
        <v>1800</v>
      </c>
      <c r="D5142" t="str">
        <f t="shared" si="80"/>
        <v>DER9113</v>
      </c>
      <c r="E5142" t="s">
        <v>1724</v>
      </c>
    </row>
    <row r="5143" spans="1:5" hidden="1" x14ac:dyDescent="0.25">
      <c r="A5143">
        <v>2301</v>
      </c>
      <c r="B5143" t="s">
        <v>167</v>
      </c>
      <c r="C5143" t="s">
        <v>1684</v>
      </c>
      <c r="D5143" t="str">
        <f t="shared" si="80"/>
        <v>DER9202</v>
      </c>
      <c r="E5143" t="s">
        <v>1685</v>
      </c>
    </row>
    <row r="5144" spans="1:5" hidden="1" x14ac:dyDescent="0.25">
      <c r="A5144">
        <v>2301</v>
      </c>
      <c r="B5144" t="s">
        <v>167</v>
      </c>
      <c r="C5144" t="s">
        <v>249</v>
      </c>
      <c r="D5144" t="str">
        <f t="shared" si="80"/>
        <v>DER9301</v>
      </c>
      <c r="E5144" t="s">
        <v>1623</v>
      </c>
    </row>
    <row r="5145" spans="1:5" hidden="1" x14ac:dyDescent="0.25">
      <c r="A5145">
        <v>2301</v>
      </c>
      <c r="B5145" t="s">
        <v>167</v>
      </c>
      <c r="C5145" t="s">
        <v>319</v>
      </c>
      <c r="D5145" t="str">
        <f t="shared" si="80"/>
        <v>DER9305</v>
      </c>
      <c r="E5145" t="s">
        <v>1623</v>
      </c>
    </row>
    <row r="5146" spans="1:5" hidden="1" x14ac:dyDescent="0.25">
      <c r="A5146">
        <v>2301</v>
      </c>
      <c r="B5146" t="s">
        <v>167</v>
      </c>
      <c r="C5146" t="s">
        <v>330</v>
      </c>
      <c r="D5146" t="str">
        <f t="shared" si="80"/>
        <v>DER9306</v>
      </c>
      <c r="E5146" t="s">
        <v>1686</v>
      </c>
    </row>
    <row r="5147" spans="1:5" hidden="1" x14ac:dyDescent="0.25">
      <c r="A5147">
        <v>2301</v>
      </c>
      <c r="B5147" t="s">
        <v>167</v>
      </c>
      <c r="C5147" t="s">
        <v>439</v>
      </c>
      <c r="D5147" t="str">
        <f t="shared" si="80"/>
        <v>DER9326</v>
      </c>
      <c r="E5147" t="s">
        <v>1623</v>
      </c>
    </row>
    <row r="5148" spans="1:5" hidden="1" x14ac:dyDescent="0.25">
      <c r="A5148">
        <v>2301</v>
      </c>
      <c r="B5148" t="s">
        <v>167</v>
      </c>
      <c r="C5148" t="s">
        <v>1866</v>
      </c>
      <c r="D5148" t="str">
        <f t="shared" si="80"/>
        <v>DER9330</v>
      </c>
      <c r="E5148" t="s">
        <v>1623</v>
      </c>
    </row>
    <row r="5149" spans="1:5" hidden="1" x14ac:dyDescent="0.25">
      <c r="A5149">
        <v>2301</v>
      </c>
      <c r="B5149" t="s">
        <v>167</v>
      </c>
      <c r="C5149" t="s">
        <v>1687</v>
      </c>
      <c r="D5149" t="str">
        <f t="shared" si="80"/>
        <v>DER9399</v>
      </c>
      <c r="E5149" t="s">
        <v>2105</v>
      </c>
    </row>
    <row r="5150" spans="1:5" hidden="1" x14ac:dyDescent="0.25">
      <c r="A5150">
        <v>2301</v>
      </c>
      <c r="B5150" t="s">
        <v>167</v>
      </c>
      <c r="C5150" t="s">
        <v>2101</v>
      </c>
      <c r="D5150" t="str">
        <f t="shared" si="80"/>
        <v>DER9323</v>
      </c>
      <c r="E5150" t="s">
        <v>1623</v>
      </c>
    </row>
    <row r="5151" spans="1:5" hidden="1" x14ac:dyDescent="0.25">
      <c r="A5151">
        <v>2301</v>
      </c>
      <c r="B5151" t="s">
        <v>167</v>
      </c>
      <c r="C5151" t="s">
        <v>491</v>
      </c>
      <c r="D5151" t="str">
        <f t="shared" si="80"/>
        <v>DER3948</v>
      </c>
      <c r="E5151" t="s">
        <v>1645</v>
      </c>
    </row>
    <row r="5152" spans="1:5" hidden="1" x14ac:dyDescent="0.25">
      <c r="A5152">
        <v>2301</v>
      </c>
      <c r="B5152" t="s">
        <v>167</v>
      </c>
      <c r="C5152" t="s">
        <v>1690</v>
      </c>
      <c r="D5152" t="str">
        <f t="shared" si="80"/>
        <v>DER3601</v>
      </c>
      <c r="E5152" t="s">
        <v>64</v>
      </c>
    </row>
    <row r="5153" spans="1:5" hidden="1" x14ac:dyDescent="0.25">
      <c r="A5153">
        <v>2301</v>
      </c>
      <c r="B5153" t="s">
        <v>167</v>
      </c>
      <c r="C5153" t="s">
        <v>242</v>
      </c>
      <c r="D5153" t="str">
        <f t="shared" si="80"/>
        <v>DER6101</v>
      </c>
      <c r="E5153" t="s">
        <v>1754</v>
      </c>
    </row>
    <row r="5154" spans="1:5" hidden="1" x14ac:dyDescent="0.25">
      <c r="A5154">
        <v>2301</v>
      </c>
      <c r="B5154" t="s">
        <v>167</v>
      </c>
      <c r="C5154" t="s">
        <v>1682</v>
      </c>
      <c r="D5154" t="str">
        <f t="shared" si="80"/>
        <v>DER5226</v>
      </c>
      <c r="E5154" t="s">
        <v>2116</v>
      </c>
    </row>
    <row r="5155" spans="1:5" hidden="1" x14ac:dyDescent="0.25">
      <c r="A5155">
        <v>2301</v>
      </c>
      <c r="B5155" t="s">
        <v>167</v>
      </c>
      <c r="C5155" t="s">
        <v>1683</v>
      </c>
      <c r="D5155" t="str">
        <f t="shared" si="80"/>
        <v>DER5227</v>
      </c>
      <c r="E5155" t="s">
        <v>2116</v>
      </c>
    </row>
    <row r="5156" spans="1:5" hidden="1" x14ac:dyDescent="0.25">
      <c r="A5156">
        <v>2301</v>
      </c>
      <c r="B5156" t="s">
        <v>167</v>
      </c>
      <c r="C5156" t="s">
        <v>481</v>
      </c>
      <c r="D5156" t="str">
        <f t="shared" si="80"/>
        <v>DER3942</v>
      </c>
      <c r="E5156" t="s">
        <v>1623</v>
      </c>
    </row>
    <row r="5157" spans="1:5" hidden="1" x14ac:dyDescent="0.25">
      <c r="A5157">
        <v>2311</v>
      </c>
      <c r="B5157" t="s">
        <v>593</v>
      </c>
      <c r="C5157" t="s">
        <v>1853</v>
      </c>
      <c r="D5157" t="str">
        <f t="shared" si="80"/>
        <v>UNIMONTES0702</v>
      </c>
      <c r="E5157" t="s">
        <v>1646</v>
      </c>
    </row>
    <row r="5158" spans="1:5" hidden="1" x14ac:dyDescent="0.25">
      <c r="A5158">
        <v>2311</v>
      </c>
      <c r="B5158" t="s">
        <v>593</v>
      </c>
      <c r="C5158" t="s">
        <v>1595</v>
      </c>
      <c r="D5158" t="str">
        <f t="shared" si="80"/>
        <v>UNIMONTES0810</v>
      </c>
      <c r="E5158" t="s">
        <v>1596</v>
      </c>
    </row>
    <row r="5159" spans="1:5" hidden="1" x14ac:dyDescent="0.25">
      <c r="A5159">
        <v>2311</v>
      </c>
      <c r="B5159" t="s">
        <v>593</v>
      </c>
      <c r="C5159" t="s">
        <v>1737</v>
      </c>
      <c r="D5159" t="str">
        <f t="shared" si="80"/>
        <v>UNIMONTES1307</v>
      </c>
      <c r="E5159" t="s">
        <v>1689</v>
      </c>
    </row>
    <row r="5160" spans="1:5" hidden="1" x14ac:dyDescent="0.25">
      <c r="A5160">
        <v>2311</v>
      </c>
      <c r="B5160" t="s">
        <v>593</v>
      </c>
      <c r="C5160" t="s">
        <v>1597</v>
      </c>
      <c r="D5160" t="str">
        <f t="shared" si="80"/>
        <v>UNIMONTES1401</v>
      </c>
      <c r="E5160" t="s">
        <v>43</v>
      </c>
    </row>
    <row r="5161" spans="1:5" hidden="1" x14ac:dyDescent="0.25">
      <c r="A5161">
        <v>2311</v>
      </c>
      <c r="B5161" t="s">
        <v>593</v>
      </c>
      <c r="C5161" t="s">
        <v>221</v>
      </c>
      <c r="D5161" t="str">
        <f t="shared" si="80"/>
        <v>UNIMONTES1801</v>
      </c>
      <c r="E5161" t="s">
        <v>1738</v>
      </c>
    </row>
    <row r="5162" spans="1:5" hidden="1" x14ac:dyDescent="0.25">
      <c r="A5162">
        <v>2311</v>
      </c>
      <c r="B5162" t="s">
        <v>593</v>
      </c>
      <c r="C5162" t="s">
        <v>1807</v>
      </c>
      <c r="D5162" t="str">
        <f t="shared" si="80"/>
        <v>UNIMONTES2001</v>
      </c>
      <c r="E5162" t="s">
        <v>1596</v>
      </c>
    </row>
    <row r="5163" spans="1:5" hidden="1" x14ac:dyDescent="0.25">
      <c r="A5163">
        <v>2311</v>
      </c>
      <c r="B5163" t="s">
        <v>593</v>
      </c>
      <c r="C5163" t="s">
        <v>1599</v>
      </c>
      <c r="D5163" t="str">
        <f t="shared" si="80"/>
        <v>UNIMONTES3001</v>
      </c>
      <c r="E5163" t="s">
        <v>1600</v>
      </c>
    </row>
    <row r="5164" spans="1:5" hidden="1" x14ac:dyDescent="0.25">
      <c r="A5164">
        <v>2311</v>
      </c>
      <c r="B5164" t="s">
        <v>593</v>
      </c>
      <c r="C5164" t="s">
        <v>255</v>
      </c>
      <c r="D5164" t="str">
        <f t="shared" si="80"/>
        <v>UNIMONTES3002</v>
      </c>
      <c r="E5164" t="s">
        <v>1600</v>
      </c>
    </row>
    <row r="5165" spans="1:5" hidden="1" x14ac:dyDescent="0.25">
      <c r="A5165">
        <v>2311</v>
      </c>
      <c r="B5165" t="s">
        <v>593</v>
      </c>
      <c r="C5165" t="s">
        <v>1601</v>
      </c>
      <c r="D5165" t="str">
        <f t="shared" si="80"/>
        <v>UNIMONTES3003</v>
      </c>
      <c r="E5165" t="s">
        <v>1600</v>
      </c>
    </row>
    <row r="5166" spans="1:5" hidden="1" x14ac:dyDescent="0.25">
      <c r="A5166">
        <v>2311</v>
      </c>
      <c r="B5166" t="s">
        <v>593</v>
      </c>
      <c r="C5166" t="s">
        <v>1602</v>
      </c>
      <c r="D5166" t="str">
        <f t="shared" si="80"/>
        <v>UNIMONTES3004</v>
      </c>
      <c r="E5166" t="s">
        <v>1600</v>
      </c>
    </row>
    <row r="5167" spans="1:5" hidden="1" x14ac:dyDescent="0.25">
      <c r="A5167">
        <v>2311</v>
      </c>
      <c r="B5167" t="s">
        <v>593</v>
      </c>
      <c r="C5167" t="s">
        <v>1603</v>
      </c>
      <c r="D5167" t="str">
        <f t="shared" si="80"/>
        <v>UNIMONTES3005</v>
      </c>
      <c r="E5167" t="s">
        <v>1600</v>
      </c>
    </row>
    <row r="5168" spans="1:5" hidden="1" x14ac:dyDescent="0.25">
      <c r="A5168">
        <v>2311</v>
      </c>
      <c r="B5168" t="s">
        <v>593</v>
      </c>
      <c r="C5168" t="s">
        <v>322</v>
      </c>
      <c r="D5168" t="str">
        <f t="shared" si="80"/>
        <v>UNIMONTES3006</v>
      </c>
      <c r="E5168" t="s">
        <v>1600</v>
      </c>
    </row>
    <row r="5169" spans="1:5" hidden="1" x14ac:dyDescent="0.25">
      <c r="A5169">
        <v>2311</v>
      </c>
      <c r="B5169" t="s">
        <v>593</v>
      </c>
      <c r="C5169" t="s">
        <v>332</v>
      </c>
      <c r="D5169" t="str">
        <f t="shared" si="80"/>
        <v>UNIMONTES3007</v>
      </c>
      <c r="E5169" t="s">
        <v>1600</v>
      </c>
    </row>
    <row r="5170" spans="1:5" hidden="1" x14ac:dyDescent="0.25">
      <c r="A5170">
        <v>2311</v>
      </c>
      <c r="B5170" t="s">
        <v>593</v>
      </c>
      <c r="C5170" t="s">
        <v>1604</v>
      </c>
      <c r="D5170" t="str">
        <f t="shared" si="80"/>
        <v>UNIMONTES3008</v>
      </c>
      <c r="E5170" t="s">
        <v>1600</v>
      </c>
    </row>
    <row r="5171" spans="1:5" hidden="1" x14ac:dyDescent="0.25">
      <c r="A5171">
        <v>2311</v>
      </c>
      <c r="B5171" t="s">
        <v>593</v>
      </c>
      <c r="C5171" t="s">
        <v>353</v>
      </c>
      <c r="D5171" t="str">
        <f t="shared" si="80"/>
        <v>UNIMONTES3009</v>
      </c>
      <c r="E5171" t="s">
        <v>1600</v>
      </c>
    </row>
    <row r="5172" spans="1:5" hidden="1" x14ac:dyDescent="0.25">
      <c r="A5172">
        <v>2311</v>
      </c>
      <c r="B5172" t="s">
        <v>593</v>
      </c>
      <c r="C5172" t="s">
        <v>1605</v>
      </c>
      <c r="D5172" t="str">
        <f t="shared" si="80"/>
        <v>UNIMONTES3010</v>
      </c>
      <c r="E5172" t="s">
        <v>1606</v>
      </c>
    </row>
    <row r="5173" spans="1:5" hidden="1" x14ac:dyDescent="0.25">
      <c r="A5173">
        <v>2311</v>
      </c>
      <c r="B5173" t="s">
        <v>593</v>
      </c>
      <c r="C5173" t="s">
        <v>368</v>
      </c>
      <c r="D5173" t="str">
        <f t="shared" si="80"/>
        <v>UNIMONTES3011</v>
      </c>
      <c r="E5173" t="s">
        <v>1600</v>
      </c>
    </row>
    <row r="5174" spans="1:5" hidden="1" x14ac:dyDescent="0.25">
      <c r="A5174">
        <v>2311</v>
      </c>
      <c r="B5174" t="s">
        <v>593</v>
      </c>
      <c r="C5174" t="s">
        <v>137</v>
      </c>
      <c r="D5174" t="str">
        <f t="shared" si="80"/>
        <v>UNIMONTES3012</v>
      </c>
      <c r="E5174" t="s">
        <v>1606</v>
      </c>
    </row>
    <row r="5175" spans="1:5" hidden="1" x14ac:dyDescent="0.25">
      <c r="A5175">
        <v>2311</v>
      </c>
      <c r="B5175" t="s">
        <v>593</v>
      </c>
      <c r="C5175" t="s">
        <v>1607</v>
      </c>
      <c r="D5175" t="str">
        <f t="shared" si="80"/>
        <v>UNIMONTES3013</v>
      </c>
      <c r="E5175" t="s">
        <v>1600</v>
      </c>
    </row>
    <row r="5176" spans="1:5" hidden="1" x14ac:dyDescent="0.25">
      <c r="A5176">
        <v>2311</v>
      </c>
      <c r="B5176" t="s">
        <v>593</v>
      </c>
      <c r="C5176" t="s">
        <v>387</v>
      </c>
      <c r="D5176" t="str">
        <f t="shared" si="80"/>
        <v>UNIMONTES3014</v>
      </c>
      <c r="E5176" t="s">
        <v>1600</v>
      </c>
    </row>
    <row r="5177" spans="1:5" hidden="1" x14ac:dyDescent="0.25">
      <c r="A5177">
        <v>2311</v>
      </c>
      <c r="B5177" t="s">
        <v>593</v>
      </c>
      <c r="C5177" t="s">
        <v>1608</v>
      </c>
      <c r="D5177" t="str">
        <f t="shared" si="80"/>
        <v>UNIMONTES3015</v>
      </c>
      <c r="E5177" t="s">
        <v>1600</v>
      </c>
    </row>
    <row r="5178" spans="1:5" hidden="1" x14ac:dyDescent="0.25">
      <c r="A5178">
        <v>2311</v>
      </c>
      <c r="B5178" t="s">
        <v>593</v>
      </c>
      <c r="C5178" t="s">
        <v>1609</v>
      </c>
      <c r="D5178" t="str">
        <f t="shared" si="80"/>
        <v>UNIMONTES3016</v>
      </c>
      <c r="E5178" t="s">
        <v>1600</v>
      </c>
    </row>
    <row r="5179" spans="1:5" hidden="1" x14ac:dyDescent="0.25">
      <c r="A5179">
        <v>2311</v>
      </c>
      <c r="B5179" t="s">
        <v>593</v>
      </c>
      <c r="C5179" t="s">
        <v>405</v>
      </c>
      <c r="D5179" t="str">
        <f t="shared" si="80"/>
        <v>UNIMONTES3017</v>
      </c>
      <c r="E5179" t="s">
        <v>1600</v>
      </c>
    </row>
    <row r="5180" spans="1:5" hidden="1" x14ac:dyDescent="0.25">
      <c r="A5180">
        <v>2311</v>
      </c>
      <c r="B5180" t="s">
        <v>593</v>
      </c>
      <c r="C5180" t="s">
        <v>1610</v>
      </c>
      <c r="D5180" t="str">
        <f t="shared" si="80"/>
        <v>UNIMONTES3019</v>
      </c>
      <c r="E5180" t="s">
        <v>1611</v>
      </c>
    </row>
    <row r="5181" spans="1:5" hidden="1" x14ac:dyDescent="0.25">
      <c r="A5181">
        <v>2311</v>
      </c>
      <c r="B5181" t="s">
        <v>593</v>
      </c>
      <c r="C5181" t="s">
        <v>1612</v>
      </c>
      <c r="D5181" t="str">
        <f t="shared" si="80"/>
        <v>UNIMONTES3020</v>
      </c>
      <c r="E5181" t="s">
        <v>1600</v>
      </c>
    </row>
    <row r="5182" spans="1:5" hidden="1" x14ac:dyDescent="0.25">
      <c r="A5182">
        <v>2311</v>
      </c>
      <c r="B5182" t="s">
        <v>593</v>
      </c>
      <c r="C5182" t="s">
        <v>1613</v>
      </c>
      <c r="D5182" t="str">
        <f t="shared" si="80"/>
        <v>UNIMONTES3021</v>
      </c>
      <c r="E5182" t="s">
        <v>1600</v>
      </c>
    </row>
    <row r="5183" spans="1:5" hidden="1" x14ac:dyDescent="0.25">
      <c r="A5183">
        <v>2311</v>
      </c>
      <c r="B5183" t="s">
        <v>593</v>
      </c>
      <c r="C5183" t="s">
        <v>430</v>
      </c>
      <c r="D5183" t="str">
        <f t="shared" si="80"/>
        <v>UNIMONTES3022</v>
      </c>
      <c r="E5183" t="s">
        <v>1600</v>
      </c>
    </row>
    <row r="5184" spans="1:5" hidden="1" x14ac:dyDescent="0.25">
      <c r="A5184">
        <v>2311</v>
      </c>
      <c r="B5184" t="s">
        <v>593</v>
      </c>
      <c r="C5184" t="s">
        <v>1614</v>
      </c>
      <c r="D5184" t="str">
        <f t="shared" si="80"/>
        <v>UNIMONTES3023</v>
      </c>
      <c r="E5184" t="s">
        <v>1615</v>
      </c>
    </row>
    <row r="5185" spans="1:5" hidden="1" x14ac:dyDescent="0.25">
      <c r="A5185">
        <v>2311</v>
      </c>
      <c r="B5185" t="s">
        <v>593</v>
      </c>
      <c r="C5185" t="s">
        <v>440</v>
      </c>
      <c r="D5185" t="str">
        <f t="shared" si="80"/>
        <v>UNIMONTES3024</v>
      </c>
      <c r="E5185" t="s">
        <v>1600</v>
      </c>
    </row>
    <row r="5186" spans="1:5" hidden="1" x14ac:dyDescent="0.25">
      <c r="A5186">
        <v>2311</v>
      </c>
      <c r="B5186" t="s">
        <v>593</v>
      </c>
      <c r="C5186" t="s">
        <v>1616</v>
      </c>
      <c r="D5186" t="str">
        <f t="shared" si="80"/>
        <v>UNIMONTES3025</v>
      </c>
      <c r="E5186" t="s">
        <v>1600</v>
      </c>
    </row>
    <row r="5187" spans="1:5" hidden="1" x14ac:dyDescent="0.25">
      <c r="A5187">
        <v>2311</v>
      </c>
      <c r="B5187" t="s">
        <v>593</v>
      </c>
      <c r="C5187" t="s">
        <v>1617</v>
      </c>
      <c r="D5187" t="str">
        <f t="shared" si="80"/>
        <v>UNIMONTES3026</v>
      </c>
      <c r="E5187" t="s">
        <v>1615</v>
      </c>
    </row>
    <row r="5188" spans="1:5" hidden="1" x14ac:dyDescent="0.25">
      <c r="A5188">
        <v>2311</v>
      </c>
      <c r="B5188" t="s">
        <v>593</v>
      </c>
      <c r="C5188" t="s">
        <v>1618</v>
      </c>
      <c r="D5188" t="str">
        <f t="shared" si="80"/>
        <v>UNIMONTES3027</v>
      </c>
      <c r="E5188" t="s">
        <v>1600</v>
      </c>
    </row>
    <row r="5189" spans="1:5" hidden="1" x14ac:dyDescent="0.25">
      <c r="A5189">
        <v>2311</v>
      </c>
      <c r="B5189" t="s">
        <v>593</v>
      </c>
      <c r="C5189" t="s">
        <v>1702</v>
      </c>
      <c r="D5189" t="str">
        <f t="shared" ref="D5189:D5252" si="81">CONCATENATE(B5189,LEFT(C5189,4))</f>
        <v>UNIMONTES3029</v>
      </c>
      <c r="E5189" t="s">
        <v>1600</v>
      </c>
    </row>
    <row r="5190" spans="1:5" hidden="1" x14ac:dyDescent="0.25">
      <c r="A5190">
        <v>2311</v>
      </c>
      <c r="B5190" t="s">
        <v>593</v>
      </c>
      <c r="C5190" t="s">
        <v>466</v>
      </c>
      <c r="D5190" t="str">
        <f t="shared" si="81"/>
        <v>UNIMONTES3030</v>
      </c>
      <c r="E5190" t="s">
        <v>1600</v>
      </c>
    </row>
    <row r="5191" spans="1:5" hidden="1" x14ac:dyDescent="0.25">
      <c r="A5191">
        <v>2311</v>
      </c>
      <c r="B5191" t="s">
        <v>593</v>
      </c>
      <c r="C5191" t="s">
        <v>1619</v>
      </c>
      <c r="D5191" t="str">
        <f t="shared" si="81"/>
        <v>UNIMONTES3032</v>
      </c>
      <c r="E5191" t="s">
        <v>1600</v>
      </c>
    </row>
    <row r="5192" spans="1:5" hidden="1" x14ac:dyDescent="0.25">
      <c r="A5192">
        <v>2311</v>
      </c>
      <c r="B5192" t="s">
        <v>593</v>
      </c>
      <c r="C5192" t="s">
        <v>1756</v>
      </c>
      <c r="D5192" t="str">
        <f t="shared" si="81"/>
        <v>UNIMONTES3036</v>
      </c>
      <c r="E5192" t="s">
        <v>1600</v>
      </c>
    </row>
    <row r="5193" spans="1:5" hidden="1" x14ac:dyDescent="0.25">
      <c r="A5193">
        <v>2311</v>
      </c>
      <c r="B5193" t="s">
        <v>593</v>
      </c>
      <c r="C5193" t="s">
        <v>486</v>
      </c>
      <c r="D5193" t="str">
        <f t="shared" si="81"/>
        <v>UNIMONTES3040</v>
      </c>
      <c r="E5193" t="s">
        <v>1600</v>
      </c>
    </row>
    <row r="5194" spans="1:5" hidden="1" x14ac:dyDescent="0.25">
      <c r="A5194">
        <v>2311</v>
      </c>
      <c r="B5194" t="s">
        <v>593</v>
      </c>
      <c r="C5194" t="s">
        <v>1703</v>
      </c>
      <c r="D5194" t="str">
        <f t="shared" si="81"/>
        <v>UNIMONTES3041</v>
      </c>
      <c r="E5194" t="s">
        <v>1623</v>
      </c>
    </row>
    <row r="5195" spans="1:5" hidden="1" x14ac:dyDescent="0.25">
      <c r="A5195">
        <v>2311</v>
      </c>
      <c r="B5195" t="s">
        <v>593</v>
      </c>
      <c r="C5195" t="s">
        <v>490</v>
      </c>
      <c r="D5195" t="str">
        <f t="shared" si="81"/>
        <v>UNIMONTES3099</v>
      </c>
      <c r="E5195" t="s">
        <v>1600</v>
      </c>
    </row>
    <row r="5196" spans="1:5" hidden="1" x14ac:dyDescent="0.25">
      <c r="A5196">
        <v>2311</v>
      </c>
      <c r="B5196" t="s">
        <v>593</v>
      </c>
      <c r="C5196" t="s">
        <v>1624</v>
      </c>
      <c r="D5196" t="str">
        <f t="shared" si="81"/>
        <v>UNIMONTES3202</v>
      </c>
      <c r="E5196" t="s">
        <v>1623</v>
      </c>
    </row>
    <row r="5197" spans="1:5" hidden="1" x14ac:dyDescent="0.25">
      <c r="A5197">
        <v>2311</v>
      </c>
      <c r="B5197" t="s">
        <v>593</v>
      </c>
      <c r="C5197" t="s">
        <v>53</v>
      </c>
      <c r="D5197" t="str">
        <f t="shared" si="81"/>
        <v>UNIMONTES3301</v>
      </c>
      <c r="E5197" t="s">
        <v>43</v>
      </c>
    </row>
    <row r="5198" spans="1:5" hidden="1" x14ac:dyDescent="0.25">
      <c r="A5198">
        <v>2311</v>
      </c>
      <c r="B5198" t="s">
        <v>593</v>
      </c>
      <c r="C5198" t="s">
        <v>1626</v>
      </c>
      <c r="D5198" t="str">
        <f t="shared" si="81"/>
        <v>UNIMONTES3302</v>
      </c>
      <c r="E5198" t="s">
        <v>43</v>
      </c>
    </row>
    <row r="5199" spans="1:5" hidden="1" x14ac:dyDescent="0.25">
      <c r="A5199">
        <v>2311</v>
      </c>
      <c r="B5199" t="s">
        <v>593</v>
      </c>
      <c r="C5199" t="s">
        <v>1627</v>
      </c>
      <c r="D5199" t="str">
        <f t="shared" si="81"/>
        <v>UNIMONTES3304</v>
      </c>
      <c r="E5199" t="s">
        <v>43</v>
      </c>
    </row>
    <row r="5200" spans="1:5" hidden="1" x14ac:dyDescent="0.25">
      <c r="A5200">
        <v>2311</v>
      </c>
      <c r="B5200" t="s">
        <v>593</v>
      </c>
      <c r="C5200" t="s">
        <v>308</v>
      </c>
      <c r="D5200" t="str">
        <f t="shared" si="81"/>
        <v>UNIMONTES3305</v>
      </c>
      <c r="E5200" t="s">
        <v>1623</v>
      </c>
    </row>
    <row r="5201" spans="1:5" hidden="1" x14ac:dyDescent="0.25">
      <c r="A5201">
        <v>2311</v>
      </c>
      <c r="B5201" t="s">
        <v>593</v>
      </c>
      <c r="C5201" t="s">
        <v>227</v>
      </c>
      <c r="D5201" t="str">
        <f t="shared" si="81"/>
        <v>UNIMONTES3401</v>
      </c>
      <c r="E5201" t="s">
        <v>1739</v>
      </c>
    </row>
    <row r="5202" spans="1:5" hidden="1" x14ac:dyDescent="0.25">
      <c r="A5202">
        <v>2311</v>
      </c>
      <c r="B5202" t="s">
        <v>593</v>
      </c>
      <c r="C5202" t="s">
        <v>279</v>
      </c>
      <c r="D5202" t="str">
        <f t="shared" si="81"/>
        <v>UNIMONTES3403</v>
      </c>
      <c r="E5202" t="s">
        <v>1689</v>
      </c>
    </row>
    <row r="5203" spans="1:5" hidden="1" x14ac:dyDescent="0.25">
      <c r="A5203">
        <v>2311</v>
      </c>
      <c r="B5203" t="s">
        <v>593</v>
      </c>
      <c r="C5203" t="s">
        <v>295</v>
      </c>
      <c r="D5203" t="str">
        <f t="shared" si="81"/>
        <v>UNIMONTES3404</v>
      </c>
      <c r="E5203" t="s">
        <v>1689</v>
      </c>
    </row>
    <row r="5204" spans="1:5" hidden="1" x14ac:dyDescent="0.25">
      <c r="A5204">
        <v>2311</v>
      </c>
      <c r="B5204" t="s">
        <v>593</v>
      </c>
      <c r="C5204" t="s">
        <v>1705</v>
      </c>
      <c r="D5204" t="str">
        <f t="shared" si="81"/>
        <v>UNIMONTES3502</v>
      </c>
      <c r="E5204" t="s">
        <v>1623</v>
      </c>
    </row>
    <row r="5205" spans="1:5" hidden="1" x14ac:dyDescent="0.25">
      <c r="A5205">
        <v>2311</v>
      </c>
      <c r="B5205" t="s">
        <v>593</v>
      </c>
      <c r="C5205" t="s">
        <v>1690</v>
      </c>
      <c r="D5205" t="str">
        <f t="shared" si="81"/>
        <v>UNIMONTES3601</v>
      </c>
      <c r="E5205" t="s">
        <v>64</v>
      </c>
    </row>
    <row r="5206" spans="1:5" hidden="1" x14ac:dyDescent="0.25">
      <c r="A5206">
        <v>2311</v>
      </c>
      <c r="B5206" t="s">
        <v>593</v>
      </c>
      <c r="C5206" t="s">
        <v>281</v>
      </c>
      <c r="D5206" t="str">
        <f t="shared" si="81"/>
        <v>UNIMONTES3603</v>
      </c>
      <c r="E5206" t="s">
        <v>1623</v>
      </c>
    </row>
    <row r="5207" spans="1:5" hidden="1" x14ac:dyDescent="0.25">
      <c r="A5207">
        <v>2311</v>
      </c>
      <c r="B5207" t="s">
        <v>593</v>
      </c>
      <c r="C5207" t="s">
        <v>296</v>
      </c>
      <c r="D5207" t="str">
        <f t="shared" si="81"/>
        <v>UNIMONTES3604</v>
      </c>
      <c r="E5207" t="s">
        <v>43</v>
      </c>
    </row>
    <row r="5208" spans="1:5" hidden="1" x14ac:dyDescent="0.25">
      <c r="A5208">
        <v>2311</v>
      </c>
      <c r="B5208" t="s">
        <v>593</v>
      </c>
      <c r="C5208" t="s">
        <v>1817</v>
      </c>
      <c r="D5208" t="str">
        <f t="shared" si="81"/>
        <v>UNIMONTES3608</v>
      </c>
      <c r="E5208" t="s">
        <v>1606</v>
      </c>
    </row>
    <row r="5209" spans="1:5" hidden="1" x14ac:dyDescent="0.25">
      <c r="A5209">
        <v>2311</v>
      </c>
      <c r="B5209" t="s">
        <v>593</v>
      </c>
      <c r="C5209" t="s">
        <v>1707</v>
      </c>
      <c r="D5209" t="str">
        <f t="shared" si="81"/>
        <v>UNIMONTES3611</v>
      </c>
      <c r="E5209" t="s">
        <v>1692</v>
      </c>
    </row>
    <row r="5210" spans="1:5" hidden="1" x14ac:dyDescent="0.25">
      <c r="A5210">
        <v>2311</v>
      </c>
      <c r="B5210" t="s">
        <v>593</v>
      </c>
      <c r="C5210" t="s">
        <v>1628</v>
      </c>
      <c r="D5210" t="str">
        <f t="shared" si="81"/>
        <v>UNIMONTES3612</v>
      </c>
      <c r="E5210" t="s">
        <v>1623</v>
      </c>
    </row>
    <row r="5211" spans="1:5" hidden="1" x14ac:dyDescent="0.25">
      <c r="A5211">
        <v>2311</v>
      </c>
      <c r="B5211" t="s">
        <v>593</v>
      </c>
      <c r="C5211" t="s">
        <v>382</v>
      </c>
      <c r="D5211" t="str">
        <f t="shared" si="81"/>
        <v>UNIMONTES3614</v>
      </c>
      <c r="E5211" t="s">
        <v>1623</v>
      </c>
    </row>
    <row r="5212" spans="1:5" hidden="1" x14ac:dyDescent="0.25">
      <c r="A5212">
        <v>2311</v>
      </c>
      <c r="B5212" t="s">
        <v>593</v>
      </c>
      <c r="C5212" t="s">
        <v>470</v>
      </c>
      <c r="D5212" t="str">
        <f t="shared" si="81"/>
        <v>UNIMONTES3699</v>
      </c>
      <c r="E5212" t="s">
        <v>1623</v>
      </c>
    </row>
    <row r="5213" spans="1:5" hidden="1" x14ac:dyDescent="0.25">
      <c r="A5213">
        <v>2311</v>
      </c>
      <c r="B5213" t="s">
        <v>593</v>
      </c>
      <c r="C5213" t="s">
        <v>1693</v>
      </c>
      <c r="D5213" t="str">
        <f t="shared" si="81"/>
        <v>UNIMONTES3702</v>
      </c>
      <c r="E5213" t="s">
        <v>1630</v>
      </c>
    </row>
    <row r="5214" spans="1:5" hidden="1" x14ac:dyDescent="0.25">
      <c r="A5214">
        <v>2311</v>
      </c>
      <c r="B5214" t="s">
        <v>593</v>
      </c>
      <c r="C5214" t="s">
        <v>1631</v>
      </c>
      <c r="D5214" t="str">
        <f t="shared" si="81"/>
        <v>UNIMONTES3703</v>
      </c>
      <c r="E5214" t="s">
        <v>116</v>
      </c>
    </row>
    <row r="5215" spans="1:5" hidden="1" x14ac:dyDescent="0.25">
      <c r="A5215">
        <v>2311</v>
      </c>
      <c r="B5215" t="s">
        <v>593</v>
      </c>
      <c r="C5215" t="s">
        <v>1632</v>
      </c>
      <c r="D5215" t="str">
        <f t="shared" si="81"/>
        <v>UNIMONTES3704</v>
      </c>
      <c r="E5215" t="s">
        <v>116</v>
      </c>
    </row>
    <row r="5216" spans="1:5" hidden="1" x14ac:dyDescent="0.25">
      <c r="A5216">
        <v>2311</v>
      </c>
      <c r="B5216" t="s">
        <v>593</v>
      </c>
      <c r="C5216" t="s">
        <v>1633</v>
      </c>
      <c r="D5216" t="str">
        <f t="shared" si="81"/>
        <v>UNIMONTES3705</v>
      </c>
      <c r="E5216" t="s">
        <v>116</v>
      </c>
    </row>
    <row r="5217" spans="1:5" hidden="1" x14ac:dyDescent="0.25">
      <c r="A5217">
        <v>2311</v>
      </c>
      <c r="B5217" t="s">
        <v>593</v>
      </c>
      <c r="C5217" t="s">
        <v>232</v>
      </c>
      <c r="D5217" t="str">
        <f t="shared" si="81"/>
        <v>UNIMONTES3901</v>
      </c>
      <c r="E5217" t="s">
        <v>1596</v>
      </c>
    </row>
    <row r="5218" spans="1:5" hidden="1" x14ac:dyDescent="0.25">
      <c r="A5218">
        <v>2311</v>
      </c>
      <c r="B5218" t="s">
        <v>593</v>
      </c>
      <c r="C5218" t="s">
        <v>1634</v>
      </c>
      <c r="D5218" t="str">
        <f t="shared" si="81"/>
        <v>UNIMONTES3903</v>
      </c>
      <c r="E5218" t="s">
        <v>86</v>
      </c>
    </row>
    <row r="5219" spans="1:5" hidden="1" x14ac:dyDescent="0.25">
      <c r="A5219">
        <v>2311</v>
      </c>
      <c r="B5219" t="s">
        <v>593</v>
      </c>
      <c r="C5219" t="s">
        <v>298</v>
      </c>
      <c r="D5219" t="str">
        <f t="shared" si="81"/>
        <v>UNIMONTES3904</v>
      </c>
      <c r="E5219" t="s">
        <v>1623</v>
      </c>
    </row>
    <row r="5220" spans="1:5" hidden="1" x14ac:dyDescent="0.25">
      <c r="A5220">
        <v>2311</v>
      </c>
      <c r="B5220" t="s">
        <v>593</v>
      </c>
      <c r="C5220" t="s">
        <v>325</v>
      </c>
      <c r="D5220" t="str">
        <f t="shared" si="81"/>
        <v>UNIMONTES3906</v>
      </c>
      <c r="E5220" t="s">
        <v>1623</v>
      </c>
    </row>
    <row r="5221" spans="1:5" hidden="1" x14ac:dyDescent="0.25">
      <c r="A5221">
        <v>2311</v>
      </c>
      <c r="B5221" t="s">
        <v>593</v>
      </c>
      <c r="C5221" t="s">
        <v>1635</v>
      </c>
      <c r="D5221" t="str">
        <f t="shared" si="81"/>
        <v>UNIMONTES3908</v>
      </c>
      <c r="E5221" t="s">
        <v>1623</v>
      </c>
    </row>
    <row r="5222" spans="1:5" hidden="1" x14ac:dyDescent="0.25">
      <c r="A5222">
        <v>2311</v>
      </c>
      <c r="B5222" t="s">
        <v>593</v>
      </c>
      <c r="C5222" t="s">
        <v>345</v>
      </c>
      <c r="D5222" t="str">
        <f t="shared" si="81"/>
        <v>UNIMONTES3910</v>
      </c>
      <c r="E5222" t="s">
        <v>1623</v>
      </c>
    </row>
    <row r="5223" spans="1:5" hidden="1" x14ac:dyDescent="0.25">
      <c r="A5223">
        <v>2311</v>
      </c>
      <c r="B5223" t="s">
        <v>593</v>
      </c>
      <c r="C5223" t="s">
        <v>355</v>
      </c>
      <c r="D5223" t="str">
        <f t="shared" si="81"/>
        <v>UNIMONTES3911</v>
      </c>
      <c r="E5223" t="s">
        <v>1623</v>
      </c>
    </row>
    <row r="5224" spans="1:5" hidden="1" x14ac:dyDescent="0.25">
      <c r="A5224">
        <v>2311</v>
      </c>
      <c r="B5224" t="s">
        <v>593</v>
      </c>
      <c r="C5224" t="s">
        <v>1636</v>
      </c>
      <c r="D5224" t="str">
        <f t="shared" si="81"/>
        <v>UNIMONTES3912</v>
      </c>
      <c r="E5224" t="s">
        <v>1637</v>
      </c>
    </row>
    <row r="5225" spans="1:5" hidden="1" x14ac:dyDescent="0.25">
      <c r="A5225">
        <v>2311</v>
      </c>
      <c r="B5225" t="s">
        <v>593</v>
      </c>
      <c r="C5225" t="s">
        <v>1638</v>
      </c>
      <c r="D5225" t="str">
        <f t="shared" si="81"/>
        <v>UNIMONTES3913</v>
      </c>
      <c r="E5225" t="s">
        <v>1637</v>
      </c>
    </row>
    <row r="5226" spans="1:5" hidden="1" x14ac:dyDescent="0.25">
      <c r="A5226">
        <v>2311</v>
      </c>
      <c r="B5226" t="s">
        <v>593</v>
      </c>
      <c r="C5226" t="s">
        <v>383</v>
      </c>
      <c r="D5226" t="str">
        <f t="shared" si="81"/>
        <v>UNIMONTES3915</v>
      </c>
      <c r="E5226" t="s">
        <v>1637</v>
      </c>
    </row>
    <row r="5227" spans="1:5" hidden="1" x14ac:dyDescent="0.25">
      <c r="A5227">
        <v>2311</v>
      </c>
      <c r="B5227" t="s">
        <v>593</v>
      </c>
      <c r="C5227" t="s">
        <v>1639</v>
      </c>
      <c r="D5227" t="str">
        <f t="shared" si="81"/>
        <v>UNIMONTES3917</v>
      </c>
      <c r="E5227" t="s">
        <v>1615</v>
      </c>
    </row>
    <row r="5228" spans="1:5" hidden="1" x14ac:dyDescent="0.25">
      <c r="A5228">
        <v>2311</v>
      </c>
      <c r="B5228" t="s">
        <v>593</v>
      </c>
      <c r="C5228" t="s">
        <v>1640</v>
      </c>
      <c r="D5228" t="str">
        <f t="shared" si="81"/>
        <v>UNIMONTES3918</v>
      </c>
      <c r="E5228" t="s">
        <v>1615</v>
      </c>
    </row>
    <row r="5229" spans="1:5" hidden="1" x14ac:dyDescent="0.25">
      <c r="A5229">
        <v>2311</v>
      </c>
      <c r="B5229" t="s">
        <v>593</v>
      </c>
      <c r="C5229" t="s">
        <v>1641</v>
      </c>
      <c r="D5229" t="str">
        <f t="shared" si="81"/>
        <v>UNIMONTES3919</v>
      </c>
      <c r="E5229" t="s">
        <v>2102</v>
      </c>
    </row>
    <row r="5230" spans="1:5" hidden="1" x14ac:dyDescent="0.25">
      <c r="A5230">
        <v>2311</v>
      </c>
      <c r="B5230" t="s">
        <v>593</v>
      </c>
      <c r="C5230" t="s">
        <v>1694</v>
      </c>
      <c r="D5230" t="str">
        <f t="shared" si="81"/>
        <v>UNIMONTES3920</v>
      </c>
      <c r="E5230" t="s">
        <v>1692</v>
      </c>
    </row>
    <row r="5231" spans="1:5" hidden="1" x14ac:dyDescent="0.25">
      <c r="A5231">
        <v>2311</v>
      </c>
      <c r="B5231" t="s">
        <v>593</v>
      </c>
      <c r="C5231" t="s">
        <v>1642</v>
      </c>
      <c r="D5231" t="str">
        <f t="shared" si="81"/>
        <v>UNIMONTES3921</v>
      </c>
      <c r="E5231" t="s">
        <v>2102</v>
      </c>
    </row>
    <row r="5232" spans="1:5" hidden="1" x14ac:dyDescent="0.25">
      <c r="A5232">
        <v>2311</v>
      </c>
      <c r="B5232" t="s">
        <v>593</v>
      </c>
      <c r="C5232" t="s">
        <v>1643</v>
      </c>
      <c r="D5232" t="str">
        <f t="shared" si="81"/>
        <v>UNIMONTES3922</v>
      </c>
      <c r="E5232" t="s">
        <v>1611</v>
      </c>
    </row>
    <row r="5233" spans="1:5" hidden="1" x14ac:dyDescent="0.25">
      <c r="A5233">
        <v>2311</v>
      </c>
      <c r="B5233" t="s">
        <v>593</v>
      </c>
      <c r="C5233" t="s">
        <v>427</v>
      </c>
      <c r="D5233" t="str">
        <f t="shared" si="81"/>
        <v>UNIMONTES3923</v>
      </c>
      <c r="E5233" t="s">
        <v>1623</v>
      </c>
    </row>
    <row r="5234" spans="1:5" hidden="1" x14ac:dyDescent="0.25">
      <c r="A5234">
        <v>2311</v>
      </c>
      <c r="B5234" t="s">
        <v>593</v>
      </c>
      <c r="C5234" t="s">
        <v>1644</v>
      </c>
      <c r="D5234" t="str">
        <f t="shared" si="81"/>
        <v>UNIMONTES3924</v>
      </c>
      <c r="E5234" t="s">
        <v>1645</v>
      </c>
    </row>
    <row r="5235" spans="1:5" hidden="1" x14ac:dyDescent="0.25">
      <c r="A5235">
        <v>2311</v>
      </c>
      <c r="B5235" t="s">
        <v>593</v>
      </c>
      <c r="C5235" t="s">
        <v>437</v>
      </c>
      <c r="D5235" t="str">
        <f t="shared" si="81"/>
        <v>UNIMONTES3925</v>
      </c>
      <c r="E5235" t="s">
        <v>1646</v>
      </c>
    </row>
    <row r="5236" spans="1:5" hidden="1" x14ac:dyDescent="0.25">
      <c r="A5236">
        <v>2311</v>
      </c>
      <c r="B5236" t="s">
        <v>593</v>
      </c>
      <c r="C5236" t="s">
        <v>442</v>
      </c>
      <c r="D5236" t="str">
        <f t="shared" si="81"/>
        <v>UNIMONTES3926</v>
      </c>
      <c r="E5236" t="s">
        <v>1646</v>
      </c>
    </row>
    <row r="5237" spans="1:5" hidden="1" x14ac:dyDescent="0.25">
      <c r="A5237">
        <v>2311</v>
      </c>
      <c r="B5237" t="s">
        <v>593</v>
      </c>
      <c r="C5237" t="s">
        <v>1647</v>
      </c>
      <c r="D5237" t="str">
        <f t="shared" si="81"/>
        <v>UNIMONTES3927</v>
      </c>
      <c r="E5237" t="s">
        <v>1648</v>
      </c>
    </row>
    <row r="5238" spans="1:5" hidden="1" x14ac:dyDescent="0.25">
      <c r="A5238">
        <v>2311</v>
      </c>
      <c r="B5238" t="s">
        <v>593</v>
      </c>
      <c r="C5238" t="s">
        <v>457</v>
      </c>
      <c r="D5238" t="str">
        <f t="shared" si="81"/>
        <v>UNIMONTES3930</v>
      </c>
      <c r="E5238" t="s">
        <v>1646</v>
      </c>
    </row>
    <row r="5239" spans="1:5" hidden="1" x14ac:dyDescent="0.25">
      <c r="A5239">
        <v>2311</v>
      </c>
      <c r="B5239" t="s">
        <v>593</v>
      </c>
      <c r="C5239" t="s">
        <v>1650</v>
      </c>
      <c r="D5239" t="str">
        <f t="shared" si="81"/>
        <v>UNIMONTES3931</v>
      </c>
      <c r="E5239" t="s">
        <v>1623</v>
      </c>
    </row>
    <row r="5240" spans="1:5" hidden="1" x14ac:dyDescent="0.25">
      <c r="A5240">
        <v>2311</v>
      </c>
      <c r="B5240" t="s">
        <v>593</v>
      </c>
      <c r="C5240" t="s">
        <v>1652</v>
      </c>
      <c r="D5240" t="str">
        <f t="shared" si="81"/>
        <v>UNIMONTES3936</v>
      </c>
      <c r="E5240" t="s">
        <v>93</v>
      </c>
    </row>
    <row r="5241" spans="1:5" hidden="1" x14ac:dyDescent="0.25">
      <c r="A5241">
        <v>2311</v>
      </c>
      <c r="B5241" t="s">
        <v>593</v>
      </c>
      <c r="C5241" t="s">
        <v>1695</v>
      </c>
      <c r="D5241" t="str">
        <f t="shared" si="81"/>
        <v>UNIMONTES3937</v>
      </c>
      <c r="E5241" t="s">
        <v>1692</v>
      </c>
    </row>
    <row r="5242" spans="1:5" hidden="1" x14ac:dyDescent="0.25">
      <c r="A5242">
        <v>2311</v>
      </c>
      <c r="B5242" t="s">
        <v>593</v>
      </c>
      <c r="C5242" t="s">
        <v>1708</v>
      </c>
      <c r="D5242" t="str">
        <f t="shared" si="81"/>
        <v>UNIMONTES3938</v>
      </c>
      <c r="E5242" t="s">
        <v>1623</v>
      </c>
    </row>
    <row r="5243" spans="1:5" hidden="1" x14ac:dyDescent="0.25">
      <c r="A5243">
        <v>2311</v>
      </c>
      <c r="B5243" t="s">
        <v>593</v>
      </c>
      <c r="C5243" t="s">
        <v>1714</v>
      </c>
      <c r="D5243" t="str">
        <f t="shared" si="81"/>
        <v>UNIMONTES3939</v>
      </c>
      <c r="E5243" t="s">
        <v>1623</v>
      </c>
    </row>
    <row r="5244" spans="1:5" hidden="1" x14ac:dyDescent="0.25">
      <c r="A5244">
        <v>2311</v>
      </c>
      <c r="B5244" t="s">
        <v>593</v>
      </c>
      <c r="C5244" t="s">
        <v>1653</v>
      </c>
      <c r="D5244" t="str">
        <f t="shared" si="81"/>
        <v>UNIMONTES3940</v>
      </c>
      <c r="E5244" t="s">
        <v>1648</v>
      </c>
    </row>
    <row r="5245" spans="1:5" hidden="1" x14ac:dyDescent="0.25">
      <c r="A5245">
        <v>2311</v>
      </c>
      <c r="B5245" t="s">
        <v>593</v>
      </c>
      <c r="C5245" t="s">
        <v>479</v>
      </c>
      <c r="D5245" t="str">
        <f t="shared" si="81"/>
        <v>UNIMONTES3941</v>
      </c>
      <c r="E5245" t="s">
        <v>1623</v>
      </c>
    </row>
    <row r="5246" spans="1:5" hidden="1" x14ac:dyDescent="0.25">
      <c r="A5246">
        <v>2311</v>
      </c>
      <c r="B5246" t="s">
        <v>593</v>
      </c>
      <c r="C5246" t="s">
        <v>1654</v>
      </c>
      <c r="D5246" t="str">
        <f t="shared" si="81"/>
        <v>UNIMONTES3943</v>
      </c>
      <c r="E5246" t="s">
        <v>1615</v>
      </c>
    </row>
    <row r="5247" spans="1:5" hidden="1" x14ac:dyDescent="0.25">
      <c r="A5247">
        <v>2311</v>
      </c>
      <c r="B5247" t="s">
        <v>593</v>
      </c>
      <c r="C5247" t="s">
        <v>491</v>
      </c>
      <c r="D5247" t="str">
        <f t="shared" si="81"/>
        <v>UNIMONTES3948</v>
      </c>
      <c r="E5247" t="s">
        <v>1645</v>
      </c>
    </row>
    <row r="5248" spans="1:5" hidden="1" x14ac:dyDescent="0.25">
      <c r="A5248">
        <v>2311</v>
      </c>
      <c r="B5248" t="s">
        <v>593</v>
      </c>
      <c r="C5248" t="s">
        <v>495</v>
      </c>
      <c r="D5248" t="str">
        <f t="shared" si="81"/>
        <v>UNIMONTES3953</v>
      </c>
      <c r="E5248" t="s">
        <v>1645</v>
      </c>
    </row>
    <row r="5249" spans="1:5" hidden="1" x14ac:dyDescent="0.25">
      <c r="A5249">
        <v>2311</v>
      </c>
      <c r="B5249" t="s">
        <v>593</v>
      </c>
      <c r="C5249" t="s">
        <v>497</v>
      </c>
      <c r="D5249" t="str">
        <f t="shared" si="81"/>
        <v>UNIMONTES3955</v>
      </c>
      <c r="E5249" t="s">
        <v>1623</v>
      </c>
    </row>
    <row r="5250" spans="1:5" hidden="1" x14ac:dyDescent="0.25">
      <c r="A5250">
        <v>2311</v>
      </c>
      <c r="B5250" t="s">
        <v>593</v>
      </c>
      <c r="C5250" t="s">
        <v>1656</v>
      </c>
      <c r="D5250" t="str">
        <f t="shared" si="81"/>
        <v>UNIMONTES3959</v>
      </c>
      <c r="E5250" t="s">
        <v>1623</v>
      </c>
    </row>
    <row r="5251" spans="1:5" hidden="1" x14ac:dyDescent="0.25">
      <c r="A5251">
        <v>2311</v>
      </c>
      <c r="B5251" t="s">
        <v>593</v>
      </c>
      <c r="C5251" t="s">
        <v>1657</v>
      </c>
      <c r="D5251" t="str">
        <f t="shared" si="81"/>
        <v>UNIMONTES3961</v>
      </c>
      <c r="E5251" t="s">
        <v>1630</v>
      </c>
    </row>
    <row r="5252" spans="1:5" hidden="1" x14ac:dyDescent="0.25">
      <c r="A5252">
        <v>2311</v>
      </c>
      <c r="B5252" t="s">
        <v>593</v>
      </c>
      <c r="C5252" t="s">
        <v>1696</v>
      </c>
      <c r="D5252" t="str">
        <f t="shared" si="81"/>
        <v>UNIMONTES3962</v>
      </c>
      <c r="E5252" t="s">
        <v>2103</v>
      </c>
    </row>
    <row r="5253" spans="1:5" hidden="1" x14ac:dyDescent="0.25">
      <c r="A5253">
        <v>2311</v>
      </c>
      <c r="B5253" t="s">
        <v>593</v>
      </c>
      <c r="C5253" t="s">
        <v>1718</v>
      </c>
      <c r="D5253" t="str">
        <f t="shared" ref="D5253:D5316" si="82">CONCATENATE(B5253,LEFT(C5253,4))</f>
        <v>UNIMONTES3964</v>
      </c>
      <c r="E5253" t="s">
        <v>1623</v>
      </c>
    </row>
    <row r="5254" spans="1:5" hidden="1" x14ac:dyDescent="0.25">
      <c r="A5254">
        <v>2311</v>
      </c>
      <c r="B5254" t="s">
        <v>593</v>
      </c>
      <c r="C5254" t="s">
        <v>1820</v>
      </c>
      <c r="D5254" t="str">
        <f t="shared" si="82"/>
        <v>UNIMONTES3965</v>
      </c>
      <c r="E5254" t="s">
        <v>1606</v>
      </c>
    </row>
    <row r="5255" spans="1:5" hidden="1" x14ac:dyDescent="0.25">
      <c r="A5255">
        <v>2311</v>
      </c>
      <c r="B5255" t="s">
        <v>593</v>
      </c>
      <c r="C5255" t="s">
        <v>1659</v>
      </c>
      <c r="D5255" t="str">
        <f t="shared" si="82"/>
        <v>UNIMONTES3969</v>
      </c>
      <c r="E5255" t="s">
        <v>1637</v>
      </c>
    </row>
    <row r="5256" spans="1:5" hidden="1" x14ac:dyDescent="0.25">
      <c r="A5256">
        <v>2311</v>
      </c>
      <c r="B5256" t="s">
        <v>593</v>
      </c>
      <c r="C5256" t="s">
        <v>1660</v>
      </c>
      <c r="D5256" t="str">
        <f t="shared" si="82"/>
        <v>UNIMONTES3970</v>
      </c>
      <c r="E5256" t="s">
        <v>1648</v>
      </c>
    </row>
    <row r="5257" spans="1:5" hidden="1" x14ac:dyDescent="0.25">
      <c r="A5257">
        <v>2311</v>
      </c>
      <c r="B5257" t="s">
        <v>593</v>
      </c>
      <c r="C5257" t="s">
        <v>512</v>
      </c>
      <c r="D5257" t="str">
        <f t="shared" si="82"/>
        <v>UNIMONTES3971</v>
      </c>
      <c r="E5257" t="s">
        <v>2103</v>
      </c>
    </row>
    <row r="5258" spans="1:5" hidden="1" x14ac:dyDescent="0.25">
      <c r="A5258">
        <v>2311</v>
      </c>
      <c r="B5258" t="s">
        <v>593</v>
      </c>
      <c r="C5258" t="s">
        <v>515</v>
      </c>
      <c r="D5258" t="str">
        <f t="shared" si="82"/>
        <v>UNIMONTES3974</v>
      </c>
      <c r="E5258" t="s">
        <v>1697</v>
      </c>
    </row>
    <row r="5259" spans="1:5" hidden="1" x14ac:dyDescent="0.25">
      <c r="A5259">
        <v>2311</v>
      </c>
      <c r="B5259" t="s">
        <v>593</v>
      </c>
      <c r="C5259" t="s">
        <v>520</v>
      </c>
      <c r="D5259" t="str">
        <f t="shared" si="82"/>
        <v>UNIMONTES3981</v>
      </c>
      <c r="E5259" t="s">
        <v>1623</v>
      </c>
    </row>
    <row r="5260" spans="1:5" hidden="1" x14ac:dyDescent="0.25">
      <c r="A5260">
        <v>2311</v>
      </c>
      <c r="B5260" t="s">
        <v>593</v>
      </c>
      <c r="C5260" t="s">
        <v>1661</v>
      </c>
      <c r="D5260" t="str">
        <f t="shared" si="82"/>
        <v>UNIMONTES3987</v>
      </c>
      <c r="E5260" t="s">
        <v>1615</v>
      </c>
    </row>
    <row r="5261" spans="1:5" hidden="1" x14ac:dyDescent="0.25">
      <c r="A5261">
        <v>2311</v>
      </c>
      <c r="B5261" t="s">
        <v>593</v>
      </c>
      <c r="C5261" t="s">
        <v>1735</v>
      </c>
      <c r="D5261" t="str">
        <f t="shared" si="82"/>
        <v>UNIMONTES3998</v>
      </c>
      <c r="E5261" t="s">
        <v>1606</v>
      </c>
    </row>
    <row r="5262" spans="1:5" hidden="1" x14ac:dyDescent="0.25">
      <c r="A5262">
        <v>2311</v>
      </c>
      <c r="B5262" t="s">
        <v>593</v>
      </c>
      <c r="C5262" t="s">
        <v>1663</v>
      </c>
      <c r="D5262" t="str">
        <f t="shared" si="82"/>
        <v>UNIMONTES3999</v>
      </c>
      <c r="E5262" t="s">
        <v>1623</v>
      </c>
    </row>
    <row r="5263" spans="1:5" hidden="1" x14ac:dyDescent="0.25">
      <c r="A5263">
        <v>2311</v>
      </c>
      <c r="B5263" t="s">
        <v>593</v>
      </c>
      <c r="C5263" t="s">
        <v>1664</v>
      </c>
      <c r="D5263" t="str">
        <f t="shared" si="82"/>
        <v>UNIMONTES4002</v>
      </c>
      <c r="E5263" t="s">
        <v>1648</v>
      </c>
    </row>
    <row r="5264" spans="1:5" hidden="1" x14ac:dyDescent="0.25">
      <c r="A5264">
        <v>2311</v>
      </c>
      <c r="B5264" t="s">
        <v>593</v>
      </c>
      <c r="C5264" t="s">
        <v>1665</v>
      </c>
      <c r="D5264" t="str">
        <f t="shared" si="82"/>
        <v>UNIMONTES4003</v>
      </c>
      <c r="E5264" t="s">
        <v>93</v>
      </c>
    </row>
    <row r="5265" spans="1:5" hidden="1" x14ac:dyDescent="0.25">
      <c r="A5265">
        <v>2311</v>
      </c>
      <c r="B5265" t="s">
        <v>593</v>
      </c>
      <c r="C5265" t="s">
        <v>1666</v>
      </c>
      <c r="D5265" t="str">
        <f t="shared" si="82"/>
        <v>UNIMONTES4004</v>
      </c>
      <c r="E5265" t="s">
        <v>1648</v>
      </c>
    </row>
    <row r="5266" spans="1:5" hidden="1" x14ac:dyDescent="0.25">
      <c r="A5266">
        <v>2311</v>
      </c>
      <c r="B5266" t="s">
        <v>593</v>
      </c>
      <c r="C5266" t="s">
        <v>1667</v>
      </c>
      <c r="D5266" t="str">
        <f t="shared" si="82"/>
        <v>UNIMONTES4005</v>
      </c>
      <c r="E5266" t="s">
        <v>1648</v>
      </c>
    </row>
    <row r="5267" spans="1:5" hidden="1" x14ac:dyDescent="0.25">
      <c r="A5267">
        <v>2311</v>
      </c>
      <c r="B5267" t="s">
        <v>593</v>
      </c>
      <c r="C5267" t="s">
        <v>1698</v>
      </c>
      <c r="D5267" t="str">
        <f t="shared" si="82"/>
        <v>UNIMONTES4006</v>
      </c>
      <c r="E5267" t="s">
        <v>1675</v>
      </c>
    </row>
    <row r="5268" spans="1:5" hidden="1" x14ac:dyDescent="0.25">
      <c r="A5268">
        <v>2311</v>
      </c>
      <c r="B5268" t="s">
        <v>593</v>
      </c>
      <c r="C5268" t="s">
        <v>1749</v>
      </c>
      <c r="D5268" t="str">
        <f t="shared" si="82"/>
        <v>UNIMONTES4201</v>
      </c>
      <c r="E5268" t="s">
        <v>1728</v>
      </c>
    </row>
    <row r="5269" spans="1:5" hidden="1" x14ac:dyDescent="0.25">
      <c r="A5269">
        <v>2311</v>
      </c>
      <c r="B5269" t="s">
        <v>593</v>
      </c>
      <c r="C5269" t="s">
        <v>1668</v>
      </c>
      <c r="D5269" t="str">
        <f t="shared" si="82"/>
        <v>UNIMONTES4701</v>
      </c>
      <c r="E5269" t="s">
        <v>1669</v>
      </c>
    </row>
    <row r="5270" spans="1:5" hidden="1" x14ac:dyDescent="0.25">
      <c r="A5270">
        <v>2311</v>
      </c>
      <c r="B5270" t="s">
        <v>593</v>
      </c>
      <c r="C5270" t="s">
        <v>315</v>
      </c>
      <c r="D5270" t="str">
        <f t="shared" si="82"/>
        <v>UNIMONTES4706</v>
      </c>
      <c r="E5270" t="s">
        <v>1669</v>
      </c>
    </row>
    <row r="5271" spans="1:5" hidden="1" x14ac:dyDescent="0.25">
      <c r="A5271">
        <v>2311</v>
      </c>
      <c r="B5271" t="s">
        <v>593</v>
      </c>
      <c r="C5271" t="s">
        <v>327</v>
      </c>
      <c r="D5271" t="str">
        <f t="shared" si="82"/>
        <v>UNIMONTES4707</v>
      </c>
      <c r="E5271" t="s">
        <v>1669</v>
      </c>
    </row>
    <row r="5272" spans="1:5" hidden="1" x14ac:dyDescent="0.25">
      <c r="A5272">
        <v>2311</v>
      </c>
      <c r="B5272" t="s">
        <v>593</v>
      </c>
      <c r="C5272" t="s">
        <v>363</v>
      </c>
      <c r="D5272" t="str">
        <f t="shared" si="82"/>
        <v>UNIMONTES4799</v>
      </c>
      <c r="E5272" t="s">
        <v>1669</v>
      </c>
    </row>
    <row r="5273" spans="1:5" hidden="1" x14ac:dyDescent="0.25">
      <c r="A5273">
        <v>2311</v>
      </c>
      <c r="B5273" t="s">
        <v>593</v>
      </c>
      <c r="C5273" t="s">
        <v>239</v>
      </c>
      <c r="D5273" t="str">
        <f t="shared" si="82"/>
        <v>UNIMONTES4801</v>
      </c>
      <c r="E5273" t="s">
        <v>1623</v>
      </c>
    </row>
    <row r="5274" spans="1:5" hidden="1" x14ac:dyDescent="0.25">
      <c r="A5274">
        <v>2311</v>
      </c>
      <c r="B5274" t="s">
        <v>593</v>
      </c>
      <c r="C5274" t="s">
        <v>285</v>
      </c>
      <c r="D5274" t="str">
        <f t="shared" si="82"/>
        <v>UNIMONTES4803</v>
      </c>
      <c r="E5274" t="s">
        <v>1645</v>
      </c>
    </row>
    <row r="5275" spans="1:5" hidden="1" x14ac:dyDescent="0.25">
      <c r="A5275">
        <v>2311</v>
      </c>
      <c r="B5275" t="s">
        <v>593</v>
      </c>
      <c r="C5275" t="s">
        <v>1712</v>
      </c>
      <c r="D5275" t="str">
        <f t="shared" si="82"/>
        <v>UNIMONTES4905</v>
      </c>
      <c r="E5275" t="s">
        <v>64</v>
      </c>
    </row>
    <row r="5276" spans="1:5" hidden="1" x14ac:dyDescent="0.25">
      <c r="A5276">
        <v>2311</v>
      </c>
      <c r="B5276" t="s">
        <v>593</v>
      </c>
      <c r="C5276" t="s">
        <v>1670</v>
      </c>
      <c r="D5276" t="str">
        <f t="shared" si="82"/>
        <v>UNIMONTES5101</v>
      </c>
      <c r="E5276" t="s">
        <v>1671</v>
      </c>
    </row>
    <row r="5277" spans="1:5" hidden="1" x14ac:dyDescent="0.25">
      <c r="A5277">
        <v>2311</v>
      </c>
      <c r="B5277" t="s">
        <v>593</v>
      </c>
      <c r="C5277" t="s">
        <v>1672</v>
      </c>
      <c r="D5277" t="str">
        <f t="shared" si="82"/>
        <v>UNIMONTES5103</v>
      </c>
      <c r="E5277" t="s">
        <v>1671</v>
      </c>
    </row>
    <row r="5278" spans="1:5" hidden="1" x14ac:dyDescent="0.25">
      <c r="A5278">
        <v>2311</v>
      </c>
      <c r="B5278" t="s">
        <v>593</v>
      </c>
      <c r="C5278" t="s">
        <v>172</v>
      </c>
      <c r="D5278" t="str">
        <f t="shared" si="82"/>
        <v>UNIMONTES5107</v>
      </c>
      <c r="E5278" t="s">
        <v>1671</v>
      </c>
    </row>
    <row r="5279" spans="1:5" hidden="1" x14ac:dyDescent="0.25">
      <c r="A5279">
        <v>2311</v>
      </c>
      <c r="B5279" t="s">
        <v>593</v>
      </c>
      <c r="C5279" t="s">
        <v>371</v>
      </c>
      <c r="D5279" t="str">
        <f t="shared" si="82"/>
        <v>UNIMONTES5113</v>
      </c>
      <c r="E5279" t="s">
        <v>1671</v>
      </c>
    </row>
    <row r="5280" spans="1:5" hidden="1" x14ac:dyDescent="0.25">
      <c r="A5280">
        <v>2311</v>
      </c>
      <c r="B5280" t="s">
        <v>593</v>
      </c>
      <c r="C5280" t="s">
        <v>241</v>
      </c>
      <c r="D5280" t="str">
        <f t="shared" si="82"/>
        <v>UNIMONTES5201</v>
      </c>
      <c r="E5280" t="s">
        <v>1621</v>
      </c>
    </row>
    <row r="5281" spans="1:5" hidden="1" x14ac:dyDescent="0.25">
      <c r="A5281">
        <v>2311</v>
      </c>
      <c r="B5281" t="s">
        <v>593</v>
      </c>
      <c r="C5281" t="s">
        <v>1673</v>
      </c>
      <c r="D5281" t="str">
        <f t="shared" si="82"/>
        <v>UNIMONTES5204</v>
      </c>
      <c r="E5281" t="s">
        <v>1674</v>
      </c>
    </row>
    <row r="5282" spans="1:5" hidden="1" x14ac:dyDescent="0.25">
      <c r="A5282">
        <v>2311</v>
      </c>
      <c r="B5282" t="s">
        <v>593</v>
      </c>
      <c r="C5282" t="s">
        <v>328</v>
      </c>
      <c r="D5282" t="str">
        <f t="shared" si="82"/>
        <v>UNIMONTES5206</v>
      </c>
      <c r="E5282" t="s">
        <v>1675</v>
      </c>
    </row>
    <row r="5283" spans="1:5" hidden="1" x14ac:dyDescent="0.25">
      <c r="A5283">
        <v>2311</v>
      </c>
      <c r="B5283" t="s">
        <v>593</v>
      </c>
      <c r="C5283" t="s">
        <v>1676</v>
      </c>
      <c r="D5283" t="str">
        <f t="shared" si="82"/>
        <v>UNIMONTES5207</v>
      </c>
      <c r="E5283" t="s">
        <v>1675</v>
      </c>
    </row>
    <row r="5284" spans="1:5" hidden="1" x14ac:dyDescent="0.25">
      <c r="A5284">
        <v>2311</v>
      </c>
      <c r="B5284" t="s">
        <v>593</v>
      </c>
      <c r="C5284" t="s">
        <v>1677</v>
      </c>
      <c r="D5284" t="str">
        <f t="shared" si="82"/>
        <v>UNIMONTES5208</v>
      </c>
      <c r="E5284" t="s">
        <v>1675</v>
      </c>
    </row>
    <row r="5285" spans="1:5" hidden="1" x14ac:dyDescent="0.25">
      <c r="A5285">
        <v>2311</v>
      </c>
      <c r="B5285" t="s">
        <v>593</v>
      </c>
      <c r="C5285" t="s">
        <v>358</v>
      </c>
      <c r="D5285" t="str">
        <f t="shared" si="82"/>
        <v>UNIMONTES5209</v>
      </c>
      <c r="E5285" t="s">
        <v>1674</v>
      </c>
    </row>
    <row r="5286" spans="1:5" hidden="1" x14ac:dyDescent="0.25">
      <c r="A5286">
        <v>2311</v>
      </c>
      <c r="B5286" t="s">
        <v>593</v>
      </c>
      <c r="C5286" t="s">
        <v>1678</v>
      </c>
      <c r="D5286" t="str">
        <f t="shared" si="82"/>
        <v>UNIMONTES5210</v>
      </c>
      <c r="E5286" t="s">
        <v>1674</v>
      </c>
    </row>
    <row r="5287" spans="1:5" hidden="1" x14ac:dyDescent="0.25">
      <c r="A5287">
        <v>2311</v>
      </c>
      <c r="B5287" t="s">
        <v>593</v>
      </c>
      <c r="C5287" t="s">
        <v>1713</v>
      </c>
      <c r="D5287" t="str">
        <f t="shared" si="82"/>
        <v>UNIMONTES5211</v>
      </c>
      <c r="E5287" t="s">
        <v>1606</v>
      </c>
    </row>
    <row r="5288" spans="1:5" hidden="1" x14ac:dyDescent="0.25">
      <c r="A5288">
        <v>2311</v>
      </c>
      <c r="B5288" t="s">
        <v>593</v>
      </c>
      <c r="C5288" t="s">
        <v>1679</v>
      </c>
      <c r="D5288" t="str">
        <f t="shared" si="82"/>
        <v>UNIMONTES5212</v>
      </c>
      <c r="E5288" t="s">
        <v>1674</v>
      </c>
    </row>
    <row r="5289" spans="1:5" hidden="1" x14ac:dyDescent="0.25">
      <c r="A5289">
        <v>2311</v>
      </c>
      <c r="B5289" t="s">
        <v>593</v>
      </c>
      <c r="C5289" t="s">
        <v>384</v>
      </c>
      <c r="D5289" t="str">
        <f t="shared" si="82"/>
        <v>UNIMONTES5213</v>
      </c>
      <c r="E5289" t="s">
        <v>1674</v>
      </c>
    </row>
    <row r="5290" spans="1:5" hidden="1" x14ac:dyDescent="0.25">
      <c r="A5290">
        <v>2311</v>
      </c>
      <c r="B5290" t="s">
        <v>593</v>
      </c>
      <c r="C5290" t="s">
        <v>390</v>
      </c>
      <c r="D5290" t="str">
        <f t="shared" si="82"/>
        <v>UNIMONTES5214</v>
      </c>
      <c r="E5290" t="s">
        <v>1674</v>
      </c>
    </row>
    <row r="5291" spans="1:5" hidden="1" x14ac:dyDescent="0.25">
      <c r="A5291">
        <v>2311</v>
      </c>
      <c r="B5291" t="s">
        <v>593</v>
      </c>
      <c r="C5291" t="s">
        <v>402</v>
      </c>
      <c r="D5291" t="str">
        <f t="shared" si="82"/>
        <v>UNIMONTES5216</v>
      </c>
      <c r="E5291" t="s">
        <v>1680</v>
      </c>
    </row>
    <row r="5292" spans="1:5" hidden="1" x14ac:dyDescent="0.25">
      <c r="A5292">
        <v>2311</v>
      </c>
      <c r="B5292" t="s">
        <v>593</v>
      </c>
      <c r="C5292" t="s">
        <v>408</v>
      </c>
      <c r="D5292" t="str">
        <f t="shared" si="82"/>
        <v>UNIMONTES5217</v>
      </c>
      <c r="E5292" t="s">
        <v>1680</v>
      </c>
    </row>
    <row r="5293" spans="1:5" hidden="1" x14ac:dyDescent="0.25">
      <c r="A5293">
        <v>2311</v>
      </c>
      <c r="B5293" t="s">
        <v>593</v>
      </c>
      <c r="C5293" t="s">
        <v>418</v>
      </c>
      <c r="D5293" t="str">
        <f t="shared" si="82"/>
        <v>UNIMONTES5219</v>
      </c>
      <c r="E5293" t="s">
        <v>1674</v>
      </c>
    </row>
    <row r="5294" spans="1:5" hidden="1" x14ac:dyDescent="0.25">
      <c r="A5294">
        <v>2311</v>
      </c>
      <c r="B5294" t="s">
        <v>593</v>
      </c>
      <c r="C5294" t="s">
        <v>1681</v>
      </c>
      <c r="D5294" t="str">
        <f t="shared" si="82"/>
        <v>UNIMONTES5220</v>
      </c>
      <c r="E5294" t="s">
        <v>1675</v>
      </c>
    </row>
    <row r="5295" spans="1:5" hidden="1" x14ac:dyDescent="0.25">
      <c r="A5295">
        <v>2311</v>
      </c>
      <c r="B5295" t="s">
        <v>593</v>
      </c>
      <c r="C5295" t="s">
        <v>428</v>
      </c>
      <c r="D5295" t="str">
        <f t="shared" si="82"/>
        <v>UNIMONTES5221</v>
      </c>
      <c r="E5295" t="s">
        <v>1674</v>
      </c>
    </row>
    <row r="5296" spans="1:5" hidden="1" x14ac:dyDescent="0.25">
      <c r="A5296">
        <v>2311</v>
      </c>
      <c r="B5296" t="s">
        <v>593</v>
      </c>
      <c r="C5296" t="s">
        <v>1867</v>
      </c>
      <c r="D5296" t="str">
        <f t="shared" si="82"/>
        <v>UNIMONTES5223</v>
      </c>
      <c r="E5296" t="s">
        <v>1600</v>
      </c>
    </row>
    <row r="5297" spans="1:5" hidden="1" x14ac:dyDescent="0.25">
      <c r="A5297">
        <v>2311</v>
      </c>
      <c r="B5297" t="s">
        <v>593</v>
      </c>
      <c r="C5297" t="s">
        <v>448</v>
      </c>
      <c r="D5297" t="str">
        <f t="shared" si="82"/>
        <v>UNIMONTES5225</v>
      </c>
      <c r="E5297" t="s">
        <v>1674</v>
      </c>
    </row>
    <row r="5298" spans="1:5" hidden="1" x14ac:dyDescent="0.25">
      <c r="A5298">
        <v>2311</v>
      </c>
      <c r="B5298" t="s">
        <v>593</v>
      </c>
      <c r="C5298" t="s">
        <v>1682</v>
      </c>
      <c r="D5298" t="str">
        <f t="shared" si="82"/>
        <v>UNIMONTES5226</v>
      </c>
      <c r="E5298" t="s">
        <v>1674</v>
      </c>
    </row>
    <row r="5299" spans="1:5" hidden="1" x14ac:dyDescent="0.25">
      <c r="A5299">
        <v>2311</v>
      </c>
      <c r="B5299" t="s">
        <v>593</v>
      </c>
      <c r="C5299" t="s">
        <v>1683</v>
      </c>
      <c r="D5299" t="str">
        <f t="shared" si="82"/>
        <v>UNIMONTES5227</v>
      </c>
      <c r="E5299" t="s">
        <v>1674</v>
      </c>
    </row>
    <row r="5300" spans="1:5" hidden="1" x14ac:dyDescent="0.25">
      <c r="A5300">
        <v>2311</v>
      </c>
      <c r="B5300" t="s">
        <v>593</v>
      </c>
      <c r="C5300" t="s">
        <v>458</v>
      </c>
      <c r="D5300" t="str">
        <f t="shared" si="82"/>
        <v>UNIMONTES5299</v>
      </c>
      <c r="E5300" t="s">
        <v>1674</v>
      </c>
    </row>
    <row r="5301" spans="1:5" hidden="1" x14ac:dyDescent="0.25">
      <c r="A5301">
        <v>2311</v>
      </c>
      <c r="B5301" t="s">
        <v>593</v>
      </c>
      <c r="C5301" t="s">
        <v>1684</v>
      </c>
      <c r="D5301" t="str">
        <f t="shared" si="82"/>
        <v>UNIMONTES9202</v>
      </c>
      <c r="E5301" t="s">
        <v>1685</v>
      </c>
    </row>
    <row r="5302" spans="1:5" hidden="1" x14ac:dyDescent="0.25">
      <c r="A5302">
        <v>2311</v>
      </c>
      <c r="B5302" t="s">
        <v>593</v>
      </c>
      <c r="C5302" t="s">
        <v>330</v>
      </c>
      <c r="D5302" t="str">
        <f t="shared" si="82"/>
        <v>UNIMONTES9306</v>
      </c>
      <c r="E5302" t="s">
        <v>1686</v>
      </c>
    </row>
    <row r="5303" spans="1:5" hidden="1" x14ac:dyDescent="0.25">
      <c r="A5303">
        <v>2311</v>
      </c>
      <c r="B5303" t="s">
        <v>593</v>
      </c>
      <c r="C5303" t="s">
        <v>366</v>
      </c>
      <c r="D5303" t="str">
        <f t="shared" si="82"/>
        <v>UNIMONTES9310</v>
      </c>
      <c r="E5303" t="s">
        <v>1623</v>
      </c>
    </row>
    <row r="5304" spans="1:5" hidden="1" x14ac:dyDescent="0.25">
      <c r="A5304">
        <v>2311</v>
      </c>
      <c r="B5304" t="s">
        <v>593</v>
      </c>
      <c r="C5304" t="s">
        <v>1687</v>
      </c>
      <c r="D5304" t="str">
        <f t="shared" si="82"/>
        <v>UNIMONTES9399</v>
      </c>
      <c r="E5304" t="s">
        <v>1623</v>
      </c>
    </row>
    <row r="5305" spans="1:5" hidden="1" x14ac:dyDescent="0.25">
      <c r="A5305">
        <v>2321</v>
      </c>
      <c r="B5305" t="s">
        <v>564</v>
      </c>
      <c r="C5305" t="s">
        <v>1860</v>
      </c>
      <c r="D5305" t="str">
        <f t="shared" si="82"/>
        <v>HEMOMINAS0803</v>
      </c>
      <c r="E5305" t="s">
        <v>1596</v>
      </c>
    </row>
    <row r="5306" spans="1:5" hidden="1" x14ac:dyDescent="0.25">
      <c r="A5306">
        <v>2321</v>
      </c>
      <c r="B5306" t="s">
        <v>564</v>
      </c>
      <c r="C5306" t="s">
        <v>1737</v>
      </c>
      <c r="D5306" t="str">
        <f t="shared" si="82"/>
        <v>HEMOMINAS1307</v>
      </c>
      <c r="E5306" t="s">
        <v>1689</v>
      </c>
    </row>
    <row r="5307" spans="1:5" hidden="1" x14ac:dyDescent="0.25">
      <c r="A5307">
        <v>2321</v>
      </c>
      <c r="B5307" t="s">
        <v>564</v>
      </c>
      <c r="C5307" t="s">
        <v>1730</v>
      </c>
      <c r="D5307" t="str">
        <f t="shared" si="82"/>
        <v>HEMOMINAS1313</v>
      </c>
      <c r="E5307" t="s">
        <v>1606</v>
      </c>
    </row>
    <row r="5308" spans="1:5" hidden="1" x14ac:dyDescent="0.25">
      <c r="A5308">
        <v>2321</v>
      </c>
      <c r="B5308" t="s">
        <v>564</v>
      </c>
      <c r="C5308" t="s">
        <v>331</v>
      </c>
      <c r="D5308" t="str">
        <f t="shared" si="82"/>
        <v>HEMOMINAS1314</v>
      </c>
      <c r="E5308" t="s">
        <v>1689</v>
      </c>
    </row>
    <row r="5309" spans="1:5" hidden="1" x14ac:dyDescent="0.25">
      <c r="A5309">
        <v>2321</v>
      </c>
      <c r="B5309" t="s">
        <v>564</v>
      </c>
      <c r="C5309" t="s">
        <v>1597</v>
      </c>
      <c r="D5309" t="str">
        <f t="shared" si="82"/>
        <v>HEMOMINAS1401</v>
      </c>
      <c r="E5309" t="s">
        <v>43</v>
      </c>
    </row>
    <row r="5310" spans="1:5" hidden="1" x14ac:dyDescent="0.25">
      <c r="A5310">
        <v>2321</v>
      </c>
      <c r="B5310" t="s">
        <v>564</v>
      </c>
      <c r="C5310" t="s">
        <v>1599</v>
      </c>
      <c r="D5310" t="str">
        <f t="shared" si="82"/>
        <v>HEMOMINAS3001</v>
      </c>
      <c r="E5310" t="s">
        <v>1600</v>
      </c>
    </row>
    <row r="5311" spans="1:5" hidden="1" x14ac:dyDescent="0.25">
      <c r="A5311">
        <v>2321</v>
      </c>
      <c r="B5311" t="s">
        <v>564</v>
      </c>
      <c r="C5311" t="s">
        <v>255</v>
      </c>
      <c r="D5311" t="str">
        <f t="shared" si="82"/>
        <v>HEMOMINAS3002</v>
      </c>
      <c r="E5311" t="s">
        <v>1600</v>
      </c>
    </row>
    <row r="5312" spans="1:5" hidden="1" x14ac:dyDescent="0.25">
      <c r="A5312">
        <v>2321</v>
      </c>
      <c r="B5312" t="s">
        <v>564</v>
      </c>
      <c r="C5312" t="s">
        <v>1601</v>
      </c>
      <c r="D5312" t="str">
        <f t="shared" si="82"/>
        <v>HEMOMINAS3003</v>
      </c>
      <c r="E5312" t="s">
        <v>1600</v>
      </c>
    </row>
    <row r="5313" spans="1:5" hidden="1" x14ac:dyDescent="0.25">
      <c r="A5313">
        <v>2321</v>
      </c>
      <c r="B5313" t="s">
        <v>564</v>
      </c>
      <c r="C5313" t="s">
        <v>1602</v>
      </c>
      <c r="D5313" t="str">
        <f t="shared" si="82"/>
        <v>HEMOMINAS3004</v>
      </c>
      <c r="E5313" t="s">
        <v>1600</v>
      </c>
    </row>
    <row r="5314" spans="1:5" hidden="1" x14ac:dyDescent="0.25">
      <c r="A5314">
        <v>2321</v>
      </c>
      <c r="B5314" t="s">
        <v>564</v>
      </c>
      <c r="C5314" t="s">
        <v>1603</v>
      </c>
      <c r="D5314" t="str">
        <f t="shared" si="82"/>
        <v>HEMOMINAS3005</v>
      </c>
      <c r="E5314" t="s">
        <v>1600</v>
      </c>
    </row>
    <row r="5315" spans="1:5" hidden="1" x14ac:dyDescent="0.25">
      <c r="A5315">
        <v>2321</v>
      </c>
      <c r="B5315" t="s">
        <v>564</v>
      </c>
      <c r="C5315" t="s">
        <v>1604</v>
      </c>
      <c r="D5315" t="str">
        <f t="shared" si="82"/>
        <v>HEMOMINAS3008</v>
      </c>
      <c r="E5315" t="s">
        <v>1600</v>
      </c>
    </row>
    <row r="5316" spans="1:5" hidden="1" x14ac:dyDescent="0.25">
      <c r="A5316">
        <v>2321</v>
      </c>
      <c r="B5316" t="s">
        <v>564</v>
      </c>
      <c r="C5316" t="s">
        <v>1605</v>
      </c>
      <c r="D5316" t="str">
        <f t="shared" si="82"/>
        <v>HEMOMINAS3010</v>
      </c>
      <c r="E5316" t="s">
        <v>1606</v>
      </c>
    </row>
    <row r="5317" spans="1:5" hidden="1" x14ac:dyDescent="0.25">
      <c r="A5317">
        <v>2321</v>
      </c>
      <c r="B5317" t="s">
        <v>564</v>
      </c>
      <c r="C5317" t="s">
        <v>368</v>
      </c>
      <c r="D5317" t="str">
        <f t="shared" ref="D5317:D5380" si="83">CONCATENATE(B5317,LEFT(C5317,4))</f>
        <v>HEMOMINAS3011</v>
      </c>
      <c r="E5317" t="s">
        <v>1600</v>
      </c>
    </row>
    <row r="5318" spans="1:5" hidden="1" x14ac:dyDescent="0.25">
      <c r="A5318">
        <v>2321</v>
      </c>
      <c r="B5318" t="s">
        <v>564</v>
      </c>
      <c r="C5318" t="s">
        <v>137</v>
      </c>
      <c r="D5318" t="str">
        <f t="shared" si="83"/>
        <v>HEMOMINAS3012</v>
      </c>
      <c r="E5318" t="s">
        <v>1606</v>
      </c>
    </row>
    <row r="5319" spans="1:5" hidden="1" x14ac:dyDescent="0.25">
      <c r="A5319">
        <v>2321</v>
      </c>
      <c r="B5319" t="s">
        <v>564</v>
      </c>
      <c r="C5319" t="s">
        <v>1607</v>
      </c>
      <c r="D5319" t="str">
        <f t="shared" si="83"/>
        <v>HEMOMINAS3013</v>
      </c>
      <c r="E5319" t="s">
        <v>1600</v>
      </c>
    </row>
    <row r="5320" spans="1:5" hidden="1" x14ac:dyDescent="0.25">
      <c r="A5320">
        <v>2321</v>
      </c>
      <c r="B5320" t="s">
        <v>564</v>
      </c>
      <c r="C5320" t="s">
        <v>1608</v>
      </c>
      <c r="D5320" t="str">
        <f t="shared" si="83"/>
        <v>HEMOMINAS3015</v>
      </c>
      <c r="E5320" t="s">
        <v>1600</v>
      </c>
    </row>
    <row r="5321" spans="1:5" hidden="1" x14ac:dyDescent="0.25">
      <c r="A5321">
        <v>2321</v>
      </c>
      <c r="B5321" t="s">
        <v>564</v>
      </c>
      <c r="C5321" t="s">
        <v>1609</v>
      </c>
      <c r="D5321" t="str">
        <f t="shared" si="83"/>
        <v>HEMOMINAS3016</v>
      </c>
      <c r="E5321" t="s">
        <v>1600</v>
      </c>
    </row>
    <row r="5322" spans="1:5" hidden="1" x14ac:dyDescent="0.25">
      <c r="A5322">
        <v>2321</v>
      </c>
      <c r="B5322" t="s">
        <v>564</v>
      </c>
      <c r="C5322" t="s">
        <v>405</v>
      </c>
      <c r="D5322" t="str">
        <f t="shared" si="83"/>
        <v>HEMOMINAS3017</v>
      </c>
      <c r="E5322" t="s">
        <v>1600</v>
      </c>
    </row>
    <row r="5323" spans="1:5" hidden="1" x14ac:dyDescent="0.25">
      <c r="A5323">
        <v>2321</v>
      </c>
      <c r="B5323" t="s">
        <v>564</v>
      </c>
      <c r="C5323" t="s">
        <v>1610</v>
      </c>
      <c r="D5323" t="str">
        <f t="shared" si="83"/>
        <v>HEMOMINAS3019</v>
      </c>
      <c r="E5323" t="s">
        <v>1611</v>
      </c>
    </row>
    <row r="5324" spans="1:5" hidden="1" x14ac:dyDescent="0.25">
      <c r="A5324">
        <v>2321</v>
      </c>
      <c r="B5324" t="s">
        <v>564</v>
      </c>
      <c r="C5324" t="s">
        <v>1612</v>
      </c>
      <c r="D5324" t="str">
        <f t="shared" si="83"/>
        <v>HEMOMINAS3020</v>
      </c>
      <c r="E5324" t="s">
        <v>1600</v>
      </c>
    </row>
    <row r="5325" spans="1:5" hidden="1" x14ac:dyDescent="0.25">
      <c r="A5325">
        <v>2321</v>
      </c>
      <c r="B5325" t="s">
        <v>564</v>
      </c>
      <c r="C5325" t="s">
        <v>1613</v>
      </c>
      <c r="D5325" t="str">
        <f t="shared" si="83"/>
        <v>HEMOMINAS3021</v>
      </c>
      <c r="E5325" t="s">
        <v>1600</v>
      </c>
    </row>
    <row r="5326" spans="1:5" hidden="1" x14ac:dyDescent="0.25">
      <c r="A5326">
        <v>2321</v>
      </c>
      <c r="B5326" t="s">
        <v>564</v>
      </c>
      <c r="C5326" t="s">
        <v>430</v>
      </c>
      <c r="D5326" t="str">
        <f t="shared" si="83"/>
        <v>HEMOMINAS3022</v>
      </c>
      <c r="E5326" t="s">
        <v>1600</v>
      </c>
    </row>
    <row r="5327" spans="1:5" hidden="1" x14ac:dyDescent="0.25">
      <c r="A5327">
        <v>2321</v>
      </c>
      <c r="B5327" t="s">
        <v>564</v>
      </c>
      <c r="C5327" t="s">
        <v>440</v>
      </c>
      <c r="D5327" t="str">
        <f t="shared" si="83"/>
        <v>HEMOMINAS3024</v>
      </c>
      <c r="E5327" t="s">
        <v>1600</v>
      </c>
    </row>
    <row r="5328" spans="1:5" hidden="1" x14ac:dyDescent="0.25">
      <c r="A5328">
        <v>2321</v>
      </c>
      <c r="B5328" t="s">
        <v>564</v>
      </c>
      <c r="C5328" t="s">
        <v>1616</v>
      </c>
      <c r="D5328" t="str">
        <f t="shared" si="83"/>
        <v>HEMOMINAS3025</v>
      </c>
      <c r="E5328" t="s">
        <v>1600</v>
      </c>
    </row>
    <row r="5329" spans="1:5" hidden="1" x14ac:dyDescent="0.25">
      <c r="A5329">
        <v>2321</v>
      </c>
      <c r="B5329" t="s">
        <v>564</v>
      </c>
      <c r="C5329" t="s">
        <v>1617</v>
      </c>
      <c r="D5329" t="str">
        <f t="shared" si="83"/>
        <v>HEMOMINAS3026</v>
      </c>
      <c r="E5329" t="s">
        <v>1615</v>
      </c>
    </row>
    <row r="5330" spans="1:5" hidden="1" x14ac:dyDescent="0.25">
      <c r="A5330">
        <v>2321</v>
      </c>
      <c r="B5330" t="s">
        <v>564</v>
      </c>
      <c r="C5330" t="s">
        <v>1618</v>
      </c>
      <c r="D5330" t="str">
        <f t="shared" si="83"/>
        <v>HEMOMINAS3027</v>
      </c>
      <c r="E5330" t="s">
        <v>1600</v>
      </c>
    </row>
    <row r="5331" spans="1:5" hidden="1" x14ac:dyDescent="0.25">
      <c r="A5331">
        <v>2321</v>
      </c>
      <c r="B5331" t="s">
        <v>564</v>
      </c>
      <c r="C5331" t="s">
        <v>466</v>
      </c>
      <c r="D5331" t="str">
        <f t="shared" si="83"/>
        <v>HEMOMINAS3030</v>
      </c>
      <c r="E5331" t="s">
        <v>1600</v>
      </c>
    </row>
    <row r="5332" spans="1:5" hidden="1" x14ac:dyDescent="0.25">
      <c r="A5332">
        <v>2321</v>
      </c>
      <c r="B5332" t="s">
        <v>564</v>
      </c>
      <c r="C5332" t="s">
        <v>469</v>
      </c>
      <c r="D5332" t="str">
        <f t="shared" si="83"/>
        <v>HEMOMINAS3031</v>
      </c>
      <c r="E5332" t="s">
        <v>1600</v>
      </c>
    </row>
    <row r="5333" spans="1:5" hidden="1" x14ac:dyDescent="0.25">
      <c r="A5333">
        <v>2321</v>
      </c>
      <c r="B5333" t="s">
        <v>564</v>
      </c>
      <c r="C5333" t="s">
        <v>486</v>
      </c>
      <c r="D5333" t="str">
        <f t="shared" si="83"/>
        <v>HEMOMINAS3040</v>
      </c>
      <c r="E5333" t="s">
        <v>1600</v>
      </c>
    </row>
    <row r="5334" spans="1:5" hidden="1" x14ac:dyDescent="0.25">
      <c r="A5334">
        <v>2321</v>
      </c>
      <c r="B5334" t="s">
        <v>564</v>
      </c>
      <c r="C5334" t="s">
        <v>1703</v>
      </c>
      <c r="D5334" t="str">
        <f t="shared" si="83"/>
        <v>HEMOMINAS3041</v>
      </c>
      <c r="E5334" t="s">
        <v>1623</v>
      </c>
    </row>
    <row r="5335" spans="1:5" hidden="1" x14ac:dyDescent="0.25">
      <c r="A5335">
        <v>2321</v>
      </c>
      <c r="B5335" t="s">
        <v>564</v>
      </c>
      <c r="C5335" t="s">
        <v>490</v>
      </c>
      <c r="D5335" t="str">
        <f t="shared" si="83"/>
        <v>HEMOMINAS3099</v>
      </c>
      <c r="E5335" t="s">
        <v>1600</v>
      </c>
    </row>
    <row r="5336" spans="1:5" hidden="1" x14ac:dyDescent="0.25">
      <c r="A5336">
        <v>2321</v>
      </c>
      <c r="B5336" t="s">
        <v>564</v>
      </c>
      <c r="C5336" t="s">
        <v>226</v>
      </c>
      <c r="D5336" t="str">
        <f t="shared" si="83"/>
        <v>HEMOMINAS3201</v>
      </c>
      <c r="E5336" t="s">
        <v>1623</v>
      </c>
    </row>
    <row r="5337" spans="1:5" hidden="1" x14ac:dyDescent="0.25">
      <c r="A5337">
        <v>2321</v>
      </c>
      <c r="B5337" t="s">
        <v>564</v>
      </c>
      <c r="C5337" t="s">
        <v>53</v>
      </c>
      <c r="D5337" t="str">
        <f t="shared" si="83"/>
        <v>HEMOMINAS3301</v>
      </c>
      <c r="E5337" t="s">
        <v>43</v>
      </c>
    </row>
    <row r="5338" spans="1:5" hidden="1" x14ac:dyDescent="0.25">
      <c r="A5338">
        <v>2321</v>
      </c>
      <c r="B5338" t="s">
        <v>564</v>
      </c>
      <c r="C5338" t="s">
        <v>1626</v>
      </c>
      <c r="D5338" t="str">
        <f t="shared" si="83"/>
        <v>HEMOMINAS3302</v>
      </c>
      <c r="E5338" t="s">
        <v>43</v>
      </c>
    </row>
    <row r="5339" spans="1:5" hidden="1" x14ac:dyDescent="0.25">
      <c r="A5339">
        <v>2321</v>
      </c>
      <c r="B5339" t="s">
        <v>564</v>
      </c>
      <c r="C5339" t="s">
        <v>1627</v>
      </c>
      <c r="D5339" t="str">
        <f t="shared" si="83"/>
        <v>HEMOMINAS3304</v>
      </c>
      <c r="E5339" t="s">
        <v>43</v>
      </c>
    </row>
    <row r="5340" spans="1:5" hidden="1" x14ac:dyDescent="0.25">
      <c r="A5340">
        <v>2321</v>
      </c>
      <c r="B5340" t="s">
        <v>564</v>
      </c>
      <c r="C5340" t="s">
        <v>308</v>
      </c>
      <c r="D5340" t="str">
        <f t="shared" si="83"/>
        <v>HEMOMINAS3305</v>
      </c>
      <c r="E5340" t="s">
        <v>43</v>
      </c>
    </row>
    <row r="5341" spans="1:5" hidden="1" x14ac:dyDescent="0.25">
      <c r="A5341">
        <v>2321</v>
      </c>
      <c r="B5341" t="s">
        <v>564</v>
      </c>
      <c r="C5341" t="s">
        <v>227</v>
      </c>
      <c r="D5341" t="str">
        <f t="shared" si="83"/>
        <v>HEMOMINAS3401</v>
      </c>
      <c r="E5341" t="s">
        <v>1739</v>
      </c>
    </row>
    <row r="5342" spans="1:5" hidden="1" x14ac:dyDescent="0.25">
      <c r="A5342">
        <v>2321</v>
      </c>
      <c r="B5342" t="s">
        <v>564</v>
      </c>
      <c r="C5342" t="s">
        <v>279</v>
      </c>
      <c r="D5342" t="str">
        <f t="shared" si="83"/>
        <v>HEMOMINAS3403</v>
      </c>
      <c r="E5342" t="s">
        <v>1689</v>
      </c>
    </row>
    <row r="5343" spans="1:5" hidden="1" x14ac:dyDescent="0.25">
      <c r="A5343">
        <v>2321</v>
      </c>
      <c r="B5343" t="s">
        <v>564</v>
      </c>
      <c r="C5343" t="s">
        <v>295</v>
      </c>
      <c r="D5343" t="str">
        <f t="shared" si="83"/>
        <v>HEMOMINAS3404</v>
      </c>
      <c r="E5343" t="s">
        <v>1689</v>
      </c>
    </row>
    <row r="5344" spans="1:5" hidden="1" x14ac:dyDescent="0.25">
      <c r="A5344">
        <v>2321</v>
      </c>
      <c r="B5344" t="s">
        <v>564</v>
      </c>
      <c r="C5344" t="s">
        <v>1705</v>
      </c>
      <c r="D5344" t="str">
        <f t="shared" si="83"/>
        <v>HEMOMINAS3502</v>
      </c>
      <c r="E5344" t="s">
        <v>1706</v>
      </c>
    </row>
    <row r="5345" spans="1:5" hidden="1" x14ac:dyDescent="0.25">
      <c r="A5345">
        <v>2321</v>
      </c>
      <c r="B5345" t="s">
        <v>564</v>
      </c>
      <c r="C5345" t="s">
        <v>1690</v>
      </c>
      <c r="D5345" t="str">
        <f t="shared" si="83"/>
        <v>HEMOMINAS3601</v>
      </c>
      <c r="E5345" t="s">
        <v>64</v>
      </c>
    </row>
    <row r="5346" spans="1:5" hidden="1" x14ac:dyDescent="0.25">
      <c r="A5346">
        <v>2321</v>
      </c>
      <c r="B5346" t="s">
        <v>564</v>
      </c>
      <c r="C5346" t="s">
        <v>296</v>
      </c>
      <c r="D5346" t="str">
        <f t="shared" si="83"/>
        <v>HEMOMINAS3604</v>
      </c>
      <c r="E5346" t="s">
        <v>43</v>
      </c>
    </row>
    <row r="5347" spans="1:5" hidden="1" x14ac:dyDescent="0.25">
      <c r="A5347">
        <v>2321</v>
      </c>
      <c r="B5347" t="s">
        <v>564</v>
      </c>
      <c r="C5347" t="s">
        <v>354</v>
      </c>
      <c r="D5347" t="str">
        <f t="shared" si="83"/>
        <v>HEMOMINAS3610</v>
      </c>
      <c r="E5347" t="s">
        <v>1623</v>
      </c>
    </row>
    <row r="5348" spans="1:5" hidden="1" x14ac:dyDescent="0.25">
      <c r="A5348">
        <v>2321</v>
      </c>
      <c r="B5348" t="s">
        <v>564</v>
      </c>
      <c r="C5348" t="s">
        <v>1628</v>
      </c>
      <c r="D5348" t="str">
        <f t="shared" si="83"/>
        <v>HEMOMINAS3612</v>
      </c>
      <c r="E5348" t="s">
        <v>1623</v>
      </c>
    </row>
    <row r="5349" spans="1:5" hidden="1" x14ac:dyDescent="0.25">
      <c r="A5349">
        <v>2321</v>
      </c>
      <c r="B5349" t="s">
        <v>564</v>
      </c>
      <c r="C5349" t="s">
        <v>1743</v>
      </c>
      <c r="D5349" t="str">
        <f t="shared" si="83"/>
        <v>HEMOMINAS3616</v>
      </c>
      <c r="E5349" t="s">
        <v>1615</v>
      </c>
    </row>
    <row r="5350" spans="1:5" hidden="1" x14ac:dyDescent="0.25">
      <c r="A5350">
        <v>2321</v>
      </c>
      <c r="B5350" t="s">
        <v>564</v>
      </c>
      <c r="C5350" t="s">
        <v>446</v>
      </c>
      <c r="D5350" t="str">
        <f t="shared" si="83"/>
        <v>HEMOMINAS3626</v>
      </c>
      <c r="E5350" t="s">
        <v>1623</v>
      </c>
    </row>
    <row r="5351" spans="1:5" hidden="1" x14ac:dyDescent="0.25">
      <c r="A5351">
        <v>2321</v>
      </c>
      <c r="B5351" t="s">
        <v>564</v>
      </c>
      <c r="C5351" t="s">
        <v>1693</v>
      </c>
      <c r="D5351" t="str">
        <f t="shared" si="83"/>
        <v>HEMOMINAS3702</v>
      </c>
      <c r="E5351" t="s">
        <v>1630</v>
      </c>
    </row>
    <row r="5352" spans="1:5" hidden="1" x14ac:dyDescent="0.25">
      <c r="A5352">
        <v>2321</v>
      </c>
      <c r="B5352" t="s">
        <v>564</v>
      </c>
      <c r="C5352" t="s">
        <v>1631</v>
      </c>
      <c r="D5352" t="str">
        <f t="shared" si="83"/>
        <v>HEMOMINAS3703</v>
      </c>
      <c r="E5352" t="s">
        <v>116</v>
      </c>
    </row>
    <row r="5353" spans="1:5" hidden="1" x14ac:dyDescent="0.25">
      <c r="A5353">
        <v>2321</v>
      </c>
      <c r="B5353" t="s">
        <v>564</v>
      </c>
      <c r="C5353" t="s">
        <v>1632</v>
      </c>
      <c r="D5353" t="str">
        <f t="shared" si="83"/>
        <v>HEMOMINAS3704</v>
      </c>
      <c r="E5353" t="s">
        <v>116</v>
      </c>
    </row>
    <row r="5354" spans="1:5" hidden="1" x14ac:dyDescent="0.25">
      <c r="A5354">
        <v>2321</v>
      </c>
      <c r="B5354" t="s">
        <v>564</v>
      </c>
      <c r="C5354" t="s">
        <v>1633</v>
      </c>
      <c r="D5354" t="str">
        <f t="shared" si="83"/>
        <v>HEMOMINAS3705</v>
      </c>
      <c r="E5354" t="s">
        <v>116</v>
      </c>
    </row>
    <row r="5355" spans="1:5" hidden="1" x14ac:dyDescent="0.25">
      <c r="A5355">
        <v>2321</v>
      </c>
      <c r="B5355" t="s">
        <v>564</v>
      </c>
      <c r="C5355" t="s">
        <v>1634</v>
      </c>
      <c r="D5355" t="str">
        <f t="shared" si="83"/>
        <v>HEMOMINAS3903</v>
      </c>
      <c r="E5355" t="s">
        <v>1623</v>
      </c>
    </row>
    <row r="5356" spans="1:5" hidden="1" x14ac:dyDescent="0.25">
      <c r="A5356">
        <v>2321</v>
      </c>
      <c r="B5356" t="s">
        <v>564</v>
      </c>
      <c r="C5356" t="s">
        <v>298</v>
      </c>
      <c r="D5356" t="str">
        <f t="shared" si="83"/>
        <v>HEMOMINAS3904</v>
      </c>
      <c r="E5356" t="s">
        <v>1623</v>
      </c>
    </row>
    <row r="5357" spans="1:5" hidden="1" x14ac:dyDescent="0.25">
      <c r="A5357">
        <v>2321</v>
      </c>
      <c r="B5357" t="s">
        <v>564</v>
      </c>
      <c r="C5357" t="s">
        <v>325</v>
      </c>
      <c r="D5357" t="str">
        <f t="shared" si="83"/>
        <v>HEMOMINAS3906</v>
      </c>
      <c r="E5357" t="s">
        <v>1623</v>
      </c>
    </row>
    <row r="5358" spans="1:5" hidden="1" x14ac:dyDescent="0.25">
      <c r="A5358">
        <v>2321</v>
      </c>
      <c r="B5358" t="s">
        <v>564</v>
      </c>
      <c r="C5358" t="s">
        <v>1635</v>
      </c>
      <c r="D5358" t="str">
        <f t="shared" si="83"/>
        <v>HEMOMINAS3908</v>
      </c>
      <c r="E5358" t="s">
        <v>1623</v>
      </c>
    </row>
    <row r="5359" spans="1:5" hidden="1" x14ac:dyDescent="0.25">
      <c r="A5359">
        <v>2321</v>
      </c>
      <c r="B5359" t="s">
        <v>564</v>
      </c>
      <c r="C5359" t="s">
        <v>335</v>
      </c>
      <c r="D5359" t="str">
        <f t="shared" si="83"/>
        <v>HEMOMINAS3909</v>
      </c>
      <c r="E5359" t="s">
        <v>1623</v>
      </c>
    </row>
    <row r="5360" spans="1:5" hidden="1" x14ac:dyDescent="0.25">
      <c r="A5360">
        <v>2321</v>
      </c>
      <c r="B5360" t="s">
        <v>564</v>
      </c>
      <c r="C5360" t="s">
        <v>345</v>
      </c>
      <c r="D5360" t="str">
        <f t="shared" si="83"/>
        <v>HEMOMINAS3910</v>
      </c>
      <c r="E5360" t="s">
        <v>1623</v>
      </c>
    </row>
    <row r="5361" spans="1:5" hidden="1" x14ac:dyDescent="0.25">
      <c r="A5361">
        <v>2321</v>
      </c>
      <c r="B5361" t="s">
        <v>564</v>
      </c>
      <c r="C5361" t="s">
        <v>355</v>
      </c>
      <c r="D5361" t="str">
        <f t="shared" si="83"/>
        <v>HEMOMINAS3911</v>
      </c>
      <c r="E5361" t="s">
        <v>1623</v>
      </c>
    </row>
    <row r="5362" spans="1:5" hidden="1" x14ac:dyDescent="0.25">
      <c r="A5362">
        <v>2321</v>
      </c>
      <c r="B5362" t="s">
        <v>564</v>
      </c>
      <c r="C5362" t="s">
        <v>1636</v>
      </c>
      <c r="D5362" t="str">
        <f t="shared" si="83"/>
        <v>HEMOMINAS3912</v>
      </c>
      <c r="E5362" t="s">
        <v>1637</v>
      </c>
    </row>
    <row r="5363" spans="1:5" hidden="1" x14ac:dyDescent="0.25">
      <c r="A5363">
        <v>2321</v>
      </c>
      <c r="B5363" t="s">
        <v>564</v>
      </c>
      <c r="C5363" t="s">
        <v>1638</v>
      </c>
      <c r="D5363" t="str">
        <f t="shared" si="83"/>
        <v>HEMOMINAS3913</v>
      </c>
      <c r="E5363" t="s">
        <v>1637</v>
      </c>
    </row>
    <row r="5364" spans="1:5" hidden="1" x14ac:dyDescent="0.25">
      <c r="A5364">
        <v>2321</v>
      </c>
      <c r="B5364" t="s">
        <v>564</v>
      </c>
      <c r="C5364" t="s">
        <v>383</v>
      </c>
      <c r="D5364" t="str">
        <f t="shared" si="83"/>
        <v>HEMOMINAS3915</v>
      </c>
      <c r="E5364" t="s">
        <v>1637</v>
      </c>
    </row>
    <row r="5365" spans="1:5" hidden="1" x14ac:dyDescent="0.25">
      <c r="A5365">
        <v>2321</v>
      </c>
      <c r="B5365" t="s">
        <v>564</v>
      </c>
      <c r="C5365" t="s">
        <v>1639</v>
      </c>
      <c r="D5365" t="str">
        <f t="shared" si="83"/>
        <v>HEMOMINAS3917</v>
      </c>
      <c r="E5365" t="s">
        <v>1615</v>
      </c>
    </row>
    <row r="5366" spans="1:5" hidden="1" x14ac:dyDescent="0.25">
      <c r="A5366">
        <v>2321</v>
      </c>
      <c r="B5366" t="s">
        <v>564</v>
      </c>
      <c r="C5366" t="s">
        <v>1640</v>
      </c>
      <c r="D5366" t="str">
        <f t="shared" si="83"/>
        <v>HEMOMINAS3918</v>
      </c>
      <c r="E5366" t="s">
        <v>1615</v>
      </c>
    </row>
    <row r="5367" spans="1:5" hidden="1" x14ac:dyDescent="0.25">
      <c r="A5367">
        <v>2321</v>
      </c>
      <c r="B5367" t="s">
        <v>564</v>
      </c>
      <c r="C5367" t="s">
        <v>1641</v>
      </c>
      <c r="D5367" t="str">
        <f t="shared" si="83"/>
        <v>HEMOMINAS3919</v>
      </c>
      <c r="E5367" t="s">
        <v>2102</v>
      </c>
    </row>
    <row r="5368" spans="1:5" hidden="1" x14ac:dyDescent="0.25">
      <c r="A5368">
        <v>2321</v>
      </c>
      <c r="B5368" t="s">
        <v>564</v>
      </c>
      <c r="C5368" t="s">
        <v>1694</v>
      </c>
      <c r="D5368" t="str">
        <f t="shared" si="83"/>
        <v>HEMOMINAS3920</v>
      </c>
      <c r="E5368" t="s">
        <v>1692</v>
      </c>
    </row>
    <row r="5369" spans="1:5" hidden="1" x14ac:dyDescent="0.25">
      <c r="A5369">
        <v>2321</v>
      </c>
      <c r="B5369" t="s">
        <v>564</v>
      </c>
      <c r="C5369" t="s">
        <v>1642</v>
      </c>
      <c r="D5369" t="str">
        <f t="shared" si="83"/>
        <v>HEMOMINAS3921</v>
      </c>
      <c r="E5369" t="s">
        <v>2102</v>
      </c>
    </row>
    <row r="5370" spans="1:5" hidden="1" x14ac:dyDescent="0.25">
      <c r="A5370">
        <v>2321</v>
      </c>
      <c r="B5370" t="s">
        <v>564</v>
      </c>
      <c r="C5370" t="s">
        <v>1643</v>
      </c>
      <c r="D5370" t="str">
        <f t="shared" si="83"/>
        <v>HEMOMINAS3922</v>
      </c>
      <c r="E5370" t="s">
        <v>1611</v>
      </c>
    </row>
    <row r="5371" spans="1:5" hidden="1" x14ac:dyDescent="0.25">
      <c r="A5371">
        <v>2321</v>
      </c>
      <c r="B5371" t="s">
        <v>564</v>
      </c>
      <c r="C5371" t="s">
        <v>1644</v>
      </c>
      <c r="D5371" t="str">
        <f t="shared" si="83"/>
        <v>HEMOMINAS3924</v>
      </c>
      <c r="E5371" t="s">
        <v>1645</v>
      </c>
    </row>
    <row r="5372" spans="1:5" hidden="1" x14ac:dyDescent="0.25">
      <c r="A5372">
        <v>2321</v>
      </c>
      <c r="B5372" t="s">
        <v>564</v>
      </c>
      <c r="C5372" t="s">
        <v>437</v>
      </c>
      <c r="D5372" t="str">
        <f t="shared" si="83"/>
        <v>HEMOMINAS3925</v>
      </c>
      <c r="E5372" t="s">
        <v>1646</v>
      </c>
    </row>
    <row r="5373" spans="1:5" hidden="1" x14ac:dyDescent="0.25">
      <c r="A5373">
        <v>2321</v>
      </c>
      <c r="B5373" t="s">
        <v>564</v>
      </c>
      <c r="C5373" t="s">
        <v>442</v>
      </c>
      <c r="D5373" t="str">
        <f t="shared" si="83"/>
        <v>HEMOMINAS3926</v>
      </c>
      <c r="E5373" t="s">
        <v>1646</v>
      </c>
    </row>
    <row r="5374" spans="1:5" hidden="1" x14ac:dyDescent="0.25">
      <c r="A5374">
        <v>2321</v>
      </c>
      <c r="B5374" t="s">
        <v>564</v>
      </c>
      <c r="C5374" t="s">
        <v>1647</v>
      </c>
      <c r="D5374" t="str">
        <f t="shared" si="83"/>
        <v>HEMOMINAS3927</v>
      </c>
      <c r="E5374" t="s">
        <v>1648</v>
      </c>
    </row>
    <row r="5375" spans="1:5" hidden="1" x14ac:dyDescent="0.25">
      <c r="A5375">
        <v>2321</v>
      </c>
      <c r="B5375" t="s">
        <v>564</v>
      </c>
      <c r="C5375" t="s">
        <v>457</v>
      </c>
      <c r="D5375" t="str">
        <f t="shared" si="83"/>
        <v>HEMOMINAS3930</v>
      </c>
      <c r="E5375" t="s">
        <v>1646</v>
      </c>
    </row>
    <row r="5376" spans="1:5" hidden="1" x14ac:dyDescent="0.25">
      <c r="A5376">
        <v>2321</v>
      </c>
      <c r="B5376" t="s">
        <v>564</v>
      </c>
      <c r="C5376" t="s">
        <v>1650</v>
      </c>
      <c r="D5376" t="str">
        <f t="shared" si="83"/>
        <v>HEMOMINAS3931</v>
      </c>
      <c r="E5376" t="s">
        <v>1623</v>
      </c>
    </row>
    <row r="5377" spans="1:5" hidden="1" x14ac:dyDescent="0.25">
      <c r="A5377">
        <v>2321</v>
      </c>
      <c r="B5377" t="s">
        <v>564</v>
      </c>
      <c r="C5377" t="s">
        <v>1652</v>
      </c>
      <c r="D5377" t="str">
        <f t="shared" si="83"/>
        <v>HEMOMINAS3936</v>
      </c>
      <c r="E5377" t="s">
        <v>93</v>
      </c>
    </row>
    <row r="5378" spans="1:5" hidden="1" x14ac:dyDescent="0.25">
      <c r="A5378">
        <v>2321</v>
      </c>
      <c r="B5378" t="s">
        <v>564</v>
      </c>
      <c r="C5378" t="s">
        <v>1695</v>
      </c>
      <c r="D5378" t="str">
        <f t="shared" si="83"/>
        <v>HEMOMINAS3937</v>
      </c>
      <c r="E5378" t="s">
        <v>1692</v>
      </c>
    </row>
    <row r="5379" spans="1:5" hidden="1" x14ac:dyDescent="0.25">
      <c r="A5379">
        <v>2321</v>
      </c>
      <c r="B5379" t="s">
        <v>564</v>
      </c>
      <c r="C5379" t="s">
        <v>1714</v>
      </c>
      <c r="D5379" t="str">
        <f t="shared" si="83"/>
        <v>HEMOMINAS3939</v>
      </c>
      <c r="E5379" t="s">
        <v>1623</v>
      </c>
    </row>
    <row r="5380" spans="1:5" hidden="1" x14ac:dyDescent="0.25">
      <c r="A5380">
        <v>2321</v>
      </c>
      <c r="B5380" t="s">
        <v>564</v>
      </c>
      <c r="C5380" t="s">
        <v>1653</v>
      </c>
      <c r="D5380" t="str">
        <f t="shared" si="83"/>
        <v>HEMOMINAS3940</v>
      </c>
      <c r="E5380" t="s">
        <v>1648</v>
      </c>
    </row>
    <row r="5381" spans="1:5" hidden="1" x14ac:dyDescent="0.25">
      <c r="A5381">
        <v>2321</v>
      </c>
      <c r="B5381" t="s">
        <v>564</v>
      </c>
      <c r="C5381" t="s">
        <v>479</v>
      </c>
      <c r="D5381" t="str">
        <f t="shared" ref="D5381:D5444" si="84">CONCATENATE(B5381,LEFT(C5381,4))</f>
        <v>HEMOMINAS3941</v>
      </c>
      <c r="E5381" t="s">
        <v>1623</v>
      </c>
    </row>
    <row r="5382" spans="1:5" hidden="1" x14ac:dyDescent="0.25">
      <c r="A5382">
        <v>2321</v>
      </c>
      <c r="B5382" t="s">
        <v>564</v>
      </c>
      <c r="C5382" t="s">
        <v>1654</v>
      </c>
      <c r="D5382" t="str">
        <f t="shared" si="84"/>
        <v>HEMOMINAS3943</v>
      </c>
      <c r="E5382" t="s">
        <v>1615</v>
      </c>
    </row>
    <row r="5383" spans="1:5" hidden="1" x14ac:dyDescent="0.25">
      <c r="A5383">
        <v>2321</v>
      </c>
      <c r="B5383" t="s">
        <v>564</v>
      </c>
      <c r="C5383" t="s">
        <v>489</v>
      </c>
      <c r="D5383" t="str">
        <f t="shared" si="84"/>
        <v>HEMOMINAS3947</v>
      </c>
      <c r="E5383" t="s">
        <v>1623</v>
      </c>
    </row>
    <row r="5384" spans="1:5" hidden="1" x14ac:dyDescent="0.25">
      <c r="A5384">
        <v>2321</v>
      </c>
      <c r="B5384" t="s">
        <v>564</v>
      </c>
      <c r="C5384" t="s">
        <v>491</v>
      </c>
      <c r="D5384" t="str">
        <f t="shared" si="84"/>
        <v>HEMOMINAS3948</v>
      </c>
      <c r="E5384" t="s">
        <v>1645</v>
      </c>
    </row>
    <row r="5385" spans="1:5" hidden="1" x14ac:dyDescent="0.25">
      <c r="A5385">
        <v>2321</v>
      </c>
      <c r="B5385" t="s">
        <v>564</v>
      </c>
      <c r="C5385" t="s">
        <v>1701</v>
      </c>
      <c r="D5385" t="str">
        <f t="shared" si="84"/>
        <v>HEMOMINAS3952</v>
      </c>
      <c r="E5385" t="s">
        <v>64</v>
      </c>
    </row>
    <row r="5386" spans="1:5" hidden="1" x14ac:dyDescent="0.25">
      <c r="A5386">
        <v>2321</v>
      </c>
      <c r="B5386" t="s">
        <v>564</v>
      </c>
      <c r="C5386" t="s">
        <v>495</v>
      </c>
      <c r="D5386" t="str">
        <f t="shared" si="84"/>
        <v>HEMOMINAS3953</v>
      </c>
      <c r="E5386" t="s">
        <v>1645</v>
      </c>
    </row>
    <row r="5387" spans="1:5" hidden="1" x14ac:dyDescent="0.25">
      <c r="A5387">
        <v>2321</v>
      </c>
      <c r="B5387" t="s">
        <v>564</v>
      </c>
      <c r="C5387" t="s">
        <v>497</v>
      </c>
      <c r="D5387" t="str">
        <f t="shared" si="84"/>
        <v>HEMOMINAS3955</v>
      </c>
      <c r="E5387" t="s">
        <v>1623</v>
      </c>
    </row>
    <row r="5388" spans="1:5" hidden="1" x14ac:dyDescent="0.25">
      <c r="A5388">
        <v>2321</v>
      </c>
      <c r="B5388" t="s">
        <v>564</v>
      </c>
      <c r="C5388" t="s">
        <v>498</v>
      </c>
      <c r="D5388" t="str">
        <f t="shared" si="84"/>
        <v>HEMOMINAS3956</v>
      </c>
      <c r="E5388" t="s">
        <v>1623</v>
      </c>
    </row>
    <row r="5389" spans="1:5" hidden="1" x14ac:dyDescent="0.25">
      <c r="A5389">
        <v>2321</v>
      </c>
      <c r="B5389" t="s">
        <v>564</v>
      </c>
      <c r="C5389" t="s">
        <v>1656</v>
      </c>
      <c r="D5389" t="str">
        <f t="shared" si="84"/>
        <v>HEMOMINAS3959</v>
      </c>
      <c r="E5389" t="s">
        <v>1623</v>
      </c>
    </row>
    <row r="5390" spans="1:5" hidden="1" x14ac:dyDescent="0.25">
      <c r="A5390">
        <v>2321</v>
      </c>
      <c r="B5390" t="s">
        <v>564</v>
      </c>
      <c r="C5390" t="s">
        <v>1709</v>
      </c>
      <c r="D5390" t="str">
        <f t="shared" si="84"/>
        <v>HEMOMINAS3960</v>
      </c>
      <c r="E5390" t="s">
        <v>102</v>
      </c>
    </row>
    <row r="5391" spans="1:5" hidden="1" x14ac:dyDescent="0.25">
      <c r="A5391">
        <v>2321</v>
      </c>
      <c r="B5391" t="s">
        <v>564</v>
      </c>
      <c r="C5391" t="s">
        <v>1657</v>
      </c>
      <c r="D5391" t="str">
        <f t="shared" si="84"/>
        <v>HEMOMINAS3961</v>
      </c>
      <c r="E5391" t="s">
        <v>1630</v>
      </c>
    </row>
    <row r="5392" spans="1:5" hidden="1" x14ac:dyDescent="0.25">
      <c r="A5392">
        <v>2321</v>
      </c>
      <c r="B5392" t="s">
        <v>564</v>
      </c>
      <c r="C5392" t="s">
        <v>1718</v>
      </c>
      <c r="D5392" t="str">
        <f t="shared" si="84"/>
        <v>HEMOMINAS3964</v>
      </c>
      <c r="E5392" t="s">
        <v>1623</v>
      </c>
    </row>
    <row r="5393" spans="1:5" hidden="1" x14ac:dyDescent="0.25">
      <c r="A5393">
        <v>2321</v>
      </c>
      <c r="B5393" t="s">
        <v>564</v>
      </c>
      <c r="C5393" t="s">
        <v>1659</v>
      </c>
      <c r="D5393" t="str">
        <f t="shared" si="84"/>
        <v>HEMOMINAS3969</v>
      </c>
      <c r="E5393" t="s">
        <v>1637</v>
      </c>
    </row>
    <row r="5394" spans="1:5" hidden="1" x14ac:dyDescent="0.25">
      <c r="A5394">
        <v>2321</v>
      </c>
      <c r="B5394" t="s">
        <v>564</v>
      </c>
      <c r="C5394" t="s">
        <v>1660</v>
      </c>
      <c r="D5394" t="str">
        <f t="shared" si="84"/>
        <v>HEMOMINAS3970</v>
      </c>
      <c r="E5394" t="s">
        <v>1648</v>
      </c>
    </row>
    <row r="5395" spans="1:5" hidden="1" x14ac:dyDescent="0.25">
      <c r="A5395">
        <v>2321</v>
      </c>
      <c r="B5395" t="s">
        <v>564</v>
      </c>
      <c r="C5395" t="s">
        <v>512</v>
      </c>
      <c r="D5395" t="str">
        <f t="shared" si="84"/>
        <v>HEMOMINAS3971</v>
      </c>
      <c r="E5395" t="s">
        <v>2103</v>
      </c>
    </row>
    <row r="5396" spans="1:5" hidden="1" x14ac:dyDescent="0.25">
      <c r="A5396">
        <v>2321</v>
      </c>
      <c r="B5396" t="s">
        <v>564</v>
      </c>
      <c r="C5396" t="s">
        <v>513</v>
      </c>
      <c r="D5396" t="str">
        <f t="shared" si="84"/>
        <v>HEMOMINAS3972</v>
      </c>
      <c r="E5396" t="s">
        <v>1637</v>
      </c>
    </row>
    <row r="5397" spans="1:5" hidden="1" x14ac:dyDescent="0.25">
      <c r="A5397">
        <v>2321</v>
      </c>
      <c r="B5397" t="s">
        <v>564</v>
      </c>
      <c r="C5397" t="s">
        <v>519</v>
      </c>
      <c r="D5397" t="str">
        <f t="shared" si="84"/>
        <v>HEMOMINAS3978</v>
      </c>
      <c r="E5397" t="s">
        <v>1630</v>
      </c>
    </row>
    <row r="5398" spans="1:5" hidden="1" x14ac:dyDescent="0.25">
      <c r="A5398">
        <v>2321</v>
      </c>
      <c r="B5398" t="s">
        <v>564</v>
      </c>
      <c r="C5398" t="s">
        <v>520</v>
      </c>
      <c r="D5398" t="str">
        <f t="shared" si="84"/>
        <v>HEMOMINAS3981</v>
      </c>
      <c r="E5398" t="s">
        <v>1623</v>
      </c>
    </row>
    <row r="5399" spans="1:5" hidden="1" x14ac:dyDescent="0.25">
      <c r="A5399">
        <v>2321</v>
      </c>
      <c r="B5399" t="s">
        <v>564</v>
      </c>
      <c r="C5399" t="s">
        <v>1661</v>
      </c>
      <c r="D5399" t="str">
        <f t="shared" si="84"/>
        <v>HEMOMINAS3987</v>
      </c>
      <c r="E5399" t="s">
        <v>1615</v>
      </c>
    </row>
    <row r="5400" spans="1:5" hidden="1" x14ac:dyDescent="0.25">
      <c r="A5400">
        <v>2321</v>
      </c>
      <c r="B5400" t="s">
        <v>564</v>
      </c>
      <c r="C5400" t="s">
        <v>527</v>
      </c>
      <c r="D5400" t="str">
        <f t="shared" si="84"/>
        <v>HEMOMINAS3988</v>
      </c>
      <c r="E5400" t="s">
        <v>1623</v>
      </c>
    </row>
    <row r="5401" spans="1:5" hidden="1" x14ac:dyDescent="0.25">
      <c r="A5401">
        <v>2321</v>
      </c>
      <c r="B5401" t="s">
        <v>564</v>
      </c>
      <c r="C5401" t="s">
        <v>536</v>
      </c>
      <c r="D5401" t="str">
        <f t="shared" si="84"/>
        <v>HEMOMINAS3997</v>
      </c>
      <c r="E5401" t="s">
        <v>1623</v>
      </c>
    </row>
    <row r="5402" spans="1:5" hidden="1" x14ac:dyDescent="0.25">
      <c r="A5402">
        <v>2321</v>
      </c>
      <c r="B5402" t="s">
        <v>564</v>
      </c>
      <c r="C5402" t="s">
        <v>1735</v>
      </c>
      <c r="D5402" t="str">
        <f t="shared" si="84"/>
        <v>HEMOMINAS3998</v>
      </c>
      <c r="E5402" t="s">
        <v>1606</v>
      </c>
    </row>
    <row r="5403" spans="1:5" hidden="1" x14ac:dyDescent="0.25">
      <c r="A5403">
        <v>2321</v>
      </c>
      <c r="B5403" t="s">
        <v>564</v>
      </c>
      <c r="C5403" t="s">
        <v>1663</v>
      </c>
      <c r="D5403" t="str">
        <f t="shared" si="84"/>
        <v>HEMOMINAS3999</v>
      </c>
      <c r="E5403" t="s">
        <v>1623</v>
      </c>
    </row>
    <row r="5404" spans="1:5" hidden="1" x14ac:dyDescent="0.25">
      <c r="A5404">
        <v>2321</v>
      </c>
      <c r="B5404" t="s">
        <v>564</v>
      </c>
      <c r="C5404" t="s">
        <v>1664</v>
      </c>
      <c r="D5404" t="str">
        <f t="shared" si="84"/>
        <v>HEMOMINAS4002</v>
      </c>
      <c r="E5404" t="s">
        <v>1648</v>
      </c>
    </row>
    <row r="5405" spans="1:5" hidden="1" x14ac:dyDescent="0.25">
      <c r="A5405">
        <v>2321</v>
      </c>
      <c r="B5405" t="s">
        <v>564</v>
      </c>
      <c r="C5405" t="s">
        <v>1665</v>
      </c>
      <c r="D5405" t="str">
        <f t="shared" si="84"/>
        <v>HEMOMINAS4003</v>
      </c>
      <c r="E5405" t="s">
        <v>93</v>
      </c>
    </row>
    <row r="5406" spans="1:5" hidden="1" x14ac:dyDescent="0.25">
      <c r="A5406">
        <v>2321</v>
      </c>
      <c r="B5406" t="s">
        <v>564</v>
      </c>
      <c r="C5406" t="s">
        <v>1666</v>
      </c>
      <c r="D5406" t="str">
        <f t="shared" si="84"/>
        <v>HEMOMINAS4004</v>
      </c>
      <c r="E5406" t="s">
        <v>1648</v>
      </c>
    </row>
    <row r="5407" spans="1:5" hidden="1" x14ac:dyDescent="0.25">
      <c r="A5407">
        <v>2321</v>
      </c>
      <c r="B5407" t="s">
        <v>564</v>
      </c>
      <c r="C5407" t="s">
        <v>1667</v>
      </c>
      <c r="D5407" t="str">
        <f t="shared" si="84"/>
        <v>HEMOMINAS4005</v>
      </c>
      <c r="E5407" t="s">
        <v>1648</v>
      </c>
    </row>
    <row r="5408" spans="1:5" hidden="1" x14ac:dyDescent="0.25">
      <c r="A5408">
        <v>2321</v>
      </c>
      <c r="B5408" t="s">
        <v>564</v>
      </c>
      <c r="C5408" t="s">
        <v>1698</v>
      </c>
      <c r="D5408" t="str">
        <f t="shared" si="84"/>
        <v>HEMOMINAS4006</v>
      </c>
      <c r="E5408" t="s">
        <v>1675</v>
      </c>
    </row>
    <row r="5409" spans="1:5" hidden="1" x14ac:dyDescent="0.25">
      <c r="A5409">
        <v>2321</v>
      </c>
      <c r="B5409" t="s">
        <v>564</v>
      </c>
      <c r="C5409" t="s">
        <v>1699</v>
      </c>
      <c r="D5409" t="str">
        <f t="shared" si="84"/>
        <v>HEMOMINAS4007</v>
      </c>
      <c r="E5409" t="s">
        <v>93</v>
      </c>
    </row>
    <row r="5410" spans="1:5" hidden="1" x14ac:dyDescent="0.25">
      <c r="A5410">
        <v>2321</v>
      </c>
      <c r="B5410" t="s">
        <v>564</v>
      </c>
      <c r="C5410" t="s">
        <v>1668</v>
      </c>
      <c r="D5410" t="str">
        <f t="shared" si="84"/>
        <v>HEMOMINAS4701</v>
      </c>
      <c r="E5410" t="s">
        <v>1669</v>
      </c>
    </row>
    <row r="5411" spans="1:5" hidden="1" x14ac:dyDescent="0.25">
      <c r="A5411">
        <v>2321</v>
      </c>
      <c r="B5411" t="s">
        <v>564</v>
      </c>
      <c r="C5411" t="s">
        <v>264</v>
      </c>
      <c r="D5411" t="str">
        <f t="shared" si="84"/>
        <v>HEMOMINAS4703</v>
      </c>
      <c r="E5411" t="s">
        <v>1669</v>
      </c>
    </row>
    <row r="5412" spans="1:5" hidden="1" x14ac:dyDescent="0.25">
      <c r="A5412">
        <v>2321</v>
      </c>
      <c r="B5412" t="s">
        <v>564</v>
      </c>
      <c r="C5412" t="s">
        <v>315</v>
      </c>
      <c r="D5412" t="str">
        <f t="shared" si="84"/>
        <v>HEMOMINAS4706</v>
      </c>
      <c r="E5412" t="s">
        <v>1669</v>
      </c>
    </row>
    <row r="5413" spans="1:5" hidden="1" x14ac:dyDescent="0.25">
      <c r="A5413">
        <v>2321</v>
      </c>
      <c r="B5413" t="s">
        <v>564</v>
      </c>
      <c r="C5413" t="s">
        <v>327</v>
      </c>
      <c r="D5413" t="str">
        <f t="shared" si="84"/>
        <v>HEMOMINAS4707</v>
      </c>
      <c r="E5413" t="s">
        <v>1669</v>
      </c>
    </row>
    <row r="5414" spans="1:5" hidden="1" x14ac:dyDescent="0.25">
      <c r="A5414">
        <v>2321</v>
      </c>
      <c r="B5414" t="s">
        <v>564</v>
      </c>
      <c r="C5414" t="s">
        <v>337</v>
      </c>
      <c r="D5414" t="str">
        <f t="shared" si="84"/>
        <v>HEMOMINAS4708</v>
      </c>
      <c r="E5414" t="s">
        <v>1669</v>
      </c>
    </row>
    <row r="5415" spans="1:5" hidden="1" x14ac:dyDescent="0.25">
      <c r="A5415">
        <v>2321</v>
      </c>
      <c r="B5415" t="s">
        <v>564</v>
      </c>
      <c r="C5415" t="s">
        <v>347</v>
      </c>
      <c r="D5415" t="str">
        <f t="shared" si="84"/>
        <v>HEMOMINAS4709</v>
      </c>
      <c r="E5415" t="s">
        <v>1669</v>
      </c>
    </row>
    <row r="5416" spans="1:5" hidden="1" x14ac:dyDescent="0.25">
      <c r="A5416">
        <v>2321</v>
      </c>
      <c r="B5416" t="s">
        <v>564</v>
      </c>
      <c r="C5416" t="s">
        <v>363</v>
      </c>
      <c r="D5416" t="str">
        <f t="shared" si="84"/>
        <v>HEMOMINAS4799</v>
      </c>
      <c r="E5416" t="s">
        <v>1669</v>
      </c>
    </row>
    <row r="5417" spans="1:5" hidden="1" x14ac:dyDescent="0.25">
      <c r="A5417">
        <v>2321</v>
      </c>
      <c r="B5417" t="s">
        <v>564</v>
      </c>
      <c r="C5417" t="s">
        <v>1752</v>
      </c>
      <c r="D5417" t="str">
        <f t="shared" si="84"/>
        <v>HEMOMINAS4904</v>
      </c>
      <c r="E5417" t="s">
        <v>1596</v>
      </c>
    </row>
    <row r="5418" spans="1:5" hidden="1" x14ac:dyDescent="0.25">
      <c r="A5418">
        <v>2321</v>
      </c>
      <c r="B5418" t="s">
        <v>564</v>
      </c>
      <c r="C5418" t="s">
        <v>1712</v>
      </c>
      <c r="D5418" t="str">
        <f t="shared" si="84"/>
        <v>HEMOMINAS4905</v>
      </c>
      <c r="E5418" t="s">
        <v>64</v>
      </c>
    </row>
    <row r="5419" spans="1:5" hidden="1" x14ac:dyDescent="0.25">
      <c r="A5419">
        <v>2321</v>
      </c>
      <c r="B5419" t="s">
        <v>564</v>
      </c>
      <c r="C5419" t="s">
        <v>1670</v>
      </c>
      <c r="D5419" t="str">
        <f t="shared" si="84"/>
        <v>HEMOMINAS5101</v>
      </c>
      <c r="E5419" t="s">
        <v>1671</v>
      </c>
    </row>
    <row r="5420" spans="1:5" hidden="1" x14ac:dyDescent="0.25">
      <c r="A5420">
        <v>2321</v>
      </c>
      <c r="B5420" t="s">
        <v>564</v>
      </c>
      <c r="C5420" t="s">
        <v>1672</v>
      </c>
      <c r="D5420" t="str">
        <f t="shared" si="84"/>
        <v>HEMOMINAS5103</v>
      </c>
      <c r="E5420" t="s">
        <v>1671</v>
      </c>
    </row>
    <row r="5421" spans="1:5" hidden="1" x14ac:dyDescent="0.25">
      <c r="A5421">
        <v>2321</v>
      </c>
      <c r="B5421" t="s">
        <v>564</v>
      </c>
      <c r="C5421" t="s">
        <v>1673</v>
      </c>
      <c r="D5421" t="str">
        <f t="shared" si="84"/>
        <v>HEMOMINAS5204</v>
      </c>
      <c r="E5421" t="s">
        <v>1674</v>
      </c>
    </row>
    <row r="5422" spans="1:5" hidden="1" x14ac:dyDescent="0.25">
      <c r="A5422">
        <v>2321</v>
      </c>
      <c r="B5422" t="s">
        <v>564</v>
      </c>
      <c r="C5422" t="s">
        <v>328</v>
      </c>
      <c r="D5422" t="str">
        <f t="shared" si="84"/>
        <v>HEMOMINAS5206</v>
      </c>
      <c r="E5422" t="s">
        <v>1675</v>
      </c>
    </row>
    <row r="5423" spans="1:5" hidden="1" x14ac:dyDescent="0.25">
      <c r="A5423">
        <v>2321</v>
      </c>
      <c r="B5423" t="s">
        <v>564</v>
      </c>
      <c r="C5423" t="s">
        <v>1676</v>
      </c>
      <c r="D5423" t="str">
        <f t="shared" si="84"/>
        <v>HEMOMINAS5207</v>
      </c>
      <c r="E5423" t="s">
        <v>1675</v>
      </c>
    </row>
    <row r="5424" spans="1:5" hidden="1" x14ac:dyDescent="0.25">
      <c r="A5424">
        <v>2321</v>
      </c>
      <c r="B5424" t="s">
        <v>564</v>
      </c>
      <c r="C5424" t="s">
        <v>1677</v>
      </c>
      <c r="D5424" t="str">
        <f t="shared" si="84"/>
        <v>HEMOMINAS5208</v>
      </c>
      <c r="E5424" t="s">
        <v>1675</v>
      </c>
    </row>
    <row r="5425" spans="1:5" hidden="1" x14ac:dyDescent="0.25">
      <c r="A5425">
        <v>2321</v>
      </c>
      <c r="B5425" t="s">
        <v>564</v>
      </c>
      <c r="C5425" t="s">
        <v>358</v>
      </c>
      <c r="D5425" t="str">
        <f t="shared" si="84"/>
        <v>HEMOMINAS5209</v>
      </c>
      <c r="E5425" t="s">
        <v>1674</v>
      </c>
    </row>
    <row r="5426" spans="1:5" hidden="1" x14ac:dyDescent="0.25">
      <c r="A5426">
        <v>2321</v>
      </c>
      <c r="B5426" t="s">
        <v>564</v>
      </c>
      <c r="C5426" t="s">
        <v>1678</v>
      </c>
      <c r="D5426" t="str">
        <f t="shared" si="84"/>
        <v>HEMOMINAS5210</v>
      </c>
      <c r="E5426" t="s">
        <v>1674</v>
      </c>
    </row>
    <row r="5427" spans="1:5" hidden="1" x14ac:dyDescent="0.25">
      <c r="A5427">
        <v>2321</v>
      </c>
      <c r="B5427" t="s">
        <v>564</v>
      </c>
      <c r="C5427" t="s">
        <v>1713</v>
      </c>
      <c r="D5427" t="str">
        <f t="shared" si="84"/>
        <v>HEMOMINAS5211</v>
      </c>
      <c r="E5427" t="s">
        <v>1606</v>
      </c>
    </row>
    <row r="5428" spans="1:5" hidden="1" x14ac:dyDescent="0.25">
      <c r="A5428">
        <v>2321</v>
      </c>
      <c r="B5428" t="s">
        <v>564</v>
      </c>
      <c r="C5428" t="s">
        <v>1679</v>
      </c>
      <c r="D5428" t="str">
        <f t="shared" si="84"/>
        <v>HEMOMINAS5212</v>
      </c>
      <c r="E5428" t="s">
        <v>1674</v>
      </c>
    </row>
    <row r="5429" spans="1:5" hidden="1" x14ac:dyDescent="0.25">
      <c r="A5429">
        <v>2321</v>
      </c>
      <c r="B5429" t="s">
        <v>564</v>
      </c>
      <c r="C5429" t="s">
        <v>384</v>
      </c>
      <c r="D5429" t="str">
        <f t="shared" si="84"/>
        <v>HEMOMINAS5213</v>
      </c>
      <c r="E5429" t="s">
        <v>1674</v>
      </c>
    </row>
    <row r="5430" spans="1:5" hidden="1" x14ac:dyDescent="0.25">
      <c r="A5430">
        <v>2321</v>
      </c>
      <c r="B5430" t="s">
        <v>564</v>
      </c>
      <c r="C5430" t="s">
        <v>390</v>
      </c>
      <c r="D5430" t="str">
        <f t="shared" si="84"/>
        <v>HEMOMINAS5214</v>
      </c>
      <c r="E5430" t="s">
        <v>1674</v>
      </c>
    </row>
    <row r="5431" spans="1:5" hidden="1" x14ac:dyDescent="0.25">
      <c r="A5431">
        <v>2321</v>
      </c>
      <c r="B5431" t="s">
        <v>564</v>
      </c>
      <c r="C5431" t="s">
        <v>402</v>
      </c>
      <c r="D5431" t="str">
        <f t="shared" si="84"/>
        <v>HEMOMINAS5216</v>
      </c>
      <c r="E5431" t="s">
        <v>1680</v>
      </c>
    </row>
    <row r="5432" spans="1:5" hidden="1" x14ac:dyDescent="0.25">
      <c r="A5432">
        <v>2321</v>
      </c>
      <c r="B5432" t="s">
        <v>564</v>
      </c>
      <c r="C5432" t="s">
        <v>408</v>
      </c>
      <c r="D5432" t="str">
        <f t="shared" si="84"/>
        <v>HEMOMINAS5217</v>
      </c>
      <c r="E5432" t="s">
        <v>1680</v>
      </c>
    </row>
    <row r="5433" spans="1:5" hidden="1" x14ac:dyDescent="0.25">
      <c r="A5433">
        <v>2321</v>
      </c>
      <c r="B5433" t="s">
        <v>564</v>
      </c>
      <c r="C5433" t="s">
        <v>1753</v>
      </c>
      <c r="D5433" t="str">
        <f t="shared" si="84"/>
        <v>HEMOMINAS5218</v>
      </c>
      <c r="E5433" t="s">
        <v>1674</v>
      </c>
    </row>
    <row r="5434" spans="1:5" hidden="1" x14ac:dyDescent="0.25">
      <c r="A5434">
        <v>2321</v>
      </c>
      <c r="B5434" t="s">
        <v>564</v>
      </c>
      <c r="C5434" t="s">
        <v>1681</v>
      </c>
      <c r="D5434" t="str">
        <f t="shared" si="84"/>
        <v>HEMOMINAS5220</v>
      </c>
      <c r="E5434" t="s">
        <v>1675</v>
      </c>
    </row>
    <row r="5435" spans="1:5" hidden="1" x14ac:dyDescent="0.25">
      <c r="A5435">
        <v>2321</v>
      </c>
      <c r="B5435" t="s">
        <v>564</v>
      </c>
      <c r="C5435" t="s">
        <v>428</v>
      </c>
      <c r="D5435" t="str">
        <f t="shared" si="84"/>
        <v>HEMOMINAS5221</v>
      </c>
      <c r="E5435" t="s">
        <v>1674</v>
      </c>
    </row>
    <row r="5436" spans="1:5" hidden="1" x14ac:dyDescent="0.25">
      <c r="A5436">
        <v>2321</v>
      </c>
      <c r="B5436" t="s">
        <v>564</v>
      </c>
      <c r="C5436" t="s">
        <v>433</v>
      </c>
      <c r="D5436" t="str">
        <f t="shared" si="84"/>
        <v>HEMOMINAS5222</v>
      </c>
      <c r="E5436" t="s">
        <v>1674</v>
      </c>
    </row>
    <row r="5437" spans="1:5" hidden="1" x14ac:dyDescent="0.25">
      <c r="A5437">
        <v>2321</v>
      </c>
      <c r="B5437" t="s">
        <v>564</v>
      </c>
      <c r="C5437" t="s">
        <v>448</v>
      </c>
      <c r="D5437" t="str">
        <f t="shared" si="84"/>
        <v>HEMOMINAS5225</v>
      </c>
      <c r="E5437" t="s">
        <v>1674</v>
      </c>
    </row>
    <row r="5438" spans="1:5" hidden="1" x14ac:dyDescent="0.25">
      <c r="A5438">
        <v>2321</v>
      </c>
      <c r="B5438" t="s">
        <v>564</v>
      </c>
      <c r="C5438" t="s">
        <v>1682</v>
      </c>
      <c r="D5438" t="str">
        <f t="shared" si="84"/>
        <v>HEMOMINAS5226</v>
      </c>
      <c r="E5438" t="s">
        <v>1674</v>
      </c>
    </row>
    <row r="5439" spans="1:5" hidden="1" x14ac:dyDescent="0.25">
      <c r="A5439">
        <v>2321</v>
      </c>
      <c r="B5439" t="s">
        <v>564</v>
      </c>
      <c r="C5439" t="s">
        <v>1683</v>
      </c>
      <c r="D5439" t="str">
        <f t="shared" si="84"/>
        <v>HEMOMINAS5227</v>
      </c>
      <c r="E5439" t="s">
        <v>1674</v>
      </c>
    </row>
    <row r="5440" spans="1:5" hidden="1" x14ac:dyDescent="0.25">
      <c r="A5440">
        <v>2321</v>
      </c>
      <c r="B5440" t="s">
        <v>564</v>
      </c>
      <c r="C5440" t="s">
        <v>458</v>
      </c>
      <c r="D5440" t="str">
        <f t="shared" si="84"/>
        <v>HEMOMINAS5299</v>
      </c>
      <c r="E5440" t="s">
        <v>1674</v>
      </c>
    </row>
    <row r="5441" spans="1:5" hidden="1" x14ac:dyDescent="0.25">
      <c r="A5441">
        <v>2321</v>
      </c>
      <c r="B5441" t="s">
        <v>564</v>
      </c>
      <c r="C5441" t="s">
        <v>1822</v>
      </c>
      <c r="D5441" t="str">
        <f t="shared" si="84"/>
        <v>HEMOMINAS5905</v>
      </c>
      <c r="E5441" t="s">
        <v>1623</v>
      </c>
    </row>
    <row r="5442" spans="1:5" hidden="1" x14ac:dyDescent="0.25">
      <c r="A5442">
        <v>2321</v>
      </c>
      <c r="B5442" t="s">
        <v>564</v>
      </c>
      <c r="C5442" t="s">
        <v>1729</v>
      </c>
      <c r="D5442" t="str">
        <f t="shared" si="84"/>
        <v>HEMOMINAS9201</v>
      </c>
      <c r="E5442" t="s">
        <v>1685</v>
      </c>
    </row>
    <row r="5443" spans="1:5" hidden="1" x14ac:dyDescent="0.25">
      <c r="A5443">
        <v>2321</v>
      </c>
      <c r="B5443" t="s">
        <v>564</v>
      </c>
      <c r="C5443" t="s">
        <v>1684</v>
      </c>
      <c r="D5443" t="str">
        <f t="shared" si="84"/>
        <v>HEMOMINAS9202</v>
      </c>
      <c r="E5443" t="s">
        <v>1685</v>
      </c>
    </row>
    <row r="5444" spans="1:5" hidden="1" x14ac:dyDescent="0.25">
      <c r="A5444">
        <v>2321</v>
      </c>
      <c r="B5444" t="s">
        <v>564</v>
      </c>
      <c r="C5444" t="s">
        <v>330</v>
      </c>
      <c r="D5444" t="str">
        <f t="shared" si="84"/>
        <v>HEMOMINAS9306</v>
      </c>
      <c r="E5444" t="s">
        <v>1686</v>
      </c>
    </row>
    <row r="5445" spans="1:5" hidden="1" x14ac:dyDescent="0.25">
      <c r="A5445">
        <v>2321</v>
      </c>
      <c r="B5445" t="s">
        <v>564</v>
      </c>
      <c r="C5445" t="s">
        <v>366</v>
      </c>
      <c r="D5445" t="str">
        <f t="shared" ref="D5445:D5508" si="85">CONCATENATE(B5445,LEFT(C5445,4))</f>
        <v>HEMOMINAS9310</v>
      </c>
      <c r="E5445" t="s">
        <v>1623</v>
      </c>
    </row>
    <row r="5446" spans="1:5" hidden="1" x14ac:dyDescent="0.25">
      <c r="A5446">
        <v>2321</v>
      </c>
      <c r="B5446" t="s">
        <v>564</v>
      </c>
      <c r="C5446" t="s">
        <v>1687</v>
      </c>
      <c r="D5446" t="str">
        <f t="shared" si="85"/>
        <v>HEMOMINAS9399</v>
      </c>
      <c r="E5446" t="s">
        <v>1623</v>
      </c>
    </row>
    <row r="5447" spans="1:5" hidden="1" x14ac:dyDescent="0.25">
      <c r="A5447">
        <v>2321</v>
      </c>
      <c r="B5447" t="s">
        <v>564</v>
      </c>
      <c r="C5447" t="s">
        <v>1814</v>
      </c>
      <c r="D5447" t="str">
        <f t="shared" si="85"/>
        <v>HEMOMINAS9701</v>
      </c>
      <c r="E5447" t="s">
        <v>1623</v>
      </c>
    </row>
    <row r="5448" spans="1:5" hidden="1" x14ac:dyDescent="0.25">
      <c r="A5448">
        <v>2331</v>
      </c>
      <c r="B5448" t="s">
        <v>632</v>
      </c>
      <c r="C5448" t="s">
        <v>1597</v>
      </c>
      <c r="D5448" t="str">
        <f t="shared" si="85"/>
        <v>IPEM/MG1401</v>
      </c>
      <c r="E5448" t="s">
        <v>43</v>
      </c>
    </row>
    <row r="5449" spans="1:5" hidden="1" x14ac:dyDescent="0.25">
      <c r="A5449">
        <v>2331</v>
      </c>
      <c r="B5449" t="s">
        <v>632</v>
      </c>
      <c r="C5449" t="s">
        <v>1599</v>
      </c>
      <c r="D5449" t="str">
        <f t="shared" si="85"/>
        <v>IPEM/MG3001</v>
      </c>
      <c r="E5449" t="s">
        <v>1600</v>
      </c>
    </row>
    <row r="5450" spans="1:5" hidden="1" x14ac:dyDescent="0.25">
      <c r="A5450">
        <v>2331</v>
      </c>
      <c r="B5450" t="s">
        <v>632</v>
      </c>
      <c r="C5450" t="s">
        <v>1601</v>
      </c>
      <c r="D5450" t="str">
        <f t="shared" si="85"/>
        <v>IPEM/MG3003</v>
      </c>
      <c r="E5450" t="s">
        <v>1600</v>
      </c>
    </row>
    <row r="5451" spans="1:5" hidden="1" x14ac:dyDescent="0.25">
      <c r="A5451">
        <v>2331</v>
      </c>
      <c r="B5451" t="s">
        <v>632</v>
      </c>
      <c r="C5451" t="s">
        <v>1602</v>
      </c>
      <c r="D5451" t="str">
        <f t="shared" si="85"/>
        <v>IPEM/MG3004</v>
      </c>
      <c r="E5451" t="s">
        <v>1600</v>
      </c>
    </row>
    <row r="5452" spans="1:5" hidden="1" x14ac:dyDescent="0.25">
      <c r="A5452">
        <v>2331</v>
      </c>
      <c r="B5452" t="s">
        <v>632</v>
      </c>
      <c r="C5452" t="s">
        <v>1603</v>
      </c>
      <c r="D5452" t="str">
        <f t="shared" si="85"/>
        <v>IPEM/MG3005</v>
      </c>
      <c r="E5452" t="s">
        <v>1600</v>
      </c>
    </row>
    <row r="5453" spans="1:5" hidden="1" x14ac:dyDescent="0.25">
      <c r="A5453">
        <v>2331</v>
      </c>
      <c r="B5453" t="s">
        <v>632</v>
      </c>
      <c r="C5453" t="s">
        <v>1604</v>
      </c>
      <c r="D5453" t="str">
        <f t="shared" si="85"/>
        <v>IPEM/MG3008</v>
      </c>
      <c r="E5453" t="s">
        <v>1600</v>
      </c>
    </row>
    <row r="5454" spans="1:5" hidden="1" x14ac:dyDescent="0.25">
      <c r="A5454">
        <v>2331</v>
      </c>
      <c r="B5454" t="s">
        <v>632</v>
      </c>
      <c r="C5454" t="s">
        <v>1605</v>
      </c>
      <c r="D5454" t="str">
        <f t="shared" si="85"/>
        <v>IPEM/MG3010</v>
      </c>
      <c r="E5454" t="s">
        <v>1606</v>
      </c>
    </row>
    <row r="5455" spans="1:5" hidden="1" x14ac:dyDescent="0.25">
      <c r="A5455">
        <v>2331</v>
      </c>
      <c r="B5455" t="s">
        <v>632</v>
      </c>
      <c r="C5455" t="s">
        <v>137</v>
      </c>
      <c r="D5455" t="str">
        <f t="shared" si="85"/>
        <v>IPEM/MG3012</v>
      </c>
      <c r="E5455" t="s">
        <v>1606</v>
      </c>
    </row>
    <row r="5456" spans="1:5" hidden="1" x14ac:dyDescent="0.25">
      <c r="A5456">
        <v>2331</v>
      </c>
      <c r="B5456" t="s">
        <v>632</v>
      </c>
      <c r="C5456" t="s">
        <v>1607</v>
      </c>
      <c r="D5456" t="str">
        <f t="shared" si="85"/>
        <v>IPEM/MG3013</v>
      </c>
      <c r="E5456" t="s">
        <v>1600</v>
      </c>
    </row>
    <row r="5457" spans="1:5" hidden="1" x14ac:dyDescent="0.25">
      <c r="A5457">
        <v>2331</v>
      </c>
      <c r="B5457" t="s">
        <v>632</v>
      </c>
      <c r="C5457" t="s">
        <v>1608</v>
      </c>
      <c r="D5457" t="str">
        <f t="shared" si="85"/>
        <v>IPEM/MG3015</v>
      </c>
      <c r="E5457" t="s">
        <v>1600</v>
      </c>
    </row>
    <row r="5458" spans="1:5" hidden="1" x14ac:dyDescent="0.25">
      <c r="A5458">
        <v>2331</v>
      </c>
      <c r="B5458" t="s">
        <v>632</v>
      </c>
      <c r="C5458" t="s">
        <v>1609</v>
      </c>
      <c r="D5458" t="str">
        <f t="shared" si="85"/>
        <v>IPEM/MG3016</v>
      </c>
      <c r="E5458" t="s">
        <v>1600</v>
      </c>
    </row>
    <row r="5459" spans="1:5" hidden="1" x14ac:dyDescent="0.25">
      <c r="A5459">
        <v>2331</v>
      </c>
      <c r="B5459" t="s">
        <v>632</v>
      </c>
      <c r="C5459" t="s">
        <v>405</v>
      </c>
      <c r="D5459" t="str">
        <f t="shared" si="85"/>
        <v>IPEM/MG3017</v>
      </c>
      <c r="E5459" t="s">
        <v>1600</v>
      </c>
    </row>
    <row r="5460" spans="1:5" hidden="1" x14ac:dyDescent="0.25">
      <c r="A5460">
        <v>2331</v>
      </c>
      <c r="B5460" t="s">
        <v>632</v>
      </c>
      <c r="C5460" t="s">
        <v>1610</v>
      </c>
      <c r="D5460" t="str">
        <f t="shared" si="85"/>
        <v>IPEM/MG3019</v>
      </c>
      <c r="E5460" t="s">
        <v>1611</v>
      </c>
    </row>
    <row r="5461" spans="1:5" hidden="1" x14ac:dyDescent="0.25">
      <c r="A5461">
        <v>2331</v>
      </c>
      <c r="B5461" t="s">
        <v>632</v>
      </c>
      <c r="C5461" t="s">
        <v>1612</v>
      </c>
      <c r="D5461" t="str">
        <f t="shared" si="85"/>
        <v>IPEM/MG3020</v>
      </c>
      <c r="E5461" t="s">
        <v>1600</v>
      </c>
    </row>
    <row r="5462" spans="1:5" hidden="1" x14ac:dyDescent="0.25">
      <c r="A5462">
        <v>2331</v>
      </c>
      <c r="B5462" t="s">
        <v>632</v>
      </c>
      <c r="C5462" t="s">
        <v>1613</v>
      </c>
      <c r="D5462" t="str">
        <f t="shared" si="85"/>
        <v>IPEM/MG3021</v>
      </c>
      <c r="E5462" t="s">
        <v>1600</v>
      </c>
    </row>
    <row r="5463" spans="1:5" hidden="1" x14ac:dyDescent="0.25">
      <c r="A5463">
        <v>2331</v>
      </c>
      <c r="B5463" t="s">
        <v>632</v>
      </c>
      <c r="C5463" t="s">
        <v>430</v>
      </c>
      <c r="D5463" t="str">
        <f t="shared" si="85"/>
        <v>IPEM/MG3022</v>
      </c>
      <c r="E5463" t="s">
        <v>1600</v>
      </c>
    </row>
    <row r="5464" spans="1:5" hidden="1" x14ac:dyDescent="0.25">
      <c r="A5464">
        <v>2331</v>
      </c>
      <c r="B5464" t="s">
        <v>632</v>
      </c>
      <c r="C5464" t="s">
        <v>1614</v>
      </c>
      <c r="D5464" t="str">
        <f t="shared" si="85"/>
        <v>IPEM/MG3023</v>
      </c>
      <c r="E5464" t="s">
        <v>1615</v>
      </c>
    </row>
    <row r="5465" spans="1:5" hidden="1" x14ac:dyDescent="0.25">
      <c r="A5465">
        <v>2331</v>
      </c>
      <c r="B5465" t="s">
        <v>632</v>
      </c>
      <c r="C5465" t="s">
        <v>440</v>
      </c>
      <c r="D5465" t="str">
        <f t="shared" si="85"/>
        <v>IPEM/MG3024</v>
      </c>
      <c r="E5465" t="s">
        <v>1600</v>
      </c>
    </row>
    <row r="5466" spans="1:5" hidden="1" x14ac:dyDescent="0.25">
      <c r="A5466">
        <v>2331</v>
      </c>
      <c r="B5466" t="s">
        <v>632</v>
      </c>
      <c r="C5466" t="s">
        <v>1616</v>
      </c>
      <c r="D5466" t="str">
        <f t="shared" si="85"/>
        <v>IPEM/MG3025</v>
      </c>
      <c r="E5466" t="s">
        <v>1600</v>
      </c>
    </row>
    <row r="5467" spans="1:5" hidden="1" x14ac:dyDescent="0.25">
      <c r="A5467">
        <v>2331</v>
      </c>
      <c r="B5467" t="s">
        <v>632</v>
      </c>
      <c r="C5467" t="s">
        <v>1617</v>
      </c>
      <c r="D5467" t="str">
        <f t="shared" si="85"/>
        <v>IPEM/MG3026</v>
      </c>
      <c r="E5467" t="s">
        <v>1615</v>
      </c>
    </row>
    <row r="5468" spans="1:5" hidden="1" x14ac:dyDescent="0.25">
      <c r="A5468">
        <v>2331</v>
      </c>
      <c r="B5468" t="s">
        <v>632</v>
      </c>
      <c r="C5468" t="s">
        <v>1702</v>
      </c>
      <c r="D5468" t="str">
        <f t="shared" si="85"/>
        <v>IPEM/MG3029</v>
      </c>
      <c r="E5468" t="s">
        <v>1600</v>
      </c>
    </row>
    <row r="5469" spans="1:5" hidden="1" x14ac:dyDescent="0.25">
      <c r="A5469">
        <v>2331</v>
      </c>
      <c r="B5469" t="s">
        <v>632</v>
      </c>
      <c r="C5469" t="s">
        <v>466</v>
      </c>
      <c r="D5469" t="str">
        <f t="shared" si="85"/>
        <v>IPEM/MG3030</v>
      </c>
      <c r="E5469" t="s">
        <v>1600</v>
      </c>
    </row>
    <row r="5470" spans="1:5" hidden="1" x14ac:dyDescent="0.25">
      <c r="A5470">
        <v>2331</v>
      </c>
      <c r="B5470" t="s">
        <v>632</v>
      </c>
      <c r="C5470" t="s">
        <v>1619</v>
      </c>
      <c r="D5470" t="str">
        <f t="shared" si="85"/>
        <v>IPEM/MG3032</v>
      </c>
      <c r="E5470" t="s">
        <v>1600</v>
      </c>
    </row>
    <row r="5471" spans="1:5" hidden="1" x14ac:dyDescent="0.25">
      <c r="A5471">
        <v>2331</v>
      </c>
      <c r="B5471" t="s">
        <v>632</v>
      </c>
      <c r="C5471" t="s">
        <v>486</v>
      </c>
      <c r="D5471" t="str">
        <f t="shared" si="85"/>
        <v>IPEM/MG3040</v>
      </c>
      <c r="E5471" t="s">
        <v>1600</v>
      </c>
    </row>
    <row r="5472" spans="1:5" hidden="1" x14ac:dyDescent="0.25">
      <c r="A5472">
        <v>2331</v>
      </c>
      <c r="B5472" t="s">
        <v>632</v>
      </c>
      <c r="C5472" t="s">
        <v>1703</v>
      </c>
      <c r="D5472" t="str">
        <f t="shared" si="85"/>
        <v>IPEM/MG3041</v>
      </c>
      <c r="E5472" t="s">
        <v>1600</v>
      </c>
    </row>
    <row r="5473" spans="1:5" hidden="1" x14ac:dyDescent="0.25">
      <c r="A5473">
        <v>2331</v>
      </c>
      <c r="B5473" t="s">
        <v>632</v>
      </c>
      <c r="C5473" t="s">
        <v>490</v>
      </c>
      <c r="D5473" t="str">
        <f t="shared" si="85"/>
        <v>IPEM/MG3099</v>
      </c>
      <c r="E5473" t="s">
        <v>1600</v>
      </c>
    </row>
    <row r="5474" spans="1:5" hidden="1" x14ac:dyDescent="0.25">
      <c r="A5474">
        <v>2331</v>
      </c>
      <c r="B5474" t="s">
        <v>632</v>
      </c>
      <c r="C5474" t="s">
        <v>1622</v>
      </c>
      <c r="D5474" t="str">
        <f t="shared" si="85"/>
        <v>IPEM/MG3101</v>
      </c>
      <c r="E5474" t="s">
        <v>1623</v>
      </c>
    </row>
    <row r="5475" spans="1:5" hidden="1" x14ac:dyDescent="0.25">
      <c r="A5475">
        <v>2331</v>
      </c>
      <c r="B5475" t="s">
        <v>632</v>
      </c>
      <c r="C5475" t="s">
        <v>53</v>
      </c>
      <c r="D5475" t="str">
        <f t="shared" si="85"/>
        <v>IPEM/MG3301</v>
      </c>
      <c r="E5475" t="s">
        <v>43</v>
      </c>
    </row>
    <row r="5476" spans="1:5" hidden="1" x14ac:dyDescent="0.25">
      <c r="A5476">
        <v>2331</v>
      </c>
      <c r="B5476" t="s">
        <v>632</v>
      </c>
      <c r="C5476" t="s">
        <v>1626</v>
      </c>
      <c r="D5476" t="str">
        <f t="shared" si="85"/>
        <v>IPEM/MG3302</v>
      </c>
      <c r="E5476" t="s">
        <v>43</v>
      </c>
    </row>
    <row r="5477" spans="1:5" hidden="1" x14ac:dyDescent="0.25">
      <c r="A5477">
        <v>2331</v>
      </c>
      <c r="B5477" t="s">
        <v>632</v>
      </c>
      <c r="C5477" t="s">
        <v>1627</v>
      </c>
      <c r="D5477" t="str">
        <f t="shared" si="85"/>
        <v>IPEM/MG3304</v>
      </c>
      <c r="E5477" t="s">
        <v>43</v>
      </c>
    </row>
    <row r="5478" spans="1:5" hidden="1" x14ac:dyDescent="0.25">
      <c r="A5478">
        <v>2331</v>
      </c>
      <c r="B5478" t="s">
        <v>632</v>
      </c>
      <c r="C5478" t="s">
        <v>308</v>
      </c>
      <c r="D5478" t="str">
        <f t="shared" si="85"/>
        <v>IPEM/MG3305</v>
      </c>
      <c r="E5478" t="s">
        <v>43</v>
      </c>
    </row>
    <row r="5479" spans="1:5" hidden="1" x14ac:dyDescent="0.25">
      <c r="A5479">
        <v>2331</v>
      </c>
      <c r="B5479" t="s">
        <v>632</v>
      </c>
      <c r="C5479" t="s">
        <v>1741</v>
      </c>
      <c r="D5479" t="str">
        <f t="shared" si="85"/>
        <v>IPEM/MG3501</v>
      </c>
      <c r="E5479" t="s">
        <v>1623</v>
      </c>
    </row>
    <row r="5480" spans="1:5" hidden="1" x14ac:dyDescent="0.25">
      <c r="A5480">
        <v>2331</v>
      </c>
      <c r="B5480" t="s">
        <v>632</v>
      </c>
      <c r="C5480" t="s">
        <v>1705</v>
      </c>
      <c r="D5480" t="str">
        <f t="shared" si="85"/>
        <v>IPEM/MG3502</v>
      </c>
      <c r="E5480" t="s">
        <v>1623</v>
      </c>
    </row>
    <row r="5481" spans="1:5" hidden="1" x14ac:dyDescent="0.25">
      <c r="A5481">
        <v>2331</v>
      </c>
      <c r="B5481" t="s">
        <v>632</v>
      </c>
      <c r="C5481" t="s">
        <v>296</v>
      </c>
      <c r="D5481" t="str">
        <f t="shared" si="85"/>
        <v>IPEM/MG3604</v>
      </c>
      <c r="E5481" t="s">
        <v>43</v>
      </c>
    </row>
    <row r="5482" spans="1:5" hidden="1" x14ac:dyDescent="0.25">
      <c r="A5482">
        <v>2331</v>
      </c>
      <c r="B5482" t="s">
        <v>632</v>
      </c>
      <c r="C5482" t="s">
        <v>354</v>
      </c>
      <c r="D5482" t="str">
        <f t="shared" si="85"/>
        <v>IPEM/MG3610</v>
      </c>
      <c r="E5482" t="s">
        <v>1623</v>
      </c>
    </row>
    <row r="5483" spans="1:5" hidden="1" x14ac:dyDescent="0.25">
      <c r="A5483">
        <v>2331</v>
      </c>
      <c r="B5483" t="s">
        <v>632</v>
      </c>
      <c r="C5483" t="s">
        <v>1707</v>
      </c>
      <c r="D5483" t="str">
        <f t="shared" si="85"/>
        <v>IPEM/MG3611</v>
      </c>
      <c r="E5483" t="s">
        <v>1692</v>
      </c>
    </row>
    <row r="5484" spans="1:5" hidden="1" x14ac:dyDescent="0.25">
      <c r="A5484">
        <v>2331</v>
      </c>
      <c r="B5484" t="s">
        <v>632</v>
      </c>
      <c r="C5484" t="s">
        <v>1628</v>
      </c>
      <c r="D5484" t="str">
        <f t="shared" si="85"/>
        <v>IPEM/MG3612</v>
      </c>
      <c r="E5484" t="s">
        <v>1623</v>
      </c>
    </row>
    <row r="5485" spans="1:5" hidden="1" x14ac:dyDescent="0.25">
      <c r="A5485">
        <v>2331</v>
      </c>
      <c r="B5485" t="s">
        <v>632</v>
      </c>
      <c r="C5485" t="s">
        <v>1631</v>
      </c>
      <c r="D5485" t="str">
        <f t="shared" si="85"/>
        <v>IPEM/MG3703</v>
      </c>
      <c r="E5485" t="s">
        <v>116</v>
      </c>
    </row>
    <row r="5486" spans="1:5" hidden="1" x14ac:dyDescent="0.25">
      <c r="A5486">
        <v>2331</v>
      </c>
      <c r="B5486" t="s">
        <v>632</v>
      </c>
      <c r="C5486" t="s">
        <v>1632</v>
      </c>
      <c r="D5486" t="str">
        <f t="shared" si="85"/>
        <v>IPEM/MG3704</v>
      </c>
      <c r="E5486" t="s">
        <v>116</v>
      </c>
    </row>
    <row r="5487" spans="1:5" hidden="1" x14ac:dyDescent="0.25">
      <c r="A5487">
        <v>2331</v>
      </c>
      <c r="B5487" t="s">
        <v>632</v>
      </c>
      <c r="C5487" t="s">
        <v>1633</v>
      </c>
      <c r="D5487" t="str">
        <f t="shared" si="85"/>
        <v>IPEM/MG3705</v>
      </c>
      <c r="E5487" t="s">
        <v>116</v>
      </c>
    </row>
    <row r="5488" spans="1:5" hidden="1" x14ac:dyDescent="0.25">
      <c r="A5488">
        <v>2331</v>
      </c>
      <c r="B5488" t="s">
        <v>632</v>
      </c>
      <c r="C5488" t="s">
        <v>1634</v>
      </c>
      <c r="D5488" t="str">
        <f t="shared" si="85"/>
        <v>IPEM/MG3903</v>
      </c>
      <c r="E5488" t="s">
        <v>1623</v>
      </c>
    </row>
    <row r="5489" spans="1:5" hidden="1" x14ac:dyDescent="0.25">
      <c r="A5489">
        <v>2331</v>
      </c>
      <c r="B5489" t="s">
        <v>632</v>
      </c>
      <c r="C5489" t="s">
        <v>298</v>
      </c>
      <c r="D5489" t="str">
        <f t="shared" si="85"/>
        <v>IPEM/MG3904</v>
      </c>
      <c r="E5489" t="s">
        <v>1623</v>
      </c>
    </row>
    <row r="5490" spans="1:5" hidden="1" x14ac:dyDescent="0.25">
      <c r="A5490">
        <v>2331</v>
      </c>
      <c r="B5490" t="s">
        <v>632</v>
      </c>
      <c r="C5490" t="s">
        <v>325</v>
      </c>
      <c r="D5490" t="str">
        <f t="shared" si="85"/>
        <v>IPEM/MG3906</v>
      </c>
      <c r="E5490" t="s">
        <v>1623</v>
      </c>
    </row>
    <row r="5491" spans="1:5" hidden="1" x14ac:dyDescent="0.25">
      <c r="A5491">
        <v>2331</v>
      </c>
      <c r="B5491" t="s">
        <v>632</v>
      </c>
      <c r="C5491" t="s">
        <v>345</v>
      </c>
      <c r="D5491" t="str">
        <f t="shared" si="85"/>
        <v>IPEM/MG3910</v>
      </c>
      <c r="E5491" t="s">
        <v>1623</v>
      </c>
    </row>
    <row r="5492" spans="1:5" hidden="1" x14ac:dyDescent="0.25">
      <c r="A5492">
        <v>2331</v>
      </c>
      <c r="B5492" t="s">
        <v>632</v>
      </c>
      <c r="C5492" t="s">
        <v>355</v>
      </c>
      <c r="D5492" t="str">
        <f t="shared" si="85"/>
        <v>IPEM/MG3911</v>
      </c>
      <c r="E5492" t="s">
        <v>1623</v>
      </c>
    </row>
    <row r="5493" spans="1:5" hidden="1" x14ac:dyDescent="0.25">
      <c r="A5493">
        <v>2331</v>
      </c>
      <c r="B5493" t="s">
        <v>632</v>
      </c>
      <c r="C5493" t="s">
        <v>1636</v>
      </c>
      <c r="D5493" t="str">
        <f t="shared" si="85"/>
        <v>IPEM/MG3912</v>
      </c>
      <c r="E5493" t="s">
        <v>1637</v>
      </c>
    </row>
    <row r="5494" spans="1:5" hidden="1" x14ac:dyDescent="0.25">
      <c r="A5494">
        <v>2331</v>
      </c>
      <c r="B5494" t="s">
        <v>632</v>
      </c>
      <c r="C5494" t="s">
        <v>1638</v>
      </c>
      <c r="D5494" t="str">
        <f t="shared" si="85"/>
        <v>IPEM/MG3913</v>
      </c>
      <c r="E5494" t="s">
        <v>1637</v>
      </c>
    </row>
    <row r="5495" spans="1:5" hidden="1" x14ac:dyDescent="0.25">
      <c r="A5495">
        <v>2331</v>
      </c>
      <c r="B5495" t="s">
        <v>632</v>
      </c>
      <c r="C5495" t="s">
        <v>383</v>
      </c>
      <c r="D5495" t="str">
        <f t="shared" si="85"/>
        <v>IPEM/MG3915</v>
      </c>
      <c r="E5495" t="s">
        <v>1637</v>
      </c>
    </row>
    <row r="5496" spans="1:5" hidden="1" x14ac:dyDescent="0.25">
      <c r="A5496">
        <v>2331</v>
      </c>
      <c r="B5496" t="s">
        <v>632</v>
      </c>
      <c r="C5496" t="s">
        <v>1639</v>
      </c>
      <c r="D5496" t="str">
        <f t="shared" si="85"/>
        <v>IPEM/MG3917</v>
      </c>
      <c r="E5496" t="s">
        <v>1615</v>
      </c>
    </row>
    <row r="5497" spans="1:5" hidden="1" x14ac:dyDescent="0.25">
      <c r="A5497">
        <v>2331</v>
      </c>
      <c r="B5497" t="s">
        <v>632</v>
      </c>
      <c r="C5497" t="s">
        <v>1640</v>
      </c>
      <c r="D5497" t="str">
        <f t="shared" si="85"/>
        <v>IPEM/MG3918</v>
      </c>
      <c r="E5497" t="s">
        <v>1615</v>
      </c>
    </row>
    <row r="5498" spans="1:5" hidden="1" x14ac:dyDescent="0.25">
      <c r="A5498">
        <v>2331</v>
      </c>
      <c r="B5498" t="s">
        <v>632</v>
      </c>
      <c r="C5498" t="s">
        <v>1641</v>
      </c>
      <c r="D5498" t="str">
        <f t="shared" si="85"/>
        <v>IPEM/MG3919</v>
      </c>
      <c r="E5498" t="s">
        <v>2102</v>
      </c>
    </row>
    <row r="5499" spans="1:5" hidden="1" x14ac:dyDescent="0.25">
      <c r="A5499">
        <v>2331</v>
      </c>
      <c r="B5499" t="s">
        <v>632</v>
      </c>
      <c r="C5499" t="s">
        <v>1694</v>
      </c>
      <c r="D5499" t="str">
        <f t="shared" si="85"/>
        <v>IPEM/MG3920</v>
      </c>
      <c r="E5499" t="s">
        <v>1692</v>
      </c>
    </row>
    <row r="5500" spans="1:5" hidden="1" x14ac:dyDescent="0.25">
      <c r="A5500">
        <v>2331</v>
      </c>
      <c r="B5500" t="s">
        <v>632</v>
      </c>
      <c r="C5500" t="s">
        <v>1642</v>
      </c>
      <c r="D5500" t="str">
        <f t="shared" si="85"/>
        <v>IPEM/MG3921</v>
      </c>
      <c r="E5500" t="s">
        <v>2102</v>
      </c>
    </row>
    <row r="5501" spans="1:5" hidden="1" x14ac:dyDescent="0.25">
      <c r="A5501">
        <v>2331</v>
      </c>
      <c r="B5501" t="s">
        <v>632</v>
      </c>
      <c r="C5501" t="s">
        <v>1643</v>
      </c>
      <c r="D5501" t="str">
        <f t="shared" si="85"/>
        <v>IPEM/MG3922</v>
      </c>
      <c r="E5501" t="s">
        <v>1611</v>
      </c>
    </row>
    <row r="5502" spans="1:5" hidden="1" x14ac:dyDescent="0.25">
      <c r="A5502">
        <v>2331</v>
      </c>
      <c r="B5502" t="s">
        <v>632</v>
      </c>
      <c r="C5502" t="s">
        <v>1644</v>
      </c>
      <c r="D5502" t="str">
        <f t="shared" si="85"/>
        <v>IPEM/MG3924</v>
      </c>
      <c r="E5502" t="s">
        <v>1645</v>
      </c>
    </row>
    <row r="5503" spans="1:5" hidden="1" x14ac:dyDescent="0.25">
      <c r="A5503">
        <v>2331</v>
      </c>
      <c r="B5503" t="s">
        <v>632</v>
      </c>
      <c r="C5503" t="s">
        <v>437</v>
      </c>
      <c r="D5503" t="str">
        <f t="shared" si="85"/>
        <v>IPEM/MG3925</v>
      </c>
      <c r="E5503" t="s">
        <v>1646</v>
      </c>
    </row>
    <row r="5504" spans="1:5" hidden="1" x14ac:dyDescent="0.25">
      <c r="A5504">
        <v>2331</v>
      </c>
      <c r="B5504" t="s">
        <v>632</v>
      </c>
      <c r="C5504" t="s">
        <v>442</v>
      </c>
      <c r="D5504" t="str">
        <f t="shared" si="85"/>
        <v>IPEM/MG3926</v>
      </c>
      <c r="E5504" t="s">
        <v>1646</v>
      </c>
    </row>
    <row r="5505" spans="1:5" hidden="1" x14ac:dyDescent="0.25">
      <c r="A5505">
        <v>2331</v>
      </c>
      <c r="B5505" t="s">
        <v>632</v>
      </c>
      <c r="C5505" t="s">
        <v>1647</v>
      </c>
      <c r="D5505" t="str">
        <f t="shared" si="85"/>
        <v>IPEM/MG3927</v>
      </c>
      <c r="E5505" t="s">
        <v>1648</v>
      </c>
    </row>
    <row r="5506" spans="1:5" hidden="1" x14ac:dyDescent="0.25">
      <c r="A5506">
        <v>2331</v>
      </c>
      <c r="B5506" t="s">
        <v>632</v>
      </c>
      <c r="C5506" t="s">
        <v>457</v>
      </c>
      <c r="D5506" t="str">
        <f t="shared" si="85"/>
        <v>IPEM/MG3930</v>
      </c>
      <c r="E5506" t="s">
        <v>1646</v>
      </c>
    </row>
    <row r="5507" spans="1:5" hidden="1" x14ac:dyDescent="0.25">
      <c r="A5507">
        <v>2331</v>
      </c>
      <c r="B5507" t="s">
        <v>632</v>
      </c>
      <c r="C5507" t="s">
        <v>1650</v>
      </c>
      <c r="D5507" t="str">
        <f t="shared" si="85"/>
        <v>IPEM/MG3931</v>
      </c>
      <c r="E5507" t="s">
        <v>1623</v>
      </c>
    </row>
    <row r="5508" spans="1:5" hidden="1" x14ac:dyDescent="0.25">
      <c r="A5508">
        <v>2331</v>
      </c>
      <c r="B5508" t="s">
        <v>632</v>
      </c>
      <c r="C5508" t="s">
        <v>1652</v>
      </c>
      <c r="D5508" t="str">
        <f t="shared" si="85"/>
        <v>IPEM/MG3936</v>
      </c>
      <c r="E5508" t="s">
        <v>93</v>
      </c>
    </row>
    <row r="5509" spans="1:5" hidden="1" x14ac:dyDescent="0.25">
      <c r="A5509">
        <v>2331</v>
      </c>
      <c r="B5509" t="s">
        <v>632</v>
      </c>
      <c r="C5509" t="s">
        <v>1714</v>
      </c>
      <c r="D5509" t="str">
        <f t="shared" ref="D5509:D5572" si="86">CONCATENATE(B5509,LEFT(C5509,4))</f>
        <v>IPEM/MG3939</v>
      </c>
      <c r="E5509" t="s">
        <v>1623</v>
      </c>
    </row>
    <row r="5510" spans="1:5" hidden="1" x14ac:dyDescent="0.25">
      <c r="A5510">
        <v>2331</v>
      </c>
      <c r="B5510" t="s">
        <v>632</v>
      </c>
      <c r="C5510" t="s">
        <v>1653</v>
      </c>
      <c r="D5510" t="str">
        <f t="shared" si="86"/>
        <v>IPEM/MG3940</v>
      </c>
      <c r="E5510" t="s">
        <v>1648</v>
      </c>
    </row>
    <row r="5511" spans="1:5" hidden="1" x14ac:dyDescent="0.25">
      <c r="A5511">
        <v>2331</v>
      </c>
      <c r="B5511" t="s">
        <v>632</v>
      </c>
      <c r="C5511" t="s">
        <v>479</v>
      </c>
      <c r="D5511" t="str">
        <f t="shared" si="86"/>
        <v>IPEM/MG3941</v>
      </c>
      <c r="E5511" t="s">
        <v>1623</v>
      </c>
    </row>
    <row r="5512" spans="1:5" hidden="1" x14ac:dyDescent="0.25">
      <c r="A5512">
        <v>2331</v>
      </c>
      <c r="B5512" t="s">
        <v>632</v>
      </c>
      <c r="C5512" t="s">
        <v>1654</v>
      </c>
      <c r="D5512" t="str">
        <f t="shared" si="86"/>
        <v>IPEM/MG3943</v>
      </c>
      <c r="E5512" t="s">
        <v>1615</v>
      </c>
    </row>
    <row r="5513" spans="1:5" hidden="1" x14ac:dyDescent="0.25">
      <c r="A5513">
        <v>2331</v>
      </c>
      <c r="B5513" t="s">
        <v>632</v>
      </c>
      <c r="C5513" t="s">
        <v>491</v>
      </c>
      <c r="D5513" t="str">
        <f t="shared" si="86"/>
        <v>IPEM/MG3948</v>
      </c>
      <c r="E5513" t="s">
        <v>1645</v>
      </c>
    </row>
    <row r="5514" spans="1:5" hidden="1" x14ac:dyDescent="0.25">
      <c r="A5514">
        <v>2331</v>
      </c>
      <c r="B5514" t="s">
        <v>632</v>
      </c>
      <c r="C5514" t="s">
        <v>1701</v>
      </c>
      <c r="D5514" t="str">
        <f t="shared" si="86"/>
        <v>IPEM/MG3952</v>
      </c>
      <c r="E5514" t="s">
        <v>64</v>
      </c>
    </row>
    <row r="5515" spans="1:5" hidden="1" x14ac:dyDescent="0.25">
      <c r="A5515">
        <v>2331</v>
      </c>
      <c r="B5515" t="s">
        <v>632</v>
      </c>
      <c r="C5515" t="s">
        <v>497</v>
      </c>
      <c r="D5515" t="str">
        <f t="shared" si="86"/>
        <v>IPEM/MG3955</v>
      </c>
      <c r="E5515" t="s">
        <v>1623</v>
      </c>
    </row>
    <row r="5516" spans="1:5" hidden="1" x14ac:dyDescent="0.25">
      <c r="A5516">
        <v>2331</v>
      </c>
      <c r="B5516" t="s">
        <v>632</v>
      </c>
      <c r="C5516" t="s">
        <v>1656</v>
      </c>
      <c r="D5516" t="str">
        <f t="shared" si="86"/>
        <v>IPEM/MG3959</v>
      </c>
      <c r="E5516" t="s">
        <v>1623</v>
      </c>
    </row>
    <row r="5517" spans="1:5" hidden="1" x14ac:dyDescent="0.25">
      <c r="A5517">
        <v>2331</v>
      </c>
      <c r="B5517" t="s">
        <v>632</v>
      </c>
      <c r="C5517" t="s">
        <v>1657</v>
      </c>
      <c r="D5517" t="str">
        <f t="shared" si="86"/>
        <v>IPEM/MG3961</v>
      </c>
      <c r="E5517" t="s">
        <v>102</v>
      </c>
    </row>
    <row r="5518" spans="1:5" hidden="1" x14ac:dyDescent="0.25">
      <c r="A5518">
        <v>2331</v>
      </c>
      <c r="B5518" t="s">
        <v>632</v>
      </c>
      <c r="C5518" t="s">
        <v>1659</v>
      </c>
      <c r="D5518" t="str">
        <f t="shared" si="86"/>
        <v>IPEM/MG3969</v>
      </c>
      <c r="E5518" t="s">
        <v>1637</v>
      </c>
    </row>
    <row r="5519" spans="1:5" hidden="1" x14ac:dyDescent="0.25">
      <c r="A5519">
        <v>2331</v>
      </c>
      <c r="B5519" t="s">
        <v>632</v>
      </c>
      <c r="C5519" t="s">
        <v>1660</v>
      </c>
      <c r="D5519" t="str">
        <f t="shared" si="86"/>
        <v>IPEM/MG3970</v>
      </c>
      <c r="E5519" t="s">
        <v>1648</v>
      </c>
    </row>
    <row r="5520" spans="1:5" hidden="1" x14ac:dyDescent="0.25">
      <c r="A5520">
        <v>2331</v>
      </c>
      <c r="B5520" t="s">
        <v>632</v>
      </c>
      <c r="C5520" t="s">
        <v>512</v>
      </c>
      <c r="D5520" t="str">
        <f t="shared" si="86"/>
        <v>IPEM/MG3971</v>
      </c>
      <c r="E5520" t="s">
        <v>2103</v>
      </c>
    </row>
    <row r="5521" spans="1:5" hidden="1" x14ac:dyDescent="0.25">
      <c r="A5521">
        <v>2331</v>
      </c>
      <c r="B5521" t="s">
        <v>632</v>
      </c>
      <c r="C5521" t="s">
        <v>513</v>
      </c>
      <c r="D5521" t="str">
        <f t="shared" si="86"/>
        <v>IPEM/MG3972</v>
      </c>
      <c r="E5521" t="s">
        <v>1637</v>
      </c>
    </row>
    <row r="5522" spans="1:5" hidden="1" x14ac:dyDescent="0.25">
      <c r="A5522">
        <v>2331</v>
      </c>
      <c r="B5522" t="s">
        <v>632</v>
      </c>
      <c r="C5522" t="s">
        <v>520</v>
      </c>
      <c r="D5522" t="str">
        <f t="shared" si="86"/>
        <v>IPEM/MG3981</v>
      </c>
      <c r="E5522" t="s">
        <v>1623</v>
      </c>
    </row>
    <row r="5523" spans="1:5" hidden="1" x14ac:dyDescent="0.25">
      <c r="A5523">
        <v>2331</v>
      </c>
      <c r="B5523" t="s">
        <v>632</v>
      </c>
      <c r="C5523" t="s">
        <v>1661</v>
      </c>
      <c r="D5523" t="str">
        <f t="shared" si="86"/>
        <v>IPEM/MG3987</v>
      </c>
      <c r="E5523" t="s">
        <v>1615</v>
      </c>
    </row>
    <row r="5524" spans="1:5" hidden="1" x14ac:dyDescent="0.25">
      <c r="A5524">
        <v>2331</v>
      </c>
      <c r="B5524" t="s">
        <v>632</v>
      </c>
      <c r="C5524" t="s">
        <v>1663</v>
      </c>
      <c r="D5524" t="str">
        <f t="shared" si="86"/>
        <v>IPEM/MG3999</v>
      </c>
      <c r="E5524" t="s">
        <v>1623</v>
      </c>
    </row>
    <row r="5525" spans="1:5" hidden="1" x14ac:dyDescent="0.25">
      <c r="A5525">
        <v>2331</v>
      </c>
      <c r="B5525" t="s">
        <v>632</v>
      </c>
      <c r="C5525" t="s">
        <v>1664</v>
      </c>
      <c r="D5525" t="str">
        <f t="shared" si="86"/>
        <v>IPEM/MG4002</v>
      </c>
      <c r="E5525" t="s">
        <v>1648</v>
      </c>
    </row>
    <row r="5526" spans="1:5" hidden="1" x14ac:dyDescent="0.25">
      <c r="A5526">
        <v>2331</v>
      </c>
      <c r="B5526" t="s">
        <v>632</v>
      </c>
      <c r="C5526" t="s">
        <v>1665</v>
      </c>
      <c r="D5526" t="str">
        <f t="shared" si="86"/>
        <v>IPEM/MG4003</v>
      </c>
      <c r="E5526" t="s">
        <v>93</v>
      </c>
    </row>
    <row r="5527" spans="1:5" hidden="1" x14ac:dyDescent="0.25">
      <c r="A5527">
        <v>2331</v>
      </c>
      <c r="B5527" t="s">
        <v>632</v>
      </c>
      <c r="C5527" t="s">
        <v>1666</v>
      </c>
      <c r="D5527" t="str">
        <f t="shared" si="86"/>
        <v>IPEM/MG4004</v>
      </c>
      <c r="E5527" t="s">
        <v>1648</v>
      </c>
    </row>
    <row r="5528" spans="1:5" hidden="1" x14ac:dyDescent="0.25">
      <c r="A5528">
        <v>2331</v>
      </c>
      <c r="B5528" t="s">
        <v>632</v>
      </c>
      <c r="C5528" t="s">
        <v>1667</v>
      </c>
      <c r="D5528" t="str">
        <f t="shared" si="86"/>
        <v>IPEM/MG4005</v>
      </c>
      <c r="E5528" t="s">
        <v>1648</v>
      </c>
    </row>
    <row r="5529" spans="1:5" hidden="1" x14ac:dyDescent="0.25">
      <c r="A5529">
        <v>2331</v>
      </c>
      <c r="B5529" t="s">
        <v>632</v>
      </c>
      <c r="C5529" t="s">
        <v>1698</v>
      </c>
      <c r="D5529" t="str">
        <f t="shared" si="86"/>
        <v>IPEM/MG4006</v>
      </c>
      <c r="E5529" t="s">
        <v>1675</v>
      </c>
    </row>
    <row r="5530" spans="1:5" hidden="1" x14ac:dyDescent="0.25">
      <c r="A5530">
        <v>2331</v>
      </c>
      <c r="B5530" t="s">
        <v>632</v>
      </c>
      <c r="C5530" t="s">
        <v>1668</v>
      </c>
      <c r="D5530" t="str">
        <f t="shared" si="86"/>
        <v>IPEM/MG4701</v>
      </c>
      <c r="E5530" t="s">
        <v>1669</v>
      </c>
    </row>
    <row r="5531" spans="1:5" hidden="1" x14ac:dyDescent="0.25">
      <c r="A5531">
        <v>2331</v>
      </c>
      <c r="B5531" t="s">
        <v>632</v>
      </c>
      <c r="C5531" t="s">
        <v>315</v>
      </c>
      <c r="D5531" t="str">
        <f t="shared" si="86"/>
        <v>IPEM/MG4706</v>
      </c>
      <c r="E5531" t="s">
        <v>1669</v>
      </c>
    </row>
    <row r="5532" spans="1:5" hidden="1" x14ac:dyDescent="0.25">
      <c r="A5532">
        <v>2331</v>
      </c>
      <c r="B5532" t="s">
        <v>632</v>
      </c>
      <c r="C5532" t="s">
        <v>327</v>
      </c>
      <c r="D5532" t="str">
        <f t="shared" si="86"/>
        <v>IPEM/MG4707</v>
      </c>
      <c r="E5532" t="s">
        <v>1669</v>
      </c>
    </row>
    <row r="5533" spans="1:5" hidden="1" x14ac:dyDescent="0.25">
      <c r="A5533">
        <v>2331</v>
      </c>
      <c r="B5533" t="s">
        <v>632</v>
      </c>
      <c r="C5533" t="s">
        <v>363</v>
      </c>
      <c r="D5533" t="str">
        <f t="shared" si="86"/>
        <v>IPEM/MG4799</v>
      </c>
      <c r="E5533" t="s">
        <v>1669</v>
      </c>
    </row>
    <row r="5534" spans="1:5" hidden="1" x14ac:dyDescent="0.25">
      <c r="A5534">
        <v>2331</v>
      </c>
      <c r="B5534" t="s">
        <v>632</v>
      </c>
      <c r="C5534" t="s">
        <v>1673</v>
      </c>
      <c r="D5534" t="str">
        <f t="shared" si="86"/>
        <v>IPEM/MG5204</v>
      </c>
      <c r="E5534" t="s">
        <v>1674</v>
      </c>
    </row>
    <row r="5535" spans="1:5" hidden="1" x14ac:dyDescent="0.25">
      <c r="A5535">
        <v>2331</v>
      </c>
      <c r="B5535" t="s">
        <v>632</v>
      </c>
      <c r="C5535" t="s">
        <v>328</v>
      </c>
      <c r="D5535" t="str">
        <f t="shared" si="86"/>
        <v>IPEM/MG5206</v>
      </c>
      <c r="E5535" t="s">
        <v>1675</v>
      </c>
    </row>
    <row r="5536" spans="1:5" hidden="1" x14ac:dyDescent="0.25">
      <c r="A5536">
        <v>2331</v>
      </c>
      <c r="B5536" t="s">
        <v>632</v>
      </c>
      <c r="C5536" t="s">
        <v>1676</v>
      </c>
      <c r="D5536" t="str">
        <f t="shared" si="86"/>
        <v>IPEM/MG5207</v>
      </c>
      <c r="E5536" t="s">
        <v>1675</v>
      </c>
    </row>
    <row r="5537" spans="1:5" hidden="1" x14ac:dyDescent="0.25">
      <c r="A5537">
        <v>2331</v>
      </c>
      <c r="B5537" t="s">
        <v>632</v>
      </c>
      <c r="C5537" t="s">
        <v>358</v>
      </c>
      <c r="D5537" t="str">
        <f t="shared" si="86"/>
        <v>IPEM/MG5209</v>
      </c>
      <c r="E5537" t="s">
        <v>1674</v>
      </c>
    </row>
    <row r="5538" spans="1:5" hidden="1" x14ac:dyDescent="0.25">
      <c r="A5538">
        <v>2331</v>
      </c>
      <c r="B5538" t="s">
        <v>632</v>
      </c>
      <c r="C5538" t="s">
        <v>1678</v>
      </c>
      <c r="D5538" t="str">
        <f t="shared" si="86"/>
        <v>IPEM/MG5210</v>
      </c>
      <c r="E5538" t="s">
        <v>1674</v>
      </c>
    </row>
    <row r="5539" spans="1:5" hidden="1" x14ac:dyDescent="0.25">
      <c r="A5539">
        <v>2331</v>
      </c>
      <c r="B5539" t="s">
        <v>632</v>
      </c>
      <c r="C5539" t="s">
        <v>1679</v>
      </c>
      <c r="D5539" t="str">
        <f t="shared" si="86"/>
        <v>IPEM/MG5212</v>
      </c>
      <c r="E5539" t="s">
        <v>1674</v>
      </c>
    </row>
    <row r="5540" spans="1:5" hidden="1" x14ac:dyDescent="0.25">
      <c r="A5540">
        <v>2331</v>
      </c>
      <c r="B5540" t="s">
        <v>632</v>
      </c>
      <c r="C5540" t="s">
        <v>390</v>
      </c>
      <c r="D5540" t="str">
        <f t="shared" si="86"/>
        <v>IPEM/MG5214</v>
      </c>
      <c r="E5540" t="s">
        <v>1674</v>
      </c>
    </row>
    <row r="5541" spans="1:5" hidden="1" x14ac:dyDescent="0.25">
      <c r="A5541">
        <v>2331</v>
      </c>
      <c r="B5541" t="s">
        <v>632</v>
      </c>
      <c r="C5541" t="s">
        <v>1681</v>
      </c>
      <c r="D5541" t="str">
        <f t="shared" si="86"/>
        <v>IPEM/MG5220</v>
      </c>
      <c r="E5541" t="s">
        <v>1675</v>
      </c>
    </row>
    <row r="5542" spans="1:5" hidden="1" x14ac:dyDescent="0.25">
      <c r="A5542">
        <v>2331</v>
      </c>
      <c r="B5542" t="s">
        <v>632</v>
      </c>
      <c r="C5542" t="s">
        <v>433</v>
      </c>
      <c r="D5542" t="str">
        <f t="shared" si="86"/>
        <v>IPEM/MG5222</v>
      </c>
      <c r="E5542" t="s">
        <v>1674</v>
      </c>
    </row>
    <row r="5543" spans="1:5" hidden="1" x14ac:dyDescent="0.25">
      <c r="A5543">
        <v>2331</v>
      </c>
      <c r="B5543" t="s">
        <v>632</v>
      </c>
      <c r="C5543" t="s">
        <v>458</v>
      </c>
      <c r="D5543" t="str">
        <f t="shared" si="86"/>
        <v>IPEM/MG5299</v>
      </c>
      <c r="E5543" t="s">
        <v>1674</v>
      </c>
    </row>
    <row r="5544" spans="1:5" hidden="1" x14ac:dyDescent="0.25">
      <c r="A5544">
        <v>2331</v>
      </c>
      <c r="B5544" t="s">
        <v>632</v>
      </c>
      <c r="C5544" t="s">
        <v>1723</v>
      </c>
      <c r="D5544" t="str">
        <f t="shared" si="86"/>
        <v>IPEM/MG9108</v>
      </c>
      <c r="E5544" t="s">
        <v>1724</v>
      </c>
    </row>
    <row r="5545" spans="1:5" hidden="1" x14ac:dyDescent="0.25">
      <c r="A5545">
        <v>2331</v>
      </c>
      <c r="B5545" t="s">
        <v>632</v>
      </c>
      <c r="C5545" t="s">
        <v>1684</v>
      </c>
      <c r="D5545" t="str">
        <f t="shared" si="86"/>
        <v>IPEM/MG9202</v>
      </c>
      <c r="E5545" t="s">
        <v>1685</v>
      </c>
    </row>
    <row r="5546" spans="1:5" hidden="1" x14ac:dyDescent="0.25">
      <c r="A5546">
        <v>2331</v>
      </c>
      <c r="B5546" t="s">
        <v>632</v>
      </c>
      <c r="C5546" t="s">
        <v>249</v>
      </c>
      <c r="D5546" t="str">
        <f t="shared" si="86"/>
        <v>IPEM/MG9301</v>
      </c>
      <c r="E5546" t="s">
        <v>1623</v>
      </c>
    </row>
    <row r="5547" spans="1:5" hidden="1" x14ac:dyDescent="0.25">
      <c r="A5547">
        <v>2331</v>
      </c>
      <c r="B5547" t="s">
        <v>632</v>
      </c>
      <c r="C5547" t="s">
        <v>330</v>
      </c>
      <c r="D5547" t="str">
        <f t="shared" si="86"/>
        <v>IPEM/MG9306</v>
      </c>
      <c r="E5547" t="s">
        <v>1686</v>
      </c>
    </row>
    <row r="5548" spans="1:5" hidden="1" x14ac:dyDescent="0.25">
      <c r="A5548">
        <v>2331</v>
      </c>
      <c r="B5548" t="s">
        <v>632</v>
      </c>
      <c r="C5548" t="s">
        <v>359</v>
      </c>
      <c r="D5548" t="str">
        <f t="shared" si="86"/>
        <v>IPEM/MG9309</v>
      </c>
      <c r="E5548" t="s">
        <v>1623</v>
      </c>
    </row>
    <row r="5549" spans="1:5" hidden="1" x14ac:dyDescent="0.25">
      <c r="A5549">
        <v>2331</v>
      </c>
      <c r="B5549" t="s">
        <v>632</v>
      </c>
      <c r="C5549" t="s">
        <v>1687</v>
      </c>
      <c r="D5549" t="str">
        <f t="shared" si="86"/>
        <v>IPEM/MG9399</v>
      </c>
      <c r="E5549" t="s">
        <v>1623</v>
      </c>
    </row>
    <row r="5550" spans="1:5" hidden="1" x14ac:dyDescent="0.25">
      <c r="A5550">
        <v>2351</v>
      </c>
      <c r="B5550" t="s">
        <v>592</v>
      </c>
      <c r="C5550" t="s">
        <v>1770</v>
      </c>
      <c r="D5550" t="str">
        <f t="shared" si="86"/>
        <v>UEMG0409</v>
      </c>
      <c r="E5550" t="s">
        <v>1646</v>
      </c>
    </row>
    <row r="5551" spans="1:5" hidden="1" x14ac:dyDescent="0.25">
      <c r="A5551">
        <v>2351</v>
      </c>
      <c r="B5551" t="s">
        <v>592</v>
      </c>
      <c r="C5551" t="s">
        <v>1595</v>
      </c>
      <c r="D5551" t="str">
        <f t="shared" si="86"/>
        <v>UEMG0810</v>
      </c>
      <c r="E5551" t="s">
        <v>1596</v>
      </c>
    </row>
    <row r="5552" spans="1:5" hidden="1" x14ac:dyDescent="0.25">
      <c r="A5552">
        <v>2351</v>
      </c>
      <c r="B5552" t="s">
        <v>592</v>
      </c>
      <c r="C5552" t="s">
        <v>1737</v>
      </c>
      <c r="D5552" t="str">
        <f t="shared" si="86"/>
        <v>UEMG1307</v>
      </c>
      <c r="E5552" t="s">
        <v>1689</v>
      </c>
    </row>
    <row r="5553" spans="1:5" hidden="1" x14ac:dyDescent="0.25">
      <c r="A5553">
        <v>2351</v>
      </c>
      <c r="B5553" t="s">
        <v>592</v>
      </c>
      <c r="C5553" t="s">
        <v>398</v>
      </c>
      <c r="D5553" t="str">
        <f t="shared" si="86"/>
        <v>UEMG1325</v>
      </c>
      <c r="E5553" t="s">
        <v>1689</v>
      </c>
    </row>
    <row r="5554" spans="1:5" hidden="1" x14ac:dyDescent="0.25">
      <c r="A5554">
        <v>2351</v>
      </c>
      <c r="B5554" t="s">
        <v>592</v>
      </c>
      <c r="C5554" t="s">
        <v>1597</v>
      </c>
      <c r="D5554" t="str">
        <f t="shared" si="86"/>
        <v>UEMG1401</v>
      </c>
      <c r="E5554" t="s">
        <v>43</v>
      </c>
    </row>
    <row r="5555" spans="1:5" hidden="1" x14ac:dyDescent="0.25">
      <c r="A5555">
        <v>2351</v>
      </c>
      <c r="B5555" t="s">
        <v>592</v>
      </c>
      <c r="C5555" t="s">
        <v>221</v>
      </c>
      <c r="D5555" t="str">
        <f t="shared" si="86"/>
        <v>UEMG1801</v>
      </c>
      <c r="E5555" t="s">
        <v>1738</v>
      </c>
    </row>
    <row r="5556" spans="1:5" hidden="1" x14ac:dyDescent="0.25">
      <c r="A5556">
        <v>2351</v>
      </c>
      <c r="B5556" t="s">
        <v>592</v>
      </c>
      <c r="C5556" t="s">
        <v>1807</v>
      </c>
      <c r="D5556" t="str">
        <f t="shared" si="86"/>
        <v>UEMG2001</v>
      </c>
      <c r="E5556" t="s">
        <v>1596</v>
      </c>
    </row>
    <row r="5557" spans="1:5" hidden="1" x14ac:dyDescent="0.25">
      <c r="A5557">
        <v>2351</v>
      </c>
      <c r="B5557" t="s">
        <v>592</v>
      </c>
      <c r="C5557" t="s">
        <v>1599</v>
      </c>
      <c r="D5557" t="str">
        <f t="shared" si="86"/>
        <v>UEMG3001</v>
      </c>
      <c r="E5557" t="s">
        <v>1600</v>
      </c>
    </row>
    <row r="5558" spans="1:5" hidden="1" x14ac:dyDescent="0.25">
      <c r="A5558">
        <v>2351</v>
      </c>
      <c r="B5558" t="s">
        <v>592</v>
      </c>
      <c r="C5558" t="s">
        <v>255</v>
      </c>
      <c r="D5558" t="str">
        <f t="shared" si="86"/>
        <v>UEMG3002</v>
      </c>
      <c r="E5558" t="s">
        <v>1600</v>
      </c>
    </row>
    <row r="5559" spans="1:5" hidden="1" x14ac:dyDescent="0.25">
      <c r="A5559">
        <v>2351</v>
      </c>
      <c r="B5559" t="s">
        <v>592</v>
      </c>
      <c r="C5559" t="s">
        <v>1601</v>
      </c>
      <c r="D5559" t="str">
        <f t="shared" si="86"/>
        <v>UEMG3003</v>
      </c>
      <c r="E5559" t="s">
        <v>1600</v>
      </c>
    </row>
    <row r="5560" spans="1:5" hidden="1" x14ac:dyDescent="0.25">
      <c r="A5560">
        <v>2351</v>
      </c>
      <c r="B5560" t="s">
        <v>592</v>
      </c>
      <c r="C5560" t="s">
        <v>1602</v>
      </c>
      <c r="D5560" t="str">
        <f t="shared" si="86"/>
        <v>UEMG3004</v>
      </c>
      <c r="E5560" t="s">
        <v>1600</v>
      </c>
    </row>
    <row r="5561" spans="1:5" hidden="1" x14ac:dyDescent="0.25">
      <c r="A5561">
        <v>2351</v>
      </c>
      <c r="B5561" t="s">
        <v>592</v>
      </c>
      <c r="C5561" t="s">
        <v>1603</v>
      </c>
      <c r="D5561" t="str">
        <f t="shared" si="86"/>
        <v>UEMG3005</v>
      </c>
      <c r="E5561" t="s">
        <v>1600</v>
      </c>
    </row>
    <row r="5562" spans="1:5" hidden="1" x14ac:dyDescent="0.25">
      <c r="A5562">
        <v>2351</v>
      </c>
      <c r="B5562" t="s">
        <v>592</v>
      </c>
      <c r="C5562" t="s">
        <v>322</v>
      </c>
      <c r="D5562" t="str">
        <f t="shared" si="86"/>
        <v>UEMG3006</v>
      </c>
      <c r="E5562" t="s">
        <v>1600</v>
      </c>
    </row>
    <row r="5563" spans="1:5" hidden="1" x14ac:dyDescent="0.25">
      <c r="A5563">
        <v>2351</v>
      </c>
      <c r="B5563" t="s">
        <v>592</v>
      </c>
      <c r="C5563" t="s">
        <v>332</v>
      </c>
      <c r="D5563" t="str">
        <f t="shared" si="86"/>
        <v>UEMG3007</v>
      </c>
      <c r="E5563" t="s">
        <v>1600</v>
      </c>
    </row>
    <row r="5564" spans="1:5" hidden="1" x14ac:dyDescent="0.25">
      <c r="A5564">
        <v>2351</v>
      </c>
      <c r="B5564" t="s">
        <v>592</v>
      </c>
      <c r="C5564" t="s">
        <v>1604</v>
      </c>
      <c r="D5564" t="str">
        <f t="shared" si="86"/>
        <v>UEMG3008</v>
      </c>
      <c r="E5564" t="s">
        <v>1600</v>
      </c>
    </row>
    <row r="5565" spans="1:5" hidden="1" x14ac:dyDescent="0.25">
      <c r="A5565">
        <v>2351</v>
      </c>
      <c r="B5565" t="s">
        <v>592</v>
      </c>
      <c r="C5565" t="s">
        <v>353</v>
      </c>
      <c r="D5565" t="str">
        <f t="shared" si="86"/>
        <v>UEMG3009</v>
      </c>
      <c r="E5565" t="s">
        <v>1600</v>
      </c>
    </row>
    <row r="5566" spans="1:5" hidden="1" x14ac:dyDescent="0.25">
      <c r="A5566">
        <v>2351</v>
      </c>
      <c r="B5566" t="s">
        <v>592</v>
      </c>
      <c r="C5566" t="s">
        <v>1605</v>
      </c>
      <c r="D5566" t="str">
        <f t="shared" si="86"/>
        <v>UEMG3010</v>
      </c>
      <c r="E5566" t="s">
        <v>1606</v>
      </c>
    </row>
    <row r="5567" spans="1:5" hidden="1" x14ac:dyDescent="0.25">
      <c r="A5567">
        <v>2351</v>
      </c>
      <c r="B5567" t="s">
        <v>592</v>
      </c>
      <c r="C5567" t="s">
        <v>368</v>
      </c>
      <c r="D5567" t="str">
        <f t="shared" si="86"/>
        <v>UEMG3011</v>
      </c>
      <c r="E5567" t="s">
        <v>1600</v>
      </c>
    </row>
    <row r="5568" spans="1:5" hidden="1" x14ac:dyDescent="0.25">
      <c r="A5568">
        <v>2351</v>
      </c>
      <c r="B5568" t="s">
        <v>592</v>
      </c>
      <c r="C5568" t="s">
        <v>137</v>
      </c>
      <c r="D5568" t="str">
        <f t="shared" si="86"/>
        <v>UEMG3012</v>
      </c>
      <c r="E5568" t="s">
        <v>1606</v>
      </c>
    </row>
    <row r="5569" spans="1:5" hidden="1" x14ac:dyDescent="0.25">
      <c r="A5569">
        <v>2351</v>
      </c>
      <c r="B5569" t="s">
        <v>592</v>
      </c>
      <c r="C5569" t="s">
        <v>1607</v>
      </c>
      <c r="D5569" t="str">
        <f t="shared" si="86"/>
        <v>UEMG3013</v>
      </c>
      <c r="E5569" t="s">
        <v>1600</v>
      </c>
    </row>
    <row r="5570" spans="1:5" hidden="1" x14ac:dyDescent="0.25">
      <c r="A5570">
        <v>2351</v>
      </c>
      <c r="B5570" t="s">
        <v>592</v>
      </c>
      <c r="C5570" t="s">
        <v>1608</v>
      </c>
      <c r="D5570" t="str">
        <f t="shared" si="86"/>
        <v>UEMG3015</v>
      </c>
      <c r="E5570" t="s">
        <v>1600</v>
      </c>
    </row>
    <row r="5571" spans="1:5" hidden="1" x14ac:dyDescent="0.25">
      <c r="A5571">
        <v>2351</v>
      </c>
      <c r="B5571" t="s">
        <v>592</v>
      </c>
      <c r="C5571" t="s">
        <v>1609</v>
      </c>
      <c r="D5571" t="str">
        <f t="shared" si="86"/>
        <v>UEMG3016</v>
      </c>
      <c r="E5571" t="s">
        <v>1600</v>
      </c>
    </row>
    <row r="5572" spans="1:5" hidden="1" x14ac:dyDescent="0.25">
      <c r="A5572">
        <v>2351</v>
      </c>
      <c r="B5572" t="s">
        <v>592</v>
      </c>
      <c r="C5572" t="s">
        <v>405</v>
      </c>
      <c r="D5572" t="str">
        <f t="shared" si="86"/>
        <v>UEMG3017</v>
      </c>
      <c r="E5572" t="s">
        <v>1600</v>
      </c>
    </row>
    <row r="5573" spans="1:5" hidden="1" x14ac:dyDescent="0.25">
      <c r="A5573">
        <v>2351</v>
      </c>
      <c r="B5573" t="s">
        <v>592</v>
      </c>
      <c r="C5573" t="s">
        <v>410</v>
      </c>
      <c r="D5573" t="str">
        <f t="shared" ref="D5573:D5636" si="87">CONCATENATE(B5573,LEFT(C5573,4))</f>
        <v>UEMG3018</v>
      </c>
      <c r="E5573" t="s">
        <v>1600</v>
      </c>
    </row>
    <row r="5574" spans="1:5" hidden="1" x14ac:dyDescent="0.25">
      <c r="A5574">
        <v>2351</v>
      </c>
      <c r="B5574" t="s">
        <v>592</v>
      </c>
      <c r="C5574" t="s">
        <v>1610</v>
      </c>
      <c r="D5574" t="str">
        <f t="shared" si="87"/>
        <v>UEMG3019</v>
      </c>
      <c r="E5574" t="s">
        <v>1611</v>
      </c>
    </row>
    <row r="5575" spans="1:5" hidden="1" x14ac:dyDescent="0.25">
      <c r="A5575">
        <v>2351</v>
      </c>
      <c r="B5575" t="s">
        <v>592</v>
      </c>
      <c r="C5575" t="s">
        <v>1612</v>
      </c>
      <c r="D5575" t="str">
        <f t="shared" si="87"/>
        <v>UEMG3020</v>
      </c>
      <c r="E5575" t="s">
        <v>1600</v>
      </c>
    </row>
    <row r="5576" spans="1:5" hidden="1" x14ac:dyDescent="0.25">
      <c r="A5576">
        <v>2351</v>
      </c>
      <c r="B5576" t="s">
        <v>592</v>
      </c>
      <c r="C5576" t="s">
        <v>1613</v>
      </c>
      <c r="D5576" t="str">
        <f t="shared" si="87"/>
        <v>UEMG3021</v>
      </c>
      <c r="E5576" t="s">
        <v>1600</v>
      </c>
    </row>
    <row r="5577" spans="1:5" hidden="1" x14ac:dyDescent="0.25">
      <c r="A5577">
        <v>2351</v>
      </c>
      <c r="B5577" t="s">
        <v>592</v>
      </c>
      <c r="C5577" t="s">
        <v>430</v>
      </c>
      <c r="D5577" t="str">
        <f t="shared" si="87"/>
        <v>UEMG3022</v>
      </c>
      <c r="E5577" t="s">
        <v>1600</v>
      </c>
    </row>
    <row r="5578" spans="1:5" hidden="1" x14ac:dyDescent="0.25">
      <c r="A5578">
        <v>2351</v>
      </c>
      <c r="B5578" t="s">
        <v>592</v>
      </c>
      <c r="C5578" t="s">
        <v>1614</v>
      </c>
      <c r="D5578" t="str">
        <f t="shared" si="87"/>
        <v>UEMG3023</v>
      </c>
      <c r="E5578" t="s">
        <v>1615</v>
      </c>
    </row>
    <row r="5579" spans="1:5" hidden="1" x14ac:dyDescent="0.25">
      <c r="A5579">
        <v>2351</v>
      </c>
      <c r="B5579" t="s">
        <v>592</v>
      </c>
      <c r="C5579" t="s">
        <v>440</v>
      </c>
      <c r="D5579" t="str">
        <f t="shared" si="87"/>
        <v>UEMG3024</v>
      </c>
      <c r="E5579" t="s">
        <v>1600</v>
      </c>
    </row>
    <row r="5580" spans="1:5" hidden="1" x14ac:dyDescent="0.25">
      <c r="A5580">
        <v>2351</v>
      </c>
      <c r="B5580" t="s">
        <v>592</v>
      </c>
      <c r="C5580" t="s">
        <v>1616</v>
      </c>
      <c r="D5580" t="str">
        <f t="shared" si="87"/>
        <v>UEMG3025</v>
      </c>
      <c r="E5580" t="s">
        <v>1600</v>
      </c>
    </row>
    <row r="5581" spans="1:5" hidden="1" x14ac:dyDescent="0.25">
      <c r="A5581">
        <v>2351</v>
      </c>
      <c r="B5581" t="s">
        <v>592</v>
      </c>
      <c r="C5581" t="s">
        <v>1617</v>
      </c>
      <c r="D5581" t="str">
        <f t="shared" si="87"/>
        <v>UEMG3026</v>
      </c>
      <c r="E5581" t="s">
        <v>1615</v>
      </c>
    </row>
    <row r="5582" spans="1:5" hidden="1" x14ac:dyDescent="0.25">
      <c r="A5582">
        <v>2351</v>
      </c>
      <c r="B5582" t="s">
        <v>592</v>
      </c>
      <c r="C5582" t="s">
        <v>1618</v>
      </c>
      <c r="D5582" t="str">
        <f t="shared" si="87"/>
        <v>UEMG3027</v>
      </c>
      <c r="E5582" t="s">
        <v>1600</v>
      </c>
    </row>
    <row r="5583" spans="1:5" hidden="1" x14ac:dyDescent="0.25">
      <c r="A5583">
        <v>2351</v>
      </c>
      <c r="B5583" t="s">
        <v>592</v>
      </c>
      <c r="C5583" t="s">
        <v>1702</v>
      </c>
      <c r="D5583" t="str">
        <f t="shared" si="87"/>
        <v>UEMG3029</v>
      </c>
      <c r="E5583" t="s">
        <v>1600</v>
      </c>
    </row>
    <row r="5584" spans="1:5" hidden="1" x14ac:dyDescent="0.25">
      <c r="A5584">
        <v>2351</v>
      </c>
      <c r="B5584" t="s">
        <v>592</v>
      </c>
      <c r="C5584" t="s">
        <v>466</v>
      </c>
      <c r="D5584" t="str">
        <f t="shared" si="87"/>
        <v>UEMG3030</v>
      </c>
      <c r="E5584" t="s">
        <v>1600</v>
      </c>
    </row>
    <row r="5585" spans="1:5" hidden="1" x14ac:dyDescent="0.25">
      <c r="A5585">
        <v>2351</v>
      </c>
      <c r="B5585" t="s">
        <v>592</v>
      </c>
      <c r="C5585" t="s">
        <v>1756</v>
      </c>
      <c r="D5585" t="str">
        <f t="shared" si="87"/>
        <v>UEMG3036</v>
      </c>
      <c r="E5585" t="s">
        <v>1600</v>
      </c>
    </row>
    <row r="5586" spans="1:5" hidden="1" x14ac:dyDescent="0.25">
      <c r="A5586">
        <v>2351</v>
      </c>
      <c r="B5586" t="s">
        <v>592</v>
      </c>
      <c r="C5586" t="s">
        <v>486</v>
      </c>
      <c r="D5586" t="str">
        <f t="shared" si="87"/>
        <v>UEMG3040</v>
      </c>
      <c r="E5586" t="s">
        <v>1600</v>
      </c>
    </row>
    <row r="5587" spans="1:5" hidden="1" x14ac:dyDescent="0.25">
      <c r="A5587">
        <v>2351</v>
      </c>
      <c r="B5587" t="s">
        <v>592</v>
      </c>
      <c r="C5587" t="s">
        <v>1703</v>
      </c>
      <c r="D5587" t="str">
        <f t="shared" si="87"/>
        <v>UEMG3041</v>
      </c>
      <c r="E5587" t="s">
        <v>1623</v>
      </c>
    </row>
    <row r="5588" spans="1:5" hidden="1" x14ac:dyDescent="0.25">
      <c r="A5588">
        <v>2351</v>
      </c>
      <c r="B5588" t="s">
        <v>592</v>
      </c>
      <c r="C5588" t="s">
        <v>490</v>
      </c>
      <c r="D5588" t="str">
        <f t="shared" si="87"/>
        <v>UEMG3099</v>
      </c>
      <c r="E5588" t="s">
        <v>1600</v>
      </c>
    </row>
    <row r="5589" spans="1:5" hidden="1" x14ac:dyDescent="0.25">
      <c r="A5589">
        <v>2351</v>
      </c>
      <c r="B5589" t="s">
        <v>592</v>
      </c>
      <c r="C5589" t="s">
        <v>293</v>
      </c>
      <c r="D5589" t="str">
        <f t="shared" si="87"/>
        <v>UEMG3104</v>
      </c>
      <c r="E5589" t="s">
        <v>1623</v>
      </c>
    </row>
    <row r="5590" spans="1:5" hidden="1" x14ac:dyDescent="0.25">
      <c r="A5590">
        <v>2351</v>
      </c>
      <c r="B5590" t="s">
        <v>592</v>
      </c>
      <c r="C5590" t="s">
        <v>226</v>
      </c>
      <c r="D5590" t="str">
        <f t="shared" si="87"/>
        <v>UEMG3201</v>
      </c>
      <c r="E5590" t="s">
        <v>1623</v>
      </c>
    </row>
    <row r="5591" spans="1:5" hidden="1" x14ac:dyDescent="0.25">
      <c r="A5591">
        <v>2351</v>
      </c>
      <c r="B5591" t="s">
        <v>592</v>
      </c>
      <c r="C5591" t="s">
        <v>53</v>
      </c>
      <c r="D5591" t="str">
        <f t="shared" si="87"/>
        <v>UEMG3301</v>
      </c>
      <c r="E5591" t="s">
        <v>43</v>
      </c>
    </row>
    <row r="5592" spans="1:5" hidden="1" x14ac:dyDescent="0.25">
      <c r="A5592">
        <v>2351</v>
      </c>
      <c r="B5592" t="s">
        <v>592</v>
      </c>
      <c r="C5592" t="s">
        <v>1626</v>
      </c>
      <c r="D5592" t="str">
        <f t="shared" si="87"/>
        <v>UEMG3302</v>
      </c>
      <c r="E5592" t="s">
        <v>43</v>
      </c>
    </row>
    <row r="5593" spans="1:5" hidden="1" x14ac:dyDescent="0.25">
      <c r="A5593">
        <v>2351</v>
      </c>
      <c r="B5593" t="s">
        <v>592</v>
      </c>
      <c r="C5593" t="s">
        <v>1627</v>
      </c>
      <c r="D5593" t="str">
        <f t="shared" si="87"/>
        <v>UEMG3304</v>
      </c>
      <c r="E5593" t="s">
        <v>43</v>
      </c>
    </row>
    <row r="5594" spans="1:5" hidden="1" x14ac:dyDescent="0.25">
      <c r="A5594">
        <v>2351</v>
      </c>
      <c r="B5594" t="s">
        <v>592</v>
      </c>
      <c r="C5594" t="s">
        <v>308</v>
      </c>
      <c r="D5594" t="str">
        <f t="shared" si="87"/>
        <v>UEMG3305</v>
      </c>
      <c r="E5594" t="s">
        <v>43</v>
      </c>
    </row>
    <row r="5595" spans="1:5" hidden="1" x14ac:dyDescent="0.25">
      <c r="A5595">
        <v>2351</v>
      </c>
      <c r="B5595" t="s">
        <v>592</v>
      </c>
      <c r="C5595" t="s">
        <v>227</v>
      </c>
      <c r="D5595" t="str">
        <f t="shared" si="87"/>
        <v>UEMG3401</v>
      </c>
      <c r="E5595" t="s">
        <v>1739</v>
      </c>
    </row>
    <row r="5596" spans="1:5" hidden="1" x14ac:dyDescent="0.25">
      <c r="A5596">
        <v>2351</v>
      </c>
      <c r="B5596" t="s">
        <v>592</v>
      </c>
      <c r="C5596" t="s">
        <v>279</v>
      </c>
      <c r="D5596" t="str">
        <f t="shared" si="87"/>
        <v>UEMG3403</v>
      </c>
      <c r="E5596" t="s">
        <v>1689</v>
      </c>
    </row>
    <row r="5597" spans="1:5" hidden="1" x14ac:dyDescent="0.25">
      <c r="A5597">
        <v>2351</v>
      </c>
      <c r="B5597" t="s">
        <v>592</v>
      </c>
      <c r="C5597" t="s">
        <v>295</v>
      </c>
      <c r="D5597" t="str">
        <f t="shared" si="87"/>
        <v>UEMG3404</v>
      </c>
      <c r="E5597" t="s">
        <v>1689</v>
      </c>
    </row>
    <row r="5598" spans="1:5" hidden="1" x14ac:dyDescent="0.25">
      <c r="A5598">
        <v>2351</v>
      </c>
      <c r="B5598" t="s">
        <v>592</v>
      </c>
      <c r="C5598" t="s">
        <v>1740</v>
      </c>
      <c r="D5598" t="str">
        <f t="shared" si="87"/>
        <v>UEMG3405</v>
      </c>
      <c r="E5598" t="s">
        <v>1596</v>
      </c>
    </row>
    <row r="5599" spans="1:5" hidden="1" x14ac:dyDescent="0.25">
      <c r="A5599">
        <v>2351</v>
      </c>
      <c r="B5599" t="s">
        <v>592</v>
      </c>
      <c r="C5599" t="s">
        <v>1705</v>
      </c>
      <c r="D5599" t="str">
        <f t="shared" si="87"/>
        <v>UEMG3502</v>
      </c>
      <c r="E5599" t="s">
        <v>1706</v>
      </c>
    </row>
    <row r="5600" spans="1:5" hidden="1" x14ac:dyDescent="0.25">
      <c r="A5600">
        <v>2351</v>
      </c>
      <c r="B5600" t="s">
        <v>592</v>
      </c>
      <c r="C5600" t="s">
        <v>1690</v>
      </c>
      <c r="D5600" t="str">
        <f t="shared" si="87"/>
        <v>UEMG3601</v>
      </c>
      <c r="E5600" t="s">
        <v>64</v>
      </c>
    </row>
    <row r="5601" spans="1:5" hidden="1" x14ac:dyDescent="0.25">
      <c r="A5601">
        <v>2351</v>
      </c>
      <c r="B5601" t="s">
        <v>592</v>
      </c>
      <c r="C5601" t="s">
        <v>296</v>
      </c>
      <c r="D5601" t="str">
        <f t="shared" si="87"/>
        <v>UEMG3604</v>
      </c>
      <c r="E5601" t="s">
        <v>43</v>
      </c>
    </row>
    <row r="5602" spans="1:5" hidden="1" x14ac:dyDescent="0.25">
      <c r="A5602">
        <v>2351</v>
      </c>
      <c r="B5602" t="s">
        <v>592</v>
      </c>
      <c r="C5602" t="s">
        <v>354</v>
      </c>
      <c r="D5602" t="str">
        <f t="shared" si="87"/>
        <v>UEMG3610</v>
      </c>
      <c r="E5602" t="s">
        <v>1623</v>
      </c>
    </row>
    <row r="5603" spans="1:5" hidden="1" x14ac:dyDescent="0.25">
      <c r="A5603">
        <v>2351</v>
      </c>
      <c r="B5603" t="s">
        <v>592</v>
      </c>
      <c r="C5603" t="s">
        <v>1707</v>
      </c>
      <c r="D5603" t="str">
        <f t="shared" si="87"/>
        <v>UEMG3611</v>
      </c>
      <c r="E5603" t="s">
        <v>1692</v>
      </c>
    </row>
    <row r="5604" spans="1:5" hidden="1" x14ac:dyDescent="0.25">
      <c r="A5604">
        <v>2351</v>
      </c>
      <c r="B5604" t="s">
        <v>592</v>
      </c>
      <c r="C5604" t="s">
        <v>1628</v>
      </c>
      <c r="D5604" t="str">
        <f t="shared" si="87"/>
        <v>UEMG3612</v>
      </c>
      <c r="E5604" t="s">
        <v>1623</v>
      </c>
    </row>
    <row r="5605" spans="1:5" hidden="1" x14ac:dyDescent="0.25">
      <c r="A5605">
        <v>2351</v>
      </c>
      <c r="B5605" t="s">
        <v>592</v>
      </c>
      <c r="C5605" t="s">
        <v>411</v>
      </c>
      <c r="D5605" t="str">
        <f t="shared" si="87"/>
        <v>UEMG3619</v>
      </c>
      <c r="E5605" t="s">
        <v>1623</v>
      </c>
    </row>
    <row r="5606" spans="1:5" hidden="1" x14ac:dyDescent="0.25">
      <c r="A5606">
        <v>2351</v>
      </c>
      <c r="B5606" t="s">
        <v>592</v>
      </c>
      <c r="C5606" t="s">
        <v>1818</v>
      </c>
      <c r="D5606" t="str">
        <f t="shared" si="87"/>
        <v>UEMG3624</v>
      </c>
      <c r="E5606" t="s">
        <v>1623</v>
      </c>
    </row>
    <row r="5607" spans="1:5" hidden="1" x14ac:dyDescent="0.25">
      <c r="A5607">
        <v>2351</v>
      </c>
      <c r="B5607" t="s">
        <v>592</v>
      </c>
      <c r="C5607" t="s">
        <v>446</v>
      </c>
      <c r="D5607" t="str">
        <f t="shared" si="87"/>
        <v>UEMG3626</v>
      </c>
      <c r="E5607" t="s">
        <v>1600</v>
      </c>
    </row>
    <row r="5608" spans="1:5" hidden="1" x14ac:dyDescent="0.25">
      <c r="A5608">
        <v>2351</v>
      </c>
      <c r="B5608" t="s">
        <v>592</v>
      </c>
      <c r="C5608" t="s">
        <v>470</v>
      </c>
      <c r="D5608" t="str">
        <f t="shared" si="87"/>
        <v>UEMG3699</v>
      </c>
      <c r="E5608" t="s">
        <v>1623</v>
      </c>
    </row>
    <row r="5609" spans="1:5" hidden="1" x14ac:dyDescent="0.25">
      <c r="A5609">
        <v>2351</v>
      </c>
      <c r="B5609" t="s">
        <v>592</v>
      </c>
      <c r="C5609" t="s">
        <v>1629</v>
      </c>
      <c r="D5609" t="str">
        <f t="shared" si="87"/>
        <v>UEMG3701</v>
      </c>
      <c r="E5609" t="s">
        <v>102</v>
      </c>
    </row>
    <row r="5610" spans="1:5" hidden="1" x14ac:dyDescent="0.25">
      <c r="A5610">
        <v>2351</v>
      </c>
      <c r="B5610" t="s">
        <v>592</v>
      </c>
      <c r="C5610" t="s">
        <v>1693</v>
      </c>
      <c r="D5610" t="str">
        <f t="shared" si="87"/>
        <v>UEMG3702</v>
      </c>
      <c r="E5610" t="s">
        <v>1630</v>
      </c>
    </row>
    <row r="5611" spans="1:5" hidden="1" x14ac:dyDescent="0.25">
      <c r="A5611">
        <v>2351</v>
      </c>
      <c r="B5611" t="s">
        <v>592</v>
      </c>
      <c r="C5611" t="s">
        <v>1631</v>
      </c>
      <c r="D5611" t="str">
        <f t="shared" si="87"/>
        <v>UEMG3703</v>
      </c>
      <c r="E5611" t="s">
        <v>116</v>
      </c>
    </row>
    <row r="5612" spans="1:5" hidden="1" x14ac:dyDescent="0.25">
      <c r="A5612">
        <v>2351</v>
      </c>
      <c r="B5612" t="s">
        <v>592</v>
      </c>
      <c r="C5612" t="s">
        <v>1632</v>
      </c>
      <c r="D5612" t="str">
        <f t="shared" si="87"/>
        <v>UEMG3704</v>
      </c>
      <c r="E5612" t="s">
        <v>116</v>
      </c>
    </row>
    <row r="5613" spans="1:5" hidden="1" x14ac:dyDescent="0.25">
      <c r="A5613">
        <v>2351</v>
      </c>
      <c r="B5613" t="s">
        <v>592</v>
      </c>
      <c r="C5613" t="s">
        <v>1633</v>
      </c>
      <c r="D5613" t="str">
        <f t="shared" si="87"/>
        <v>UEMG3705</v>
      </c>
      <c r="E5613" t="s">
        <v>116</v>
      </c>
    </row>
    <row r="5614" spans="1:5" hidden="1" x14ac:dyDescent="0.25">
      <c r="A5614">
        <v>2351</v>
      </c>
      <c r="B5614" t="s">
        <v>592</v>
      </c>
      <c r="C5614" t="s">
        <v>232</v>
      </c>
      <c r="D5614" t="str">
        <f t="shared" si="87"/>
        <v>UEMG3901</v>
      </c>
      <c r="E5614" t="s">
        <v>1596</v>
      </c>
    </row>
    <row r="5615" spans="1:5" hidden="1" x14ac:dyDescent="0.25">
      <c r="A5615">
        <v>2351</v>
      </c>
      <c r="B5615" t="s">
        <v>592</v>
      </c>
      <c r="C5615" t="s">
        <v>1634</v>
      </c>
      <c r="D5615" t="str">
        <f t="shared" si="87"/>
        <v>UEMG3903</v>
      </c>
      <c r="E5615" t="s">
        <v>1623</v>
      </c>
    </row>
    <row r="5616" spans="1:5" hidden="1" x14ac:dyDescent="0.25">
      <c r="A5616">
        <v>2351</v>
      </c>
      <c r="B5616" t="s">
        <v>592</v>
      </c>
      <c r="C5616" t="s">
        <v>298</v>
      </c>
      <c r="D5616" t="str">
        <f t="shared" si="87"/>
        <v>UEMG3904</v>
      </c>
      <c r="E5616" t="s">
        <v>1623</v>
      </c>
    </row>
    <row r="5617" spans="1:5" hidden="1" x14ac:dyDescent="0.25">
      <c r="A5617">
        <v>2351</v>
      </c>
      <c r="B5617" t="s">
        <v>592</v>
      </c>
      <c r="C5617" t="s">
        <v>325</v>
      </c>
      <c r="D5617" t="str">
        <f t="shared" si="87"/>
        <v>UEMG3906</v>
      </c>
      <c r="E5617" t="s">
        <v>1623</v>
      </c>
    </row>
    <row r="5618" spans="1:5" hidden="1" x14ac:dyDescent="0.25">
      <c r="A5618">
        <v>2351</v>
      </c>
      <c r="B5618" t="s">
        <v>592</v>
      </c>
      <c r="C5618" t="s">
        <v>1635</v>
      </c>
      <c r="D5618" t="str">
        <f t="shared" si="87"/>
        <v>UEMG3908</v>
      </c>
      <c r="E5618" t="s">
        <v>1623</v>
      </c>
    </row>
    <row r="5619" spans="1:5" hidden="1" x14ac:dyDescent="0.25">
      <c r="A5619">
        <v>2351</v>
      </c>
      <c r="B5619" t="s">
        <v>592</v>
      </c>
      <c r="C5619" t="s">
        <v>345</v>
      </c>
      <c r="D5619" t="str">
        <f t="shared" si="87"/>
        <v>UEMG3910</v>
      </c>
      <c r="E5619" t="s">
        <v>1623</v>
      </c>
    </row>
    <row r="5620" spans="1:5" hidden="1" x14ac:dyDescent="0.25">
      <c r="A5620">
        <v>2351</v>
      </c>
      <c r="B5620" t="s">
        <v>592</v>
      </c>
      <c r="C5620" t="s">
        <v>355</v>
      </c>
      <c r="D5620" t="str">
        <f t="shared" si="87"/>
        <v>UEMG3911</v>
      </c>
      <c r="E5620" t="s">
        <v>1623</v>
      </c>
    </row>
    <row r="5621" spans="1:5" hidden="1" x14ac:dyDescent="0.25">
      <c r="A5621">
        <v>2351</v>
      </c>
      <c r="B5621" t="s">
        <v>592</v>
      </c>
      <c r="C5621" t="s">
        <v>1636</v>
      </c>
      <c r="D5621" t="str">
        <f t="shared" si="87"/>
        <v>UEMG3912</v>
      </c>
      <c r="E5621" t="s">
        <v>1637</v>
      </c>
    </row>
    <row r="5622" spans="1:5" hidden="1" x14ac:dyDescent="0.25">
      <c r="A5622">
        <v>2351</v>
      </c>
      <c r="B5622" t="s">
        <v>592</v>
      </c>
      <c r="C5622" t="s">
        <v>1638</v>
      </c>
      <c r="D5622" t="str">
        <f t="shared" si="87"/>
        <v>UEMG3913</v>
      </c>
      <c r="E5622" t="s">
        <v>1637</v>
      </c>
    </row>
    <row r="5623" spans="1:5" hidden="1" x14ac:dyDescent="0.25">
      <c r="A5623">
        <v>2351</v>
      </c>
      <c r="B5623" t="s">
        <v>592</v>
      </c>
      <c r="C5623" t="s">
        <v>376</v>
      </c>
      <c r="D5623" t="str">
        <f t="shared" si="87"/>
        <v>UEMG3914</v>
      </c>
      <c r="E5623" t="s">
        <v>1648</v>
      </c>
    </row>
    <row r="5624" spans="1:5" hidden="1" x14ac:dyDescent="0.25">
      <c r="A5624">
        <v>2351</v>
      </c>
      <c r="B5624" t="s">
        <v>592</v>
      </c>
      <c r="C5624" t="s">
        <v>383</v>
      </c>
      <c r="D5624" t="str">
        <f t="shared" si="87"/>
        <v>UEMG3915</v>
      </c>
      <c r="E5624" t="s">
        <v>1637</v>
      </c>
    </row>
    <row r="5625" spans="1:5" hidden="1" x14ac:dyDescent="0.25">
      <c r="A5625">
        <v>2351</v>
      </c>
      <c r="B5625" t="s">
        <v>592</v>
      </c>
      <c r="C5625" t="s">
        <v>1639</v>
      </c>
      <c r="D5625" t="str">
        <f t="shared" si="87"/>
        <v>UEMG3917</v>
      </c>
      <c r="E5625" t="s">
        <v>1615</v>
      </c>
    </row>
    <row r="5626" spans="1:5" hidden="1" x14ac:dyDescent="0.25">
      <c r="A5626">
        <v>2351</v>
      </c>
      <c r="B5626" t="s">
        <v>592</v>
      </c>
      <c r="C5626" t="s">
        <v>1640</v>
      </c>
      <c r="D5626" t="str">
        <f t="shared" si="87"/>
        <v>UEMG3918</v>
      </c>
      <c r="E5626" t="s">
        <v>1615</v>
      </c>
    </row>
    <row r="5627" spans="1:5" hidden="1" x14ac:dyDescent="0.25">
      <c r="A5627">
        <v>2351</v>
      </c>
      <c r="B5627" t="s">
        <v>592</v>
      </c>
      <c r="C5627" t="s">
        <v>1641</v>
      </c>
      <c r="D5627" t="str">
        <f t="shared" si="87"/>
        <v>UEMG3919</v>
      </c>
      <c r="E5627" t="s">
        <v>2102</v>
      </c>
    </row>
    <row r="5628" spans="1:5" hidden="1" x14ac:dyDescent="0.25">
      <c r="A5628">
        <v>2351</v>
      </c>
      <c r="B5628" t="s">
        <v>592</v>
      </c>
      <c r="C5628" t="s">
        <v>1694</v>
      </c>
      <c r="D5628" t="str">
        <f t="shared" si="87"/>
        <v>UEMG3920</v>
      </c>
      <c r="E5628" t="s">
        <v>1692</v>
      </c>
    </row>
    <row r="5629" spans="1:5" hidden="1" x14ac:dyDescent="0.25">
      <c r="A5629">
        <v>2351</v>
      </c>
      <c r="B5629" t="s">
        <v>592</v>
      </c>
      <c r="C5629" t="s">
        <v>1642</v>
      </c>
      <c r="D5629" t="str">
        <f t="shared" si="87"/>
        <v>UEMG3921</v>
      </c>
      <c r="E5629" t="s">
        <v>2102</v>
      </c>
    </row>
    <row r="5630" spans="1:5" hidden="1" x14ac:dyDescent="0.25">
      <c r="A5630">
        <v>2351</v>
      </c>
      <c r="B5630" t="s">
        <v>592</v>
      </c>
      <c r="C5630" t="s">
        <v>1643</v>
      </c>
      <c r="D5630" t="str">
        <f t="shared" si="87"/>
        <v>UEMG3922</v>
      </c>
      <c r="E5630" t="s">
        <v>1611</v>
      </c>
    </row>
    <row r="5631" spans="1:5" hidden="1" x14ac:dyDescent="0.25">
      <c r="A5631">
        <v>2351</v>
      </c>
      <c r="B5631" t="s">
        <v>592</v>
      </c>
      <c r="C5631" t="s">
        <v>1644</v>
      </c>
      <c r="D5631" t="str">
        <f t="shared" si="87"/>
        <v>UEMG3924</v>
      </c>
      <c r="E5631" t="s">
        <v>1645</v>
      </c>
    </row>
    <row r="5632" spans="1:5" hidden="1" x14ac:dyDescent="0.25">
      <c r="A5632">
        <v>2351</v>
      </c>
      <c r="B5632" t="s">
        <v>592</v>
      </c>
      <c r="C5632" t="s">
        <v>437</v>
      </c>
      <c r="D5632" t="str">
        <f t="shared" si="87"/>
        <v>UEMG3925</v>
      </c>
      <c r="E5632" t="s">
        <v>1646</v>
      </c>
    </row>
    <row r="5633" spans="1:5" hidden="1" x14ac:dyDescent="0.25">
      <c r="A5633">
        <v>2351</v>
      </c>
      <c r="B5633" t="s">
        <v>592</v>
      </c>
      <c r="C5633" t="s">
        <v>442</v>
      </c>
      <c r="D5633" t="str">
        <f t="shared" si="87"/>
        <v>UEMG3926</v>
      </c>
      <c r="E5633" t="s">
        <v>1646</v>
      </c>
    </row>
    <row r="5634" spans="1:5" hidden="1" x14ac:dyDescent="0.25">
      <c r="A5634">
        <v>2351</v>
      </c>
      <c r="B5634" t="s">
        <v>592</v>
      </c>
      <c r="C5634" t="s">
        <v>1647</v>
      </c>
      <c r="D5634" t="str">
        <f t="shared" si="87"/>
        <v>UEMG3927</v>
      </c>
      <c r="E5634" t="s">
        <v>1648</v>
      </c>
    </row>
    <row r="5635" spans="1:5" hidden="1" x14ac:dyDescent="0.25">
      <c r="A5635">
        <v>2351</v>
      </c>
      <c r="B5635" t="s">
        <v>592</v>
      </c>
      <c r="C5635" t="s">
        <v>1649</v>
      </c>
      <c r="D5635" t="str">
        <f t="shared" si="87"/>
        <v>UEMG3929</v>
      </c>
      <c r="E5635" t="s">
        <v>1606</v>
      </c>
    </row>
    <row r="5636" spans="1:5" hidden="1" x14ac:dyDescent="0.25">
      <c r="A5636">
        <v>2351</v>
      </c>
      <c r="B5636" t="s">
        <v>592</v>
      </c>
      <c r="C5636" t="s">
        <v>457</v>
      </c>
      <c r="D5636" t="str">
        <f t="shared" si="87"/>
        <v>UEMG3930</v>
      </c>
      <c r="E5636" t="s">
        <v>1646</v>
      </c>
    </row>
    <row r="5637" spans="1:5" hidden="1" x14ac:dyDescent="0.25">
      <c r="A5637">
        <v>2351</v>
      </c>
      <c r="B5637" t="s">
        <v>592</v>
      </c>
      <c r="C5637" t="s">
        <v>1650</v>
      </c>
      <c r="D5637" t="str">
        <f t="shared" ref="D5637:D5700" si="88">CONCATENATE(B5637,LEFT(C5637,4))</f>
        <v>UEMG3931</v>
      </c>
      <c r="E5637" t="s">
        <v>1623</v>
      </c>
    </row>
    <row r="5638" spans="1:5" hidden="1" x14ac:dyDescent="0.25">
      <c r="A5638">
        <v>2351</v>
      </c>
      <c r="B5638" t="s">
        <v>592</v>
      </c>
      <c r="C5638" t="s">
        <v>1652</v>
      </c>
      <c r="D5638" t="str">
        <f t="shared" si="88"/>
        <v>UEMG3936</v>
      </c>
      <c r="E5638" t="s">
        <v>93</v>
      </c>
    </row>
    <row r="5639" spans="1:5" hidden="1" x14ac:dyDescent="0.25">
      <c r="A5639">
        <v>2351</v>
      </c>
      <c r="B5639" t="s">
        <v>592</v>
      </c>
      <c r="C5639" t="s">
        <v>1653</v>
      </c>
      <c r="D5639" t="str">
        <f t="shared" si="88"/>
        <v>UEMG3940</v>
      </c>
      <c r="E5639" t="s">
        <v>1648</v>
      </c>
    </row>
    <row r="5640" spans="1:5" hidden="1" x14ac:dyDescent="0.25">
      <c r="A5640">
        <v>2351</v>
      </c>
      <c r="B5640" t="s">
        <v>592</v>
      </c>
      <c r="C5640" t="s">
        <v>479</v>
      </c>
      <c r="D5640" t="str">
        <f t="shared" si="88"/>
        <v>UEMG3941</v>
      </c>
      <c r="E5640" t="s">
        <v>1623</v>
      </c>
    </row>
    <row r="5641" spans="1:5" hidden="1" x14ac:dyDescent="0.25">
      <c r="A5641">
        <v>2351</v>
      </c>
      <c r="B5641" t="s">
        <v>592</v>
      </c>
      <c r="C5641" t="s">
        <v>481</v>
      </c>
      <c r="D5641" t="str">
        <f t="shared" si="88"/>
        <v>UEMG3942</v>
      </c>
      <c r="E5641" t="s">
        <v>1623</v>
      </c>
    </row>
    <row r="5642" spans="1:5" hidden="1" x14ac:dyDescent="0.25">
      <c r="A5642">
        <v>2351</v>
      </c>
      <c r="B5642" t="s">
        <v>592</v>
      </c>
      <c r="C5642" t="s">
        <v>1654</v>
      </c>
      <c r="D5642" t="str">
        <f t="shared" si="88"/>
        <v>UEMG3943</v>
      </c>
      <c r="E5642" t="s">
        <v>1615</v>
      </c>
    </row>
    <row r="5643" spans="1:5" hidden="1" x14ac:dyDescent="0.25">
      <c r="A5643">
        <v>2351</v>
      </c>
      <c r="B5643" t="s">
        <v>592</v>
      </c>
      <c r="C5643" t="s">
        <v>491</v>
      </c>
      <c r="D5643" t="str">
        <f t="shared" si="88"/>
        <v>UEMG3948</v>
      </c>
      <c r="E5643" t="s">
        <v>1645</v>
      </c>
    </row>
    <row r="5644" spans="1:5" hidden="1" x14ac:dyDescent="0.25">
      <c r="A5644">
        <v>2351</v>
      </c>
      <c r="B5644" t="s">
        <v>592</v>
      </c>
      <c r="C5644" t="s">
        <v>1715</v>
      </c>
      <c r="D5644" t="str">
        <f t="shared" si="88"/>
        <v>UEMG3949</v>
      </c>
      <c r="E5644" t="s">
        <v>1645</v>
      </c>
    </row>
    <row r="5645" spans="1:5" hidden="1" x14ac:dyDescent="0.25">
      <c r="A5645">
        <v>2351</v>
      </c>
      <c r="B5645" t="s">
        <v>592</v>
      </c>
      <c r="C5645" t="s">
        <v>1701</v>
      </c>
      <c r="D5645" t="str">
        <f t="shared" si="88"/>
        <v>UEMG3952</v>
      </c>
      <c r="E5645" t="s">
        <v>64</v>
      </c>
    </row>
    <row r="5646" spans="1:5" hidden="1" x14ac:dyDescent="0.25">
      <c r="A5646">
        <v>2351</v>
      </c>
      <c r="B5646" t="s">
        <v>592</v>
      </c>
      <c r="C5646" t="s">
        <v>495</v>
      </c>
      <c r="D5646" t="str">
        <f t="shared" si="88"/>
        <v>UEMG3953</v>
      </c>
      <c r="E5646" t="s">
        <v>1645</v>
      </c>
    </row>
    <row r="5647" spans="1:5" hidden="1" x14ac:dyDescent="0.25">
      <c r="A5647">
        <v>2351</v>
      </c>
      <c r="B5647" t="s">
        <v>592</v>
      </c>
      <c r="C5647" t="s">
        <v>1656</v>
      </c>
      <c r="D5647" t="str">
        <f t="shared" si="88"/>
        <v>UEMG3959</v>
      </c>
      <c r="E5647" t="s">
        <v>1623</v>
      </c>
    </row>
    <row r="5648" spans="1:5" hidden="1" x14ac:dyDescent="0.25">
      <c r="A5648">
        <v>2351</v>
      </c>
      <c r="B5648" t="s">
        <v>592</v>
      </c>
      <c r="C5648" t="s">
        <v>1657</v>
      </c>
      <c r="D5648" t="str">
        <f t="shared" si="88"/>
        <v>UEMG3961</v>
      </c>
      <c r="E5648" t="s">
        <v>1630</v>
      </c>
    </row>
    <row r="5649" spans="1:5" hidden="1" x14ac:dyDescent="0.25">
      <c r="A5649">
        <v>2351</v>
      </c>
      <c r="B5649" t="s">
        <v>592</v>
      </c>
      <c r="C5649" t="s">
        <v>1696</v>
      </c>
      <c r="D5649" t="str">
        <f t="shared" si="88"/>
        <v>UEMG3962</v>
      </c>
      <c r="E5649" t="s">
        <v>2103</v>
      </c>
    </row>
    <row r="5650" spans="1:5" hidden="1" x14ac:dyDescent="0.25">
      <c r="A5650">
        <v>2351</v>
      </c>
      <c r="B5650" t="s">
        <v>592</v>
      </c>
      <c r="C5650" t="s">
        <v>1718</v>
      </c>
      <c r="D5650" t="str">
        <f t="shared" si="88"/>
        <v>UEMG3964</v>
      </c>
      <c r="E5650" t="s">
        <v>1623</v>
      </c>
    </row>
    <row r="5651" spans="1:5" hidden="1" x14ac:dyDescent="0.25">
      <c r="A5651">
        <v>2351</v>
      </c>
      <c r="B5651" t="s">
        <v>592</v>
      </c>
      <c r="C5651" t="s">
        <v>1659</v>
      </c>
      <c r="D5651" t="str">
        <f t="shared" si="88"/>
        <v>UEMG3969</v>
      </c>
      <c r="E5651" t="s">
        <v>1637</v>
      </c>
    </row>
    <row r="5652" spans="1:5" hidden="1" x14ac:dyDescent="0.25">
      <c r="A5652">
        <v>2351</v>
      </c>
      <c r="B5652" t="s">
        <v>592</v>
      </c>
      <c r="C5652" t="s">
        <v>1660</v>
      </c>
      <c r="D5652" t="str">
        <f t="shared" si="88"/>
        <v>UEMG3970</v>
      </c>
      <c r="E5652" t="s">
        <v>1648</v>
      </c>
    </row>
    <row r="5653" spans="1:5" hidden="1" x14ac:dyDescent="0.25">
      <c r="A5653">
        <v>2351</v>
      </c>
      <c r="B5653" t="s">
        <v>592</v>
      </c>
      <c r="C5653" t="s">
        <v>512</v>
      </c>
      <c r="D5653" t="str">
        <f t="shared" si="88"/>
        <v>UEMG3971</v>
      </c>
      <c r="E5653" t="s">
        <v>2103</v>
      </c>
    </row>
    <row r="5654" spans="1:5" hidden="1" x14ac:dyDescent="0.25">
      <c r="A5654">
        <v>2351</v>
      </c>
      <c r="B5654" t="s">
        <v>592</v>
      </c>
      <c r="C5654" t="s">
        <v>519</v>
      </c>
      <c r="D5654" t="str">
        <f t="shared" si="88"/>
        <v>UEMG3978</v>
      </c>
      <c r="E5654" t="s">
        <v>102</v>
      </c>
    </row>
    <row r="5655" spans="1:5" hidden="1" x14ac:dyDescent="0.25">
      <c r="A5655">
        <v>2351</v>
      </c>
      <c r="B5655" t="s">
        <v>592</v>
      </c>
      <c r="C5655" t="s">
        <v>520</v>
      </c>
      <c r="D5655" t="str">
        <f t="shared" si="88"/>
        <v>UEMG3981</v>
      </c>
      <c r="E5655" t="s">
        <v>1623</v>
      </c>
    </row>
    <row r="5656" spans="1:5" hidden="1" x14ac:dyDescent="0.25">
      <c r="A5656">
        <v>2351</v>
      </c>
      <c r="B5656" t="s">
        <v>592</v>
      </c>
      <c r="C5656" t="s">
        <v>1661</v>
      </c>
      <c r="D5656" t="str">
        <f t="shared" si="88"/>
        <v>UEMG3987</v>
      </c>
      <c r="E5656" t="s">
        <v>1615</v>
      </c>
    </row>
    <row r="5657" spans="1:5" hidden="1" x14ac:dyDescent="0.25">
      <c r="A5657">
        <v>2351</v>
      </c>
      <c r="B5657" t="s">
        <v>592</v>
      </c>
      <c r="C5657" t="s">
        <v>530</v>
      </c>
      <c r="D5657" t="str">
        <f t="shared" si="88"/>
        <v>UEMG3991</v>
      </c>
      <c r="E5657" t="s">
        <v>1623</v>
      </c>
    </row>
    <row r="5658" spans="1:5" hidden="1" x14ac:dyDescent="0.25">
      <c r="A5658">
        <v>2351</v>
      </c>
      <c r="B5658" t="s">
        <v>592</v>
      </c>
      <c r="C5658" t="s">
        <v>1764</v>
      </c>
      <c r="D5658" t="str">
        <f t="shared" si="88"/>
        <v>UEMG3993</v>
      </c>
      <c r="E5658" t="s">
        <v>1623</v>
      </c>
    </row>
    <row r="5659" spans="1:5" hidden="1" x14ac:dyDescent="0.25">
      <c r="A5659">
        <v>2351</v>
      </c>
      <c r="B5659" t="s">
        <v>592</v>
      </c>
      <c r="C5659" t="s">
        <v>1663</v>
      </c>
      <c r="D5659" t="str">
        <f t="shared" si="88"/>
        <v>UEMG3999</v>
      </c>
      <c r="E5659" t="s">
        <v>1623</v>
      </c>
    </row>
    <row r="5660" spans="1:5" hidden="1" x14ac:dyDescent="0.25">
      <c r="A5660">
        <v>2351</v>
      </c>
      <c r="B5660" t="s">
        <v>592</v>
      </c>
      <c r="C5660" t="s">
        <v>1664</v>
      </c>
      <c r="D5660" t="str">
        <f t="shared" si="88"/>
        <v>UEMG4002</v>
      </c>
      <c r="E5660" t="s">
        <v>1648</v>
      </c>
    </row>
    <row r="5661" spans="1:5" hidden="1" x14ac:dyDescent="0.25">
      <c r="A5661">
        <v>2351</v>
      </c>
      <c r="B5661" t="s">
        <v>592</v>
      </c>
      <c r="C5661" t="s">
        <v>1665</v>
      </c>
      <c r="D5661" t="str">
        <f t="shared" si="88"/>
        <v>UEMG4003</v>
      </c>
      <c r="E5661" t="s">
        <v>93</v>
      </c>
    </row>
    <row r="5662" spans="1:5" hidden="1" x14ac:dyDescent="0.25">
      <c r="A5662">
        <v>2351</v>
      </c>
      <c r="B5662" t="s">
        <v>592</v>
      </c>
      <c r="C5662" t="s">
        <v>1666</v>
      </c>
      <c r="D5662" t="str">
        <f t="shared" si="88"/>
        <v>UEMG4004</v>
      </c>
      <c r="E5662" t="s">
        <v>1648</v>
      </c>
    </row>
    <row r="5663" spans="1:5" hidden="1" x14ac:dyDescent="0.25">
      <c r="A5663">
        <v>2351</v>
      </c>
      <c r="B5663" t="s">
        <v>592</v>
      </c>
      <c r="C5663" t="s">
        <v>1667</v>
      </c>
      <c r="D5663" t="str">
        <f t="shared" si="88"/>
        <v>UEMG4005</v>
      </c>
      <c r="E5663" t="s">
        <v>1648</v>
      </c>
    </row>
    <row r="5664" spans="1:5" hidden="1" x14ac:dyDescent="0.25">
      <c r="A5664">
        <v>2351</v>
      </c>
      <c r="B5664" t="s">
        <v>592</v>
      </c>
      <c r="C5664" t="s">
        <v>1698</v>
      </c>
      <c r="D5664" t="str">
        <f t="shared" si="88"/>
        <v>UEMG4006</v>
      </c>
      <c r="E5664" t="s">
        <v>1675</v>
      </c>
    </row>
    <row r="5665" spans="1:5" hidden="1" x14ac:dyDescent="0.25">
      <c r="A5665">
        <v>2351</v>
      </c>
      <c r="B5665" t="s">
        <v>592</v>
      </c>
      <c r="C5665" t="s">
        <v>1719</v>
      </c>
      <c r="D5665" t="str">
        <f t="shared" si="88"/>
        <v>UEMG4101</v>
      </c>
      <c r="E5665" t="s">
        <v>1623</v>
      </c>
    </row>
    <row r="5666" spans="1:5" hidden="1" x14ac:dyDescent="0.25">
      <c r="A5666">
        <v>2351</v>
      </c>
      <c r="B5666" t="s">
        <v>592</v>
      </c>
      <c r="C5666" t="s">
        <v>1749</v>
      </c>
      <c r="D5666" t="str">
        <f t="shared" si="88"/>
        <v>UEMG4201</v>
      </c>
      <c r="E5666" t="s">
        <v>1728</v>
      </c>
    </row>
    <row r="5667" spans="1:5" hidden="1" x14ac:dyDescent="0.25">
      <c r="A5667">
        <v>2351</v>
      </c>
      <c r="B5667" t="s">
        <v>592</v>
      </c>
      <c r="C5667" t="s">
        <v>1750</v>
      </c>
      <c r="D5667" t="str">
        <f t="shared" si="88"/>
        <v>UEMG4301</v>
      </c>
      <c r="E5667" t="s">
        <v>1751</v>
      </c>
    </row>
    <row r="5668" spans="1:5" hidden="1" x14ac:dyDescent="0.25">
      <c r="A5668">
        <v>2351</v>
      </c>
      <c r="B5668" t="s">
        <v>592</v>
      </c>
      <c r="C5668" t="s">
        <v>1668</v>
      </c>
      <c r="D5668" t="str">
        <f t="shared" si="88"/>
        <v>UEMG4701</v>
      </c>
      <c r="E5668" t="s">
        <v>1669</v>
      </c>
    </row>
    <row r="5669" spans="1:5" hidden="1" x14ac:dyDescent="0.25">
      <c r="A5669">
        <v>2351</v>
      </c>
      <c r="B5669" t="s">
        <v>592</v>
      </c>
      <c r="C5669" t="s">
        <v>264</v>
      </c>
      <c r="D5669" t="str">
        <f t="shared" si="88"/>
        <v>UEMG4703</v>
      </c>
      <c r="E5669" t="s">
        <v>1669</v>
      </c>
    </row>
    <row r="5670" spans="1:5" hidden="1" x14ac:dyDescent="0.25">
      <c r="A5670">
        <v>2351</v>
      </c>
      <c r="B5670" t="s">
        <v>592</v>
      </c>
      <c r="C5670" t="s">
        <v>315</v>
      </c>
      <c r="D5670" t="str">
        <f t="shared" si="88"/>
        <v>UEMG4706</v>
      </c>
      <c r="E5670" t="s">
        <v>1669</v>
      </c>
    </row>
    <row r="5671" spans="1:5" hidden="1" x14ac:dyDescent="0.25">
      <c r="A5671">
        <v>2351</v>
      </c>
      <c r="B5671" t="s">
        <v>592</v>
      </c>
      <c r="C5671" t="s">
        <v>327</v>
      </c>
      <c r="D5671" t="str">
        <f t="shared" si="88"/>
        <v>UEMG4707</v>
      </c>
      <c r="E5671" t="s">
        <v>1669</v>
      </c>
    </row>
    <row r="5672" spans="1:5" hidden="1" x14ac:dyDescent="0.25">
      <c r="A5672">
        <v>2351</v>
      </c>
      <c r="B5672" t="s">
        <v>592</v>
      </c>
      <c r="C5672" t="s">
        <v>363</v>
      </c>
      <c r="D5672" t="str">
        <f t="shared" si="88"/>
        <v>UEMG4799</v>
      </c>
      <c r="E5672" t="s">
        <v>1669</v>
      </c>
    </row>
    <row r="5673" spans="1:5" hidden="1" x14ac:dyDescent="0.25">
      <c r="A5673">
        <v>2351</v>
      </c>
      <c r="B5673" t="s">
        <v>592</v>
      </c>
      <c r="C5673" t="s">
        <v>239</v>
      </c>
      <c r="D5673" t="str">
        <f t="shared" si="88"/>
        <v>UEMG4801</v>
      </c>
      <c r="E5673" t="s">
        <v>1623</v>
      </c>
    </row>
    <row r="5674" spans="1:5" hidden="1" x14ac:dyDescent="0.25">
      <c r="A5674">
        <v>2351</v>
      </c>
      <c r="B5674" t="s">
        <v>592</v>
      </c>
      <c r="C5674" t="s">
        <v>1670</v>
      </c>
      <c r="D5674" t="str">
        <f t="shared" si="88"/>
        <v>UEMG5101</v>
      </c>
      <c r="E5674" t="s">
        <v>1671</v>
      </c>
    </row>
    <row r="5675" spans="1:5" hidden="1" x14ac:dyDescent="0.25">
      <c r="A5675">
        <v>2351</v>
      </c>
      <c r="B5675" t="s">
        <v>592</v>
      </c>
      <c r="C5675" t="s">
        <v>1672</v>
      </c>
      <c r="D5675" t="str">
        <f t="shared" si="88"/>
        <v>UEMG5103</v>
      </c>
      <c r="E5675" t="s">
        <v>1671</v>
      </c>
    </row>
    <row r="5676" spans="1:5" hidden="1" x14ac:dyDescent="0.25">
      <c r="A5676">
        <v>2351</v>
      </c>
      <c r="B5676" t="s">
        <v>592</v>
      </c>
      <c r="C5676" t="s">
        <v>348</v>
      </c>
      <c r="D5676" t="str">
        <f t="shared" si="88"/>
        <v>UEMG5110</v>
      </c>
      <c r="E5676" t="s">
        <v>1671</v>
      </c>
    </row>
    <row r="5677" spans="1:5" hidden="1" x14ac:dyDescent="0.25">
      <c r="A5677">
        <v>2351</v>
      </c>
      <c r="B5677" t="s">
        <v>592</v>
      </c>
      <c r="C5677" t="s">
        <v>371</v>
      </c>
      <c r="D5677" t="str">
        <f t="shared" si="88"/>
        <v>UEMG5113</v>
      </c>
      <c r="E5677" t="s">
        <v>1671</v>
      </c>
    </row>
    <row r="5678" spans="1:5" hidden="1" x14ac:dyDescent="0.25">
      <c r="A5678">
        <v>2351</v>
      </c>
      <c r="B5678" t="s">
        <v>592</v>
      </c>
      <c r="C5678" t="s">
        <v>241</v>
      </c>
      <c r="D5678" t="str">
        <f t="shared" si="88"/>
        <v>UEMG5201</v>
      </c>
      <c r="E5678" t="s">
        <v>1621</v>
      </c>
    </row>
    <row r="5679" spans="1:5" hidden="1" x14ac:dyDescent="0.25">
      <c r="A5679">
        <v>2351</v>
      </c>
      <c r="B5679" t="s">
        <v>592</v>
      </c>
      <c r="C5679" t="s">
        <v>287</v>
      </c>
      <c r="D5679" t="str">
        <f t="shared" si="88"/>
        <v>UEMG5203</v>
      </c>
      <c r="E5679" t="s">
        <v>1674</v>
      </c>
    </row>
    <row r="5680" spans="1:5" hidden="1" x14ac:dyDescent="0.25">
      <c r="A5680">
        <v>2351</v>
      </c>
      <c r="B5680" t="s">
        <v>592</v>
      </c>
      <c r="C5680" t="s">
        <v>1673</v>
      </c>
      <c r="D5680" t="str">
        <f t="shared" si="88"/>
        <v>UEMG5204</v>
      </c>
      <c r="E5680" t="s">
        <v>1674</v>
      </c>
    </row>
    <row r="5681" spans="1:5" hidden="1" x14ac:dyDescent="0.25">
      <c r="A5681">
        <v>2351</v>
      </c>
      <c r="B5681" t="s">
        <v>592</v>
      </c>
      <c r="C5681" t="s">
        <v>328</v>
      </c>
      <c r="D5681" t="str">
        <f t="shared" si="88"/>
        <v>UEMG5206</v>
      </c>
      <c r="E5681" t="s">
        <v>1675</v>
      </c>
    </row>
    <row r="5682" spans="1:5" hidden="1" x14ac:dyDescent="0.25">
      <c r="A5682">
        <v>2351</v>
      </c>
      <c r="B5682" t="s">
        <v>592</v>
      </c>
      <c r="C5682" t="s">
        <v>1676</v>
      </c>
      <c r="D5682" t="str">
        <f t="shared" si="88"/>
        <v>UEMG5207</v>
      </c>
      <c r="E5682" t="s">
        <v>1675</v>
      </c>
    </row>
    <row r="5683" spans="1:5" hidden="1" x14ac:dyDescent="0.25">
      <c r="A5683">
        <v>2351</v>
      </c>
      <c r="B5683" t="s">
        <v>592</v>
      </c>
      <c r="C5683" t="s">
        <v>1677</v>
      </c>
      <c r="D5683" t="str">
        <f t="shared" si="88"/>
        <v>UEMG5208</v>
      </c>
      <c r="E5683" t="s">
        <v>1675</v>
      </c>
    </row>
    <row r="5684" spans="1:5" hidden="1" x14ac:dyDescent="0.25">
      <c r="A5684">
        <v>2351</v>
      </c>
      <c r="B5684" t="s">
        <v>592</v>
      </c>
      <c r="C5684" t="s">
        <v>358</v>
      </c>
      <c r="D5684" t="str">
        <f t="shared" si="88"/>
        <v>UEMG5209</v>
      </c>
      <c r="E5684" t="s">
        <v>1674</v>
      </c>
    </row>
    <row r="5685" spans="1:5" hidden="1" x14ac:dyDescent="0.25">
      <c r="A5685">
        <v>2351</v>
      </c>
      <c r="B5685" t="s">
        <v>592</v>
      </c>
      <c r="C5685" t="s">
        <v>1678</v>
      </c>
      <c r="D5685" t="str">
        <f t="shared" si="88"/>
        <v>UEMG5210</v>
      </c>
      <c r="E5685" t="s">
        <v>1674</v>
      </c>
    </row>
    <row r="5686" spans="1:5" hidden="1" x14ac:dyDescent="0.25">
      <c r="A5686">
        <v>2351</v>
      </c>
      <c r="B5686" t="s">
        <v>592</v>
      </c>
      <c r="C5686" t="s">
        <v>1713</v>
      </c>
      <c r="D5686" t="str">
        <f t="shared" si="88"/>
        <v>UEMG5211</v>
      </c>
      <c r="E5686" t="s">
        <v>1606</v>
      </c>
    </row>
    <row r="5687" spans="1:5" hidden="1" x14ac:dyDescent="0.25">
      <c r="A5687">
        <v>2351</v>
      </c>
      <c r="B5687" t="s">
        <v>592</v>
      </c>
      <c r="C5687" t="s">
        <v>1679</v>
      </c>
      <c r="D5687" t="str">
        <f t="shared" si="88"/>
        <v>UEMG5212</v>
      </c>
      <c r="E5687" t="s">
        <v>1674</v>
      </c>
    </row>
    <row r="5688" spans="1:5" hidden="1" x14ac:dyDescent="0.25">
      <c r="A5688">
        <v>2351</v>
      </c>
      <c r="B5688" t="s">
        <v>592</v>
      </c>
      <c r="C5688" t="s">
        <v>384</v>
      </c>
      <c r="D5688" t="str">
        <f t="shared" si="88"/>
        <v>UEMG5213</v>
      </c>
      <c r="E5688" t="s">
        <v>1674</v>
      </c>
    </row>
    <row r="5689" spans="1:5" hidden="1" x14ac:dyDescent="0.25">
      <c r="A5689">
        <v>2351</v>
      </c>
      <c r="B5689" t="s">
        <v>592</v>
      </c>
      <c r="C5689" t="s">
        <v>390</v>
      </c>
      <c r="D5689" t="str">
        <f t="shared" si="88"/>
        <v>UEMG5214</v>
      </c>
      <c r="E5689" t="s">
        <v>1674</v>
      </c>
    </row>
    <row r="5690" spans="1:5" hidden="1" x14ac:dyDescent="0.25">
      <c r="A5690">
        <v>2351</v>
      </c>
      <c r="B5690" t="s">
        <v>592</v>
      </c>
      <c r="C5690" t="s">
        <v>402</v>
      </c>
      <c r="D5690" t="str">
        <f t="shared" si="88"/>
        <v>UEMG5216</v>
      </c>
      <c r="E5690" t="s">
        <v>1674</v>
      </c>
    </row>
    <row r="5691" spans="1:5" hidden="1" x14ac:dyDescent="0.25">
      <c r="A5691">
        <v>2351</v>
      </c>
      <c r="B5691" t="s">
        <v>592</v>
      </c>
      <c r="C5691" t="s">
        <v>418</v>
      </c>
      <c r="D5691" t="str">
        <f t="shared" si="88"/>
        <v>UEMG5219</v>
      </c>
      <c r="E5691" t="s">
        <v>1674</v>
      </c>
    </row>
    <row r="5692" spans="1:5" hidden="1" x14ac:dyDescent="0.25">
      <c r="A5692">
        <v>2351</v>
      </c>
      <c r="B5692" t="s">
        <v>592</v>
      </c>
      <c r="C5692" t="s">
        <v>1681</v>
      </c>
      <c r="D5692" t="str">
        <f t="shared" si="88"/>
        <v>UEMG5220</v>
      </c>
      <c r="E5692" t="s">
        <v>1675</v>
      </c>
    </row>
    <row r="5693" spans="1:5" hidden="1" x14ac:dyDescent="0.25">
      <c r="A5693">
        <v>2351</v>
      </c>
      <c r="B5693" t="s">
        <v>592</v>
      </c>
      <c r="C5693" t="s">
        <v>428</v>
      </c>
      <c r="D5693" t="str">
        <f t="shared" si="88"/>
        <v>UEMG5221</v>
      </c>
      <c r="E5693" t="s">
        <v>1674</v>
      </c>
    </row>
    <row r="5694" spans="1:5" hidden="1" x14ac:dyDescent="0.25">
      <c r="A5694">
        <v>2351</v>
      </c>
      <c r="B5694" t="s">
        <v>592</v>
      </c>
      <c r="C5694" t="s">
        <v>433</v>
      </c>
      <c r="D5694" t="str">
        <f t="shared" si="88"/>
        <v>UEMG5222</v>
      </c>
      <c r="E5694" t="s">
        <v>1674</v>
      </c>
    </row>
    <row r="5695" spans="1:5" hidden="1" x14ac:dyDescent="0.25">
      <c r="A5695">
        <v>2351</v>
      </c>
      <c r="B5695" t="s">
        <v>592</v>
      </c>
      <c r="C5695" t="s">
        <v>448</v>
      </c>
      <c r="D5695" t="str">
        <f t="shared" si="88"/>
        <v>UEMG5225</v>
      </c>
      <c r="E5695" t="s">
        <v>1674</v>
      </c>
    </row>
    <row r="5696" spans="1:5" hidden="1" x14ac:dyDescent="0.25">
      <c r="A5696">
        <v>2351</v>
      </c>
      <c r="B5696" t="s">
        <v>592</v>
      </c>
      <c r="C5696" t="s">
        <v>1682</v>
      </c>
      <c r="D5696" t="str">
        <f t="shared" si="88"/>
        <v>UEMG5226</v>
      </c>
      <c r="E5696" t="s">
        <v>1674</v>
      </c>
    </row>
    <row r="5697" spans="1:5" hidden="1" x14ac:dyDescent="0.25">
      <c r="A5697">
        <v>2351</v>
      </c>
      <c r="B5697" t="s">
        <v>592</v>
      </c>
      <c r="C5697" t="s">
        <v>458</v>
      </c>
      <c r="D5697" t="str">
        <f t="shared" si="88"/>
        <v>UEMG5299</v>
      </c>
      <c r="E5697" t="s">
        <v>1674</v>
      </c>
    </row>
    <row r="5698" spans="1:5" hidden="1" x14ac:dyDescent="0.25">
      <c r="A5698">
        <v>2351</v>
      </c>
      <c r="B5698" t="s">
        <v>592</v>
      </c>
      <c r="C5698" t="s">
        <v>1729</v>
      </c>
      <c r="D5698" t="str">
        <f t="shared" si="88"/>
        <v>UEMG9201</v>
      </c>
      <c r="E5698" t="s">
        <v>1685</v>
      </c>
    </row>
    <row r="5699" spans="1:5" hidden="1" x14ac:dyDescent="0.25">
      <c r="A5699">
        <v>2351</v>
      </c>
      <c r="B5699" t="s">
        <v>592</v>
      </c>
      <c r="C5699" t="s">
        <v>1684</v>
      </c>
      <c r="D5699" t="str">
        <f t="shared" si="88"/>
        <v>UEMG9202</v>
      </c>
      <c r="E5699" t="s">
        <v>1685</v>
      </c>
    </row>
    <row r="5700" spans="1:5" hidden="1" x14ac:dyDescent="0.25">
      <c r="A5700">
        <v>2351</v>
      </c>
      <c r="B5700" t="s">
        <v>592</v>
      </c>
      <c r="C5700" t="s">
        <v>330</v>
      </c>
      <c r="D5700" t="str">
        <f t="shared" si="88"/>
        <v>UEMG9306</v>
      </c>
      <c r="E5700" t="s">
        <v>1686</v>
      </c>
    </row>
    <row r="5701" spans="1:5" hidden="1" x14ac:dyDescent="0.25">
      <c r="A5701">
        <v>2351</v>
      </c>
      <c r="B5701" t="s">
        <v>592</v>
      </c>
      <c r="C5701" t="s">
        <v>439</v>
      </c>
      <c r="D5701" t="str">
        <f t="shared" ref="D5701:D5764" si="89">CONCATENATE(B5701,LEFT(C5701,4))</f>
        <v>UEMG9326</v>
      </c>
      <c r="E5701" t="s">
        <v>1623</v>
      </c>
    </row>
    <row r="5702" spans="1:5" hidden="1" x14ac:dyDescent="0.25">
      <c r="A5702">
        <v>2351</v>
      </c>
      <c r="B5702" t="s">
        <v>592</v>
      </c>
      <c r="C5702" t="s">
        <v>1687</v>
      </c>
      <c r="D5702" t="str">
        <f t="shared" si="89"/>
        <v>UEMG9399</v>
      </c>
      <c r="E5702" t="s">
        <v>1623</v>
      </c>
    </row>
    <row r="5703" spans="1:5" hidden="1" x14ac:dyDescent="0.25">
      <c r="A5703">
        <v>2371</v>
      </c>
      <c r="B5703" t="s">
        <v>569</v>
      </c>
      <c r="C5703" t="s">
        <v>1595</v>
      </c>
      <c r="D5703" t="str">
        <f t="shared" si="89"/>
        <v>IMA0810</v>
      </c>
      <c r="E5703" t="s">
        <v>1596</v>
      </c>
    </row>
    <row r="5704" spans="1:5" hidden="1" x14ac:dyDescent="0.25">
      <c r="A5704">
        <v>2371</v>
      </c>
      <c r="B5704" t="s">
        <v>569</v>
      </c>
      <c r="C5704" t="s">
        <v>1737</v>
      </c>
      <c r="D5704" t="str">
        <f t="shared" si="89"/>
        <v>IMA1307</v>
      </c>
      <c r="E5704" t="s">
        <v>1689</v>
      </c>
    </row>
    <row r="5705" spans="1:5" hidden="1" x14ac:dyDescent="0.25">
      <c r="A5705">
        <v>2371</v>
      </c>
      <c r="B5705" t="s">
        <v>569</v>
      </c>
      <c r="C5705" t="s">
        <v>331</v>
      </c>
      <c r="D5705" t="str">
        <f t="shared" si="89"/>
        <v>IMA1314</v>
      </c>
      <c r="E5705" t="s">
        <v>1689</v>
      </c>
    </row>
    <row r="5706" spans="1:5" hidden="1" x14ac:dyDescent="0.25">
      <c r="A5706">
        <v>2371</v>
      </c>
      <c r="B5706" t="s">
        <v>569</v>
      </c>
      <c r="C5706" t="s">
        <v>1688</v>
      </c>
      <c r="D5706" t="str">
        <f t="shared" si="89"/>
        <v>IMA1317</v>
      </c>
      <c r="E5706" t="s">
        <v>1689</v>
      </c>
    </row>
    <row r="5707" spans="1:5" hidden="1" x14ac:dyDescent="0.25">
      <c r="A5707">
        <v>2371</v>
      </c>
      <c r="B5707" t="s">
        <v>569</v>
      </c>
      <c r="C5707" t="s">
        <v>1796</v>
      </c>
      <c r="D5707" t="str">
        <f t="shared" si="89"/>
        <v>IMA1323</v>
      </c>
      <c r="E5707" t="s">
        <v>1606</v>
      </c>
    </row>
    <row r="5708" spans="1:5" hidden="1" x14ac:dyDescent="0.25">
      <c r="A5708">
        <v>2371</v>
      </c>
      <c r="B5708" t="s">
        <v>569</v>
      </c>
      <c r="C5708" t="s">
        <v>398</v>
      </c>
      <c r="D5708" t="str">
        <f t="shared" si="89"/>
        <v>IMA1325</v>
      </c>
      <c r="E5708" t="s">
        <v>1689</v>
      </c>
    </row>
    <row r="5709" spans="1:5" hidden="1" x14ac:dyDescent="0.25">
      <c r="A5709">
        <v>2371</v>
      </c>
      <c r="B5709" t="s">
        <v>569</v>
      </c>
      <c r="C5709" t="s">
        <v>1597</v>
      </c>
      <c r="D5709" t="str">
        <f t="shared" si="89"/>
        <v>IMA1401</v>
      </c>
      <c r="E5709" t="s">
        <v>43</v>
      </c>
    </row>
    <row r="5710" spans="1:5" hidden="1" x14ac:dyDescent="0.25">
      <c r="A5710">
        <v>2371</v>
      </c>
      <c r="B5710" t="s">
        <v>569</v>
      </c>
      <c r="C5710" t="s">
        <v>1599</v>
      </c>
      <c r="D5710" t="str">
        <f t="shared" si="89"/>
        <v>IMA3001</v>
      </c>
      <c r="E5710" t="s">
        <v>1600</v>
      </c>
    </row>
    <row r="5711" spans="1:5" hidden="1" x14ac:dyDescent="0.25">
      <c r="A5711">
        <v>2371</v>
      </c>
      <c r="B5711" t="s">
        <v>569</v>
      </c>
      <c r="C5711" t="s">
        <v>255</v>
      </c>
      <c r="D5711" t="str">
        <f t="shared" si="89"/>
        <v>IMA3002</v>
      </c>
      <c r="E5711" t="s">
        <v>1600</v>
      </c>
    </row>
    <row r="5712" spans="1:5" hidden="1" x14ac:dyDescent="0.25">
      <c r="A5712">
        <v>2371</v>
      </c>
      <c r="B5712" t="s">
        <v>569</v>
      </c>
      <c r="C5712" t="s">
        <v>1601</v>
      </c>
      <c r="D5712" t="str">
        <f t="shared" si="89"/>
        <v>IMA3003</v>
      </c>
      <c r="E5712" t="s">
        <v>1600</v>
      </c>
    </row>
    <row r="5713" spans="1:5" hidden="1" x14ac:dyDescent="0.25">
      <c r="A5713">
        <v>2371</v>
      </c>
      <c r="B5713" t="s">
        <v>569</v>
      </c>
      <c r="C5713" t="s">
        <v>1602</v>
      </c>
      <c r="D5713" t="str">
        <f t="shared" si="89"/>
        <v>IMA3004</v>
      </c>
      <c r="E5713" t="s">
        <v>1600</v>
      </c>
    </row>
    <row r="5714" spans="1:5" hidden="1" x14ac:dyDescent="0.25">
      <c r="A5714">
        <v>2371</v>
      </c>
      <c r="B5714" t="s">
        <v>569</v>
      </c>
      <c r="C5714" t="s">
        <v>1603</v>
      </c>
      <c r="D5714" t="str">
        <f t="shared" si="89"/>
        <v>IMA3005</v>
      </c>
      <c r="E5714" t="s">
        <v>1600</v>
      </c>
    </row>
    <row r="5715" spans="1:5" hidden="1" x14ac:dyDescent="0.25">
      <c r="A5715">
        <v>2371</v>
      </c>
      <c r="B5715" t="s">
        <v>569</v>
      </c>
      <c r="C5715" t="s">
        <v>322</v>
      </c>
      <c r="D5715" t="str">
        <f t="shared" si="89"/>
        <v>IMA3006</v>
      </c>
      <c r="E5715" t="s">
        <v>1600</v>
      </c>
    </row>
    <row r="5716" spans="1:5" hidden="1" x14ac:dyDescent="0.25">
      <c r="A5716">
        <v>2371</v>
      </c>
      <c r="B5716" t="s">
        <v>569</v>
      </c>
      <c r="C5716" t="s">
        <v>332</v>
      </c>
      <c r="D5716" t="str">
        <f t="shared" si="89"/>
        <v>IMA3007</v>
      </c>
      <c r="E5716" t="s">
        <v>1600</v>
      </c>
    </row>
    <row r="5717" spans="1:5" hidden="1" x14ac:dyDescent="0.25">
      <c r="A5717">
        <v>2371</v>
      </c>
      <c r="B5717" t="s">
        <v>569</v>
      </c>
      <c r="C5717" t="s">
        <v>1604</v>
      </c>
      <c r="D5717" t="str">
        <f t="shared" si="89"/>
        <v>IMA3008</v>
      </c>
      <c r="E5717" t="s">
        <v>1600</v>
      </c>
    </row>
    <row r="5718" spans="1:5" hidden="1" x14ac:dyDescent="0.25">
      <c r="A5718">
        <v>2371</v>
      </c>
      <c r="B5718" t="s">
        <v>569</v>
      </c>
      <c r="C5718" t="s">
        <v>353</v>
      </c>
      <c r="D5718" t="str">
        <f t="shared" si="89"/>
        <v>IMA3009</v>
      </c>
      <c r="E5718" t="s">
        <v>1600</v>
      </c>
    </row>
    <row r="5719" spans="1:5" hidden="1" x14ac:dyDescent="0.25">
      <c r="A5719">
        <v>2371</v>
      </c>
      <c r="B5719" t="s">
        <v>569</v>
      </c>
      <c r="C5719" t="s">
        <v>1605</v>
      </c>
      <c r="D5719" t="str">
        <f t="shared" si="89"/>
        <v>IMA3010</v>
      </c>
      <c r="E5719" t="s">
        <v>1606</v>
      </c>
    </row>
    <row r="5720" spans="1:5" hidden="1" x14ac:dyDescent="0.25">
      <c r="A5720">
        <v>2371</v>
      </c>
      <c r="B5720" t="s">
        <v>569</v>
      </c>
      <c r="C5720" t="s">
        <v>137</v>
      </c>
      <c r="D5720" t="str">
        <f t="shared" si="89"/>
        <v>IMA3012</v>
      </c>
      <c r="E5720" t="s">
        <v>1606</v>
      </c>
    </row>
    <row r="5721" spans="1:5" hidden="1" x14ac:dyDescent="0.25">
      <c r="A5721">
        <v>2371</v>
      </c>
      <c r="B5721" t="s">
        <v>569</v>
      </c>
      <c r="C5721" t="s">
        <v>1607</v>
      </c>
      <c r="D5721" t="str">
        <f t="shared" si="89"/>
        <v>IMA3013</v>
      </c>
      <c r="E5721" t="s">
        <v>1600</v>
      </c>
    </row>
    <row r="5722" spans="1:5" hidden="1" x14ac:dyDescent="0.25">
      <c r="A5722">
        <v>2371</v>
      </c>
      <c r="B5722" t="s">
        <v>569</v>
      </c>
      <c r="C5722" t="s">
        <v>1608</v>
      </c>
      <c r="D5722" t="str">
        <f t="shared" si="89"/>
        <v>IMA3015</v>
      </c>
      <c r="E5722" t="s">
        <v>1600</v>
      </c>
    </row>
    <row r="5723" spans="1:5" hidden="1" x14ac:dyDescent="0.25">
      <c r="A5723">
        <v>2371</v>
      </c>
      <c r="B5723" t="s">
        <v>569</v>
      </c>
      <c r="C5723" t="s">
        <v>1609</v>
      </c>
      <c r="D5723" t="str">
        <f t="shared" si="89"/>
        <v>IMA3016</v>
      </c>
      <c r="E5723" t="s">
        <v>1600</v>
      </c>
    </row>
    <row r="5724" spans="1:5" hidden="1" x14ac:dyDescent="0.25">
      <c r="A5724">
        <v>2371</v>
      </c>
      <c r="B5724" t="s">
        <v>569</v>
      </c>
      <c r="C5724" t="s">
        <v>405</v>
      </c>
      <c r="D5724" t="str">
        <f t="shared" si="89"/>
        <v>IMA3017</v>
      </c>
      <c r="E5724" t="s">
        <v>1600</v>
      </c>
    </row>
    <row r="5725" spans="1:5" hidden="1" x14ac:dyDescent="0.25">
      <c r="A5725">
        <v>2371</v>
      </c>
      <c r="B5725" t="s">
        <v>569</v>
      </c>
      <c r="C5725" t="s">
        <v>410</v>
      </c>
      <c r="D5725" t="str">
        <f t="shared" si="89"/>
        <v>IMA3018</v>
      </c>
      <c r="E5725" t="s">
        <v>1600</v>
      </c>
    </row>
    <row r="5726" spans="1:5" hidden="1" x14ac:dyDescent="0.25">
      <c r="A5726">
        <v>2371</v>
      </c>
      <c r="B5726" t="s">
        <v>569</v>
      </c>
      <c r="C5726" t="s">
        <v>1610</v>
      </c>
      <c r="D5726" t="str">
        <f t="shared" si="89"/>
        <v>IMA3019</v>
      </c>
      <c r="E5726" t="s">
        <v>1611</v>
      </c>
    </row>
    <row r="5727" spans="1:5" hidden="1" x14ac:dyDescent="0.25">
      <c r="A5727">
        <v>2371</v>
      </c>
      <c r="B5727" t="s">
        <v>569</v>
      </c>
      <c r="C5727" t="s">
        <v>1612</v>
      </c>
      <c r="D5727" t="str">
        <f t="shared" si="89"/>
        <v>IMA3020</v>
      </c>
      <c r="E5727" t="s">
        <v>1600</v>
      </c>
    </row>
    <row r="5728" spans="1:5" hidden="1" x14ac:dyDescent="0.25">
      <c r="A5728">
        <v>2371</v>
      </c>
      <c r="B5728" t="s">
        <v>569</v>
      </c>
      <c r="C5728" t="s">
        <v>1613</v>
      </c>
      <c r="D5728" t="str">
        <f t="shared" si="89"/>
        <v>IMA3021</v>
      </c>
      <c r="E5728" t="s">
        <v>1600</v>
      </c>
    </row>
    <row r="5729" spans="1:5" hidden="1" x14ac:dyDescent="0.25">
      <c r="A5729">
        <v>2371</v>
      </c>
      <c r="B5729" t="s">
        <v>569</v>
      </c>
      <c r="C5729" t="s">
        <v>430</v>
      </c>
      <c r="D5729" t="str">
        <f t="shared" si="89"/>
        <v>IMA3022</v>
      </c>
      <c r="E5729" t="s">
        <v>1600</v>
      </c>
    </row>
    <row r="5730" spans="1:5" hidden="1" x14ac:dyDescent="0.25">
      <c r="A5730">
        <v>2371</v>
      </c>
      <c r="B5730" t="s">
        <v>569</v>
      </c>
      <c r="C5730" t="s">
        <v>1614</v>
      </c>
      <c r="D5730" t="str">
        <f t="shared" si="89"/>
        <v>IMA3023</v>
      </c>
      <c r="E5730" t="s">
        <v>1615</v>
      </c>
    </row>
    <row r="5731" spans="1:5" hidden="1" x14ac:dyDescent="0.25">
      <c r="A5731">
        <v>2371</v>
      </c>
      <c r="B5731" t="s">
        <v>569</v>
      </c>
      <c r="C5731" t="s">
        <v>440</v>
      </c>
      <c r="D5731" t="str">
        <f t="shared" si="89"/>
        <v>IMA3024</v>
      </c>
      <c r="E5731" t="s">
        <v>1600</v>
      </c>
    </row>
    <row r="5732" spans="1:5" hidden="1" x14ac:dyDescent="0.25">
      <c r="A5732">
        <v>2371</v>
      </c>
      <c r="B5732" t="s">
        <v>569</v>
      </c>
      <c r="C5732" t="s">
        <v>1616</v>
      </c>
      <c r="D5732" t="str">
        <f t="shared" si="89"/>
        <v>IMA3025</v>
      </c>
      <c r="E5732" t="s">
        <v>1600</v>
      </c>
    </row>
    <row r="5733" spans="1:5" hidden="1" x14ac:dyDescent="0.25">
      <c r="A5733">
        <v>2371</v>
      </c>
      <c r="B5733" t="s">
        <v>569</v>
      </c>
      <c r="C5733" t="s">
        <v>1617</v>
      </c>
      <c r="D5733" t="str">
        <f t="shared" si="89"/>
        <v>IMA3026</v>
      </c>
      <c r="E5733" t="s">
        <v>1615</v>
      </c>
    </row>
    <row r="5734" spans="1:5" hidden="1" x14ac:dyDescent="0.25">
      <c r="A5734">
        <v>2371</v>
      </c>
      <c r="B5734" t="s">
        <v>569</v>
      </c>
      <c r="C5734" t="s">
        <v>1618</v>
      </c>
      <c r="D5734" t="str">
        <f t="shared" si="89"/>
        <v>IMA3027</v>
      </c>
      <c r="E5734" t="s">
        <v>1600</v>
      </c>
    </row>
    <row r="5735" spans="1:5" hidden="1" x14ac:dyDescent="0.25">
      <c r="A5735">
        <v>2371</v>
      </c>
      <c r="B5735" t="s">
        <v>569</v>
      </c>
      <c r="C5735" t="s">
        <v>466</v>
      </c>
      <c r="D5735" t="str">
        <f t="shared" si="89"/>
        <v>IMA3030</v>
      </c>
      <c r="E5735" t="s">
        <v>1600</v>
      </c>
    </row>
    <row r="5736" spans="1:5" hidden="1" x14ac:dyDescent="0.25">
      <c r="A5736">
        <v>2371</v>
      </c>
      <c r="B5736" t="s">
        <v>569</v>
      </c>
      <c r="C5736" t="s">
        <v>469</v>
      </c>
      <c r="D5736" t="str">
        <f t="shared" si="89"/>
        <v>IMA3031</v>
      </c>
      <c r="E5736" t="s">
        <v>1600</v>
      </c>
    </row>
    <row r="5737" spans="1:5" hidden="1" x14ac:dyDescent="0.25">
      <c r="A5737">
        <v>2371</v>
      </c>
      <c r="B5737" t="s">
        <v>569</v>
      </c>
      <c r="C5737" t="s">
        <v>1619</v>
      </c>
      <c r="D5737" t="str">
        <f t="shared" si="89"/>
        <v>IMA3032</v>
      </c>
      <c r="E5737" t="s">
        <v>1600</v>
      </c>
    </row>
    <row r="5738" spans="1:5" hidden="1" x14ac:dyDescent="0.25">
      <c r="A5738">
        <v>2371</v>
      </c>
      <c r="B5738" t="s">
        <v>569</v>
      </c>
      <c r="C5738" t="s">
        <v>484</v>
      </c>
      <c r="D5738" t="str">
        <f t="shared" si="89"/>
        <v>IMA3039</v>
      </c>
      <c r="E5738" t="s">
        <v>1600</v>
      </c>
    </row>
    <row r="5739" spans="1:5" hidden="1" x14ac:dyDescent="0.25">
      <c r="A5739">
        <v>2371</v>
      </c>
      <c r="B5739" t="s">
        <v>569</v>
      </c>
      <c r="C5739" t="s">
        <v>486</v>
      </c>
      <c r="D5739" t="str">
        <f t="shared" si="89"/>
        <v>IMA3040</v>
      </c>
      <c r="E5739" t="s">
        <v>1600</v>
      </c>
    </row>
    <row r="5740" spans="1:5" hidden="1" x14ac:dyDescent="0.25">
      <c r="A5740">
        <v>2371</v>
      </c>
      <c r="B5740" t="s">
        <v>569</v>
      </c>
      <c r="C5740" t="s">
        <v>1703</v>
      </c>
      <c r="D5740" t="str">
        <f t="shared" si="89"/>
        <v>IMA3041</v>
      </c>
      <c r="E5740" t="s">
        <v>1623</v>
      </c>
    </row>
    <row r="5741" spans="1:5" hidden="1" x14ac:dyDescent="0.25">
      <c r="A5741">
        <v>2371</v>
      </c>
      <c r="B5741" t="s">
        <v>569</v>
      </c>
      <c r="C5741" t="s">
        <v>490</v>
      </c>
      <c r="D5741" t="str">
        <f t="shared" si="89"/>
        <v>IMA3099</v>
      </c>
      <c r="E5741" t="s">
        <v>1600</v>
      </c>
    </row>
    <row r="5742" spans="1:5" hidden="1" x14ac:dyDescent="0.25">
      <c r="A5742">
        <v>2371</v>
      </c>
      <c r="B5742" t="s">
        <v>569</v>
      </c>
      <c r="C5742" t="s">
        <v>226</v>
      </c>
      <c r="D5742" t="str">
        <f t="shared" si="89"/>
        <v>IMA3201</v>
      </c>
      <c r="E5742" t="s">
        <v>1623</v>
      </c>
    </row>
    <row r="5743" spans="1:5" hidden="1" x14ac:dyDescent="0.25">
      <c r="A5743">
        <v>2371</v>
      </c>
      <c r="B5743" t="s">
        <v>569</v>
      </c>
      <c r="C5743" t="s">
        <v>53</v>
      </c>
      <c r="D5743" t="str">
        <f t="shared" si="89"/>
        <v>IMA3301</v>
      </c>
      <c r="E5743" t="s">
        <v>43</v>
      </c>
    </row>
    <row r="5744" spans="1:5" hidden="1" x14ac:dyDescent="0.25">
      <c r="A5744">
        <v>2371</v>
      </c>
      <c r="B5744" t="s">
        <v>569</v>
      </c>
      <c r="C5744" t="s">
        <v>1626</v>
      </c>
      <c r="D5744" t="str">
        <f t="shared" si="89"/>
        <v>IMA3302</v>
      </c>
      <c r="E5744" t="s">
        <v>43</v>
      </c>
    </row>
    <row r="5745" spans="1:5" hidden="1" x14ac:dyDescent="0.25">
      <c r="A5745">
        <v>2371</v>
      </c>
      <c r="B5745" t="s">
        <v>569</v>
      </c>
      <c r="C5745" t="s">
        <v>1627</v>
      </c>
      <c r="D5745" t="str">
        <f t="shared" si="89"/>
        <v>IMA3304</v>
      </c>
      <c r="E5745" t="s">
        <v>43</v>
      </c>
    </row>
    <row r="5746" spans="1:5" hidden="1" x14ac:dyDescent="0.25">
      <c r="A5746">
        <v>2371</v>
      </c>
      <c r="B5746" t="s">
        <v>569</v>
      </c>
      <c r="C5746" t="s">
        <v>308</v>
      </c>
      <c r="D5746" t="str">
        <f t="shared" si="89"/>
        <v>IMA3305</v>
      </c>
      <c r="E5746" t="s">
        <v>43</v>
      </c>
    </row>
    <row r="5747" spans="1:5" hidden="1" x14ac:dyDescent="0.25">
      <c r="A5747">
        <v>2371</v>
      </c>
      <c r="B5747" t="s">
        <v>569</v>
      </c>
      <c r="C5747" t="s">
        <v>227</v>
      </c>
      <c r="D5747" t="str">
        <f t="shared" si="89"/>
        <v>IMA3401</v>
      </c>
      <c r="E5747" t="s">
        <v>1739</v>
      </c>
    </row>
    <row r="5748" spans="1:5" hidden="1" x14ac:dyDescent="0.25">
      <c r="A5748">
        <v>2371</v>
      </c>
      <c r="B5748" t="s">
        <v>569</v>
      </c>
      <c r="C5748" t="s">
        <v>279</v>
      </c>
      <c r="D5748" t="str">
        <f t="shared" si="89"/>
        <v>IMA3403</v>
      </c>
      <c r="E5748" t="s">
        <v>1689</v>
      </c>
    </row>
    <row r="5749" spans="1:5" hidden="1" x14ac:dyDescent="0.25">
      <c r="A5749">
        <v>2371</v>
      </c>
      <c r="B5749" t="s">
        <v>569</v>
      </c>
      <c r="C5749" t="s">
        <v>295</v>
      </c>
      <c r="D5749" t="str">
        <f t="shared" si="89"/>
        <v>IMA3404</v>
      </c>
      <c r="E5749" t="s">
        <v>1689</v>
      </c>
    </row>
    <row r="5750" spans="1:5" hidden="1" x14ac:dyDescent="0.25">
      <c r="A5750">
        <v>2371</v>
      </c>
      <c r="B5750" t="s">
        <v>569</v>
      </c>
      <c r="C5750" t="s">
        <v>1741</v>
      </c>
      <c r="D5750" t="str">
        <f t="shared" si="89"/>
        <v>IMA3501</v>
      </c>
      <c r="E5750" t="s">
        <v>1623</v>
      </c>
    </row>
    <row r="5751" spans="1:5" hidden="1" x14ac:dyDescent="0.25">
      <c r="A5751">
        <v>2371</v>
      </c>
      <c r="B5751" t="s">
        <v>569</v>
      </c>
      <c r="C5751" t="s">
        <v>1705</v>
      </c>
      <c r="D5751" t="str">
        <f t="shared" si="89"/>
        <v>IMA3502</v>
      </c>
      <c r="E5751" t="s">
        <v>1706</v>
      </c>
    </row>
    <row r="5752" spans="1:5" hidden="1" x14ac:dyDescent="0.25">
      <c r="A5752">
        <v>2371</v>
      </c>
      <c r="B5752" t="s">
        <v>569</v>
      </c>
      <c r="C5752" t="s">
        <v>1690</v>
      </c>
      <c r="D5752" t="str">
        <f t="shared" si="89"/>
        <v>IMA3601</v>
      </c>
      <c r="E5752" t="s">
        <v>64</v>
      </c>
    </row>
    <row r="5753" spans="1:5" hidden="1" x14ac:dyDescent="0.25">
      <c r="A5753">
        <v>2371</v>
      </c>
      <c r="B5753" t="s">
        <v>569</v>
      </c>
      <c r="C5753" t="s">
        <v>296</v>
      </c>
      <c r="D5753" t="str">
        <f t="shared" si="89"/>
        <v>IMA3604</v>
      </c>
      <c r="E5753" t="s">
        <v>43</v>
      </c>
    </row>
    <row r="5754" spans="1:5" hidden="1" x14ac:dyDescent="0.25">
      <c r="A5754">
        <v>2371</v>
      </c>
      <c r="B5754" t="s">
        <v>569</v>
      </c>
      <c r="C5754" t="s">
        <v>1742</v>
      </c>
      <c r="D5754" t="str">
        <f t="shared" si="89"/>
        <v>IMA3605</v>
      </c>
      <c r="E5754" t="s">
        <v>1623</v>
      </c>
    </row>
    <row r="5755" spans="1:5" hidden="1" x14ac:dyDescent="0.25">
      <c r="A5755">
        <v>2371</v>
      </c>
      <c r="B5755" t="s">
        <v>569</v>
      </c>
      <c r="C5755" t="s">
        <v>354</v>
      </c>
      <c r="D5755" t="str">
        <f t="shared" si="89"/>
        <v>IMA3610</v>
      </c>
      <c r="E5755" t="s">
        <v>1623</v>
      </c>
    </row>
    <row r="5756" spans="1:5" hidden="1" x14ac:dyDescent="0.25">
      <c r="A5756">
        <v>2371</v>
      </c>
      <c r="B5756" t="s">
        <v>569</v>
      </c>
      <c r="C5756" t="s">
        <v>1707</v>
      </c>
      <c r="D5756" t="str">
        <f t="shared" si="89"/>
        <v>IMA3611</v>
      </c>
      <c r="E5756" t="s">
        <v>1692</v>
      </c>
    </row>
    <row r="5757" spans="1:5" hidden="1" x14ac:dyDescent="0.25">
      <c r="A5757">
        <v>2371</v>
      </c>
      <c r="B5757" t="s">
        <v>569</v>
      </c>
      <c r="C5757" t="s">
        <v>1628</v>
      </c>
      <c r="D5757" t="str">
        <f t="shared" si="89"/>
        <v>IMA3612</v>
      </c>
      <c r="E5757" t="s">
        <v>1623</v>
      </c>
    </row>
    <row r="5758" spans="1:5" hidden="1" x14ac:dyDescent="0.25">
      <c r="A5758">
        <v>2371</v>
      </c>
      <c r="B5758" t="s">
        <v>569</v>
      </c>
      <c r="C5758" t="s">
        <v>1743</v>
      </c>
      <c r="D5758" t="str">
        <f t="shared" si="89"/>
        <v>IMA3616</v>
      </c>
      <c r="E5758" t="s">
        <v>1615</v>
      </c>
    </row>
    <row r="5759" spans="1:5" hidden="1" x14ac:dyDescent="0.25">
      <c r="A5759">
        <v>2371</v>
      </c>
      <c r="B5759" t="s">
        <v>569</v>
      </c>
      <c r="C5759" t="s">
        <v>400</v>
      </c>
      <c r="D5759" t="str">
        <f t="shared" si="89"/>
        <v>IMA3617</v>
      </c>
      <c r="E5759" t="s">
        <v>1623</v>
      </c>
    </row>
    <row r="5760" spans="1:5" hidden="1" x14ac:dyDescent="0.25">
      <c r="A5760">
        <v>2371</v>
      </c>
      <c r="B5760" t="s">
        <v>569</v>
      </c>
      <c r="C5760" t="s">
        <v>406</v>
      </c>
      <c r="D5760" t="str">
        <f t="shared" si="89"/>
        <v>IMA3618</v>
      </c>
      <c r="E5760" t="s">
        <v>1611</v>
      </c>
    </row>
    <row r="5761" spans="1:5" hidden="1" x14ac:dyDescent="0.25">
      <c r="A5761">
        <v>2371</v>
      </c>
      <c r="B5761" t="s">
        <v>569</v>
      </c>
      <c r="C5761" t="s">
        <v>421</v>
      </c>
      <c r="D5761" t="str">
        <f t="shared" si="89"/>
        <v>IMA3621</v>
      </c>
      <c r="E5761" t="s">
        <v>1691</v>
      </c>
    </row>
    <row r="5762" spans="1:5" hidden="1" x14ac:dyDescent="0.25">
      <c r="A5762">
        <v>2371</v>
      </c>
      <c r="B5762" t="s">
        <v>569</v>
      </c>
      <c r="C5762" t="s">
        <v>456</v>
      </c>
      <c r="D5762" t="str">
        <f t="shared" si="89"/>
        <v>IMA3628</v>
      </c>
      <c r="E5762" t="s">
        <v>1623</v>
      </c>
    </row>
    <row r="5763" spans="1:5" hidden="1" x14ac:dyDescent="0.25">
      <c r="A5763">
        <v>2371</v>
      </c>
      <c r="B5763" t="s">
        <v>569</v>
      </c>
      <c r="C5763" t="s">
        <v>470</v>
      </c>
      <c r="D5763" t="str">
        <f t="shared" si="89"/>
        <v>IMA3699</v>
      </c>
      <c r="E5763" t="s">
        <v>1623</v>
      </c>
    </row>
    <row r="5764" spans="1:5" hidden="1" x14ac:dyDescent="0.25">
      <c r="A5764">
        <v>2371</v>
      </c>
      <c r="B5764" t="s">
        <v>569</v>
      </c>
      <c r="C5764" t="s">
        <v>1629</v>
      </c>
      <c r="D5764" t="str">
        <f t="shared" si="89"/>
        <v>IMA3701</v>
      </c>
      <c r="E5764" t="s">
        <v>102</v>
      </c>
    </row>
    <row r="5765" spans="1:5" hidden="1" x14ac:dyDescent="0.25">
      <c r="A5765">
        <v>2371</v>
      </c>
      <c r="B5765" t="s">
        <v>569</v>
      </c>
      <c r="C5765" t="s">
        <v>1693</v>
      </c>
      <c r="D5765" t="str">
        <f t="shared" ref="D5765:D5828" si="90">CONCATENATE(B5765,LEFT(C5765,4))</f>
        <v>IMA3702</v>
      </c>
      <c r="E5765" t="s">
        <v>1630</v>
      </c>
    </row>
    <row r="5766" spans="1:5" hidden="1" x14ac:dyDescent="0.25">
      <c r="A5766">
        <v>2371</v>
      </c>
      <c r="B5766" t="s">
        <v>569</v>
      </c>
      <c r="C5766" t="s">
        <v>1631</v>
      </c>
      <c r="D5766" t="str">
        <f t="shared" si="90"/>
        <v>IMA3703</v>
      </c>
      <c r="E5766" t="s">
        <v>116</v>
      </c>
    </row>
    <row r="5767" spans="1:5" hidden="1" x14ac:dyDescent="0.25">
      <c r="A5767">
        <v>2371</v>
      </c>
      <c r="B5767" t="s">
        <v>569</v>
      </c>
      <c r="C5767" t="s">
        <v>1632</v>
      </c>
      <c r="D5767" t="str">
        <f t="shared" si="90"/>
        <v>IMA3704</v>
      </c>
      <c r="E5767" t="s">
        <v>116</v>
      </c>
    </row>
    <row r="5768" spans="1:5" hidden="1" x14ac:dyDescent="0.25">
      <c r="A5768">
        <v>2371</v>
      </c>
      <c r="B5768" t="s">
        <v>569</v>
      </c>
      <c r="C5768" t="s">
        <v>1633</v>
      </c>
      <c r="D5768" t="str">
        <f t="shared" si="90"/>
        <v>IMA3705</v>
      </c>
      <c r="E5768" t="s">
        <v>116</v>
      </c>
    </row>
    <row r="5769" spans="1:5" hidden="1" x14ac:dyDescent="0.25">
      <c r="A5769">
        <v>2371</v>
      </c>
      <c r="B5769" t="s">
        <v>569</v>
      </c>
      <c r="C5769" t="s">
        <v>1634</v>
      </c>
      <c r="D5769" t="str">
        <f t="shared" si="90"/>
        <v>IMA3903</v>
      </c>
      <c r="E5769" t="s">
        <v>1623</v>
      </c>
    </row>
    <row r="5770" spans="1:5" hidden="1" x14ac:dyDescent="0.25">
      <c r="A5770">
        <v>2371</v>
      </c>
      <c r="B5770" t="s">
        <v>569</v>
      </c>
      <c r="C5770" t="s">
        <v>298</v>
      </c>
      <c r="D5770" t="str">
        <f t="shared" si="90"/>
        <v>IMA3904</v>
      </c>
      <c r="E5770" t="s">
        <v>1623</v>
      </c>
    </row>
    <row r="5771" spans="1:5" hidden="1" x14ac:dyDescent="0.25">
      <c r="A5771">
        <v>2371</v>
      </c>
      <c r="B5771" t="s">
        <v>569</v>
      </c>
      <c r="C5771" t="s">
        <v>325</v>
      </c>
      <c r="D5771" t="str">
        <f t="shared" si="90"/>
        <v>IMA3906</v>
      </c>
      <c r="E5771" t="s">
        <v>1623</v>
      </c>
    </row>
    <row r="5772" spans="1:5" hidden="1" x14ac:dyDescent="0.25">
      <c r="A5772">
        <v>2371</v>
      </c>
      <c r="B5772" t="s">
        <v>569</v>
      </c>
      <c r="C5772" t="s">
        <v>345</v>
      </c>
      <c r="D5772" t="str">
        <f t="shared" si="90"/>
        <v>IMA3910</v>
      </c>
      <c r="E5772" t="s">
        <v>1623</v>
      </c>
    </row>
    <row r="5773" spans="1:5" hidden="1" x14ac:dyDescent="0.25">
      <c r="A5773">
        <v>2371</v>
      </c>
      <c r="B5773" t="s">
        <v>569</v>
      </c>
      <c r="C5773" t="s">
        <v>1636</v>
      </c>
      <c r="D5773" t="str">
        <f t="shared" si="90"/>
        <v>IMA3912</v>
      </c>
      <c r="E5773" t="s">
        <v>1637</v>
      </c>
    </row>
    <row r="5774" spans="1:5" hidden="1" x14ac:dyDescent="0.25">
      <c r="A5774">
        <v>2371</v>
      </c>
      <c r="B5774" t="s">
        <v>569</v>
      </c>
      <c r="C5774" t="s">
        <v>1638</v>
      </c>
      <c r="D5774" t="str">
        <f t="shared" si="90"/>
        <v>IMA3913</v>
      </c>
      <c r="E5774" t="s">
        <v>1637</v>
      </c>
    </row>
    <row r="5775" spans="1:5" hidden="1" x14ac:dyDescent="0.25">
      <c r="A5775">
        <v>2371</v>
      </c>
      <c r="B5775" t="s">
        <v>569</v>
      </c>
      <c r="C5775" t="s">
        <v>383</v>
      </c>
      <c r="D5775" t="str">
        <f t="shared" si="90"/>
        <v>IMA3915</v>
      </c>
      <c r="E5775" t="s">
        <v>1637</v>
      </c>
    </row>
    <row r="5776" spans="1:5" hidden="1" x14ac:dyDescent="0.25">
      <c r="A5776">
        <v>2371</v>
      </c>
      <c r="B5776" t="s">
        <v>569</v>
      </c>
      <c r="C5776" t="s">
        <v>1639</v>
      </c>
      <c r="D5776" t="str">
        <f t="shared" si="90"/>
        <v>IMA3917</v>
      </c>
      <c r="E5776" t="s">
        <v>1615</v>
      </c>
    </row>
    <row r="5777" spans="1:5" hidden="1" x14ac:dyDescent="0.25">
      <c r="A5777">
        <v>2371</v>
      </c>
      <c r="B5777" t="s">
        <v>569</v>
      </c>
      <c r="C5777" t="s">
        <v>1640</v>
      </c>
      <c r="D5777" t="str">
        <f t="shared" si="90"/>
        <v>IMA3918</v>
      </c>
      <c r="E5777" t="s">
        <v>1615</v>
      </c>
    </row>
    <row r="5778" spans="1:5" hidden="1" x14ac:dyDescent="0.25">
      <c r="A5778">
        <v>2371</v>
      </c>
      <c r="B5778" t="s">
        <v>569</v>
      </c>
      <c r="C5778" t="s">
        <v>1641</v>
      </c>
      <c r="D5778" t="str">
        <f t="shared" si="90"/>
        <v>IMA3919</v>
      </c>
      <c r="E5778" t="s">
        <v>2102</v>
      </c>
    </row>
    <row r="5779" spans="1:5" hidden="1" x14ac:dyDescent="0.25">
      <c r="A5779">
        <v>2371</v>
      </c>
      <c r="B5779" t="s">
        <v>569</v>
      </c>
      <c r="C5779" t="s">
        <v>1642</v>
      </c>
      <c r="D5779" t="str">
        <f t="shared" si="90"/>
        <v>IMA3921</v>
      </c>
      <c r="E5779" t="s">
        <v>2102</v>
      </c>
    </row>
    <row r="5780" spans="1:5" hidden="1" x14ac:dyDescent="0.25">
      <c r="A5780">
        <v>2371</v>
      </c>
      <c r="B5780" t="s">
        <v>569</v>
      </c>
      <c r="C5780" t="s">
        <v>1643</v>
      </c>
      <c r="D5780" t="str">
        <f t="shared" si="90"/>
        <v>IMA3922</v>
      </c>
      <c r="E5780" t="s">
        <v>1611</v>
      </c>
    </row>
    <row r="5781" spans="1:5" hidden="1" x14ac:dyDescent="0.25">
      <c r="A5781">
        <v>2371</v>
      </c>
      <c r="B5781" t="s">
        <v>569</v>
      </c>
      <c r="C5781" t="s">
        <v>1644</v>
      </c>
      <c r="D5781" t="str">
        <f t="shared" si="90"/>
        <v>IMA3924</v>
      </c>
      <c r="E5781" t="s">
        <v>1645</v>
      </c>
    </row>
    <row r="5782" spans="1:5" hidden="1" x14ac:dyDescent="0.25">
      <c r="A5782">
        <v>2371</v>
      </c>
      <c r="B5782" t="s">
        <v>569</v>
      </c>
      <c r="C5782" t="s">
        <v>437</v>
      </c>
      <c r="D5782" t="str">
        <f t="shared" si="90"/>
        <v>IMA3925</v>
      </c>
      <c r="E5782" t="s">
        <v>1646</v>
      </c>
    </row>
    <row r="5783" spans="1:5" hidden="1" x14ac:dyDescent="0.25">
      <c r="A5783">
        <v>2371</v>
      </c>
      <c r="B5783" t="s">
        <v>569</v>
      </c>
      <c r="C5783" t="s">
        <v>442</v>
      </c>
      <c r="D5783" t="str">
        <f t="shared" si="90"/>
        <v>IMA3926</v>
      </c>
      <c r="E5783" t="s">
        <v>1646</v>
      </c>
    </row>
    <row r="5784" spans="1:5" hidden="1" x14ac:dyDescent="0.25">
      <c r="A5784">
        <v>2371</v>
      </c>
      <c r="B5784" t="s">
        <v>569</v>
      </c>
      <c r="C5784" t="s">
        <v>1647</v>
      </c>
      <c r="D5784" t="str">
        <f t="shared" si="90"/>
        <v>IMA3927</v>
      </c>
      <c r="E5784" t="s">
        <v>1648</v>
      </c>
    </row>
    <row r="5785" spans="1:5" hidden="1" x14ac:dyDescent="0.25">
      <c r="A5785">
        <v>2371</v>
      </c>
      <c r="B5785" t="s">
        <v>569</v>
      </c>
      <c r="C5785" t="s">
        <v>457</v>
      </c>
      <c r="D5785" t="str">
        <f t="shared" si="90"/>
        <v>IMA3930</v>
      </c>
      <c r="E5785" t="s">
        <v>1646</v>
      </c>
    </row>
    <row r="5786" spans="1:5" hidden="1" x14ac:dyDescent="0.25">
      <c r="A5786">
        <v>2371</v>
      </c>
      <c r="B5786" t="s">
        <v>569</v>
      </c>
      <c r="C5786" t="s">
        <v>1650</v>
      </c>
      <c r="D5786" t="str">
        <f t="shared" si="90"/>
        <v>IMA3931</v>
      </c>
      <c r="E5786" t="s">
        <v>1623</v>
      </c>
    </row>
    <row r="5787" spans="1:5" hidden="1" x14ac:dyDescent="0.25">
      <c r="A5787">
        <v>2371</v>
      </c>
      <c r="B5787" t="s">
        <v>569</v>
      </c>
      <c r="C5787" t="s">
        <v>1652</v>
      </c>
      <c r="D5787" t="str">
        <f t="shared" si="90"/>
        <v>IMA3936</v>
      </c>
      <c r="E5787" t="s">
        <v>93</v>
      </c>
    </row>
    <row r="5788" spans="1:5" hidden="1" x14ac:dyDescent="0.25">
      <c r="A5788">
        <v>2371</v>
      </c>
      <c r="B5788" t="s">
        <v>569</v>
      </c>
      <c r="C5788" t="s">
        <v>1695</v>
      </c>
      <c r="D5788" t="str">
        <f t="shared" si="90"/>
        <v>IMA3937</v>
      </c>
      <c r="E5788" t="s">
        <v>1692</v>
      </c>
    </row>
    <row r="5789" spans="1:5" hidden="1" x14ac:dyDescent="0.25">
      <c r="A5789">
        <v>2371</v>
      </c>
      <c r="B5789" t="s">
        <v>569</v>
      </c>
      <c r="C5789" t="s">
        <v>1708</v>
      </c>
      <c r="D5789" t="str">
        <f t="shared" si="90"/>
        <v>IMA3938</v>
      </c>
      <c r="E5789" t="s">
        <v>1623</v>
      </c>
    </row>
    <row r="5790" spans="1:5" hidden="1" x14ac:dyDescent="0.25">
      <c r="A5790">
        <v>2371</v>
      </c>
      <c r="B5790" t="s">
        <v>569</v>
      </c>
      <c r="C5790" t="s">
        <v>1653</v>
      </c>
      <c r="D5790" t="str">
        <f t="shared" si="90"/>
        <v>IMA3940</v>
      </c>
      <c r="E5790" t="s">
        <v>1648</v>
      </c>
    </row>
    <row r="5791" spans="1:5" hidden="1" x14ac:dyDescent="0.25">
      <c r="A5791">
        <v>2371</v>
      </c>
      <c r="B5791" t="s">
        <v>569</v>
      </c>
      <c r="C5791" t="s">
        <v>479</v>
      </c>
      <c r="D5791" t="str">
        <f t="shared" si="90"/>
        <v>IMA3941</v>
      </c>
      <c r="E5791" t="s">
        <v>1623</v>
      </c>
    </row>
    <row r="5792" spans="1:5" hidden="1" x14ac:dyDescent="0.25">
      <c r="A5792">
        <v>2371</v>
      </c>
      <c r="B5792" t="s">
        <v>569</v>
      </c>
      <c r="C5792" t="s">
        <v>481</v>
      </c>
      <c r="D5792" t="str">
        <f t="shared" si="90"/>
        <v>IMA3942</v>
      </c>
      <c r="E5792" t="s">
        <v>1623</v>
      </c>
    </row>
    <row r="5793" spans="1:5" hidden="1" x14ac:dyDescent="0.25">
      <c r="A5793">
        <v>2371</v>
      </c>
      <c r="B5793" t="s">
        <v>569</v>
      </c>
      <c r="C5793" t="s">
        <v>1654</v>
      </c>
      <c r="D5793" t="str">
        <f t="shared" si="90"/>
        <v>IMA3943</v>
      </c>
      <c r="E5793" t="s">
        <v>1615</v>
      </c>
    </row>
    <row r="5794" spans="1:5" hidden="1" x14ac:dyDescent="0.25">
      <c r="A5794">
        <v>2371</v>
      </c>
      <c r="B5794" t="s">
        <v>569</v>
      </c>
      <c r="C5794" t="s">
        <v>491</v>
      </c>
      <c r="D5794" t="str">
        <f t="shared" si="90"/>
        <v>IMA3948</v>
      </c>
      <c r="E5794" t="s">
        <v>1645</v>
      </c>
    </row>
    <row r="5795" spans="1:5" hidden="1" x14ac:dyDescent="0.25">
      <c r="A5795">
        <v>2371</v>
      </c>
      <c r="B5795" t="s">
        <v>569</v>
      </c>
      <c r="C5795" t="s">
        <v>1656</v>
      </c>
      <c r="D5795" t="str">
        <f t="shared" si="90"/>
        <v>IMA3959</v>
      </c>
      <c r="E5795" t="s">
        <v>1623</v>
      </c>
    </row>
    <row r="5796" spans="1:5" hidden="1" x14ac:dyDescent="0.25">
      <c r="A5796">
        <v>2371</v>
      </c>
      <c r="B5796" t="s">
        <v>569</v>
      </c>
      <c r="C5796" t="s">
        <v>1657</v>
      </c>
      <c r="D5796" t="str">
        <f t="shared" si="90"/>
        <v>IMA3961</v>
      </c>
      <c r="E5796" t="s">
        <v>1630</v>
      </c>
    </row>
    <row r="5797" spans="1:5" hidden="1" x14ac:dyDescent="0.25">
      <c r="A5797">
        <v>2371</v>
      </c>
      <c r="B5797" t="s">
        <v>569</v>
      </c>
      <c r="C5797" t="s">
        <v>1696</v>
      </c>
      <c r="D5797" t="str">
        <f t="shared" si="90"/>
        <v>IMA3962</v>
      </c>
      <c r="E5797" t="s">
        <v>2103</v>
      </c>
    </row>
    <row r="5798" spans="1:5" hidden="1" x14ac:dyDescent="0.25">
      <c r="A5798">
        <v>2371</v>
      </c>
      <c r="B5798" t="s">
        <v>569</v>
      </c>
      <c r="C5798" t="s">
        <v>1660</v>
      </c>
      <c r="D5798" t="str">
        <f t="shared" si="90"/>
        <v>IMA3970</v>
      </c>
      <c r="E5798" t="s">
        <v>1648</v>
      </c>
    </row>
    <row r="5799" spans="1:5" hidden="1" x14ac:dyDescent="0.25">
      <c r="A5799">
        <v>2371</v>
      </c>
      <c r="B5799" t="s">
        <v>569</v>
      </c>
      <c r="C5799" t="s">
        <v>512</v>
      </c>
      <c r="D5799" t="str">
        <f t="shared" si="90"/>
        <v>IMA3971</v>
      </c>
      <c r="E5799" t="s">
        <v>2103</v>
      </c>
    </row>
    <row r="5800" spans="1:5" hidden="1" x14ac:dyDescent="0.25">
      <c r="A5800">
        <v>2371</v>
      </c>
      <c r="B5800" t="s">
        <v>569</v>
      </c>
      <c r="C5800" t="s">
        <v>520</v>
      </c>
      <c r="D5800" t="str">
        <f t="shared" si="90"/>
        <v>IMA3981</v>
      </c>
      <c r="E5800" t="s">
        <v>1623</v>
      </c>
    </row>
    <row r="5801" spans="1:5" hidden="1" x14ac:dyDescent="0.25">
      <c r="A5801">
        <v>2371</v>
      </c>
      <c r="B5801" t="s">
        <v>569</v>
      </c>
      <c r="C5801" t="s">
        <v>1661</v>
      </c>
      <c r="D5801" t="str">
        <f t="shared" si="90"/>
        <v>IMA3987</v>
      </c>
      <c r="E5801" t="s">
        <v>1615</v>
      </c>
    </row>
    <row r="5802" spans="1:5" hidden="1" x14ac:dyDescent="0.25">
      <c r="A5802">
        <v>2371</v>
      </c>
      <c r="B5802" t="s">
        <v>569</v>
      </c>
      <c r="C5802" t="s">
        <v>1735</v>
      </c>
      <c r="D5802" t="str">
        <f t="shared" si="90"/>
        <v>IMA3998</v>
      </c>
      <c r="E5802" t="s">
        <v>1808</v>
      </c>
    </row>
    <row r="5803" spans="1:5" hidden="1" x14ac:dyDescent="0.25">
      <c r="A5803">
        <v>2371</v>
      </c>
      <c r="B5803" t="s">
        <v>569</v>
      </c>
      <c r="C5803" t="s">
        <v>1663</v>
      </c>
      <c r="D5803" t="str">
        <f t="shared" si="90"/>
        <v>IMA3999</v>
      </c>
      <c r="E5803" t="s">
        <v>1623</v>
      </c>
    </row>
    <row r="5804" spans="1:5" hidden="1" x14ac:dyDescent="0.25">
      <c r="A5804">
        <v>2371</v>
      </c>
      <c r="B5804" t="s">
        <v>569</v>
      </c>
      <c r="C5804" t="s">
        <v>1664</v>
      </c>
      <c r="D5804" t="str">
        <f t="shared" si="90"/>
        <v>IMA4002</v>
      </c>
      <c r="E5804" t="s">
        <v>1648</v>
      </c>
    </row>
    <row r="5805" spans="1:5" hidden="1" x14ac:dyDescent="0.25">
      <c r="A5805">
        <v>2371</v>
      </c>
      <c r="B5805" t="s">
        <v>569</v>
      </c>
      <c r="C5805" t="s">
        <v>1665</v>
      </c>
      <c r="D5805" t="str">
        <f t="shared" si="90"/>
        <v>IMA4003</v>
      </c>
      <c r="E5805" t="s">
        <v>93</v>
      </c>
    </row>
    <row r="5806" spans="1:5" hidden="1" x14ac:dyDescent="0.25">
      <c r="A5806">
        <v>2371</v>
      </c>
      <c r="B5806" t="s">
        <v>569</v>
      </c>
      <c r="C5806" t="s">
        <v>1666</v>
      </c>
      <c r="D5806" t="str">
        <f t="shared" si="90"/>
        <v>IMA4004</v>
      </c>
      <c r="E5806" t="s">
        <v>1648</v>
      </c>
    </row>
    <row r="5807" spans="1:5" hidden="1" x14ac:dyDescent="0.25">
      <c r="A5807">
        <v>2371</v>
      </c>
      <c r="B5807" t="s">
        <v>569</v>
      </c>
      <c r="C5807" t="s">
        <v>1667</v>
      </c>
      <c r="D5807" t="str">
        <f t="shared" si="90"/>
        <v>IMA4005</v>
      </c>
      <c r="E5807" t="s">
        <v>1648</v>
      </c>
    </row>
    <row r="5808" spans="1:5" hidden="1" x14ac:dyDescent="0.25">
      <c r="A5808">
        <v>2371</v>
      </c>
      <c r="B5808" t="s">
        <v>569</v>
      </c>
      <c r="C5808" t="s">
        <v>1698</v>
      </c>
      <c r="D5808" t="str">
        <f t="shared" si="90"/>
        <v>IMA4006</v>
      </c>
      <c r="E5808" t="s">
        <v>1675</v>
      </c>
    </row>
    <row r="5809" spans="1:5" hidden="1" x14ac:dyDescent="0.25">
      <c r="A5809">
        <v>2371</v>
      </c>
      <c r="B5809" t="s">
        <v>569</v>
      </c>
      <c r="C5809" t="s">
        <v>1699</v>
      </c>
      <c r="D5809" t="str">
        <f t="shared" si="90"/>
        <v>IMA4007</v>
      </c>
      <c r="E5809" t="s">
        <v>93</v>
      </c>
    </row>
    <row r="5810" spans="1:5" hidden="1" x14ac:dyDescent="0.25">
      <c r="A5810">
        <v>2371</v>
      </c>
      <c r="B5810" t="s">
        <v>569</v>
      </c>
      <c r="C5810" t="s">
        <v>1668</v>
      </c>
      <c r="D5810" t="str">
        <f t="shared" si="90"/>
        <v>IMA4701</v>
      </c>
      <c r="E5810" t="s">
        <v>1669</v>
      </c>
    </row>
    <row r="5811" spans="1:5" hidden="1" x14ac:dyDescent="0.25">
      <c r="A5811">
        <v>2371</v>
      </c>
      <c r="B5811" t="s">
        <v>569</v>
      </c>
      <c r="C5811" t="s">
        <v>264</v>
      </c>
      <c r="D5811" t="str">
        <f t="shared" si="90"/>
        <v>IMA4703</v>
      </c>
      <c r="E5811" t="s">
        <v>1669</v>
      </c>
    </row>
    <row r="5812" spans="1:5" hidden="1" x14ac:dyDescent="0.25">
      <c r="A5812">
        <v>2371</v>
      </c>
      <c r="B5812" t="s">
        <v>569</v>
      </c>
      <c r="C5812" t="s">
        <v>315</v>
      </c>
      <c r="D5812" t="str">
        <f t="shared" si="90"/>
        <v>IMA4706</v>
      </c>
      <c r="E5812" t="s">
        <v>1669</v>
      </c>
    </row>
    <row r="5813" spans="1:5" hidden="1" x14ac:dyDescent="0.25">
      <c r="A5813">
        <v>2371</v>
      </c>
      <c r="B5813" t="s">
        <v>569</v>
      </c>
      <c r="C5813" t="s">
        <v>327</v>
      </c>
      <c r="D5813" t="str">
        <f t="shared" si="90"/>
        <v>IMA4707</v>
      </c>
      <c r="E5813" t="s">
        <v>1669</v>
      </c>
    </row>
    <row r="5814" spans="1:5" hidden="1" x14ac:dyDescent="0.25">
      <c r="A5814">
        <v>2371</v>
      </c>
      <c r="B5814" t="s">
        <v>569</v>
      </c>
      <c r="C5814" t="s">
        <v>363</v>
      </c>
      <c r="D5814" t="str">
        <f t="shared" si="90"/>
        <v>IMA4799</v>
      </c>
      <c r="E5814" t="s">
        <v>1669</v>
      </c>
    </row>
    <row r="5815" spans="1:5" hidden="1" x14ac:dyDescent="0.25">
      <c r="A5815">
        <v>2371</v>
      </c>
      <c r="B5815" t="s">
        <v>569</v>
      </c>
      <c r="C5815" t="s">
        <v>1712</v>
      </c>
      <c r="D5815" t="str">
        <f t="shared" si="90"/>
        <v>IMA4905</v>
      </c>
      <c r="E5815" t="s">
        <v>64</v>
      </c>
    </row>
    <row r="5816" spans="1:5" hidden="1" x14ac:dyDescent="0.25">
      <c r="A5816">
        <v>2371</v>
      </c>
      <c r="B5816" t="s">
        <v>569</v>
      </c>
      <c r="C5816" t="s">
        <v>1673</v>
      </c>
      <c r="D5816" t="str">
        <f t="shared" si="90"/>
        <v>IMA5204</v>
      </c>
      <c r="E5816" t="s">
        <v>1674</v>
      </c>
    </row>
    <row r="5817" spans="1:5" hidden="1" x14ac:dyDescent="0.25">
      <c r="A5817">
        <v>2371</v>
      </c>
      <c r="B5817" t="s">
        <v>569</v>
      </c>
      <c r="C5817" t="s">
        <v>328</v>
      </c>
      <c r="D5817" t="str">
        <f t="shared" si="90"/>
        <v>IMA5206</v>
      </c>
      <c r="E5817" t="s">
        <v>1675</v>
      </c>
    </row>
    <row r="5818" spans="1:5" hidden="1" x14ac:dyDescent="0.25">
      <c r="A5818">
        <v>2371</v>
      </c>
      <c r="B5818" t="s">
        <v>569</v>
      </c>
      <c r="C5818" t="s">
        <v>1676</v>
      </c>
      <c r="D5818" t="str">
        <f t="shared" si="90"/>
        <v>IMA5207</v>
      </c>
      <c r="E5818" t="s">
        <v>1675</v>
      </c>
    </row>
    <row r="5819" spans="1:5" hidden="1" x14ac:dyDescent="0.25">
      <c r="A5819">
        <v>2371</v>
      </c>
      <c r="B5819" t="s">
        <v>569</v>
      </c>
      <c r="C5819" t="s">
        <v>1677</v>
      </c>
      <c r="D5819" t="str">
        <f t="shared" si="90"/>
        <v>IMA5208</v>
      </c>
      <c r="E5819" t="s">
        <v>1675</v>
      </c>
    </row>
    <row r="5820" spans="1:5" hidden="1" x14ac:dyDescent="0.25">
      <c r="A5820">
        <v>2371</v>
      </c>
      <c r="B5820" t="s">
        <v>569</v>
      </c>
      <c r="C5820" t="s">
        <v>358</v>
      </c>
      <c r="D5820" t="str">
        <f t="shared" si="90"/>
        <v>IMA5209</v>
      </c>
      <c r="E5820" t="s">
        <v>1674</v>
      </c>
    </row>
    <row r="5821" spans="1:5" hidden="1" x14ac:dyDescent="0.25">
      <c r="A5821">
        <v>2371</v>
      </c>
      <c r="B5821" t="s">
        <v>569</v>
      </c>
      <c r="C5821" t="s">
        <v>1678</v>
      </c>
      <c r="D5821" t="str">
        <f t="shared" si="90"/>
        <v>IMA5210</v>
      </c>
      <c r="E5821" t="s">
        <v>1674</v>
      </c>
    </row>
    <row r="5822" spans="1:5" hidden="1" x14ac:dyDescent="0.25">
      <c r="A5822">
        <v>2371</v>
      </c>
      <c r="B5822" t="s">
        <v>569</v>
      </c>
      <c r="C5822" t="s">
        <v>1713</v>
      </c>
      <c r="D5822" t="str">
        <f t="shared" si="90"/>
        <v>IMA5211</v>
      </c>
      <c r="E5822" t="s">
        <v>1606</v>
      </c>
    </row>
    <row r="5823" spans="1:5" hidden="1" x14ac:dyDescent="0.25">
      <c r="A5823">
        <v>2371</v>
      </c>
      <c r="B5823" t="s">
        <v>569</v>
      </c>
      <c r="C5823" t="s">
        <v>1679</v>
      </c>
      <c r="D5823" t="str">
        <f t="shared" si="90"/>
        <v>IMA5212</v>
      </c>
      <c r="E5823" t="s">
        <v>1674</v>
      </c>
    </row>
    <row r="5824" spans="1:5" hidden="1" x14ac:dyDescent="0.25">
      <c r="A5824">
        <v>2371</v>
      </c>
      <c r="B5824" t="s">
        <v>569</v>
      </c>
      <c r="C5824" t="s">
        <v>390</v>
      </c>
      <c r="D5824" t="str">
        <f t="shared" si="90"/>
        <v>IMA5214</v>
      </c>
      <c r="E5824" t="s">
        <v>1674</v>
      </c>
    </row>
    <row r="5825" spans="1:5" hidden="1" x14ac:dyDescent="0.25">
      <c r="A5825">
        <v>2371</v>
      </c>
      <c r="B5825" t="s">
        <v>569</v>
      </c>
      <c r="C5825" t="s">
        <v>408</v>
      </c>
      <c r="D5825" t="str">
        <f t="shared" si="90"/>
        <v>IMA5217</v>
      </c>
      <c r="E5825" t="s">
        <v>1680</v>
      </c>
    </row>
    <row r="5826" spans="1:5" hidden="1" x14ac:dyDescent="0.25">
      <c r="A5826">
        <v>2371</v>
      </c>
      <c r="B5826" t="s">
        <v>569</v>
      </c>
      <c r="C5826" t="s">
        <v>1681</v>
      </c>
      <c r="D5826" t="str">
        <f t="shared" si="90"/>
        <v>IMA5220</v>
      </c>
      <c r="E5826" t="s">
        <v>1675</v>
      </c>
    </row>
    <row r="5827" spans="1:5" hidden="1" x14ac:dyDescent="0.25">
      <c r="A5827">
        <v>2371</v>
      </c>
      <c r="B5827" t="s">
        <v>569</v>
      </c>
      <c r="C5827" t="s">
        <v>448</v>
      </c>
      <c r="D5827" t="str">
        <f t="shared" si="90"/>
        <v>IMA5225</v>
      </c>
      <c r="E5827" t="s">
        <v>1674</v>
      </c>
    </row>
    <row r="5828" spans="1:5" hidden="1" x14ac:dyDescent="0.25">
      <c r="A5828">
        <v>2371</v>
      </c>
      <c r="B5828" t="s">
        <v>569</v>
      </c>
      <c r="C5828" t="s">
        <v>458</v>
      </c>
      <c r="D5828" t="str">
        <f t="shared" si="90"/>
        <v>IMA5299</v>
      </c>
      <c r="E5828" t="s">
        <v>1674</v>
      </c>
    </row>
    <row r="5829" spans="1:5" hidden="1" x14ac:dyDescent="0.25">
      <c r="A5829">
        <v>2371</v>
      </c>
      <c r="B5829" t="s">
        <v>569</v>
      </c>
      <c r="C5829" t="s">
        <v>1723</v>
      </c>
      <c r="D5829" t="str">
        <f t="shared" ref="D5829:D5892" si="91">CONCATENATE(B5829,LEFT(C5829,4))</f>
        <v>IMA9108</v>
      </c>
      <c r="E5829" t="s">
        <v>1724</v>
      </c>
    </row>
    <row r="5830" spans="1:5" hidden="1" x14ac:dyDescent="0.25">
      <c r="A5830">
        <v>2371</v>
      </c>
      <c r="B5830" t="s">
        <v>569</v>
      </c>
      <c r="C5830" t="s">
        <v>1684</v>
      </c>
      <c r="D5830" t="str">
        <f t="shared" si="91"/>
        <v>IMA9202</v>
      </c>
      <c r="E5830" t="s">
        <v>1685</v>
      </c>
    </row>
    <row r="5831" spans="1:5" hidden="1" x14ac:dyDescent="0.25">
      <c r="A5831">
        <v>2371</v>
      </c>
      <c r="B5831" t="s">
        <v>569</v>
      </c>
      <c r="C5831" t="s">
        <v>249</v>
      </c>
      <c r="D5831" t="str">
        <f t="shared" si="91"/>
        <v>IMA9301</v>
      </c>
      <c r="E5831" t="s">
        <v>1623</v>
      </c>
    </row>
    <row r="5832" spans="1:5" hidden="1" x14ac:dyDescent="0.25">
      <c r="A5832">
        <v>2371</v>
      </c>
      <c r="B5832" t="s">
        <v>569</v>
      </c>
      <c r="C5832" t="s">
        <v>330</v>
      </c>
      <c r="D5832" t="str">
        <f t="shared" si="91"/>
        <v>IMA9306</v>
      </c>
      <c r="E5832" t="s">
        <v>1686</v>
      </c>
    </row>
    <row r="5833" spans="1:5" hidden="1" x14ac:dyDescent="0.25">
      <c r="A5833">
        <v>2371</v>
      </c>
      <c r="B5833" t="s">
        <v>569</v>
      </c>
      <c r="C5833" t="s">
        <v>366</v>
      </c>
      <c r="D5833" t="str">
        <f t="shared" si="91"/>
        <v>IMA9310</v>
      </c>
      <c r="E5833" t="s">
        <v>1623</v>
      </c>
    </row>
    <row r="5834" spans="1:5" hidden="1" x14ac:dyDescent="0.25">
      <c r="A5834">
        <v>2371</v>
      </c>
      <c r="B5834" t="s">
        <v>569</v>
      </c>
      <c r="C5834" t="s">
        <v>1687</v>
      </c>
      <c r="D5834" t="str">
        <f t="shared" si="91"/>
        <v>IMA9399</v>
      </c>
      <c r="E5834" t="s">
        <v>1623</v>
      </c>
    </row>
    <row r="5835" spans="1:5" hidden="1" x14ac:dyDescent="0.25">
      <c r="A5835">
        <v>2371</v>
      </c>
      <c r="B5835" t="s">
        <v>569</v>
      </c>
      <c r="C5835" t="s">
        <v>1714</v>
      </c>
      <c r="D5835" t="str">
        <f t="shared" si="91"/>
        <v>IMA3939</v>
      </c>
      <c r="E5835" t="s">
        <v>1623</v>
      </c>
    </row>
    <row r="5836" spans="1:5" hidden="1" x14ac:dyDescent="0.25">
      <c r="A5836">
        <v>2381</v>
      </c>
      <c r="B5836" t="e">
        <v>#N/A</v>
      </c>
      <c r="C5836" t="s">
        <v>1597</v>
      </c>
      <c r="D5836" t="e">
        <f t="shared" si="91"/>
        <v>#N/A</v>
      </c>
      <c r="E5836" t="s">
        <v>43</v>
      </c>
    </row>
    <row r="5837" spans="1:5" hidden="1" x14ac:dyDescent="0.25">
      <c r="A5837">
        <v>2381</v>
      </c>
      <c r="B5837" t="e">
        <v>#N/A</v>
      </c>
      <c r="C5837" t="s">
        <v>1604</v>
      </c>
      <c r="D5837" t="e">
        <f t="shared" si="91"/>
        <v>#N/A</v>
      </c>
      <c r="E5837" t="s">
        <v>1600</v>
      </c>
    </row>
    <row r="5838" spans="1:5" hidden="1" x14ac:dyDescent="0.25">
      <c r="A5838">
        <v>2381</v>
      </c>
      <c r="B5838" t="e">
        <v>#N/A</v>
      </c>
      <c r="C5838" t="s">
        <v>1608</v>
      </c>
      <c r="D5838" t="e">
        <f t="shared" si="91"/>
        <v>#N/A</v>
      </c>
      <c r="E5838" t="s">
        <v>1600</v>
      </c>
    </row>
    <row r="5839" spans="1:5" hidden="1" x14ac:dyDescent="0.25">
      <c r="A5839">
        <v>2381</v>
      </c>
      <c r="B5839" t="e">
        <v>#N/A</v>
      </c>
      <c r="C5839" t="s">
        <v>405</v>
      </c>
      <c r="D5839" t="e">
        <f t="shared" si="91"/>
        <v>#N/A</v>
      </c>
      <c r="E5839" t="s">
        <v>1600</v>
      </c>
    </row>
    <row r="5840" spans="1:5" hidden="1" x14ac:dyDescent="0.25">
      <c r="A5840">
        <v>2381</v>
      </c>
      <c r="B5840" t="e">
        <v>#N/A</v>
      </c>
      <c r="C5840" t="s">
        <v>1612</v>
      </c>
      <c r="D5840" t="e">
        <f t="shared" si="91"/>
        <v>#N/A</v>
      </c>
      <c r="E5840" t="s">
        <v>1600</v>
      </c>
    </row>
    <row r="5841" spans="1:5" hidden="1" x14ac:dyDescent="0.25">
      <c r="A5841">
        <v>2381</v>
      </c>
      <c r="B5841" t="e">
        <v>#N/A</v>
      </c>
      <c r="C5841" t="s">
        <v>1613</v>
      </c>
      <c r="D5841" t="e">
        <f t="shared" si="91"/>
        <v>#N/A</v>
      </c>
      <c r="E5841" t="s">
        <v>1600</v>
      </c>
    </row>
    <row r="5842" spans="1:5" hidden="1" x14ac:dyDescent="0.25">
      <c r="A5842">
        <v>2381</v>
      </c>
      <c r="B5842" t="e">
        <v>#N/A</v>
      </c>
      <c r="C5842" t="s">
        <v>1617</v>
      </c>
      <c r="D5842" t="e">
        <f t="shared" si="91"/>
        <v>#N/A</v>
      </c>
      <c r="E5842" t="s">
        <v>1615</v>
      </c>
    </row>
    <row r="5843" spans="1:5" hidden="1" x14ac:dyDescent="0.25">
      <c r="A5843">
        <v>2381</v>
      </c>
      <c r="B5843" t="e">
        <v>#N/A</v>
      </c>
      <c r="C5843" t="s">
        <v>53</v>
      </c>
      <c r="D5843" t="e">
        <f t="shared" si="91"/>
        <v>#N/A</v>
      </c>
      <c r="E5843" t="s">
        <v>43</v>
      </c>
    </row>
    <row r="5844" spans="1:5" hidden="1" x14ac:dyDescent="0.25">
      <c r="A5844">
        <v>2381</v>
      </c>
      <c r="B5844" t="e">
        <v>#N/A</v>
      </c>
      <c r="C5844" t="s">
        <v>1626</v>
      </c>
      <c r="D5844" t="e">
        <f t="shared" si="91"/>
        <v>#N/A</v>
      </c>
      <c r="E5844" t="s">
        <v>43</v>
      </c>
    </row>
    <row r="5845" spans="1:5" hidden="1" x14ac:dyDescent="0.25">
      <c r="A5845">
        <v>2381</v>
      </c>
      <c r="B5845" t="e">
        <v>#N/A</v>
      </c>
      <c r="C5845" t="s">
        <v>1627</v>
      </c>
      <c r="D5845" t="e">
        <f t="shared" si="91"/>
        <v>#N/A</v>
      </c>
      <c r="E5845" t="s">
        <v>43</v>
      </c>
    </row>
    <row r="5846" spans="1:5" hidden="1" x14ac:dyDescent="0.25">
      <c r="A5846">
        <v>2381</v>
      </c>
      <c r="B5846" t="e">
        <v>#N/A</v>
      </c>
      <c r="C5846" t="s">
        <v>1707</v>
      </c>
      <c r="D5846" t="e">
        <f t="shared" si="91"/>
        <v>#N/A</v>
      </c>
      <c r="E5846" t="s">
        <v>1692</v>
      </c>
    </row>
    <row r="5847" spans="1:5" hidden="1" x14ac:dyDescent="0.25">
      <c r="A5847">
        <v>2381</v>
      </c>
      <c r="B5847" t="e">
        <v>#N/A</v>
      </c>
      <c r="C5847" t="s">
        <v>1628</v>
      </c>
      <c r="D5847" t="e">
        <f t="shared" si="91"/>
        <v>#N/A</v>
      </c>
      <c r="E5847" t="s">
        <v>1623</v>
      </c>
    </row>
    <row r="5848" spans="1:5" hidden="1" x14ac:dyDescent="0.25">
      <c r="A5848">
        <v>2381</v>
      </c>
      <c r="B5848" t="e">
        <v>#N/A</v>
      </c>
      <c r="C5848" t="s">
        <v>1631</v>
      </c>
      <c r="D5848" t="e">
        <f t="shared" si="91"/>
        <v>#N/A</v>
      </c>
      <c r="E5848" t="s">
        <v>116</v>
      </c>
    </row>
    <row r="5849" spans="1:5" hidden="1" x14ac:dyDescent="0.25">
      <c r="A5849">
        <v>2381</v>
      </c>
      <c r="B5849" t="e">
        <v>#N/A</v>
      </c>
      <c r="C5849" t="s">
        <v>1632</v>
      </c>
      <c r="D5849" t="e">
        <f t="shared" si="91"/>
        <v>#N/A</v>
      </c>
      <c r="E5849" t="s">
        <v>116</v>
      </c>
    </row>
    <row r="5850" spans="1:5" hidden="1" x14ac:dyDescent="0.25">
      <c r="A5850">
        <v>2381</v>
      </c>
      <c r="B5850" t="e">
        <v>#N/A</v>
      </c>
      <c r="C5850" t="s">
        <v>1635</v>
      </c>
      <c r="D5850" t="e">
        <f t="shared" si="91"/>
        <v>#N/A</v>
      </c>
      <c r="E5850" t="s">
        <v>1623</v>
      </c>
    </row>
    <row r="5851" spans="1:5" hidden="1" x14ac:dyDescent="0.25">
      <c r="A5851">
        <v>2381</v>
      </c>
      <c r="B5851" t="e">
        <v>#N/A</v>
      </c>
      <c r="C5851" t="s">
        <v>345</v>
      </c>
      <c r="D5851" t="e">
        <f t="shared" si="91"/>
        <v>#N/A</v>
      </c>
      <c r="E5851" t="s">
        <v>1623</v>
      </c>
    </row>
    <row r="5852" spans="1:5" hidden="1" x14ac:dyDescent="0.25">
      <c r="A5852">
        <v>2381</v>
      </c>
      <c r="B5852" t="e">
        <v>#N/A</v>
      </c>
      <c r="C5852" t="s">
        <v>1636</v>
      </c>
      <c r="D5852" t="e">
        <f t="shared" si="91"/>
        <v>#N/A</v>
      </c>
      <c r="E5852" t="s">
        <v>1637</v>
      </c>
    </row>
    <row r="5853" spans="1:5" hidden="1" x14ac:dyDescent="0.25">
      <c r="A5853">
        <v>2381</v>
      </c>
      <c r="B5853" t="e">
        <v>#N/A</v>
      </c>
      <c r="C5853" t="s">
        <v>1638</v>
      </c>
      <c r="D5853" t="e">
        <f t="shared" si="91"/>
        <v>#N/A</v>
      </c>
      <c r="E5853" t="s">
        <v>1637</v>
      </c>
    </row>
    <row r="5854" spans="1:5" hidden="1" x14ac:dyDescent="0.25">
      <c r="A5854">
        <v>2381</v>
      </c>
      <c r="B5854" t="e">
        <v>#N/A</v>
      </c>
      <c r="C5854" t="s">
        <v>1639</v>
      </c>
      <c r="D5854" t="e">
        <f t="shared" si="91"/>
        <v>#N/A</v>
      </c>
      <c r="E5854" t="s">
        <v>1615</v>
      </c>
    </row>
    <row r="5855" spans="1:5" hidden="1" x14ac:dyDescent="0.25">
      <c r="A5855">
        <v>2381</v>
      </c>
      <c r="B5855" t="e">
        <v>#N/A</v>
      </c>
      <c r="C5855" t="s">
        <v>1641</v>
      </c>
      <c r="D5855" t="e">
        <f t="shared" si="91"/>
        <v>#N/A</v>
      </c>
      <c r="E5855" t="s">
        <v>2102</v>
      </c>
    </row>
    <row r="5856" spans="1:5" hidden="1" x14ac:dyDescent="0.25">
      <c r="A5856">
        <v>2381</v>
      </c>
      <c r="B5856" t="e">
        <v>#N/A</v>
      </c>
      <c r="C5856" t="s">
        <v>1642</v>
      </c>
      <c r="D5856" t="e">
        <f t="shared" si="91"/>
        <v>#N/A</v>
      </c>
      <c r="E5856" t="s">
        <v>2102</v>
      </c>
    </row>
    <row r="5857" spans="1:5" hidden="1" x14ac:dyDescent="0.25">
      <c r="A5857">
        <v>2381</v>
      </c>
      <c r="B5857" t="e">
        <v>#N/A</v>
      </c>
      <c r="C5857" t="s">
        <v>442</v>
      </c>
      <c r="D5857" t="e">
        <f t="shared" si="91"/>
        <v>#N/A</v>
      </c>
      <c r="E5857" t="s">
        <v>1646</v>
      </c>
    </row>
    <row r="5858" spans="1:5" hidden="1" x14ac:dyDescent="0.25">
      <c r="A5858">
        <v>2381</v>
      </c>
      <c r="B5858" t="e">
        <v>#N/A</v>
      </c>
      <c r="C5858" t="s">
        <v>1650</v>
      </c>
      <c r="D5858" t="e">
        <f t="shared" si="91"/>
        <v>#N/A</v>
      </c>
      <c r="E5858" t="s">
        <v>1623</v>
      </c>
    </row>
    <row r="5859" spans="1:5" hidden="1" x14ac:dyDescent="0.25">
      <c r="A5859">
        <v>2381</v>
      </c>
      <c r="B5859" t="e">
        <v>#N/A</v>
      </c>
      <c r="C5859" t="s">
        <v>1652</v>
      </c>
      <c r="D5859" t="e">
        <f t="shared" si="91"/>
        <v>#N/A</v>
      </c>
      <c r="E5859" t="s">
        <v>93</v>
      </c>
    </row>
    <row r="5860" spans="1:5" hidden="1" x14ac:dyDescent="0.25">
      <c r="A5860">
        <v>2381</v>
      </c>
      <c r="B5860" t="e">
        <v>#N/A</v>
      </c>
      <c r="C5860" t="s">
        <v>1653</v>
      </c>
      <c r="D5860" t="e">
        <f t="shared" si="91"/>
        <v>#N/A</v>
      </c>
      <c r="E5860" t="s">
        <v>1648</v>
      </c>
    </row>
    <row r="5861" spans="1:5" hidden="1" x14ac:dyDescent="0.25">
      <c r="A5861">
        <v>2381</v>
      </c>
      <c r="B5861" t="e">
        <v>#N/A</v>
      </c>
      <c r="C5861" t="s">
        <v>1654</v>
      </c>
      <c r="D5861" t="e">
        <f t="shared" si="91"/>
        <v>#N/A</v>
      </c>
      <c r="E5861" t="s">
        <v>1615</v>
      </c>
    </row>
    <row r="5862" spans="1:5" hidden="1" x14ac:dyDescent="0.25">
      <c r="A5862">
        <v>2381</v>
      </c>
      <c r="B5862" t="e">
        <v>#N/A</v>
      </c>
      <c r="C5862" t="s">
        <v>1660</v>
      </c>
      <c r="D5862" t="e">
        <f t="shared" si="91"/>
        <v>#N/A</v>
      </c>
      <c r="E5862" t="s">
        <v>1648</v>
      </c>
    </row>
    <row r="5863" spans="1:5" hidden="1" x14ac:dyDescent="0.25">
      <c r="A5863">
        <v>2381</v>
      </c>
      <c r="B5863" t="e">
        <v>#N/A</v>
      </c>
      <c r="C5863" t="s">
        <v>1661</v>
      </c>
      <c r="D5863" t="e">
        <f t="shared" si="91"/>
        <v>#N/A</v>
      </c>
      <c r="E5863" t="s">
        <v>1615</v>
      </c>
    </row>
    <row r="5864" spans="1:5" hidden="1" x14ac:dyDescent="0.25">
      <c r="A5864">
        <v>2381</v>
      </c>
      <c r="B5864" t="e">
        <v>#N/A</v>
      </c>
      <c r="C5864" t="s">
        <v>1665</v>
      </c>
      <c r="D5864" t="e">
        <f t="shared" si="91"/>
        <v>#N/A</v>
      </c>
      <c r="E5864" t="s">
        <v>93</v>
      </c>
    </row>
    <row r="5865" spans="1:5" hidden="1" x14ac:dyDescent="0.25">
      <c r="A5865">
        <v>2381</v>
      </c>
      <c r="B5865" t="e">
        <v>#N/A</v>
      </c>
      <c r="C5865" t="s">
        <v>1666</v>
      </c>
      <c r="D5865" t="e">
        <f t="shared" si="91"/>
        <v>#N/A</v>
      </c>
      <c r="E5865" t="s">
        <v>1648</v>
      </c>
    </row>
    <row r="5866" spans="1:5" hidden="1" x14ac:dyDescent="0.25">
      <c r="A5866">
        <v>2381</v>
      </c>
      <c r="B5866" t="e">
        <v>#N/A</v>
      </c>
      <c r="C5866" t="s">
        <v>1667</v>
      </c>
      <c r="D5866" t="e">
        <f t="shared" si="91"/>
        <v>#N/A</v>
      </c>
      <c r="E5866" t="s">
        <v>1648</v>
      </c>
    </row>
    <row r="5867" spans="1:5" hidden="1" x14ac:dyDescent="0.25">
      <c r="A5867">
        <v>2381</v>
      </c>
      <c r="B5867" t="e">
        <v>#N/A</v>
      </c>
      <c r="C5867" t="s">
        <v>1668</v>
      </c>
      <c r="D5867" t="e">
        <f t="shared" si="91"/>
        <v>#N/A</v>
      </c>
      <c r="E5867" t="s">
        <v>1669</v>
      </c>
    </row>
    <row r="5868" spans="1:5" hidden="1" x14ac:dyDescent="0.25">
      <c r="A5868">
        <v>2381</v>
      </c>
      <c r="B5868" t="e">
        <v>#N/A</v>
      </c>
      <c r="C5868" t="s">
        <v>315</v>
      </c>
      <c r="D5868" t="e">
        <f t="shared" si="91"/>
        <v>#N/A</v>
      </c>
      <c r="E5868" t="s">
        <v>1669</v>
      </c>
    </row>
    <row r="5869" spans="1:5" hidden="1" x14ac:dyDescent="0.25">
      <c r="A5869">
        <v>2381</v>
      </c>
      <c r="B5869" t="e">
        <v>#N/A</v>
      </c>
      <c r="C5869" t="s">
        <v>363</v>
      </c>
      <c r="D5869" t="e">
        <f t="shared" si="91"/>
        <v>#N/A</v>
      </c>
      <c r="E5869" t="s">
        <v>1669</v>
      </c>
    </row>
    <row r="5870" spans="1:5" hidden="1" x14ac:dyDescent="0.25">
      <c r="A5870">
        <v>2381</v>
      </c>
      <c r="B5870" t="e">
        <v>#N/A</v>
      </c>
      <c r="C5870" t="s">
        <v>328</v>
      </c>
      <c r="D5870" t="e">
        <f t="shared" si="91"/>
        <v>#N/A</v>
      </c>
      <c r="E5870" t="s">
        <v>1675</v>
      </c>
    </row>
    <row r="5871" spans="1:5" hidden="1" x14ac:dyDescent="0.25">
      <c r="A5871">
        <v>2381</v>
      </c>
      <c r="B5871" t="e">
        <v>#N/A</v>
      </c>
      <c r="C5871" t="s">
        <v>1684</v>
      </c>
      <c r="D5871" t="e">
        <f t="shared" si="91"/>
        <v>#N/A</v>
      </c>
      <c r="E5871" t="s">
        <v>1685</v>
      </c>
    </row>
    <row r="5872" spans="1:5" hidden="1" x14ac:dyDescent="0.25">
      <c r="A5872">
        <v>2381</v>
      </c>
      <c r="B5872" t="e">
        <v>#N/A</v>
      </c>
      <c r="C5872" t="s">
        <v>1687</v>
      </c>
      <c r="D5872" t="e">
        <f t="shared" si="91"/>
        <v>#N/A</v>
      </c>
      <c r="E5872" t="s">
        <v>1623</v>
      </c>
    </row>
    <row r="5873" spans="1:5" hidden="1" x14ac:dyDescent="0.25">
      <c r="A5873">
        <v>2421</v>
      </c>
      <c r="B5873" t="s">
        <v>565</v>
      </c>
      <c r="C5873" t="s">
        <v>331</v>
      </c>
      <c r="D5873" t="str">
        <f t="shared" si="91"/>
        <v>IDENE1314</v>
      </c>
      <c r="E5873" t="s">
        <v>1689</v>
      </c>
    </row>
    <row r="5874" spans="1:5" hidden="1" x14ac:dyDescent="0.25">
      <c r="A5874">
        <v>2421</v>
      </c>
      <c r="B5874" t="s">
        <v>565</v>
      </c>
      <c r="C5874" t="s">
        <v>1597</v>
      </c>
      <c r="D5874" t="str">
        <f t="shared" si="91"/>
        <v>IDENE1401</v>
      </c>
      <c r="E5874" t="s">
        <v>43</v>
      </c>
    </row>
    <row r="5875" spans="1:5" hidden="1" x14ac:dyDescent="0.25">
      <c r="A5875">
        <v>2421</v>
      </c>
      <c r="B5875" t="s">
        <v>565</v>
      </c>
      <c r="C5875" t="s">
        <v>1598</v>
      </c>
      <c r="D5875" t="str">
        <f t="shared" si="91"/>
        <v>IDENE1501</v>
      </c>
      <c r="E5875" t="s">
        <v>43</v>
      </c>
    </row>
    <row r="5876" spans="1:5" hidden="1" x14ac:dyDescent="0.25">
      <c r="A5876">
        <v>2421</v>
      </c>
      <c r="B5876" t="s">
        <v>565</v>
      </c>
      <c r="C5876" t="s">
        <v>1599</v>
      </c>
      <c r="D5876" t="str">
        <f t="shared" si="91"/>
        <v>IDENE3001</v>
      </c>
      <c r="E5876" t="s">
        <v>1600</v>
      </c>
    </row>
    <row r="5877" spans="1:5" hidden="1" x14ac:dyDescent="0.25">
      <c r="A5877">
        <v>2421</v>
      </c>
      <c r="B5877" t="s">
        <v>565</v>
      </c>
      <c r="C5877" t="s">
        <v>1601</v>
      </c>
      <c r="D5877" t="str">
        <f t="shared" si="91"/>
        <v>IDENE3003</v>
      </c>
      <c r="E5877" t="s">
        <v>1600</v>
      </c>
    </row>
    <row r="5878" spans="1:5" hidden="1" x14ac:dyDescent="0.25">
      <c r="A5878">
        <v>2421</v>
      </c>
      <c r="B5878" t="s">
        <v>565</v>
      </c>
      <c r="C5878" t="s">
        <v>1603</v>
      </c>
      <c r="D5878" t="str">
        <f t="shared" si="91"/>
        <v>IDENE3005</v>
      </c>
      <c r="E5878" t="s">
        <v>1600</v>
      </c>
    </row>
    <row r="5879" spans="1:5" hidden="1" x14ac:dyDescent="0.25">
      <c r="A5879">
        <v>2421</v>
      </c>
      <c r="B5879" t="s">
        <v>565</v>
      </c>
      <c r="C5879" t="s">
        <v>1604</v>
      </c>
      <c r="D5879" t="str">
        <f t="shared" si="91"/>
        <v>IDENE3008</v>
      </c>
      <c r="E5879" t="s">
        <v>1600</v>
      </c>
    </row>
    <row r="5880" spans="1:5" hidden="1" x14ac:dyDescent="0.25">
      <c r="A5880">
        <v>2421</v>
      </c>
      <c r="B5880" t="s">
        <v>565</v>
      </c>
      <c r="C5880" t="s">
        <v>1605</v>
      </c>
      <c r="D5880" t="str">
        <f t="shared" si="91"/>
        <v>IDENE3010</v>
      </c>
      <c r="E5880" t="s">
        <v>1606</v>
      </c>
    </row>
    <row r="5881" spans="1:5" hidden="1" x14ac:dyDescent="0.25">
      <c r="A5881">
        <v>2421</v>
      </c>
      <c r="B5881" t="s">
        <v>565</v>
      </c>
      <c r="C5881" t="s">
        <v>405</v>
      </c>
      <c r="D5881" t="str">
        <f t="shared" si="91"/>
        <v>IDENE3017</v>
      </c>
      <c r="E5881" t="s">
        <v>1600</v>
      </c>
    </row>
    <row r="5882" spans="1:5" hidden="1" x14ac:dyDescent="0.25">
      <c r="A5882">
        <v>2421</v>
      </c>
      <c r="B5882" t="s">
        <v>565</v>
      </c>
      <c r="C5882" t="s">
        <v>1612</v>
      </c>
      <c r="D5882" t="str">
        <f t="shared" si="91"/>
        <v>IDENE3020</v>
      </c>
      <c r="E5882" t="s">
        <v>1600</v>
      </c>
    </row>
    <row r="5883" spans="1:5" hidden="1" x14ac:dyDescent="0.25">
      <c r="A5883">
        <v>2421</v>
      </c>
      <c r="B5883" t="s">
        <v>565</v>
      </c>
      <c r="C5883" t="s">
        <v>1613</v>
      </c>
      <c r="D5883" t="str">
        <f t="shared" si="91"/>
        <v>IDENE3021</v>
      </c>
      <c r="E5883" t="s">
        <v>1600</v>
      </c>
    </row>
    <row r="5884" spans="1:5" hidden="1" x14ac:dyDescent="0.25">
      <c r="A5884">
        <v>2421</v>
      </c>
      <c r="B5884" t="s">
        <v>565</v>
      </c>
      <c r="C5884" t="s">
        <v>430</v>
      </c>
      <c r="D5884" t="str">
        <f t="shared" si="91"/>
        <v>IDENE3022</v>
      </c>
      <c r="E5884" t="s">
        <v>1600</v>
      </c>
    </row>
    <row r="5885" spans="1:5" hidden="1" x14ac:dyDescent="0.25">
      <c r="A5885">
        <v>2421</v>
      </c>
      <c r="B5885" t="s">
        <v>565</v>
      </c>
      <c r="C5885" t="s">
        <v>440</v>
      </c>
      <c r="D5885" t="str">
        <f t="shared" si="91"/>
        <v>IDENE3024</v>
      </c>
      <c r="E5885" t="s">
        <v>1600</v>
      </c>
    </row>
    <row r="5886" spans="1:5" hidden="1" x14ac:dyDescent="0.25">
      <c r="A5886">
        <v>2421</v>
      </c>
      <c r="B5886" t="s">
        <v>565</v>
      </c>
      <c r="C5886" t="s">
        <v>1617</v>
      </c>
      <c r="D5886" t="str">
        <f t="shared" si="91"/>
        <v>IDENE3026</v>
      </c>
      <c r="E5886" t="s">
        <v>1615</v>
      </c>
    </row>
    <row r="5887" spans="1:5" hidden="1" x14ac:dyDescent="0.25">
      <c r="A5887">
        <v>2421</v>
      </c>
      <c r="B5887" t="s">
        <v>565</v>
      </c>
      <c r="C5887" t="s">
        <v>1702</v>
      </c>
      <c r="D5887" t="str">
        <f t="shared" si="91"/>
        <v>IDENE3029</v>
      </c>
      <c r="E5887" t="s">
        <v>1600</v>
      </c>
    </row>
    <row r="5888" spans="1:5" hidden="1" x14ac:dyDescent="0.25">
      <c r="A5888">
        <v>2421</v>
      </c>
      <c r="B5888" t="s">
        <v>565</v>
      </c>
      <c r="C5888" t="s">
        <v>482</v>
      </c>
      <c r="D5888" t="str">
        <f t="shared" si="91"/>
        <v>IDENE3038</v>
      </c>
      <c r="E5888" t="s">
        <v>1600</v>
      </c>
    </row>
    <row r="5889" spans="1:5" hidden="1" x14ac:dyDescent="0.25">
      <c r="A5889">
        <v>2421</v>
      </c>
      <c r="B5889" t="s">
        <v>565</v>
      </c>
      <c r="C5889" t="s">
        <v>490</v>
      </c>
      <c r="D5889" t="str">
        <f t="shared" si="91"/>
        <v>IDENE3099</v>
      </c>
      <c r="E5889" t="s">
        <v>1600</v>
      </c>
    </row>
    <row r="5890" spans="1:5" hidden="1" x14ac:dyDescent="0.25">
      <c r="A5890">
        <v>2421</v>
      </c>
      <c r="B5890" t="s">
        <v>565</v>
      </c>
      <c r="C5890" t="s">
        <v>226</v>
      </c>
      <c r="D5890" t="str">
        <f t="shared" si="91"/>
        <v>IDENE3201</v>
      </c>
      <c r="E5890" t="s">
        <v>1623</v>
      </c>
    </row>
    <row r="5891" spans="1:5" hidden="1" x14ac:dyDescent="0.25">
      <c r="A5891">
        <v>2421</v>
      </c>
      <c r="B5891" t="s">
        <v>565</v>
      </c>
      <c r="C5891" t="s">
        <v>53</v>
      </c>
      <c r="D5891" t="str">
        <f t="shared" si="91"/>
        <v>IDENE3301</v>
      </c>
      <c r="E5891" t="s">
        <v>43</v>
      </c>
    </row>
    <row r="5892" spans="1:5" hidden="1" x14ac:dyDescent="0.25">
      <c r="A5892">
        <v>2421</v>
      </c>
      <c r="B5892" t="s">
        <v>565</v>
      </c>
      <c r="C5892" t="s">
        <v>1626</v>
      </c>
      <c r="D5892" t="str">
        <f t="shared" si="91"/>
        <v>IDENE3302</v>
      </c>
      <c r="E5892" t="s">
        <v>43</v>
      </c>
    </row>
    <row r="5893" spans="1:5" hidden="1" x14ac:dyDescent="0.25">
      <c r="A5893">
        <v>2421</v>
      </c>
      <c r="B5893" t="s">
        <v>565</v>
      </c>
      <c r="C5893" t="s">
        <v>1627</v>
      </c>
      <c r="D5893" t="str">
        <f t="shared" ref="D5893:D5956" si="92">CONCATENATE(B5893,LEFT(C5893,4))</f>
        <v>IDENE3304</v>
      </c>
      <c r="E5893" t="s">
        <v>43</v>
      </c>
    </row>
    <row r="5894" spans="1:5" hidden="1" x14ac:dyDescent="0.25">
      <c r="A5894">
        <v>2421</v>
      </c>
      <c r="B5894" t="s">
        <v>565</v>
      </c>
      <c r="C5894" t="s">
        <v>1705</v>
      </c>
      <c r="D5894" t="str">
        <f t="shared" si="92"/>
        <v>IDENE3502</v>
      </c>
      <c r="E5894" t="s">
        <v>1706</v>
      </c>
    </row>
    <row r="5895" spans="1:5" hidden="1" x14ac:dyDescent="0.25">
      <c r="A5895">
        <v>2421</v>
      </c>
      <c r="B5895" t="s">
        <v>565</v>
      </c>
      <c r="C5895" t="s">
        <v>296</v>
      </c>
      <c r="D5895" t="str">
        <f t="shared" si="92"/>
        <v>IDENE3604</v>
      </c>
      <c r="E5895" t="s">
        <v>43</v>
      </c>
    </row>
    <row r="5896" spans="1:5" hidden="1" x14ac:dyDescent="0.25">
      <c r="A5896">
        <v>2421</v>
      </c>
      <c r="B5896" t="s">
        <v>565</v>
      </c>
      <c r="C5896" t="s">
        <v>354</v>
      </c>
      <c r="D5896" t="str">
        <f t="shared" si="92"/>
        <v>IDENE3610</v>
      </c>
      <c r="E5896" t="s">
        <v>1623</v>
      </c>
    </row>
    <row r="5897" spans="1:5" hidden="1" x14ac:dyDescent="0.25">
      <c r="A5897">
        <v>2421</v>
      </c>
      <c r="B5897" t="s">
        <v>565</v>
      </c>
      <c r="C5897" t="s">
        <v>1707</v>
      </c>
      <c r="D5897" t="str">
        <f t="shared" si="92"/>
        <v>IDENE3611</v>
      </c>
      <c r="E5897" t="s">
        <v>1692</v>
      </c>
    </row>
    <row r="5898" spans="1:5" hidden="1" x14ac:dyDescent="0.25">
      <c r="A5898">
        <v>2421</v>
      </c>
      <c r="B5898" t="s">
        <v>565</v>
      </c>
      <c r="C5898" t="s">
        <v>1628</v>
      </c>
      <c r="D5898" t="str">
        <f t="shared" si="92"/>
        <v>IDENE3612</v>
      </c>
      <c r="E5898" t="s">
        <v>1623</v>
      </c>
    </row>
    <row r="5899" spans="1:5" hidden="1" x14ac:dyDescent="0.25">
      <c r="A5899">
        <v>2421</v>
      </c>
      <c r="B5899" t="s">
        <v>565</v>
      </c>
      <c r="C5899" t="s">
        <v>426</v>
      </c>
      <c r="D5899" t="str">
        <f t="shared" si="92"/>
        <v>IDENE3622</v>
      </c>
      <c r="E5899" t="s">
        <v>1692</v>
      </c>
    </row>
    <row r="5900" spans="1:5" hidden="1" x14ac:dyDescent="0.25">
      <c r="A5900">
        <v>2421</v>
      </c>
      <c r="B5900" t="s">
        <v>565</v>
      </c>
      <c r="C5900" t="s">
        <v>1631</v>
      </c>
      <c r="D5900" t="str">
        <f t="shared" si="92"/>
        <v>IDENE3703</v>
      </c>
      <c r="E5900" t="s">
        <v>116</v>
      </c>
    </row>
    <row r="5901" spans="1:5" hidden="1" x14ac:dyDescent="0.25">
      <c r="A5901">
        <v>2421</v>
      </c>
      <c r="B5901" t="s">
        <v>565</v>
      </c>
      <c r="C5901" t="s">
        <v>1632</v>
      </c>
      <c r="D5901" t="str">
        <f t="shared" si="92"/>
        <v>IDENE3704</v>
      </c>
      <c r="E5901" t="s">
        <v>116</v>
      </c>
    </row>
    <row r="5902" spans="1:5" hidden="1" x14ac:dyDescent="0.25">
      <c r="A5902">
        <v>2421</v>
      </c>
      <c r="B5902" t="s">
        <v>565</v>
      </c>
      <c r="C5902" t="s">
        <v>1633</v>
      </c>
      <c r="D5902" t="str">
        <f t="shared" si="92"/>
        <v>IDENE3705</v>
      </c>
      <c r="E5902" t="s">
        <v>116</v>
      </c>
    </row>
    <row r="5903" spans="1:5" hidden="1" x14ac:dyDescent="0.25">
      <c r="A5903">
        <v>2421</v>
      </c>
      <c r="B5903" t="s">
        <v>565</v>
      </c>
      <c r="C5903" t="s">
        <v>298</v>
      </c>
      <c r="D5903" t="str">
        <f t="shared" si="92"/>
        <v>IDENE3904</v>
      </c>
      <c r="E5903" t="s">
        <v>1623</v>
      </c>
    </row>
    <row r="5904" spans="1:5" hidden="1" x14ac:dyDescent="0.25">
      <c r="A5904">
        <v>2421</v>
      </c>
      <c r="B5904" t="s">
        <v>565</v>
      </c>
      <c r="C5904" t="s">
        <v>325</v>
      </c>
      <c r="D5904" t="str">
        <f t="shared" si="92"/>
        <v>IDENE3906</v>
      </c>
      <c r="E5904" t="s">
        <v>1623</v>
      </c>
    </row>
    <row r="5905" spans="1:5" hidden="1" x14ac:dyDescent="0.25">
      <c r="A5905">
        <v>2421</v>
      </c>
      <c r="B5905" t="s">
        <v>565</v>
      </c>
      <c r="C5905" t="s">
        <v>1635</v>
      </c>
      <c r="D5905" t="str">
        <f t="shared" si="92"/>
        <v>IDENE3908</v>
      </c>
      <c r="E5905" t="s">
        <v>1623</v>
      </c>
    </row>
    <row r="5906" spans="1:5" hidden="1" x14ac:dyDescent="0.25">
      <c r="A5906">
        <v>2421</v>
      </c>
      <c r="B5906" t="s">
        <v>565</v>
      </c>
      <c r="C5906" t="s">
        <v>345</v>
      </c>
      <c r="D5906" t="str">
        <f t="shared" si="92"/>
        <v>IDENE3910</v>
      </c>
      <c r="E5906" t="s">
        <v>1623</v>
      </c>
    </row>
    <row r="5907" spans="1:5" hidden="1" x14ac:dyDescent="0.25">
      <c r="A5907">
        <v>2421</v>
      </c>
      <c r="B5907" t="s">
        <v>565</v>
      </c>
      <c r="C5907" t="s">
        <v>1636</v>
      </c>
      <c r="D5907" t="str">
        <f t="shared" si="92"/>
        <v>IDENE3912</v>
      </c>
      <c r="E5907" t="s">
        <v>1637</v>
      </c>
    </row>
    <row r="5908" spans="1:5" hidden="1" x14ac:dyDescent="0.25">
      <c r="A5908">
        <v>2421</v>
      </c>
      <c r="B5908" t="s">
        <v>565</v>
      </c>
      <c r="C5908" t="s">
        <v>1638</v>
      </c>
      <c r="D5908" t="str">
        <f t="shared" si="92"/>
        <v>IDENE3913</v>
      </c>
      <c r="E5908" t="s">
        <v>1637</v>
      </c>
    </row>
    <row r="5909" spans="1:5" hidden="1" x14ac:dyDescent="0.25">
      <c r="A5909">
        <v>2421</v>
      </c>
      <c r="B5909" t="s">
        <v>565</v>
      </c>
      <c r="C5909" t="s">
        <v>383</v>
      </c>
      <c r="D5909" t="str">
        <f t="shared" si="92"/>
        <v>IDENE3915</v>
      </c>
      <c r="E5909" t="s">
        <v>1637</v>
      </c>
    </row>
    <row r="5910" spans="1:5" hidden="1" x14ac:dyDescent="0.25">
      <c r="A5910">
        <v>2421</v>
      </c>
      <c r="B5910" t="s">
        <v>565</v>
      </c>
      <c r="C5910" t="s">
        <v>1639</v>
      </c>
      <c r="D5910" t="str">
        <f t="shared" si="92"/>
        <v>IDENE3917</v>
      </c>
      <c r="E5910" t="s">
        <v>1615</v>
      </c>
    </row>
    <row r="5911" spans="1:5" hidden="1" x14ac:dyDescent="0.25">
      <c r="A5911">
        <v>2421</v>
      </c>
      <c r="B5911" t="s">
        <v>565</v>
      </c>
      <c r="C5911" t="s">
        <v>1640</v>
      </c>
      <c r="D5911" t="str">
        <f t="shared" si="92"/>
        <v>IDENE3918</v>
      </c>
      <c r="E5911" t="s">
        <v>1615</v>
      </c>
    </row>
    <row r="5912" spans="1:5" hidden="1" x14ac:dyDescent="0.25">
      <c r="A5912">
        <v>2421</v>
      </c>
      <c r="B5912" t="s">
        <v>565</v>
      </c>
      <c r="C5912" t="s">
        <v>1641</v>
      </c>
      <c r="D5912" t="str">
        <f t="shared" si="92"/>
        <v>IDENE3919</v>
      </c>
      <c r="E5912" t="s">
        <v>2102</v>
      </c>
    </row>
    <row r="5913" spans="1:5" hidden="1" x14ac:dyDescent="0.25">
      <c r="A5913">
        <v>2421</v>
      </c>
      <c r="B5913" t="s">
        <v>565</v>
      </c>
      <c r="C5913" t="s">
        <v>1694</v>
      </c>
      <c r="D5913" t="str">
        <f t="shared" si="92"/>
        <v>IDENE3920</v>
      </c>
      <c r="E5913" t="s">
        <v>1692</v>
      </c>
    </row>
    <row r="5914" spans="1:5" hidden="1" x14ac:dyDescent="0.25">
      <c r="A5914">
        <v>2421</v>
      </c>
      <c r="B5914" t="s">
        <v>565</v>
      </c>
      <c r="C5914" t="s">
        <v>1642</v>
      </c>
      <c r="D5914" t="str">
        <f t="shared" si="92"/>
        <v>IDENE3921</v>
      </c>
      <c r="E5914" t="s">
        <v>2102</v>
      </c>
    </row>
    <row r="5915" spans="1:5" hidden="1" x14ac:dyDescent="0.25">
      <c r="A5915">
        <v>2421</v>
      </c>
      <c r="B5915" t="s">
        <v>565</v>
      </c>
      <c r="C5915" t="s">
        <v>1643</v>
      </c>
      <c r="D5915" t="str">
        <f t="shared" si="92"/>
        <v>IDENE3922</v>
      </c>
      <c r="E5915" t="s">
        <v>1611</v>
      </c>
    </row>
    <row r="5916" spans="1:5" hidden="1" x14ac:dyDescent="0.25">
      <c r="A5916">
        <v>2421</v>
      </c>
      <c r="B5916" t="s">
        <v>565</v>
      </c>
      <c r="C5916" t="s">
        <v>1644</v>
      </c>
      <c r="D5916" t="str">
        <f t="shared" si="92"/>
        <v>IDENE3924</v>
      </c>
      <c r="E5916" t="s">
        <v>1645</v>
      </c>
    </row>
    <row r="5917" spans="1:5" hidden="1" x14ac:dyDescent="0.25">
      <c r="A5917">
        <v>2421</v>
      </c>
      <c r="B5917" t="s">
        <v>565</v>
      </c>
      <c r="C5917" t="s">
        <v>437</v>
      </c>
      <c r="D5917" t="str">
        <f t="shared" si="92"/>
        <v>IDENE3925</v>
      </c>
      <c r="E5917" t="s">
        <v>1646</v>
      </c>
    </row>
    <row r="5918" spans="1:5" hidden="1" x14ac:dyDescent="0.25">
      <c r="A5918">
        <v>2421</v>
      </c>
      <c r="B5918" t="s">
        <v>565</v>
      </c>
      <c r="C5918" t="s">
        <v>442</v>
      </c>
      <c r="D5918" t="str">
        <f t="shared" si="92"/>
        <v>IDENE3926</v>
      </c>
      <c r="E5918" t="s">
        <v>1646</v>
      </c>
    </row>
    <row r="5919" spans="1:5" hidden="1" x14ac:dyDescent="0.25">
      <c r="A5919">
        <v>2421</v>
      </c>
      <c r="B5919" t="s">
        <v>565</v>
      </c>
      <c r="C5919" t="s">
        <v>1647</v>
      </c>
      <c r="D5919" t="str">
        <f t="shared" si="92"/>
        <v>IDENE3927</v>
      </c>
      <c r="E5919" t="s">
        <v>1648</v>
      </c>
    </row>
    <row r="5920" spans="1:5" hidden="1" x14ac:dyDescent="0.25">
      <c r="A5920">
        <v>2421</v>
      </c>
      <c r="B5920" t="s">
        <v>565</v>
      </c>
      <c r="C5920" t="s">
        <v>457</v>
      </c>
      <c r="D5920" t="str">
        <f t="shared" si="92"/>
        <v>IDENE3930</v>
      </c>
      <c r="E5920" t="s">
        <v>1646</v>
      </c>
    </row>
    <row r="5921" spans="1:5" hidden="1" x14ac:dyDescent="0.25">
      <c r="A5921">
        <v>2421</v>
      </c>
      <c r="B5921" t="s">
        <v>565</v>
      </c>
      <c r="C5921" t="s">
        <v>1650</v>
      </c>
      <c r="D5921" t="str">
        <f t="shared" si="92"/>
        <v>IDENE3931</v>
      </c>
      <c r="E5921" t="s">
        <v>1623</v>
      </c>
    </row>
    <row r="5922" spans="1:5" hidden="1" x14ac:dyDescent="0.25">
      <c r="A5922">
        <v>2421</v>
      </c>
      <c r="B5922" t="s">
        <v>565</v>
      </c>
      <c r="C5922" t="s">
        <v>1652</v>
      </c>
      <c r="D5922" t="str">
        <f t="shared" si="92"/>
        <v>IDENE3936</v>
      </c>
      <c r="E5922" t="s">
        <v>93</v>
      </c>
    </row>
    <row r="5923" spans="1:5" hidden="1" x14ac:dyDescent="0.25">
      <c r="A5923">
        <v>2421</v>
      </c>
      <c r="B5923" t="s">
        <v>565</v>
      </c>
      <c r="C5923" t="s">
        <v>1695</v>
      </c>
      <c r="D5923" t="str">
        <f t="shared" si="92"/>
        <v>IDENE3937</v>
      </c>
      <c r="E5923" t="s">
        <v>1692</v>
      </c>
    </row>
    <row r="5924" spans="1:5" hidden="1" x14ac:dyDescent="0.25">
      <c r="A5924">
        <v>2421</v>
      </c>
      <c r="B5924" t="s">
        <v>565</v>
      </c>
      <c r="C5924" t="s">
        <v>1714</v>
      </c>
      <c r="D5924" t="str">
        <f t="shared" si="92"/>
        <v>IDENE3939</v>
      </c>
      <c r="E5924" t="s">
        <v>1623</v>
      </c>
    </row>
    <row r="5925" spans="1:5" hidden="1" x14ac:dyDescent="0.25">
      <c r="A5925">
        <v>2421</v>
      </c>
      <c r="B5925" t="s">
        <v>565</v>
      </c>
      <c r="C5925" t="s">
        <v>1653</v>
      </c>
      <c r="D5925" t="str">
        <f t="shared" si="92"/>
        <v>IDENE3940</v>
      </c>
      <c r="E5925" t="s">
        <v>1648</v>
      </c>
    </row>
    <row r="5926" spans="1:5" hidden="1" x14ac:dyDescent="0.25">
      <c r="A5926">
        <v>2421</v>
      </c>
      <c r="B5926" t="s">
        <v>565</v>
      </c>
      <c r="C5926" t="s">
        <v>481</v>
      </c>
      <c r="D5926" t="str">
        <f t="shared" si="92"/>
        <v>IDENE3942</v>
      </c>
      <c r="E5926" t="s">
        <v>1623</v>
      </c>
    </row>
    <row r="5927" spans="1:5" hidden="1" x14ac:dyDescent="0.25">
      <c r="A5927">
        <v>2421</v>
      </c>
      <c r="B5927" t="s">
        <v>565</v>
      </c>
      <c r="C5927" t="s">
        <v>1654</v>
      </c>
      <c r="D5927" t="str">
        <f t="shared" si="92"/>
        <v>IDENE3943</v>
      </c>
      <c r="E5927" t="s">
        <v>1615</v>
      </c>
    </row>
    <row r="5928" spans="1:5" hidden="1" x14ac:dyDescent="0.25">
      <c r="A5928">
        <v>2421</v>
      </c>
      <c r="B5928" t="s">
        <v>565</v>
      </c>
      <c r="C5928" t="s">
        <v>1701</v>
      </c>
      <c r="D5928" t="str">
        <f t="shared" si="92"/>
        <v>IDENE3952</v>
      </c>
      <c r="E5928" t="s">
        <v>64</v>
      </c>
    </row>
    <row r="5929" spans="1:5" hidden="1" x14ac:dyDescent="0.25">
      <c r="A5929">
        <v>2421</v>
      </c>
      <c r="B5929" t="s">
        <v>565</v>
      </c>
      <c r="C5929" t="s">
        <v>497</v>
      </c>
      <c r="D5929" t="str">
        <f t="shared" si="92"/>
        <v>IDENE3955</v>
      </c>
      <c r="E5929" t="s">
        <v>1868</v>
      </c>
    </row>
    <row r="5930" spans="1:5" hidden="1" x14ac:dyDescent="0.25">
      <c r="A5930">
        <v>2421</v>
      </c>
      <c r="B5930" t="s">
        <v>565</v>
      </c>
      <c r="C5930" t="s">
        <v>498</v>
      </c>
      <c r="D5930" t="str">
        <f t="shared" si="92"/>
        <v>IDENE3956</v>
      </c>
      <c r="E5930" t="s">
        <v>1623</v>
      </c>
    </row>
    <row r="5931" spans="1:5" hidden="1" x14ac:dyDescent="0.25">
      <c r="A5931">
        <v>2421</v>
      </c>
      <c r="B5931" t="s">
        <v>565</v>
      </c>
      <c r="C5931" t="s">
        <v>1660</v>
      </c>
      <c r="D5931" t="str">
        <f t="shared" si="92"/>
        <v>IDENE3970</v>
      </c>
      <c r="E5931" t="s">
        <v>1648</v>
      </c>
    </row>
    <row r="5932" spans="1:5" hidden="1" x14ac:dyDescent="0.25">
      <c r="A5932">
        <v>2421</v>
      </c>
      <c r="B5932" t="s">
        <v>565</v>
      </c>
      <c r="C5932" t="s">
        <v>520</v>
      </c>
      <c r="D5932" t="str">
        <f t="shared" si="92"/>
        <v>IDENE3981</v>
      </c>
      <c r="E5932" t="s">
        <v>1623</v>
      </c>
    </row>
    <row r="5933" spans="1:5" hidden="1" x14ac:dyDescent="0.25">
      <c r="A5933">
        <v>2421</v>
      </c>
      <c r="B5933" t="s">
        <v>565</v>
      </c>
      <c r="C5933" t="s">
        <v>1661</v>
      </c>
      <c r="D5933" t="str">
        <f t="shared" si="92"/>
        <v>IDENE3987</v>
      </c>
      <c r="E5933" t="s">
        <v>1615</v>
      </c>
    </row>
    <row r="5934" spans="1:5" hidden="1" x14ac:dyDescent="0.25">
      <c r="A5934">
        <v>2421</v>
      </c>
      <c r="B5934" t="s">
        <v>565</v>
      </c>
      <c r="C5934" t="s">
        <v>527</v>
      </c>
      <c r="D5934" t="str">
        <f t="shared" si="92"/>
        <v>IDENE3988</v>
      </c>
      <c r="E5934" t="s">
        <v>1623</v>
      </c>
    </row>
    <row r="5935" spans="1:5" hidden="1" x14ac:dyDescent="0.25">
      <c r="A5935">
        <v>2421</v>
      </c>
      <c r="B5935" t="s">
        <v>565</v>
      </c>
      <c r="C5935" t="s">
        <v>1663</v>
      </c>
      <c r="D5935" t="str">
        <f t="shared" si="92"/>
        <v>IDENE3999</v>
      </c>
      <c r="E5935" t="s">
        <v>1623</v>
      </c>
    </row>
    <row r="5936" spans="1:5" hidden="1" x14ac:dyDescent="0.25">
      <c r="A5936">
        <v>2421</v>
      </c>
      <c r="B5936" t="s">
        <v>565</v>
      </c>
      <c r="C5936" t="s">
        <v>1664</v>
      </c>
      <c r="D5936" t="str">
        <f t="shared" si="92"/>
        <v>IDENE4002</v>
      </c>
      <c r="E5936" t="s">
        <v>1648</v>
      </c>
    </row>
    <row r="5937" spans="1:5" hidden="1" x14ac:dyDescent="0.25">
      <c r="A5937">
        <v>2421</v>
      </c>
      <c r="B5937" t="s">
        <v>565</v>
      </c>
      <c r="C5937" t="s">
        <v>1665</v>
      </c>
      <c r="D5937" t="str">
        <f t="shared" si="92"/>
        <v>IDENE4003</v>
      </c>
      <c r="E5937" t="s">
        <v>93</v>
      </c>
    </row>
    <row r="5938" spans="1:5" hidden="1" x14ac:dyDescent="0.25">
      <c r="A5938">
        <v>2421</v>
      </c>
      <c r="B5938" t="s">
        <v>565</v>
      </c>
      <c r="C5938" t="s">
        <v>1666</v>
      </c>
      <c r="D5938" t="str">
        <f t="shared" si="92"/>
        <v>IDENE4004</v>
      </c>
      <c r="E5938" t="s">
        <v>1648</v>
      </c>
    </row>
    <row r="5939" spans="1:5" hidden="1" x14ac:dyDescent="0.25">
      <c r="A5939">
        <v>2421</v>
      </c>
      <c r="B5939" t="s">
        <v>565</v>
      </c>
      <c r="C5939" t="s">
        <v>1667</v>
      </c>
      <c r="D5939" t="str">
        <f t="shared" si="92"/>
        <v>IDENE4005</v>
      </c>
      <c r="E5939" t="s">
        <v>1648</v>
      </c>
    </row>
    <row r="5940" spans="1:5" hidden="1" x14ac:dyDescent="0.25">
      <c r="A5940">
        <v>2421</v>
      </c>
      <c r="B5940" t="s">
        <v>565</v>
      </c>
      <c r="C5940" t="s">
        <v>1698</v>
      </c>
      <c r="D5940" t="str">
        <f t="shared" si="92"/>
        <v>IDENE4006</v>
      </c>
      <c r="E5940" t="s">
        <v>1675</v>
      </c>
    </row>
    <row r="5941" spans="1:5" hidden="1" x14ac:dyDescent="0.25">
      <c r="A5941">
        <v>2421</v>
      </c>
      <c r="B5941" t="s">
        <v>565</v>
      </c>
      <c r="C5941" t="s">
        <v>1719</v>
      </c>
      <c r="D5941" t="str">
        <f t="shared" si="92"/>
        <v>IDENE4101</v>
      </c>
      <c r="E5941" t="s">
        <v>1623</v>
      </c>
    </row>
    <row r="5942" spans="1:5" hidden="1" x14ac:dyDescent="0.25">
      <c r="A5942">
        <v>2421</v>
      </c>
      <c r="B5942" t="s">
        <v>565</v>
      </c>
      <c r="C5942" t="s">
        <v>1668</v>
      </c>
      <c r="D5942" t="str">
        <f t="shared" si="92"/>
        <v>IDENE4701</v>
      </c>
      <c r="E5942" t="s">
        <v>1669</v>
      </c>
    </row>
    <row r="5943" spans="1:5" hidden="1" x14ac:dyDescent="0.25">
      <c r="A5943">
        <v>2421</v>
      </c>
      <c r="B5943" t="s">
        <v>565</v>
      </c>
      <c r="C5943" t="s">
        <v>264</v>
      </c>
      <c r="D5943" t="str">
        <f t="shared" si="92"/>
        <v>IDENE4703</v>
      </c>
      <c r="E5943" t="s">
        <v>1669</v>
      </c>
    </row>
    <row r="5944" spans="1:5" hidden="1" x14ac:dyDescent="0.25">
      <c r="A5944">
        <v>2421</v>
      </c>
      <c r="B5944" t="s">
        <v>565</v>
      </c>
      <c r="C5944" t="s">
        <v>315</v>
      </c>
      <c r="D5944" t="str">
        <f t="shared" si="92"/>
        <v>IDENE4706</v>
      </c>
      <c r="E5944" t="s">
        <v>1669</v>
      </c>
    </row>
    <row r="5945" spans="1:5" hidden="1" x14ac:dyDescent="0.25">
      <c r="A5945">
        <v>2421</v>
      </c>
      <c r="B5945" t="s">
        <v>565</v>
      </c>
      <c r="C5945" t="s">
        <v>327</v>
      </c>
      <c r="D5945" t="str">
        <f t="shared" si="92"/>
        <v>IDENE4707</v>
      </c>
      <c r="E5945" t="s">
        <v>1669</v>
      </c>
    </row>
    <row r="5946" spans="1:5" hidden="1" x14ac:dyDescent="0.25">
      <c r="A5946">
        <v>2421</v>
      </c>
      <c r="B5946" t="s">
        <v>565</v>
      </c>
      <c r="C5946" t="s">
        <v>363</v>
      </c>
      <c r="D5946" t="str">
        <f t="shared" si="92"/>
        <v>IDENE4799</v>
      </c>
      <c r="E5946" t="s">
        <v>1669</v>
      </c>
    </row>
    <row r="5947" spans="1:5" hidden="1" x14ac:dyDescent="0.25">
      <c r="A5947">
        <v>2421</v>
      </c>
      <c r="B5947" t="s">
        <v>565</v>
      </c>
      <c r="C5947" t="s">
        <v>172</v>
      </c>
      <c r="D5947" t="str">
        <f t="shared" si="92"/>
        <v>IDENE5107</v>
      </c>
      <c r="E5947" t="s">
        <v>1671</v>
      </c>
    </row>
    <row r="5948" spans="1:5" hidden="1" x14ac:dyDescent="0.25">
      <c r="A5948">
        <v>2421</v>
      </c>
      <c r="B5948" t="s">
        <v>565</v>
      </c>
      <c r="C5948" t="s">
        <v>1673</v>
      </c>
      <c r="D5948" t="str">
        <f t="shared" si="92"/>
        <v>IDENE5204</v>
      </c>
      <c r="E5948" t="s">
        <v>1674</v>
      </c>
    </row>
    <row r="5949" spans="1:5" hidden="1" x14ac:dyDescent="0.25">
      <c r="A5949">
        <v>2421</v>
      </c>
      <c r="B5949" t="s">
        <v>565</v>
      </c>
      <c r="C5949" t="s">
        <v>1676</v>
      </c>
      <c r="D5949" t="str">
        <f t="shared" si="92"/>
        <v>IDENE5207</v>
      </c>
      <c r="E5949" t="s">
        <v>1675</v>
      </c>
    </row>
    <row r="5950" spans="1:5" hidden="1" x14ac:dyDescent="0.25">
      <c r="A5950">
        <v>2421</v>
      </c>
      <c r="B5950" t="s">
        <v>565</v>
      </c>
      <c r="C5950" t="s">
        <v>1677</v>
      </c>
      <c r="D5950" t="str">
        <f t="shared" si="92"/>
        <v>IDENE5208</v>
      </c>
      <c r="E5950" t="s">
        <v>1675</v>
      </c>
    </row>
    <row r="5951" spans="1:5" hidden="1" x14ac:dyDescent="0.25">
      <c r="A5951">
        <v>2421</v>
      </c>
      <c r="B5951" t="s">
        <v>565</v>
      </c>
      <c r="C5951" t="s">
        <v>1678</v>
      </c>
      <c r="D5951" t="str">
        <f t="shared" si="92"/>
        <v>IDENE5210</v>
      </c>
      <c r="E5951" t="s">
        <v>1674</v>
      </c>
    </row>
    <row r="5952" spans="1:5" hidden="1" x14ac:dyDescent="0.25">
      <c r="A5952">
        <v>2421</v>
      </c>
      <c r="B5952" t="s">
        <v>565</v>
      </c>
      <c r="C5952" t="s">
        <v>402</v>
      </c>
      <c r="D5952" t="str">
        <f t="shared" si="92"/>
        <v>IDENE5216</v>
      </c>
      <c r="E5952" t="s">
        <v>1680</v>
      </c>
    </row>
    <row r="5953" spans="1:5" hidden="1" x14ac:dyDescent="0.25">
      <c r="A5953">
        <v>2421</v>
      </c>
      <c r="B5953" t="s">
        <v>565</v>
      </c>
      <c r="C5953" t="s">
        <v>408</v>
      </c>
      <c r="D5953" t="str">
        <f t="shared" si="92"/>
        <v>IDENE5217</v>
      </c>
      <c r="E5953" t="s">
        <v>1680</v>
      </c>
    </row>
    <row r="5954" spans="1:5" hidden="1" x14ac:dyDescent="0.25">
      <c r="A5954">
        <v>2421</v>
      </c>
      <c r="B5954" t="s">
        <v>565</v>
      </c>
      <c r="C5954" t="s">
        <v>433</v>
      </c>
      <c r="D5954" t="str">
        <f t="shared" si="92"/>
        <v>IDENE5222</v>
      </c>
      <c r="E5954" t="s">
        <v>1674</v>
      </c>
    </row>
    <row r="5955" spans="1:5" hidden="1" x14ac:dyDescent="0.25">
      <c r="A5955">
        <v>2421</v>
      </c>
      <c r="B5955" t="s">
        <v>565</v>
      </c>
      <c r="C5955" t="s">
        <v>1700</v>
      </c>
      <c r="D5955" t="str">
        <f t="shared" si="92"/>
        <v>IDENE5230</v>
      </c>
      <c r="E5955" t="s">
        <v>1674</v>
      </c>
    </row>
    <row r="5956" spans="1:5" hidden="1" x14ac:dyDescent="0.25">
      <c r="A5956">
        <v>2421</v>
      </c>
      <c r="B5956" t="s">
        <v>565</v>
      </c>
      <c r="C5956" t="s">
        <v>458</v>
      </c>
      <c r="D5956" t="str">
        <f t="shared" si="92"/>
        <v>IDENE5299</v>
      </c>
      <c r="E5956" t="s">
        <v>1674</v>
      </c>
    </row>
    <row r="5957" spans="1:5" hidden="1" x14ac:dyDescent="0.25">
      <c r="A5957">
        <v>2421</v>
      </c>
      <c r="B5957" t="s">
        <v>565</v>
      </c>
      <c r="C5957" t="s">
        <v>1799</v>
      </c>
      <c r="D5957" t="str">
        <f t="shared" ref="D5957:D6020" si="93">CONCATENATE(B5957,LEFT(C5957,4))</f>
        <v>IDENE6106</v>
      </c>
      <c r="E5957" t="s">
        <v>1754</v>
      </c>
    </row>
    <row r="5958" spans="1:5" hidden="1" x14ac:dyDescent="0.25">
      <c r="A5958">
        <v>2421</v>
      </c>
      <c r="B5958" t="s">
        <v>565</v>
      </c>
      <c r="C5958" t="s">
        <v>1684</v>
      </c>
      <c r="D5958" t="str">
        <f t="shared" si="93"/>
        <v>IDENE9202</v>
      </c>
      <c r="E5958" t="s">
        <v>1685</v>
      </c>
    </row>
    <row r="5959" spans="1:5" hidden="1" x14ac:dyDescent="0.25">
      <c r="A5959">
        <v>2421</v>
      </c>
      <c r="B5959" t="s">
        <v>565</v>
      </c>
      <c r="C5959" t="s">
        <v>330</v>
      </c>
      <c r="D5959" t="str">
        <f t="shared" si="93"/>
        <v>IDENE9306</v>
      </c>
      <c r="E5959" t="s">
        <v>1686</v>
      </c>
    </row>
    <row r="5960" spans="1:5" hidden="1" x14ac:dyDescent="0.25">
      <c r="A5960">
        <v>2421</v>
      </c>
      <c r="B5960" t="s">
        <v>565</v>
      </c>
      <c r="C5960" t="s">
        <v>379</v>
      </c>
      <c r="D5960" t="str">
        <f t="shared" si="93"/>
        <v>IDENE9312</v>
      </c>
      <c r="E5960" t="s">
        <v>1623</v>
      </c>
    </row>
    <row r="5961" spans="1:5" hidden="1" x14ac:dyDescent="0.25">
      <c r="A5961">
        <v>2421</v>
      </c>
      <c r="B5961" t="s">
        <v>565</v>
      </c>
      <c r="C5961" t="s">
        <v>1806</v>
      </c>
      <c r="D5961" t="str">
        <f t="shared" si="93"/>
        <v>IDENE9316</v>
      </c>
      <c r="E5961" t="s">
        <v>1623</v>
      </c>
    </row>
    <row r="5962" spans="1:5" hidden="1" x14ac:dyDescent="0.25">
      <c r="A5962">
        <v>2421</v>
      </c>
      <c r="B5962" t="s">
        <v>565</v>
      </c>
      <c r="C5962" t="s">
        <v>1687</v>
      </c>
      <c r="D5962" t="str">
        <f t="shared" si="93"/>
        <v>IDENE9399</v>
      </c>
      <c r="E5962" t="s">
        <v>1623</v>
      </c>
    </row>
    <row r="5963" spans="1:5" hidden="1" x14ac:dyDescent="0.25">
      <c r="A5963">
        <v>2421</v>
      </c>
      <c r="B5963" t="s">
        <v>565</v>
      </c>
      <c r="C5963" t="s">
        <v>1693</v>
      </c>
      <c r="D5963" t="str">
        <f t="shared" si="93"/>
        <v>IDENE3702</v>
      </c>
      <c r="E5963" t="s">
        <v>1630</v>
      </c>
    </row>
    <row r="5964" spans="1:5" hidden="1" x14ac:dyDescent="0.25">
      <c r="A5964">
        <v>2431</v>
      </c>
      <c r="B5964" t="s">
        <v>540</v>
      </c>
      <c r="C5964" t="s">
        <v>331</v>
      </c>
      <c r="D5964" t="str">
        <f t="shared" si="93"/>
        <v>ARMBH1314</v>
      </c>
      <c r="E5964" t="s">
        <v>1689</v>
      </c>
    </row>
    <row r="5965" spans="1:5" hidden="1" x14ac:dyDescent="0.25">
      <c r="A5965">
        <v>2431</v>
      </c>
      <c r="B5965" t="s">
        <v>540</v>
      </c>
      <c r="C5965" t="s">
        <v>398</v>
      </c>
      <c r="D5965" t="str">
        <f t="shared" si="93"/>
        <v>ARMBH1325</v>
      </c>
      <c r="E5965" t="s">
        <v>1689</v>
      </c>
    </row>
    <row r="5966" spans="1:5" hidden="1" x14ac:dyDescent="0.25">
      <c r="A5966">
        <v>2431</v>
      </c>
      <c r="B5966" t="s">
        <v>540</v>
      </c>
      <c r="C5966" t="s">
        <v>1597</v>
      </c>
      <c r="D5966" t="str">
        <f t="shared" si="93"/>
        <v>ARMBH1401</v>
      </c>
      <c r="E5966" t="s">
        <v>43</v>
      </c>
    </row>
    <row r="5967" spans="1:5" hidden="1" x14ac:dyDescent="0.25">
      <c r="A5967">
        <v>2431</v>
      </c>
      <c r="B5967" t="s">
        <v>540</v>
      </c>
      <c r="C5967" t="s">
        <v>1602</v>
      </c>
      <c r="D5967" t="str">
        <f t="shared" si="93"/>
        <v>ARMBH3004</v>
      </c>
      <c r="E5967" t="s">
        <v>1600</v>
      </c>
    </row>
    <row r="5968" spans="1:5" hidden="1" x14ac:dyDescent="0.25">
      <c r="A5968">
        <v>2431</v>
      </c>
      <c r="B5968" t="s">
        <v>540</v>
      </c>
      <c r="C5968" t="s">
        <v>1603</v>
      </c>
      <c r="D5968" t="str">
        <f t="shared" si="93"/>
        <v>ARMBH3005</v>
      </c>
      <c r="E5968" t="s">
        <v>1600</v>
      </c>
    </row>
    <row r="5969" spans="1:5" hidden="1" x14ac:dyDescent="0.25">
      <c r="A5969">
        <v>2431</v>
      </c>
      <c r="B5969" t="s">
        <v>540</v>
      </c>
      <c r="C5969" t="s">
        <v>405</v>
      </c>
      <c r="D5969" t="str">
        <f t="shared" si="93"/>
        <v>ARMBH3017</v>
      </c>
      <c r="E5969" t="s">
        <v>1600</v>
      </c>
    </row>
    <row r="5970" spans="1:5" hidden="1" x14ac:dyDescent="0.25">
      <c r="A5970">
        <v>2431</v>
      </c>
      <c r="B5970" t="s">
        <v>540</v>
      </c>
      <c r="C5970" t="s">
        <v>1617</v>
      </c>
      <c r="D5970" t="str">
        <f t="shared" si="93"/>
        <v>ARMBH3026</v>
      </c>
      <c r="E5970" t="s">
        <v>1615</v>
      </c>
    </row>
    <row r="5971" spans="1:5" hidden="1" x14ac:dyDescent="0.25">
      <c r="A5971">
        <v>2431</v>
      </c>
      <c r="B5971" t="s">
        <v>540</v>
      </c>
      <c r="C5971" t="s">
        <v>1703</v>
      </c>
      <c r="D5971" t="str">
        <f t="shared" si="93"/>
        <v>ARMBH3041</v>
      </c>
      <c r="E5971" t="s">
        <v>1600</v>
      </c>
    </row>
    <row r="5972" spans="1:5" hidden="1" x14ac:dyDescent="0.25">
      <c r="A5972">
        <v>2431</v>
      </c>
      <c r="B5972" t="s">
        <v>540</v>
      </c>
      <c r="C5972" t="s">
        <v>1626</v>
      </c>
      <c r="D5972" t="str">
        <f t="shared" si="93"/>
        <v>ARMBH3302</v>
      </c>
      <c r="E5972" t="s">
        <v>43</v>
      </c>
    </row>
    <row r="5973" spans="1:5" hidden="1" x14ac:dyDescent="0.25">
      <c r="A5973">
        <v>2431</v>
      </c>
      <c r="B5973" t="s">
        <v>540</v>
      </c>
      <c r="C5973" t="s">
        <v>1627</v>
      </c>
      <c r="D5973" t="str">
        <f t="shared" si="93"/>
        <v>ARMBH3304</v>
      </c>
      <c r="E5973" t="s">
        <v>43</v>
      </c>
    </row>
    <row r="5974" spans="1:5" hidden="1" x14ac:dyDescent="0.25">
      <c r="A5974">
        <v>2431</v>
      </c>
      <c r="B5974" t="s">
        <v>540</v>
      </c>
      <c r="C5974" t="s">
        <v>1705</v>
      </c>
      <c r="D5974" t="str">
        <f t="shared" si="93"/>
        <v>ARMBH3502</v>
      </c>
      <c r="E5974" t="s">
        <v>1706</v>
      </c>
    </row>
    <row r="5975" spans="1:5" hidden="1" x14ac:dyDescent="0.25">
      <c r="A5975">
        <v>2431</v>
      </c>
      <c r="B5975" t="s">
        <v>540</v>
      </c>
      <c r="C5975" t="s">
        <v>296</v>
      </c>
      <c r="D5975" t="str">
        <f t="shared" si="93"/>
        <v>ARMBH3604</v>
      </c>
      <c r="E5975" t="s">
        <v>43</v>
      </c>
    </row>
    <row r="5976" spans="1:5" hidden="1" x14ac:dyDescent="0.25">
      <c r="A5976">
        <v>2431</v>
      </c>
      <c r="B5976" t="s">
        <v>540</v>
      </c>
      <c r="C5976" t="s">
        <v>354</v>
      </c>
      <c r="D5976" t="str">
        <f t="shared" si="93"/>
        <v>ARMBH3610</v>
      </c>
      <c r="E5976" t="s">
        <v>1623</v>
      </c>
    </row>
    <row r="5977" spans="1:5" hidden="1" x14ac:dyDescent="0.25">
      <c r="A5977">
        <v>2431</v>
      </c>
      <c r="B5977" t="s">
        <v>540</v>
      </c>
      <c r="C5977" t="s">
        <v>1628</v>
      </c>
      <c r="D5977" t="str">
        <f t="shared" si="93"/>
        <v>ARMBH3612</v>
      </c>
      <c r="E5977" t="s">
        <v>1623</v>
      </c>
    </row>
    <row r="5978" spans="1:5" hidden="1" x14ac:dyDescent="0.25">
      <c r="A5978">
        <v>2431</v>
      </c>
      <c r="B5978" t="s">
        <v>540</v>
      </c>
      <c r="C5978" t="s">
        <v>1632</v>
      </c>
      <c r="D5978" t="str">
        <f t="shared" si="93"/>
        <v>ARMBH3704</v>
      </c>
      <c r="E5978" t="s">
        <v>116</v>
      </c>
    </row>
    <row r="5979" spans="1:5" hidden="1" x14ac:dyDescent="0.25">
      <c r="A5979">
        <v>2431</v>
      </c>
      <c r="B5979" t="s">
        <v>540</v>
      </c>
      <c r="C5979" t="s">
        <v>1633</v>
      </c>
      <c r="D5979" t="str">
        <f t="shared" si="93"/>
        <v>ARMBH3705</v>
      </c>
      <c r="E5979" t="s">
        <v>116</v>
      </c>
    </row>
    <row r="5980" spans="1:5" hidden="1" x14ac:dyDescent="0.25">
      <c r="A5980">
        <v>2431</v>
      </c>
      <c r="B5980" t="s">
        <v>540</v>
      </c>
      <c r="C5980" t="s">
        <v>1634</v>
      </c>
      <c r="D5980" t="str">
        <f t="shared" si="93"/>
        <v>ARMBH3903</v>
      </c>
      <c r="E5980" t="s">
        <v>86</v>
      </c>
    </row>
    <row r="5981" spans="1:5" hidden="1" x14ac:dyDescent="0.25">
      <c r="A5981">
        <v>2431</v>
      </c>
      <c r="B5981" t="s">
        <v>540</v>
      </c>
      <c r="C5981" t="s">
        <v>383</v>
      </c>
      <c r="D5981" t="str">
        <f t="shared" si="93"/>
        <v>ARMBH3915</v>
      </c>
      <c r="E5981" t="s">
        <v>1637</v>
      </c>
    </row>
    <row r="5982" spans="1:5" hidden="1" x14ac:dyDescent="0.25">
      <c r="A5982">
        <v>2431</v>
      </c>
      <c r="B5982" t="s">
        <v>540</v>
      </c>
      <c r="C5982" t="s">
        <v>1639</v>
      </c>
      <c r="D5982" t="str">
        <f t="shared" si="93"/>
        <v>ARMBH3917</v>
      </c>
      <c r="E5982" t="s">
        <v>1615</v>
      </c>
    </row>
    <row r="5983" spans="1:5" hidden="1" x14ac:dyDescent="0.25">
      <c r="A5983">
        <v>2431</v>
      </c>
      <c r="B5983" t="s">
        <v>540</v>
      </c>
      <c r="C5983" t="s">
        <v>1640</v>
      </c>
      <c r="D5983" t="str">
        <f t="shared" si="93"/>
        <v>ARMBH3918</v>
      </c>
      <c r="E5983" t="s">
        <v>1615</v>
      </c>
    </row>
    <row r="5984" spans="1:5" hidden="1" x14ac:dyDescent="0.25">
      <c r="A5984">
        <v>2431</v>
      </c>
      <c r="B5984" t="s">
        <v>540</v>
      </c>
      <c r="C5984" t="s">
        <v>1644</v>
      </c>
      <c r="D5984" t="str">
        <f t="shared" si="93"/>
        <v>ARMBH3924</v>
      </c>
      <c r="E5984" t="s">
        <v>1645</v>
      </c>
    </row>
    <row r="5985" spans="1:5" hidden="1" x14ac:dyDescent="0.25">
      <c r="A5985">
        <v>2431</v>
      </c>
      <c r="B5985" t="s">
        <v>540</v>
      </c>
      <c r="C5985" t="s">
        <v>437</v>
      </c>
      <c r="D5985" t="str">
        <f t="shared" si="93"/>
        <v>ARMBH3925</v>
      </c>
      <c r="E5985" t="s">
        <v>1646</v>
      </c>
    </row>
    <row r="5986" spans="1:5" hidden="1" x14ac:dyDescent="0.25">
      <c r="A5986">
        <v>2431</v>
      </c>
      <c r="B5986" t="s">
        <v>540</v>
      </c>
      <c r="C5986" t="s">
        <v>442</v>
      </c>
      <c r="D5986" t="str">
        <f t="shared" si="93"/>
        <v>ARMBH3926</v>
      </c>
      <c r="E5986" t="s">
        <v>1646</v>
      </c>
    </row>
    <row r="5987" spans="1:5" hidden="1" x14ac:dyDescent="0.25">
      <c r="A5987">
        <v>2431</v>
      </c>
      <c r="B5987" t="s">
        <v>540</v>
      </c>
      <c r="C5987" t="s">
        <v>1650</v>
      </c>
      <c r="D5987" t="str">
        <f t="shared" si="93"/>
        <v>ARMBH3931</v>
      </c>
      <c r="E5987" t="s">
        <v>1623</v>
      </c>
    </row>
    <row r="5988" spans="1:5" hidden="1" x14ac:dyDescent="0.25">
      <c r="A5988">
        <v>2431</v>
      </c>
      <c r="B5988" t="s">
        <v>540</v>
      </c>
      <c r="C5988" t="s">
        <v>1652</v>
      </c>
      <c r="D5988" t="str">
        <f t="shared" si="93"/>
        <v>ARMBH3936</v>
      </c>
      <c r="E5988" t="s">
        <v>93</v>
      </c>
    </row>
    <row r="5989" spans="1:5" hidden="1" x14ac:dyDescent="0.25">
      <c r="A5989">
        <v>2431</v>
      </c>
      <c r="B5989" t="s">
        <v>540</v>
      </c>
      <c r="C5989" t="s">
        <v>1653</v>
      </c>
      <c r="D5989" t="str">
        <f t="shared" si="93"/>
        <v>ARMBH3940</v>
      </c>
      <c r="E5989" t="s">
        <v>1648</v>
      </c>
    </row>
    <row r="5990" spans="1:5" hidden="1" x14ac:dyDescent="0.25">
      <c r="A5990">
        <v>2431</v>
      </c>
      <c r="B5990" t="s">
        <v>540</v>
      </c>
      <c r="C5990" t="s">
        <v>1654</v>
      </c>
      <c r="D5990" t="str">
        <f t="shared" si="93"/>
        <v>ARMBH3943</v>
      </c>
      <c r="E5990" t="s">
        <v>1615</v>
      </c>
    </row>
    <row r="5991" spans="1:5" hidden="1" x14ac:dyDescent="0.25">
      <c r="A5991">
        <v>2431</v>
      </c>
      <c r="B5991" t="s">
        <v>540</v>
      </c>
      <c r="C5991" t="s">
        <v>491</v>
      </c>
      <c r="D5991" t="str">
        <f t="shared" si="93"/>
        <v>ARMBH3948</v>
      </c>
      <c r="E5991" t="s">
        <v>1645</v>
      </c>
    </row>
    <row r="5992" spans="1:5" hidden="1" x14ac:dyDescent="0.25">
      <c r="A5992">
        <v>2431</v>
      </c>
      <c r="B5992" t="s">
        <v>540</v>
      </c>
      <c r="C5992" t="s">
        <v>1701</v>
      </c>
      <c r="D5992" t="str">
        <f t="shared" si="93"/>
        <v>ARMBH3952</v>
      </c>
      <c r="E5992" t="s">
        <v>64</v>
      </c>
    </row>
    <row r="5993" spans="1:5" hidden="1" x14ac:dyDescent="0.25">
      <c r="A5993">
        <v>2431</v>
      </c>
      <c r="B5993" t="s">
        <v>540</v>
      </c>
      <c r="C5993" t="s">
        <v>525</v>
      </c>
      <c r="D5993" t="str">
        <f t="shared" si="93"/>
        <v>ARMBH3986</v>
      </c>
      <c r="E5993" t="s">
        <v>1623</v>
      </c>
    </row>
    <row r="5994" spans="1:5" hidden="1" x14ac:dyDescent="0.25">
      <c r="A5994">
        <v>2431</v>
      </c>
      <c r="B5994" t="s">
        <v>540</v>
      </c>
      <c r="C5994" t="s">
        <v>1661</v>
      </c>
      <c r="D5994" t="str">
        <f t="shared" si="93"/>
        <v>ARMBH3987</v>
      </c>
      <c r="E5994" t="s">
        <v>1615</v>
      </c>
    </row>
    <row r="5995" spans="1:5" hidden="1" x14ac:dyDescent="0.25">
      <c r="A5995">
        <v>2431</v>
      </c>
      <c r="B5995" t="s">
        <v>540</v>
      </c>
      <c r="C5995" t="s">
        <v>1663</v>
      </c>
      <c r="D5995" t="str">
        <f t="shared" si="93"/>
        <v>ARMBH3999</v>
      </c>
      <c r="E5995" t="s">
        <v>1623</v>
      </c>
    </row>
    <row r="5996" spans="1:5" hidden="1" x14ac:dyDescent="0.25">
      <c r="A5996">
        <v>2431</v>
      </c>
      <c r="B5996" t="s">
        <v>540</v>
      </c>
      <c r="C5996" t="s">
        <v>1664</v>
      </c>
      <c r="D5996" t="str">
        <f t="shared" si="93"/>
        <v>ARMBH4002</v>
      </c>
      <c r="E5996" t="s">
        <v>1648</v>
      </c>
    </row>
    <row r="5997" spans="1:5" hidden="1" x14ac:dyDescent="0.25">
      <c r="A5997">
        <v>2431</v>
      </c>
      <c r="B5997" t="s">
        <v>540</v>
      </c>
      <c r="C5997" t="s">
        <v>1665</v>
      </c>
      <c r="D5997" t="str">
        <f t="shared" si="93"/>
        <v>ARMBH4003</v>
      </c>
      <c r="E5997" t="s">
        <v>93</v>
      </c>
    </row>
    <row r="5998" spans="1:5" hidden="1" x14ac:dyDescent="0.25">
      <c r="A5998">
        <v>2431</v>
      </c>
      <c r="B5998" t="s">
        <v>540</v>
      </c>
      <c r="C5998" t="s">
        <v>1666</v>
      </c>
      <c r="D5998" t="str">
        <f t="shared" si="93"/>
        <v>ARMBH4004</v>
      </c>
      <c r="E5998" t="s">
        <v>1648</v>
      </c>
    </row>
    <row r="5999" spans="1:5" hidden="1" x14ac:dyDescent="0.25">
      <c r="A5999">
        <v>2431</v>
      </c>
      <c r="B5999" t="s">
        <v>540</v>
      </c>
      <c r="C5999" t="s">
        <v>1698</v>
      </c>
      <c r="D5999" t="str">
        <f t="shared" si="93"/>
        <v>ARMBH4006</v>
      </c>
      <c r="E5999" t="s">
        <v>1675</v>
      </c>
    </row>
    <row r="6000" spans="1:5" hidden="1" x14ac:dyDescent="0.25">
      <c r="A6000">
        <v>2431</v>
      </c>
      <c r="B6000" t="s">
        <v>540</v>
      </c>
      <c r="C6000" t="s">
        <v>1668</v>
      </c>
      <c r="D6000" t="str">
        <f t="shared" si="93"/>
        <v>ARMBH4701</v>
      </c>
      <c r="E6000" t="s">
        <v>1669</v>
      </c>
    </row>
    <row r="6001" spans="1:5" hidden="1" x14ac:dyDescent="0.25">
      <c r="A6001">
        <v>2431</v>
      </c>
      <c r="B6001" t="s">
        <v>540</v>
      </c>
      <c r="C6001" t="s">
        <v>315</v>
      </c>
      <c r="D6001" t="str">
        <f t="shared" si="93"/>
        <v>ARMBH4706</v>
      </c>
      <c r="E6001" t="s">
        <v>1669</v>
      </c>
    </row>
    <row r="6002" spans="1:5" hidden="1" x14ac:dyDescent="0.25">
      <c r="A6002">
        <v>2431</v>
      </c>
      <c r="B6002" t="s">
        <v>540</v>
      </c>
      <c r="C6002" t="s">
        <v>241</v>
      </c>
      <c r="D6002" t="str">
        <f t="shared" si="93"/>
        <v>ARMBH5201</v>
      </c>
      <c r="E6002" t="s">
        <v>1621</v>
      </c>
    </row>
    <row r="6003" spans="1:5" hidden="1" x14ac:dyDescent="0.25">
      <c r="A6003">
        <v>2431</v>
      </c>
      <c r="B6003" t="s">
        <v>540</v>
      </c>
      <c r="C6003" t="s">
        <v>328</v>
      </c>
      <c r="D6003" t="str">
        <f t="shared" si="93"/>
        <v>ARMBH5206</v>
      </c>
      <c r="E6003" t="s">
        <v>1675</v>
      </c>
    </row>
    <row r="6004" spans="1:5" hidden="1" x14ac:dyDescent="0.25">
      <c r="A6004">
        <v>2431</v>
      </c>
      <c r="B6004" t="s">
        <v>540</v>
      </c>
      <c r="C6004" t="s">
        <v>1676</v>
      </c>
      <c r="D6004" t="str">
        <f t="shared" si="93"/>
        <v>ARMBH5207</v>
      </c>
      <c r="E6004" t="s">
        <v>1675</v>
      </c>
    </row>
    <row r="6005" spans="1:5" hidden="1" x14ac:dyDescent="0.25">
      <c r="A6005">
        <v>2431</v>
      </c>
      <c r="B6005" t="s">
        <v>540</v>
      </c>
      <c r="C6005" t="s">
        <v>1677</v>
      </c>
      <c r="D6005" t="str">
        <f t="shared" si="93"/>
        <v>ARMBH5208</v>
      </c>
      <c r="E6005" t="s">
        <v>1675</v>
      </c>
    </row>
    <row r="6006" spans="1:5" hidden="1" x14ac:dyDescent="0.25">
      <c r="A6006">
        <v>2431</v>
      </c>
      <c r="B6006" t="s">
        <v>540</v>
      </c>
      <c r="C6006" t="s">
        <v>1684</v>
      </c>
      <c r="D6006" t="str">
        <f t="shared" si="93"/>
        <v>ARMBH9202</v>
      </c>
      <c r="E6006" t="s">
        <v>1685</v>
      </c>
    </row>
    <row r="6007" spans="1:5" hidden="1" x14ac:dyDescent="0.25">
      <c r="A6007">
        <v>2431</v>
      </c>
      <c r="B6007" t="s">
        <v>540</v>
      </c>
      <c r="C6007" t="s">
        <v>53</v>
      </c>
      <c r="D6007" t="str">
        <f t="shared" si="93"/>
        <v>ARMBH3301</v>
      </c>
      <c r="E6007" t="s">
        <v>43</v>
      </c>
    </row>
    <row r="6008" spans="1:5" hidden="1" x14ac:dyDescent="0.25">
      <c r="A6008">
        <v>2431</v>
      </c>
      <c r="B6008" t="s">
        <v>540</v>
      </c>
      <c r="C6008" t="s">
        <v>1609</v>
      </c>
      <c r="D6008" t="str">
        <f t="shared" si="93"/>
        <v>ARMBH3016</v>
      </c>
      <c r="E6008" t="s">
        <v>1600</v>
      </c>
    </row>
    <row r="6009" spans="1:5" hidden="1" x14ac:dyDescent="0.25">
      <c r="A6009">
        <v>2431</v>
      </c>
      <c r="B6009" t="s">
        <v>540</v>
      </c>
      <c r="C6009" t="s">
        <v>468</v>
      </c>
      <c r="D6009" t="str">
        <f t="shared" si="93"/>
        <v>ARMBH3934</v>
      </c>
      <c r="E6009" t="s">
        <v>1623</v>
      </c>
    </row>
    <row r="6010" spans="1:5" hidden="1" x14ac:dyDescent="0.25">
      <c r="A6010">
        <v>2441</v>
      </c>
      <c r="B6010" t="s">
        <v>1869</v>
      </c>
      <c r="C6010" t="s">
        <v>331</v>
      </c>
      <c r="D6010" t="str">
        <f t="shared" si="93"/>
        <v>ARSAE-MG1314</v>
      </c>
      <c r="E6010" t="s">
        <v>1623</v>
      </c>
    </row>
    <row r="6011" spans="1:5" hidden="1" x14ac:dyDescent="0.25">
      <c r="A6011">
        <v>2441</v>
      </c>
      <c r="B6011" t="s">
        <v>1869</v>
      </c>
      <c r="C6011" t="s">
        <v>1688</v>
      </c>
      <c r="D6011" t="str">
        <f t="shared" si="93"/>
        <v>ARSAE-MG1317</v>
      </c>
      <c r="E6011" t="s">
        <v>1689</v>
      </c>
    </row>
    <row r="6012" spans="1:5" hidden="1" x14ac:dyDescent="0.25">
      <c r="A6012">
        <v>2441</v>
      </c>
      <c r="B6012" t="s">
        <v>1869</v>
      </c>
      <c r="C6012" t="s">
        <v>1597</v>
      </c>
      <c r="D6012" t="str">
        <f t="shared" si="93"/>
        <v>ARSAE-MG1401</v>
      </c>
      <c r="E6012" t="s">
        <v>43</v>
      </c>
    </row>
    <row r="6013" spans="1:5" hidden="1" x14ac:dyDescent="0.25">
      <c r="A6013">
        <v>2441</v>
      </c>
      <c r="B6013" t="s">
        <v>1869</v>
      </c>
      <c r="C6013" t="s">
        <v>1603</v>
      </c>
      <c r="D6013" t="str">
        <f t="shared" si="93"/>
        <v>ARSAE-MG3005</v>
      </c>
      <c r="E6013" t="s">
        <v>1600</v>
      </c>
    </row>
    <row r="6014" spans="1:5" hidden="1" x14ac:dyDescent="0.25">
      <c r="A6014">
        <v>2441</v>
      </c>
      <c r="B6014" t="s">
        <v>1869</v>
      </c>
      <c r="C6014" t="s">
        <v>1605</v>
      </c>
      <c r="D6014" t="str">
        <f t="shared" si="93"/>
        <v>ARSAE-MG3010</v>
      </c>
      <c r="E6014" t="s">
        <v>1606</v>
      </c>
    </row>
    <row r="6015" spans="1:5" hidden="1" x14ac:dyDescent="0.25">
      <c r="A6015">
        <v>2441</v>
      </c>
      <c r="B6015" t="s">
        <v>1869</v>
      </c>
      <c r="C6015" t="s">
        <v>1608</v>
      </c>
      <c r="D6015" t="str">
        <f t="shared" si="93"/>
        <v>ARSAE-MG3015</v>
      </c>
      <c r="E6015" t="s">
        <v>1600</v>
      </c>
    </row>
    <row r="6016" spans="1:5" hidden="1" x14ac:dyDescent="0.25">
      <c r="A6016">
        <v>2441</v>
      </c>
      <c r="B6016" t="s">
        <v>1869</v>
      </c>
      <c r="C6016" t="s">
        <v>1609</v>
      </c>
      <c r="D6016" t="str">
        <f t="shared" si="93"/>
        <v>ARSAE-MG3016</v>
      </c>
      <c r="E6016" t="s">
        <v>1600</v>
      </c>
    </row>
    <row r="6017" spans="1:5" hidden="1" x14ac:dyDescent="0.25">
      <c r="A6017">
        <v>2441</v>
      </c>
      <c r="B6017" t="s">
        <v>1869</v>
      </c>
      <c r="C6017" t="s">
        <v>405</v>
      </c>
      <c r="D6017" t="str">
        <f t="shared" si="93"/>
        <v>ARSAE-MG3017</v>
      </c>
      <c r="E6017" t="s">
        <v>1600</v>
      </c>
    </row>
    <row r="6018" spans="1:5" hidden="1" x14ac:dyDescent="0.25">
      <c r="A6018">
        <v>2441</v>
      </c>
      <c r="B6018" t="s">
        <v>1869</v>
      </c>
      <c r="C6018" t="s">
        <v>1612</v>
      </c>
      <c r="D6018" t="str">
        <f t="shared" si="93"/>
        <v>ARSAE-MG3020</v>
      </c>
      <c r="E6018" t="s">
        <v>1600</v>
      </c>
    </row>
    <row r="6019" spans="1:5" hidden="1" x14ac:dyDescent="0.25">
      <c r="A6019">
        <v>2441</v>
      </c>
      <c r="B6019" t="s">
        <v>1869</v>
      </c>
      <c r="C6019" t="s">
        <v>1614</v>
      </c>
      <c r="D6019" t="str">
        <f t="shared" si="93"/>
        <v>ARSAE-MG3023</v>
      </c>
      <c r="E6019" t="s">
        <v>1615</v>
      </c>
    </row>
    <row r="6020" spans="1:5" hidden="1" x14ac:dyDescent="0.25">
      <c r="A6020">
        <v>2441</v>
      </c>
      <c r="B6020" t="s">
        <v>1869</v>
      </c>
      <c r="C6020" t="s">
        <v>1616</v>
      </c>
      <c r="D6020" t="str">
        <f t="shared" si="93"/>
        <v>ARSAE-MG3025</v>
      </c>
      <c r="E6020" t="s">
        <v>1600</v>
      </c>
    </row>
    <row r="6021" spans="1:5" hidden="1" x14ac:dyDescent="0.25">
      <c r="A6021">
        <v>2441</v>
      </c>
      <c r="B6021" t="s">
        <v>1869</v>
      </c>
      <c r="C6021" t="s">
        <v>1617</v>
      </c>
      <c r="D6021" t="str">
        <f t="shared" ref="D6021:D6084" si="94">CONCATENATE(B6021,LEFT(C6021,4))</f>
        <v>ARSAE-MG3026</v>
      </c>
      <c r="E6021" t="s">
        <v>1615</v>
      </c>
    </row>
    <row r="6022" spans="1:5" hidden="1" x14ac:dyDescent="0.25">
      <c r="A6022">
        <v>2441</v>
      </c>
      <c r="B6022" t="s">
        <v>1869</v>
      </c>
      <c r="C6022" t="s">
        <v>466</v>
      </c>
      <c r="D6022" t="str">
        <f t="shared" si="94"/>
        <v>ARSAE-MG3030</v>
      </c>
      <c r="E6022" t="s">
        <v>1600</v>
      </c>
    </row>
    <row r="6023" spans="1:5" hidden="1" x14ac:dyDescent="0.25">
      <c r="A6023">
        <v>2441</v>
      </c>
      <c r="B6023" t="s">
        <v>1869</v>
      </c>
      <c r="C6023" t="s">
        <v>1626</v>
      </c>
      <c r="D6023" t="str">
        <f t="shared" si="94"/>
        <v>ARSAE-MG3302</v>
      </c>
      <c r="E6023" t="s">
        <v>43</v>
      </c>
    </row>
    <row r="6024" spans="1:5" hidden="1" x14ac:dyDescent="0.25">
      <c r="A6024">
        <v>2441</v>
      </c>
      <c r="B6024" t="s">
        <v>1869</v>
      </c>
      <c r="C6024" t="s">
        <v>1627</v>
      </c>
      <c r="D6024" t="str">
        <f t="shared" si="94"/>
        <v>ARSAE-MG3304</v>
      </c>
      <c r="E6024" t="s">
        <v>43</v>
      </c>
    </row>
    <row r="6025" spans="1:5" hidden="1" x14ac:dyDescent="0.25">
      <c r="A6025">
        <v>2441</v>
      </c>
      <c r="B6025" t="s">
        <v>1869</v>
      </c>
      <c r="C6025" t="s">
        <v>1705</v>
      </c>
      <c r="D6025" t="str">
        <f t="shared" si="94"/>
        <v>ARSAE-MG3502</v>
      </c>
      <c r="E6025" t="s">
        <v>1706</v>
      </c>
    </row>
    <row r="6026" spans="1:5" hidden="1" x14ac:dyDescent="0.25">
      <c r="A6026">
        <v>2441</v>
      </c>
      <c r="B6026" t="s">
        <v>1869</v>
      </c>
      <c r="C6026" t="s">
        <v>296</v>
      </c>
      <c r="D6026" t="str">
        <f t="shared" si="94"/>
        <v>ARSAE-MG3604</v>
      </c>
      <c r="E6026" t="s">
        <v>43</v>
      </c>
    </row>
    <row r="6027" spans="1:5" hidden="1" x14ac:dyDescent="0.25">
      <c r="A6027">
        <v>2441</v>
      </c>
      <c r="B6027" t="s">
        <v>1869</v>
      </c>
      <c r="C6027" t="s">
        <v>1628</v>
      </c>
      <c r="D6027" t="str">
        <f t="shared" si="94"/>
        <v>ARSAE-MG3612</v>
      </c>
      <c r="E6027" t="s">
        <v>1623</v>
      </c>
    </row>
    <row r="6028" spans="1:5" hidden="1" x14ac:dyDescent="0.25">
      <c r="A6028">
        <v>2441</v>
      </c>
      <c r="B6028" t="s">
        <v>1869</v>
      </c>
      <c r="C6028" t="s">
        <v>1632</v>
      </c>
      <c r="D6028" t="str">
        <f t="shared" si="94"/>
        <v>ARSAE-MG3704</v>
      </c>
      <c r="E6028" t="s">
        <v>116</v>
      </c>
    </row>
    <row r="6029" spans="1:5" hidden="1" x14ac:dyDescent="0.25">
      <c r="A6029">
        <v>2441</v>
      </c>
      <c r="B6029" t="s">
        <v>1869</v>
      </c>
      <c r="C6029" t="s">
        <v>1633</v>
      </c>
      <c r="D6029" t="str">
        <f t="shared" si="94"/>
        <v>ARSAE-MG3705</v>
      </c>
      <c r="E6029" t="s">
        <v>116</v>
      </c>
    </row>
    <row r="6030" spans="1:5" hidden="1" x14ac:dyDescent="0.25">
      <c r="A6030">
        <v>2441</v>
      </c>
      <c r="B6030" t="s">
        <v>1869</v>
      </c>
      <c r="C6030" t="s">
        <v>298</v>
      </c>
      <c r="D6030" t="str">
        <f t="shared" si="94"/>
        <v>ARSAE-MG3904</v>
      </c>
      <c r="E6030" t="s">
        <v>1623</v>
      </c>
    </row>
    <row r="6031" spans="1:5" hidden="1" x14ac:dyDescent="0.25">
      <c r="A6031">
        <v>2441</v>
      </c>
      <c r="B6031" t="s">
        <v>1869</v>
      </c>
      <c r="C6031" t="s">
        <v>335</v>
      </c>
      <c r="D6031" t="str">
        <f t="shared" si="94"/>
        <v>ARSAE-MG3909</v>
      </c>
      <c r="E6031" t="s">
        <v>1809</v>
      </c>
    </row>
    <row r="6032" spans="1:5" hidden="1" x14ac:dyDescent="0.25">
      <c r="A6032">
        <v>2441</v>
      </c>
      <c r="B6032" t="s">
        <v>1869</v>
      </c>
      <c r="C6032" t="s">
        <v>345</v>
      </c>
      <c r="D6032" t="str">
        <f t="shared" si="94"/>
        <v>ARSAE-MG3910</v>
      </c>
      <c r="E6032" t="s">
        <v>2109</v>
      </c>
    </row>
    <row r="6033" spans="1:5" hidden="1" x14ac:dyDescent="0.25">
      <c r="A6033">
        <v>2441</v>
      </c>
      <c r="B6033" t="s">
        <v>1869</v>
      </c>
      <c r="C6033" t="s">
        <v>1639</v>
      </c>
      <c r="D6033" t="str">
        <f t="shared" si="94"/>
        <v>ARSAE-MG3917</v>
      </c>
      <c r="E6033" t="s">
        <v>1615</v>
      </c>
    </row>
    <row r="6034" spans="1:5" hidden="1" x14ac:dyDescent="0.25">
      <c r="A6034">
        <v>2441</v>
      </c>
      <c r="B6034" t="s">
        <v>1869</v>
      </c>
      <c r="C6034" t="s">
        <v>1640</v>
      </c>
      <c r="D6034" t="str">
        <f t="shared" si="94"/>
        <v>ARSAE-MG3918</v>
      </c>
      <c r="E6034" t="s">
        <v>1615</v>
      </c>
    </row>
    <row r="6035" spans="1:5" hidden="1" x14ac:dyDescent="0.25">
      <c r="A6035">
        <v>2441</v>
      </c>
      <c r="B6035" t="s">
        <v>1869</v>
      </c>
      <c r="C6035" t="s">
        <v>1641</v>
      </c>
      <c r="D6035" t="str">
        <f t="shared" si="94"/>
        <v>ARSAE-MG3919</v>
      </c>
      <c r="E6035" t="s">
        <v>2102</v>
      </c>
    </row>
    <row r="6036" spans="1:5" hidden="1" x14ac:dyDescent="0.25">
      <c r="A6036">
        <v>2441</v>
      </c>
      <c r="B6036" t="s">
        <v>1869</v>
      </c>
      <c r="C6036" t="s">
        <v>1642</v>
      </c>
      <c r="D6036" t="str">
        <f t="shared" si="94"/>
        <v>ARSAE-MG3921</v>
      </c>
      <c r="E6036" t="s">
        <v>2102</v>
      </c>
    </row>
    <row r="6037" spans="1:5" hidden="1" x14ac:dyDescent="0.25">
      <c r="A6037">
        <v>2441</v>
      </c>
      <c r="B6037" t="s">
        <v>1869</v>
      </c>
      <c r="C6037" t="s">
        <v>1644</v>
      </c>
      <c r="D6037" t="str">
        <f t="shared" si="94"/>
        <v>ARSAE-MG3924</v>
      </c>
      <c r="E6037" t="s">
        <v>1645</v>
      </c>
    </row>
    <row r="6038" spans="1:5" hidden="1" x14ac:dyDescent="0.25">
      <c r="A6038">
        <v>2441</v>
      </c>
      <c r="B6038" t="s">
        <v>1869</v>
      </c>
      <c r="C6038" t="s">
        <v>442</v>
      </c>
      <c r="D6038" t="str">
        <f t="shared" si="94"/>
        <v>ARSAE-MG3926</v>
      </c>
      <c r="E6038" t="s">
        <v>1623</v>
      </c>
    </row>
    <row r="6039" spans="1:5" hidden="1" x14ac:dyDescent="0.25">
      <c r="A6039">
        <v>2441</v>
      </c>
      <c r="B6039" t="s">
        <v>1869</v>
      </c>
      <c r="C6039" t="s">
        <v>1650</v>
      </c>
      <c r="D6039" t="str">
        <f t="shared" si="94"/>
        <v>ARSAE-MG3931</v>
      </c>
      <c r="E6039" t="s">
        <v>1779</v>
      </c>
    </row>
    <row r="6040" spans="1:5" hidden="1" x14ac:dyDescent="0.25">
      <c r="A6040">
        <v>2441</v>
      </c>
      <c r="B6040" t="s">
        <v>1869</v>
      </c>
      <c r="C6040" t="s">
        <v>1652</v>
      </c>
      <c r="D6040" t="str">
        <f t="shared" si="94"/>
        <v>ARSAE-MG3936</v>
      </c>
      <c r="E6040" t="s">
        <v>93</v>
      </c>
    </row>
    <row r="6041" spans="1:5" hidden="1" x14ac:dyDescent="0.25">
      <c r="A6041">
        <v>2441</v>
      </c>
      <c r="B6041" t="s">
        <v>1869</v>
      </c>
      <c r="C6041" t="s">
        <v>1653</v>
      </c>
      <c r="D6041" t="str">
        <f t="shared" si="94"/>
        <v>ARSAE-MG3940</v>
      </c>
      <c r="E6041" t="s">
        <v>1648</v>
      </c>
    </row>
    <row r="6042" spans="1:5" hidden="1" x14ac:dyDescent="0.25">
      <c r="A6042">
        <v>2441</v>
      </c>
      <c r="B6042" t="s">
        <v>1869</v>
      </c>
      <c r="C6042" t="s">
        <v>479</v>
      </c>
      <c r="D6042" t="str">
        <f t="shared" si="94"/>
        <v>ARSAE-MG3941</v>
      </c>
      <c r="E6042" t="s">
        <v>1782</v>
      </c>
    </row>
    <row r="6043" spans="1:5" hidden="1" x14ac:dyDescent="0.25">
      <c r="A6043">
        <v>2441</v>
      </c>
      <c r="B6043" t="s">
        <v>1869</v>
      </c>
      <c r="C6043" t="s">
        <v>1654</v>
      </c>
      <c r="D6043" t="str">
        <f t="shared" si="94"/>
        <v>ARSAE-MG3943</v>
      </c>
      <c r="E6043" t="s">
        <v>1615</v>
      </c>
    </row>
    <row r="6044" spans="1:5" hidden="1" x14ac:dyDescent="0.25">
      <c r="A6044">
        <v>2441</v>
      </c>
      <c r="B6044" t="s">
        <v>1869</v>
      </c>
      <c r="C6044" t="s">
        <v>491</v>
      </c>
      <c r="D6044" t="str">
        <f t="shared" si="94"/>
        <v>ARSAE-MG3948</v>
      </c>
      <c r="E6044" t="s">
        <v>1645</v>
      </c>
    </row>
    <row r="6045" spans="1:5" hidden="1" x14ac:dyDescent="0.25">
      <c r="A6045">
        <v>2441</v>
      </c>
      <c r="B6045" t="s">
        <v>1869</v>
      </c>
      <c r="C6045" t="s">
        <v>1701</v>
      </c>
      <c r="D6045" t="str">
        <f t="shared" si="94"/>
        <v>ARSAE-MG3952</v>
      </c>
      <c r="E6045" t="s">
        <v>64</v>
      </c>
    </row>
    <row r="6046" spans="1:5" hidden="1" x14ac:dyDescent="0.25">
      <c r="A6046">
        <v>2441</v>
      </c>
      <c r="B6046" t="s">
        <v>1869</v>
      </c>
      <c r="C6046" t="s">
        <v>500</v>
      </c>
      <c r="D6046" t="str">
        <f t="shared" si="94"/>
        <v>ARSAE-MG3958</v>
      </c>
      <c r="E6046" t="s">
        <v>1836</v>
      </c>
    </row>
    <row r="6047" spans="1:5" hidden="1" x14ac:dyDescent="0.25">
      <c r="A6047">
        <v>2441</v>
      </c>
      <c r="B6047" t="s">
        <v>1869</v>
      </c>
      <c r="C6047" t="s">
        <v>1709</v>
      </c>
      <c r="D6047" t="str">
        <f t="shared" si="94"/>
        <v>ARSAE-MG3960</v>
      </c>
      <c r="E6047" t="s">
        <v>1784</v>
      </c>
    </row>
    <row r="6048" spans="1:5" hidden="1" x14ac:dyDescent="0.25">
      <c r="A6048">
        <v>2441</v>
      </c>
      <c r="B6048" t="s">
        <v>1869</v>
      </c>
      <c r="C6048" t="s">
        <v>1661</v>
      </c>
      <c r="D6048" t="str">
        <f t="shared" si="94"/>
        <v>ARSAE-MG3987</v>
      </c>
      <c r="E6048" t="s">
        <v>1615</v>
      </c>
    </row>
    <row r="6049" spans="1:5" hidden="1" x14ac:dyDescent="0.25">
      <c r="A6049">
        <v>2441</v>
      </c>
      <c r="B6049" t="s">
        <v>1869</v>
      </c>
      <c r="C6049" t="s">
        <v>1663</v>
      </c>
      <c r="D6049" t="str">
        <f t="shared" si="94"/>
        <v>ARSAE-MG3999</v>
      </c>
      <c r="E6049" t="s">
        <v>1789</v>
      </c>
    </row>
    <row r="6050" spans="1:5" hidden="1" x14ac:dyDescent="0.25">
      <c r="A6050">
        <v>2441</v>
      </c>
      <c r="B6050" t="s">
        <v>1869</v>
      </c>
      <c r="C6050" t="s">
        <v>1664</v>
      </c>
      <c r="D6050" t="str">
        <f t="shared" si="94"/>
        <v>ARSAE-MG4002</v>
      </c>
      <c r="E6050" t="s">
        <v>1648</v>
      </c>
    </row>
    <row r="6051" spans="1:5" hidden="1" x14ac:dyDescent="0.25">
      <c r="A6051">
        <v>2441</v>
      </c>
      <c r="B6051" t="s">
        <v>1869</v>
      </c>
      <c r="C6051" t="s">
        <v>1665</v>
      </c>
      <c r="D6051" t="str">
        <f t="shared" si="94"/>
        <v>ARSAE-MG4003</v>
      </c>
      <c r="E6051" t="s">
        <v>93</v>
      </c>
    </row>
    <row r="6052" spans="1:5" hidden="1" x14ac:dyDescent="0.25">
      <c r="A6052">
        <v>2441</v>
      </c>
      <c r="B6052" t="s">
        <v>1869</v>
      </c>
      <c r="C6052" t="s">
        <v>1666</v>
      </c>
      <c r="D6052" t="str">
        <f t="shared" si="94"/>
        <v>ARSAE-MG4004</v>
      </c>
      <c r="E6052" t="s">
        <v>1648</v>
      </c>
    </row>
    <row r="6053" spans="1:5" hidden="1" x14ac:dyDescent="0.25">
      <c r="A6053">
        <v>2441</v>
      </c>
      <c r="B6053" t="s">
        <v>1869</v>
      </c>
      <c r="C6053" t="s">
        <v>1698</v>
      </c>
      <c r="D6053" t="str">
        <f t="shared" si="94"/>
        <v>ARSAE-MG4006</v>
      </c>
      <c r="E6053" t="s">
        <v>1675</v>
      </c>
    </row>
    <row r="6054" spans="1:5" hidden="1" x14ac:dyDescent="0.25">
      <c r="A6054">
        <v>2441</v>
      </c>
      <c r="B6054" t="s">
        <v>1869</v>
      </c>
      <c r="C6054" t="s">
        <v>1699</v>
      </c>
      <c r="D6054" t="str">
        <f t="shared" si="94"/>
        <v>ARSAE-MG4007</v>
      </c>
      <c r="E6054" t="s">
        <v>93</v>
      </c>
    </row>
    <row r="6055" spans="1:5" hidden="1" x14ac:dyDescent="0.25">
      <c r="A6055">
        <v>2441</v>
      </c>
      <c r="B6055" t="s">
        <v>1869</v>
      </c>
      <c r="C6055" t="s">
        <v>1668</v>
      </c>
      <c r="D6055" t="str">
        <f t="shared" si="94"/>
        <v>ARSAE-MG4701</v>
      </c>
      <c r="E6055" t="s">
        <v>1669</v>
      </c>
    </row>
    <row r="6056" spans="1:5" hidden="1" x14ac:dyDescent="0.25">
      <c r="A6056">
        <v>2441</v>
      </c>
      <c r="B6056" t="s">
        <v>1869</v>
      </c>
      <c r="C6056" t="s">
        <v>315</v>
      </c>
      <c r="D6056" t="str">
        <f t="shared" si="94"/>
        <v>ARSAE-MG4706</v>
      </c>
      <c r="E6056" t="s">
        <v>1669</v>
      </c>
    </row>
    <row r="6057" spans="1:5" hidden="1" x14ac:dyDescent="0.25">
      <c r="A6057">
        <v>2441</v>
      </c>
      <c r="B6057" t="s">
        <v>1869</v>
      </c>
      <c r="C6057" t="s">
        <v>1676</v>
      </c>
      <c r="D6057" t="str">
        <f t="shared" si="94"/>
        <v>ARSAE-MG5207</v>
      </c>
      <c r="E6057" t="s">
        <v>1675</v>
      </c>
    </row>
    <row r="6058" spans="1:5" hidden="1" x14ac:dyDescent="0.25">
      <c r="A6058">
        <v>2441</v>
      </c>
      <c r="B6058" t="s">
        <v>1869</v>
      </c>
      <c r="C6058" t="s">
        <v>1677</v>
      </c>
      <c r="D6058" t="str">
        <f t="shared" si="94"/>
        <v>ARSAE-MG5208</v>
      </c>
      <c r="E6058" t="s">
        <v>1675</v>
      </c>
    </row>
    <row r="6059" spans="1:5" hidden="1" x14ac:dyDescent="0.25">
      <c r="A6059">
        <v>2441</v>
      </c>
      <c r="B6059" t="s">
        <v>1869</v>
      </c>
      <c r="C6059" t="s">
        <v>408</v>
      </c>
      <c r="D6059" t="str">
        <f t="shared" si="94"/>
        <v>ARSAE-MG5217</v>
      </c>
      <c r="E6059" t="s">
        <v>1680</v>
      </c>
    </row>
    <row r="6060" spans="1:5" hidden="1" x14ac:dyDescent="0.25">
      <c r="A6060">
        <v>2441</v>
      </c>
      <c r="B6060" t="s">
        <v>1869</v>
      </c>
      <c r="C6060" t="s">
        <v>1684</v>
      </c>
      <c r="D6060" t="str">
        <f t="shared" si="94"/>
        <v>ARSAE-MG9202</v>
      </c>
      <c r="E6060" t="s">
        <v>1685</v>
      </c>
    </row>
    <row r="6061" spans="1:5" hidden="1" x14ac:dyDescent="0.25">
      <c r="A6061">
        <v>2441</v>
      </c>
      <c r="B6061" t="s">
        <v>1869</v>
      </c>
      <c r="C6061" t="s">
        <v>497</v>
      </c>
      <c r="D6061" t="str">
        <f t="shared" si="94"/>
        <v>ARSAE-MG3955</v>
      </c>
      <c r="E6061" t="s">
        <v>1623</v>
      </c>
    </row>
    <row r="6062" spans="1:5" hidden="1" x14ac:dyDescent="0.25">
      <c r="A6062">
        <v>2441</v>
      </c>
      <c r="B6062" t="s">
        <v>1869</v>
      </c>
      <c r="C6062" t="s">
        <v>1687</v>
      </c>
      <c r="D6062" t="str">
        <f t="shared" si="94"/>
        <v>ARSAE-MG9399</v>
      </c>
      <c r="E6062" t="s">
        <v>2113</v>
      </c>
    </row>
    <row r="6063" spans="1:5" hidden="1" x14ac:dyDescent="0.25">
      <c r="A6063">
        <v>2441</v>
      </c>
      <c r="B6063" t="s">
        <v>1869</v>
      </c>
      <c r="C6063" t="s">
        <v>1678</v>
      </c>
      <c r="D6063" t="str">
        <f t="shared" si="94"/>
        <v>ARSAE-MG5210</v>
      </c>
      <c r="E6063" t="s">
        <v>1674</v>
      </c>
    </row>
    <row r="6064" spans="1:5" hidden="1" x14ac:dyDescent="0.25">
      <c r="A6064">
        <v>2461</v>
      </c>
      <c r="B6064" t="s">
        <v>541</v>
      </c>
      <c r="C6064" t="s">
        <v>331</v>
      </c>
      <c r="D6064" t="str">
        <f t="shared" si="94"/>
        <v>ARMVA1314</v>
      </c>
      <c r="E6064" t="s">
        <v>1689</v>
      </c>
    </row>
    <row r="6065" spans="1:5" hidden="1" x14ac:dyDescent="0.25">
      <c r="A6065">
        <v>2461</v>
      </c>
      <c r="B6065" t="s">
        <v>541</v>
      </c>
      <c r="C6065" t="s">
        <v>1597</v>
      </c>
      <c r="D6065" t="str">
        <f t="shared" si="94"/>
        <v>ARMVA1401</v>
      </c>
      <c r="E6065" t="s">
        <v>43</v>
      </c>
    </row>
    <row r="6066" spans="1:5" hidden="1" x14ac:dyDescent="0.25">
      <c r="A6066">
        <v>2461</v>
      </c>
      <c r="B6066" t="s">
        <v>541</v>
      </c>
      <c r="C6066" t="s">
        <v>1599</v>
      </c>
      <c r="D6066" t="str">
        <f t="shared" si="94"/>
        <v>ARMVA3001</v>
      </c>
      <c r="E6066" t="s">
        <v>1600</v>
      </c>
    </row>
    <row r="6067" spans="1:5" hidden="1" x14ac:dyDescent="0.25">
      <c r="A6067">
        <v>2461</v>
      </c>
      <c r="B6067" t="s">
        <v>541</v>
      </c>
      <c r="C6067" t="s">
        <v>1601</v>
      </c>
      <c r="D6067" t="str">
        <f t="shared" si="94"/>
        <v>ARMVA3003</v>
      </c>
      <c r="E6067" t="s">
        <v>1600</v>
      </c>
    </row>
    <row r="6068" spans="1:5" hidden="1" x14ac:dyDescent="0.25">
      <c r="A6068">
        <v>2461</v>
      </c>
      <c r="B6068" t="s">
        <v>541</v>
      </c>
      <c r="C6068" t="s">
        <v>1603</v>
      </c>
      <c r="D6068" t="str">
        <f t="shared" si="94"/>
        <v>ARMVA3005</v>
      </c>
      <c r="E6068" t="s">
        <v>1600</v>
      </c>
    </row>
    <row r="6069" spans="1:5" hidden="1" x14ac:dyDescent="0.25">
      <c r="A6069">
        <v>2461</v>
      </c>
      <c r="B6069" t="s">
        <v>541</v>
      </c>
      <c r="C6069" t="s">
        <v>1604</v>
      </c>
      <c r="D6069" t="str">
        <f t="shared" si="94"/>
        <v>ARMVA3008</v>
      </c>
      <c r="E6069" t="s">
        <v>1600</v>
      </c>
    </row>
    <row r="6070" spans="1:5" hidden="1" x14ac:dyDescent="0.25">
      <c r="A6070">
        <v>2461</v>
      </c>
      <c r="B6070" t="s">
        <v>541</v>
      </c>
      <c r="C6070" t="s">
        <v>1605</v>
      </c>
      <c r="D6070" t="str">
        <f t="shared" si="94"/>
        <v>ARMVA3010</v>
      </c>
      <c r="E6070" t="s">
        <v>1606</v>
      </c>
    </row>
    <row r="6071" spans="1:5" hidden="1" x14ac:dyDescent="0.25">
      <c r="A6071">
        <v>2461</v>
      </c>
      <c r="B6071" t="s">
        <v>541</v>
      </c>
      <c r="C6071" t="s">
        <v>137</v>
      </c>
      <c r="D6071" t="str">
        <f t="shared" si="94"/>
        <v>ARMVA3012</v>
      </c>
      <c r="E6071" t="s">
        <v>1606</v>
      </c>
    </row>
    <row r="6072" spans="1:5" hidden="1" x14ac:dyDescent="0.25">
      <c r="A6072">
        <v>2461</v>
      </c>
      <c r="B6072" t="s">
        <v>541</v>
      </c>
      <c r="C6072" t="s">
        <v>1608</v>
      </c>
      <c r="D6072" t="str">
        <f t="shared" si="94"/>
        <v>ARMVA3015</v>
      </c>
      <c r="E6072" t="s">
        <v>1600</v>
      </c>
    </row>
    <row r="6073" spans="1:5" hidden="1" x14ac:dyDescent="0.25">
      <c r="A6073">
        <v>2461</v>
      </c>
      <c r="B6073" t="s">
        <v>541</v>
      </c>
      <c r="C6073" t="s">
        <v>1609</v>
      </c>
      <c r="D6073" t="str">
        <f t="shared" si="94"/>
        <v>ARMVA3016</v>
      </c>
      <c r="E6073" t="s">
        <v>1600</v>
      </c>
    </row>
    <row r="6074" spans="1:5" hidden="1" x14ac:dyDescent="0.25">
      <c r="A6074">
        <v>2461</v>
      </c>
      <c r="B6074" t="s">
        <v>541</v>
      </c>
      <c r="C6074" t="s">
        <v>405</v>
      </c>
      <c r="D6074" t="str">
        <f t="shared" si="94"/>
        <v>ARMVA3017</v>
      </c>
      <c r="E6074" t="s">
        <v>1600</v>
      </c>
    </row>
    <row r="6075" spans="1:5" hidden="1" x14ac:dyDescent="0.25">
      <c r="A6075">
        <v>2461</v>
      </c>
      <c r="B6075" t="s">
        <v>541</v>
      </c>
      <c r="C6075" t="s">
        <v>1612</v>
      </c>
      <c r="D6075" t="str">
        <f t="shared" si="94"/>
        <v>ARMVA3020</v>
      </c>
      <c r="E6075" t="s">
        <v>1600</v>
      </c>
    </row>
    <row r="6076" spans="1:5" hidden="1" x14ac:dyDescent="0.25">
      <c r="A6076">
        <v>2461</v>
      </c>
      <c r="B6076" t="s">
        <v>541</v>
      </c>
      <c r="C6076" t="s">
        <v>430</v>
      </c>
      <c r="D6076" t="str">
        <f t="shared" si="94"/>
        <v>ARMVA3022</v>
      </c>
      <c r="E6076" t="s">
        <v>1600</v>
      </c>
    </row>
    <row r="6077" spans="1:5" hidden="1" x14ac:dyDescent="0.25">
      <c r="A6077">
        <v>2461</v>
      </c>
      <c r="B6077" t="s">
        <v>541</v>
      </c>
      <c r="C6077" t="s">
        <v>440</v>
      </c>
      <c r="D6077" t="str">
        <f t="shared" si="94"/>
        <v>ARMVA3024</v>
      </c>
      <c r="E6077" t="s">
        <v>1600</v>
      </c>
    </row>
    <row r="6078" spans="1:5" hidden="1" x14ac:dyDescent="0.25">
      <c r="A6078">
        <v>2461</v>
      </c>
      <c r="B6078" t="s">
        <v>541</v>
      </c>
      <c r="C6078" t="s">
        <v>1616</v>
      </c>
      <c r="D6078" t="str">
        <f t="shared" si="94"/>
        <v>ARMVA3025</v>
      </c>
      <c r="E6078" t="s">
        <v>1600</v>
      </c>
    </row>
    <row r="6079" spans="1:5" hidden="1" x14ac:dyDescent="0.25">
      <c r="A6079">
        <v>2461</v>
      </c>
      <c r="B6079" t="s">
        <v>541</v>
      </c>
      <c r="C6079" t="s">
        <v>1617</v>
      </c>
      <c r="D6079" t="str">
        <f t="shared" si="94"/>
        <v>ARMVA3026</v>
      </c>
      <c r="E6079" t="s">
        <v>1615</v>
      </c>
    </row>
    <row r="6080" spans="1:5" hidden="1" x14ac:dyDescent="0.25">
      <c r="A6080">
        <v>2461</v>
      </c>
      <c r="B6080" t="s">
        <v>541</v>
      </c>
      <c r="C6080" t="s">
        <v>476</v>
      </c>
      <c r="D6080" t="str">
        <f t="shared" si="94"/>
        <v>ARMVA3034</v>
      </c>
      <c r="E6080" t="s">
        <v>1621</v>
      </c>
    </row>
    <row r="6081" spans="1:5" hidden="1" x14ac:dyDescent="0.25">
      <c r="A6081">
        <v>2461</v>
      </c>
      <c r="B6081" t="s">
        <v>541</v>
      </c>
      <c r="C6081" t="s">
        <v>486</v>
      </c>
      <c r="D6081" t="str">
        <f t="shared" si="94"/>
        <v>ARMVA3040</v>
      </c>
      <c r="E6081" t="s">
        <v>1600</v>
      </c>
    </row>
    <row r="6082" spans="1:5" hidden="1" x14ac:dyDescent="0.25">
      <c r="A6082">
        <v>2461</v>
      </c>
      <c r="B6082" t="s">
        <v>541</v>
      </c>
      <c r="C6082" t="s">
        <v>1703</v>
      </c>
      <c r="D6082" t="str">
        <f t="shared" si="94"/>
        <v>ARMVA3041</v>
      </c>
      <c r="E6082" t="s">
        <v>1623</v>
      </c>
    </row>
    <row r="6083" spans="1:5" hidden="1" x14ac:dyDescent="0.25">
      <c r="A6083">
        <v>2461</v>
      </c>
      <c r="B6083" t="s">
        <v>541</v>
      </c>
      <c r="C6083" t="s">
        <v>490</v>
      </c>
      <c r="D6083" t="str">
        <f t="shared" si="94"/>
        <v>ARMVA3099</v>
      </c>
      <c r="E6083" t="s">
        <v>1600</v>
      </c>
    </row>
    <row r="6084" spans="1:5" hidden="1" x14ac:dyDescent="0.25">
      <c r="A6084">
        <v>2461</v>
      </c>
      <c r="B6084" t="s">
        <v>541</v>
      </c>
      <c r="C6084" t="s">
        <v>293</v>
      </c>
      <c r="D6084" t="str">
        <f t="shared" si="94"/>
        <v>ARMVA3104</v>
      </c>
      <c r="E6084" t="s">
        <v>1623</v>
      </c>
    </row>
    <row r="6085" spans="1:5" hidden="1" x14ac:dyDescent="0.25">
      <c r="A6085">
        <v>2461</v>
      </c>
      <c r="B6085" t="s">
        <v>541</v>
      </c>
      <c r="C6085" t="s">
        <v>53</v>
      </c>
      <c r="D6085" t="str">
        <f t="shared" ref="D6085:D6144" si="95">CONCATENATE(B6085,LEFT(C6085,4))</f>
        <v>ARMVA3301</v>
      </c>
      <c r="E6085" t="s">
        <v>43</v>
      </c>
    </row>
    <row r="6086" spans="1:5" hidden="1" x14ac:dyDescent="0.25">
      <c r="A6086">
        <v>2461</v>
      </c>
      <c r="B6086" t="s">
        <v>541</v>
      </c>
      <c r="C6086" t="s">
        <v>1626</v>
      </c>
      <c r="D6086" t="str">
        <f t="shared" si="95"/>
        <v>ARMVA3302</v>
      </c>
      <c r="E6086" t="s">
        <v>43</v>
      </c>
    </row>
    <row r="6087" spans="1:5" hidden="1" x14ac:dyDescent="0.25">
      <c r="A6087">
        <v>2461</v>
      </c>
      <c r="B6087" t="s">
        <v>541</v>
      </c>
      <c r="C6087" t="s">
        <v>1627</v>
      </c>
      <c r="D6087" t="str">
        <f t="shared" si="95"/>
        <v>ARMVA3304</v>
      </c>
      <c r="E6087" t="s">
        <v>43</v>
      </c>
    </row>
    <row r="6088" spans="1:5" hidden="1" x14ac:dyDescent="0.25">
      <c r="A6088">
        <v>2461</v>
      </c>
      <c r="B6088" t="s">
        <v>541</v>
      </c>
      <c r="C6088" t="s">
        <v>1705</v>
      </c>
      <c r="D6088" t="str">
        <f t="shared" si="95"/>
        <v>ARMVA3502</v>
      </c>
      <c r="E6088" t="s">
        <v>1706</v>
      </c>
    </row>
    <row r="6089" spans="1:5" hidden="1" x14ac:dyDescent="0.25">
      <c r="A6089">
        <v>2461</v>
      </c>
      <c r="B6089" t="s">
        <v>541</v>
      </c>
      <c r="C6089" t="s">
        <v>296</v>
      </c>
      <c r="D6089" t="str">
        <f t="shared" si="95"/>
        <v>ARMVA3604</v>
      </c>
      <c r="E6089" t="s">
        <v>43</v>
      </c>
    </row>
    <row r="6090" spans="1:5" hidden="1" x14ac:dyDescent="0.25">
      <c r="A6090">
        <v>2461</v>
      </c>
      <c r="B6090" t="s">
        <v>541</v>
      </c>
      <c r="C6090" t="s">
        <v>354</v>
      </c>
      <c r="D6090" t="str">
        <f t="shared" si="95"/>
        <v>ARMVA3610</v>
      </c>
      <c r="E6090" t="s">
        <v>1623</v>
      </c>
    </row>
    <row r="6091" spans="1:5" hidden="1" x14ac:dyDescent="0.25">
      <c r="A6091">
        <v>2461</v>
      </c>
      <c r="B6091" t="s">
        <v>541</v>
      </c>
      <c r="C6091" t="s">
        <v>1628</v>
      </c>
      <c r="D6091" t="str">
        <f t="shared" si="95"/>
        <v>ARMVA3612</v>
      </c>
      <c r="E6091" t="s">
        <v>1623</v>
      </c>
    </row>
    <row r="6092" spans="1:5" hidden="1" x14ac:dyDescent="0.25">
      <c r="A6092">
        <v>2461</v>
      </c>
      <c r="B6092" t="s">
        <v>541</v>
      </c>
      <c r="C6092" t="s">
        <v>470</v>
      </c>
      <c r="D6092" t="str">
        <f t="shared" si="95"/>
        <v>ARMVA3699</v>
      </c>
      <c r="E6092" t="s">
        <v>1623</v>
      </c>
    </row>
    <row r="6093" spans="1:5" hidden="1" x14ac:dyDescent="0.25">
      <c r="A6093">
        <v>2461</v>
      </c>
      <c r="B6093" t="s">
        <v>541</v>
      </c>
      <c r="C6093" t="s">
        <v>1693</v>
      </c>
      <c r="D6093" t="str">
        <f t="shared" si="95"/>
        <v>ARMVA3702</v>
      </c>
      <c r="E6093" t="s">
        <v>1630</v>
      </c>
    </row>
    <row r="6094" spans="1:5" hidden="1" x14ac:dyDescent="0.25">
      <c r="A6094">
        <v>2461</v>
      </c>
      <c r="B6094" t="s">
        <v>541</v>
      </c>
      <c r="C6094" t="s">
        <v>1631</v>
      </c>
      <c r="D6094" t="str">
        <f t="shared" si="95"/>
        <v>ARMVA3703</v>
      </c>
      <c r="E6094" t="s">
        <v>116</v>
      </c>
    </row>
    <row r="6095" spans="1:5" hidden="1" x14ac:dyDescent="0.25">
      <c r="A6095">
        <v>2461</v>
      </c>
      <c r="B6095" t="s">
        <v>541</v>
      </c>
      <c r="C6095" t="s">
        <v>1632</v>
      </c>
      <c r="D6095" t="str">
        <f t="shared" si="95"/>
        <v>ARMVA3704</v>
      </c>
      <c r="E6095" t="s">
        <v>116</v>
      </c>
    </row>
    <row r="6096" spans="1:5" hidden="1" x14ac:dyDescent="0.25">
      <c r="A6096">
        <v>2461</v>
      </c>
      <c r="B6096" t="s">
        <v>541</v>
      </c>
      <c r="C6096" t="s">
        <v>1633</v>
      </c>
      <c r="D6096" t="str">
        <f t="shared" si="95"/>
        <v>ARMVA3705</v>
      </c>
      <c r="E6096" t="s">
        <v>116</v>
      </c>
    </row>
    <row r="6097" spans="1:5" hidden="1" x14ac:dyDescent="0.25">
      <c r="A6097">
        <v>2461</v>
      </c>
      <c r="B6097" t="s">
        <v>541</v>
      </c>
      <c r="C6097" t="s">
        <v>1634</v>
      </c>
      <c r="D6097" t="str">
        <f t="shared" si="95"/>
        <v>ARMVA3903</v>
      </c>
      <c r="E6097" t="s">
        <v>86</v>
      </c>
    </row>
    <row r="6098" spans="1:5" hidden="1" x14ac:dyDescent="0.25">
      <c r="A6098">
        <v>2461</v>
      </c>
      <c r="B6098" t="s">
        <v>541</v>
      </c>
      <c r="C6098" t="s">
        <v>335</v>
      </c>
      <c r="D6098" t="str">
        <f t="shared" si="95"/>
        <v>ARMVA3909</v>
      </c>
      <c r="E6098" t="s">
        <v>1623</v>
      </c>
    </row>
    <row r="6099" spans="1:5" hidden="1" x14ac:dyDescent="0.25">
      <c r="A6099">
        <v>2461</v>
      </c>
      <c r="B6099" t="s">
        <v>541</v>
      </c>
      <c r="C6099" t="s">
        <v>345</v>
      </c>
      <c r="D6099" t="str">
        <f t="shared" si="95"/>
        <v>ARMVA3910</v>
      </c>
      <c r="E6099" t="s">
        <v>1623</v>
      </c>
    </row>
    <row r="6100" spans="1:5" hidden="1" x14ac:dyDescent="0.25">
      <c r="A6100">
        <v>2461</v>
      </c>
      <c r="B6100" t="s">
        <v>541</v>
      </c>
      <c r="C6100" t="s">
        <v>1636</v>
      </c>
      <c r="D6100" t="str">
        <f t="shared" si="95"/>
        <v>ARMVA3912</v>
      </c>
      <c r="E6100" t="s">
        <v>1637</v>
      </c>
    </row>
    <row r="6101" spans="1:5" hidden="1" x14ac:dyDescent="0.25">
      <c r="A6101">
        <v>2461</v>
      </c>
      <c r="B6101" t="s">
        <v>541</v>
      </c>
      <c r="C6101" t="s">
        <v>383</v>
      </c>
      <c r="D6101" t="str">
        <f t="shared" si="95"/>
        <v>ARMVA3915</v>
      </c>
      <c r="E6101" t="s">
        <v>1637</v>
      </c>
    </row>
    <row r="6102" spans="1:5" hidden="1" x14ac:dyDescent="0.25">
      <c r="A6102">
        <v>2461</v>
      </c>
      <c r="B6102" t="s">
        <v>541</v>
      </c>
      <c r="C6102" t="s">
        <v>1639</v>
      </c>
      <c r="D6102" t="str">
        <f t="shared" si="95"/>
        <v>ARMVA3917</v>
      </c>
      <c r="E6102" t="s">
        <v>1615</v>
      </c>
    </row>
    <row r="6103" spans="1:5" hidden="1" x14ac:dyDescent="0.25">
      <c r="A6103">
        <v>2461</v>
      </c>
      <c r="B6103" t="s">
        <v>541</v>
      </c>
      <c r="C6103" t="s">
        <v>1640</v>
      </c>
      <c r="D6103" t="str">
        <f t="shared" si="95"/>
        <v>ARMVA3918</v>
      </c>
      <c r="E6103" t="s">
        <v>1615</v>
      </c>
    </row>
    <row r="6104" spans="1:5" hidden="1" x14ac:dyDescent="0.25">
      <c r="A6104">
        <v>2461</v>
      </c>
      <c r="B6104" t="s">
        <v>541</v>
      </c>
      <c r="C6104" t="s">
        <v>1641</v>
      </c>
      <c r="D6104" t="str">
        <f t="shared" si="95"/>
        <v>ARMVA3919</v>
      </c>
      <c r="E6104" t="s">
        <v>2102</v>
      </c>
    </row>
    <row r="6105" spans="1:5" hidden="1" x14ac:dyDescent="0.25">
      <c r="A6105">
        <v>2461</v>
      </c>
      <c r="B6105" t="s">
        <v>541</v>
      </c>
      <c r="C6105" t="s">
        <v>1694</v>
      </c>
      <c r="D6105" t="str">
        <f t="shared" si="95"/>
        <v>ARMVA3920</v>
      </c>
      <c r="E6105" t="s">
        <v>1692</v>
      </c>
    </row>
    <row r="6106" spans="1:5" hidden="1" x14ac:dyDescent="0.25">
      <c r="A6106">
        <v>2461</v>
      </c>
      <c r="B6106" t="s">
        <v>541</v>
      </c>
      <c r="C6106" t="s">
        <v>1642</v>
      </c>
      <c r="D6106" t="str">
        <f t="shared" si="95"/>
        <v>ARMVA3921</v>
      </c>
      <c r="E6106" t="s">
        <v>2102</v>
      </c>
    </row>
    <row r="6107" spans="1:5" hidden="1" x14ac:dyDescent="0.25">
      <c r="A6107">
        <v>2461</v>
      </c>
      <c r="B6107" t="s">
        <v>541</v>
      </c>
      <c r="C6107" t="s">
        <v>1643</v>
      </c>
      <c r="D6107" t="str">
        <f t="shared" si="95"/>
        <v>ARMVA3922</v>
      </c>
      <c r="E6107" t="s">
        <v>1611</v>
      </c>
    </row>
    <row r="6108" spans="1:5" hidden="1" x14ac:dyDescent="0.25">
      <c r="A6108">
        <v>2461</v>
      </c>
      <c r="B6108" t="s">
        <v>541</v>
      </c>
      <c r="C6108" t="s">
        <v>442</v>
      </c>
      <c r="D6108" t="str">
        <f t="shared" si="95"/>
        <v>ARMVA3926</v>
      </c>
      <c r="E6108" t="s">
        <v>1646</v>
      </c>
    </row>
    <row r="6109" spans="1:5" hidden="1" x14ac:dyDescent="0.25">
      <c r="A6109">
        <v>2461</v>
      </c>
      <c r="B6109" t="s">
        <v>541</v>
      </c>
      <c r="C6109" t="s">
        <v>1650</v>
      </c>
      <c r="D6109" t="str">
        <f t="shared" si="95"/>
        <v>ARMVA3931</v>
      </c>
      <c r="E6109" t="s">
        <v>1623</v>
      </c>
    </row>
    <row r="6110" spans="1:5" hidden="1" x14ac:dyDescent="0.25">
      <c r="A6110">
        <v>2461</v>
      </c>
      <c r="B6110" t="s">
        <v>541</v>
      </c>
      <c r="C6110" t="s">
        <v>1651</v>
      </c>
      <c r="D6110" t="str">
        <f t="shared" si="95"/>
        <v>ARMVA3935</v>
      </c>
      <c r="E6110" t="s">
        <v>1621</v>
      </c>
    </row>
    <row r="6111" spans="1:5" hidden="1" x14ac:dyDescent="0.25">
      <c r="A6111">
        <v>2461</v>
      </c>
      <c r="B6111" t="s">
        <v>541</v>
      </c>
      <c r="C6111" t="s">
        <v>1652</v>
      </c>
      <c r="D6111" t="str">
        <f t="shared" si="95"/>
        <v>ARMVA3936</v>
      </c>
      <c r="E6111" t="s">
        <v>93</v>
      </c>
    </row>
    <row r="6112" spans="1:5" hidden="1" x14ac:dyDescent="0.25">
      <c r="A6112">
        <v>2461</v>
      </c>
      <c r="B6112" t="s">
        <v>541</v>
      </c>
      <c r="C6112" t="s">
        <v>1695</v>
      </c>
      <c r="D6112" t="str">
        <f t="shared" si="95"/>
        <v>ARMVA3937</v>
      </c>
      <c r="E6112" t="s">
        <v>1692</v>
      </c>
    </row>
    <row r="6113" spans="1:5" hidden="1" x14ac:dyDescent="0.25">
      <c r="A6113">
        <v>2461</v>
      </c>
      <c r="B6113" t="s">
        <v>541</v>
      </c>
      <c r="C6113" t="s">
        <v>1714</v>
      </c>
      <c r="D6113" t="str">
        <f t="shared" si="95"/>
        <v>ARMVA3939</v>
      </c>
      <c r="E6113" t="s">
        <v>1623</v>
      </c>
    </row>
    <row r="6114" spans="1:5" hidden="1" x14ac:dyDescent="0.25">
      <c r="A6114">
        <v>2461</v>
      </c>
      <c r="B6114" t="s">
        <v>541</v>
      </c>
      <c r="C6114" t="s">
        <v>1653</v>
      </c>
      <c r="D6114" t="str">
        <f t="shared" si="95"/>
        <v>ARMVA3940</v>
      </c>
      <c r="E6114" t="s">
        <v>1648</v>
      </c>
    </row>
    <row r="6115" spans="1:5" hidden="1" x14ac:dyDescent="0.25">
      <c r="A6115">
        <v>2461</v>
      </c>
      <c r="B6115" t="s">
        <v>541</v>
      </c>
      <c r="C6115" t="s">
        <v>1654</v>
      </c>
      <c r="D6115" t="str">
        <f t="shared" si="95"/>
        <v>ARMVA3943</v>
      </c>
      <c r="E6115" t="s">
        <v>1615</v>
      </c>
    </row>
    <row r="6116" spans="1:5" hidden="1" x14ac:dyDescent="0.25">
      <c r="A6116">
        <v>2461</v>
      </c>
      <c r="B6116" t="s">
        <v>541</v>
      </c>
      <c r="C6116" t="s">
        <v>491</v>
      </c>
      <c r="D6116" t="str">
        <f t="shared" si="95"/>
        <v>ARMVA3948</v>
      </c>
      <c r="E6116" t="s">
        <v>1645</v>
      </c>
    </row>
    <row r="6117" spans="1:5" hidden="1" x14ac:dyDescent="0.25">
      <c r="A6117">
        <v>2461</v>
      </c>
      <c r="B6117" t="s">
        <v>541</v>
      </c>
      <c r="C6117" t="s">
        <v>1701</v>
      </c>
      <c r="D6117" t="str">
        <f t="shared" si="95"/>
        <v>ARMVA3952</v>
      </c>
      <c r="E6117" t="s">
        <v>64</v>
      </c>
    </row>
    <row r="6118" spans="1:5" hidden="1" x14ac:dyDescent="0.25">
      <c r="A6118">
        <v>2461</v>
      </c>
      <c r="B6118" t="s">
        <v>541</v>
      </c>
      <c r="C6118" t="s">
        <v>497</v>
      </c>
      <c r="D6118" t="str">
        <f t="shared" si="95"/>
        <v>ARMVA3955</v>
      </c>
      <c r="E6118" t="s">
        <v>1623</v>
      </c>
    </row>
    <row r="6119" spans="1:5" hidden="1" x14ac:dyDescent="0.25">
      <c r="A6119">
        <v>2461</v>
      </c>
      <c r="B6119" t="s">
        <v>541</v>
      </c>
      <c r="C6119" t="s">
        <v>498</v>
      </c>
      <c r="D6119" t="str">
        <f t="shared" si="95"/>
        <v>ARMVA3956</v>
      </c>
      <c r="E6119" t="s">
        <v>1623</v>
      </c>
    </row>
    <row r="6120" spans="1:5" hidden="1" x14ac:dyDescent="0.25">
      <c r="A6120">
        <v>2461</v>
      </c>
      <c r="B6120" t="s">
        <v>541</v>
      </c>
      <c r="C6120" t="s">
        <v>1716</v>
      </c>
      <c r="D6120" t="str">
        <f t="shared" si="95"/>
        <v>ARMVA3963</v>
      </c>
      <c r="E6120" t="s">
        <v>1623</v>
      </c>
    </row>
    <row r="6121" spans="1:5" hidden="1" x14ac:dyDescent="0.25">
      <c r="A6121">
        <v>2461</v>
      </c>
      <c r="B6121" t="s">
        <v>541</v>
      </c>
      <c r="C6121" t="s">
        <v>1718</v>
      </c>
      <c r="D6121" t="str">
        <f t="shared" si="95"/>
        <v>ARMVA3964</v>
      </c>
      <c r="E6121" t="s">
        <v>1623</v>
      </c>
    </row>
    <row r="6122" spans="1:5" hidden="1" x14ac:dyDescent="0.25">
      <c r="A6122">
        <v>2461</v>
      </c>
      <c r="B6122" t="s">
        <v>541</v>
      </c>
      <c r="C6122" t="s">
        <v>1660</v>
      </c>
      <c r="D6122" t="str">
        <f t="shared" si="95"/>
        <v>ARMVA3970</v>
      </c>
      <c r="E6122" t="s">
        <v>1648</v>
      </c>
    </row>
    <row r="6123" spans="1:5" hidden="1" x14ac:dyDescent="0.25">
      <c r="A6123">
        <v>2461</v>
      </c>
      <c r="B6123" t="s">
        <v>541</v>
      </c>
      <c r="C6123" t="s">
        <v>1661</v>
      </c>
      <c r="D6123" t="str">
        <f t="shared" si="95"/>
        <v>ARMVA3987</v>
      </c>
      <c r="E6123" t="s">
        <v>1615</v>
      </c>
    </row>
    <row r="6124" spans="1:5" hidden="1" x14ac:dyDescent="0.25">
      <c r="A6124">
        <v>2461</v>
      </c>
      <c r="B6124" t="s">
        <v>541</v>
      </c>
      <c r="C6124" t="s">
        <v>1663</v>
      </c>
      <c r="D6124" t="str">
        <f t="shared" si="95"/>
        <v>ARMVA3999</v>
      </c>
      <c r="E6124" t="s">
        <v>1623</v>
      </c>
    </row>
    <row r="6125" spans="1:5" hidden="1" x14ac:dyDescent="0.25">
      <c r="A6125">
        <v>2461</v>
      </c>
      <c r="B6125" t="s">
        <v>541</v>
      </c>
      <c r="C6125" t="s">
        <v>1664</v>
      </c>
      <c r="D6125" t="str">
        <f t="shared" si="95"/>
        <v>ARMVA4002</v>
      </c>
      <c r="E6125" t="s">
        <v>1648</v>
      </c>
    </row>
    <row r="6126" spans="1:5" hidden="1" x14ac:dyDescent="0.25">
      <c r="A6126">
        <v>2461</v>
      </c>
      <c r="B6126" t="s">
        <v>541</v>
      </c>
      <c r="C6126" t="s">
        <v>1665</v>
      </c>
      <c r="D6126" t="str">
        <f t="shared" si="95"/>
        <v>ARMVA4003</v>
      </c>
      <c r="E6126" t="s">
        <v>93</v>
      </c>
    </row>
    <row r="6127" spans="1:5" hidden="1" x14ac:dyDescent="0.25">
      <c r="A6127">
        <v>2461</v>
      </c>
      <c r="B6127" t="s">
        <v>541</v>
      </c>
      <c r="C6127" t="s">
        <v>1666</v>
      </c>
      <c r="D6127" t="str">
        <f t="shared" si="95"/>
        <v>ARMVA4004</v>
      </c>
      <c r="E6127" t="s">
        <v>1648</v>
      </c>
    </row>
    <row r="6128" spans="1:5" hidden="1" x14ac:dyDescent="0.25">
      <c r="A6128">
        <v>2461</v>
      </c>
      <c r="B6128" t="s">
        <v>541</v>
      </c>
      <c r="C6128" t="s">
        <v>1667</v>
      </c>
      <c r="D6128" t="str">
        <f t="shared" si="95"/>
        <v>ARMVA4005</v>
      </c>
      <c r="E6128" t="s">
        <v>1648</v>
      </c>
    </row>
    <row r="6129" spans="1:5" hidden="1" x14ac:dyDescent="0.25">
      <c r="A6129">
        <v>2461</v>
      </c>
      <c r="B6129" t="s">
        <v>541</v>
      </c>
      <c r="C6129" t="s">
        <v>1698</v>
      </c>
      <c r="D6129" t="str">
        <f t="shared" si="95"/>
        <v>ARMVA4006</v>
      </c>
      <c r="E6129" t="s">
        <v>1675</v>
      </c>
    </row>
    <row r="6130" spans="1:5" hidden="1" x14ac:dyDescent="0.25">
      <c r="A6130">
        <v>2461</v>
      </c>
      <c r="B6130" t="s">
        <v>541</v>
      </c>
      <c r="C6130" t="s">
        <v>1699</v>
      </c>
      <c r="D6130" t="str">
        <f t="shared" si="95"/>
        <v>ARMVA4007</v>
      </c>
      <c r="E6130" t="s">
        <v>93</v>
      </c>
    </row>
    <row r="6131" spans="1:5" hidden="1" x14ac:dyDescent="0.25">
      <c r="A6131">
        <v>2461</v>
      </c>
      <c r="B6131" t="s">
        <v>541</v>
      </c>
      <c r="C6131" t="s">
        <v>1668</v>
      </c>
      <c r="D6131" t="str">
        <f t="shared" si="95"/>
        <v>ARMVA4701</v>
      </c>
      <c r="E6131" t="s">
        <v>1669</v>
      </c>
    </row>
    <row r="6132" spans="1:5" hidden="1" x14ac:dyDescent="0.25">
      <c r="A6132">
        <v>2461</v>
      </c>
      <c r="B6132" t="s">
        <v>541</v>
      </c>
      <c r="C6132" t="s">
        <v>264</v>
      </c>
      <c r="D6132" t="str">
        <f t="shared" si="95"/>
        <v>ARMVA4703</v>
      </c>
      <c r="E6132" t="s">
        <v>1669</v>
      </c>
    </row>
    <row r="6133" spans="1:5" hidden="1" x14ac:dyDescent="0.25">
      <c r="A6133">
        <v>2461</v>
      </c>
      <c r="B6133" t="s">
        <v>541</v>
      </c>
      <c r="C6133" t="s">
        <v>315</v>
      </c>
      <c r="D6133" t="str">
        <f t="shared" si="95"/>
        <v>ARMVA4706</v>
      </c>
      <c r="E6133" t="s">
        <v>1669</v>
      </c>
    </row>
    <row r="6134" spans="1:5" hidden="1" x14ac:dyDescent="0.25">
      <c r="A6134">
        <v>2461</v>
      </c>
      <c r="B6134" t="s">
        <v>541</v>
      </c>
      <c r="C6134" t="s">
        <v>327</v>
      </c>
      <c r="D6134" t="str">
        <f t="shared" si="95"/>
        <v>ARMVA4707</v>
      </c>
      <c r="E6134" t="s">
        <v>1669</v>
      </c>
    </row>
    <row r="6135" spans="1:5" hidden="1" x14ac:dyDescent="0.25">
      <c r="A6135">
        <v>2461</v>
      </c>
      <c r="B6135" t="s">
        <v>541</v>
      </c>
      <c r="C6135" t="s">
        <v>363</v>
      </c>
      <c r="D6135" t="str">
        <f t="shared" si="95"/>
        <v>ARMVA4799</v>
      </c>
      <c r="E6135" t="s">
        <v>1669</v>
      </c>
    </row>
    <row r="6136" spans="1:5" hidden="1" x14ac:dyDescent="0.25">
      <c r="A6136">
        <v>2461</v>
      </c>
      <c r="B6136" t="s">
        <v>541</v>
      </c>
      <c r="C6136" t="s">
        <v>328</v>
      </c>
      <c r="D6136" t="str">
        <f t="shared" si="95"/>
        <v>ARMVA5206</v>
      </c>
      <c r="E6136" t="s">
        <v>1675</v>
      </c>
    </row>
    <row r="6137" spans="1:5" hidden="1" x14ac:dyDescent="0.25">
      <c r="A6137">
        <v>2461</v>
      </c>
      <c r="B6137" t="s">
        <v>541</v>
      </c>
      <c r="C6137" t="s">
        <v>1676</v>
      </c>
      <c r="D6137" t="str">
        <f t="shared" si="95"/>
        <v>ARMVA5207</v>
      </c>
      <c r="E6137" t="s">
        <v>1675</v>
      </c>
    </row>
    <row r="6138" spans="1:5" hidden="1" x14ac:dyDescent="0.25">
      <c r="A6138">
        <v>2461</v>
      </c>
      <c r="B6138" t="s">
        <v>541</v>
      </c>
      <c r="C6138" t="s">
        <v>1677</v>
      </c>
      <c r="D6138" t="str">
        <f t="shared" si="95"/>
        <v>ARMVA5208</v>
      </c>
      <c r="E6138" t="s">
        <v>1675</v>
      </c>
    </row>
    <row r="6139" spans="1:5" hidden="1" x14ac:dyDescent="0.25">
      <c r="A6139">
        <v>2461</v>
      </c>
      <c r="B6139" t="s">
        <v>541</v>
      </c>
      <c r="C6139" t="s">
        <v>1679</v>
      </c>
      <c r="D6139" t="str">
        <f t="shared" si="95"/>
        <v>ARMVA5212</v>
      </c>
      <c r="E6139" t="s">
        <v>1674</v>
      </c>
    </row>
    <row r="6140" spans="1:5" hidden="1" x14ac:dyDescent="0.25">
      <c r="A6140">
        <v>2461</v>
      </c>
      <c r="B6140" t="s">
        <v>541</v>
      </c>
      <c r="C6140" t="s">
        <v>448</v>
      </c>
      <c r="D6140" t="str">
        <f t="shared" si="95"/>
        <v>ARMVA5225</v>
      </c>
      <c r="E6140" t="s">
        <v>1674</v>
      </c>
    </row>
    <row r="6141" spans="1:5" hidden="1" x14ac:dyDescent="0.25">
      <c r="A6141">
        <v>2461</v>
      </c>
      <c r="B6141" t="s">
        <v>541</v>
      </c>
      <c r="C6141" t="s">
        <v>1700</v>
      </c>
      <c r="D6141" t="str">
        <f t="shared" si="95"/>
        <v>ARMVA5230</v>
      </c>
      <c r="E6141" t="s">
        <v>1674</v>
      </c>
    </row>
    <row r="6142" spans="1:5" hidden="1" x14ac:dyDescent="0.25">
      <c r="A6142">
        <v>2461</v>
      </c>
      <c r="B6142" t="s">
        <v>541</v>
      </c>
      <c r="C6142" t="s">
        <v>1684</v>
      </c>
      <c r="D6142" t="str">
        <f t="shared" si="95"/>
        <v>ARMVA9202</v>
      </c>
      <c r="E6142" t="s">
        <v>1685</v>
      </c>
    </row>
    <row r="6143" spans="1:5" hidden="1" x14ac:dyDescent="0.25">
      <c r="A6143">
        <v>2461</v>
      </c>
      <c r="B6143" t="s">
        <v>541</v>
      </c>
      <c r="C6143" t="s">
        <v>1687</v>
      </c>
      <c r="D6143" t="str">
        <f t="shared" si="95"/>
        <v>ARMVA9399</v>
      </c>
      <c r="E6143" t="s">
        <v>1623</v>
      </c>
    </row>
    <row r="6144" spans="1:5" hidden="1" x14ac:dyDescent="0.25">
      <c r="A6144">
        <v>2471</v>
      </c>
      <c r="B6144" t="s">
        <v>2100</v>
      </c>
      <c r="C6144" t="s">
        <v>2117</v>
      </c>
      <c r="D6144" t="str">
        <f t="shared" si="95"/>
        <v>ARTEMIG3502</v>
      </c>
      <c r="E6144" t="s">
        <v>1706</v>
      </c>
    </row>
    <row r="6145" spans="1:5" hidden="1" x14ac:dyDescent="0.25">
      <c r="A6145">
        <v>2471</v>
      </c>
      <c r="B6145" t="s">
        <v>2100</v>
      </c>
      <c r="C6145" t="s">
        <v>2118</v>
      </c>
      <c r="D6145" t="str">
        <f t="shared" ref="D6145:D6151" si="96">CONCATENATE(B6145,LEFT(C6145,4))</f>
        <v>ARTEMIG3951</v>
      </c>
      <c r="E6145" t="s">
        <v>1671</v>
      </c>
    </row>
    <row r="6146" spans="1:5" hidden="1" x14ac:dyDescent="0.25">
      <c r="A6146">
        <v>2471</v>
      </c>
      <c r="B6146" t="s">
        <v>2100</v>
      </c>
      <c r="C6146" t="s">
        <v>2119</v>
      </c>
      <c r="D6146" t="str">
        <f t="shared" si="96"/>
        <v>ARTEMIG3975</v>
      </c>
      <c r="E6146" t="s">
        <v>1762</v>
      </c>
    </row>
    <row r="6147" spans="1:5" hidden="1" x14ac:dyDescent="0.25">
      <c r="A6147">
        <v>2471</v>
      </c>
      <c r="B6147" t="s">
        <v>2100</v>
      </c>
      <c r="C6147" t="s">
        <v>2120</v>
      </c>
      <c r="D6147" t="str">
        <f t="shared" si="96"/>
        <v>ARTEMIG3981</v>
      </c>
      <c r="E6147" t="s">
        <v>1763</v>
      </c>
    </row>
    <row r="6148" spans="1:5" hidden="1" x14ac:dyDescent="0.25">
      <c r="A6148">
        <v>2471</v>
      </c>
      <c r="B6148" t="s">
        <v>2100</v>
      </c>
      <c r="C6148" t="s">
        <v>2121</v>
      </c>
      <c r="D6148" t="str">
        <f t="shared" si="96"/>
        <v>ARTEMIG4601</v>
      </c>
      <c r="E6148" t="s">
        <v>1596</v>
      </c>
    </row>
    <row r="6149" spans="1:5" hidden="1" x14ac:dyDescent="0.25">
      <c r="A6149">
        <v>2471</v>
      </c>
      <c r="B6149" t="s">
        <v>2100</v>
      </c>
      <c r="C6149" t="s">
        <v>2122</v>
      </c>
      <c r="D6149" t="str">
        <f t="shared" si="96"/>
        <v>ARTEMIG4901</v>
      </c>
      <c r="E6149" t="s">
        <v>1596</v>
      </c>
    </row>
    <row r="6150" spans="1:5" hidden="1" x14ac:dyDescent="0.25">
      <c r="A6150">
        <v>2471</v>
      </c>
      <c r="B6150" t="s">
        <v>2100</v>
      </c>
      <c r="C6150" t="s">
        <v>2123</v>
      </c>
      <c r="D6150" t="str">
        <f t="shared" si="96"/>
        <v>ARTEMIG5103</v>
      </c>
      <c r="E6150" t="s">
        <v>1671</v>
      </c>
    </row>
    <row r="6151" spans="1:5" hidden="1" x14ac:dyDescent="0.25">
      <c r="A6151">
        <v>2471</v>
      </c>
      <c r="B6151" t="s">
        <v>2100</v>
      </c>
      <c r="C6151" t="s">
        <v>2124</v>
      </c>
      <c r="D6151" t="str">
        <f t="shared" si="96"/>
        <v>ARTEMIG5115</v>
      </c>
      <c r="E6151" t="s">
        <v>1671</v>
      </c>
    </row>
    <row r="6152" spans="1:5" hidden="1" x14ac:dyDescent="0.25">
      <c r="A6152">
        <v>3041</v>
      </c>
      <c r="B6152" t="s">
        <v>545</v>
      </c>
      <c r="C6152" t="s">
        <v>1597</v>
      </c>
      <c r="D6152" t="str">
        <f t="shared" ref="D6152:D6215" si="97">CONCATENATE(B6152,LEFT(C6152,4))</f>
        <v>EMATER1401</v>
      </c>
      <c r="E6152" t="s">
        <v>43</v>
      </c>
    </row>
    <row r="6153" spans="1:5" hidden="1" x14ac:dyDescent="0.25">
      <c r="A6153">
        <v>3041</v>
      </c>
      <c r="B6153" t="s">
        <v>545</v>
      </c>
      <c r="C6153" t="s">
        <v>1599</v>
      </c>
      <c r="D6153" t="str">
        <f t="shared" si="97"/>
        <v>EMATER3001</v>
      </c>
      <c r="E6153" t="s">
        <v>1600</v>
      </c>
    </row>
    <row r="6154" spans="1:5" hidden="1" x14ac:dyDescent="0.25">
      <c r="A6154">
        <v>3041</v>
      </c>
      <c r="B6154" t="s">
        <v>545</v>
      </c>
      <c r="C6154" t="s">
        <v>1603</v>
      </c>
      <c r="D6154" t="str">
        <f t="shared" si="97"/>
        <v>EMATER3005</v>
      </c>
      <c r="E6154" t="s">
        <v>1600</v>
      </c>
    </row>
    <row r="6155" spans="1:5" hidden="1" x14ac:dyDescent="0.25">
      <c r="A6155">
        <v>3041</v>
      </c>
      <c r="B6155" t="s">
        <v>545</v>
      </c>
      <c r="C6155" t="s">
        <v>1617</v>
      </c>
      <c r="D6155" t="str">
        <f t="shared" si="97"/>
        <v>EMATER3026</v>
      </c>
      <c r="E6155" t="s">
        <v>1615</v>
      </c>
    </row>
    <row r="6156" spans="1:5" hidden="1" x14ac:dyDescent="0.25">
      <c r="A6156">
        <v>3041</v>
      </c>
      <c r="B6156" t="s">
        <v>545</v>
      </c>
      <c r="C6156" t="s">
        <v>1627</v>
      </c>
      <c r="D6156" t="str">
        <f t="shared" si="97"/>
        <v>EMATER3304</v>
      </c>
      <c r="E6156" t="s">
        <v>43</v>
      </c>
    </row>
    <row r="6157" spans="1:5" hidden="1" x14ac:dyDescent="0.25">
      <c r="A6157">
        <v>3041</v>
      </c>
      <c r="B6157" t="s">
        <v>545</v>
      </c>
      <c r="C6157" t="s">
        <v>1707</v>
      </c>
      <c r="D6157" t="str">
        <f t="shared" si="97"/>
        <v>EMATER3611</v>
      </c>
      <c r="E6157" t="s">
        <v>1692</v>
      </c>
    </row>
    <row r="6158" spans="1:5" hidden="1" x14ac:dyDescent="0.25">
      <c r="A6158">
        <v>3041</v>
      </c>
      <c r="B6158" t="s">
        <v>545</v>
      </c>
      <c r="C6158" t="s">
        <v>1640</v>
      </c>
      <c r="D6158" t="str">
        <f t="shared" si="97"/>
        <v>EMATER3918</v>
      </c>
      <c r="E6158" t="s">
        <v>1615</v>
      </c>
    </row>
    <row r="6159" spans="1:5" hidden="1" x14ac:dyDescent="0.25">
      <c r="A6159">
        <v>3041</v>
      </c>
      <c r="B6159" t="s">
        <v>545</v>
      </c>
      <c r="C6159" t="s">
        <v>1694</v>
      </c>
      <c r="D6159" t="str">
        <f t="shared" si="97"/>
        <v>EMATER3920</v>
      </c>
      <c r="E6159" t="s">
        <v>1692</v>
      </c>
    </row>
    <row r="6160" spans="1:5" hidden="1" x14ac:dyDescent="0.25">
      <c r="A6160">
        <v>3041</v>
      </c>
      <c r="B6160" t="s">
        <v>545</v>
      </c>
      <c r="C6160" t="s">
        <v>442</v>
      </c>
      <c r="D6160" t="str">
        <f t="shared" si="97"/>
        <v>EMATER3926</v>
      </c>
      <c r="E6160" t="s">
        <v>1646</v>
      </c>
    </row>
    <row r="6161" spans="1:5" hidden="1" x14ac:dyDescent="0.25">
      <c r="A6161">
        <v>3041</v>
      </c>
      <c r="B6161" t="s">
        <v>545</v>
      </c>
      <c r="C6161" t="s">
        <v>1650</v>
      </c>
      <c r="D6161" t="str">
        <f t="shared" si="97"/>
        <v>EMATER3931</v>
      </c>
      <c r="E6161" t="s">
        <v>1623</v>
      </c>
    </row>
    <row r="6162" spans="1:5" hidden="1" x14ac:dyDescent="0.25">
      <c r="A6162">
        <v>3041</v>
      </c>
      <c r="B6162" t="s">
        <v>545</v>
      </c>
      <c r="C6162" t="s">
        <v>1666</v>
      </c>
      <c r="D6162" t="str">
        <f t="shared" si="97"/>
        <v>EMATER4004</v>
      </c>
      <c r="E6162" t="s">
        <v>1648</v>
      </c>
    </row>
    <row r="6163" spans="1:5" hidden="1" x14ac:dyDescent="0.25">
      <c r="A6163">
        <v>3041</v>
      </c>
      <c r="B6163" t="s">
        <v>545</v>
      </c>
      <c r="C6163" t="s">
        <v>363</v>
      </c>
      <c r="D6163" t="str">
        <f t="shared" si="97"/>
        <v>EMATER4799</v>
      </c>
      <c r="E6163" t="s">
        <v>1669</v>
      </c>
    </row>
    <row r="6164" spans="1:5" hidden="1" x14ac:dyDescent="0.25">
      <c r="A6164">
        <v>3051</v>
      </c>
      <c r="B6164" t="s">
        <v>547</v>
      </c>
      <c r="C6164" t="s">
        <v>1597</v>
      </c>
      <c r="D6164" t="str">
        <f t="shared" si="97"/>
        <v>EPAMIG1401</v>
      </c>
      <c r="E6164" t="s">
        <v>43</v>
      </c>
    </row>
    <row r="6165" spans="1:5" hidden="1" x14ac:dyDescent="0.25">
      <c r="A6165">
        <v>3051</v>
      </c>
      <c r="B6165" t="s">
        <v>547</v>
      </c>
      <c r="C6165" t="s">
        <v>221</v>
      </c>
      <c r="D6165" t="str">
        <f t="shared" si="97"/>
        <v>EPAMIG1801</v>
      </c>
      <c r="E6165" t="s">
        <v>1738</v>
      </c>
    </row>
    <row r="6166" spans="1:5" hidden="1" x14ac:dyDescent="0.25">
      <c r="A6166">
        <v>3051</v>
      </c>
      <c r="B6166" t="s">
        <v>547</v>
      </c>
      <c r="C6166" t="s">
        <v>1599</v>
      </c>
      <c r="D6166" t="str">
        <f t="shared" si="97"/>
        <v>EPAMIG3001</v>
      </c>
      <c r="E6166" t="s">
        <v>1600</v>
      </c>
    </row>
    <row r="6167" spans="1:5" hidden="1" x14ac:dyDescent="0.25">
      <c r="A6167">
        <v>3051</v>
      </c>
      <c r="B6167" t="s">
        <v>547</v>
      </c>
      <c r="C6167" t="s">
        <v>1602</v>
      </c>
      <c r="D6167" t="str">
        <f t="shared" si="97"/>
        <v>EPAMIG3004</v>
      </c>
      <c r="E6167" t="s">
        <v>1600</v>
      </c>
    </row>
    <row r="6168" spans="1:5" hidden="1" x14ac:dyDescent="0.25">
      <c r="A6168">
        <v>3051</v>
      </c>
      <c r="B6168" t="s">
        <v>547</v>
      </c>
      <c r="C6168" t="s">
        <v>1603</v>
      </c>
      <c r="D6168" t="str">
        <f t="shared" si="97"/>
        <v>EPAMIG3005</v>
      </c>
      <c r="E6168" t="s">
        <v>1600</v>
      </c>
    </row>
    <row r="6169" spans="1:5" hidden="1" x14ac:dyDescent="0.25">
      <c r="A6169">
        <v>3051</v>
      </c>
      <c r="B6169" t="s">
        <v>547</v>
      </c>
      <c r="C6169" t="s">
        <v>1604</v>
      </c>
      <c r="D6169" t="str">
        <f t="shared" si="97"/>
        <v>EPAMIG3008</v>
      </c>
      <c r="E6169" t="s">
        <v>1600</v>
      </c>
    </row>
    <row r="6170" spans="1:5" hidden="1" x14ac:dyDescent="0.25">
      <c r="A6170">
        <v>3051</v>
      </c>
      <c r="B6170" t="s">
        <v>547</v>
      </c>
      <c r="C6170" t="s">
        <v>353</v>
      </c>
      <c r="D6170" t="str">
        <f t="shared" si="97"/>
        <v>EPAMIG3009</v>
      </c>
      <c r="E6170" t="s">
        <v>1600</v>
      </c>
    </row>
    <row r="6171" spans="1:5" hidden="1" x14ac:dyDescent="0.25">
      <c r="A6171">
        <v>3051</v>
      </c>
      <c r="B6171" t="s">
        <v>547</v>
      </c>
      <c r="C6171" t="s">
        <v>1605</v>
      </c>
      <c r="D6171" t="str">
        <f t="shared" si="97"/>
        <v>EPAMIG3010</v>
      </c>
      <c r="E6171" t="s">
        <v>1606</v>
      </c>
    </row>
    <row r="6172" spans="1:5" hidden="1" x14ac:dyDescent="0.25">
      <c r="A6172">
        <v>3051</v>
      </c>
      <c r="B6172" t="s">
        <v>547</v>
      </c>
      <c r="C6172" t="s">
        <v>137</v>
      </c>
      <c r="D6172" t="str">
        <f t="shared" si="97"/>
        <v>EPAMIG3012</v>
      </c>
      <c r="E6172" t="s">
        <v>1606</v>
      </c>
    </row>
    <row r="6173" spans="1:5" hidden="1" x14ac:dyDescent="0.25">
      <c r="A6173">
        <v>3051</v>
      </c>
      <c r="B6173" t="s">
        <v>547</v>
      </c>
      <c r="C6173" t="s">
        <v>1607</v>
      </c>
      <c r="D6173" t="str">
        <f t="shared" si="97"/>
        <v>EPAMIG3013</v>
      </c>
      <c r="E6173" t="s">
        <v>1600</v>
      </c>
    </row>
    <row r="6174" spans="1:5" hidden="1" x14ac:dyDescent="0.25">
      <c r="A6174">
        <v>3051</v>
      </c>
      <c r="B6174" t="s">
        <v>547</v>
      </c>
      <c r="C6174" t="s">
        <v>1609</v>
      </c>
      <c r="D6174" t="str">
        <f t="shared" si="97"/>
        <v>EPAMIG3016</v>
      </c>
      <c r="E6174" t="s">
        <v>1600</v>
      </c>
    </row>
    <row r="6175" spans="1:5" hidden="1" x14ac:dyDescent="0.25">
      <c r="A6175">
        <v>3051</v>
      </c>
      <c r="B6175" t="s">
        <v>547</v>
      </c>
      <c r="C6175" t="s">
        <v>405</v>
      </c>
      <c r="D6175" t="str">
        <f t="shared" si="97"/>
        <v>EPAMIG3017</v>
      </c>
      <c r="E6175" t="s">
        <v>1600</v>
      </c>
    </row>
    <row r="6176" spans="1:5" hidden="1" x14ac:dyDescent="0.25">
      <c r="A6176">
        <v>3051</v>
      </c>
      <c r="B6176" t="s">
        <v>547</v>
      </c>
      <c r="C6176" t="s">
        <v>410</v>
      </c>
      <c r="D6176" t="str">
        <f t="shared" si="97"/>
        <v>EPAMIG3018</v>
      </c>
      <c r="E6176" t="s">
        <v>1600</v>
      </c>
    </row>
    <row r="6177" spans="1:5" hidden="1" x14ac:dyDescent="0.25">
      <c r="A6177">
        <v>3051</v>
      </c>
      <c r="B6177" t="s">
        <v>547</v>
      </c>
      <c r="C6177" t="s">
        <v>1610</v>
      </c>
      <c r="D6177" t="str">
        <f t="shared" si="97"/>
        <v>EPAMIG3019</v>
      </c>
      <c r="E6177" t="s">
        <v>1611</v>
      </c>
    </row>
    <row r="6178" spans="1:5" hidden="1" x14ac:dyDescent="0.25">
      <c r="A6178">
        <v>3051</v>
      </c>
      <c r="B6178" t="s">
        <v>547</v>
      </c>
      <c r="C6178" t="s">
        <v>1612</v>
      </c>
      <c r="D6178" t="str">
        <f t="shared" si="97"/>
        <v>EPAMIG3020</v>
      </c>
      <c r="E6178" t="s">
        <v>1600</v>
      </c>
    </row>
    <row r="6179" spans="1:5" hidden="1" x14ac:dyDescent="0.25">
      <c r="A6179">
        <v>3051</v>
      </c>
      <c r="B6179" t="s">
        <v>547</v>
      </c>
      <c r="C6179" t="s">
        <v>430</v>
      </c>
      <c r="D6179" t="str">
        <f t="shared" si="97"/>
        <v>EPAMIG3022</v>
      </c>
      <c r="E6179" t="s">
        <v>1600</v>
      </c>
    </row>
    <row r="6180" spans="1:5" hidden="1" x14ac:dyDescent="0.25">
      <c r="A6180">
        <v>3051</v>
      </c>
      <c r="B6180" t="s">
        <v>547</v>
      </c>
      <c r="C6180" t="s">
        <v>1614</v>
      </c>
      <c r="D6180" t="str">
        <f t="shared" si="97"/>
        <v>EPAMIG3023</v>
      </c>
      <c r="E6180" t="s">
        <v>1615</v>
      </c>
    </row>
    <row r="6181" spans="1:5" hidden="1" x14ac:dyDescent="0.25">
      <c r="A6181">
        <v>3051</v>
      </c>
      <c r="B6181" t="s">
        <v>547</v>
      </c>
      <c r="C6181" t="s">
        <v>440</v>
      </c>
      <c r="D6181" t="str">
        <f t="shared" si="97"/>
        <v>EPAMIG3024</v>
      </c>
      <c r="E6181" t="s">
        <v>1600</v>
      </c>
    </row>
    <row r="6182" spans="1:5" hidden="1" x14ac:dyDescent="0.25">
      <c r="A6182">
        <v>3051</v>
      </c>
      <c r="B6182" t="s">
        <v>547</v>
      </c>
      <c r="C6182" t="s">
        <v>1616</v>
      </c>
      <c r="D6182" t="str">
        <f t="shared" si="97"/>
        <v>EPAMIG3025</v>
      </c>
      <c r="E6182" t="s">
        <v>1600</v>
      </c>
    </row>
    <row r="6183" spans="1:5" hidden="1" x14ac:dyDescent="0.25">
      <c r="A6183">
        <v>3051</v>
      </c>
      <c r="B6183" t="s">
        <v>547</v>
      </c>
      <c r="C6183" t="s">
        <v>1617</v>
      </c>
      <c r="D6183" t="str">
        <f t="shared" si="97"/>
        <v>EPAMIG3026</v>
      </c>
      <c r="E6183" t="s">
        <v>1615</v>
      </c>
    </row>
    <row r="6184" spans="1:5" hidden="1" x14ac:dyDescent="0.25">
      <c r="A6184">
        <v>3051</v>
      </c>
      <c r="B6184" t="s">
        <v>547</v>
      </c>
      <c r="C6184" t="s">
        <v>1618</v>
      </c>
      <c r="D6184" t="str">
        <f t="shared" si="97"/>
        <v>EPAMIG3027</v>
      </c>
      <c r="E6184" t="s">
        <v>1600</v>
      </c>
    </row>
    <row r="6185" spans="1:5" hidden="1" x14ac:dyDescent="0.25">
      <c r="A6185">
        <v>3051</v>
      </c>
      <c r="B6185" t="s">
        <v>547</v>
      </c>
      <c r="C6185" t="s">
        <v>1702</v>
      </c>
      <c r="D6185" t="str">
        <f t="shared" si="97"/>
        <v>EPAMIG3029</v>
      </c>
      <c r="E6185" t="s">
        <v>1600</v>
      </c>
    </row>
    <row r="6186" spans="1:5" hidden="1" x14ac:dyDescent="0.25">
      <c r="A6186">
        <v>3051</v>
      </c>
      <c r="B6186" t="s">
        <v>547</v>
      </c>
      <c r="C6186" t="s">
        <v>466</v>
      </c>
      <c r="D6186" t="str">
        <f t="shared" si="97"/>
        <v>EPAMIG3030</v>
      </c>
      <c r="E6186" t="s">
        <v>1600</v>
      </c>
    </row>
    <row r="6187" spans="1:5" hidden="1" x14ac:dyDescent="0.25">
      <c r="A6187">
        <v>3051</v>
      </c>
      <c r="B6187" t="s">
        <v>547</v>
      </c>
      <c r="C6187" t="s">
        <v>469</v>
      </c>
      <c r="D6187" t="str">
        <f t="shared" si="97"/>
        <v>EPAMIG3031</v>
      </c>
      <c r="E6187" t="s">
        <v>1600</v>
      </c>
    </row>
    <row r="6188" spans="1:5" hidden="1" x14ac:dyDescent="0.25">
      <c r="A6188">
        <v>3051</v>
      </c>
      <c r="B6188" t="s">
        <v>547</v>
      </c>
      <c r="C6188" t="s">
        <v>490</v>
      </c>
      <c r="D6188" t="str">
        <f t="shared" si="97"/>
        <v>EPAMIG3099</v>
      </c>
      <c r="E6188" t="s">
        <v>1600</v>
      </c>
    </row>
    <row r="6189" spans="1:5" hidden="1" x14ac:dyDescent="0.25">
      <c r="A6189">
        <v>3051</v>
      </c>
      <c r="B6189" t="s">
        <v>547</v>
      </c>
      <c r="C6189" t="s">
        <v>1626</v>
      </c>
      <c r="D6189" t="str">
        <f t="shared" si="97"/>
        <v>EPAMIG3302</v>
      </c>
      <c r="E6189" t="s">
        <v>43</v>
      </c>
    </row>
    <row r="6190" spans="1:5" hidden="1" x14ac:dyDescent="0.25">
      <c r="A6190">
        <v>3051</v>
      </c>
      <c r="B6190" t="s">
        <v>547</v>
      </c>
      <c r="C6190" t="s">
        <v>1704</v>
      </c>
      <c r="D6190" t="str">
        <f t="shared" si="97"/>
        <v>EPAMIG3303</v>
      </c>
      <c r="E6190" t="s">
        <v>43</v>
      </c>
    </row>
    <row r="6191" spans="1:5" hidden="1" x14ac:dyDescent="0.25">
      <c r="A6191">
        <v>3051</v>
      </c>
      <c r="B6191" t="s">
        <v>547</v>
      </c>
      <c r="C6191" t="s">
        <v>1627</v>
      </c>
      <c r="D6191" t="str">
        <f t="shared" si="97"/>
        <v>EPAMIG3304</v>
      </c>
      <c r="E6191" t="s">
        <v>43</v>
      </c>
    </row>
    <row r="6192" spans="1:5" hidden="1" x14ac:dyDescent="0.25">
      <c r="A6192">
        <v>3051</v>
      </c>
      <c r="B6192" t="s">
        <v>547</v>
      </c>
      <c r="C6192" t="s">
        <v>1705</v>
      </c>
      <c r="D6192" t="str">
        <f t="shared" si="97"/>
        <v>EPAMIG3502</v>
      </c>
      <c r="E6192" t="s">
        <v>1706</v>
      </c>
    </row>
    <row r="6193" spans="1:5" hidden="1" x14ac:dyDescent="0.25">
      <c r="A6193">
        <v>3051</v>
      </c>
      <c r="B6193" t="s">
        <v>547</v>
      </c>
      <c r="C6193" t="s">
        <v>400</v>
      </c>
      <c r="D6193" t="str">
        <f t="shared" si="97"/>
        <v>EPAMIG3617</v>
      </c>
      <c r="E6193" t="s">
        <v>1623</v>
      </c>
    </row>
    <row r="6194" spans="1:5" hidden="1" x14ac:dyDescent="0.25">
      <c r="A6194">
        <v>3051</v>
      </c>
      <c r="B6194" t="s">
        <v>547</v>
      </c>
      <c r="C6194" t="s">
        <v>470</v>
      </c>
      <c r="D6194" t="str">
        <f t="shared" si="97"/>
        <v>EPAMIG3699</v>
      </c>
      <c r="E6194" t="s">
        <v>1623</v>
      </c>
    </row>
    <row r="6195" spans="1:5" hidden="1" x14ac:dyDescent="0.25">
      <c r="A6195">
        <v>3051</v>
      </c>
      <c r="B6195" t="s">
        <v>547</v>
      </c>
      <c r="C6195" t="s">
        <v>1693</v>
      </c>
      <c r="D6195" t="str">
        <f t="shared" si="97"/>
        <v>EPAMIG3702</v>
      </c>
      <c r="E6195" t="s">
        <v>1630</v>
      </c>
    </row>
    <row r="6196" spans="1:5" hidden="1" x14ac:dyDescent="0.25">
      <c r="A6196">
        <v>3051</v>
      </c>
      <c r="B6196" t="s">
        <v>547</v>
      </c>
      <c r="C6196" t="s">
        <v>1632</v>
      </c>
      <c r="D6196" t="str">
        <f t="shared" si="97"/>
        <v>EPAMIG3704</v>
      </c>
      <c r="E6196" t="s">
        <v>116</v>
      </c>
    </row>
    <row r="6197" spans="1:5" hidden="1" x14ac:dyDescent="0.25">
      <c r="A6197">
        <v>3051</v>
      </c>
      <c r="B6197" t="s">
        <v>547</v>
      </c>
      <c r="C6197" t="s">
        <v>232</v>
      </c>
      <c r="D6197" t="str">
        <f t="shared" si="97"/>
        <v>EPAMIG3901</v>
      </c>
      <c r="E6197" t="s">
        <v>1596</v>
      </c>
    </row>
    <row r="6198" spans="1:5" hidden="1" x14ac:dyDescent="0.25">
      <c r="A6198">
        <v>3051</v>
      </c>
      <c r="B6198" t="s">
        <v>547</v>
      </c>
      <c r="C6198" t="s">
        <v>1634</v>
      </c>
      <c r="D6198" t="str">
        <f t="shared" si="97"/>
        <v>EPAMIG3903</v>
      </c>
      <c r="E6198" t="s">
        <v>86</v>
      </c>
    </row>
    <row r="6199" spans="1:5" hidden="1" x14ac:dyDescent="0.25">
      <c r="A6199">
        <v>3051</v>
      </c>
      <c r="B6199" t="s">
        <v>547</v>
      </c>
      <c r="C6199" t="s">
        <v>298</v>
      </c>
      <c r="D6199" t="str">
        <f t="shared" si="97"/>
        <v>EPAMIG3904</v>
      </c>
      <c r="E6199" t="s">
        <v>1623</v>
      </c>
    </row>
    <row r="6200" spans="1:5" hidden="1" x14ac:dyDescent="0.25">
      <c r="A6200">
        <v>3051</v>
      </c>
      <c r="B6200" t="s">
        <v>547</v>
      </c>
      <c r="C6200" t="s">
        <v>325</v>
      </c>
      <c r="D6200" t="str">
        <f t="shared" si="97"/>
        <v>EPAMIG3906</v>
      </c>
      <c r="E6200" t="s">
        <v>1623</v>
      </c>
    </row>
    <row r="6201" spans="1:5" hidden="1" x14ac:dyDescent="0.25">
      <c r="A6201">
        <v>3051</v>
      </c>
      <c r="B6201" t="s">
        <v>547</v>
      </c>
      <c r="C6201" t="s">
        <v>335</v>
      </c>
      <c r="D6201" t="str">
        <f t="shared" si="97"/>
        <v>EPAMIG3909</v>
      </c>
      <c r="E6201" t="s">
        <v>1623</v>
      </c>
    </row>
    <row r="6202" spans="1:5" hidden="1" x14ac:dyDescent="0.25">
      <c r="A6202">
        <v>3051</v>
      </c>
      <c r="B6202" t="s">
        <v>547</v>
      </c>
      <c r="C6202" t="s">
        <v>345</v>
      </c>
      <c r="D6202" t="str">
        <f t="shared" si="97"/>
        <v>EPAMIG3910</v>
      </c>
      <c r="E6202" t="s">
        <v>1623</v>
      </c>
    </row>
    <row r="6203" spans="1:5" hidden="1" x14ac:dyDescent="0.25">
      <c r="A6203">
        <v>3051</v>
      </c>
      <c r="B6203" t="s">
        <v>547</v>
      </c>
      <c r="C6203" t="s">
        <v>1636</v>
      </c>
      <c r="D6203" t="str">
        <f t="shared" si="97"/>
        <v>EPAMIG3912</v>
      </c>
      <c r="E6203" t="s">
        <v>1637</v>
      </c>
    </row>
    <row r="6204" spans="1:5" hidden="1" x14ac:dyDescent="0.25">
      <c r="A6204">
        <v>3051</v>
      </c>
      <c r="B6204" t="s">
        <v>547</v>
      </c>
      <c r="C6204" t="s">
        <v>1638</v>
      </c>
      <c r="D6204" t="str">
        <f t="shared" si="97"/>
        <v>EPAMIG3913</v>
      </c>
      <c r="E6204" t="s">
        <v>1637</v>
      </c>
    </row>
    <row r="6205" spans="1:5" hidden="1" x14ac:dyDescent="0.25">
      <c r="A6205">
        <v>3051</v>
      </c>
      <c r="B6205" t="s">
        <v>547</v>
      </c>
      <c r="C6205" t="s">
        <v>376</v>
      </c>
      <c r="D6205" t="str">
        <f t="shared" si="97"/>
        <v>EPAMIG3914</v>
      </c>
      <c r="E6205" t="s">
        <v>1648</v>
      </c>
    </row>
    <row r="6206" spans="1:5" hidden="1" x14ac:dyDescent="0.25">
      <c r="A6206">
        <v>3051</v>
      </c>
      <c r="B6206" t="s">
        <v>547</v>
      </c>
      <c r="C6206" t="s">
        <v>383</v>
      </c>
      <c r="D6206" t="str">
        <f t="shared" si="97"/>
        <v>EPAMIG3915</v>
      </c>
      <c r="E6206" t="s">
        <v>1637</v>
      </c>
    </row>
    <row r="6207" spans="1:5" hidden="1" x14ac:dyDescent="0.25">
      <c r="A6207">
        <v>3051</v>
      </c>
      <c r="B6207" t="s">
        <v>547</v>
      </c>
      <c r="C6207" t="s">
        <v>1639</v>
      </c>
      <c r="D6207" t="str">
        <f t="shared" si="97"/>
        <v>EPAMIG3917</v>
      </c>
      <c r="E6207" t="s">
        <v>1615</v>
      </c>
    </row>
    <row r="6208" spans="1:5" hidden="1" x14ac:dyDescent="0.25">
      <c r="A6208">
        <v>3051</v>
      </c>
      <c r="B6208" t="s">
        <v>547</v>
      </c>
      <c r="C6208" t="s">
        <v>1640</v>
      </c>
      <c r="D6208" t="str">
        <f t="shared" si="97"/>
        <v>EPAMIG3918</v>
      </c>
      <c r="E6208" t="s">
        <v>1615</v>
      </c>
    </row>
    <row r="6209" spans="1:5" hidden="1" x14ac:dyDescent="0.25">
      <c r="A6209">
        <v>3051</v>
      </c>
      <c r="B6209" t="s">
        <v>547</v>
      </c>
      <c r="C6209" t="s">
        <v>1641</v>
      </c>
      <c r="D6209" t="str">
        <f t="shared" si="97"/>
        <v>EPAMIG3919</v>
      </c>
      <c r="E6209" t="s">
        <v>2102</v>
      </c>
    </row>
    <row r="6210" spans="1:5" hidden="1" x14ac:dyDescent="0.25">
      <c r="A6210">
        <v>3051</v>
      </c>
      <c r="B6210" t="s">
        <v>547</v>
      </c>
      <c r="C6210" t="s">
        <v>1642</v>
      </c>
      <c r="D6210" t="str">
        <f t="shared" si="97"/>
        <v>EPAMIG3921</v>
      </c>
      <c r="E6210" t="s">
        <v>2102</v>
      </c>
    </row>
    <row r="6211" spans="1:5" hidden="1" x14ac:dyDescent="0.25">
      <c r="A6211">
        <v>3051</v>
      </c>
      <c r="B6211" t="s">
        <v>547</v>
      </c>
      <c r="C6211" t="s">
        <v>1643</v>
      </c>
      <c r="D6211" t="str">
        <f t="shared" si="97"/>
        <v>EPAMIG3922</v>
      </c>
      <c r="E6211" t="s">
        <v>1611</v>
      </c>
    </row>
    <row r="6212" spans="1:5" hidden="1" x14ac:dyDescent="0.25">
      <c r="A6212">
        <v>3051</v>
      </c>
      <c r="B6212" t="s">
        <v>547</v>
      </c>
      <c r="C6212" t="s">
        <v>427</v>
      </c>
      <c r="D6212" t="str">
        <f t="shared" si="97"/>
        <v>EPAMIG3923</v>
      </c>
      <c r="E6212" t="s">
        <v>1623</v>
      </c>
    </row>
    <row r="6213" spans="1:5" hidden="1" x14ac:dyDescent="0.25">
      <c r="A6213">
        <v>3051</v>
      </c>
      <c r="B6213" t="s">
        <v>547</v>
      </c>
      <c r="C6213" t="s">
        <v>1644</v>
      </c>
      <c r="D6213" t="str">
        <f t="shared" si="97"/>
        <v>EPAMIG3924</v>
      </c>
      <c r="E6213" t="s">
        <v>1645</v>
      </c>
    </row>
    <row r="6214" spans="1:5" hidden="1" x14ac:dyDescent="0.25">
      <c r="A6214">
        <v>3051</v>
      </c>
      <c r="B6214" t="s">
        <v>547</v>
      </c>
      <c r="C6214" t="s">
        <v>437</v>
      </c>
      <c r="D6214" t="str">
        <f t="shared" si="97"/>
        <v>EPAMIG3925</v>
      </c>
      <c r="E6214" t="s">
        <v>1623</v>
      </c>
    </row>
    <row r="6215" spans="1:5" hidden="1" x14ac:dyDescent="0.25">
      <c r="A6215">
        <v>3051</v>
      </c>
      <c r="B6215" t="s">
        <v>547</v>
      </c>
      <c r="C6215" t="s">
        <v>1649</v>
      </c>
      <c r="D6215" t="str">
        <f t="shared" si="97"/>
        <v>EPAMIG3929</v>
      </c>
      <c r="E6215" t="s">
        <v>1606</v>
      </c>
    </row>
    <row r="6216" spans="1:5" hidden="1" x14ac:dyDescent="0.25">
      <c r="A6216">
        <v>3051</v>
      </c>
      <c r="B6216" t="s">
        <v>547</v>
      </c>
      <c r="C6216" t="s">
        <v>1650</v>
      </c>
      <c r="D6216" t="str">
        <f t="shared" ref="D6216:D6279" si="98">CONCATENATE(B6216,LEFT(C6216,4))</f>
        <v>EPAMIG3931</v>
      </c>
      <c r="E6216" t="s">
        <v>1623</v>
      </c>
    </row>
    <row r="6217" spans="1:5" hidden="1" x14ac:dyDescent="0.25">
      <c r="A6217">
        <v>3051</v>
      </c>
      <c r="B6217" t="s">
        <v>547</v>
      </c>
      <c r="C6217" t="s">
        <v>1651</v>
      </c>
      <c r="D6217" t="str">
        <f t="shared" si="98"/>
        <v>EPAMIG3935</v>
      </c>
      <c r="E6217" t="s">
        <v>1621</v>
      </c>
    </row>
    <row r="6218" spans="1:5" hidden="1" x14ac:dyDescent="0.25">
      <c r="A6218">
        <v>3051</v>
      </c>
      <c r="B6218" t="s">
        <v>547</v>
      </c>
      <c r="C6218" t="s">
        <v>1708</v>
      </c>
      <c r="D6218" t="str">
        <f t="shared" si="98"/>
        <v>EPAMIG3938</v>
      </c>
      <c r="E6218" t="s">
        <v>1808</v>
      </c>
    </row>
    <row r="6219" spans="1:5" hidden="1" x14ac:dyDescent="0.25">
      <c r="A6219">
        <v>3051</v>
      </c>
      <c r="B6219" t="s">
        <v>547</v>
      </c>
      <c r="C6219" t="s">
        <v>1714</v>
      </c>
      <c r="D6219" t="str">
        <f t="shared" si="98"/>
        <v>EPAMIG3939</v>
      </c>
      <c r="E6219" t="s">
        <v>1623</v>
      </c>
    </row>
    <row r="6220" spans="1:5" hidden="1" x14ac:dyDescent="0.25">
      <c r="A6220">
        <v>3051</v>
      </c>
      <c r="B6220" t="s">
        <v>547</v>
      </c>
      <c r="C6220" t="s">
        <v>479</v>
      </c>
      <c r="D6220" t="str">
        <f t="shared" si="98"/>
        <v>EPAMIG3941</v>
      </c>
      <c r="E6220" t="s">
        <v>1623</v>
      </c>
    </row>
    <row r="6221" spans="1:5" hidden="1" x14ac:dyDescent="0.25">
      <c r="A6221">
        <v>3051</v>
      </c>
      <c r="B6221" t="s">
        <v>547</v>
      </c>
      <c r="C6221" t="s">
        <v>1654</v>
      </c>
      <c r="D6221" t="str">
        <f t="shared" si="98"/>
        <v>EPAMIG3943</v>
      </c>
      <c r="E6221" t="s">
        <v>1615</v>
      </c>
    </row>
    <row r="6222" spans="1:5" hidden="1" x14ac:dyDescent="0.25">
      <c r="A6222">
        <v>3051</v>
      </c>
      <c r="B6222" t="s">
        <v>547</v>
      </c>
      <c r="C6222" t="s">
        <v>497</v>
      </c>
      <c r="D6222" t="str">
        <f t="shared" si="98"/>
        <v>EPAMIG3955</v>
      </c>
      <c r="E6222" t="s">
        <v>1623</v>
      </c>
    </row>
    <row r="6223" spans="1:5" hidden="1" x14ac:dyDescent="0.25">
      <c r="A6223">
        <v>3051</v>
      </c>
      <c r="B6223" t="s">
        <v>547</v>
      </c>
      <c r="C6223" t="s">
        <v>1657</v>
      </c>
      <c r="D6223" t="str">
        <f t="shared" si="98"/>
        <v>EPAMIG3961</v>
      </c>
      <c r="E6223" t="s">
        <v>1630</v>
      </c>
    </row>
    <row r="6224" spans="1:5" hidden="1" x14ac:dyDescent="0.25">
      <c r="A6224">
        <v>3051</v>
      </c>
      <c r="B6224" t="s">
        <v>547</v>
      </c>
      <c r="C6224" t="s">
        <v>1696</v>
      </c>
      <c r="D6224" t="str">
        <f t="shared" si="98"/>
        <v>EPAMIG3962</v>
      </c>
      <c r="E6224" t="s">
        <v>2103</v>
      </c>
    </row>
    <row r="6225" spans="1:5" hidden="1" x14ac:dyDescent="0.25">
      <c r="A6225">
        <v>3051</v>
      </c>
      <c r="B6225" t="s">
        <v>547</v>
      </c>
      <c r="C6225" t="s">
        <v>1659</v>
      </c>
      <c r="D6225" t="str">
        <f t="shared" si="98"/>
        <v>EPAMIG3969</v>
      </c>
      <c r="E6225" t="s">
        <v>1637</v>
      </c>
    </row>
    <row r="6226" spans="1:5" hidden="1" x14ac:dyDescent="0.25">
      <c r="A6226">
        <v>3051</v>
      </c>
      <c r="B6226" t="s">
        <v>547</v>
      </c>
      <c r="C6226" t="s">
        <v>519</v>
      </c>
      <c r="D6226" t="str">
        <f t="shared" si="98"/>
        <v>EPAMIG3978</v>
      </c>
      <c r="E6226" t="s">
        <v>1630</v>
      </c>
    </row>
    <row r="6227" spans="1:5" hidden="1" x14ac:dyDescent="0.25">
      <c r="A6227">
        <v>3051</v>
      </c>
      <c r="B6227" t="s">
        <v>547</v>
      </c>
      <c r="C6227" t="s">
        <v>520</v>
      </c>
      <c r="D6227" t="str">
        <f t="shared" si="98"/>
        <v>EPAMIG3981</v>
      </c>
      <c r="E6227" t="s">
        <v>1623</v>
      </c>
    </row>
    <row r="6228" spans="1:5" hidden="1" x14ac:dyDescent="0.25">
      <c r="A6228">
        <v>3051</v>
      </c>
      <c r="B6228" t="s">
        <v>547</v>
      </c>
      <c r="C6228" t="s">
        <v>1663</v>
      </c>
      <c r="D6228" t="str">
        <f t="shared" si="98"/>
        <v>EPAMIG3999</v>
      </c>
      <c r="E6228" t="s">
        <v>1623</v>
      </c>
    </row>
    <row r="6229" spans="1:5" hidden="1" x14ac:dyDescent="0.25">
      <c r="A6229">
        <v>3051</v>
      </c>
      <c r="B6229" t="s">
        <v>547</v>
      </c>
      <c r="C6229" t="s">
        <v>1664</v>
      </c>
      <c r="D6229" t="str">
        <f t="shared" si="98"/>
        <v>EPAMIG4002</v>
      </c>
      <c r="E6229" t="s">
        <v>1648</v>
      </c>
    </row>
    <row r="6230" spans="1:5" hidden="1" x14ac:dyDescent="0.25">
      <c r="A6230">
        <v>3051</v>
      </c>
      <c r="B6230" t="s">
        <v>547</v>
      </c>
      <c r="C6230" t="s">
        <v>1665</v>
      </c>
      <c r="D6230" t="str">
        <f t="shared" si="98"/>
        <v>EPAMIG4003</v>
      </c>
      <c r="E6230" t="s">
        <v>93</v>
      </c>
    </row>
    <row r="6231" spans="1:5" hidden="1" x14ac:dyDescent="0.25">
      <c r="A6231">
        <v>3051</v>
      </c>
      <c r="B6231" t="s">
        <v>547</v>
      </c>
      <c r="C6231" t="s">
        <v>1666</v>
      </c>
      <c r="D6231" t="str">
        <f t="shared" si="98"/>
        <v>EPAMIG4004</v>
      </c>
      <c r="E6231" t="s">
        <v>1648</v>
      </c>
    </row>
    <row r="6232" spans="1:5" hidden="1" x14ac:dyDescent="0.25">
      <c r="A6232">
        <v>3051</v>
      </c>
      <c r="B6232" t="s">
        <v>547</v>
      </c>
      <c r="C6232" t="s">
        <v>1698</v>
      </c>
      <c r="D6232" t="str">
        <f t="shared" si="98"/>
        <v>EPAMIG4006</v>
      </c>
      <c r="E6232" t="s">
        <v>1675</v>
      </c>
    </row>
    <row r="6233" spans="1:5" hidden="1" x14ac:dyDescent="0.25">
      <c r="A6233">
        <v>3051</v>
      </c>
      <c r="B6233" t="s">
        <v>547</v>
      </c>
      <c r="C6233" t="s">
        <v>363</v>
      </c>
      <c r="D6233" t="str">
        <f t="shared" si="98"/>
        <v>EPAMIG4799</v>
      </c>
      <c r="E6233" t="s">
        <v>1669</v>
      </c>
    </row>
    <row r="6234" spans="1:5" hidden="1" x14ac:dyDescent="0.25">
      <c r="A6234">
        <v>3051</v>
      </c>
      <c r="B6234" t="s">
        <v>547</v>
      </c>
      <c r="C6234" t="s">
        <v>1798</v>
      </c>
      <c r="D6234" t="str">
        <f t="shared" si="98"/>
        <v>EPAMIG5102</v>
      </c>
      <c r="E6234" t="s">
        <v>1671</v>
      </c>
    </row>
    <row r="6235" spans="1:5" hidden="1" x14ac:dyDescent="0.25">
      <c r="A6235">
        <v>3051</v>
      </c>
      <c r="B6235" t="s">
        <v>547</v>
      </c>
      <c r="C6235" t="s">
        <v>1672</v>
      </c>
      <c r="D6235" t="str">
        <f t="shared" si="98"/>
        <v>EPAMIG5103</v>
      </c>
      <c r="E6235" t="s">
        <v>1671</v>
      </c>
    </row>
    <row r="6236" spans="1:5" hidden="1" x14ac:dyDescent="0.25">
      <c r="A6236">
        <v>3051</v>
      </c>
      <c r="B6236" t="s">
        <v>547</v>
      </c>
      <c r="C6236" t="s">
        <v>302</v>
      </c>
      <c r="D6236" t="str">
        <f t="shared" si="98"/>
        <v>EPAMIG5104</v>
      </c>
      <c r="E6236" t="s">
        <v>1671</v>
      </c>
    </row>
    <row r="6237" spans="1:5" hidden="1" x14ac:dyDescent="0.25">
      <c r="A6237">
        <v>3051</v>
      </c>
      <c r="B6237" t="s">
        <v>547</v>
      </c>
      <c r="C6237" t="s">
        <v>1673</v>
      </c>
      <c r="D6237" t="str">
        <f t="shared" si="98"/>
        <v>EPAMIG5204</v>
      </c>
      <c r="E6237" t="s">
        <v>1674</v>
      </c>
    </row>
    <row r="6238" spans="1:5" hidden="1" x14ac:dyDescent="0.25">
      <c r="A6238">
        <v>3051</v>
      </c>
      <c r="B6238" t="s">
        <v>547</v>
      </c>
      <c r="C6238" t="s">
        <v>328</v>
      </c>
      <c r="D6238" t="str">
        <f t="shared" si="98"/>
        <v>EPAMIG5206</v>
      </c>
      <c r="E6238" t="s">
        <v>1675</v>
      </c>
    </row>
    <row r="6239" spans="1:5" hidden="1" x14ac:dyDescent="0.25">
      <c r="A6239">
        <v>3051</v>
      </c>
      <c r="B6239" t="s">
        <v>547</v>
      </c>
      <c r="C6239" t="s">
        <v>1676</v>
      </c>
      <c r="D6239" t="str">
        <f t="shared" si="98"/>
        <v>EPAMIG5207</v>
      </c>
      <c r="E6239" t="s">
        <v>1675</v>
      </c>
    </row>
    <row r="6240" spans="1:5" hidden="1" x14ac:dyDescent="0.25">
      <c r="A6240">
        <v>3051</v>
      </c>
      <c r="B6240" t="s">
        <v>547</v>
      </c>
      <c r="C6240" t="s">
        <v>1677</v>
      </c>
      <c r="D6240" t="str">
        <f t="shared" si="98"/>
        <v>EPAMIG5208</v>
      </c>
      <c r="E6240" t="s">
        <v>1675</v>
      </c>
    </row>
    <row r="6241" spans="1:5" hidden="1" x14ac:dyDescent="0.25">
      <c r="A6241">
        <v>3051</v>
      </c>
      <c r="B6241" t="s">
        <v>547</v>
      </c>
      <c r="C6241" t="s">
        <v>358</v>
      </c>
      <c r="D6241" t="str">
        <f t="shared" si="98"/>
        <v>EPAMIG5209</v>
      </c>
      <c r="E6241" t="s">
        <v>1674</v>
      </c>
    </row>
    <row r="6242" spans="1:5" hidden="1" x14ac:dyDescent="0.25">
      <c r="A6242">
        <v>3051</v>
      </c>
      <c r="B6242" t="s">
        <v>547</v>
      </c>
      <c r="C6242" t="s">
        <v>1713</v>
      </c>
      <c r="D6242" t="str">
        <f t="shared" si="98"/>
        <v>EPAMIG5211</v>
      </c>
      <c r="E6242" t="s">
        <v>1606</v>
      </c>
    </row>
    <row r="6243" spans="1:5" hidden="1" x14ac:dyDescent="0.25">
      <c r="A6243">
        <v>3051</v>
      </c>
      <c r="B6243" t="s">
        <v>547</v>
      </c>
      <c r="C6243" t="s">
        <v>1679</v>
      </c>
      <c r="D6243" t="str">
        <f t="shared" si="98"/>
        <v>EPAMIG5212</v>
      </c>
      <c r="E6243" t="s">
        <v>1674</v>
      </c>
    </row>
    <row r="6244" spans="1:5" hidden="1" x14ac:dyDescent="0.25">
      <c r="A6244">
        <v>3051</v>
      </c>
      <c r="B6244" t="s">
        <v>547</v>
      </c>
      <c r="C6244" t="s">
        <v>390</v>
      </c>
      <c r="D6244" t="str">
        <f t="shared" si="98"/>
        <v>EPAMIG5214</v>
      </c>
      <c r="E6244" t="s">
        <v>1674</v>
      </c>
    </row>
    <row r="6245" spans="1:5" hidden="1" x14ac:dyDescent="0.25">
      <c r="A6245">
        <v>3051</v>
      </c>
      <c r="B6245" t="s">
        <v>547</v>
      </c>
      <c r="C6245" t="s">
        <v>402</v>
      </c>
      <c r="D6245" t="str">
        <f t="shared" si="98"/>
        <v>EPAMIG5216</v>
      </c>
      <c r="E6245" t="s">
        <v>1674</v>
      </c>
    </row>
    <row r="6246" spans="1:5" hidden="1" x14ac:dyDescent="0.25">
      <c r="A6246">
        <v>3051</v>
      </c>
      <c r="B6246" t="s">
        <v>547</v>
      </c>
      <c r="C6246" t="s">
        <v>408</v>
      </c>
      <c r="D6246" t="str">
        <f t="shared" si="98"/>
        <v>EPAMIG5217</v>
      </c>
      <c r="E6246" t="s">
        <v>1674</v>
      </c>
    </row>
    <row r="6247" spans="1:5" hidden="1" x14ac:dyDescent="0.25">
      <c r="A6247">
        <v>3051</v>
      </c>
      <c r="B6247" t="s">
        <v>547</v>
      </c>
      <c r="C6247" t="s">
        <v>458</v>
      </c>
      <c r="D6247" t="str">
        <f t="shared" si="98"/>
        <v>EPAMIG5299</v>
      </c>
      <c r="E6247" t="s">
        <v>1674</v>
      </c>
    </row>
    <row r="6248" spans="1:5" hidden="1" x14ac:dyDescent="0.25">
      <c r="A6248">
        <v>3151</v>
      </c>
      <c r="B6248" t="s">
        <v>546</v>
      </c>
      <c r="C6248" t="s">
        <v>1597</v>
      </c>
      <c r="D6248" t="str">
        <f t="shared" si="98"/>
        <v>EMC1401</v>
      </c>
      <c r="E6248" t="s">
        <v>43</v>
      </c>
    </row>
    <row r="6249" spans="1:5" hidden="1" x14ac:dyDescent="0.25">
      <c r="A6249">
        <v>3151</v>
      </c>
      <c r="B6249" t="s">
        <v>546</v>
      </c>
      <c r="C6249" t="s">
        <v>1604</v>
      </c>
      <c r="D6249" t="str">
        <f t="shared" si="98"/>
        <v>EMC3008</v>
      </c>
      <c r="E6249" t="s">
        <v>1600</v>
      </c>
    </row>
    <row r="6250" spans="1:5" hidden="1" x14ac:dyDescent="0.25">
      <c r="A6250">
        <v>3151</v>
      </c>
      <c r="B6250" t="s">
        <v>546</v>
      </c>
      <c r="C6250" t="s">
        <v>405</v>
      </c>
      <c r="D6250" t="str">
        <f t="shared" si="98"/>
        <v>EMC3017</v>
      </c>
      <c r="E6250" t="s">
        <v>1600</v>
      </c>
    </row>
    <row r="6251" spans="1:5" hidden="1" x14ac:dyDescent="0.25">
      <c r="A6251">
        <v>3151</v>
      </c>
      <c r="B6251" t="s">
        <v>546</v>
      </c>
      <c r="C6251" t="s">
        <v>1613</v>
      </c>
      <c r="D6251" t="str">
        <f t="shared" si="98"/>
        <v>EMC3021</v>
      </c>
      <c r="E6251" t="s">
        <v>1600</v>
      </c>
    </row>
    <row r="6252" spans="1:5" hidden="1" x14ac:dyDescent="0.25">
      <c r="A6252">
        <v>3151</v>
      </c>
      <c r="B6252" t="s">
        <v>546</v>
      </c>
      <c r="C6252" t="s">
        <v>440</v>
      </c>
      <c r="D6252" t="str">
        <f t="shared" si="98"/>
        <v>EMC3024</v>
      </c>
      <c r="E6252" t="s">
        <v>1600</v>
      </c>
    </row>
    <row r="6253" spans="1:5" hidden="1" x14ac:dyDescent="0.25">
      <c r="A6253">
        <v>3151</v>
      </c>
      <c r="B6253" t="s">
        <v>546</v>
      </c>
      <c r="C6253" t="s">
        <v>1617</v>
      </c>
      <c r="D6253" t="str">
        <f t="shared" si="98"/>
        <v>EMC3026</v>
      </c>
      <c r="E6253" t="s">
        <v>1615</v>
      </c>
    </row>
    <row r="6254" spans="1:5" hidden="1" x14ac:dyDescent="0.25">
      <c r="A6254">
        <v>3151</v>
      </c>
      <c r="B6254" t="s">
        <v>546</v>
      </c>
      <c r="C6254" t="s">
        <v>490</v>
      </c>
      <c r="D6254" t="str">
        <f t="shared" si="98"/>
        <v>EMC3099</v>
      </c>
      <c r="E6254" t="s">
        <v>1600</v>
      </c>
    </row>
    <row r="6255" spans="1:5" hidden="1" x14ac:dyDescent="0.25">
      <c r="A6255">
        <v>3151</v>
      </c>
      <c r="B6255" t="s">
        <v>546</v>
      </c>
      <c r="C6255" t="s">
        <v>1626</v>
      </c>
      <c r="D6255" t="str">
        <f t="shared" si="98"/>
        <v>EMC3302</v>
      </c>
      <c r="E6255" t="s">
        <v>43</v>
      </c>
    </row>
    <row r="6256" spans="1:5" hidden="1" x14ac:dyDescent="0.25">
      <c r="A6256">
        <v>3151</v>
      </c>
      <c r="B6256" t="s">
        <v>546</v>
      </c>
      <c r="C6256" t="s">
        <v>1705</v>
      </c>
      <c r="D6256" t="str">
        <f t="shared" si="98"/>
        <v>EMC3502</v>
      </c>
      <c r="E6256" t="s">
        <v>1706</v>
      </c>
    </row>
    <row r="6257" spans="1:5" hidden="1" x14ac:dyDescent="0.25">
      <c r="A6257">
        <v>3151</v>
      </c>
      <c r="B6257" t="s">
        <v>546</v>
      </c>
      <c r="C6257" t="s">
        <v>296</v>
      </c>
      <c r="D6257" t="str">
        <f t="shared" si="98"/>
        <v>EMC3604</v>
      </c>
      <c r="E6257" t="s">
        <v>43</v>
      </c>
    </row>
    <row r="6258" spans="1:5" hidden="1" x14ac:dyDescent="0.25">
      <c r="A6258">
        <v>3151</v>
      </c>
      <c r="B6258" t="s">
        <v>546</v>
      </c>
      <c r="C6258" t="s">
        <v>354</v>
      </c>
      <c r="D6258" t="str">
        <f t="shared" si="98"/>
        <v>EMC3610</v>
      </c>
      <c r="E6258" t="s">
        <v>1623</v>
      </c>
    </row>
    <row r="6259" spans="1:5" hidden="1" x14ac:dyDescent="0.25">
      <c r="A6259">
        <v>3151</v>
      </c>
      <c r="B6259" t="s">
        <v>546</v>
      </c>
      <c r="C6259" t="s">
        <v>1628</v>
      </c>
      <c r="D6259" t="str">
        <f t="shared" si="98"/>
        <v>EMC3612</v>
      </c>
      <c r="E6259" t="s">
        <v>1623</v>
      </c>
    </row>
    <row r="6260" spans="1:5" hidden="1" x14ac:dyDescent="0.25">
      <c r="A6260">
        <v>3151</v>
      </c>
      <c r="B6260" t="s">
        <v>546</v>
      </c>
      <c r="C6260" t="s">
        <v>416</v>
      </c>
      <c r="D6260" t="str">
        <f t="shared" si="98"/>
        <v>EMC3620</v>
      </c>
      <c r="E6260" t="s">
        <v>1623</v>
      </c>
    </row>
    <row r="6261" spans="1:5" hidden="1" x14ac:dyDescent="0.25">
      <c r="A6261">
        <v>3151</v>
      </c>
      <c r="B6261" t="s">
        <v>546</v>
      </c>
      <c r="C6261" t="s">
        <v>1693</v>
      </c>
      <c r="D6261" t="str">
        <f t="shared" si="98"/>
        <v>EMC3702</v>
      </c>
      <c r="E6261" t="s">
        <v>1630</v>
      </c>
    </row>
    <row r="6262" spans="1:5" hidden="1" x14ac:dyDescent="0.25">
      <c r="A6262">
        <v>3151</v>
      </c>
      <c r="B6262" t="s">
        <v>546</v>
      </c>
      <c r="C6262" t="s">
        <v>298</v>
      </c>
      <c r="D6262" t="str">
        <f t="shared" si="98"/>
        <v>EMC3904</v>
      </c>
      <c r="E6262" t="s">
        <v>1623</v>
      </c>
    </row>
    <row r="6263" spans="1:5" hidden="1" x14ac:dyDescent="0.25">
      <c r="A6263">
        <v>3151</v>
      </c>
      <c r="B6263" t="s">
        <v>546</v>
      </c>
      <c r="C6263" t="s">
        <v>345</v>
      </c>
      <c r="D6263" t="str">
        <f t="shared" si="98"/>
        <v>EMC3910</v>
      </c>
      <c r="E6263" t="s">
        <v>1623</v>
      </c>
    </row>
    <row r="6264" spans="1:5" hidden="1" x14ac:dyDescent="0.25">
      <c r="A6264">
        <v>3151</v>
      </c>
      <c r="B6264" t="s">
        <v>546</v>
      </c>
      <c r="C6264" t="s">
        <v>1636</v>
      </c>
      <c r="D6264" t="str">
        <f t="shared" si="98"/>
        <v>EMC3912</v>
      </c>
      <c r="E6264" t="s">
        <v>1637</v>
      </c>
    </row>
    <row r="6265" spans="1:5" hidden="1" x14ac:dyDescent="0.25">
      <c r="A6265">
        <v>3151</v>
      </c>
      <c r="B6265" t="s">
        <v>546</v>
      </c>
      <c r="C6265" t="s">
        <v>1638</v>
      </c>
      <c r="D6265" t="str">
        <f t="shared" si="98"/>
        <v>EMC3913</v>
      </c>
      <c r="E6265" t="s">
        <v>1637</v>
      </c>
    </row>
    <row r="6266" spans="1:5" hidden="1" x14ac:dyDescent="0.25">
      <c r="A6266">
        <v>3151</v>
      </c>
      <c r="B6266" t="s">
        <v>546</v>
      </c>
      <c r="C6266" t="s">
        <v>389</v>
      </c>
      <c r="D6266" t="str">
        <f t="shared" si="98"/>
        <v>EMC3916</v>
      </c>
      <c r="E6266" t="s">
        <v>1623</v>
      </c>
    </row>
    <row r="6267" spans="1:5" hidden="1" x14ac:dyDescent="0.25">
      <c r="A6267">
        <v>3151</v>
      </c>
      <c r="B6267" t="s">
        <v>546</v>
      </c>
      <c r="C6267" t="s">
        <v>1641</v>
      </c>
      <c r="D6267" t="str">
        <f t="shared" si="98"/>
        <v>EMC3919</v>
      </c>
      <c r="E6267" t="s">
        <v>2102</v>
      </c>
    </row>
    <row r="6268" spans="1:5" hidden="1" x14ac:dyDescent="0.25">
      <c r="A6268">
        <v>3151</v>
      </c>
      <c r="B6268" t="s">
        <v>546</v>
      </c>
      <c r="C6268" t="s">
        <v>1694</v>
      </c>
      <c r="D6268" t="str">
        <f t="shared" si="98"/>
        <v>EMC3920</v>
      </c>
      <c r="E6268" t="s">
        <v>1692</v>
      </c>
    </row>
    <row r="6269" spans="1:5" hidden="1" x14ac:dyDescent="0.25">
      <c r="A6269">
        <v>3151</v>
      </c>
      <c r="B6269" t="s">
        <v>546</v>
      </c>
      <c r="C6269" t="s">
        <v>1642</v>
      </c>
      <c r="D6269" t="str">
        <f t="shared" si="98"/>
        <v>EMC3921</v>
      </c>
      <c r="E6269" t="s">
        <v>2102</v>
      </c>
    </row>
    <row r="6270" spans="1:5" hidden="1" x14ac:dyDescent="0.25">
      <c r="A6270">
        <v>3151</v>
      </c>
      <c r="B6270" t="s">
        <v>546</v>
      </c>
      <c r="C6270" t="s">
        <v>1644</v>
      </c>
      <c r="D6270" t="str">
        <f t="shared" si="98"/>
        <v>EMC3924</v>
      </c>
      <c r="E6270" t="s">
        <v>1645</v>
      </c>
    </row>
    <row r="6271" spans="1:5" hidden="1" x14ac:dyDescent="0.25">
      <c r="A6271">
        <v>3151</v>
      </c>
      <c r="B6271" t="s">
        <v>546</v>
      </c>
      <c r="C6271" t="s">
        <v>1649</v>
      </c>
      <c r="D6271" t="str">
        <f t="shared" si="98"/>
        <v>EMC3929</v>
      </c>
      <c r="E6271" t="s">
        <v>1606</v>
      </c>
    </row>
    <row r="6272" spans="1:5" hidden="1" x14ac:dyDescent="0.25">
      <c r="A6272">
        <v>3151</v>
      </c>
      <c r="B6272" t="s">
        <v>546</v>
      </c>
      <c r="C6272" t="s">
        <v>1650</v>
      </c>
      <c r="D6272" t="str">
        <f t="shared" si="98"/>
        <v>EMC3931</v>
      </c>
      <c r="E6272" t="s">
        <v>1623</v>
      </c>
    </row>
    <row r="6273" spans="1:5" hidden="1" x14ac:dyDescent="0.25">
      <c r="A6273">
        <v>3151</v>
      </c>
      <c r="B6273" t="s">
        <v>546</v>
      </c>
      <c r="C6273" t="s">
        <v>1695</v>
      </c>
      <c r="D6273" t="str">
        <f t="shared" si="98"/>
        <v>EMC3937</v>
      </c>
      <c r="E6273" t="s">
        <v>1692</v>
      </c>
    </row>
    <row r="6274" spans="1:5" hidden="1" x14ac:dyDescent="0.25">
      <c r="A6274">
        <v>3151</v>
      </c>
      <c r="B6274" t="s">
        <v>546</v>
      </c>
      <c r="C6274" t="s">
        <v>1714</v>
      </c>
      <c r="D6274" t="str">
        <f t="shared" si="98"/>
        <v>EMC3939</v>
      </c>
      <c r="E6274" t="s">
        <v>1623</v>
      </c>
    </row>
    <row r="6275" spans="1:5" hidden="1" x14ac:dyDescent="0.25">
      <c r="A6275">
        <v>3151</v>
      </c>
      <c r="B6275" t="s">
        <v>546</v>
      </c>
      <c r="C6275" t="s">
        <v>479</v>
      </c>
      <c r="D6275" t="str">
        <f t="shared" si="98"/>
        <v>EMC3941</v>
      </c>
      <c r="E6275" t="s">
        <v>1623</v>
      </c>
    </row>
    <row r="6276" spans="1:5" hidden="1" x14ac:dyDescent="0.25">
      <c r="A6276">
        <v>3151</v>
      </c>
      <c r="B6276" t="s">
        <v>546</v>
      </c>
      <c r="C6276" t="s">
        <v>1654</v>
      </c>
      <c r="D6276" t="str">
        <f t="shared" si="98"/>
        <v>EMC3943</v>
      </c>
      <c r="E6276" t="s">
        <v>1615</v>
      </c>
    </row>
    <row r="6277" spans="1:5" hidden="1" x14ac:dyDescent="0.25">
      <c r="A6277">
        <v>3151</v>
      </c>
      <c r="B6277" t="s">
        <v>546</v>
      </c>
      <c r="C6277" t="s">
        <v>1715</v>
      </c>
      <c r="D6277" t="str">
        <f t="shared" si="98"/>
        <v>EMC3949</v>
      </c>
      <c r="E6277" t="s">
        <v>1645</v>
      </c>
    </row>
    <row r="6278" spans="1:5" hidden="1" x14ac:dyDescent="0.25">
      <c r="A6278">
        <v>3151</v>
      </c>
      <c r="B6278" t="s">
        <v>546</v>
      </c>
      <c r="C6278" t="s">
        <v>1701</v>
      </c>
      <c r="D6278" t="str">
        <f t="shared" si="98"/>
        <v>EMC3952</v>
      </c>
      <c r="E6278" t="s">
        <v>64</v>
      </c>
    </row>
    <row r="6279" spans="1:5" hidden="1" x14ac:dyDescent="0.25">
      <c r="A6279">
        <v>3151</v>
      </c>
      <c r="B6279" t="s">
        <v>546</v>
      </c>
      <c r="C6279" t="s">
        <v>497</v>
      </c>
      <c r="D6279" t="str">
        <f t="shared" si="98"/>
        <v>EMC3955</v>
      </c>
      <c r="E6279" t="s">
        <v>1623</v>
      </c>
    </row>
    <row r="6280" spans="1:5" hidden="1" x14ac:dyDescent="0.25">
      <c r="A6280">
        <v>3151</v>
      </c>
      <c r="B6280" t="s">
        <v>546</v>
      </c>
      <c r="C6280" t="s">
        <v>498</v>
      </c>
      <c r="D6280" t="str">
        <f t="shared" ref="D6280:D6343" si="99">CONCATENATE(B6280,LEFT(C6280,4))</f>
        <v>EMC3956</v>
      </c>
      <c r="E6280" t="s">
        <v>1623</v>
      </c>
    </row>
    <row r="6281" spans="1:5" hidden="1" x14ac:dyDescent="0.25">
      <c r="A6281">
        <v>3151</v>
      </c>
      <c r="B6281" t="s">
        <v>546</v>
      </c>
      <c r="C6281" t="s">
        <v>1657</v>
      </c>
      <c r="D6281" t="str">
        <f t="shared" si="99"/>
        <v>EMC3961</v>
      </c>
      <c r="E6281" t="s">
        <v>1630</v>
      </c>
    </row>
    <row r="6282" spans="1:5" hidden="1" x14ac:dyDescent="0.25">
      <c r="A6282">
        <v>3151</v>
      </c>
      <c r="B6282" t="s">
        <v>546</v>
      </c>
      <c r="C6282" t="s">
        <v>1696</v>
      </c>
      <c r="D6282" t="str">
        <f t="shared" si="99"/>
        <v>EMC3962</v>
      </c>
      <c r="E6282" t="s">
        <v>2103</v>
      </c>
    </row>
    <row r="6283" spans="1:5" hidden="1" x14ac:dyDescent="0.25">
      <c r="A6283">
        <v>3151</v>
      </c>
      <c r="B6283" t="s">
        <v>546</v>
      </c>
      <c r="C6283" t="s">
        <v>525</v>
      </c>
      <c r="D6283" t="str">
        <f t="shared" si="99"/>
        <v>EMC3986</v>
      </c>
      <c r="E6283" t="s">
        <v>1623</v>
      </c>
    </row>
    <row r="6284" spans="1:5" hidden="1" x14ac:dyDescent="0.25">
      <c r="A6284">
        <v>3151</v>
      </c>
      <c r="B6284" t="s">
        <v>546</v>
      </c>
      <c r="C6284" t="s">
        <v>1663</v>
      </c>
      <c r="D6284" t="str">
        <f t="shared" si="99"/>
        <v>EMC3999</v>
      </c>
      <c r="E6284" t="s">
        <v>1623</v>
      </c>
    </row>
    <row r="6285" spans="1:5" hidden="1" x14ac:dyDescent="0.25">
      <c r="A6285">
        <v>3151</v>
      </c>
      <c r="B6285" t="s">
        <v>546</v>
      </c>
      <c r="C6285" t="s">
        <v>1664</v>
      </c>
      <c r="D6285" t="str">
        <f t="shared" si="99"/>
        <v>EMC4002</v>
      </c>
      <c r="E6285" t="s">
        <v>1648</v>
      </c>
    </row>
    <row r="6286" spans="1:5" hidden="1" x14ac:dyDescent="0.25">
      <c r="A6286">
        <v>3151</v>
      </c>
      <c r="B6286" t="s">
        <v>546</v>
      </c>
      <c r="C6286" t="s">
        <v>1665</v>
      </c>
      <c r="D6286" t="str">
        <f t="shared" si="99"/>
        <v>EMC4003</v>
      </c>
      <c r="E6286" t="s">
        <v>93</v>
      </c>
    </row>
    <row r="6287" spans="1:5" hidden="1" x14ac:dyDescent="0.25">
      <c r="A6287">
        <v>3151</v>
      </c>
      <c r="B6287" t="s">
        <v>546</v>
      </c>
      <c r="C6287" t="s">
        <v>1666</v>
      </c>
      <c r="D6287" t="str">
        <f t="shared" si="99"/>
        <v>EMC4004</v>
      </c>
      <c r="E6287" t="s">
        <v>1648</v>
      </c>
    </row>
    <row r="6288" spans="1:5" hidden="1" x14ac:dyDescent="0.25">
      <c r="A6288">
        <v>3151</v>
      </c>
      <c r="B6288" t="s">
        <v>546</v>
      </c>
      <c r="C6288" t="s">
        <v>1667</v>
      </c>
      <c r="D6288" t="str">
        <f t="shared" si="99"/>
        <v>EMC4005</v>
      </c>
      <c r="E6288" t="s">
        <v>1648</v>
      </c>
    </row>
    <row r="6289" spans="1:5" hidden="1" x14ac:dyDescent="0.25">
      <c r="A6289">
        <v>3151</v>
      </c>
      <c r="B6289" t="s">
        <v>546</v>
      </c>
      <c r="C6289" t="s">
        <v>1698</v>
      </c>
      <c r="D6289" t="str">
        <f t="shared" si="99"/>
        <v>EMC4006</v>
      </c>
      <c r="E6289" t="s">
        <v>1675</v>
      </c>
    </row>
    <row r="6290" spans="1:5" hidden="1" x14ac:dyDescent="0.25">
      <c r="A6290">
        <v>3151</v>
      </c>
      <c r="B6290" t="s">
        <v>546</v>
      </c>
      <c r="C6290" t="s">
        <v>1794</v>
      </c>
      <c r="D6290" t="str">
        <f t="shared" si="99"/>
        <v>EMC4602</v>
      </c>
      <c r="E6290" t="s">
        <v>1596</v>
      </c>
    </row>
    <row r="6291" spans="1:5" hidden="1" x14ac:dyDescent="0.25">
      <c r="A6291">
        <v>3151</v>
      </c>
      <c r="B6291" t="s">
        <v>546</v>
      </c>
      <c r="C6291" t="s">
        <v>363</v>
      </c>
      <c r="D6291" t="str">
        <f t="shared" si="99"/>
        <v>EMC4799</v>
      </c>
      <c r="E6291" t="s">
        <v>1669</v>
      </c>
    </row>
    <row r="6292" spans="1:5" hidden="1" x14ac:dyDescent="0.25">
      <c r="A6292">
        <v>3151</v>
      </c>
      <c r="B6292" t="s">
        <v>546</v>
      </c>
      <c r="C6292" t="s">
        <v>1870</v>
      </c>
      <c r="D6292" t="str">
        <f t="shared" si="99"/>
        <v>EMC4901</v>
      </c>
      <c r="E6292" t="s">
        <v>1596</v>
      </c>
    </row>
    <row r="6293" spans="1:5" hidden="1" x14ac:dyDescent="0.25">
      <c r="A6293">
        <v>3151</v>
      </c>
      <c r="B6293" t="s">
        <v>546</v>
      </c>
      <c r="C6293" t="s">
        <v>316</v>
      </c>
      <c r="D6293" t="str">
        <f t="shared" si="99"/>
        <v>EMC5106</v>
      </c>
      <c r="E6293" t="s">
        <v>1671</v>
      </c>
    </row>
    <row r="6294" spans="1:5" hidden="1" x14ac:dyDescent="0.25">
      <c r="A6294">
        <v>3151</v>
      </c>
      <c r="B6294" t="s">
        <v>546</v>
      </c>
      <c r="C6294" t="s">
        <v>328</v>
      </c>
      <c r="D6294" t="str">
        <f t="shared" si="99"/>
        <v>EMC5206</v>
      </c>
      <c r="E6294" t="s">
        <v>1675</v>
      </c>
    </row>
    <row r="6295" spans="1:5" hidden="1" x14ac:dyDescent="0.25">
      <c r="A6295">
        <v>3151</v>
      </c>
      <c r="B6295" t="s">
        <v>546</v>
      </c>
      <c r="C6295" t="s">
        <v>1676</v>
      </c>
      <c r="D6295" t="str">
        <f t="shared" si="99"/>
        <v>EMC5207</v>
      </c>
      <c r="E6295" t="s">
        <v>1675</v>
      </c>
    </row>
    <row r="6296" spans="1:5" hidden="1" x14ac:dyDescent="0.25">
      <c r="A6296">
        <v>3151</v>
      </c>
      <c r="B6296" t="s">
        <v>546</v>
      </c>
      <c r="C6296" t="s">
        <v>1677</v>
      </c>
      <c r="D6296" t="str">
        <f t="shared" si="99"/>
        <v>EMC5208</v>
      </c>
      <c r="E6296" t="s">
        <v>1675</v>
      </c>
    </row>
    <row r="6297" spans="1:5" hidden="1" x14ac:dyDescent="0.25">
      <c r="A6297">
        <v>4091</v>
      </c>
      <c r="B6297" t="s">
        <v>633</v>
      </c>
      <c r="C6297" t="s">
        <v>335</v>
      </c>
      <c r="D6297" t="str">
        <f t="shared" si="99"/>
        <v>FIA3909</v>
      </c>
      <c r="E6297" t="s">
        <v>1623</v>
      </c>
    </row>
    <row r="6298" spans="1:5" hidden="1" x14ac:dyDescent="0.25">
      <c r="A6298">
        <v>4091</v>
      </c>
      <c r="B6298" t="s">
        <v>633</v>
      </c>
      <c r="C6298" t="s">
        <v>495</v>
      </c>
      <c r="D6298" t="str">
        <f t="shared" si="99"/>
        <v>FIA3953</v>
      </c>
      <c r="E6298" t="s">
        <v>1645</v>
      </c>
    </row>
    <row r="6299" spans="1:5" hidden="1" x14ac:dyDescent="0.25">
      <c r="A6299">
        <v>4091</v>
      </c>
      <c r="B6299" t="s">
        <v>633</v>
      </c>
      <c r="C6299" t="s">
        <v>497</v>
      </c>
      <c r="D6299" t="str">
        <f t="shared" si="99"/>
        <v>FIA3955</v>
      </c>
      <c r="E6299" t="s">
        <v>1623</v>
      </c>
    </row>
    <row r="6300" spans="1:5" hidden="1" x14ac:dyDescent="0.25">
      <c r="A6300">
        <v>4091</v>
      </c>
      <c r="B6300" t="s">
        <v>633</v>
      </c>
      <c r="C6300" t="s">
        <v>1749</v>
      </c>
      <c r="D6300" t="str">
        <f t="shared" si="99"/>
        <v>FIA4201</v>
      </c>
      <c r="E6300" t="s">
        <v>1728</v>
      </c>
    </row>
    <row r="6301" spans="1:5" hidden="1" x14ac:dyDescent="0.25">
      <c r="A6301">
        <v>4091</v>
      </c>
      <c r="B6301" t="s">
        <v>633</v>
      </c>
      <c r="C6301" t="s">
        <v>1750</v>
      </c>
      <c r="D6301" t="str">
        <f t="shared" si="99"/>
        <v>FIA4301</v>
      </c>
      <c r="E6301" t="s">
        <v>1751</v>
      </c>
    </row>
    <row r="6302" spans="1:5" hidden="1" x14ac:dyDescent="0.25">
      <c r="A6302">
        <v>4091</v>
      </c>
      <c r="B6302" t="s">
        <v>633</v>
      </c>
      <c r="C6302" t="s">
        <v>1672</v>
      </c>
      <c r="D6302" t="str">
        <f t="shared" si="99"/>
        <v>FIA5103</v>
      </c>
      <c r="E6302" t="s">
        <v>1671</v>
      </c>
    </row>
    <row r="6303" spans="1:5" hidden="1" x14ac:dyDescent="0.25">
      <c r="A6303">
        <v>4091</v>
      </c>
      <c r="B6303" t="s">
        <v>633</v>
      </c>
      <c r="C6303" t="s">
        <v>330</v>
      </c>
      <c r="D6303" t="str">
        <f t="shared" si="99"/>
        <v>FIA9306</v>
      </c>
      <c r="E6303" t="s">
        <v>1686</v>
      </c>
    </row>
    <row r="6304" spans="1:5" hidden="1" x14ac:dyDescent="0.25">
      <c r="A6304">
        <v>4101</v>
      </c>
      <c r="B6304" t="s">
        <v>634</v>
      </c>
      <c r="C6304" t="s">
        <v>437</v>
      </c>
      <c r="D6304" t="str">
        <f t="shared" si="99"/>
        <v>FEH3925</v>
      </c>
      <c r="E6304" t="s">
        <v>1646</v>
      </c>
    </row>
    <row r="6305" spans="1:5" hidden="1" x14ac:dyDescent="0.25">
      <c r="A6305">
        <v>4101</v>
      </c>
      <c r="B6305" t="s">
        <v>634</v>
      </c>
      <c r="C6305" t="s">
        <v>465</v>
      </c>
      <c r="D6305" t="str">
        <f t="shared" si="99"/>
        <v>FEH3933</v>
      </c>
      <c r="E6305" t="s">
        <v>1623</v>
      </c>
    </row>
    <row r="6306" spans="1:5" hidden="1" x14ac:dyDescent="0.25">
      <c r="A6306">
        <v>4101</v>
      </c>
      <c r="B6306" t="s">
        <v>634</v>
      </c>
      <c r="C6306" t="s">
        <v>489</v>
      </c>
      <c r="D6306" t="str">
        <f t="shared" si="99"/>
        <v>FEH3947</v>
      </c>
      <c r="E6306" t="s">
        <v>1623</v>
      </c>
    </row>
    <row r="6307" spans="1:5" hidden="1" x14ac:dyDescent="0.25">
      <c r="A6307">
        <v>4101</v>
      </c>
      <c r="B6307" t="s">
        <v>634</v>
      </c>
      <c r="C6307" t="s">
        <v>499</v>
      </c>
      <c r="D6307" t="str">
        <f t="shared" si="99"/>
        <v>FEH3957</v>
      </c>
      <c r="E6307" t="s">
        <v>1623</v>
      </c>
    </row>
    <row r="6308" spans="1:5" hidden="1" x14ac:dyDescent="0.25">
      <c r="A6308">
        <v>4101</v>
      </c>
      <c r="B6308" t="s">
        <v>634</v>
      </c>
      <c r="C6308" t="s">
        <v>1668</v>
      </c>
      <c r="D6308" t="str">
        <f t="shared" si="99"/>
        <v>FEH4701</v>
      </c>
      <c r="E6308" t="s">
        <v>1669</v>
      </c>
    </row>
    <row r="6309" spans="1:5" hidden="1" x14ac:dyDescent="0.25">
      <c r="A6309">
        <v>4101</v>
      </c>
      <c r="B6309" t="s">
        <v>634</v>
      </c>
      <c r="C6309" t="s">
        <v>363</v>
      </c>
      <c r="D6309" t="str">
        <f t="shared" si="99"/>
        <v>FEH4799</v>
      </c>
      <c r="E6309" t="s">
        <v>1669</v>
      </c>
    </row>
    <row r="6310" spans="1:5" hidden="1" x14ac:dyDescent="0.25">
      <c r="A6310">
        <v>4101</v>
      </c>
      <c r="B6310" t="s">
        <v>634</v>
      </c>
      <c r="C6310" t="s">
        <v>239</v>
      </c>
      <c r="D6310" t="str">
        <f t="shared" si="99"/>
        <v>FEH4801</v>
      </c>
      <c r="E6310" t="s">
        <v>1623</v>
      </c>
    </row>
    <row r="6311" spans="1:5" hidden="1" x14ac:dyDescent="0.25">
      <c r="A6311">
        <v>4101</v>
      </c>
      <c r="B6311" t="s">
        <v>634</v>
      </c>
      <c r="C6311" t="s">
        <v>357</v>
      </c>
      <c r="D6311" t="str">
        <f t="shared" si="99"/>
        <v>FEH5111</v>
      </c>
      <c r="E6311" t="s">
        <v>1671</v>
      </c>
    </row>
    <row r="6312" spans="1:5" hidden="1" x14ac:dyDescent="0.25">
      <c r="A6312">
        <v>4101</v>
      </c>
      <c r="B6312" t="s">
        <v>634</v>
      </c>
      <c r="C6312" t="s">
        <v>289</v>
      </c>
      <c r="D6312" t="str">
        <f t="shared" si="99"/>
        <v>FEH6603</v>
      </c>
      <c r="E6312" t="s">
        <v>1623</v>
      </c>
    </row>
    <row r="6313" spans="1:5" hidden="1" x14ac:dyDescent="0.25">
      <c r="A6313">
        <v>4101</v>
      </c>
      <c r="B6313" t="s">
        <v>634</v>
      </c>
      <c r="C6313" t="s">
        <v>1800</v>
      </c>
      <c r="D6313" t="str">
        <f t="shared" si="99"/>
        <v>FEH9113</v>
      </c>
      <c r="E6313" t="s">
        <v>1724</v>
      </c>
    </row>
    <row r="6314" spans="1:5" hidden="1" x14ac:dyDescent="0.25">
      <c r="A6314">
        <v>4101</v>
      </c>
      <c r="B6314" t="s">
        <v>634</v>
      </c>
      <c r="C6314" t="s">
        <v>1684</v>
      </c>
      <c r="D6314" t="str">
        <f t="shared" si="99"/>
        <v>FEH9202</v>
      </c>
      <c r="E6314" t="s">
        <v>1685</v>
      </c>
    </row>
    <row r="6315" spans="1:5" hidden="1" x14ac:dyDescent="0.25">
      <c r="A6315">
        <v>4101</v>
      </c>
      <c r="B6315" t="s">
        <v>634</v>
      </c>
      <c r="C6315" t="s">
        <v>391</v>
      </c>
      <c r="D6315" t="str">
        <f t="shared" si="99"/>
        <v>FEH9314</v>
      </c>
      <c r="E6315" t="s">
        <v>1623</v>
      </c>
    </row>
    <row r="6316" spans="1:5" hidden="1" x14ac:dyDescent="0.25">
      <c r="A6316">
        <v>4141</v>
      </c>
      <c r="B6316" t="s">
        <v>635</v>
      </c>
      <c r="C6316" t="s">
        <v>1599</v>
      </c>
      <c r="D6316" t="str">
        <f t="shared" si="99"/>
        <v>FPE3001</v>
      </c>
      <c r="E6316" t="s">
        <v>1600</v>
      </c>
    </row>
    <row r="6317" spans="1:5" hidden="1" x14ac:dyDescent="0.25">
      <c r="A6317">
        <v>4141</v>
      </c>
      <c r="B6317" t="s">
        <v>635</v>
      </c>
      <c r="C6317" t="s">
        <v>1616</v>
      </c>
      <c r="D6317" t="str">
        <f t="shared" si="99"/>
        <v>FPE3025</v>
      </c>
      <c r="E6317" t="s">
        <v>1600</v>
      </c>
    </row>
    <row r="6318" spans="1:5" hidden="1" x14ac:dyDescent="0.25">
      <c r="A6318">
        <v>4141</v>
      </c>
      <c r="B6318" t="s">
        <v>635</v>
      </c>
      <c r="C6318" t="s">
        <v>1690</v>
      </c>
      <c r="D6318" t="str">
        <f t="shared" si="99"/>
        <v>FPE3601</v>
      </c>
      <c r="E6318" t="s">
        <v>64</v>
      </c>
    </row>
    <row r="6319" spans="1:5" hidden="1" x14ac:dyDescent="0.25">
      <c r="A6319">
        <v>4141</v>
      </c>
      <c r="B6319" t="s">
        <v>635</v>
      </c>
      <c r="C6319" t="s">
        <v>1641</v>
      </c>
      <c r="D6319" t="str">
        <f t="shared" si="99"/>
        <v>FPE3919</v>
      </c>
      <c r="E6319" t="s">
        <v>2102</v>
      </c>
    </row>
    <row r="6320" spans="1:5" hidden="1" x14ac:dyDescent="0.25">
      <c r="A6320">
        <v>4141</v>
      </c>
      <c r="B6320" t="s">
        <v>635</v>
      </c>
      <c r="C6320" t="s">
        <v>1643</v>
      </c>
      <c r="D6320" t="str">
        <f t="shared" si="99"/>
        <v>FPE3922</v>
      </c>
      <c r="E6320" t="s">
        <v>1611</v>
      </c>
    </row>
    <row r="6321" spans="1:5" hidden="1" x14ac:dyDescent="0.25">
      <c r="A6321">
        <v>4141</v>
      </c>
      <c r="B6321" t="s">
        <v>635</v>
      </c>
      <c r="C6321" t="s">
        <v>442</v>
      </c>
      <c r="D6321" t="str">
        <f t="shared" si="99"/>
        <v>FPE3926</v>
      </c>
      <c r="E6321" t="s">
        <v>1646</v>
      </c>
    </row>
    <row r="6322" spans="1:5" hidden="1" x14ac:dyDescent="0.25">
      <c r="A6322">
        <v>4141</v>
      </c>
      <c r="B6322" t="s">
        <v>635</v>
      </c>
      <c r="C6322" t="s">
        <v>1663</v>
      </c>
      <c r="D6322" t="str">
        <f t="shared" si="99"/>
        <v>FPE3999</v>
      </c>
      <c r="E6322" t="s">
        <v>1623</v>
      </c>
    </row>
    <row r="6323" spans="1:5" hidden="1" x14ac:dyDescent="0.25">
      <c r="A6323">
        <v>4141</v>
      </c>
      <c r="B6323" t="s">
        <v>635</v>
      </c>
      <c r="C6323" t="s">
        <v>1698</v>
      </c>
      <c r="D6323" t="str">
        <f t="shared" si="99"/>
        <v>FPE4006</v>
      </c>
      <c r="E6323" t="s">
        <v>1675</v>
      </c>
    </row>
    <row r="6324" spans="1:5" hidden="1" x14ac:dyDescent="0.25">
      <c r="A6324">
        <v>4141</v>
      </c>
      <c r="B6324" t="s">
        <v>635</v>
      </c>
      <c r="C6324" t="s">
        <v>1672</v>
      </c>
      <c r="D6324" t="str">
        <f t="shared" si="99"/>
        <v>FPE5103</v>
      </c>
      <c r="E6324" t="s">
        <v>1671</v>
      </c>
    </row>
    <row r="6325" spans="1:5" hidden="1" x14ac:dyDescent="0.25">
      <c r="A6325">
        <v>4141</v>
      </c>
      <c r="B6325" t="s">
        <v>635</v>
      </c>
      <c r="C6325" t="s">
        <v>316</v>
      </c>
      <c r="D6325" t="str">
        <f t="shared" si="99"/>
        <v>FPE5106</v>
      </c>
      <c r="E6325" t="s">
        <v>1671</v>
      </c>
    </row>
    <row r="6326" spans="1:5" hidden="1" x14ac:dyDescent="0.25">
      <c r="A6326">
        <v>4141</v>
      </c>
      <c r="B6326" t="s">
        <v>635</v>
      </c>
      <c r="C6326" t="s">
        <v>241</v>
      </c>
      <c r="D6326" t="str">
        <f t="shared" si="99"/>
        <v>FPE5201</v>
      </c>
      <c r="E6326" t="s">
        <v>1621</v>
      </c>
    </row>
    <row r="6327" spans="1:5" hidden="1" x14ac:dyDescent="0.25">
      <c r="A6327">
        <v>4141</v>
      </c>
      <c r="B6327" t="s">
        <v>635</v>
      </c>
      <c r="C6327" t="s">
        <v>287</v>
      </c>
      <c r="D6327" t="str">
        <f t="shared" si="99"/>
        <v>FPE5203</v>
      </c>
      <c r="E6327" t="s">
        <v>1674</v>
      </c>
    </row>
    <row r="6328" spans="1:5" hidden="1" x14ac:dyDescent="0.25">
      <c r="A6328">
        <v>4141</v>
      </c>
      <c r="B6328" t="s">
        <v>635</v>
      </c>
      <c r="C6328" t="s">
        <v>1673</v>
      </c>
      <c r="D6328" t="str">
        <f t="shared" si="99"/>
        <v>FPE5204</v>
      </c>
      <c r="E6328" t="s">
        <v>1674</v>
      </c>
    </row>
    <row r="6329" spans="1:5" hidden="1" x14ac:dyDescent="0.25">
      <c r="A6329">
        <v>4141</v>
      </c>
      <c r="B6329" t="s">
        <v>635</v>
      </c>
      <c r="C6329" t="s">
        <v>328</v>
      </c>
      <c r="D6329" t="str">
        <f t="shared" si="99"/>
        <v>FPE5206</v>
      </c>
      <c r="E6329" t="s">
        <v>1675</v>
      </c>
    </row>
    <row r="6330" spans="1:5" hidden="1" x14ac:dyDescent="0.25">
      <c r="A6330">
        <v>4141</v>
      </c>
      <c r="B6330" t="s">
        <v>635</v>
      </c>
      <c r="C6330" t="s">
        <v>1676</v>
      </c>
      <c r="D6330" t="str">
        <f t="shared" si="99"/>
        <v>FPE5207</v>
      </c>
      <c r="E6330" t="s">
        <v>1675</v>
      </c>
    </row>
    <row r="6331" spans="1:5" hidden="1" x14ac:dyDescent="0.25">
      <c r="A6331">
        <v>4141</v>
      </c>
      <c r="B6331" t="s">
        <v>635</v>
      </c>
      <c r="C6331" t="s">
        <v>1677</v>
      </c>
      <c r="D6331" t="str">
        <f t="shared" si="99"/>
        <v>FPE5208</v>
      </c>
      <c r="E6331" t="s">
        <v>1675</v>
      </c>
    </row>
    <row r="6332" spans="1:5" hidden="1" x14ac:dyDescent="0.25">
      <c r="A6332">
        <v>4141</v>
      </c>
      <c r="B6332" t="s">
        <v>635</v>
      </c>
      <c r="C6332" t="s">
        <v>1678</v>
      </c>
      <c r="D6332" t="str">
        <f t="shared" si="99"/>
        <v>FPE5210</v>
      </c>
      <c r="E6332" t="s">
        <v>1674</v>
      </c>
    </row>
    <row r="6333" spans="1:5" hidden="1" x14ac:dyDescent="0.25">
      <c r="A6333">
        <v>4141</v>
      </c>
      <c r="B6333" t="s">
        <v>635</v>
      </c>
      <c r="C6333" t="s">
        <v>1679</v>
      </c>
      <c r="D6333" t="str">
        <f t="shared" si="99"/>
        <v>FPE5212</v>
      </c>
      <c r="E6333" t="s">
        <v>1674</v>
      </c>
    </row>
    <row r="6334" spans="1:5" hidden="1" x14ac:dyDescent="0.25">
      <c r="A6334">
        <v>4141</v>
      </c>
      <c r="B6334" t="s">
        <v>635</v>
      </c>
      <c r="C6334" t="s">
        <v>384</v>
      </c>
      <c r="D6334" t="str">
        <f t="shared" si="99"/>
        <v>FPE5213</v>
      </c>
      <c r="E6334" t="s">
        <v>1674</v>
      </c>
    </row>
    <row r="6335" spans="1:5" hidden="1" x14ac:dyDescent="0.25">
      <c r="A6335">
        <v>4141</v>
      </c>
      <c r="B6335" t="s">
        <v>635</v>
      </c>
      <c r="C6335" t="s">
        <v>390</v>
      </c>
      <c r="D6335" t="str">
        <f t="shared" si="99"/>
        <v>FPE5214</v>
      </c>
      <c r="E6335" t="s">
        <v>1674</v>
      </c>
    </row>
    <row r="6336" spans="1:5" hidden="1" x14ac:dyDescent="0.25">
      <c r="A6336">
        <v>4141</v>
      </c>
      <c r="B6336" t="s">
        <v>635</v>
      </c>
      <c r="C6336" t="s">
        <v>402</v>
      </c>
      <c r="D6336" t="str">
        <f t="shared" si="99"/>
        <v>FPE5216</v>
      </c>
      <c r="E6336" t="s">
        <v>1680</v>
      </c>
    </row>
    <row r="6337" spans="1:5" hidden="1" x14ac:dyDescent="0.25">
      <c r="A6337">
        <v>4141</v>
      </c>
      <c r="B6337" t="s">
        <v>635</v>
      </c>
      <c r="C6337" t="s">
        <v>408</v>
      </c>
      <c r="D6337" t="str">
        <f t="shared" si="99"/>
        <v>FPE5217</v>
      </c>
      <c r="E6337" t="s">
        <v>1680</v>
      </c>
    </row>
    <row r="6338" spans="1:5" hidden="1" x14ac:dyDescent="0.25">
      <c r="A6338">
        <v>4141</v>
      </c>
      <c r="B6338" t="s">
        <v>635</v>
      </c>
      <c r="C6338" t="s">
        <v>1681</v>
      </c>
      <c r="D6338" t="str">
        <f t="shared" si="99"/>
        <v>FPE5220</v>
      </c>
      <c r="E6338" t="s">
        <v>1675</v>
      </c>
    </row>
    <row r="6339" spans="1:5" hidden="1" x14ac:dyDescent="0.25">
      <c r="A6339">
        <v>4141</v>
      </c>
      <c r="B6339" t="s">
        <v>635</v>
      </c>
      <c r="C6339" t="s">
        <v>448</v>
      </c>
      <c r="D6339" t="str">
        <f t="shared" si="99"/>
        <v>FPE5225</v>
      </c>
      <c r="E6339" t="s">
        <v>1674</v>
      </c>
    </row>
    <row r="6340" spans="1:5" hidden="1" x14ac:dyDescent="0.25">
      <c r="A6340">
        <v>4141</v>
      </c>
      <c r="B6340" t="s">
        <v>635</v>
      </c>
      <c r="C6340" t="s">
        <v>458</v>
      </c>
      <c r="D6340" t="str">
        <f t="shared" si="99"/>
        <v>FPE5299</v>
      </c>
      <c r="E6340" t="s">
        <v>1674</v>
      </c>
    </row>
    <row r="6341" spans="1:5" hidden="1" x14ac:dyDescent="0.25">
      <c r="A6341">
        <v>4141</v>
      </c>
      <c r="B6341" t="s">
        <v>635</v>
      </c>
      <c r="C6341" t="s">
        <v>1684</v>
      </c>
      <c r="D6341" t="str">
        <f t="shared" si="99"/>
        <v>FPE9202</v>
      </c>
      <c r="E6341" t="s">
        <v>1685</v>
      </c>
    </row>
    <row r="6342" spans="1:5" hidden="1" x14ac:dyDescent="0.25">
      <c r="A6342">
        <v>4141</v>
      </c>
      <c r="B6342" t="s">
        <v>635</v>
      </c>
      <c r="C6342" t="s">
        <v>1687</v>
      </c>
      <c r="D6342" t="str">
        <f t="shared" si="99"/>
        <v>FPE9399</v>
      </c>
      <c r="E6342" t="s">
        <v>1623</v>
      </c>
    </row>
    <row r="6343" spans="1:5" hidden="1" x14ac:dyDescent="0.25">
      <c r="A6343">
        <v>4251</v>
      </c>
      <c r="B6343" t="s">
        <v>553</v>
      </c>
      <c r="C6343" t="s">
        <v>1597</v>
      </c>
      <c r="D6343" t="str">
        <f t="shared" si="99"/>
        <v>FEAS1401</v>
      </c>
      <c r="E6343" t="s">
        <v>43</v>
      </c>
    </row>
    <row r="6344" spans="1:5" hidden="1" x14ac:dyDescent="0.25">
      <c r="A6344">
        <v>4251</v>
      </c>
      <c r="B6344" t="s">
        <v>553</v>
      </c>
      <c r="C6344" t="s">
        <v>255</v>
      </c>
      <c r="D6344" t="str">
        <f t="shared" ref="D6344:D6407" si="100">CONCATENATE(B6344,LEFT(C6344,4))</f>
        <v>FEAS3002</v>
      </c>
      <c r="E6344" t="s">
        <v>1600</v>
      </c>
    </row>
    <row r="6345" spans="1:5" hidden="1" x14ac:dyDescent="0.25">
      <c r="A6345">
        <v>4251</v>
      </c>
      <c r="B6345" t="s">
        <v>553</v>
      </c>
      <c r="C6345" t="s">
        <v>1601</v>
      </c>
      <c r="D6345" t="str">
        <f t="shared" si="100"/>
        <v>FEAS3003</v>
      </c>
      <c r="E6345" t="s">
        <v>1600</v>
      </c>
    </row>
    <row r="6346" spans="1:5" hidden="1" x14ac:dyDescent="0.25">
      <c r="A6346">
        <v>4251</v>
      </c>
      <c r="B6346" t="s">
        <v>553</v>
      </c>
      <c r="C6346" t="s">
        <v>1602</v>
      </c>
      <c r="D6346" t="str">
        <f t="shared" si="100"/>
        <v>FEAS3004</v>
      </c>
      <c r="E6346" t="s">
        <v>1600</v>
      </c>
    </row>
    <row r="6347" spans="1:5" hidden="1" x14ac:dyDescent="0.25">
      <c r="A6347">
        <v>4251</v>
      </c>
      <c r="B6347" t="s">
        <v>553</v>
      </c>
      <c r="C6347" t="s">
        <v>1603</v>
      </c>
      <c r="D6347" t="str">
        <f t="shared" si="100"/>
        <v>FEAS3005</v>
      </c>
      <c r="E6347" t="s">
        <v>1600</v>
      </c>
    </row>
    <row r="6348" spans="1:5" hidden="1" x14ac:dyDescent="0.25">
      <c r="A6348">
        <v>4251</v>
      </c>
      <c r="B6348" t="s">
        <v>553</v>
      </c>
      <c r="C6348" t="s">
        <v>1604</v>
      </c>
      <c r="D6348" t="str">
        <f t="shared" si="100"/>
        <v>FEAS3008</v>
      </c>
      <c r="E6348" t="s">
        <v>1600</v>
      </c>
    </row>
    <row r="6349" spans="1:5" hidden="1" x14ac:dyDescent="0.25">
      <c r="A6349">
        <v>4251</v>
      </c>
      <c r="B6349" t="s">
        <v>553</v>
      </c>
      <c r="C6349" t="s">
        <v>1607</v>
      </c>
      <c r="D6349" t="str">
        <f t="shared" si="100"/>
        <v>FEAS3013</v>
      </c>
      <c r="E6349" t="s">
        <v>1600</v>
      </c>
    </row>
    <row r="6350" spans="1:5" hidden="1" x14ac:dyDescent="0.25">
      <c r="A6350">
        <v>4251</v>
      </c>
      <c r="B6350" t="s">
        <v>553</v>
      </c>
      <c r="C6350" t="s">
        <v>1608</v>
      </c>
      <c r="D6350" t="str">
        <f t="shared" si="100"/>
        <v>FEAS3015</v>
      </c>
      <c r="E6350" t="s">
        <v>1600</v>
      </c>
    </row>
    <row r="6351" spans="1:5" hidden="1" x14ac:dyDescent="0.25">
      <c r="A6351">
        <v>4251</v>
      </c>
      <c r="B6351" t="s">
        <v>553</v>
      </c>
      <c r="C6351" t="s">
        <v>1609</v>
      </c>
      <c r="D6351" t="str">
        <f t="shared" si="100"/>
        <v>FEAS3016</v>
      </c>
      <c r="E6351" t="s">
        <v>1600</v>
      </c>
    </row>
    <row r="6352" spans="1:5" hidden="1" x14ac:dyDescent="0.25">
      <c r="A6352">
        <v>4251</v>
      </c>
      <c r="B6352" t="s">
        <v>553</v>
      </c>
      <c r="C6352" t="s">
        <v>405</v>
      </c>
      <c r="D6352" t="str">
        <f t="shared" si="100"/>
        <v>FEAS3017</v>
      </c>
      <c r="E6352" t="s">
        <v>1600</v>
      </c>
    </row>
    <row r="6353" spans="1:5" hidden="1" x14ac:dyDescent="0.25">
      <c r="A6353">
        <v>4251</v>
      </c>
      <c r="B6353" t="s">
        <v>553</v>
      </c>
      <c r="C6353" t="s">
        <v>1612</v>
      </c>
      <c r="D6353" t="str">
        <f t="shared" si="100"/>
        <v>FEAS3020</v>
      </c>
      <c r="E6353" t="s">
        <v>1600</v>
      </c>
    </row>
    <row r="6354" spans="1:5" hidden="1" x14ac:dyDescent="0.25">
      <c r="A6354">
        <v>4251</v>
      </c>
      <c r="B6354" t="s">
        <v>553</v>
      </c>
      <c r="C6354" t="s">
        <v>1613</v>
      </c>
      <c r="D6354" t="str">
        <f t="shared" si="100"/>
        <v>FEAS3021</v>
      </c>
      <c r="E6354" t="s">
        <v>1600</v>
      </c>
    </row>
    <row r="6355" spans="1:5" hidden="1" x14ac:dyDescent="0.25">
      <c r="A6355">
        <v>4251</v>
      </c>
      <c r="B6355" t="s">
        <v>553</v>
      </c>
      <c r="C6355" t="s">
        <v>430</v>
      </c>
      <c r="D6355" t="str">
        <f t="shared" si="100"/>
        <v>FEAS3022</v>
      </c>
      <c r="E6355" t="s">
        <v>1600</v>
      </c>
    </row>
    <row r="6356" spans="1:5" hidden="1" x14ac:dyDescent="0.25">
      <c r="A6356">
        <v>4251</v>
      </c>
      <c r="B6356" t="s">
        <v>553</v>
      </c>
      <c r="C6356" t="s">
        <v>1616</v>
      </c>
      <c r="D6356" t="str">
        <f t="shared" si="100"/>
        <v>FEAS3025</v>
      </c>
      <c r="E6356" t="s">
        <v>1600</v>
      </c>
    </row>
    <row r="6357" spans="1:5" hidden="1" x14ac:dyDescent="0.25">
      <c r="A6357">
        <v>4251</v>
      </c>
      <c r="B6357" t="s">
        <v>553</v>
      </c>
      <c r="C6357" t="s">
        <v>1617</v>
      </c>
      <c r="D6357" t="str">
        <f t="shared" si="100"/>
        <v>FEAS3026</v>
      </c>
      <c r="E6357" t="s">
        <v>1615</v>
      </c>
    </row>
    <row r="6358" spans="1:5" hidden="1" x14ac:dyDescent="0.25">
      <c r="A6358">
        <v>4251</v>
      </c>
      <c r="B6358" t="s">
        <v>553</v>
      </c>
      <c r="C6358" t="s">
        <v>53</v>
      </c>
      <c r="D6358" t="str">
        <f t="shared" si="100"/>
        <v>FEAS3301</v>
      </c>
      <c r="E6358" t="s">
        <v>43</v>
      </c>
    </row>
    <row r="6359" spans="1:5" hidden="1" x14ac:dyDescent="0.25">
      <c r="A6359">
        <v>4251</v>
      </c>
      <c r="B6359" t="s">
        <v>553</v>
      </c>
      <c r="C6359" t="s">
        <v>1626</v>
      </c>
      <c r="D6359" t="str">
        <f t="shared" si="100"/>
        <v>FEAS3302</v>
      </c>
      <c r="E6359" t="s">
        <v>43</v>
      </c>
    </row>
    <row r="6360" spans="1:5" hidden="1" x14ac:dyDescent="0.25">
      <c r="A6360">
        <v>4251</v>
      </c>
      <c r="B6360" t="s">
        <v>553</v>
      </c>
      <c r="C6360" t="s">
        <v>1627</v>
      </c>
      <c r="D6360" t="str">
        <f t="shared" si="100"/>
        <v>FEAS3304</v>
      </c>
      <c r="E6360" t="s">
        <v>43</v>
      </c>
    </row>
    <row r="6361" spans="1:5" hidden="1" x14ac:dyDescent="0.25">
      <c r="A6361">
        <v>4251</v>
      </c>
      <c r="B6361" t="s">
        <v>553</v>
      </c>
      <c r="C6361" t="s">
        <v>308</v>
      </c>
      <c r="D6361" t="str">
        <f t="shared" si="100"/>
        <v>FEAS3305</v>
      </c>
      <c r="E6361" t="s">
        <v>43</v>
      </c>
    </row>
    <row r="6362" spans="1:5" hidden="1" x14ac:dyDescent="0.25">
      <c r="A6362">
        <v>4251</v>
      </c>
      <c r="B6362" t="s">
        <v>553</v>
      </c>
      <c r="C6362" t="s">
        <v>1705</v>
      </c>
      <c r="D6362" t="str">
        <f t="shared" si="100"/>
        <v>FEAS3502</v>
      </c>
      <c r="E6362" t="s">
        <v>1623</v>
      </c>
    </row>
    <row r="6363" spans="1:5" hidden="1" x14ac:dyDescent="0.25">
      <c r="A6363">
        <v>4251</v>
      </c>
      <c r="B6363" t="s">
        <v>553</v>
      </c>
      <c r="C6363" t="s">
        <v>296</v>
      </c>
      <c r="D6363" t="str">
        <f t="shared" si="100"/>
        <v>FEAS3604</v>
      </c>
      <c r="E6363" t="s">
        <v>43</v>
      </c>
    </row>
    <row r="6364" spans="1:5" hidden="1" x14ac:dyDescent="0.25">
      <c r="A6364">
        <v>4251</v>
      </c>
      <c r="B6364" t="s">
        <v>553</v>
      </c>
      <c r="C6364" t="s">
        <v>1707</v>
      </c>
      <c r="D6364" t="str">
        <f t="shared" si="100"/>
        <v>FEAS3611</v>
      </c>
      <c r="E6364" t="s">
        <v>1692</v>
      </c>
    </row>
    <row r="6365" spans="1:5" hidden="1" x14ac:dyDescent="0.25">
      <c r="A6365">
        <v>4251</v>
      </c>
      <c r="B6365" t="s">
        <v>553</v>
      </c>
      <c r="C6365" t="s">
        <v>1628</v>
      </c>
      <c r="D6365" t="str">
        <f t="shared" si="100"/>
        <v>FEAS3612</v>
      </c>
      <c r="E6365" t="s">
        <v>1623</v>
      </c>
    </row>
    <row r="6366" spans="1:5" hidden="1" x14ac:dyDescent="0.25">
      <c r="A6366">
        <v>4251</v>
      </c>
      <c r="B6366" t="s">
        <v>553</v>
      </c>
      <c r="C6366" t="s">
        <v>1631</v>
      </c>
      <c r="D6366" t="str">
        <f t="shared" si="100"/>
        <v>FEAS3703</v>
      </c>
      <c r="E6366" t="s">
        <v>116</v>
      </c>
    </row>
    <row r="6367" spans="1:5" hidden="1" x14ac:dyDescent="0.25">
      <c r="A6367">
        <v>4251</v>
      </c>
      <c r="B6367" t="s">
        <v>553</v>
      </c>
      <c r="C6367" t="s">
        <v>1632</v>
      </c>
      <c r="D6367" t="str">
        <f t="shared" si="100"/>
        <v>FEAS3704</v>
      </c>
      <c r="E6367" t="s">
        <v>116</v>
      </c>
    </row>
    <row r="6368" spans="1:5" hidden="1" x14ac:dyDescent="0.25">
      <c r="A6368">
        <v>4251</v>
      </c>
      <c r="B6368" t="s">
        <v>553</v>
      </c>
      <c r="C6368" t="s">
        <v>1633</v>
      </c>
      <c r="D6368" t="str">
        <f t="shared" si="100"/>
        <v>FEAS3705</v>
      </c>
      <c r="E6368" t="s">
        <v>116</v>
      </c>
    </row>
    <row r="6369" spans="1:5" hidden="1" x14ac:dyDescent="0.25">
      <c r="A6369">
        <v>4251</v>
      </c>
      <c r="B6369" t="s">
        <v>553</v>
      </c>
      <c r="C6369" t="s">
        <v>1830</v>
      </c>
      <c r="D6369" t="str">
        <f t="shared" si="100"/>
        <v>FEAS3902</v>
      </c>
      <c r="E6369" t="s">
        <v>1596</v>
      </c>
    </row>
    <row r="6370" spans="1:5" hidden="1" x14ac:dyDescent="0.25">
      <c r="A6370">
        <v>4251</v>
      </c>
      <c r="B6370" t="s">
        <v>553</v>
      </c>
      <c r="C6370" t="s">
        <v>1634</v>
      </c>
      <c r="D6370" t="str">
        <f t="shared" si="100"/>
        <v>FEAS3903</v>
      </c>
      <c r="E6370" t="s">
        <v>1623</v>
      </c>
    </row>
    <row r="6371" spans="1:5" hidden="1" x14ac:dyDescent="0.25">
      <c r="A6371">
        <v>4251</v>
      </c>
      <c r="B6371" t="s">
        <v>553</v>
      </c>
      <c r="C6371" t="s">
        <v>298</v>
      </c>
      <c r="D6371" t="str">
        <f t="shared" si="100"/>
        <v>FEAS3904</v>
      </c>
      <c r="E6371" t="s">
        <v>1623</v>
      </c>
    </row>
    <row r="6372" spans="1:5" hidden="1" x14ac:dyDescent="0.25">
      <c r="A6372">
        <v>4251</v>
      </c>
      <c r="B6372" t="s">
        <v>553</v>
      </c>
      <c r="C6372" t="s">
        <v>325</v>
      </c>
      <c r="D6372" t="str">
        <f t="shared" si="100"/>
        <v>FEAS3906</v>
      </c>
      <c r="E6372" t="s">
        <v>1623</v>
      </c>
    </row>
    <row r="6373" spans="1:5" hidden="1" x14ac:dyDescent="0.25">
      <c r="A6373">
        <v>4251</v>
      </c>
      <c r="B6373" t="s">
        <v>553</v>
      </c>
      <c r="C6373" t="s">
        <v>1636</v>
      </c>
      <c r="D6373" t="str">
        <f t="shared" si="100"/>
        <v>FEAS3912</v>
      </c>
      <c r="E6373" t="s">
        <v>1637</v>
      </c>
    </row>
    <row r="6374" spans="1:5" hidden="1" x14ac:dyDescent="0.25">
      <c r="A6374">
        <v>4251</v>
      </c>
      <c r="B6374" t="s">
        <v>553</v>
      </c>
      <c r="C6374" t="s">
        <v>1638</v>
      </c>
      <c r="D6374" t="str">
        <f t="shared" si="100"/>
        <v>FEAS3913</v>
      </c>
      <c r="E6374" t="s">
        <v>1637</v>
      </c>
    </row>
    <row r="6375" spans="1:5" hidden="1" x14ac:dyDescent="0.25">
      <c r="A6375">
        <v>4251</v>
      </c>
      <c r="B6375" t="s">
        <v>553</v>
      </c>
      <c r="C6375" t="s">
        <v>383</v>
      </c>
      <c r="D6375" t="str">
        <f t="shared" si="100"/>
        <v>FEAS3915</v>
      </c>
      <c r="E6375" t="s">
        <v>1637</v>
      </c>
    </row>
    <row r="6376" spans="1:5" hidden="1" x14ac:dyDescent="0.25">
      <c r="A6376">
        <v>4251</v>
      </c>
      <c r="B6376" t="s">
        <v>553</v>
      </c>
      <c r="C6376" t="s">
        <v>1639</v>
      </c>
      <c r="D6376" t="str">
        <f t="shared" si="100"/>
        <v>FEAS3917</v>
      </c>
      <c r="E6376" t="s">
        <v>1615</v>
      </c>
    </row>
    <row r="6377" spans="1:5" hidden="1" x14ac:dyDescent="0.25">
      <c r="A6377">
        <v>4251</v>
      </c>
      <c r="B6377" t="s">
        <v>553</v>
      </c>
      <c r="C6377" t="s">
        <v>1640</v>
      </c>
      <c r="D6377" t="str">
        <f t="shared" si="100"/>
        <v>FEAS3918</v>
      </c>
      <c r="E6377" t="s">
        <v>1615</v>
      </c>
    </row>
    <row r="6378" spans="1:5" hidden="1" x14ac:dyDescent="0.25">
      <c r="A6378">
        <v>4251</v>
      </c>
      <c r="B6378" t="s">
        <v>553</v>
      </c>
      <c r="C6378" t="s">
        <v>1641</v>
      </c>
      <c r="D6378" t="str">
        <f t="shared" si="100"/>
        <v>FEAS3919</v>
      </c>
      <c r="E6378" t="s">
        <v>2102</v>
      </c>
    </row>
    <row r="6379" spans="1:5" hidden="1" x14ac:dyDescent="0.25">
      <c r="A6379">
        <v>4251</v>
      </c>
      <c r="B6379" t="s">
        <v>553</v>
      </c>
      <c r="C6379" t="s">
        <v>1694</v>
      </c>
      <c r="D6379" t="str">
        <f t="shared" si="100"/>
        <v>FEAS3920</v>
      </c>
      <c r="E6379" t="s">
        <v>1692</v>
      </c>
    </row>
    <row r="6380" spans="1:5" hidden="1" x14ac:dyDescent="0.25">
      <c r="A6380">
        <v>4251</v>
      </c>
      <c r="B6380" t="s">
        <v>553</v>
      </c>
      <c r="C6380" t="s">
        <v>1642</v>
      </c>
      <c r="D6380" t="str">
        <f t="shared" si="100"/>
        <v>FEAS3921</v>
      </c>
      <c r="E6380" t="s">
        <v>2102</v>
      </c>
    </row>
    <row r="6381" spans="1:5" hidden="1" x14ac:dyDescent="0.25">
      <c r="A6381">
        <v>4251</v>
      </c>
      <c r="B6381" t="s">
        <v>553</v>
      </c>
      <c r="C6381" t="s">
        <v>1643</v>
      </c>
      <c r="D6381" t="str">
        <f t="shared" si="100"/>
        <v>FEAS3922</v>
      </c>
      <c r="E6381" t="s">
        <v>1611</v>
      </c>
    </row>
    <row r="6382" spans="1:5" hidden="1" x14ac:dyDescent="0.25">
      <c r="A6382">
        <v>4251</v>
      </c>
      <c r="B6382" t="s">
        <v>553</v>
      </c>
      <c r="C6382" t="s">
        <v>1644</v>
      </c>
      <c r="D6382" t="str">
        <f t="shared" si="100"/>
        <v>FEAS3924</v>
      </c>
      <c r="E6382" t="s">
        <v>1645</v>
      </c>
    </row>
    <row r="6383" spans="1:5" hidden="1" x14ac:dyDescent="0.25">
      <c r="A6383">
        <v>4251</v>
      </c>
      <c r="B6383" t="s">
        <v>553</v>
      </c>
      <c r="C6383" t="s">
        <v>442</v>
      </c>
      <c r="D6383" t="str">
        <f t="shared" si="100"/>
        <v>FEAS3926</v>
      </c>
      <c r="E6383" t="s">
        <v>1646</v>
      </c>
    </row>
    <row r="6384" spans="1:5" hidden="1" x14ac:dyDescent="0.25">
      <c r="A6384">
        <v>4251</v>
      </c>
      <c r="B6384" t="s">
        <v>553</v>
      </c>
      <c r="C6384" t="s">
        <v>1650</v>
      </c>
      <c r="D6384" t="str">
        <f t="shared" si="100"/>
        <v>FEAS3931</v>
      </c>
      <c r="E6384" t="s">
        <v>1623</v>
      </c>
    </row>
    <row r="6385" spans="1:5" hidden="1" x14ac:dyDescent="0.25">
      <c r="A6385">
        <v>4251</v>
      </c>
      <c r="B6385" t="s">
        <v>553</v>
      </c>
      <c r="C6385" t="s">
        <v>1652</v>
      </c>
      <c r="D6385" t="str">
        <f t="shared" si="100"/>
        <v>FEAS3936</v>
      </c>
      <c r="E6385" t="s">
        <v>93</v>
      </c>
    </row>
    <row r="6386" spans="1:5" hidden="1" x14ac:dyDescent="0.25">
      <c r="A6386">
        <v>4251</v>
      </c>
      <c r="B6386" t="s">
        <v>553</v>
      </c>
      <c r="C6386" t="s">
        <v>1653</v>
      </c>
      <c r="D6386" t="str">
        <f t="shared" si="100"/>
        <v>FEAS3940</v>
      </c>
      <c r="E6386" t="s">
        <v>1648</v>
      </c>
    </row>
    <row r="6387" spans="1:5" hidden="1" x14ac:dyDescent="0.25">
      <c r="A6387">
        <v>4251</v>
      </c>
      <c r="B6387" t="s">
        <v>553</v>
      </c>
      <c r="C6387" t="s">
        <v>479</v>
      </c>
      <c r="D6387" t="str">
        <f t="shared" si="100"/>
        <v>FEAS3941</v>
      </c>
      <c r="E6387" t="s">
        <v>1623</v>
      </c>
    </row>
    <row r="6388" spans="1:5" hidden="1" x14ac:dyDescent="0.25">
      <c r="A6388">
        <v>4251</v>
      </c>
      <c r="B6388" t="s">
        <v>553</v>
      </c>
      <c r="C6388" t="s">
        <v>1654</v>
      </c>
      <c r="D6388" t="str">
        <f t="shared" si="100"/>
        <v>FEAS3943</v>
      </c>
      <c r="E6388" t="s">
        <v>1615</v>
      </c>
    </row>
    <row r="6389" spans="1:5" hidden="1" x14ac:dyDescent="0.25">
      <c r="A6389">
        <v>4251</v>
      </c>
      <c r="B6389" t="s">
        <v>553</v>
      </c>
      <c r="C6389" t="s">
        <v>1715</v>
      </c>
      <c r="D6389" t="str">
        <f t="shared" si="100"/>
        <v>FEAS3949</v>
      </c>
      <c r="E6389" t="s">
        <v>1645</v>
      </c>
    </row>
    <row r="6390" spans="1:5" hidden="1" x14ac:dyDescent="0.25">
      <c r="A6390">
        <v>4251</v>
      </c>
      <c r="B6390" t="s">
        <v>553</v>
      </c>
      <c r="C6390" t="s">
        <v>1655</v>
      </c>
      <c r="D6390" t="str">
        <f t="shared" si="100"/>
        <v>FEAS3950</v>
      </c>
      <c r="E6390" t="s">
        <v>43</v>
      </c>
    </row>
    <row r="6391" spans="1:5" hidden="1" x14ac:dyDescent="0.25">
      <c r="A6391">
        <v>4251</v>
      </c>
      <c r="B6391" t="s">
        <v>553</v>
      </c>
      <c r="C6391" t="s">
        <v>1701</v>
      </c>
      <c r="D6391" t="str">
        <f t="shared" si="100"/>
        <v>FEAS3952</v>
      </c>
      <c r="E6391" t="s">
        <v>64</v>
      </c>
    </row>
    <row r="6392" spans="1:5" hidden="1" x14ac:dyDescent="0.25">
      <c r="A6392">
        <v>4251</v>
      </c>
      <c r="B6392" t="s">
        <v>553</v>
      </c>
      <c r="C6392" t="s">
        <v>495</v>
      </c>
      <c r="D6392" t="str">
        <f t="shared" si="100"/>
        <v>FEAS3953</v>
      </c>
      <c r="E6392" t="s">
        <v>1645</v>
      </c>
    </row>
    <row r="6393" spans="1:5" hidden="1" x14ac:dyDescent="0.25">
      <c r="A6393">
        <v>4251</v>
      </c>
      <c r="B6393" t="s">
        <v>553</v>
      </c>
      <c r="C6393" t="s">
        <v>497</v>
      </c>
      <c r="D6393" t="str">
        <f t="shared" si="100"/>
        <v>FEAS3955</v>
      </c>
      <c r="E6393" t="s">
        <v>1623</v>
      </c>
    </row>
    <row r="6394" spans="1:5" hidden="1" x14ac:dyDescent="0.25">
      <c r="A6394">
        <v>4251</v>
      </c>
      <c r="B6394" t="s">
        <v>553</v>
      </c>
      <c r="C6394" t="s">
        <v>1660</v>
      </c>
      <c r="D6394" t="str">
        <f t="shared" si="100"/>
        <v>FEAS3970</v>
      </c>
      <c r="E6394" t="s">
        <v>1648</v>
      </c>
    </row>
    <row r="6395" spans="1:5" hidden="1" x14ac:dyDescent="0.25">
      <c r="A6395">
        <v>4251</v>
      </c>
      <c r="B6395" t="s">
        <v>553</v>
      </c>
      <c r="C6395" t="s">
        <v>1661</v>
      </c>
      <c r="D6395" t="str">
        <f t="shared" si="100"/>
        <v>FEAS3987</v>
      </c>
      <c r="E6395" t="s">
        <v>1615</v>
      </c>
    </row>
    <row r="6396" spans="1:5" hidden="1" x14ac:dyDescent="0.25">
      <c r="A6396">
        <v>4251</v>
      </c>
      <c r="B6396" t="s">
        <v>553</v>
      </c>
      <c r="C6396" t="s">
        <v>1663</v>
      </c>
      <c r="D6396" t="str">
        <f t="shared" si="100"/>
        <v>FEAS3999</v>
      </c>
      <c r="E6396" t="s">
        <v>1623</v>
      </c>
    </row>
    <row r="6397" spans="1:5" hidden="1" x14ac:dyDescent="0.25">
      <c r="A6397">
        <v>4251</v>
      </c>
      <c r="B6397" t="s">
        <v>553</v>
      </c>
      <c r="C6397" t="s">
        <v>1664</v>
      </c>
      <c r="D6397" t="str">
        <f t="shared" si="100"/>
        <v>FEAS4002</v>
      </c>
      <c r="E6397" t="s">
        <v>1648</v>
      </c>
    </row>
    <row r="6398" spans="1:5" hidden="1" x14ac:dyDescent="0.25">
      <c r="A6398">
        <v>4251</v>
      </c>
      <c r="B6398" t="s">
        <v>553</v>
      </c>
      <c r="C6398" t="s">
        <v>1665</v>
      </c>
      <c r="D6398" t="str">
        <f t="shared" si="100"/>
        <v>FEAS4003</v>
      </c>
      <c r="E6398" t="s">
        <v>93</v>
      </c>
    </row>
    <row r="6399" spans="1:5" hidden="1" x14ac:dyDescent="0.25">
      <c r="A6399">
        <v>4251</v>
      </c>
      <c r="B6399" t="s">
        <v>553</v>
      </c>
      <c r="C6399" t="s">
        <v>1666</v>
      </c>
      <c r="D6399" t="str">
        <f t="shared" si="100"/>
        <v>FEAS4004</v>
      </c>
      <c r="E6399" t="s">
        <v>1648</v>
      </c>
    </row>
    <row r="6400" spans="1:5" hidden="1" x14ac:dyDescent="0.25">
      <c r="A6400">
        <v>4251</v>
      </c>
      <c r="B6400" t="s">
        <v>553</v>
      </c>
      <c r="C6400" t="s">
        <v>1667</v>
      </c>
      <c r="D6400" t="str">
        <f t="shared" si="100"/>
        <v>FEAS4005</v>
      </c>
      <c r="E6400" t="s">
        <v>1648</v>
      </c>
    </row>
    <row r="6401" spans="1:5" hidden="1" x14ac:dyDescent="0.25">
      <c r="A6401">
        <v>4251</v>
      </c>
      <c r="B6401" t="s">
        <v>553</v>
      </c>
      <c r="C6401" t="s">
        <v>1698</v>
      </c>
      <c r="D6401" t="str">
        <f t="shared" si="100"/>
        <v>FEAS4006</v>
      </c>
      <c r="E6401" t="s">
        <v>1675</v>
      </c>
    </row>
    <row r="6402" spans="1:5" hidden="1" x14ac:dyDescent="0.25">
      <c r="A6402">
        <v>4251</v>
      </c>
      <c r="B6402" t="s">
        <v>553</v>
      </c>
      <c r="C6402" t="s">
        <v>1699</v>
      </c>
      <c r="D6402" t="str">
        <f t="shared" si="100"/>
        <v>FEAS4007</v>
      </c>
      <c r="E6402" t="s">
        <v>93</v>
      </c>
    </row>
    <row r="6403" spans="1:5" hidden="1" x14ac:dyDescent="0.25">
      <c r="A6403">
        <v>4251</v>
      </c>
      <c r="B6403" t="s">
        <v>553</v>
      </c>
      <c r="C6403" t="s">
        <v>1719</v>
      </c>
      <c r="D6403" t="str">
        <f t="shared" si="100"/>
        <v>FEAS4101</v>
      </c>
      <c r="E6403" t="s">
        <v>1720</v>
      </c>
    </row>
    <row r="6404" spans="1:5" hidden="1" x14ac:dyDescent="0.25">
      <c r="A6404">
        <v>4251</v>
      </c>
      <c r="B6404" t="s">
        <v>553</v>
      </c>
      <c r="C6404" t="s">
        <v>1749</v>
      </c>
      <c r="D6404" t="str">
        <f t="shared" si="100"/>
        <v>FEAS4201</v>
      </c>
      <c r="E6404" t="s">
        <v>1728</v>
      </c>
    </row>
    <row r="6405" spans="1:5" hidden="1" x14ac:dyDescent="0.25">
      <c r="A6405">
        <v>4251</v>
      </c>
      <c r="B6405" t="s">
        <v>553</v>
      </c>
      <c r="C6405" t="s">
        <v>1750</v>
      </c>
      <c r="D6405" t="str">
        <f t="shared" si="100"/>
        <v>FEAS4301</v>
      </c>
      <c r="E6405" t="s">
        <v>1751</v>
      </c>
    </row>
    <row r="6406" spans="1:5" hidden="1" x14ac:dyDescent="0.25">
      <c r="A6406">
        <v>4251</v>
      </c>
      <c r="B6406" t="s">
        <v>553</v>
      </c>
      <c r="C6406" t="s">
        <v>1668</v>
      </c>
      <c r="D6406" t="str">
        <f t="shared" si="100"/>
        <v>FEAS4701</v>
      </c>
      <c r="E6406" t="s">
        <v>1669</v>
      </c>
    </row>
    <row r="6407" spans="1:5" hidden="1" x14ac:dyDescent="0.25">
      <c r="A6407">
        <v>4251</v>
      </c>
      <c r="B6407" t="s">
        <v>553</v>
      </c>
      <c r="C6407" t="s">
        <v>264</v>
      </c>
      <c r="D6407" t="str">
        <f t="shared" si="100"/>
        <v>FEAS4703</v>
      </c>
      <c r="E6407" t="s">
        <v>1669</v>
      </c>
    </row>
    <row r="6408" spans="1:5" hidden="1" x14ac:dyDescent="0.25">
      <c r="A6408">
        <v>4251</v>
      </c>
      <c r="B6408" t="s">
        <v>553</v>
      </c>
      <c r="C6408" t="s">
        <v>328</v>
      </c>
      <c r="D6408" t="str">
        <f t="shared" ref="D6408:D6471" si="101">CONCATENATE(B6408,LEFT(C6408,4))</f>
        <v>FEAS5206</v>
      </c>
      <c r="E6408" t="s">
        <v>1675</v>
      </c>
    </row>
    <row r="6409" spans="1:5" hidden="1" x14ac:dyDescent="0.25">
      <c r="A6409">
        <v>4251</v>
      </c>
      <c r="B6409" t="s">
        <v>553</v>
      </c>
      <c r="C6409" t="s">
        <v>1676</v>
      </c>
      <c r="D6409" t="str">
        <f t="shared" si="101"/>
        <v>FEAS5207</v>
      </c>
      <c r="E6409" t="s">
        <v>1675</v>
      </c>
    </row>
    <row r="6410" spans="1:5" hidden="1" x14ac:dyDescent="0.25">
      <c r="A6410">
        <v>4251</v>
      </c>
      <c r="B6410" t="s">
        <v>553</v>
      </c>
      <c r="C6410" t="s">
        <v>1677</v>
      </c>
      <c r="D6410" t="str">
        <f t="shared" si="101"/>
        <v>FEAS5208</v>
      </c>
      <c r="E6410" t="s">
        <v>1675</v>
      </c>
    </row>
    <row r="6411" spans="1:5" hidden="1" x14ac:dyDescent="0.25">
      <c r="A6411">
        <v>4251</v>
      </c>
      <c r="B6411" t="s">
        <v>553</v>
      </c>
      <c r="C6411" t="s">
        <v>1679</v>
      </c>
      <c r="D6411" t="str">
        <f t="shared" si="101"/>
        <v>FEAS5212</v>
      </c>
      <c r="E6411" t="s">
        <v>1674</v>
      </c>
    </row>
    <row r="6412" spans="1:5" hidden="1" x14ac:dyDescent="0.25">
      <c r="A6412">
        <v>4251</v>
      </c>
      <c r="B6412" t="s">
        <v>553</v>
      </c>
      <c r="C6412" t="s">
        <v>390</v>
      </c>
      <c r="D6412" t="str">
        <f t="shared" si="101"/>
        <v>FEAS5214</v>
      </c>
      <c r="E6412" t="s">
        <v>1674</v>
      </c>
    </row>
    <row r="6413" spans="1:5" hidden="1" x14ac:dyDescent="0.25">
      <c r="A6413">
        <v>4251</v>
      </c>
      <c r="B6413" t="s">
        <v>553</v>
      </c>
      <c r="C6413" t="s">
        <v>433</v>
      </c>
      <c r="D6413" t="str">
        <f t="shared" si="101"/>
        <v>FEAS5222</v>
      </c>
      <c r="E6413" t="s">
        <v>1674</v>
      </c>
    </row>
    <row r="6414" spans="1:5" hidden="1" x14ac:dyDescent="0.25">
      <c r="A6414">
        <v>4251</v>
      </c>
      <c r="B6414" t="s">
        <v>553</v>
      </c>
      <c r="C6414" t="s">
        <v>448</v>
      </c>
      <c r="D6414" t="str">
        <f t="shared" si="101"/>
        <v>FEAS5225</v>
      </c>
      <c r="E6414" t="s">
        <v>1674</v>
      </c>
    </row>
    <row r="6415" spans="1:5" hidden="1" x14ac:dyDescent="0.25">
      <c r="A6415">
        <v>4251</v>
      </c>
      <c r="B6415" t="s">
        <v>553</v>
      </c>
      <c r="C6415" t="s">
        <v>1684</v>
      </c>
      <c r="D6415" t="str">
        <f t="shared" si="101"/>
        <v>FEAS9202</v>
      </c>
      <c r="E6415" t="s">
        <v>1685</v>
      </c>
    </row>
    <row r="6416" spans="1:5" hidden="1" x14ac:dyDescent="0.25">
      <c r="A6416">
        <v>4251</v>
      </c>
      <c r="B6416" t="s">
        <v>553</v>
      </c>
      <c r="C6416" t="s">
        <v>330</v>
      </c>
      <c r="D6416" t="str">
        <f t="shared" si="101"/>
        <v>FEAS9306</v>
      </c>
      <c r="E6416" t="s">
        <v>1686</v>
      </c>
    </row>
    <row r="6417" spans="1:5" hidden="1" x14ac:dyDescent="0.25">
      <c r="A6417">
        <v>4251</v>
      </c>
      <c r="B6417" t="s">
        <v>553</v>
      </c>
      <c r="C6417" t="s">
        <v>1687</v>
      </c>
      <c r="D6417" t="str">
        <f t="shared" si="101"/>
        <v>FEAS9399</v>
      </c>
      <c r="E6417" t="s">
        <v>1623</v>
      </c>
    </row>
    <row r="6418" spans="1:5" hidden="1" x14ac:dyDescent="0.25">
      <c r="A6418">
        <v>4291</v>
      </c>
      <c r="B6418" t="s">
        <v>554</v>
      </c>
      <c r="C6418" t="s">
        <v>1595</v>
      </c>
      <c r="D6418" t="str">
        <f t="shared" si="101"/>
        <v>FES0810</v>
      </c>
      <c r="E6418" t="s">
        <v>1596</v>
      </c>
    </row>
    <row r="6419" spans="1:5" hidden="1" x14ac:dyDescent="0.25">
      <c r="A6419">
        <v>4291</v>
      </c>
      <c r="B6419" t="s">
        <v>554</v>
      </c>
      <c r="C6419" t="s">
        <v>331</v>
      </c>
      <c r="D6419" t="str">
        <f t="shared" si="101"/>
        <v>FES1314</v>
      </c>
      <c r="E6419" t="s">
        <v>1689</v>
      </c>
    </row>
    <row r="6420" spans="1:5" hidden="1" x14ac:dyDescent="0.25">
      <c r="A6420">
        <v>4291</v>
      </c>
      <c r="B6420" t="s">
        <v>554</v>
      </c>
      <c r="C6420" t="s">
        <v>1688</v>
      </c>
      <c r="D6420" t="str">
        <f t="shared" si="101"/>
        <v>FES1317</v>
      </c>
      <c r="E6420" t="s">
        <v>1689</v>
      </c>
    </row>
    <row r="6421" spans="1:5" hidden="1" x14ac:dyDescent="0.25">
      <c r="A6421">
        <v>4291</v>
      </c>
      <c r="B6421" t="s">
        <v>554</v>
      </c>
      <c r="C6421" t="s">
        <v>1597</v>
      </c>
      <c r="D6421" t="str">
        <f t="shared" si="101"/>
        <v>FES1401</v>
      </c>
      <c r="E6421" t="s">
        <v>43</v>
      </c>
    </row>
    <row r="6422" spans="1:5" hidden="1" x14ac:dyDescent="0.25">
      <c r="A6422">
        <v>4291</v>
      </c>
      <c r="B6422" t="s">
        <v>554</v>
      </c>
      <c r="C6422" t="s">
        <v>1598</v>
      </c>
      <c r="D6422" t="str">
        <f t="shared" si="101"/>
        <v>FES1501</v>
      </c>
      <c r="E6422" t="s">
        <v>43</v>
      </c>
    </row>
    <row r="6423" spans="1:5" hidden="1" x14ac:dyDescent="0.25">
      <c r="A6423">
        <v>4291</v>
      </c>
      <c r="B6423" t="s">
        <v>554</v>
      </c>
      <c r="C6423" t="s">
        <v>1807</v>
      </c>
      <c r="D6423" t="str">
        <f t="shared" si="101"/>
        <v>FES2001</v>
      </c>
      <c r="E6423" t="s">
        <v>1596</v>
      </c>
    </row>
    <row r="6424" spans="1:5" hidden="1" x14ac:dyDescent="0.25">
      <c r="A6424">
        <v>4291</v>
      </c>
      <c r="B6424" t="s">
        <v>554</v>
      </c>
      <c r="C6424" t="s">
        <v>1599</v>
      </c>
      <c r="D6424" t="str">
        <f t="shared" si="101"/>
        <v>FES3001</v>
      </c>
      <c r="E6424" t="s">
        <v>1600</v>
      </c>
    </row>
    <row r="6425" spans="1:5" hidden="1" x14ac:dyDescent="0.25">
      <c r="A6425">
        <v>4291</v>
      </c>
      <c r="B6425" t="s">
        <v>554</v>
      </c>
      <c r="C6425" t="s">
        <v>255</v>
      </c>
      <c r="D6425" t="str">
        <f t="shared" si="101"/>
        <v>FES3002</v>
      </c>
      <c r="E6425" t="s">
        <v>1600</v>
      </c>
    </row>
    <row r="6426" spans="1:5" hidden="1" x14ac:dyDescent="0.25">
      <c r="A6426">
        <v>4291</v>
      </c>
      <c r="B6426" t="s">
        <v>554</v>
      </c>
      <c r="C6426" t="s">
        <v>1601</v>
      </c>
      <c r="D6426" t="str">
        <f t="shared" si="101"/>
        <v>FES3003</v>
      </c>
      <c r="E6426" t="s">
        <v>1600</v>
      </c>
    </row>
    <row r="6427" spans="1:5" hidden="1" x14ac:dyDescent="0.25">
      <c r="A6427">
        <v>4291</v>
      </c>
      <c r="B6427" t="s">
        <v>554</v>
      </c>
      <c r="C6427" t="s">
        <v>1602</v>
      </c>
      <c r="D6427" t="str">
        <f t="shared" si="101"/>
        <v>FES3004</v>
      </c>
      <c r="E6427" t="s">
        <v>1600</v>
      </c>
    </row>
    <row r="6428" spans="1:5" hidden="1" x14ac:dyDescent="0.25">
      <c r="A6428">
        <v>4291</v>
      </c>
      <c r="B6428" t="s">
        <v>554</v>
      </c>
      <c r="C6428" t="s">
        <v>1603</v>
      </c>
      <c r="D6428" t="str">
        <f t="shared" si="101"/>
        <v>FES3005</v>
      </c>
      <c r="E6428" t="s">
        <v>1600</v>
      </c>
    </row>
    <row r="6429" spans="1:5" hidden="1" x14ac:dyDescent="0.25">
      <c r="A6429">
        <v>4291</v>
      </c>
      <c r="B6429" t="s">
        <v>554</v>
      </c>
      <c r="C6429" t="s">
        <v>332</v>
      </c>
      <c r="D6429" t="str">
        <f t="shared" si="101"/>
        <v>FES3007</v>
      </c>
      <c r="E6429" t="s">
        <v>1600</v>
      </c>
    </row>
    <row r="6430" spans="1:5" hidden="1" x14ac:dyDescent="0.25">
      <c r="A6430">
        <v>4291</v>
      </c>
      <c r="B6430" t="s">
        <v>554</v>
      </c>
      <c r="C6430" t="s">
        <v>1604</v>
      </c>
      <c r="D6430" t="str">
        <f t="shared" si="101"/>
        <v>FES3008</v>
      </c>
      <c r="E6430" t="s">
        <v>1600</v>
      </c>
    </row>
    <row r="6431" spans="1:5" hidden="1" x14ac:dyDescent="0.25">
      <c r="A6431">
        <v>4291</v>
      </c>
      <c r="B6431" t="s">
        <v>554</v>
      </c>
      <c r="C6431" t="s">
        <v>1605</v>
      </c>
      <c r="D6431" t="str">
        <f t="shared" si="101"/>
        <v>FES3010</v>
      </c>
      <c r="E6431" t="s">
        <v>1606</v>
      </c>
    </row>
    <row r="6432" spans="1:5" hidden="1" x14ac:dyDescent="0.25">
      <c r="A6432">
        <v>4291</v>
      </c>
      <c r="B6432" t="s">
        <v>554</v>
      </c>
      <c r="C6432" t="s">
        <v>368</v>
      </c>
      <c r="D6432" t="str">
        <f t="shared" si="101"/>
        <v>FES3011</v>
      </c>
      <c r="E6432" t="s">
        <v>1600</v>
      </c>
    </row>
    <row r="6433" spans="1:5" hidden="1" x14ac:dyDescent="0.25">
      <c r="A6433">
        <v>4291</v>
      </c>
      <c r="B6433" t="s">
        <v>554</v>
      </c>
      <c r="C6433" t="s">
        <v>137</v>
      </c>
      <c r="D6433" t="str">
        <f t="shared" si="101"/>
        <v>FES3012</v>
      </c>
      <c r="E6433" t="s">
        <v>1606</v>
      </c>
    </row>
    <row r="6434" spans="1:5" hidden="1" x14ac:dyDescent="0.25">
      <c r="A6434">
        <v>4291</v>
      </c>
      <c r="B6434" t="s">
        <v>554</v>
      </c>
      <c r="C6434" t="s">
        <v>1607</v>
      </c>
      <c r="D6434" t="str">
        <f t="shared" si="101"/>
        <v>FES3013</v>
      </c>
      <c r="E6434" t="s">
        <v>1600</v>
      </c>
    </row>
    <row r="6435" spans="1:5" hidden="1" x14ac:dyDescent="0.25">
      <c r="A6435">
        <v>4291</v>
      </c>
      <c r="B6435" t="s">
        <v>554</v>
      </c>
      <c r="C6435" t="s">
        <v>387</v>
      </c>
      <c r="D6435" t="str">
        <f t="shared" si="101"/>
        <v>FES3014</v>
      </c>
      <c r="E6435" t="s">
        <v>1600</v>
      </c>
    </row>
    <row r="6436" spans="1:5" hidden="1" x14ac:dyDescent="0.25">
      <c r="A6436">
        <v>4291</v>
      </c>
      <c r="B6436" t="s">
        <v>554</v>
      </c>
      <c r="C6436" t="s">
        <v>1608</v>
      </c>
      <c r="D6436" t="str">
        <f t="shared" si="101"/>
        <v>FES3015</v>
      </c>
      <c r="E6436" t="s">
        <v>1600</v>
      </c>
    </row>
    <row r="6437" spans="1:5" hidden="1" x14ac:dyDescent="0.25">
      <c r="A6437">
        <v>4291</v>
      </c>
      <c r="B6437" t="s">
        <v>554</v>
      </c>
      <c r="C6437" t="s">
        <v>1609</v>
      </c>
      <c r="D6437" t="str">
        <f t="shared" si="101"/>
        <v>FES3016</v>
      </c>
      <c r="E6437" t="s">
        <v>1600</v>
      </c>
    </row>
    <row r="6438" spans="1:5" hidden="1" x14ac:dyDescent="0.25">
      <c r="A6438">
        <v>4291</v>
      </c>
      <c r="B6438" t="s">
        <v>554</v>
      </c>
      <c r="C6438" t="s">
        <v>405</v>
      </c>
      <c r="D6438" t="str">
        <f t="shared" si="101"/>
        <v>FES3017</v>
      </c>
      <c r="E6438" t="s">
        <v>1600</v>
      </c>
    </row>
    <row r="6439" spans="1:5" hidden="1" x14ac:dyDescent="0.25">
      <c r="A6439">
        <v>4291</v>
      </c>
      <c r="B6439" t="s">
        <v>554</v>
      </c>
      <c r="C6439" t="s">
        <v>1610</v>
      </c>
      <c r="D6439" t="str">
        <f t="shared" si="101"/>
        <v>FES3019</v>
      </c>
      <c r="E6439" t="s">
        <v>1611</v>
      </c>
    </row>
    <row r="6440" spans="1:5" hidden="1" x14ac:dyDescent="0.25">
      <c r="A6440">
        <v>4291</v>
      </c>
      <c r="B6440" t="s">
        <v>554</v>
      </c>
      <c r="C6440" t="s">
        <v>1612</v>
      </c>
      <c r="D6440" t="str">
        <f t="shared" si="101"/>
        <v>FES3020</v>
      </c>
      <c r="E6440" t="s">
        <v>1600</v>
      </c>
    </row>
    <row r="6441" spans="1:5" hidden="1" x14ac:dyDescent="0.25">
      <c r="A6441">
        <v>4291</v>
      </c>
      <c r="B6441" t="s">
        <v>554</v>
      </c>
      <c r="C6441" t="s">
        <v>1613</v>
      </c>
      <c r="D6441" t="str">
        <f t="shared" si="101"/>
        <v>FES3021</v>
      </c>
      <c r="E6441" t="s">
        <v>1600</v>
      </c>
    </row>
    <row r="6442" spans="1:5" hidden="1" x14ac:dyDescent="0.25">
      <c r="A6442">
        <v>4291</v>
      </c>
      <c r="B6442" t="s">
        <v>554</v>
      </c>
      <c r="C6442" t="s">
        <v>430</v>
      </c>
      <c r="D6442" t="str">
        <f t="shared" si="101"/>
        <v>FES3022</v>
      </c>
      <c r="E6442" t="s">
        <v>1600</v>
      </c>
    </row>
    <row r="6443" spans="1:5" hidden="1" x14ac:dyDescent="0.25">
      <c r="A6443">
        <v>4291</v>
      </c>
      <c r="B6443" t="s">
        <v>554</v>
      </c>
      <c r="C6443" t="s">
        <v>1614</v>
      </c>
      <c r="D6443" t="str">
        <f t="shared" si="101"/>
        <v>FES3023</v>
      </c>
      <c r="E6443" t="s">
        <v>1615</v>
      </c>
    </row>
    <row r="6444" spans="1:5" hidden="1" x14ac:dyDescent="0.25">
      <c r="A6444">
        <v>4291</v>
      </c>
      <c r="B6444" t="s">
        <v>554</v>
      </c>
      <c r="C6444" t="s">
        <v>440</v>
      </c>
      <c r="D6444" t="str">
        <f t="shared" si="101"/>
        <v>FES3024</v>
      </c>
      <c r="E6444" t="s">
        <v>1600</v>
      </c>
    </row>
    <row r="6445" spans="1:5" hidden="1" x14ac:dyDescent="0.25">
      <c r="A6445">
        <v>4291</v>
      </c>
      <c r="B6445" t="s">
        <v>554</v>
      </c>
      <c r="C6445" t="s">
        <v>1616</v>
      </c>
      <c r="D6445" t="str">
        <f t="shared" si="101"/>
        <v>FES3025</v>
      </c>
      <c r="E6445" t="s">
        <v>1600</v>
      </c>
    </row>
    <row r="6446" spans="1:5" hidden="1" x14ac:dyDescent="0.25">
      <c r="A6446">
        <v>4291</v>
      </c>
      <c r="B6446" t="s">
        <v>554</v>
      </c>
      <c r="C6446" t="s">
        <v>1617</v>
      </c>
      <c r="D6446" t="str">
        <f t="shared" si="101"/>
        <v>FES3026</v>
      </c>
      <c r="E6446" t="s">
        <v>1615</v>
      </c>
    </row>
    <row r="6447" spans="1:5" hidden="1" x14ac:dyDescent="0.25">
      <c r="A6447">
        <v>4291</v>
      </c>
      <c r="B6447" t="s">
        <v>554</v>
      </c>
      <c r="C6447" t="s">
        <v>1618</v>
      </c>
      <c r="D6447" t="str">
        <f t="shared" si="101"/>
        <v>FES3027</v>
      </c>
      <c r="E6447" t="s">
        <v>1600</v>
      </c>
    </row>
    <row r="6448" spans="1:5" hidden="1" x14ac:dyDescent="0.25">
      <c r="A6448">
        <v>4291</v>
      </c>
      <c r="B6448" t="s">
        <v>554</v>
      </c>
      <c r="C6448" t="s">
        <v>466</v>
      </c>
      <c r="D6448" t="str">
        <f t="shared" si="101"/>
        <v>FES3030</v>
      </c>
      <c r="E6448" t="s">
        <v>1600</v>
      </c>
    </row>
    <row r="6449" spans="1:5" hidden="1" x14ac:dyDescent="0.25">
      <c r="A6449">
        <v>4291</v>
      </c>
      <c r="B6449" t="s">
        <v>554</v>
      </c>
      <c r="C6449" t="s">
        <v>469</v>
      </c>
      <c r="D6449" t="str">
        <f t="shared" si="101"/>
        <v>FES3031</v>
      </c>
      <c r="E6449" t="s">
        <v>1600</v>
      </c>
    </row>
    <row r="6450" spans="1:5" hidden="1" x14ac:dyDescent="0.25">
      <c r="A6450">
        <v>4291</v>
      </c>
      <c r="B6450" t="s">
        <v>554</v>
      </c>
      <c r="C6450" t="s">
        <v>1620</v>
      </c>
      <c r="D6450" t="str">
        <f t="shared" si="101"/>
        <v>FES3033</v>
      </c>
      <c r="E6450" t="s">
        <v>1621</v>
      </c>
    </row>
    <row r="6451" spans="1:5" hidden="1" x14ac:dyDescent="0.25">
      <c r="A6451">
        <v>4291</v>
      </c>
      <c r="B6451" t="s">
        <v>554</v>
      </c>
      <c r="C6451" t="s">
        <v>476</v>
      </c>
      <c r="D6451" t="str">
        <f t="shared" si="101"/>
        <v>FES3034</v>
      </c>
      <c r="E6451" t="s">
        <v>1621</v>
      </c>
    </row>
    <row r="6452" spans="1:5" hidden="1" x14ac:dyDescent="0.25">
      <c r="A6452">
        <v>4291</v>
      </c>
      <c r="B6452" t="s">
        <v>554</v>
      </c>
      <c r="C6452" t="s">
        <v>486</v>
      </c>
      <c r="D6452" t="str">
        <f t="shared" si="101"/>
        <v>FES3040</v>
      </c>
      <c r="E6452" t="s">
        <v>1600</v>
      </c>
    </row>
    <row r="6453" spans="1:5" hidden="1" x14ac:dyDescent="0.25">
      <c r="A6453">
        <v>4291</v>
      </c>
      <c r="B6453" t="s">
        <v>554</v>
      </c>
      <c r="C6453" t="s">
        <v>1703</v>
      </c>
      <c r="D6453" t="str">
        <f t="shared" si="101"/>
        <v>FES3041</v>
      </c>
      <c r="E6453" t="s">
        <v>1600</v>
      </c>
    </row>
    <row r="6454" spans="1:5" hidden="1" x14ac:dyDescent="0.25">
      <c r="A6454">
        <v>4291</v>
      </c>
      <c r="B6454" t="s">
        <v>554</v>
      </c>
      <c r="C6454" t="s">
        <v>490</v>
      </c>
      <c r="D6454" t="str">
        <f t="shared" si="101"/>
        <v>FES3099</v>
      </c>
      <c r="E6454" t="s">
        <v>1600</v>
      </c>
    </row>
    <row r="6455" spans="1:5" hidden="1" x14ac:dyDescent="0.25">
      <c r="A6455">
        <v>4291</v>
      </c>
      <c r="B6455" t="s">
        <v>554</v>
      </c>
      <c r="C6455" t="s">
        <v>226</v>
      </c>
      <c r="D6455" t="str">
        <f t="shared" si="101"/>
        <v>FES3201</v>
      </c>
      <c r="E6455" t="s">
        <v>1623</v>
      </c>
    </row>
    <row r="6456" spans="1:5" hidden="1" x14ac:dyDescent="0.25">
      <c r="A6456">
        <v>4291</v>
      </c>
      <c r="B6456" t="s">
        <v>554</v>
      </c>
      <c r="C6456" t="s">
        <v>53</v>
      </c>
      <c r="D6456" t="str">
        <f t="shared" si="101"/>
        <v>FES3301</v>
      </c>
      <c r="E6456" t="s">
        <v>43</v>
      </c>
    </row>
    <row r="6457" spans="1:5" hidden="1" x14ac:dyDescent="0.25">
      <c r="A6457">
        <v>4291</v>
      </c>
      <c r="B6457" t="s">
        <v>554</v>
      </c>
      <c r="C6457" t="s">
        <v>1626</v>
      </c>
      <c r="D6457" t="str">
        <f t="shared" si="101"/>
        <v>FES3302</v>
      </c>
      <c r="E6457" t="s">
        <v>43</v>
      </c>
    </row>
    <row r="6458" spans="1:5" hidden="1" x14ac:dyDescent="0.25">
      <c r="A6458">
        <v>4291</v>
      </c>
      <c r="B6458" t="s">
        <v>554</v>
      </c>
      <c r="C6458" t="s">
        <v>1704</v>
      </c>
      <c r="D6458" t="str">
        <f t="shared" si="101"/>
        <v>FES3303</v>
      </c>
      <c r="E6458" t="s">
        <v>43</v>
      </c>
    </row>
    <row r="6459" spans="1:5" hidden="1" x14ac:dyDescent="0.25">
      <c r="A6459">
        <v>4291</v>
      </c>
      <c r="B6459" t="s">
        <v>554</v>
      </c>
      <c r="C6459" t="s">
        <v>1627</v>
      </c>
      <c r="D6459" t="str">
        <f t="shared" si="101"/>
        <v>FES3304</v>
      </c>
      <c r="E6459" t="s">
        <v>43</v>
      </c>
    </row>
    <row r="6460" spans="1:5" hidden="1" x14ac:dyDescent="0.25">
      <c r="A6460">
        <v>4291</v>
      </c>
      <c r="B6460" t="s">
        <v>554</v>
      </c>
      <c r="C6460" t="s">
        <v>308</v>
      </c>
      <c r="D6460" t="str">
        <f t="shared" si="101"/>
        <v>FES3305</v>
      </c>
      <c r="E6460" t="s">
        <v>43</v>
      </c>
    </row>
    <row r="6461" spans="1:5" hidden="1" x14ac:dyDescent="0.25">
      <c r="A6461">
        <v>4291</v>
      </c>
      <c r="B6461" t="s">
        <v>554</v>
      </c>
      <c r="C6461" t="s">
        <v>227</v>
      </c>
      <c r="D6461" t="str">
        <f t="shared" si="101"/>
        <v>FES3401</v>
      </c>
      <c r="E6461" t="s">
        <v>1739</v>
      </c>
    </row>
    <row r="6462" spans="1:5" hidden="1" x14ac:dyDescent="0.25">
      <c r="A6462">
        <v>4291</v>
      </c>
      <c r="B6462" t="s">
        <v>554</v>
      </c>
      <c r="C6462" t="s">
        <v>279</v>
      </c>
      <c r="D6462" t="str">
        <f t="shared" si="101"/>
        <v>FES3403</v>
      </c>
      <c r="E6462" t="s">
        <v>1689</v>
      </c>
    </row>
    <row r="6463" spans="1:5" hidden="1" x14ac:dyDescent="0.25">
      <c r="A6463">
        <v>4291</v>
      </c>
      <c r="B6463" t="s">
        <v>554</v>
      </c>
      <c r="C6463" t="s">
        <v>1705</v>
      </c>
      <c r="D6463" t="str">
        <f t="shared" si="101"/>
        <v>FES3502</v>
      </c>
      <c r="E6463" t="s">
        <v>1706</v>
      </c>
    </row>
    <row r="6464" spans="1:5" hidden="1" x14ac:dyDescent="0.25">
      <c r="A6464">
        <v>4291</v>
      </c>
      <c r="B6464" t="s">
        <v>554</v>
      </c>
      <c r="C6464" t="s">
        <v>1690</v>
      </c>
      <c r="D6464" t="str">
        <f t="shared" si="101"/>
        <v>FES3601</v>
      </c>
      <c r="E6464" t="s">
        <v>64</v>
      </c>
    </row>
    <row r="6465" spans="1:5" hidden="1" x14ac:dyDescent="0.25">
      <c r="A6465">
        <v>4291</v>
      </c>
      <c r="B6465" t="s">
        <v>554</v>
      </c>
      <c r="C6465" t="s">
        <v>296</v>
      </c>
      <c r="D6465" t="str">
        <f t="shared" si="101"/>
        <v>FES3604</v>
      </c>
      <c r="E6465" t="s">
        <v>43</v>
      </c>
    </row>
    <row r="6466" spans="1:5" hidden="1" x14ac:dyDescent="0.25">
      <c r="A6466">
        <v>4291</v>
      </c>
      <c r="B6466" t="s">
        <v>554</v>
      </c>
      <c r="C6466" t="s">
        <v>1742</v>
      </c>
      <c r="D6466" t="str">
        <f t="shared" si="101"/>
        <v>FES3605</v>
      </c>
      <c r="E6466" t="s">
        <v>1623</v>
      </c>
    </row>
    <row r="6467" spans="1:5" hidden="1" x14ac:dyDescent="0.25">
      <c r="A6467">
        <v>4291</v>
      </c>
      <c r="B6467" t="s">
        <v>554</v>
      </c>
      <c r="C6467" t="s">
        <v>1817</v>
      </c>
      <c r="D6467" t="str">
        <f t="shared" si="101"/>
        <v>FES3608</v>
      </c>
      <c r="E6467" t="s">
        <v>1606</v>
      </c>
    </row>
    <row r="6468" spans="1:5" hidden="1" x14ac:dyDescent="0.25">
      <c r="A6468">
        <v>4291</v>
      </c>
      <c r="B6468" t="s">
        <v>554</v>
      </c>
      <c r="C6468" t="s">
        <v>354</v>
      </c>
      <c r="D6468" t="str">
        <f t="shared" si="101"/>
        <v>FES3610</v>
      </c>
      <c r="E6468" t="s">
        <v>1623</v>
      </c>
    </row>
    <row r="6469" spans="1:5" hidden="1" x14ac:dyDescent="0.25">
      <c r="A6469">
        <v>4291</v>
      </c>
      <c r="B6469" t="s">
        <v>554</v>
      </c>
      <c r="C6469" t="s">
        <v>1707</v>
      </c>
      <c r="D6469" t="str">
        <f t="shared" si="101"/>
        <v>FES3611</v>
      </c>
      <c r="E6469" t="s">
        <v>1692</v>
      </c>
    </row>
    <row r="6470" spans="1:5" hidden="1" x14ac:dyDescent="0.25">
      <c r="A6470">
        <v>4291</v>
      </c>
      <c r="B6470" t="s">
        <v>554</v>
      </c>
      <c r="C6470" t="s">
        <v>1628</v>
      </c>
      <c r="D6470" t="str">
        <f t="shared" si="101"/>
        <v>FES3612</v>
      </c>
      <c r="E6470" t="s">
        <v>1623</v>
      </c>
    </row>
    <row r="6471" spans="1:5" hidden="1" x14ac:dyDescent="0.25">
      <c r="A6471">
        <v>4291</v>
      </c>
      <c r="B6471" t="s">
        <v>554</v>
      </c>
      <c r="C6471" t="s">
        <v>1743</v>
      </c>
      <c r="D6471" t="str">
        <f t="shared" si="101"/>
        <v>FES3616</v>
      </c>
      <c r="E6471" t="s">
        <v>1615</v>
      </c>
    </row>
    <row r="6472" spans="1:5" hidden="1" x14ac:dyDescent="0.25">
      <c r="A6472">
        <v>4291</v>
      </c>
      <c r="B6472" t="s">
        <v>554</v>
      </c>
      <c r="C6472" t="s">
        <v>400</v>
      </c>
      <c r="D6472" t="str">
        <f t="shared" ref="D6472:D6535" si="102">CONCATENATE(B6472,LEFT(C6472,4))</f>
        <v>FES3617</v>
      </c>
      <c r="E6472" t="s">
        <v>1623</v>
      </c>
    </row>
    <row r="6473" spans="1:5" hidden="1" x14ac:dyDescent="0.25">
      <c r="A6473">
        <v>4291</v>
      </c>
      <c r="B6473" t="s">
        <v>554</v>
      </c>
      <c r="C6473" t="s">
        <v>406</v>
      </c>
      <c r="D6473" t="str">
        <f t="shared" si="102"/>
        <v>FES3618</v>
      </c>
      <c r="E6473" t="s">
        <v>1611</v>
      </c>
    </row>
    <row r="6474" spans="1:5" hidden="1" x14ac:dyDescent="0.25">
      <c r="A6474">
        <v>4291</v>
      </c>
      <c r="B6474" t="s">
        <v>554</v>
      </c>
      <c r="C6474" t="s">
        <v>431</v>
      </c>
      <c r="D6474" t="str">
        <f t="shared" si="102"/>
        <v>FES3623</v>
      </c>
      <c r="E6474" t="s">
        <v>1646</v>
      </c>
    </row>
    <row r="6475" spans="1:5" hidden="1" x14ac:dyDescent="0.25">
      <c r="A6475">
        <v>4291</v>
      </c>
      <c r="B6475" t="s">
        <v>554</v>
      </c>
      <c r="C6475" t="s">
        <v>467</v>
      </c>
      <c r="D6475" t="str">
        <f t="shared" si="102"/>
        <v>FES3631</v>
      </c>
      <c r="E6475" t="s">
        <v>1808</v>
      </c>
    </row>
    <row r="6476" spans="1:5" hidden="1" x14ac:dyDescent="0.25">
      <c r="A6476">
        <v>4291</v>
      </c>
      <c r="B6476" t="s">
        <v>554</v>
      </c>
      <c r="C6476" t="s">
        <v>470</v>
      </c>
      <c r="D6476" t="str">
        <f t="shared" si="102"/>
        <v>FES3699</v>
      </c>
      <c r="E6476" t="s">
        <v>1623</v>
      </c>
    </row>
    <row r="6477" spans="1:5" hidden="1" x14ac:dyDescent="0.25">
      <c r="A6477">
        <v>4291</v>
      </c>
      <c r="B6477" t="s">
        <v>554</v>
      </c>
      <c r="C6477" t="s">
        <v>1693</v>
      </c>
      <c r="D6477" t="str">
        <f t="shared" si="102"/>
        <v>FES3702</v>
      </c>
      <c r="E6477" t="s">
        <v>1630</v>
      </c>
    </row>
    <row r="6478" spans="1:5" hidden="1" x14ac:dyDescent="0.25">
      <c r="A6478">
        <v>4291</v>
      </c>
      <c r="B6478" t="s">
        <v>554</v>
      </c>
      <c r="C6478" t="s">
        <v>1631</v>
      </c>
      <c r="D6478" t="str">
        <f t="shared" si="102"/>
        <v>FES3703</v>
      </c>
      <c r="E6478" t="s">
        <v>116</v>
      </c>
    </row>
    <row r="6479" spans="1:5" hidden="1" x14ac:dyDescent="0.25">
      <c r="A6479">
        <v>4291</v>
      </c>
      <c r="B6479" t="s">
        <v>554</v>
      </c>
      <c r="C6479" t="s">
        <v>1632</v>
      </c>
      <c r="D6479" t="str">
        <f t="shared" si="102"/>
        <v>FES3704</v>
      </c>
      <c r="E6479" t="s">
        <v>116</v>
      </c>
    </row>
    <row r="6480" spans="1:5" hidden="1" x14ac:dyDescent="0.25">
      <c r="A6480">
        <v>4291</v>
      </c>
      <c r="B6480" t="s">
        <v>554</v>
      </c>
      <c r="C6480" t="s">
        <v>1633</v>
      </c>
      <c r="D6480" t="str">
        <f t="shared" si="102"/>
        <v>FES3705</v>
      </c>
      <c r="E6480" t="s">
        <v>116</v>
      </c>
    </row>
    <row r="6481" spans="1:5" hidden="1" x14ac:dyDescent="0.25">
      <c r="A6481">
        <v>4291</v>
      </c>
      <c r="B6481" t="s">
        <v>554</v>
      </c>
      <c r="C6481" t="s">
        <v>232</v>
      </c>
      <c r="D6481" t="str">
        <f t="shared" si="102"/>
        <v>FES3901</v>
      </c>
      <c r="E6481" t="s">
        <v>1596</v>
      </c>
    </row>
    <row r="6482" spans="1:5" hidden="1" x14ac:dyDescent="0.25">
      <c r="A6482">
        <v>4291</v>
      </c>
      <c r="B6482" t="s">
        <v>554</v>
      </c>
      <c r="C6482" t="s">
        <v>1830</v>
      </c>
      <c r="D6482" t="str">
        <f t="shared" si="102"/>
        <v>FES3902</v>
      </c>
      <c r="E6482" t="s">
        <v>1808</v>
      </c>
    </row>
    <row r="6483" spans="1:5" hidden="1" x14ac:dyDescent="0.25">
      <c r="A6483">
        <v>4291</v>
      </c>
      <c r="B6483" t="s">
        <v>554</v>
      </c>
      <c r="C6483" t="s">
        <v>1634</v>
      </c>
      <c r="D6483" t="str">
        <f t="shared" si="102"/>
        <v>FES3903</v>
      </c>
      <c r="E6483" t="s">
        <v>1623</v>
      </c>
    </row>
    <row r="6484" spans="1:5" hidden="1" x14ac:dyDescent="0.25">
      <c r="A6484">
        <v>4291</v>
      </c>
      <c r="B6484" t="s">
        <v>554</v>
      </c>
      <c r="C6484" t="s">
        <v>298</v>
      </c>
      <c r="D6484" t="str">
        <f t="shared" si="102"/>
        <v>FES3904</v>
      </c>
      <c r="E6484" t="s">
        <v>1623</v>
      </c>
    </row>
    <row r="6485" spans="1:5" hidden="1" x14ac:dyDescent="0.25">
      <c r="A6485">
        <v>4291</v>
      </c>
      <c r="B6485" t="s">
        <v>554</v>
      </c>
      <c r="C6485" t="s">
        <v>325</v>
      </c>
      <c r="D6485" t="str">
        <f t="shared" si="102"/>
        <v>FES3906</v>
      </c>
      <c r="E6485" t="s">
        <v>1623</v>
      </c>
    </row>
    <row r="6486" spans="1:5" hidden="1" x14ac:dyDescent="0.25">
      <c r="A6486">
        <v>4291</v>
      </c>
      <c r="B6486" t="s">
        <v>554</v>
      </c>
      <c r="C6486" t="s">
        <v>1635</v>
      </c>
      <c r="D6486" t="str">
        <f t="shared" si="102"/>
        <v>FES3908</v>
      </c>
      <c r="E6486" t="s">
        <v>1623</v>
      </c>
    </row>
    <row r="6487" spans="1:5" hidden="1" x14ac:dyDescent="0.25">
      <c r="A6487">
        <v>4291</v>
      </c>
      <c r="B6487" t="s">
        <v>554</v>
      </c>
      <c r="C6487" t="s">
        <v>335</v>
      </c>
      <c r="D6487" t="str">
        <f t="shared" si="102"/>
        <v>FES3909</v>
      </c>
      <c r="E6487" t="s">
        <v>1623</v>
      </c>
    </row>
    <row r="6488" spans="1:5" hidden="1" x14ac:dyDescent="0.25">
      <c r="A6488">
        <v>4291</v>
      </c>
      <c r="B6488" t="s">
        <v>554</v>
      </c>
      <c r="C6488" t="s">
        <v>345</v>
      </c>
      <c r="D6488" t="str">
        <f t="shared" si="102"/>
        <v>FES3910</v>
      </c>
      <c r="E6488" t="s">
        <v>1623</v>
      </c>
    </row>
    <row r="6489" spans="1:5" hidden="1" x14ac:dyDescent="0.25">
      <c r="A6489">
        <v>4291</v>
      </c>
      <c r="B6489" t="s">
        <v>554</v>
      </c>
      <c r="C6489" t="s">
        <v>355</v>
      </c>
      <c r="D6489" t="str">
        <f t="shared" si="102"/>
        <v>FES3911</v>
      </c>
      <c r="E6489" t="s">
        <v>1623</v>
      </c>
    </row>
    <row r="6490" spans="1:5" hidden="1" x14ac:dyDescent="0.25">
      <c r="A6490">
        <v>4291</v>
      </c>
      <c r="B6490" t="s">
        <v>554</v>
      </c>
      <c r="C6490" t="s">
        <v>1636</v>
      </c>
      <c r="D6490" t="str">
        <f t="shared" si="102"/>
        <v>FES3912</v>
      </c>
      <c r="E6490" t="s">
        <v>1637</v>
      </c>
    </row>
    <row r="6491" spans="1:5" hidden="1" x14ac:dyDescent="0.25">
      <c r="A6491">
        <v>4291</v>
      </c>
      <c r="B6491" t="s">
        <v>554</v>
      </c>
      <c r="C6491" t="s">
        <v>1638</v>
      </c>
      <c r="D6491" t="str">
        <f t="shared" si="102"/>
        <v>FES3913</v>
      </c>
      <c r="E6491" t="s">
        <v>1637</v>
      </c>
    </row>
    <row r="6492" spans="1:5" hidden="1" x14ac:dyDescent="0.25">
      <c r="A6492">
        <v>4291</v>
      </c>
      <c r="B6492" t="s">
        <v>554</v>
      </c>
      <c r="C6492" t="s">
        <v>383</v>
      </c>
      <c r="D6492" t="str">
        <f t="shared" si="102"/>
        <v>FES3915</v>
      </c>
      <c r="E6492" t="s">
        <v>1637</v>
      </c>
    </row>
    <row r="6493" spans="1:5" hidden="1" x14ac:dyDescent="0.25">
      <c r="A6493">
        <v>4291</v>
      </c>
      <c r="B6493" t="s">
        <v>554</v>
      </c>
      <c r="C6493" t="s">
        <v>1639</v>
      </c>
      <c r="D6493" t="str">
        <f t="shared" si="102"/>
        <v>FES3917</v>
      </c>
      <c r="E6493" t="s">
        <v>1615</v>
      </c>
    </row>
    <row r="6494" spans="1:5" hidden="1" x14ac:dyDescent="0.25">
      <c r="A6494">
        <v>4291</v>
      </c>
      <c r="B6494" t="s">
        <v>554</v>
      </c>
      <c r="C6494" t="s">
        <v>1640</v>
      </c>
      <c r="D6494" t="str">
        <f t="shared" si="102"/>
        <v>FES3918</v>
      </c>
      <c r="E6494" t="s">
        <v>1615</v>
      </c>
    </row>
    <row r="6495" spans="1:5" hidden="1" x14ac:dyDescent="0.25">
      <c r="A6495">
        <v>4291</v>
      </c>
      <c r="B6495" t="s">
        <v>554</v>
      </c>
      <c r="C6495" t="s">
        <v>1641</v>
      </c>
      <c r="D6495" t="str">
        <f t="shared" si="102"/>
        <v>FES3919</v>
      </c>
      <c r="E6495" t="s">
        <v>2102</v>
      </c>
    </row>
    <row r="6496" spans="1:5" hidden="1" x14ac:dyDescent="0.25">
      <c r="A6496">
        <v>4291</v>
      </c>
      <c r="B6496" t="s">
        <v>554</v>
      </c>
      <c r="C6496" t="s">
        <v>1694</v>
      </c>
      <c r="D6496" t="str">
        <f t="shared" si="102"/>
        <v>FES3920</v>
      </c>
      <c r="E6496" t="s">
        <v>1692</v>
      </c>
    </row>
    <row r="6497" spans="1:5" hidden="1" x14ac:dyDescent="0.25">
      <c r="A6497">
        <v>4291</v>
      </c>
      <c r="B6497" t="s">
        <v>554</v>
      </c>
      <c r="C6497" t="s">
        <v>1642</v>
      </c>
      <c r="D6497" t="str">
        <f t="shared" si="102"/>
        <v>FES3921</v>
      </c>
      <c r="E6497" t="s">
        <v>2102</v>
      </c>
    </row>
    <row r="6498" spans="1:5" hidden="1" x14ac:dyDescent="0.25">
      <c r="A6498">
        <v>4291</v>
      </c>
      <c r="B6498" t="s">
        <v>554</v>
      </c>
      <c r="C6498" t="s">
        <v>1643</v>
      </c>
      <c r="D6498" t="str">
        <f t="shared" si="102"/>
        <v>FES3922</v>
      </c>
      <c r="E6498" t="s">
        <v>1611</v>
      </c>
    </row>
    <row r="6499" spans="1:5" hidden="1" x14ac:dyDescent="0.25">
      <c r="A6499">
        <v>4291</v>
      </c>
      <c r="B6499" t="s">
        <v>554</v>
      </c>
      <c r="C6499" t="s">
        <v>1644</v>
      </c>
      <c r="D6499" t="str">
        <f t="shared" si="102"/>
        <v>FES3924</v>
      </c>
      <c r="E6499" t="s">
        <v>1645</v>
      </c>
    </row>
    <row r="6500" spans="1:5" hidden="1" x14ac:dyDescent="0.25">
      <c r="A6500">
        <v>4291</v>
      </c>
      <c r="B6500" t="s">
        <v>554</v>
      </c>
      <c r="C6500" t="s">
        <v>437</v>
      </c>
      <c r="D6500" t="str">
        <f t="shared" si="102"/>
        <v>FES3925</v>
      </c>
      <c r="E6500" t="s">
        <v>1646</v>
      </c>
    </row>
    <row r="6501" spans="1:5" hidden="1" x14ac:dyDescent="0.25">
      <c r="A6501">
        <v>4291</v>
      </c>
      <c r="B6501" t="s">
        <v>554</v>
      </c>
      <c r="C6501" t="s">
        <v>442</v>
      </c>
      <c r="D6501" t="str">
        <f t="shared" si="102"/>
        <v>FES3926</v>
      </c>
      <c r="E6501" t="s">
        <v>1646</v>
      </c>
    </row>
    <row r="6502" spans="1:5" hidden="1" x14ac:dyDescent="0.25">
      <c r="A6502">
        <v>4291</v>
      </c>
      <c r="B6502" t="s">
        <v>554</v>
      </c>
      <c r="C6502" t="s">
        <v>1647</v>
      </c>
      <c r="D6502" t="str">
        <f t="shared" si="102"/>
        <v>FES3927</v>
      </c>
      <c r="E6502" t="s">
        <v>1648</v>
      </c>
    </row>
    <row r="6503" spans="1:5" hidden="1" x14ac:dyDescent="0.25">
      <c r="A6503">
        <v>4291</v>
      </c>
      <c r="B6503" t="s">
        <v>554</v>
      </c>
      <c r="C6503" t="s">
        <v>1862</v>
      </c>
      <c r="D6503" t="str">
        <f t="shared" si="102"/>
        <v>FES3928</v>
      </c>
      <c r="E6503" t="s">
        <v>1606</v>
      </c>
    </row>
    <row r="6504" spans="1:5" hidden="1" x14ac:dyDescent="0.25">
      <c r="A6504">
        <v>4291</v>
      </c>
      <c r="B6504" t="s">
        <v>554</v>
      </c>
      <c r="C6504" t="s">
        <v>1649</v>
      </c>
      <c r="D6504" t="str">
        <f t="shared" si="102"/>
        <v>FES3929</v>
      </c>
      <c r="E6504" t="s">
        <v>1606</v>
      </c>
    </row>
    <row r="6505" spans="1:5" hidden="1" x14ac:dyDescent="0.25">
      <c r="A6505">
        <v>4291</v>
      </c>
      <c r="B6505" t="s">
        <v>554</v>
      </c>
      <c r="C6505" t="s">
        <v>457</v>
      </c>
      <c r="D6505" t="str">
        <f t="shared" si="102"/>
        <v>FES3930</v>
      </c>
      <c r="E6505" t="s">
        <v>1646</v>
      </c>
    </row>
    <row r="6506" spans="1:5" hidden="1" x14ac:dyDescent="0.25">
      <c r="A6506">
        <v>4291</v>
      </c>
      <c r="B6506" t="s">
        <v>554</v>
      </c>
      <c r="C6506" t="s">
        <v>1650</v>
      </c>
      <c r="D6506" t="str">
        <f t="shared" si="102"/>
        <v>FES3931</v>
      </c>
      <c r="E6506" t="s">
        <v>1623</v>
      </c>
    </row>
    <row r="6507" spans="1:5" hidden="1" x14ac:dyDescent="0.25">
      <c r="A6507">
        <v>4291</v>
      </c>
      <c r="B6507" t="s">
        <v>554</v>
      </c>
      <c r="C6507" t="s">
        <v>465</v>
      </c>
      <c r="D6507" t="str">
        <f t="shared" si="102"/>
        <v>FES3933</v>
      </c>
      <c r="E6507" t="s">
        <v>1623</v>
      </c>
    </row>
    <row r="6508" spans="1:5" hidden="1" x14ac:dyDescent="0.25">
      <c r="A6508">
        <v>4291</v>
      </c>
      <c r="B6508" t="s">
        <v>554</v>
      </c>
      <c r="C6508" t="s">
        <v>468</v>
      </c>
      <c r="D6508" t="str">
        <f t="shared" si="102"/>
        <v>FES3934</v>
      </c>
      <c r="E6508" t="s">
        <v>1621</v>
      </c>
    </row>
    <row r="6509" spans="1:5" hidden="1" x14ac:dyDescent="0.25">
      <c r="A6509">
        <v>4291</v>
      </c>
      <c r="B6509" t="s">
        <v>554</v>
      </c>
      <c r="C6509" t="s">
        <v>1651</v>
      </c>
      <c r="D6509" t="str">
        <f t="shared" si="102"/>
        <v>FES3935</v>
      </c>
      <c r="E6509" t="s">
        <v>1621</v>
      </c>
    </row>
    <row r="6510" spans="1:5" hidden="1" x14ac:dyDescent="0.25">
      <c r="A6510">
        <v>4291</v>
      </c>
      <c r="B6510" t="s">
        <v>554</v>
      </c>
      <c r="C6510" t="s">
        <v>1652</v>
      </c>
      <c r="D6510" t="str">
        <f t="shared" si="102"/>
        <v>FES3936</v>
      </c>
      <c r="E6510" t="s">
        <v>93</v>
      </c>
    </row>
    <row r="6511" spans="1:5" hidden="1" x14ac:dyDescent="0.25">
      <c r="A6511">
        <v>4291</v>
      </c>
      <c r="B6511" t="s">
        <v>554</v>
      </c>
      <c r="C6511" t="s">
        <v>1695</v>
      </c>
      <c r="D6511" t="str">
        <f t="shared" si="102"/>
        <v>FES3937</v>
      </c>
      <c r="E6511" t="s">
        <v>1692</v>
      </c>
    </row>
    <row r="6512" spans="1:5" hidden="1" x14ac:dyDescent="0.25">
      <c r="A6512">
        <v>4291</v>
      </c>
      <c r="B6512" t="s">
        <v>554</v>
      </c>
      <c r="C6512" t="s">
        <v>1708</v>
      </c>
      <c r="D6512" t="str">
        <f t="shared" si="102"/>
        <v>FES3938</v>
      </c>
      <c r="E6512" t="s">
        <v>1623</v>
      </c>
    </row>
    <row r="6513" spans="1:5" hidden="1" x14ac:dyDescent="0.25">
      <c r="A6513">
        <v>4291</v>
      </c>
      <c r="B6513" t="s">
        <v>554</v>
      </c>
      <c r="C6513" t="s">
        <v>1714</v>
      </c>
      <c r="D6513" t="str">
        <f t="shared" si="102"/>
        <v>FES3939</v>
      </c>
      <c r="E6513" t="s">
        <v>1623</v>
      </c>
    </row>
    <row r="6514" spans="1:5" hidden="1" x14ac:dyDescent="0.25">
      <c r="A6514">
        <v>4291</v>
      </c>
      <c r="B6514" t="s">
        <v>554</v>
      </c>
      <c r="C6514" t="s">
        <v>1653</v>
      </c>
      <c r="D6514" t="str">
        <f t="shared" si="102"/>
        <v>FES3940</v>
      </c>
      <c r="E6514" t="s">
        <v>1648</v>
      </c>
    </row>
    <row r="6515" spans="1:5" hidden="1" x14ac:dyDescent="0.25">
      <c r="A6515">
        <v>4291</v>
      </c>
      <c r="B6515" t="s">
        <v>554</v>
      </c>
      <c r="C6515" t="s">
        <v>479</v>
      </c>
      <c r="D6515" t="str">
        <f t="shared" si="102"/>
        <v>FES3941</v>
      </c>
      <c r="E6515" t="s">
        <v>1623</v>
      </c>
    </row>
    <row r="6516" spans="1:5" hidden="1" x14ac:dyDescent="0.25">
      <c r="A6516">
        <v>4291</v>
      </c>
      <c r="B6516" t="s">
        <v>554</v>
      </c>
      <c r="C6516" t="s">
        <v>481</v>
      </c>
      <c r="D6516" t="str">
        <f t="shared" si="102"/>
        <v>FES3942</v>
      </c>
      <c r="E6516" t="s">
        <v>1623</v>
      </c>
    </row>
    <row r="6517" spans="1:5" hidden="1" x14ac:dyDescent="0.25">
      <c r="A6517">
        <v>4291</v>
      </c>
      <c r="B6517" t="s">
        <v>554</v>
      </c>
      <c r="C6517" t="s">
        <v>1654</v>
      </c>
      <c r="D6517" t="str">
        <f t="shared" si="102"/>
        <v>FES3943</v>
      </c>
      <c r="E6517" t="s">
        <v>1615</v>
      </c>
    </row>
    <row r="6518" spans="1:5" hidden="1" x14ac:dyDescent="0.25">
      <c r="A6518">
        <v>4291</v>
      </c>
      <c r="B6518" t="s">
        <v>554</v>
      </c>
      <c r="C6518" t="s">
        <v>491</v>
      </c>
      <c r="D6518" t="str">
        <f t="shared" si="102"/>
        <v>FES3948</v>
      </c>
      <c r="E6518" t="s">
        <v>1645</v>
      </c>
    </row>
    <row r="6519" spans="1:5" hidden="1" x14ac:dyDescent="0.25">
      <c r="A6519">
        <v>4291</v>
      </c>
      <c r="B6519" t="s">
        <v>554</v>
      </c>
      <c r="C6519" t="s">
        <v>1715</v>
      </c>
      <c r="D6519" t="str">
        <f t="shared" si="102"/>
        <v>FES3949</v>
      </c>
      <c r="E6519" t="s">
        <v>1645</v>
      </c>
    </row>
    <row r="6520" spans="1:5" hidden="1" x14ac:dyDescent="0.25">
      <c r="A6520">
        <v>4291</v>
      </c>
      <c r="B6520" t="s">
        <v>554</v>
      </c>
      <c r="C6520" t="s">
        <v>494</v>
      </c>
      <c r="D6520" t="str">
        <f t="shared" si="102"/>
        <v>FES3951</v>
      </c>
      <c r="E6520" t="s">
        <v>1671</v>
      </c>
    </row>
    <row r="6521" spans="1:5" hidden="1" x14ac:dyDescent="0.25">
      <c r="A6521">
        <v>4291</v>
      </c>
      <c r="B6521" t="s">
        <v>554</v>
      </c>
      <c r="C6521" t="s">
        <v>1701</v>
      </c>
      <c r="D6521" t="str">
        <f t="shared" si="102"/>
        <v>FES3952</v>
      </c>
      <c r="E6521" t="s">
        <v>64</v>
      </c>
    </row>
    <row r="6522" spans="1:5" hidden="1" x14ac:dyDescent="0.25">
      <c r="A6522">
        <v>4291</v>
      </c>
      <c r="B6522" t="s">
        <v>554</v>
      </c>
      <c r="C6522" t="s">
        <v>495</v>
      </c>
      <c r="D6522" t="str">
        <f t="shared" si="102"/>
        <v>FES3953</v>
      </c>
      <c r="E6522" t="s">
        <v>1645</v>
      </c>
    </row>
    <row r="6523" spans="1:5" hidden="1" x14ac:dyDescent="0.25">
      <c r="A6523">
        <v>4291</v>
      </c>
      <c r="B6523" t="s">
        <v>554</v>
      </c>
      <c r="C6523" t="s">
        <v>497</v>
      </c>
      <c r="D6523" t="str">
        <f t="shared" si="102"/>
        <v>FES3955</v>
      </c>
      <c r="E6523" t="s">
        <v>1623</v>
      </c>
    </row>
    <row r="6524" spans="1:5" hidden="1" x14ac:dyDescent="0.25">
      <c r="A6524">
        <v>4291</v>
      </c>
      <c r="B6524" t="s">
        <v>554</v>
      </c>
      <c r="C6524" t="s">
        <v>498</v>
      </c>
      <c r="D6524" t="str">
        <f t="shared" si="102"/>
        <v>FES3956</v>
      </c>
      <c r="E6524" t="s">
        <v>1623</v>
      </c>
    </row>
    <row r="6525" spans="1:5" hidden="1" x14ac:dyDescent="0.25">
      <c r="A6525">
        <v>4291</v>
      </c>
      <c r="B6525" t="s">
        <v>554</v>
      </c>
      <c r="C6525" t="s">
        <v>500</v>
      </c>
      <c r="D6525" t="str">
        <f t="shared" si="102"/>
        <v>FES3958</v>
      </c>
      <c r="E6525" t="s">
        <v>1623</v>
      </c>
    </row>
    <row r="6526" spans="1:5" hidden="1" x14ac:dyDescent="0.25">
      <c r="A6526">
        <v>4291</v>
      </c>
      <c r="B6526" t="s">
        <v>554</v>
      </c>
      <c r="C6526" t="s">
        <v>1656</v>
      </c>
      <c r="D6526" t="str">
        <f t="shared" si="102"/>
        <v>FES3959</v>
      </c>
      <c r="E6526" t="s">
        <v>1623</v>
      </c>
    </row>
    <row r="6527" spans="1:5" hidden="1" x14ac:dyDescent="0.25">
      <c r="A6527">
        <v>4291</v>
      </c>
      <c r="B6527" t="s">
        <v>554</v>
      </c>
      <c r="C6527" t="s">
        <v>1709</v>
      </c>
      <c r="D6527" t="str">
        <f t="shared" si="102"/>
        <v>FES3960</v>
      </c>
      <c r="E6527" t="s">
        <v>1623</v>
      </c>
    </row>
    <row r="6528" spans="1:5" hidden="1" x14ac:dyDescent="0.25">
      <c r="A6528">
        <v>4291</v>
      </c>
      <c r="B6528" t="s">
        <v>554</v>
      </c>
      <c r="C6528" t="s">
        <v>1657</v>
      </c>
      <c r="D6528" t="str">
        <f t="shared" si="102"/>
        <v>FES3961</v>
      </c>
      <c r="E6528" t="s">
        <v>1630</v>
      </c>
    </row>
    <row r="6529" spans="1:5" hidden="1" x14ac:dyDescent="0.25">
      <c r="A6529">
        <v>4291</v>
      </c>
      <c r="B6529" t="s">
        <v>554</v>
      </c>
      <c r="C6529" t="s">
        <v>1696</v>
      </c>
      <c r="D6529" t="str">
        <f t="shared" si="102"/>
        <v>FES3962</v>
      </c>
      <c r="E6529" t="s">
        <v>2103</v>
      </c>
    </row>
    <row r="6530" spans="1:5" hidden="1" x14ac:dyDescent="0.25">
      <c r="A6530">
        <v>4291</v>
      </c>
      <c r="B6530" t="s">
        <v>554</v>
      </c>
      <c r="C6530" t="s">
        <v>1718</v>
      </c>
      <c r="D6530" t="str">
        <f t="shared" si="102"/>
        <v>FES3964</v>
      </c>
      <c r="E6530" t="s">
        <v>1623</v>
      </c>
    </row>
    <row r="6531" spans="1:5" hidden="1" x14ac:dyDescent="0.25">
      <c r="A6531">
        <v>4291</v>
      </c>
      <c r="B6531" t="s">
        <v>554</v>
      </c>
      <c r="C6531" t="s">
        <v>1820</v>
      </c>
      <c r="D6531" t="str">
        <f t="shared" si="102"/>
        <v>FES3965</v>
      </c>
      <c r="E6531" t="s">
        <v>1606</v>
      </c>
    </row>
    <row r="6532" spans="1:5" hidden="1" x14ac:dyDescent="0.25">
      <c r="A6532">
        <v>4291</v>
      </c>
      <c r="B6532" t="s">
        <v>554</v>
      </c>
      <c r="C6532" t="s">
        <v>1659</v>
      </c>
      <c r="D6532" t="str">
        <f t="shared" si="102"/>
        <v>FES3969</v>
      </c>
      <c r="E6532" t="s">
        <v>1637</v>
      </c>
    </row>
    <row r="6533" spans="1:5" hidden="1" x14ac:dyDescent="0.25">
      <c r="A6533">
        <v>4291</v>
      </c>
      <c r="B6533" t="s">
        <v>554</v>
      </c>
      <c r="C6533" t="s">
        <v>1660</v>
      </c>
      <c r="D6533" t="str">
        <f t="shared" si="102"/>
        <v>FES3970</v>
      </c>
      <c r="E6533" t="s">
        <v>1648</v>
      </c>
    </row>
    <row r="6534" spans="1:5" hidden="1" x14ac:dyDescent="0.25">
      <c r="A6534">
        <v>4291</v>
      </c>
      <c r="B6534" t="s">
        <v>554</v>
      </c>
      <c r="C6534" t="s">
        <v>512</v>
      </c>
      <c r="D6534" t="str">
        <f t="shared" si="102"/>
        <v>FES3971</v>
      </c>
      <c r="E6534" t="s">
        <v>2103</v>
      </c>
    </row>
    <row r="6535" spans="1:5" hidden="1" x14ac:dyDescent="0.25">
      <c r="A6535">
        <v>4291</v>
      </c>
      <c r="B6535" t="s">
        <v>554</v>
      </c>
      <c r="C6535" t="s">
        <v>515</v>
      </c>
      <c r="D6535" t="str">
        <f t="shared" si="102"/>
        <v>FES3974</v>
      </c>
      <c r="E6535" t="s">
        <v>1697</v>
      </c>
    </row>
    <row r="6536" spans="1:5" hidden="1" x14ac:dyDescent="0.25">
      <c r="A6536">
        <v>4291</v>
      </c>
      <c r="B6536" t="s">
        <v>554</v>
      </c>
      <c r="C6536" t="s">
        <v>520</v>
      </c>
      <c r="D6536" t="str">
        <f t="shared" ref="D6536:D6599" si="103">CONCATENATE(B6536,LEFT(C6536,4))</f>
        <v>FES3981</v>
      </c>
      <c r="E6536" t="s">
        <v>1623</v>
      </c>
    </row>
    <row r="6537" spans="1:5" hidden="1" x14ac:dyDescent="0.25">
      <c r="A6537">
        <v>4291</v>
      </c>
      <c r="B6537" t="s">
        <v>554</v>
      </c>
      <c r="C6537" t="s">
        <v>1661</v>
      </c>
      <c r="D6537" t="str">
        <f t="shared" si="103"/>
        <v>FES3987</v>
      </c>
      <c r="E6537" t="s">
        <v>1615</v>
      </c>
    </row>
    <row r="6538" spans="1:5" hidden="1" x14ac:dyDescent="0.25">
      <c r="A6538">
        <v>4291</v>
      </c>
      <c r="B6538" t="s">
        <v>554</v>
      </c>
      <c r="C6538" t="s">
        <v>527</v>
      </c>
      <c r="D6538" t="str">
        <f t="shared" si="103"/>
        <v>FES3988</v>
      </c>
      <c r="E6538" t="s">
        <v>1623</v>
      </c>
    </row>
    <row r="6539" spans="1:5" hidden="1" x14ac:dyDescent="0.25">
      <c r="A6539">
        <v>4291</v>
      </c>
      <c r="B6539" t="s">
        <v>554</v>
      </c>
      <c r="C6539" t="s">
        <v>1662</v>
      </c>
      <c r="D6539" t="str">
        <f t="shared" si="103"/>
        <v>FES3994</v>
      </c>
      <c r="E6539" t="s">
        <v>1621</v>
      </c>
    </row>
    <row r="6540" spans="1:5" hidden="1" x14ac:dyDescent="0.25">
      <c r="A6540">
        <v>4291</v>
      </c>
      <c r="B6540" t="s">
        <v>554</v>
      </c>
      <c r="C6540" t="s">
        <v>1711</v>
      </c>
      <c r="D6540" t="str">
        <f t="shared" si="103"/>
        <v>FES3996</v>
      </c>
      <c r="E6540" t="s">
        <v>1623</v>
      </c>
    </row>
    <row r="6541" spans="1:5" hidden="1" x14ac:dyDescent="0.25">
      <c r="A6541">
        <v>4291</v>
      </c>
      <c r="B6541" t="s">
        <v>554</v>
      </c>
      <c r="C6541" t="s">
        <v>1735</v>
      </c>
      <c r="D6541" t="str">
        <f t="shared" si="103"/>
        <v>FES3998</v>
      </c>
      <c r="E6541" t="s">
        <v>1808</v>
      </c>
    </row>
    <row r="6542" spans="1:5" hidden="1" x14ac:dyDescent="0.25">
      <c r="A6542">
        <v>4291</v>
      </c>
      <c r="B6542" t="s">
        <v>554</v>
      </c>
      <c r="C6542" t="s">
        <v>1663</v>
      </c>
      <c r="D6542" t="str">
        <f t="shared" si="103"/>
        <v>FES3999</v>
      </c>
      <c r="E6542" t="s">
        <v>1623</v>
      </c>
    </row>
    <row r="6543" spans="1:5" hidden="1" x14ac:dyDescent="0.25">
      <c r="A6543">
        <v>4291</v>
      </c>
      <c r="B6543" t="s">
        <v>554</v>
      </c>
      <c r="C6543" t="s">
        <v>1664</v>
      </c>
      <c r="D6543" t="str">
        <f t="shared" si="103"/>
        <v>FES4002</v>
      </c>
      <c r="E6543" t="s">
        <v>1648</v>
      </c>
    </row>
    <row r="6544" spans="1:5" hidden="1" x14ac:dyDescent="0.25">
      <c r="A6544">
        <v>4291</v>
      </c>
      <c r="B6544" t="s">
        <v>554</v>
      </c>
      <c r="C6544" t="s">
        <v>1665</v>
      </c>
      <c r="D6544" t="str">
        <f t="shared" si="103"/>
        <v>FES4003</v>
      </c>
      <c r="E6544" t="s">
        <v>93</v>
      </c>
    </row>
    <row r="6545" spans="1:5" hidden="1" x14ac:dyDescent="0.25">
      <c r="A6545">
        <v>4291</v>
      </c>
      <c r="B6545" t="s">
        <v>554</v>
      </c>
      <c r="C6545" t="s">
        <v>1666</v>
      </c>
      <c r="D6545" t="str">
        <f t="shared" si="103"/>
        <v>FES4004</v>
      </c>
      <c r="E6545" t="s">
        <v>1648</v>
      </c>
    </row>
    <row r="6546" spans="1:5" hidden="1" x14ac:dyDescent="0.25">
      <c r="A6546">
        <v>4291</v>
      </c>
      <c r="B6546" t="s">
        <v>554</v>
      </c>
      <c r="C6546" t="s">
        <v>1667</v>
      </c>
      <c r="D6546" t="str">
        <f t="shared" si="103"/>
        <v>FES4005</v>
      </c>
      <c r="E6546" t="s">
        <v>1648</v>
      </c>
    </row>
    <row r="6547" spans="1:5" hidden="1" x14ac:dyDescent="0.25">
      <c r="A6547">
        <v>4291</v>
      </c>
      <c r="B6547" t="s">
        <v>554</v>
      </c>
      <c r="C6547" t="s">
        <v>1698</v>
      </c>
      <c r="D6547" t="str">
        <f t="shared" si="103"/>
        <v>FES4006</v>
      </c>
      <c r="E6547" t="s">
        <v>1675</v>
      </c>
    </row>
    <row r="6548" spans="1:5" hidden="1" x14ac:dyDescent="0.25">
      <c r="A6548">
        <v>4291</v>
      </c>
      <c r="B6548" t="s">
        <v>554</v>
      </c>
      <c r="C6548" t="s">
        <v>1699</v>
      </c>
      <c r="D6548" t="str">
        <f t="shared" si="103"/>
        <v>FES4007</v>
      </c>
      <c r="E6548" t="s">
        <v>93</v>
      </c>
    </row>
    <row r="6549" spans="1:5" hidden="1" x14ac:dyDescent="0.25">
      <c r="A6549">
        <v>4291</v>
      </c>
      <c r="B6549" t="s">
        <v>554</v>
      </c>
      <c r="C6549" t="s">
        <v>1719</v>
      </c>
      <c r="D6549" t="str">
        <f t="shared" si="103"/>
        <v>FES4101</v>
      </c>
      <c r="E6549" t="s">
        <v>1623</v>
      </c>
    </row>
    <row r="6550" spans="1:5" hidden="1" x14ac:dyDescent="0.25">
      <c r="A6550">
        <v>4291</v>
      </c>
      <c r="B6550" t="s">
        <v>554</v>
      </c>
      <c r="C6550" t="s">
        <v>1871</v>
      </c>
      <c r="D6550" t="str">
        <f t="shared" si="103"/>
        <v>FES4104</v>
      </c>
      <c r="E6550" t="s">
        <v>1808</v>
      </c>
    </row>
    <row r="6551" spans="1:5" hidden="1" x14ac:dyDescent="0.25">
      <c r="A6551">
        <v>4291</v>
      </c>
      <c r="B6551" t="s">
        <v>554</v>
      </c>
      <c r="C6551" t="s">
        <v>1749</v>
      </c>
      <c r="D6551" t="str">
        <f t="shared" si="103"/>
        <v>FES4201</v>
      </c>
      <c r="E6551" t="s">
        <v>1728</v>
      </c>
    </row>
    <row r="6552" spans="1:5" hidden="1" x14ac:dyDescent="0.25">
      <c r="A6552">
        <v>4291</v>
      </c>
      <c r="B6552" t="s">
        <v>554</v>
      </c>
      <c r="C6552" t="s">
        <v>1750</v>
      </c>
      <c r="D6552" t="str">
        <f t="shared" si="103"/>
        <v>FES4301</v>
      </c>
      <c r="E6552" t="s">
        <v>1751</v>
      </c>
    </row>
    <row r="6553" spans="1:5" hidden="1" x14ac:dyDescent="0.25">
      <c r="A6553">
        <v>4291</v>
      </c>
      <c r="B6553" t="s">
        <v>554</v>
      </c>
      <c r="C6553" t="s">
        <v>1794</v>
      </c>
      <c r="D6553" t="str">
        <f t="shared" si="103"/>
        <v>FES4602</v>
      </c>
      <c r="E6553" t="s">
        <v>1596</v>
      </c>
    </row>
    <row r="6554" spans="1:5" hidden="1" x14ac:dyDescent="0.25">
      <c r="A6554">
        <v>4291</v>
      </c>
      <c r="B6554" t="s">
        <v>554</v>
      </c>
      <c r="C6554" t="s">
        <v>1668</v>
      </c>
      <c r="D6554" t="str">
        <f t="shared" si="103"/>
        <v>FES4701</v>
      </c>
      <c r="E6554" t="s">
        <v>1669</v>
      </c>
    </row>
    <row r="6555" spans="1:5" hidden="1" x14ac:dyDescent="0.25">
      <c r="A6555">
        <v>4291</v>
      </c>
      <c r="B6555" t="s">
        <v>554</v>
      </c>
      <c r="C6555" t="s">
        <v>238</v>
      </c>
      <c r="D6555" t="str">
        <f t="shared" si="103"/>
        <v>FES4702</v>
      </c>
      <c r="E6555" t="s">
        <v>1669</v>
      </c>
    </row>
    <row r="6556" spans="1:5" hidden="1" x14ac:dyDescent="0.25">
      <c r="A6556">
        <v>4291</v>
      </c>
      <c r="B6556" t="s">
        <v>554</v>
      </c>
      <c r="C6556" t="s">
        <v>264</v>
      </c>
      <c r="D6556" t="str">
        <f t="shared" si="103"/>
        <v>FES4703</v>
      </c>
      <c r="E6556" t="s">
        <v>1669</v>
      </c>
    </row>
    <row r="6557" spans="1:5" hidden="1" x14ac:dyDescent="0.25">
      <c r="A6557">
        <v>4291</v>
      </c>
      <c r="B6557" t="s">
        <v>554</v>
      </c>
      <c r="C6557" t="s">
        <v>327</v>
      </c>
      <c r="D6557" t="str">
        <f t="shared" si="103"/>
        <v>FES4707</v>
      </c>
      <c r="E6557" t="s">
        <v>1669</v>
      </c>
    </row>
    <row r="6558" spans="1:5" hidden="1" x14ac:dyDescent="0.25">
      <c r="A6558">
        <v>4291</v>
      </c>
      <c r="B6558" t="s">
        <v>554</v>
      </c>
      <c r="C6558" t="s">
        <v>363</v>
      </c>
      <c r="D6558" t="str">
        <f t="shared" si="103"/>
        <v>FES4799</v>
      </c>
      <c r="E6558" t="s">
        <v>1669</v>
      </c>
    </row>
    <row r="6559" spans="1:5" hidden="1" x14ac:dyDescent="0.25">
      <c r="A6559">
        <v>4291</v>
      </c>
      <c r="B6559" t="s">
        <v>554</v>
      </c>
      <c r="C6559" t="s">
        <v>239</v>
      </c>
      <c r="D6559" t="str">
        <f t="shared" si="103"/>
        <v>FES4801</v>
      </c>
      <c r="E6559" t="s">
        <v>1623</v>
      </c>
    </row>
    <row r="6560" spans="1:5" hidden="1" x14ac:dyDescent="0.25">
      <c r="A6560">
        <v>4291</v>
      </c>
      <c r="B6560" t="s">
        <v>554</v>
      </c>
      <c r="C6560" t="s">
        <v>1670</v>
      </c>
      <c r="D6560" t="str">
        <f t="shared" si="103"/>
        <v>FES5101</v>
      </c>
      <c r="E6560" t="s">
        <v>1671</v>
      </c>
    </row>
    <row r="6561" spans="1:5" hidden="1" x14ac:dyDescent="0.25">
      <c r="A6561">
        <v>4291</v>
      </c>
      <c r="B6561" t="s">
        <v>554</v>
      </c>
      <c r="C6561" t="s">
        <v>1798</v>
      </c>
      <c r="D6561" t="str">
        <f t="shared" si="103"/>
        <v>FES5102</v>
      </c>
      <c r="E6561" t="s">
        <v>1808</v>
      </c>
    </row>
    <row r="6562" spans="1:5" hidden="1" x14ac:dyDescent="0.25">
      <c r="A6562">
        <v>4291</v>
      </c>
      <c r="B6562" t="s">
        <v>554</v>
      </c>
      <c r="C6562" t="s">
        <v>1672</v>
      </c>
      <c r="D6562" t="str">
        <f t="shared" si="103"/>
        <v>FES5103</v>
      </c>
      <c r="E6562" t="s">
        <v>1671</v>
      </c>
    </row>
    <row r="6563" spans="1:5" hidden="1" x14ac:dyDescent="0.25">
      <c r="A6563">
        <v>4291</v>
      </c>
      <c r="B6563" t="s">
        <v>554</v>
      </c>
      <c r="C6563" t="s">
        <v>316</v>
      </c>
      <c r="D6563" t="str">
        <f t="shared" si="103"/>
        <v>FES5106</v>
      </c>
      <c r="E6563" t="s">
        <v>1671</v>
      </c>
    </row>
    <row r="6564" spans="1:5" hidden="1" x14ac:dyDescent="0.25">
      <c r="A6564">
        <v>4291</v>
      </c>
      <c r="B6564" t="s">
        <v>554</v>
      </c>
      <c r="C6564" t="s">
        <v>172</v>
      </c>
      <c r="D6564" t="str">
        <f t="shared" si="103"/>
        <v>FES5107</v>
      </c>
      <c r="E6564" t="s">
        <v>1671</v>
      </c>
    </row>
    <row r="6565" spans="1:5" hidden="1" x14ac:dyDescent="0.25">
      <c r="A6565">
        <v>4291</v>
      </c>
      <c r="B6565" t="s">
        <v>554</v>
      </c>
      <c r="C6565" t="s">
        <v>371</v>
      </c>
      <c r="D6565" t="str">
        <f t="shared" si="103"/>
        <v>FES5113</v>
      </c>
      <c r="E6565" t="s">
        <v>1674</v>
      </c>
    </row>
    <row r="6566" spans="1:5" hidden="1" x14ac:dyDescent="0.25">
      <c r="A6566">
        <v>4291</v>
      </c>
      <c r="B6566" t="s">
        <v>554</v>
      </c>
      <c r="C6566" t="s">
        <v>241</v>
      </c>
      <c r="D6566" t="str">
        <f t="shared" si="103"/>
        <v>FES5201</v>
      </c>
      <c r="E6566" t="s">
        <v>1621</v>
      </c>
    </row>
    <row r="6567" spans="1:5" hidden="1" x14ac:dyDescent="0.25">
      <c r="A6567">
        <v>4291</v>
      </c>
      <c r="B6567" t="s">
        <v>554</v>
      </c>
      <c r="C6567" t="s">
        <v>1673</v>
      </c>
      <c r="D6567" t="str">
        <f t="shared" si="103"/>
        <v>FES5204</v>
      </c>
      <c r="E6567" t="s">
        <v>1674</v>
      </c>
    </row>
    <row r="6568" spans="1:5" hidden="1" x14ac:dyDescent="0.25">
      <c r="A6568">
        <v>4291</v>
      </c>
      <c r="B6568" t="s">
        <v>554</v>
      </c>
      <c r="C6568" t="s">
        <v>328</v>
      </c>
      <c r="D6568" t="str">
        <f t="shared" si="103"/>
        <v>FES5206</v>
      </c>
      <c r="E6568" t="s">
        <v>1675</v>
      </c>
    </row>
    <row r="6569" spans="1:5" hidden="1" x14ac:dyDescent="0.25">
      <c r="A6569">
        <v>4291</v>
      </c>
      <c r="B6569" t="s">
        <v>554</v>
      </c>
      <c r="C6569" t="s">
        <v>1676</v>
      </c>
      <c r="D6569" t="str">
        <f t="shared" si="103"/>
        <v>FES5207</v>
      </c>
      <c r="E6569" t="s">
        <v>1675</v>
      </c>
    </row>
    <row r="6570" spans="1:5" hidden="1" x14ac:dyDescent="0.25">
      <c r="A6570">
        <v>4291</v>
      </c>
      <c r="B6570" t="s">
        <v>554</v>
      </c>
      <c r="C6570" t="s">
        <v>1677</v>
      </c>
      <c r="D6570" t="str">
        <f t="shared" si="103"/>
        <v>FES5208</v>
      </c>
      <c r="E6570" t="s">
        <v>1675</v>
      </c>
    </row>
    <row r="6571" spans="1:5" hidden="1" x14ac:dyDescent="0.25">
      <c r="A6571">
        <v>4291</v>
      </c>
      <c r="B6571" t="s">
        <v>554</v>
      </c>
      <c r="C6571" t="s">
        <v>358</v>
      </c>
      <c r="D6571" t="str">
        <f t="shared" si="103"/>
        <v>FES5209</v>
      </c>
      <c r="E6571" t="s">
        <v>1674</v>
      </c>
    </row>
    <row r="6572" spans="1:5" hidden="1" x14ac:dyDescent="0.25">
      <c r="A6572">
        <v>4291</v>
      </c>
      <c r="B6572" t="s">
        <v>554</v>
      </c>
      <c r="C6572" t="s">
        <v>1678</v>
      </c>
      <c r="D6572" t="str">
        <f t="shared" si="103"/>
        <v>FES5210</v>
      </c>
      <c r="E6572" t="s">
        <v>1674</v>
      </c>
    </row>
    <row r="6573" spans="1:5" hidden="1" x14ac:dyDescent="0.25">
      <c r="A6573">
        <v>4291</v>
      </c>
      <c r="B6573" t="s">
        <v>554</v>
      </c>
      <c r="C6573" t="s">
        <v>1713</v>
      </c>
      <c r="D6573" t="str">
        <f t="shared" si="103"/>
        <v>FES5211</v>
      </c>
      <c r="E6573" t="s">
        <v>1606</v>
      </c>
    </row>
    <row r="6574" spans="1:5" hidden="1" x14ac:dyDescent="0.25">
      <c r="A6574">
        <v>4291</v>
      </c>
      <c r="B6574" t="s">
        <v>554</v>
      </c>
      <c r="C6574" t="s">
        <v>1679</v>
      </c>
      <c r="D6574" t="str">
        <f t="shared" si="103"/>
        <v>FES5212</v>
      </c>
      <c r="E6574" t="s">
        <v>1674</v>
      </c>
    </row>
    <row r="6575" spans="1:5" hidden="1" x14ac:dyDescent="0.25">
      <c r="A6575">
        <v>4291</v>
      </c>
      <c r="B6575" t="s">
        <v>554</v>
      </c>
      <c r="C6575" t="s">
        <v>384</v>
      </c>
      <c r="D6575" t="str">
        <f t="shared" si="103"/>
        <v>FES5213</v>
      </c>
      <c r="E6575" t="s">
        <v>1674</v>
      </c>
    </row>
    <row r="6576" spans="1:5" hidden="1" x14ac:dyDescent="0.25">
      <c r="A6576">
        <v>4291</v>
      </c>
      <c r="B6576" t="s">
        <v>554</v>
      </c>
      <c r="C6576" t="s">
        <v>390</v>
      </c>
      <c r="D6576" t="str">
        <f t="shared" si="103"/>
        <v>FES5214</v>
      </c>
      <c r="E6576" t="s">
        <v>1674</v>
      </c>
    </row>
    <row r="6577" spans="1:5" hidden="1" x14ac:dyDescent="0.25">
      <c r="A6577">
        <v>4291</v>
      </c>
      <c r="B6577" t="s">
        <v>554</v>
      </c>
      <c r="C6577" t="s">
        <v>402</v>
      </c>
      <c r="D6577" t="str">
        <f t="shared" si="103"/>
        <v>FES5216</v>
      </c>
      <c r="E6577" t="s">
        <v>1680</v>
      </c>
    </row>
    <row r="6578" spans="1:5" hidden="1" x14ac:dyDescent="0.25">
      <c r="A6578">
        <v>4291</v>
      </c>
      <c r="B6578" t="s">
        <v>554</v>
      </c>
      <c r="C6578" t="s">
        <v>408</v>
      </c>
      <c r="D6578" t="str">
        <f t="shared" si="103"/>
        <v>FES5217</v>
      </c>
      <c r="E6578" t="s">
        <v>1674</v>
      </c>
    </row>
    <row r="6579" spans="1:5" hidden="1" x14ac:dyDescent="0.25">
      <c r="A6579">
        <v>4291</v>
      </c>
      <c r="B6579" t="s">
        <v>554</v>
      </c>
      <c r="C6579" t="s">
        <v>1681</v>
      </c>
      <c r="D6579" t="str">
        <f t="shared" si="103"/>
        <v>FES5220</v>
      </c>
      <c r="E6579" t="s">
        <v>1675</v>
      </c>
    </row>
    <row r="6580" spans="1:5" hidden="1" x14ac:dyDescent="0.25">
      <c r="A6580">
        <v>4291</v>
      </c>
      <c r="B6580" t="s">
        <v>554</v>
      </c>
      <c r="C6580" t="s">
        <v>428</v>
      </c>
      <c r="D6580" t="str">
        <f t="shared" si="103"/>
        <v>FES5221</v>
      </c>
      <c r="E6580" t="s">
        <v>1674</v>
      </c>
    </row>
    <row r="6581" spans="1:5" hidden="1" x14ac:dyDescent="0.25">
      <c r="A6581">
        <v>4291</v>
      </c>
      <c r="B6581" t="s">
        <v>554</v>
      </c>
      <c r="C6581" t="s">
        <v>433</v>
      </c>
      <c r="D6581" t="str">
        <f t="shared" si="103"/>
        <v>FES5222</v>
      </c>
      <c r="E6581" t="s">
        <v>1674</v>
      </c>
    </row>
    <row r="6582" spans="1:5" hidden="1" x14ac:dyDescent="0.25">
      <c r="A6582">
        <v>4291</v>
      </c>
      <c r="B6582" t="s">
        <v>554</v>
      </c>
      <c r="C6582" t="s">
        <v>448</v>
      </c>
      <c r="D6582" t="str">
        <f t="shared" si="103"/>
        <v>FES5225</v>
      </c>
      <c r="E6582" t="s">
        <v>1674</v>
      </c>
    </row>
    <row r="6583" spans="1:5" hidden="1" x14ac:dyDescent="0.25">
      <c r="A6583">
        <v>4291</v>
      </c>
      <c r="B6583" t="s">
        <v>554</v>
      </c>
      <c r="C6583" t="s">
        <v>1682</v>
      </c>
      <c r="D6583" t="str">
        <f t="shared" si="103"/>
        <v>FES5226</v>
      </c>
      <c r="E6583" t="s">
        <v>1674</v>
      </c>
    </row>
    <row r="6584" spans="1:5" hidden="1" x14ac:dyDescent="0.25">
      <c r="A6584">
        <v>4291</v>
      </c>
      <c r="B6584" t="s">
        <v>554</v>
      </c>
      <c r="C6584" t="s">
        <v>1700</v>
      </c>
      <c r="D6584" t="str">
        <f t="shared" si="103"/>
        <v>FES5230</v>
      </c>
      <c r="E6584" t="s">
        <v>1674</v>
      </c>
    </row>
    <row r="6585" spans="1:5" hidden="1" x14ac:dyDescent="0.25">
      <c r="A6585">
        <v>4291</v>
      </c>
      <c r="B6585" t="s">
        <v>554</v>
      </c>
      <c r="C6585" t="s">
        <v>458</v>
      </c>
      <c r="D6585" t="str">
        <f t="shared" si="103"/>
        <v>FES5299</v>
      </c>
      <c r="E6585" t="s">
        <v>1674</v>
      </c>
    </row>
    <row r="6586" spans="1:5" hidden="1" x14ac:dyDescent="0.25">
      <c r="A6586">
        <v>4291</v>
      </c>
      <c r="B6586" t="s">
        <v>554</v>
      </c>
      <c r="C6586" t="s">
        <v>1723</v>
      </c>
      <c r="D6586" t="str">
        <f t="shared" si="103"/>
        <v>FES9108</v>
      </c>
      <c r="E6586" t="s">
        <v>1724</v>
      </c>
    </row>
    <row r="6587" spans="1:5" hidden="1" x14ac:dyDescent="0.25">
      <c r="A6587">
        <v>4291</v>
      </c>
      <c r="B6587" t="s">
        <v>554</v>
      </c>
      <c r="C6587" t="s">
        <v>1825</v>
      </c>
      <c r="D6587" t="str">
        <f t="shared" si="103"/>
        <v>FES9112</v>
      </c>
      <c r="E6587" t="s">
        <v>1724</v>
      </c>
    </row>
    <row r="6588" spans="1:5" hidden="1" x14ac:dyDescent="0.25">
      <c r="A6588">
        <v>4291</v>
      </c>
      <c r="B6588" t="s">
        <v>554</v>
      </c>
      <c r="C6588" t="s">
        <v>1800</v>
      </c>
      <c r="D6588" t="str">
        <f t="shared" si="103"/>
        <v>FES9113</v>
      </c>
      <c r="E6588" t="s">
        <v>1724</v>
      </c>
    </row>
    <row r="6589" spans="1:5" hidden="1" x14ac:dyDescent="0.25">
      <c r="A6589">
        <v>4291</v>
      </c>
      <c r="B6589" t="s">
        <v>554</v>
      </c>
      <c r="C6589" t="s">
        <v>1729</v>
      </c>
      <c r="D6589" t="str">
        <f t="shared" si="103"/>
        <v>FES9201</v>
      </c>
      <c r="E6589" t="s">
        <v>1685</v>
      </c>
    </row>
    <row r="6590" spans="1:5" hidden="1" x14ac:dyDescent="0.25">
      <c r="A6590">
        <v>4291</v>
      </c>
      <c r="B6590" t="s">
        <v>554</v>
      </c>
      <c r="C6590" t="s">
        <v>1684</v>
      </c>
      <c r="D6590" t="str">
        <f t="shared" si="103"/>
        <v>FES9202</v>
      </c>
      <c r="E6590" t="s">
        <v>1685</v>
      </c>
    </row>
    <row r="6591" spans="1:5" hidden="1" x14ac:dyDescent="0.25">
      <c r="A6591">
        <v>4291</v>
      </c>
      <c r="B6591" t="s">
        <v>554</v>
      </c>
      <c r="C6591" t="s">
        <v>330</v>
      </c>
      <c r="D6591" t="str">
        <f t="shared" si="103"/>
        <v>FES9306</v>
      </c>
      <c r="E6591" t="s">
        <v>1686</v>
      </c>
    </row>
    <row r="6592" spans="1:5" hidden="1" x14ac:dyDescent="0.25">
      <c r="A6592">
        <v>4291</v>
      </c>
      <c r="B6592" t="s">
        <v>554</v>
      </c>
      <c r="C6592" t="s">
        <v>351</v>
      </c>
      <c r="D6592" t="str">
        <f t="shared" si="103"/>
        <v>FES9308</v>
      </c>
      <c r="E6592" t="s">
        <v>1623</v>
      </c>
    </row>
    <row r="6593" spans="1:5" hidden="1" x14ac:dyDescent="0.25">
      <c r="A6593">
        <v>4291</v>
      </c>
      <c r="B6593" t="s">
        <v>554</v>
      </c>
      <c r="C6593" t="s">
        <v>359</v>
      </c>
      <c r="D6593" t="str">
        <f t="shared" si="103"/>
        <v>FES9309</v>
      </c>
      <c r="E6593" t="s">
        <v>1623</v>
      </c>
    </row>
    <row r="6594" spans="1:5" hidden="1" x14ac:dyDescent="0.25">
      <c r="A6594">
        <v>4291</v>
      </c>
      <c r="B6594" t="s">
        <v>554</v>
      </c>
      <c r="C6594" t="s">
        <v>379</v>
      </c>
      <c r="D6594" t="str">
        <f t="shared" si="103"/>
        <v>FES9312</v>
      </c>
      <c r="E6594" t="s">
        <v>1623</v>
      </c>
    </row>
    <row r="6595" spans="1:5" hidden="1" x14ac:dyDescent="0.25">
      <c r="A6595">
        <v>4291</v>
      </c>
      <c r="B6595" t="s">
        <v>554</v>
      </c>
      <c r="C6595" t="s">
        <v>391</v>
      </c>
      <c r="D6595" t="str">
        <f t="shared" si="103"/>
        <v>FES9314</v>
      </c>
      <c r="E6595" t="s">
        <v>1623</v>
      </c>
    </row>
    <row r="6596" spans="1:5" hidden="1" x14ac:dyDescent="0.25">
      <c r="A6596">
        <v>4291</v>
      </c>
      <c r="B6596" t="s">
        <v>554</v>
      </c>
      <c r="C6596" t="s">
        <v>1872</v>
      </c>
      <c r="D6596" t="str">
        <f t="shared" si="103"/>
        <v>FES9319</v>
      </c>
      <c r="E6596" t="s">
        <v>1808</v>
      </c>
    </row>
    <row r="6597" spans="1:5" hidden="1" x14ac:dyDescent="0.25">
      <c r="A6597">
        <v>4291</v>
      </c>
      <c r="B6597" t="s">
        <v>554</v>
      </c>
      <c r="C6597" t="s">
        <v>454</v>
      </c>
      <c r="D6597" t="str">
        <f t="shared" si="103"/>
        <v>FES9329</v>
      </c>
      <c r="E6597" t="s">
        <v>1623</v>
      </c>
    </row>
    <row r="6598" spans="1:5" hidden="1" x14ac:dyDescent="0.25">
      <c r="A6598">
        <v>4291</v>
      </c>
      <c r="B6598" t="s">
        <v>554</v>
      </c>
      <c r="C6598" t="s">
        <v>1687</v>
      </c>
      <c r="D6598" t="str">
        <f t="shared" si="103"/>
        <v>FES9399</v>
      </c>
      <c r="E6598" t="s">
        <v>1623</v>
      </c>
    </row>
    <row r="6599" spans="1:5" hidden="1" x14ac:dyDescent="0.25">
      <c r="A6599">
        <v>4331</v>
      </c>
      <c r="B6599" t="s">
        <v>551</v>
      </c>
      <c r="C6599" t="s">
        <v>1601</v>
      </c>
      <c r="D6599" t="str">
        <f t="shared" si="103"/>
        <v>FDM3003</v>
      </c>
      <c r="E6599" t="s">
        <v>1600</v>
      </c>
    </row>
    <row r="6600" spans="1:5" hidden="1" x14ac:dyDescent="0.25">
      <c r="A6600">
        <v>4331</v>
      </c>
      <c r="B6600" t="s">
        <v>551</v>
      </c>
      <c r="C6600" t="s">
        <v>1603</v>
      </c>
      <c r="D6600" t="str">
        <f t="shared" ref="D6600:D6663" si="104">CONCATENATE(B6600,LEFT(C6600,4))</f>
        <v>FDM3005</v>
      </c>
      <c r="E6600" t="s">
        <v>1600</v>
      </c>
    </row>
    <row r="6601" spans="1:5" hidden="1" x14ac:dyDescent="0.25">
      <c r="A6601">
        <v>4331</v>
      </c>
      <c r="B6601" t="s">
        <v>551</v>
      </c>
      <c r="C6601" t="s">
        <v>1705</v>
      </c>
      <c r="D6601" t="str">
        <f t="shared" si="104"/>
        <v>FDM3502</v>
      </c>
      <c r="E6601" t="s">
        <v>1706</v>
      </c>
    </row>
    <row r="6602" spans="1:5" hidden="1" x14ac:dyDescent="0.25">
      <c r="A6602">
        <v>4331</v>
      </c>
      <c r="B6602" t="s">
        <v>551</v>
      </c>
      <c r="C6602" t="s">
        <v>298</v>
      </c>
      <c r="D6602" t="str">
        <f t="shared" si="104"/>
        <v>FDM3904</v>
      </c>
      <c r="E6602" t="s">
        <v>1623</v>
      </c>
    </row>
    <row r="6603" spans="1:5" hidden="1" x14ac:dyDescent="0.25">
      <c r="A6603">
        <v>4331</v>
      </c>
      <c r="B6603" t="s">
        <v>551</v>
      </c>
      <c r="C6603" t="s">
        <v>1652</v>
      </c>
      <c r="D6603" t="str">
        <f t="shared" si="104"/>
        <v>FDM3936</v>
      </c>
      <c r="E6603" t="s">
        <v>93</v>
      </c>
    </row>
    <row r="6604" spans="1:5" hidden="1" x14ac:dyDescent="0.25">
      <c r="A6604">
        <v>4331</v>
      </c>
      <c r="B6604" t="s">
        <v>551</v>
      </c>
      <c r="C6604" t="s">
        <v>1664</v>
      </c>
      <c r="D6604" t="str">
        <f t="shared" si="104"/>
        <v>FDM4002</v>
      </c>
      <c r="E6604" t="s">
        <v>1648</v>
      </c>
    </row>
    <row r="6605" spans="1:5" hidden="1" x14ac:dyDescent="0.25">
      <c r="A6605">
        <v>4331</v>
      </c>
      <c r="B6605" t="s">
        <v>551</v>
      </c>
      <c r="C6605" t="s">
        <v>1665</v>
      </c>
      <c r="D6605" t="str">
        <f t="shared" si="104"/>
        <v>FDM4003</v>
      </c>
      <c r="E6605" t="s">
        <v>93</v>
      </c>
    </row>
    <row r="6606" spans="1:5" hidden="1" x14ac:dyDescent="0.25">
      <c r="A6606">
        <v>4331</v>
      </c>
      <c r="B6606" t="s">
        <v>551</v>
      </c>
      <c r="C6606" t="s">
        <v>1719</v>
      </c>
      <c r="D6606" t="str">
        <f t="shared" si="104"/>
        <v>FDM4101</v>
      </c>
      <c r="E6606" t="s">
        <v>1623</v>
      </c>
    </row>
    <row r="6607" spans="1:5" hidden="1" x14ac:dyDescent="0.25">
      <c r="A6607">
        <v>4331</v>
      </c>
      <c r="B6607" t="s">
        <v>551</v>
      </c>
      <c r="C6607" t="s">
        <v>1684</v>
      </c>
      <c r="D6607" t="str">
        <f t="shared" si="104"/>
        <v>FDM9202</v>
      </c>
      <c r="E6607" t="s">
        <v>1685</v>
      </c>
    </row>
    <row r="6608" spans="1:5" hidden="1" x14ac:dyDescent="0.25">
      <c r="A6608">
        <v>4341</v>
      </c>
      <c r="B6608" t="s">
        <v>557</v>
      </c>
      <c r="C6608" t="s">
        <v>331</v>
      </c>
      <c r="D6608" t="str">
        <f t="shared" si="104"/>
        <v>FHIDRO1314</v>
      </c>
      <c r="E6608" t="s">
        <v>1689</v>
      </c>
    </row>
    <row r="6609" spans="1:5" hidden="1" x14ac:dyDescent="0.25">
      <c r="A6609">
        <v>4341</v>
      </c>
      <c r="B6609" t="s">
        <v>557</v>
      </c>
      <c r="C6609" t="s">
        <v>1688</v>
      </c>
      <c r="D6609" t="str">
        <f t="shared" si="104"/>
        <v>FHIDRO1317</v>
      </c>
      <c r="E6609" t="s">
        <v>1689</v>
      </c>
    </row>
    <row r="6610" spans="1:5" hidden="1" x14ac:dyDescent="0.25">
      <c r="A6610">
        <v>4341</v>
      </c>
      <c r="B6610" t="s">
        <v>557</v>
      </c>
      <c r="C6610" t="s">
        <v>1597</v>
      </c>
      <c r="D6610" t="str">
        <f t="shared" si="104"/>
        <v>FHIDRO1401</v>
      </c>
      <c r="E6610" t="s">
        <v>43</v>
      </c>
    </row>
    <row r="6611" spans="1:5" hidden="1" x14ac:dyDescent="0.25">
      <c r="A6611">
        <v>4341</v>
      </c>
      <c r="B6611" t="s">
        <v>557</v>
      </c>
      <c r="C6611" t="s">
        <v>1603</v>
      </c>
      <c r="D6611" t="str">
        <f t="shared" si="104"/>
        <v>FHIDRO3005</v>
      </c>
      <c r="E6611" t="s">
        <v>1600</v>
      </c>
    </row>
    <row r="6612" spans="1:5" hidden="1" x14ac:dyDescent="0.25">
      <c r="A6612">
        <v>4341</v>
      </c>
      <c r="B6612" t="s">
        <v>557</v>
      </c>
      <c r="C6612" t="s">
        <v>1609</v>
      </c>
      <c r="D6612" t="str">
        <f t="shared" si="104"/>
        <v>FHIDRO3016</v>
      </c>
      <c r="E6612" t="s">
        <v>1600</v>
      </c>
    </row>
    <row r="6613" spans="1:5" hidden="1" x14ac:dyDescent="0.25">
      <c r="A6613">
        <v>4341</v>
      </c>
      <c r="B6613" t="s">
        <v>557</v>
      </c>
      <c r="C6613" t="s">
        <v>53</v>
      </c>
      <c r="D6613" t="str">
        <f t="shared" si="104"/>
        <v>FHIDRO3301</v>
      </c>
      <c r="E6613" t="s">
        <v>43</v>
      </c>
    </row>
    <row r="6614" spans="1:5" hidden="1" x14ac:dyDescent="0.25">
      <c r="A6614">
        <v>4341</v>
      </c>
      <c r="B6614" t="s">
        <v>557</v>
      </c>
      <c r="C6614" t="s">
        <v>1626</v>
      </c>
      <c r="D6614" t="str">
        <f t="shared" si="104"/>
        <v>FHIDRO3302</v>
      </c>
      <c r="E6614" t="s">
        <v>43</v>
      </c>
    </row>
    <row r="6615" spans="1:5" hidden="1" x14ac:dyDescent="0.25">
      <c r="A6615">
        <v>4341</v>
      </c>
      <c r="B6615" t="s">
        <v>557</v>
      </c>
      <c r="C6615" t="s">
        <v>1627</v>
      </c>
      <c r="D6615" t="str">
        <f t="shared" si="104"/>
        <v>FHIDRO3304</v>
      </c>
      <c r="E6615" t="s">
        <v>43</v>
      </c>
    </row>
    <row r="6616" spans="1:5" hidden="1" x14ac:dyDescent="0.25">
      <c r="A6616">
        <v>4341</v>
      </c>
      <c r="B6616" t="s">
        <v>557</v>
      </c>
      <c r="C6616" t="s">
        <v>1705</v>
      </c>
      <c r="D6616" t="str">
        <f t="shared" si="104"/>
        <v>FHIDRO3502</v>
      </c>
      <c r="E6616" t="s">
        <v>1873</v>
      </c>
    </row>
    <row r="6617" spans="1:5" hidden="1" x14ac:dyDescent="0.25">
      <c r="A6617">
        <v>4341</v>
      </c>
      <c r="B6617" t="s">
        <v>557</v>
      </c>
      <c r="C6617" t="s">
        <v>296</v>
      </c>
      <c r="D6617" t="str">
        <f t="shared" si="104"/>
        <v>FHIDRO3604</v>
      </c>
      <c r="E6617" t="s">
        <v>43</v>
      </c>
    </row>
    <row r="6618" spans="1:5" hidden="1" x14ac:dyDescent="0.25">
      <c r="A6618">
        <v>4341</v>
      </c>
      <c r="B6618" t="s">
        <v>557</v>
      </c>
      <c r="C6618" t="s">
        <v>1632</v>
      </c>
      <c r="D6618" t="str">
        <f t="shared" si="104"/>
        <v>FHIDRO3704</v>
      </c>
      <c r="E6618" t="s">
        <v>116</v>
      </c>
    </row>
    <row r="6619" spans="1:5" hidden="1" x14ac:dyDescent="0.25">
      <c r="A6619">
        <v>4341</v>
      </c>
      <c r="B6619" t="s">
        <v>557</v>
      </c>
      <c r="C6619" t="s">
        <v>1633</v>
      </c>
      <c r="D6619" t="str">
        <f t="shared" si="104"/>
        <v>FHIDRO3705</v>
      </c>
      <c r="E6619" t="s">
        <v>116</v>
      </c>
    </row>
    <row r="6620" spans="1:5" hidden="1" x14ac:dyDescent="0.25">
      <c r="A6620">
        <v>4341</v>
      </c>
      <c r="B6620" t="s">
        <v>557</v>
      </c>
      <c r="C6620" t="s">
        <v>1634</v>
      </c>
      <c r="D6620" t="str">
        <f t="shared" si="104"/>
        <v>FHIDRO3903</v>
      </c>
      <c r="E6620" t="s">
        <v>86</v>
      </c>
    </row>
    <row r="6621" spans="1:5" hidden="1" x14ac:dyDescent="0.25">
      <c r="A6621">
        <v>4341</v>
      </c>
      <c r="B6621" t="s">
        <v>557</v>
      </c>
      <c r="C6621" t="s">
        <v>1636</v>
      </c>
      <c r="D6621" t="str">
        <f t="shared" si="104"/>
        <v>FHIDRO3912</v>
      </c>
      <c r="E6621" t="s">
        <v>1637</v>
      </c>
    </row>
    <row r="6622" spans="1:5" hidden="1" x14ac:dyDescent="0.25">
      <c r="A6622">
        <v>4341</v>
      </c>
      <c r="B6622" t="s">
        <v>557</v>
      </c>
      <c r="C6622" t="s">
        <v>1644</v>
      </c>
      <c r="D6622" t="str">
        <f t="shared" si="104"/>
        <v>FHIDRO3924</v>
      </c>
      <c r="E6622" t="s">
        <v>1645</v>
      </c>
    </row>
    <row r="6623" spans="1:5" hidden="1" x14ac:dyDescent="0.25">
      <c r="A6623">
        <v>4341</v>
      </c>
      <c r="B6623" t="s">
        <v>557</v>
      </c>
      <c r="C6623" t="s">
        <v>442</v>
      </c>
      <c r="D6623" t="str">
        <f t="shared" si="104"/>
        <v>FHIDRO3926</v>
      </c>
      <c r="E6623" t="s">
        <v>1646</v>
      </c>
    </row>
    <row r="6624" spans="1:5" hidden="1" x14ac:dyDescent="0.25">
      <c r="A6624">
        <v>4341</v>
      </c>
      <c r="B6624" t="s">
        <v>557</v>
      </c>
      <c r="C6624" t="s">
        <v>1653</v>
      </c>
      <c r="D6624" t="str">
        <f t="shared" si="104"/>
        <v>FHIDRO3940</v>
      </c>
      <c r="E6624" t="s">
        <v>1648</v>
      </c>
    </row>
    <row r="6625" spans="1:5" hidden="1" x14ac:dyDescent="0.25">
      <c r="A6625">
        <v>4341</v>
      </c>
      <c r="B6625" t="s">
        <v>557</v>
      </c>
      <c r="C6625" t="s">
        <v>491</v>
      </c>
      <c r="D6625" t="str">
        <f t="shared" si="104"/>
        <v>FHIDRO3948</v>
      </c>
      <c r="E6625" t="s">
        <v>1645</v>
      </c>
    </row>
    <row r="6626" spans="1:5" hidden="1" x14ac:dyDescent="0.25">
      <c r="A6626">
        <v>4341</v>
      </c>
      <c r="B6626" t="s">
        <v>557</v>
      </c>
      <c r="C6626" t="s">
        <v>1718</v>
      </c>
      <c r="D6626" t="str">
        <f t="shared" si="104"/>
        <v>FHIDRO3964</v>
      </c>
      <c r="E6626" t="s">
        <v>1841</v>
      </c>
    </row>
    <row r="6627" spans="1:5" hidden="1" x14ac:dyDescent="0.25">
      <c r="A6627">
        <v>4341</v>
      </c>
      <c r="B6627" t="s">
        <v>557</v>
      </c>
      <c r="C6627" t="s">
        <v>1663</v>
      </c>
      <c r="D6627" t="str">
        <f t="shared" si="104"/>
        <v>FHIDRO3999</v>
      </c>
      <c r="E6627" t="s">
        <v>1874</v>
      </c>
    </row>
    <row r="6628" spans="1:5" hidden="1" x14ac:dyDescent="0.25">
      <c r="A6628">
        <v>4341</v>
      </c>
      <c r="B6628" t="s">
        <v>557</v>
      </c>
      <c r="C6628" t="s">
        <v>1665</v>
      </c>
      <c r="D6628" t="str">
        <f t="shared" si="104"/>
        <v>FHIDRO4003</v>
      </c>
      <c r="E6628" t="s">
        <v>93</v>
      </c>
    </row>
    <row r="6629" spans="1:5" hidden="1" x14ac:dyDescent="0.25">
      <c r="A6629">
        <v>4341</v>
      </c>
      <c r="B6629" t="s">
        <v>557</v>
      </c>
      <c r="C6629" t="s">
        <v>1719</v>
      </c>
      <c r="D6629" t="str">
        <f t="shared" si="104"/>
        <v>FHIDRO4101</v>
      </c>
      <c r="E6629" t="s">
        <v>1875</v>
      </c>
    </row>
    <row r="6630" spans="1:5" hidden="1" x14ac:dyDescent="0.25">
      <c r="A6630">
        <v>4341</v>
      </c>
      <c r="B6630" t="s">
        <v>557</v>
      </c>
      <c r="C6630" t="s">
        <v>239</v>
      </c>
      <c r="D6630" t="str">
        <f t="shared" si="104"/>
        <v>FHIDRO4801</v>
      </c>
      <c r="E6630" t="s">
        <v>1876</v>
      </c>
    </row>
    <row r="6631" spans="1:5" hidden="1" x14ac:dyDescent="0.25">
      <c r="A6631">
        <v>4341</v>
      </c>
      <c r="B6631" t="s">
        <v>557</v>
      </c>
      <c r="C6631" t="s">
        <v>1672</v>
      </c>
      <c r="D6631" t="str">
        <f t="shared" si="104"/>
        <v>FHIDRO5103</v>
      </c>
      <c r="E6631" t="s">
        <v>1671</v>
      </c>
    </row>
    <row r="6632" spans="1:5" hidden="1" x14ac:dyDescent="0.25">
      <c r="A6632">
        <v>4341</v>
      </c>
      <c r="B6632" t="s">
        <v>557</v>
      </c>
      <c r="C6632" t="s">
        <v>1678</v>
      </c>
      <c r="D6632" t="str">
        <f t="shared" si="104"/>
        <v>FHIDRO5210</v>
      </c>
      <c r="E6632" t="s">
        <v>1674</v>
      </c>
    </row>
    <row r="6633" spans="1:5" hidden="1" x14ac:dyDescent="0.25">
      <c r="A6633">
        <v>4341</v>
      </c>
      <c r="B6633" t="s">
        <v>557</v>
      </c>
      <c r="C6633" t="s">
        <v>390</v>
      </c>
      <c r="D6633" t="str">
        <f t="shared" si="104"/>
        <v>FHIDRO5214</v>
      </c>
      <c r="E6633" t="s">
        <v>1674</v>
      </c>
    </row>
    <row r="6634" spans="1:5" hidden="1" x14ac:dyDescent="0.25">
      <c r="A6634">
        <v>4341</v>
      </c>
      <c r="B6634" t="s">
        <v>557</v>
      </c>
      <c r="C6634" t="s">
        <v>1684</v>
      </c>
      <c r="D6634" t="str">
        <f t="shared" si="104"/>
        <v>FHIDRO9202</v>
      </c>
      <c r="E6634" t="s">
        <v>1685</v>
      </c>
    </row>
    <row r="6635" spans="1:5" hidden="1" x14ac:dyDescent="0.25">
      <c r="A6635">
        <v>4381</v>
      </c>
      <c r="B6635" t="s">
        <v>562</v>
      </c>
      <c r="C6635" t="s">
        <v>1597</v>
      </c>
      <c r="D6635" t="str">
        <f t="shared" si="104"/>
        <v>FUNTRANS1401</v>
      </c>
      <c r="E6635" t="s">
        <v>43</v>
      </c>
    </row>
    <row r="6636" spans="1:5" hidden="1" x14ac:dyDescent="0.25">
      <c r="A6636">
        <v>4381</v>
      </c>
      <c r="B6636" t="s">
        <v>562</v>
      </c>
      <c r="C6636" t="s">
        <v>1599</v>
      </c>
      <c r="D6636" t="str">
        <f t="shared" si="104"/>
        <v>FUNTRANS3001</v>
      </c>
      <c r="E6636" t="s">
        <v>1600</v>
      </c>
    </row>
    <row r="6637" spans="1:5" hidden="1" x14ac:dyDescent="0.25">
      <c r="A6637">
        <v>4381</v>
      </c>
      <c r="B6637" t="s">
        <v>562</v>
      </c>
      <c r="C6637" t="s">
        <v>255</v>
      </c>
      <c r="D6637" t="str">
        <f t="shared" si="104"/>
        <v>FUNTRANS3002</v>
      </c>
      <c r="E6637" t="s">
        <v>1600</v>
      </c>
    </row>
    <row r="6638" spans="1:5" hidden="1" x14ac:dyDescent="0.25">
      <c r="A6638">
        <v>4381</v>
      </c>
      <c r="B6638" t="s">
        <v>562</v>
      </c>
      <c r="C6638" t="s">
        <v>1601</v>
      </c>
      <c r="D6638" t="str">
        <f t="shared" si="104"/>
        <v>FUNTRANS3003</v>
      </c>
      <c r="E6638" t="s">
        <v>1600</v>
      </c>
    </row>
    <row r="6639" spans="1:5" hidden="1" x14ac:dyDescent="0.25">
      <c r="A6639">
        <v>4381</v>
      </c>
      <c r="B6639" t="s">
        <v>562</v>
      </c>
      <c r="C6639" t="s">
        <v>1603</v>
      </c>
      <c r="D6639" t="str">
        <f t="shared" si="104"/>
        <v>FUNTRANS3005</v>
      </c>
      <c r="E6639" t="s">
        <v>1600</v>
      </c>
    </row>
    <row r="6640" spans="1:5" hidden="1" x14ac:dyDescent="0.25">
      <c r="A6640">
        <v>4381</v>
      </c>
      <c r="B6640" t="s">
        <v>562</v>
      </c>
      <c r="C6640" t="s">
        <v>322</v>
      </c>
      <c r="D6640" t="str">
        <f t="shared" si="104"/>
        <v>FUNTRANS3006</v>
      </c>
      <c r="E6640" t="s">
        <v>1600</v>
      </c>
    </row>
    <row r="6641" spans="1:5" hidden="1" x14ac:dyDescent="0.25">
      <c r="A6641">
        <v>4381</v>
      </c>
      <c r="B6641" t="s">
        <v>562</v>
      </c>
      <c r="C6641" t="s">
        <v>332</v>
      </c>
      <c r="D6641" t="str">
        <f t="shared" si="104"/>
        <v>FUNTRANS3007</v>
      </c>
      <c r="E6641" t="s">
        <v>1600</v>
      </c>
    </row>
    <row r="6642" spans="1:5" hidden="1" x14ac:dyDescent="0.25">
      <c r="A6642">
        <v>4381</v>
      </c>
      <c r="B6642" t="s">
        <v>562</v>
      </c>
      <c r="C6642" t="s">
        <v>1609</v>
      </c>
      <c r="D6642" t="str">
        <f t="shared" si="104"/>
        <v>FUNTRANS3016</v>
      </c>
      <c r="E6642" t="s">
        <v>1600</v>
      </c>
    </row>
    <row r="6643" spans="1:5" hidden="1" x14ac:dyDescent="0.25">
      <c r="A6643">
        <v>4381</v>
      </c>
      <c r="B6643" t="s">
        <v>562</v>
      </c>
      <c r="C6643" t="s">
        <v>1610</v>
      </c>
      <c r="D6643" t="str">
        <f t="shared" si="104"/>
        <v>FUNTRANS3019</v>
      </c>
      <c r="E6643" t="s">
        <v>1611</v>
      </c>
    </row>
    <row r="6644" spans="1:5" hidden="1" x14ac:dyDescent="0.25">
      <c r="A6644">
        <v>4381</v>
      </c>
      <c r="B6644" t="s">
        <v>562</v>
      </c>
      <c r="C6644" t="s">
        <v>1613</v>
      </c>
      <c r="D6644" t="str">
        <f t="shared" si="104"/>
        <v>FUNTRANS3021</v>
      </c>
      <c r="E6644" t="s">
        <v>1600</v>
      </c>
    </row>
    <row r="6645" spans="1:5" hidden="1" x14ac:dyDescent="0.25">
      <c r="A6645">
        <v>4381</v>
      </c>
      <c r="B6645" t="s">
        <v>562</v>
      </c>
      <c r="C6645" t="s">
        <v>1614</v>
      </c>
      <c r="D6645" t="str">
        <f t="shared" si="104"/>
        <v>FUNTRANS3023</v>
      </c>
      <c r="E6645" t="s">
        <v>1615</v>
      </c>
    </row>
    <row r="6646" spans="1:5" hidden="1" x14ac:dyDescent="0.25">
      <c r="A6646">
        <v>4381</v>
      </c>
      <c r="B6646" t="s">
        <v>562</v>
      </c>
      <c r="C6646" t="s">
        <v>1616</v>
      </c>
      <c r="D6646" t="str">
        <f t="shared" si="104"/>
        <v>FUNTRANS3025</v>
      </c>
      <c r="E6646" t="s">
        <v>1600</v>
      </c>
    </row>
    <row r="6647" spans="1:5" hidden="1" x14ac:dyDescent="0.25">
      <c r="A6647">
        <v>4381</v>
      </c>
      <c r="B6647" t="s">
        <v>562</v>
      </c>
      <c r="C6647" t="s">
        <v>1617</v>
      </c>
      <c r="D6647" t="str">
        <f t="shared" si="104"/>
        <v>FUNTRANS3026</v>
      </c>
      <c r="E6647" t="s">
        <v>1615</v>
      </c>
    </row>
    <row r="6648" spans="1:5" hidden="1" x14ac:dyDescent="0.25">
      <c r="A6648">
        <v>4381</v>
      </c>
      <c r="B6648" t="s">
        <v>562</v>
      </c>
      <c r="C6648" t="s">
        <v>1693</v>
      </c>
      <c r="D6648" t="str">
        <f t="shared" si="104"/>
        <v>FUNTRANS3702</v>
      </c>
      <c r="E6648" t="s">
        <v>1630</v>
      </c>
    </row>
    <row r="6649" spans="1:5" hidden="1" x14ac:dyDescent="0.25">
      <c r="A6649">
        <v>4381</v>
      </c>
      <c r="B6649" t="s">
        <v>562</v>
      </c>
      <c r="C6649" t="s">
        <v>1632</v>
      </c>
      <c r="D6649" t="str">
        <f t="shared" si="104"/>
        <v>FUNTRANS3704</v>
      </c>
      <c r="E6649" t="s">
        <v>116</v>
      </c>
    </row>
    <row r="6650" spans="1:5" hidden="1" x14ac:dyDescent="0.25">
      <c r="A6650">
        <v>4381</v>
      </c>
      <c r="B6650" t="s">
        <v>562</v>
      </c>
      <c r="C6650" t="s">
        <v>1633</v>
      </c>
      <c r="D6650" t="str">
        <f t="shared" si="104"/>
        <v>FUNTRANS3705</v>
      </c>
      <c r="E6650" t="s">
        <v>116</v>
      </c>
    </row>
    <row r="6651" spans="1:5" hidden="1" x14ac:dyDescent="0.25">
      <c r="A6651">
        <v>4381</v>
      </c>
      <c r="B6651" t="s">
        <v>562</v>
      </c>
      <c r="C6651" t="s">
        <v>383</v>
      </c>
      <c r="D6651" t="str">
        <f t="shared" si="104"/>
        <v>FUNTRANS3915</v>
      </c>
      <c r="E6651" t="s">
        <v>1637</v>
      </c>
    </row>
    <row r="6652" spans="1:5" hidden="1" x14ac:dyDescent="0.25">
      <c r="A6652">
        <v>4381</v>
      </c>
      <c r="B6652" t="s">
        <v>562</v>
      </c>
      <c r="C6652" t="s">
        <v>1639</v>
      </c>
      <c r="D6652" t="str">
        <f t="shared" si="104"/>
        <v>FUNTRANS3917</v>
      </c>
      <c r="E6652" t="s">
        <v>1615</v>
      </c>
    </row>
    <row r="6653" spans="1:5" hidden="1" x14ac:dyDescent="0.25">
      <c r="A6653">
        <v>4381</v>
      </c>
      <c r="B6653" t="s">
        <v>562</v>
      </c>
      <c r="C6653" t="s">
        <v>442</v>
      </c>
      <c r="D6653" t="str">
        <f t="shared" si="104"/>
        <v>FUNTRANS3926</v>
      </c>
      <c r="E6653" t="s">
        <v>1646</v>
      </c>
    </row>
    <row r="6654" spans="1:5" hidden="1" x14ac:dyDescent="0.25">
      <c r="A6654">
        <v>4381</v>
      </c>
      <c r="B6654" t="s">
        <v>562</v>
      </c>
      <c r="C6654" t="s">
        <v>1650</v>
      </c>
      <c r="D6654" t="str">
        <f t="shared" si="104"/>
        <v>FUNTRANS3931</v>
      </c>
      <c r="E6654" t="s">
        <v>1623</v>
      </c>
    </row>
    <row r="6655" spans="1:5" hidden="1" x14ac:dyDescent="0.25">
      <c r="A6655">
        <v>4381</v>
      </c>
      <c r="B6655" t="s">
        <v>562</v>
      </c>
      <c r="C6655" t="s">
        <v>1652</v>
      </c>
      <c r="D6655" t="str">
        <f t="shared" si="104"/>
        <v>FUNTRANS3936</v>
      </c>
      <c r="E6655" t="s">
        <v>93</v>
      </c>
    </row>
    <row r="6656" spans="1:5" hidden="1" x14ac:dyDescent="0.25">
      <c r="A6656">
        <v>4381</v>
      </c>
      <c r="B6656" t="s">
        <v>562</v>
      </c>
      <c r="C6656" t="s">
        <v>1654</v>
      </c>
      <c r="D6656" t="str">
        <f t="shared" si="104"/>
        <v>FUNTRANS3943</v>
      </c>
      <c r="E6656" t="s">
        <v>1615</v>
      </c>
    </row>
    <row r="6657" spans="1:5" hidden="1" x14ac:dyDescent="0.25">
      <c r="A6657">
        <v>4381</v>
      </c>
      <c r="B6657" t="s">
        <v>562</v>
      </c>
      <c r="C6657" t="s">
        <v>494</v>
      </c>
      <c r="D6657" t="str">
        <f t="shared" si="104"/>
        <v>FUNTRANS3951</v>
      </c>
      <c r="E6657" t="s">
        <v>1671</v>
      </c>
    </row>
    <row r="6658" spans="1:5" hidden="1" x14ac:dyDescent="0.25">
      <c r="A6658">
        <v>4381</v>
      </c>
      <c r="B6658" t="s">
        <v>562</v>
      </c>
      <c r="C6658" t="s">
        <v>1701</v>
      </c>
      <c r="D6658" t="str">
        <f t="shared" si="104"/>
        <v>FUNTRANS3952</v>
      </c>
      <c r="E6658" t="s">
        <v>64</v>
      </c>
    </row>
    <row r="6659" spans="1:5" hidden="1" x14ac:dyDescent="0.25">
      <c r="A6659">
        <v>4381</v>
      </c>
      <c r="B6659" t="s">
        <v>562</v>
      </c>
      <c r="C6659" t="s">
        <v>512</v>
      </c>
      <c r="D6659" t="str">
        <f t="shared" si="104"/>
        <v>FUNTRANS3971</v>
      </c>
      <c r="E6659" t="s">
        <v>2103</v>
      </c>
    </row>
    <row r="6660" spans="1:5" hidden="1" x14ac:dyDescent="0.25">
      <c r="A6660">
        <v>4381</v>
      </c>
      <c r="B6660" t="s">
        <v>562</v>
      </c>
      <c r="C6660" t="s">
        <v>1725</v>
      </c>
      <c r="D6660" t="str">
        <f t="shared" si="104"/>
        <v>FUNTRANS3973</v>
      </c>
      <c r="E6660" t="s">
        <v>2107</v>
      </c>
    </row>
    <row r="6661" spans="1:5" hidden="1" x14ac:dyDescent="0.25">
      <c r="A6661">
        <v>4381</v>
      </c>
      <c r="B6661" t="s">
        <v>562</v>
      </c>
      <c r="C6661" t="s">
        <v>519</v>
      </c>
      <c r="D6661" t="str">
        <f t="shared" si="104"/>
        <v>FUNTRANS3978</v>
      </c>
      <c r="E6661" t="s">
        <v>1630</v>
      </c>
    </row>
    <row r="6662" spans="1:5" hidden="1" x14ac:dyDescent="0.25">
      <c r="A6662">
        <v>4381</v>
      </c>
      <c r="B6662" t="s">
        <v>562</v>
      </c>
      <c r="C6662" t="s">
        <v>1661</v>
      </c>
      <c r="D6662" t="str">
        <f t="shared" si="104"/>
        <v>FUNTRANS3987</v>
      </c>
      <c r="E6662" t="s">
        <v>1615</v>
      </c>
    </row>
    <row r="6663" spans="1:5" hidden="1" x14ac:dyDescent="0.25">
      <c r="A6663">
        <v>4381</v>
      </c>
      <c r="B6663" t="s">
        <v>562</v>
      </c>
      <c r="C6663" t="s">
        <v>1663</v>
      </c>
      <c r="D6663" t="str">
        <f t="shared" si="104"/>
        <v>FUNTRANS3999</v>
      </c>
      <c r="E6663" t="s">
        <v>1623</v>
      </c>
    </row>
    <row r="6664" spans="1:5" hidden="1" x14ac:dyDescent="0.25">
      <c r="A6664">
        <v>4381</v>
      </c>
      <c r="B6664" t="s">
        <v>562</v>
      </c>
      <c r="C6664" t="s">
        <v>1664</v>
      </c>
      <c r="D6664" t="str">
        <f t="shared" ref="D6664:D6727" si="105">CONCATENATE(B6664,LEFT(C6664,4))</f>
        <v>FUNTRANS4002</v>
      </c>
      <c r="E6664" t="s">
        <v>1648</v>
      </c>
    </row>
    <row r="6665" spans="1:5" hidden="1" x14ac:dyDescent="0.25">
      <c r="A6665">
        <v>4381</v>
      </c>
      <c r="B6665" t="s">
        <v>562</v>
      </c>
      <c r="C6665" t="s">
        <v>1665</v>
      </c>
      <c r="D6665" t="str">
        <f t="shared" si="105"/>
        <v>FUNTRANS4003</v>
      </c>
      <c r="E6665" t="s">
        <v>93</v>
      </c>
    </row>
    <row r="6666" spans="1:5" hidden="1" x14ac:dyDescent="0.25">
      <c r="A6666">
        <v>4381</v>
      </c>
      <c r="B6666" t="s">
        <v>562</v>
      </c>
      <c r="C6666" t="s">
        <v>1698</v>
      </c>
      <c r="D6666" t="str">
        <f t="shared" si="105"/>
        <v>FUNTRANS4006</v>
      </c>
      <c r="E6666" t="s">
        <v>1675</v>
      </c>
    </row>
    <row r="6667" spans="1:5" hidden="1" x14ac:dyDescent="0.25">
      <c r="A6667">
        <v>4381</v>
      </c>
      <c r="B6667" t="s">
        <v>562</v>
      </c>
      <c r="C6667" t="s">
        <v>1699</v>
      </c>
      <c r="D6667" t="str">
        <f t="shared" si="105"/>
        <v>FUNTRANS4007</v>
      </c>
      <c r="E6667" t="s">
        <v>93</v>
      </c>
    </row>
    <row r="6668" spans="1:5" hidden="1" x14ac:dyDescent="0.25">
      <c r="A6668">
        <v>4381</v>
      </c>
      <c r="B6668" t="s">
        <v>562</v>
      </c>
      <c r="C6668" t="s">
        <v>1719</v>
      </c>
      <c r="D6668" t="str">
        <f t="shared" si="105"/>
        <v>FUNTRANS4101</v>
      </c>
      <c r="E6668" t="s">
        <v>1623</v>
      </c>
    </row>
    <row r="6669" spans="1:5" hidden="1" x14ac:dyDescent="0.25">
      <c r="A6669">
        <v>4381</v>
      </c>
      <c r="B6669" t="s">
        <v>562</v>
      </c>
      <c r="C6669" t="s">
        <v>316</v>
      </c>
      <c r="D6669" t="str">
        <f t="shared" si="105"/>
        <v>FUNTRANS5106</v>
      </c>
      <c r="E6669" t="s">
        <v>1671</v>
      </c>
    </row>
    <row r="6670" spans="1:5" hidden="1" x14ac:dyDescent="0.25">
      <c r="A6670">
        <v>4381</v>
      </c>
      <c r="B6670" t="s">
        <v>562</v>
      </c>
      <c r="C6670" t="s">
        <v>172</v>
      </c>
      <c r="D6670" t="str">
        <f t="shared" si="105"/>
        <v>FUNTRANS5107</v>
      </c>
      <c r="E6670" t="s">
        <v>1671</v>
      </c>
    </row>
    <row r="6671" spans="1:5" hidden="1" x14ac:dyDescent="0.25">
      <c r="A6671">
        <v>4381</v>
      </c>
      <c r="B6671" t="s">
        <v>562</v>
      </c>
      <c r="C6671" t="s">
        <v>1676</v>
      </c>
      <c r="D6671" t="str">
        <f t="shared" si="105"/>
        <v>FUNTRANS5207</v>
      </c>
      <c r="E6671" t="s">
        <v>1675</v>
      </c>
    </row>
    <row r="6672" spans="1:5" hidden="1" x14ac:dyDescent="0.25">
      <c r="A6672">
        <v>4381</v>
      </c>
      <c r="B6672" t="s">
        <v>562</v>
      </c>
      <c r="C6672" t="s">
        <v>1677</v>
      </c>
      <c r="D6672" t="str">
        <f t="shared" si="105"/>
        <v>FUNTRANS5208</v>
      </c>
      <c r="E6672" t="s">
        <v>1675</v>
      </c>
    </row>
    <row r="6673" spans="1:5" hidden="1" x14ac:dyDescent="0.25">
      <c r="A6673">
        <v>4381</v>
      </c>
      <c r="B6673" t="s">
        <v>562</v>
      </c>
      <c r="C6673" t="s">
        <v>1679</v>
      </c>
      <c r="D6673" t="str">
        <f t="shared" si="105"/>
        <v>FUNTRANS5212</v>
      </c>
      <c r="E6673" t="s">
        <v>1674</v>
      </c>
    </row>
    <row r="6674" spans="1:5" hidden="1" x14ac:dyDescent="0.25">
      <c r="A6674">
        <v>4381</v>
      </c>
      <c r="B6674" t="s">
        <v>562</v>
      </c>
      <c r="C6674" t="s">
        <v>408</v>
      </c>
      <c r="D6674" t="str">
        <f t="shared" si="105"/>
        <v>FUNTRANS5217</v>
      </c>
      <c r="E6674" t="s">
        <v>1674</v>
      </c>
    </row>
    <row r="6675" spans="1:5" hidden="1" x14ac:dyDescent="0.25">
      <c r="A6675">
        <v>4381</v>
      </c>
      <c r="B6675" t="s">
        <v>562</v>
      </c>
      <c r="C6675" t="s">
        <v>428</v>
      </c>
      <c r="D6675" t="str">
        <f t="shared" si="105"/>
        <v>FUNTRANS5221</v>
      </c>
      <c r="E6675" t="s">
        <v>1674</v>
      </c>
    </row>
    <row r="6676" spans="1:5" hidden="1" x14ac:dyDescent="0.25">
      <c r="A6676">
        <v>4381</v>
      </c>
      <c r="B6676" t="s">
        <v>562</v>
      </c>
      <c r="C6676" t="s">
        <v>1684</v>
      </c>
      <c r="D6676" t="str">
        <f t="shared" si="105"/>
        <v>FUNTRANS9202</v>
      </c>
      <c r="E6676" t="s">
        <v>1685</v>
      </c>
    </row>
    <row r="6677" spans="1:5" hidden="1" x14ac:dyDescent="0.25">
      <c r="A6677">
        <v>4381</v>
      </c>
      <c r="B6677" t="s">
        <v>562</v>
      </c>
      <c r="C6677" t="s">
        <v>1687</v>
      </c>
      <c r="D6677" t="str">
        <f t="shared" si="105"/>
        <v>FUNTRANS9399</v>
      </c>
      <c r="E6677" t="s">
        <v>1623</v>
      </c>
    </row>
    <row r="6678" spans="1:5" hidden="1" x14ac:dyDescent="0.25">
      <c r="A6678">
        <v>4381</v>
      </c>
      <c r="B6678" t="s">
        <v>562</v>
      </c>
      <c r="C6678" t="s">
        <v>1641</v>
      </c>
      <c r="D6678" t="str">
        <f t="shared" si="105"/>
        <v>FUNTRANS3919</v>
      </c>
      <c r="E6678" t="s">
        <v>2102</v>
      </c>
    </row>
    <row r="6679" spans="1:5" hidden="1" x14ac:dyDescent="0.25">
      <c r="A6679">
        <v>4381</v>
      </c>
      <c r="B6679" t="s">
        <v>562</v>
      </c>
      <c r="C6679" t="s">
        <v>308</v>
      </c>
      <c r="D6679" t="str">
        <f t="shared" si="105"/>
        <v>FUNTRANS3305</v>
      </c>
      <c r="E6679" t="s">
        <v>43</v>
      </c>
    </row>
    <row r="6680" spans="1:5" hidden="1" x14ac:dyDescent="0.25">
      <c r="A6680">
        <v>4381</v>
      </c>
      <c r="B6680" t="s">
        <v>562</v>
      </c>
      <c r="C6680" t="s">
        <v>1634</v>
      </c>
      <c r="D6680" t="str">
        <f t="shared" si="105"/>
        <v>FUNTRANS3903</v>
      </c>
      <c r="E6680" t="s">
        <v>1623</v>
      </c>
    </row>
    <row r="6681" spans="1:5" hidden="1" x14ac:dyDescent="0.25">
      <c r="A6681">
        <v>4381</v>
      </c>
      <c r="B6681" t="s">
        <v>562</v>
      </c>
      <c r="C6681" t="s">
        <v>298</v>
      </c>
      <c r="D6681" t="str">
        <f t="shared" si="105"/>
        <v>FUNTRANS3904</v>
      </c>
      <c r="E6681" t="s">
        <v>1623</v>
      </c>
    </row>
    <row r="6682" spans="1:5" hidden="1" x14ac:dyDescent="0.25">
      <c r="A6682">
        <v>4421</v>
      </c>
      <c r="B6682" t="s">
        <v>636</v>
      </c>
      <c r="C6682" t="s">
        <v>1597</v>
      </c>
      <c r="D6682" t="str">
        <f t="shared" si="105"/>
        <v>FUNDIF1401</v>
      </c>
      <c r="E6682" t="s">
        <v>43</v>
      </c>
    </row>
    <row r="6683" spans="1:5" hidden="1" x14ac:dyDescent="0.25">
      <c r="A6683">
        <v>4421</v>
      </c>
      <c r="B6683" t="s">
        <v>636</v>
      </c>
      <c r="C6683" t="s">
        <v>1628</v>
      </c>
      <c r="D6683" t="str">
        <f t="shared" si="105"/>
        <v>FUNDIF3612</v>
      </c>
      <c r="E6683" t="s">
        <v>1623</v>
      </c>
    </row>
    <row r="6684" spans="1:5" hidden="1" x14ac:dyDescent="0.25">
      <c r="A6684">
        <v>4421</v>
      </c>
      <c r="B6684" t="s">
        <v>636</v>
      </c>
      <c r="C6684" t="s">
        <v>1663</v>
      </c>
      <c r="D6684" t="str">
        <f t="shared" si="105"/>
        <v>FUNDIF3999</v>
      </c>
      <c r="E6684" t="s">
        <v>1623</v>
      </c>
    </row>
    <row r="6685" spans="1:5" hidden="1" x14ac:dyDescent="0.25">
      <c r="A6685">
        <v>4421</v>
      </c>
      <c r="B6685" t="s">
        <v>636</v>
      </c>
      <c r="C6685" t="s">
        <v>1749</v>
      </c>
      <c r="D6685" t="str">
        <f t="shared" si="105"/>
        <v>FUNDIF4201</v>
      </c>
      <c r="E6685" t="s">
        <v>1728</v>
      </c>
    </row>
    <row r="6686" spans="1:5" hidden="1" x14ac:dyDescent="0.25">
      <c r="A6686">
        <v>4421</v>
      </c>
      <c r="B6686" t="s">
        <v>636</v>
      </c>
      <c r="C6686" t="s">
        <v>1750</v>
      </c>
      <c r="D6686" t="str">
        <f t="shared" si="105"/>
        <v>FUNDIF4301</v>
      </c>
      <c r="E6686" t="s">
        <v>1751</v>
      </c>
    </row>
    <row r="6687" spans="1:5" hidden="1" x14ac:dyDescent="0.25">
      <c r="A6687">
        <v>4421</v>
      </c>
      <c r="B6687" t="s">
        <v>636</v>
      </c>
      <c r="C6687" t="s">
        <v>172</v>
      </c>
      <c r="D6687" t="str">
        <f t="shared" si="105"/>
        <v>FUNDIF5107</v>
      </c>
      <c r="E6687" t="s">
        <v>1671</v>
      </c>
    </row>
    <row r="6688" spans="1:5" hidden="1" x14ac:dyDescent="0.25">
      <c r="A6688">
        <v>4421</v>
      </c>
      <c r="B6688" t="s">
        <v>636</v>
      </c>
      <c r="C6688" t="s">
        <v>366</v>
      </c>
      <c r="D6688" t="str">
        <f t="shared" si="105"/>
        <v>FUNDIF9310</v>
      </c>
      <c r="E6688" t="s">
        <v>1623</v>
      </c>
    </row>
    <row r="6689" spans="1:5" hidden="1" x14ac:dyDescent="0.25">
      <c r="A6689">
        <v>4461</v>
      </c>
      <c r="B6689" t="e">
        <v>#N/A</v>
      </c>
      <c r="C6689" t="s">
        <v>373</v>
      </c>
      <c r="D6689" t="e">
        <f t="shared" si="105"/>
        <v>#N/A</v>
      </c>
      <c r="E6689" t="s">
        <v>1623</v>
      </c>
    </row>
    <row r="6690" spans="1:5" hidden="1" x14ac:dyDescent="0.25">
      <c r="A6690">
        <v>4491</v>
      </c>
      <c r="B6690" t="s">
        <v>637</v>
      </c>
      <c r="C6690" t="s">
        <v>1597</v>
      </c>
      <c r="D6690" t="str">
        <f t="shared" si="105"/>
        <v>FEC1401</v>
      </c>
      <c r="E6690" t="s">
        <v>43</v>
      </c>
    </row>
    <row r="6691" spans="1:5" hidden="1" x14ac:dyDescent="0.25">
      <c r="A6691">
        <v>4491</v>
      </c>
      <c r="B6691" t="s">
        <v>637</v>
      </c>
      <c r="C6691" t="s">
        <v>293</v>
      </c>
      <c r="D6691" t="str">
        <f t="shared" si="105"/>
        <v>FEC3104</v>
      </c>
      <c r="E6691" t="s">
        <v>1623</v>
      </c>
    </row>
    <row r="6692" spans="1:5" hidden="1" x14ac:dyDescent="0.25">
      <c r="A6692">
        <v>4491</v>
      </c>
      <c r="B6692" t="s">
        <v>637</v>
      </c>
      <c r="C6692" t="s">
        <v>296</v>
      </c>
      <c r="D6692" t="str">
        <f t="shared" si="105"/>
        <v>FEC3604</v>
      </c>
      <c r="E6692" t="s">
        <v>43</v>
      </c>
    </row>
    <row r="6693" spans="1:5" hidden="1" x14ac:dyDescent="0.25">
      <c r="A6693">
        <v>4491</v>
      </c>
      <c r="B6693" t="s">
        <v>637</v>
      </c>
      <c r="C6693" t="s">
        <v>497</v>
      </c>
      <c r="D6693" t="str">
        <f t="shared" si="105"/>
        <v>FEC3955</v>
      </c>
      <c r="E6693" t="s">
        <v>1623</v>
      </c>
    </row>
    <row r="6694" spans="1:5" hidden="1" x14ac:dyDescent="0.25">
      <c r="A6694">
        <v>4491</v>
      </c>
      <c r="B6694" t="s">
        <v>637</v>
      </c>
      <c r="C6694" t="s">
        <v>1719</v>
      </c>
      <c r="D6694" t="str">
        <f t="shared" si="105"/>
        <v>FEC4101</v>
      </c>
      <c r="E6694" t="s">
        <v>1623</v>
      </c>
    </row>
    <row r="6695" spans="1:5" hidden="1" x14ac:dyDescent="0.25">
      <c r="A6695">
        <v>4491</v>
      </c>
      <c r="B6695" t="s">
        <v>637</v>
      </c>
      <c r="C6695" t="s">
        <v>1687</v>
      </c>
      <c r="D6695" t="str">
        <f t="shared" si="105"/>
        <v>FEC9399</v>
      </c>
      <c r="E6695" t="s">
        <v>1623</v>
      </c>
    </row>
    <row r="6696" spans="1:5" hidden="1" x14ac:dyDescent="0.25">
      <c r="A6696">
        <v>4541</v>
      </c>
      <c r="B6696" t="s">
        <v>638</v>
      </c>
      <c r="C6696" t="s">
        <v>345</v>
      </c>
      <c r="D6696" t="str">
        <f t="shared" si="105"/>
        <v>FAHMEMG3910</v>
      </c>
      <c r="E6696" t="s">
        <v>1623</v>
      </c>
    </row>
    <row r="6697" spans="1:5" hidden="1" x14ac:dyDescent="0.25">
      <c r="A6697">
        <v>4541</v>
      </c>
      <c r="B6697" t="s">
        <v>638</v>
      </c>
      <c r="C6697" t="s">
        <v>1647</v>
      </c>
      <c r="D6697" t="str">
        <f t="shared" si="105"/>
        <v>FAHMEMG3927</v>
      </c>
      <c r="E6697" t="s">
        <v>1648</v>
      </c>
    </row>
    <row r="6698" spans="1:5" hidden="1" x14ac:dyDescent="0.25">
      <c r="A6698">
        <v>4541</v>
      </c>
      <c r="B6698" t="s">
        <v>638</v>
      </c>
      <c r="C6698" t="s">
        <v>498</v>
      </c>
      <c r="D6698" t="str">
        <f t="shared" si="105"/>
        <v>FAHMEMG3956</v>
      </c>
      <c r="E6698" t="s">
        <v>1623</v>
      </c>
    </row>
    <row r="6699" spans="1:5" hidden="1" x14ac:dyDescent="0.25">
      <c r="A6699">
        <v>4541</v>
      </c>
      <c r="B6699" t="s">
        <v>638</v>
      </c>
      <c r="C6699" t="s">
        <v>1664</v>
      </c>
      <c r="D6699" t="str">
        <f t="shared" si="105"/>
        <v>FAHMEMG4002</v>
      </c>
      <c r="E6699" t="s">
        <v>1648</v>
      </c>
    </row>
    <row r="6700" spans="1:5" hidden="1" x14ac:dyDescent="0.25">
      <c r="A6700">
        <v>4551</v>
      </c>
      <c r="B6700" t="s">
        <v>560</v>
      </c>
      <c r="C6700" t="s">
        <v>1844</v>
      </c>
      <c r="D6700" t="str">
        <f t="shared" si="105"/>
        <v>FUNAPEC0505</v>
      </c>
      <c r="E6700" t="s">
        <v>1596</v>
      </c>
    </row>
    <row r="6701" spans="1:5" hidden="1" x14ac:dyDescent="0.25">
      <c r="A6701">
        <v>4551</v>
      </c>
      <c r="B6701" t="s">
        <v>560</v>
      </c>
      <c r="C6701" t="s">
        <v>1846</v>
      </c>
      <c r="D6701" t="str">
        <f t="shared" si="105"/>
        <v>FUNAPEC0811</v>
      </c>
      <c r="E6701" t="s">
        <v>1596</v>
      </c>
    </row>
    <row r="6702" spans="1:5" hidden="1" x14ac:dyDescent="0.25">
      <c r="A6702">
        <v>4551</v>
      </c>
      <c r="B6702" t="s">
        <v>560</v>
      </c>
      <c r="C6702" t="s">
        <v>1684</v>
      </c>
      <c r="D6702" t="str">
        <f t="shared" si="105"/>
        <v>FUNAPEC9202</v>
      </c>
      <c r="E6702" t="s">
        <v>1685</v>
      </c>
    </row>
    <row r="6703" spans="1:5" hidden="1" x14ac:dyDescent="0.25">
      <c r="A6703">
        <v>4601</v>
      </c>
      <c r="B6703" t="s">
        <v>639</v>
      </c>
      <c r="C6703" t="s">
        <v>1719</v>
      </c>
      <c r="D6703" t="str">
        <f t="shared" si="105"/>
        <v>FEI4101</v>
      </c>
      <c r="E6703" t="s">
        <v>1623</v>
      </c>
    </row>
    <row r="6704" spans="1:5" hidden="1" x14ac:dyDescent="0.25">
      <c r="A6704">
        <v>4601</v>
      </c>
      <c r="B6704" t="s">
        <v>639</v>
      </c>
      <c r="C6704" t="s">
        <v>1749</v>
      </c>
      <c r="D6704" t="str">
        <f t="shared" si="105"/>
        <v>FEI4201</v>
      </c>
      <c r="E6704" t="s">
        <v>1728</v>
      </c>
    </row>
    <row r="6705" spans="1:5" hidden="1" x14ac:dyDescent="0.25">
      <c r="A6705">
        <v>4601</v>
      </c>
      <c r="B6705" t="s">
        <v>639</v>
      </c>
      <c r="C6705" t="s">
        <v>1750</v>
      </c>
      <c r="D6705" t="str">
        <f t="shared" si="105"/>
        <v>FEI4301</v>
      </c>
      <c r="E6705" t="s">
        <v>1751</v>
      </c>
    </row>
    <row r="6706" spans="1:5" hidden="1" x14ac:dyDescent="0.25">
      <c r="A6706">
        <v>4621</v>
      </c>
      <c r="B6706" t="s">
        <v>640</v>
      </c>
      <c r="C6706" t="s">
        <v>1760</v>
      </c>
      <c r="D6706" t="str">
        <f t="shared" si="105"/>
        <v>MG INVESTE2701</v>
      </c>
      <c r="E6706" t="s">
        <v>2108</v>
      </c>
    </row>
    <row r="6707" spans="1:5" hidden="1" x14ac:dyDescent="0.25">
      <c r="A6707">
        <v>4631</v>
      </c>
      <c r="B6707" t="s">
        <v>641</v>
      </c>
      <c r="C6707" t="s">
        <v>442</v>
      </c>
      <c r="D6707" t="str">
        <f t="shared" si="105"/>
        <v>FPP - MG3926</v>
      </c>
      <c r="E6707" t="s">
        <v>1646</v>
      </c>
    </row>
    <row r="6708" spans="1:5" hidden="1" x14ac:dyDescent="0.25">
      <c r="A6708">
        <v>4631</v>
      </c>
      <c r="B6708" t="s">
        <v>641</v>
      </c>
      <c r="C6708" t="s">
        <v>237</v>
      </c>
      <c r="D6708" t="str">
        <f t="shared" si="105"/>
        <v>FPP - MG4501</v>
      </c>
      <c r="E6708" t="s">
        <v>1757</v>
      </c>
    </row>
    <row r="6709" spans="1:5" hidden="1" x14ac:dyDescent="0.25">
      <c r="A6709">
        <v>4631</v>
      </c>
      <c r="B6709" t="s">
        <v>641</v>
      </c>
      <c r="C6709" t="s">
        <v>1877</v>
      </c>
      <c r="D6709" t="str">
        <f t="shared" si="105"/>
        <v>FPP - MG8201</v>
      </c>
      <c r="E6709" t="s">
        <v>1878</v>
      </c>
    </row>
    <row r="6710" spans="1:5" hidden="1" x14ac:dyDescent="0.25">
      <c r="A6710">
        <v>4631</v>
      </c>
      <c r="B6710" t="s">
        <v>641</v>
      </c>
      <c r="C6710" t="s">
        <v>1879</v>
      </c>
      <c r="D6710" t="str">
        <f t="shared" si="105"/>
        <v>FPP - MG8301</v>
      </c>
      <c r="E6710" t="s">
        <v>1880</v>
      </c>
    </row>
    <row r="6711" spans="1:5" hidden="1" x14ac:dyDescent="0.25">
      <c r="A6711">
        <v>4631</v>
      </c>
      <c r="B6711" t="s">
        <v>641</v>
      </c>
      <c r="C6711" t="s">
        <v>1881</v>
      </c>
      <c r="D6711" t="str">
        <f t="shared" si="105"/>
        <v>FPP - MG8303</v>
      </c>
      <c r="E6711" t="s">
        <v>1880</v>
      </c>
    </row>
    <row r="6712" spans="1:5" hidden="1" x14ac:dyDescent="0.25">
      <c r="A6712">
        <v>4631</v>
      </c>
      <c r="B6712" t="s">
        <v>641</v>
      </c>
      <c r="C6712" t="s">
        <v>1882</v>
      </c>
      <c r="D6712" t="str">
        <f t="shared" si="105"/>
        <v>FPP - MG9109</v>
      </c>
      <c r="E6712" t="s">
        <v>1724</v>
      </c>
    </row>
    <row r="6713" spans="1:5" hidden="1" x14ac:dyDescent="0.25">
      <c r="A6713">
        <v>4631</v>
      </c>
      <c r="B6713" t="s">
        <v>641</v>
      </c>
      <c r="C6713" t="s">
        <v>1684</v>
      </c>
      <c r="D6713" t="str">
        <f t="shared" si="105"/>
        <v>FPP - MG9202</v>
      </c>
      <c r="E6713" t="s">
        <v>1685</v>
      </c>
    </row>
    <row r="6714" spans="1:5" hidden="1" x14ac:dyDescent="0.25">
      <c r="A6714">
        <v>4631</v>
      </c>
      <c r="B6714" t="s">
        <v>641</v>
      </c>
      <c r="C6714" t="s">
        <v>319</v>
      </c>
      <c r="D6714" t="str">
        <f t="shared" si="105"/>
        <v>FPP - MG9305</v>
      </c>
      <c r="E6714" t="s">
        <v>1623</v>
      </c>
    </row>
    <row r="6715" spans="1:5" hidden="1" x14ac:dyDescent="0.25">
      <c r="A6715">
        <v>4691</v>
      </c>
      <c r="B6715" t="s">
        <v>642</v>
      </c>
      <c r="C6715" t="s">
        <v>255</v>
      </c>
      <c r="D6715" t="str">
        <f t="shared" si="105"/>
        <v>FESP-MG3002</v>
      </c>
      <c r="E6715" t="s">
        <v>1600</v>
      </c>
    </row>
    <row r="6716" spans="1:5" hidden="1" x14ac:dyDescent="0.25">
      <c r="A6716">
        <v>4691</v>
      </c>
      <c r="B6716" t="s">
        <v>642</v>
      </c>
      <c r="C6716" t="s">
        <v>1603</v>
      </c>
      <c r="D6716" t="str">
        <f t="shared" si="105"/>
        <v>FESP-MG3005</v>
      </c>
      <c r="E6716" t="s">
        <v>1600</v>
      </c>
    </row>
    <row r="6717" spans="1:5" hidden="1" x14ac:dyDescent="0.25">
      <c r="A6717">
        <v>4691</v>
      </c>
      <c r="B6717" t="s">
        <v>642</v>
      </c>
      <c r="C6717" t="s">
        <v>1605</v>
      </c>
      <c r="D6717" t="str">
        <f t="shared" si="105"/>
        <v>FESP-MG3010</v>
      </c>
      <c r="E6717" t="s">
        <v>1606</v>
      </c>
    </row>
    <row r="6718" spans="1:5" hidden="1" x14ac:dyDescent="0.25">
      <c r="A6718">
        <v>4691</v>
      </c>
      <c r="B6718" t="s">
        <v>642</v>
      </c>
      <c r="C6718" t="s">
        <v>1607</v>
      </c>
      <c r="D6718" t="str">
        <f t="shared" si="105"/>
        <v>FESP-MG3013</v>
      </c>
      <c r="E6718" t="s">
        <v>1600</v>
      </c>
    </row>
    <row r="6719" spans="1:5" hidden="1" x14ac:dyDescent="0.25">
      <c r="A6719">
        <v>4691</v>
      </c>
      <c r="B6719" t="s">
        <v>642</v>
      </c>
      <c r="C6719" t="s">
        <v>1608</v>
      </c>
      <c r="D6719" t="str">
        <f t="shared" si="105"/>
        <v>FESP-MG3015</v>
      </c>
      <c r="E6719" t="s">
        <v>1600</v>
      </c>
    </row>
    <row r="6720" spans="1:5" hidden="1" x14ac:dyDescent="0.25">
      <c r="A6720">
        <v>4691</v>
      </c>
      <c r="B6720" t="s">
        <v>642</v>
      </c>
      <c r="C6720" t="s">
        <v>1609</v>
      </c>
      <c r="D6720" t="str">
        <f t="shared" si="105"/>
        <v>FESP-MG3016</v>
      </c>
      <c r="E6720" t="s">
        <v>1600</v>
      </c>
    </row>
    <row r="6721" spans="1:5" hidden="1" x14ac:dyDescent="0.25">
      <c r="A6721">
        <v>4691</v>
      </c>
      <c r="B6721" t="s">
        <v>642</v>
      </c>
      <c r="C6721" t="s">
        <v>410</v>
      </c>
      <c r="D6721" t="str">
        <f t="shared" si="105"/>
        <v>FESP-MG3018</v>
      </c>
      <c r="E6721" t="s">
        <v>1600</v>
      </c>
    </row>
    <row r="6722" spans="1:5" hidden="1" x14ac:dyDescent="0.25">
      <c r="A6722">
        <v>4691</v>
      </c>
      <c r="B6722" t="s">
        <v>642</v>
      </c>
      <c r="C6722" t="s">
        <v>1610</v>
      </c>
      <c r="D6722" t="str">
        <f t="shared" si="105"/>
        <v>FESP-MG3019</v>
      </c>
      <c r="E6722" t="s">
        <v>1611</v>
      </c>
    </row>
    <row r="6723" spans="1:5" hidden="1" x14ac:dyDescent="0.25">
      <c r="A6723">
        <v>4691</v>
      </c>
      <c r="B6723" t="s">
        <v>642</v>
      </c>
      <c r="C6723" t="s">
        <v>430</v>
      </c>
      <c r="D6723" t="str">
        <f t="shared" si="105"/>
        <v>FESP-MG3022</v>
      </c>
      <c r="E6723" t="s">
        <v>1600</v>
      </c>
    </row>
    <row r="6724" spans="1:5" hidden="1" x14ac:dyDescent="0.25">
      <c r="A6724">
        <v>4691</v>
      </c>
      <c r="B6724" t="s">
        <v>642</v>
      </c>
      <c r="C6724" t="s">
        <v>1614</v>
      </c>
      <c r="D6724" t="str">
        <f t="shared" si="105"/>
        <v>FESP-MG3023</v>
      </c>
      <c r="E6724" t="s">
        <v>1615</v>
      </c>
    </row>
    <row r="6725" spans="1:5" hidden="1" x14ac:dyDescent="0.25">
      <c r="A6725">
        <v>4691</v>
      </c>
      <c r="B6725" t="s">
        <v>642</v>
      </c>
      <c r="C6725" t="s">
        <v>440</v>
      </c>
      <c r="D6725" t="str">
        <f t="shared" si="105"/>
        <v>FESP-MG3024</v>
      </c>
      <c r="E6725" t="s">
        <v>1600</v>
      </c>
    </row>
    <row r="6726" spans="1:5" hidden="1" x14ac:dyDescent="0.25">
      <c r="A6726">
        <v>4691</v>
      </c>
      <c r="B6726" t="s">
        <v>642</v>
      </c>
      <c r="C6726" t="s">
        <v>1616</v>
      </c>
      <c r="D6726" t="str">
        <f t="shared" si="105"/>
        <v>FESP-MG3025</v>
      </c>
      <c r="E6726" t="s">
        <v>1600</v>
      </c>
    </row>
    <row r="6727" spans="1:5" hidden="1" x14ac:dyDescent="0.25">
      <c r="A6727">
        <v>4691</v>
      </c>
      <c r="B6727" t="s">
        <v>642</v>
      </c>
      <c r="C6727" t="s">
        <v>466</v>
      </c>
      <c r="D6727" t="str">
        <f t="shared" si="105"/>
        <v>FESP-MG3030</v>
      </c>
      <c r="E6727" t="s">
        <v>1600</v>
      </c>
    </row>
    <row r="6728" spans="1:5" hidden="1" x14ac:dyDescent="0.25">
      <c r="A6728">
        <v>4691</v>
      </c>
      <c r="B6728" t="s">
        <v>642</v>
      </c>
      <c r="C6728" t="s">
        <v>490</v>
      </c>
      <c r="D6728" t="str">
        <f t="shared" ref="D6728:D6791" si="106">CONCATENATE(B6728,LEFT(C6728,4))</f>
        <v>FESP-MG3099</v>
      </c>
      <c r="E6728" t="s">
        <v>1600</v>
      </c>
    </row>
    <row r="6729" spans="1:5" hidden="1" x14ac:dyDescent="0.25">
      <c r="A6729">
        <v>4691</v>
      </c>
      <c r="B6729" t="s">
        <v>642</v>
      </c>
      <c r="C6729" t="s">
        <v>53</v>
      </c>
      <c r="D6729" t="str">
        <f t="shared" si="106"/>
        <v>FESP-MG3301</v>
      </c>
      <c r="E6729" t="s">
        <v>43</v>
      </c>
    </row>
    <row r="6730" spans="1:5" hidden="1" x14ac:dyDescent="0.25">
      <c r="A6730">
        <v>4691</v>
      </c>
      <c r="B6730" t="s">
        <v>642</v>
      </c>
      <c r="C6730" t="s">
        <v>1627</v>
      </c>
      <c r="D6730" t="str">
        <f t="shared" si="106"/>
        <v>FESP-MG3304</v>
      </c>
      <c r="E6730" t="s">
        <v>43</v>
      </c>
    </row>
    <row r="6731" spans="1:5" hidden="1" x14ac:dyDescent="0.25">
      <c r="A6731">
        <v>4691</v>
      </c>
      <c r="B6731" t="s">
        <v>642</v>
      </c>
      <c r="C6731" t="s">
        <v>1705</v>
      </c>
      <c r="D6731" t="str">
        <f t="shared" si="106"/>
        <v>FESP-MG3502</v>
      </c>
      <c r="E6731" t="s">
        <v>1623</v>
      </c>
    </row>
    <row r="6732" spans="1:5" hidden="1" x14ac:dyDescent="0.25">
      <c r="A6732">
        <v>4691</v>
      </c>
      <c r="B6732" t="s">
        <v>642</v>
      </c>
      <c r="C6732" t="s">
        <v>467</v>
      </c>
      <c r="D6732" t="str">
        <f t="shared" si="106"/>
        <v>FESP-MG3631</v>
      </c>
      <c r="E6732" t="s">
        <v>1645</v>
      </c>
    </row>
    <row r="6733" spans="1:5" hidden="1" x14ac:dyDescent="0.25">
      <c r="A6733">
        <v>4691</v>
      </c>
      <c r="B6733" t="s">
        <v>642</v>
      </c>
      <c r="C6733" t="s">
        <v>335</v>
      </c>
      <c r="D6733" t="str">
        <f t="shared" si="106"/>
        <v>FESP-MG3909</v>
      </c>
      <c r="E6733" t="s">
        <v>1623</v>
      </c>
    </row>
    <row r="6734" spans="1:5" hidden="1" x14ac:dyDescent="0.25">
      <c r="A6734">
        <v>4691</v>
      </c>
      <c r="B6734" t="s">
        <v>642</v>
      </c>
      <c r="C6734" t="s">
        <v>1642</v>
      </c>
      <c r="D6734" t="str">
        <f t="shared" si="106"/>
        <v>FESP-MG3921</v>
      </c>
      <c r="E6734" t="s">
        <v>2102</v>
      </c>
    </row>
    <row r="6735" spans="1:5" hidden="1" x14ac:dyDescent="0.25">
      <c r="A6735">
        <v>4691</v>
      </c>
      <c r="B6735" t="s">
        <v>642</v>
      </c>
      <c r="C6735" t="s">
        <v>1643</v>
      </c>
      <c r="D6735" t="str">
        <f t="shared" si="106"/>
        <v>FESP-MG3922</v>
      </c>
      <c r="E6735" t="s">
        <v>1611</v>
      </c>
    </row>
    <row r="6736" spans="1:5" hidden="1" x14ac:dyDescent="0.25">
      <c r="A6736">
        <v>4691</v>
      </c>
      <c r="B6736" t="s">
        <v>642</v>
      </c>
      <c r="C6736" t="s">
        <v>427</v>
      </c>
      <c r="D6736" t="str">
        <f t="shared" si="106"/>
        <v>FESP-MG3923</v>
      </c>
      <c r="E6736" t="s">
        <v>1623</v>
      </c>
    </row>
    <row r="6737" spans="1:5" hidden="1" x14ac:dyDescent="0.25">
      <c r="A6737">
        <v>4691</v>
      </c>
      <c r="B6737" t="s">
        <v>642</v>
      </c>
      <c r="C6737" t="s">
        <v>442</v>
      </c>
      <c r="D6737" t="str">
        <f t="shared" si="106"/>
        <v>FESP-MG3926</v>
      </c>
      <c r="E6737" t="s">
        <v>1646</v>
      </c>
    </row>
    <row r="6738" spans="1:5" hidden="1" x14ac:dyDescent="0.25">
      <c r="A6738">
        <v>4691</v>
      </c>
      <c r="B6738" t="s">
        <v>642</v>
      </c>
      <c r="C6738" t="s">
        <v>491</v>
      </c>
      <c r="D6738" t="str">
        <f t="shared" si="106"/>
        <v>FESP-MG3948</v>
      </c>
      <c r="E6738" t="s">
        <v>1645</v>
      </c>
    </row>
    <row r="6739" spans="1:5" hidden="1" x14ac:dyDescent="0.25">
      <c r="A6739">
        <v>4691</v>
      </c>
      <c r="B6739" t="s">
        <v>642</v>
      </c>
      <c r="C6739" t="s">
        <v>495</v>
      </c>
      <c r="D6739" t="str">
        <f t="shared" si="106"/>
        <v>FESP-MG3953</v>
      </c>
      <c r="E6739" t="s">
        <v>1645</v>
      </c>
    </row>
    <row r="6740" spans="1:5" hidden="1" x14ac:dyDescent="0.25">
      <c r="A6740">
        <v>4691</v>
      </c>
      <c r="B6740" t="s">
        <v>642</v>
      </c>
      <c r="C6740" t="s">
        <v>497</v>
      </c>
      <c r="D6740" t="str">
        <f t="shared" si="106"/>
        <v>FESP-MG3955</v>
      </c>
      <c r="E6740" t="s">
        <v>1623</v>
      </c>
    </row>
    <row r="6741" spans="1:5" hidden="1" x14ac:dyDescent="0.25">
      <c r="A6741">
        <v>4691</v>
      </c>
      <c r="B6741" t="s">
        <v>642</v>
      </c>
      <c r="C6741" t="s">
        <v>498</v>
      </c>
      <c r="D6741" t="str">
        <f t="shared" si="106"/>
        <v>FESP-MG3956</v>
      </c>
      <c r="E6741" t="s">
        <v>1623</v>
      </c>
    </row>
    <row r="6742" spans="1:5" hidden="1" x14ac:dyDescent="0.25">
      <c r="A6742">
        <v>4691</v>
      </c>
      <c r="B6742" t="s">
        <v>642</v>
      </c>
      <c r="C6742" t="s">
        <v>1664</v>
      </c>
      <c r="D6742" t="str">
        <f t="shared" si="106"/>
        <v>FESP-MG4002</v>
      </c>
      <c r="E6742" t="s">
        <v>1648</v>
      </c>
    </row>
    <row r="6743" spans="1:5" hidden="1" x14ac:dyDescent="0.25">
      <c r="A6743">
        <v>4691</v>
      </c>
      <c r="B6743" t="s">
        <v>642</v>
      </c>
      <c r="C6743" t="s">
        <v>1698</v>
      </c>
      <c r="D6743" t="str">
        <f t="shared" si="106"/>
        <v>FESP-MG4006</v>
      </c>
      <c r="E6743" t="s">
        <v>1675</v>
      </c>
    </row>
    <row r="6744" spans="1:5" hidden="1" x14ac:dyDescent="0.25">
      <c r="A6744">
        <v>4691</v>
      </c>
      <c r="B6744" t="s">
        <v>642</v>
      </c>
      <c r="C6744" t="s">
        <v>1672</v>
      </c>
      <c r="D6744" t="str">
        <f t="shared" si="106"/>
        <v>FESP-MG5103</v>
      </c>
      <c r="E6744" t="s">
        <v>1671</v>
      </c>
    </row>
    <row r="6745" spans="1:5" hidden="1" x14ac:dyDescent="0.25">
      <c r="A6745">
        <v>4691</v>
      </c>
      <c r="B6745" t="s">
        <v>642</v>
      </c>
      <c r="C6745" t="s">
        <v>172</v>
      </c>
      <c r="D6745" t="str">
        <f t="shared" si="106"/>
        <v>FESP-MG5107</v>
      </c>
      <c r="E6745" t="s">
        <v>1671</v>
      </c>
    </row>
    <row r="6746" spans="1:5" hidden="1" x14ac:dyDescent="0.25">
      <c r="A6746">
        <v>4691</v>
      </c>
      <c r="B6746" t="s">
        <v>642</v>
      </c>
      <c r="C6746" t="s">
        <v>241</v>
      </c>
      <c r="D6746" t="str">
        <f t="shared" si="106"/>
        <v>FESP-MG5201</v>
      </c>
      <c r="E6746" t="s">
        <v>1621</v>
      </c>
    </row>
    <row r="6747" spans="1:5" hidden="1" x14ac:dyDescent="0.25">
      <c r="A6747">
        <v>4691</v>
      </c>
      <c r="B6747" t="s">
        <v>642</v>
      </c>
      <c r="C6747" t="s">
        <v>287</v>
      </c>
      <c r="D6747" t="str">
        <f t="shared" si="106"/>
        <v>FESP-MG5203</v>
      </c>
      <c r="E6747" t="s">
        <v>1674</v>
      </c>
    </row>
    <row r="6748" spans="1:5" hidden="1" x14ac:dyDescent="0.25">
      <c r="A6748">
        <v>4691</v>
      </c>
      <c r="B6748" t="s">
        <v>642</v>
      </c>
      <c r="C6748" t="s">
        <v>1673</v>
      </c>
      <c r="D6748" t="str">
        <f t="shared" si="106"/>
        <v>FESP-MG5204</v>
      </c>
      <c r="E6748" t="s">
        <v>1674</v>
      </c>
    </row>
    <row r="6749" spans="1:5" hidden="1" x14ac:dyDescent="0.25">
      <c r="A6749">
        <v>4691</v>
      </c>
      <c r="B6749" t="s">
        <v>642</v>
      </c>
      <c r="C6749" t="s">
        <v>328</v>
      </c>
      <c r="D6749" t="str">
        <f t="shared" si="106"/>
        <v>FESP-MG5206</v>
      </c>
      <c r="E6749" t="s">
        <v>1675</v>
      </c>
    </row>
    <row r="6750" spans="1:5" hidden="1" x14ac:dyDescent="0.25">
      <c r="A6750">
        <v>4691</v>
      </c>
      <c r="B6750" t="s">
        <v>642</v>
      </c>
      <c r="C6750" t="s">
        <v>1676</v>
      </c>
      <c r="D6750" t="str">
        <f t="shared" si="106"/>
        <v>FESP-MG5207</v>
      </c>
      <c r="E6750" t="s">
        <v>1675</v>
      </c>
    </row>
    <row r="6751" spans="1:5" hidden="1" x14ac:dyDescent="0.25">
      <c r="A6751">
        <v>4691</v>
      </c>
      <c r="B6751" t="s">
        <v>642</v>
      </c>
      <c r="C6751" t="s">
        <v>1677</v>
      </c>
      <c r="D6751" t="str">
        <f t="shared" si="106"/>
        <v>FESP-MG5208</v>
      </c>
      <c r="E6751" t="s">
        <v>1675</v>
      </c>
    </row>
    <row r="6752" spans="1:5" hidden="1" x14ac:dyDescent="0.25">
      <c r="A6752">
        <v>4691</v>
      </c>
      <c r="B6752" t="s">
        <v>642</v>
      </c>
      <c r="C6752" t="s">
        <v>358</v>
      </c>
      <c r="D6752" t="str">
        <f t="shared" si="106"/>
        <v>FESP-MG5209</v>
      </c>
      <c r="E6752" t="s">
        <v>1674</v>
      </c>
    </row>
    <row r="6753" spans="1:5" hidden="1" x14ac:dyDescent="0.25">
      <c r="A6753">
        <v>4691</v>
      </c>
      <c r="B6753" t="s">
        <v>642</v>
      </c>
      <c r="C6753" t="s">
        <v>1678</v>
      </c>
      <c r="D6753" t="str">
        <f t="shared" si="106"/>
        <v>FESP-MG5210</v>
      </c>
      <c r="E6753" t="s">
        <v>1674</v>
      </c>
    </row>
    <row r="6754" spans="1:5" hidden="1" x14ac:dyDescent="0.25">
      <c r="A6754">
        <v>4691</v>
      </c>
      <c r="B6754" t="s">
        <v>642</v>
      </c>
      <c r="C6754" t="s">
        <v>1713</v>
      </c>
      <c r="D6754" t="str">
        <f t="shared" si="106"/>
        <v>FESP-MG5211</v>
      </c>
      <c r="E6754" t="s">
        <v>1606</v>
      </c>
    </row>
    <row r="6755" spans="1:5" hidden="1" x14ac:dyDescent="0.25">
      <c r="A6755">
        <v>4691</v>
      </c>
      <c r="B6755" t="s">
        <v>642</v>
      </c>
      <c r="C6755" t="s">
        <v>1679</v>
      </c>
      <c r="D6755" t="str">
        <f t="shared" si="106"/>
        <v>FESP-MG5212</v>
      </c>
      <c r="E6755" t="s">
        <v>1674</v>
      </c>
    </row>
    <row r="6756" spans="1:5" hidden="1" x14ac:dyDescent="0.25">
      <c r="A6756">
        <v>4691</v>
      </c>
      <c r="B6756" t="s">
        <v>642</v>
      </c>
      <c r="C6756" t="s">
        <v>384</v>
      </c>
      <c r="D6756" t="str">
        <f t="shared" si="106"/>
        <v>FESP-MG5213</v>
      </c>
      <c r="E6756" t="s">
        <v>1674</v>
      </c>
    </row>
    <row r="6757" spans="1:5" hidden="1" x14ac:dyDescent="0.25">
      <c r="A6757">
        <v>4691</v>
      </c>
      <c r="B6757" t="s">
        <v>642</v>
      </c>
      <c r="C6757" t="s">
        <v>390</v>
      </c>
      <c r="D6757" t="str">
        <f t="shared" si="106"/>
        <v>FESP-MG5214</v>
      </c>
      <c r="E6757" t="s">
        <v>1674</v>
      </c>
    </row>
    <row r="6758" spans="1:5" hidden="1" x14ac:dyDescent="0.25">
      <c r="A6758">
        <v>4691</v>
      </c>
      <c r="B6758" t="s">
        <v>642</v>
      </c>
      <c r="C6758" t="s">
        <v>408</v>
      </c>
      <c r="D6758" t="str">
        <f t="shared" si="106"/>
        <v>FESP-MG5217</v>
      </c>
      <c r="E6758" t="s">
        <v>1680</v>
      </c>
    </row>
    <row r="6759" spans="1:5" hidden="1" x14ac:dyDescent="0.25">
      <c r="A6759">
        <v>4691</v>
      </c>
      <c r="B6759" t="s">
        <v>642</v>
      </c>
      <c r="C6759" t="s">
        <v>1681</v>
      </c>
      <c r="D6759" t="str">
        <f t="shared" si="106"/>
        <v>FESP-MG5220</v>
      </c>
      <c r="E6759" t="s">
        <v>1675</v>
      </c>
    </row>
    <row r="6760" spans="1:5" hidden="1" x14ac:dyDescent="0.25">
      <c r="A6760">
        <v>4691</v>
      </c>
      <c r="B6760" t="s">
        <v>642</v>
      </c>
      <c r="C6760" t="s">
        <v>448</v>
      </c>
      <c r="D6760" t="str">
        <f t="shared" si="106"/>
        <v>FESP-MG5225</v>
      </c>
      <c r="E6760" t="s">
        <v>1674</v>
      </c>
    </row>
    <row r="6761" spans="1:5" hidden="1" x14ac:dyDescent="0.25">
      <c r="A6761">
        <v>4691</v>
      </c>
      <c r="B6761" t="s">
        <v>642</v>
      </c>
      <c r="C6761" t="s">
        <v>1682</v>
      </c>
      <c r="D6761" t="str">
        <f t="shared" si="106"/>
        <v>FESP-MG5226</v>
      </c>
      <c r="E6761" t="s">
        <v>1674</v>
      </c>
    </row>
    <row r="6762" spans="1:5" hidden="1" x14ac:dyDescent="0.25">
      <c r="A6762">
        <v>4691</v>
      </c>
      <c r="B6762" t="s">
        <v>642</v>
      </c>
      <c r="C6762" t="s">
        <v>1700</v>
      </c>
      <c r="D6762" t="str">
        <f t="shared" si="106"/>
        <v>FESP-MG5230</v>
      </c>
      <c r="E6762" t="s">
        <v>1674</v>
      </c>
    </row>
    <row r="6763" spans="1:5" hidden="1" x14ac:dyDescent="0.25">
      <c r="A6763">
        <v>4701</v>
      </c>
      <c r="B6763" t="s">
        <v>643</v>
      </c>
      <c r="C6763" t="s">
        <v>1597</v>
      </c>
      <c r="D6763" t="str">
        <f t="shared" si="106"/>
        <v>FET-MG1401</v>
      </c>
      <c r="E6763" t="s">
        <v>43</v>
      </c>
    </row>
    <row r="6764" spans="1:5" hidden="1" x14ac:dyDescent="0.25">
      <c r="A6764">
        <v>4701</v>
      </c>
      <c r="B6764" t="s">
        <v>643</v>
      </c>
      <c r="C6764" t="s">
        <v>332</v>
      </c>
      <c r="D6764" t="str">
        <f t="shared" si="106"/>
        <v>FET-MG3007</v>
      </c>
      <c r="E6764" t="s">
        <v>1600</v>
      </c>
    </row>
    <row r="6765" spans="1:5" hidden="1" x14ac:dyDescent="0.25">
      <c r="A6765">
        <v>4701</v>
      </c>
      <c r="B6765" t="s">
        <v>643</v>
      </c>
      <c r="C6765" t="s">
        <v>1609</v>
      </c>
      <c r="D6765" t="str">
        <f t="shared" si="106"/>
        <v>FET-MG3016</v>
      </c>
      <c r="E6765" t="s">
        <v>1600</v>
      </c>
    </row>
    <row r="6766" spans="1:5" hidden="1" x14ac:dyDescent="0.25">
      <c r="A6766">
        <v>4701</v>
      </c>
      <c r="B6766" t="s">
        <v>643</v>
      </c>
      <c r="C6766" t="s">
        <v>1626</v>
      </c>
      <c r="D6766" t="str">
        <f t="shared" si="106"/>
        <v>FET-MG3302</v>
      </c>
      <c r="E6766" t="s">
        <v>43</v>
      </c>
    </row>
    <row r="6767" spans="1:5" hidden="1" x14ac:dyDescent="0.25">
      <c r="A6767">
        <v>4701</v>
      </c>
      <c r="B6767" t="s">
        <v>643</v>
      </c>
      <c r="C6767" t="s">
        <v>1627</v>
      </c>
      <c r="D6767" t="str">
        <f t="shared" si="106"/>
        <v>FET-MG3304</v>
      </c>
      <c r="E6767" t="s">
        <v>43</v>
      </c>
    </row>
    <row r="6768" spans="1:5" hidden="1" x14ac:dyDescent="0.25">
      <c r="A6768">
        <v>4701</v>
      </c>
      <c r="B6768" t="s">
        <v>643</v>
      </c>
      <c r="C6768" t="s">
        <v>296</v>
      </c>
      <c r="D6768" t="str">
        <f t="shared" si="106"/>
        <v>FET-MG3604</v>
      </c>
      <c r="E6768" t="s">
        <v>43</v>
      </c>
    </row>
    <row r="6769" spans="1:5" hidden="1" x14ac:dyDescent="0.25">
      <c r="A6769">
        <v>4701</v>
      </c>
      <c r="B6769" t="s">
        <v>643</v>
      </c>
      <c r="C6769" t="s">
        <v>1634</v>
      </c>
      <c r="D6769" t="str">
        <f t="shared" si="106"/>
        <v>FET-MG3903</v>
      </c>
      <c r="E6769" t="s">
        <v>1623</v>
      </c>
    </row>
    <row r="6770" spans="1:5" hidden="1" x14ac:dyDescent="0.25">
      <c r="A6770">
        <v>4701</v>
      </c>
      <c r="B6770" t="s">
        <v>643</v>
      </c>
      <c r="C6770" t="s">
        <v>1654</v>
      </c>
      <c r="D6770" t="str">
        <f t="shared" si="106"/>
        <v>FET-MG3943</v>
      </c>
      <c r="E6770" t="s">
        <v>1615</v>
      </c>
    </row>
    <row r="6771" spans="1:5" hidden="1" x14ac:dyDescent="0.25">
      <c r="A6771">
        <v>4701</v>
      </c>
      <c r="B6771" t="s">
        <v>643</v>
      </c>
      <c r="C6771" t="s">
        <v>1715</v>
      </c>
      <c r="D6771" t="str">
        <f t="shared" si="106"/>
        <v>FET-MG3949</v>
      </c>
      <c r="E6771" t="s">
        <v>1645</v>
      </c>
    </row>
    <row r="6772" spans="1:5" hidden="1" x14ac:dyDescent="0.25">
      <c r="A6772">
        <v>4701</v>
      </c>
      <c r="B6772" t="s">
        <v>643</v>
      </c>
      <c r="C6772" t="s">
        <v>1701</v>
      </c>
      <c r="D6772" t="str">
        <f t="shared" si="106"/>
        <v>FET-MG3952</v>
      </c>
      <c r="E6772" t="s">
        <v>64</v>
      </c>
    </row>
    <row r="6773" spans="1:5" hidden="1" x14ac:dyDescent="0.25">
      <c r="A6773">
        <v>4701</v>
      </c>
      <c r="B6773" t="s">
        <v>643</v>
      </c>
      <c r="C6773" t="s">
        <v>1709</v>
      </c>
      <c r="D6773" t="str">
        <f t="shared" si="106"/>
        <v>FET-MG3960</v>
      </c>
      <c r="E6773" t="s">
        <v>102</v>
      </c>
    </row>
    <row r="6774" spans="1:5" hidden="1" x14ac:dyDescent="0.25">
      <c r="A6774">
        <v>4701</v>
      </c>
      <c r="B6774" t="s">
        <v>643</v>
      </c>
      <c r="C6774" t="s">
        <v>1665</v>
      </c>
      <c r="D6774" t="str">
        <f t="shared" si="106"/>
        <v>FET-MG4003</v>
      </c>
      <c r="E6774" t="s">
        <v>93</v>
      </c>
    </row>
    <row r="6775" spans="1:5" hidden="1" x14ac:dyDescent="0.25">
      <c r="A6775">
        <v>4711</v>
      </c>
      <c r="B6775" t="e">
        <v>#N/A</v>
      </c>
      <c r="C6775" t="s">
        <v>1597</v>
      </c>
      <c r="D6775" t="e">
        <f t="shared" si="106"/>
        <v>#N/A</v>
      </c>
      <c r="E6775" t="s">
        <v>43</v>
      </c>
    </row>
    <row r="6776" spans="1:5" hidden="1" x14ac:dyDescent="0.25">
      <c r="A6776">
        <v>4711</v>
      </c>
      <c r="B6776" t="e">
        <v>#N/A</v>
      </c>
      <c r="C6776" t="s">
        <v>1617</v>
      </c>
      <c r="D6776" t="e">
        <f t="shared" si="106"/>
        <v>#N/A</v>
      </c>
      <c r="E6776" t="s">
        <v>1615</v>
      </c>
    </row>
    <row r="6777" spans="1:5" hidden="1" x14ac:dyDescent="0.25">
      <c r="A6777">
        <v>4711</v>
      </c>
      <c r="B6777" t="e">
        <v>#N/A</v>
      </c>
      <c r="C6777" t="s">
        <v>1626</v>
      </c>
      <c r="D6777" t="e">
        <f t="shared" si="106"/>
        <v>#N/A</v>
      </c>
      <c r="E6777" t="s">
        <v>43</v>
      </c>
    </row>
    <row r="6778" spans="1:5" hidden="1" x14ac:dyDescent="0.25">
      <c r="A6778">
        <v>4711</v>
      </c>
      <c r="B6778" t="e">
        <v>#N/A</v>
      </c>
      <c r="C6778" t="s">
        <v>1627</v>
      </c>
      <c r="D6778" t="e">
        <f t="shared" si="106"/>
        <v>#N/A</v>
      </c>
      <c r="E6778" t="s">
        <v>43</v>
      </c>
    </row>
    <row r="6779" spans="1:5" hidden="1" x14ac:dyDescent="0.25">
      <c r="A6779">
        <v>4711</v>
      </c>
      <c r="B6779" t="e">
        <v>#N/A</v>
      </c>
      <c r="C6779" t="s">
        <v>1705</v>
      </c>
      <c r="D6779" t="e">
        <f t="shared" si="106"/>
        <v>#N/A</v>
      </c>
      <c r="E6779" t="s">
        <v>1623</v>
      </c>
    </row>
    <row r="6780" spans="1:5" hidden="1" x14ac:dyDescent="0.25">
      <c r="A6780">
        <v>4711</v>
      </c>
      <c r="B6780" t="e">
        <v>#N/A</v>
      </c>
      <c r="C6780" t="s">
        <v>1628</v>
      </c>
      <c r="D6780" t="e">
        <f t="shared" si="106"/>
        <v>#N/A</v>
      </c>
      <c r="E6780" t="s">
        <v>1623</v>
      </c>
    </row>
    <row r="6781" spans="1:5" hidden="1" x14ac:dyDescent="0.25">
      <c r="A6781">
        <v>4711</v>
      </c>
      <c r="B6781" t="e">
        <v>#N/A</v>
      </c>
      <c r="C6781" t="s">
        <v>1693</v>
      </c>
      <c r="D6781" t="e">
        <f t="shared" si="106"/>
        <v>#N/A</v>
      </c>
      <c r="E6781" t="s">
        <v>1630</v>
      </c>
    </row>
    <row r="6782" spans="1:5" hidden="1" x14ac:dyDescent="0.25">
      <c r="A6782">
        <v>4711</v>
      </c>
      <c r="B6782" t="e">
        <v>#N/A</v>
      </c>
      <c r="C6782" t="s">
        <v>1632</v>
      </c>
      <c r="D6782" t="e">
        <f t="shared" si="106"/>
        <v>#N/A</v>
      </c>
      <c r="E6782" t="s">
        <v>116</v>
      </c>
    </row>
    <row r="6783" spans="1:5" hidden="1" x14ac:dyDescent="0.25">
      <c r="A6783">
        <v>4711</v>
      </c>
      <c r="B6783" t="e">
        <v>#N/A</v>
      </c>
      <c r="C6783" t="s">
        <v>1633</v>
      </c>
      <c r="D6783" t="e">
        <f t="shared" si="106"/>
        <v>#N/A</v>
      </c>
      <c r="E6783" t="s">
        <v>116</v>
      </c>
    </row>
    <row r="6784" spans="1:5" hidden="1" x14ac:dyDescent="0.25">
      <c r="A6784">
        <v>4711</v>
      </c>
      <c r="B6784" t="e">
        <v>#N/A</v>
      </c>
      <c r="C6784" t="s">
        <v>383</v>
      </c>
      <c r="D6784" t="e">
        <f t="shared" si="106"/>
        <v>#N/A</v>
      </c>
      <c r="E6784" t="s">
        <v>1637</v>
      </c>
    </row>
    <row r="6785" spans="1:5" hidden="1" x14ac:dyDescent="0.25">
      <c r="A6785">
        <v>4711</v>
      </c>
      <c r="B6785" t="e">
        <v>#N/A</v>
      </c>
      <c r="C6785" t="s">
        <v>1644</v>
      </c>
      <c r="D6785" t="e">
        <f t="shared" si="106"/>
        <v>#N/A</v>
      </c>
      <c r="E6785" t="s">
        <v>1645</v>
      </c>
    </row>
    <row r="6786" spans="1:5" hidden="1" x14ac:dyDescent="0.25">
      <c r="A6786">
        <v>4711</v>
      </c>
      <c r="B6786" t="e">
        <v>#N/A</v>
      </c>
      <c r="C6786" t="s">
        <v>479</v>
      </c>
      <c r="D6786" t="e">
        <f t="shared" si="106"/>
        <v>#N/A</v>
      </c>
      <c r="E6786" t="s">
        <v>1623</v>
      </c>
    </row>
    <row r="6787" spans="1:5" hidden="1" x14ac:dyDescent="0.25">
      <c r="A6787">
        <v>4711</v>
      </c>
      <c r="B6787" t="e">
        <v>#N/A</v>
      </c>
      <c r="C6787" t="s">
        <v>1701</v>
      </c>
      <c r="D6787" t="e">
        <f t="shared" si="106"/>
        <v>#N/A</v>
      </c>
      <c r="E6787" t="s">
        <v>64</v>
      </c>
    </row>
    <row r="6788" spans="1:5" hidden="1" x14ac:dyDescent="0.25">
      <c r="A6788">
        <v>4711</v>
      </c>
      <c r="B6788" t="e">
        <v>#N/A</v>
      </c>
      <c r="C6788" t="s">
        <v>1709</v>
      </c>
      <c r="D6788" t="e">
        <f t="shared" si="106"/>
        <v>#N/A</v>
      </c>
      <c r="E6788" t="s">
        <v>102</v>
      </c>
    </row>
    <row r="6789" spans="1:5" hidden="1" x14ac:dyDescent="0.25">
      <c r="A6789">
        <v>4711</v>
      </c>
      <c r="B6789" t="e">
        <v>#N/A</v>
      </c>
      <c r="C6789" t="s">
        <v>519</v>
      </c>
      <c r="D6789" t="e">
        <f t="shared" si="106"/>
        <v>#N/A</v>
      </c>
      <c r="E6789" t="s">
        <v>102</v>
      </c>
    </row>
    <row r="6790" spans="1:5" hidden="1" x14ac:dyDescent="0.25">
      <c r="A6790">
        <v>4711</v>
      </c>
      <c r="B6790" t="e">
        <v>#N/A</v>
      </c>
      <c r="C6790" t="s">
        <v>1663</v>
      </c>
      <c r="D6790" t="e">
        <f t="shared" si="106"/>
        <v>#N/A</v>
      </c>
      <c r="E6790" t="s">
        <v>1623</v>
      </c>
    </row>
    <row r="6791" spans="1:5" hidden="1" x14ac:dyDescent="0.25">
      <c r="A6791">
        <v>4711</v>
      </c>
      <c r="B6791" t="e">
        <v>#N/A</v>
      </c>
      <c r="C6791" t="s">
        <v>1664</v>
      </c>
      <c r="D6791" t="e">
        <f t="shared" si="106"/>
        <v>#N/A</v>
      </c>
      <c r="E6791" t="s">
        <v>1648</v>
      </c>
    </row>
    <row r="6792" spans="1:5" hidden="1" x14ac:dyDescent="0.25">
      <c r="A6792">
        <v>4711</v>
      </c>
      <c r="B6792" t="e">
        <v>#N/A</v>
      </c>
      <c r="C6792" t="s">
        <v>1665</v>
      </c>
      <c r="D6792" t="e">
        <f t="shared" ref="D6792:D6798" si="107">CONCATENATE(B6792,LEFT(C6792,4))</f>
        <v>#N/A</v>
      </c>
      <c r="E6792" t="s">
        <v>93</v>
      </c>
    </row>
    <row r="6793" spans="1:5" hidden="1" x14ac:dyDescent="0.25">
      <c r="A6793">
        <v>4711</v>
      </c>
      <c r="B6793" t="e">
        <v>#N/A</v>
      </c>
      <c r="C6793" t="s">
        <v>1666</v>
      </c>
      <c r="D6793" t="e">
        <f t="shared" si="107"/>
        <v>#N/A</v>
      </c>
      <c r="E6793" t="s">
        <v>1648</v>
      </c>
    </row>
    <row r="6794" spans="1:5" hidden="1" x14ac:dyDescent="0.25">
      <c r="A6794">
        <v>4711</v>
      </c>
      <c r="B6794" t="e">
        <v>#N/A</v>
      </c>
      <c r="C6794" t="s">
        <v>1698</v>
      </c>
      <c r="D6794" t="e">
        <f t="shared" si="107"/>
        <v>#N/A</v>
      </c>
      <c r="E6794" t="s">
        <v>1675</v>
      </c>
    </row>
    <row r="6795" spans="1:5" hidden="1" x14ac:dyDescent="0.25">
      <c r="A6795">
        <v>4711</v>
      </c>
      <c r="B6795" t="e">
        <v>#N/A</v>
      </c>
      <c r="C6795" t="s">
        <v>1699</v>
      </c>
      <c r="D6795" t="e">
        <f t="shared" si="107"/>
        <v>#N/A</v>
      </c>
      <c r="E6795" t="s">
        <v>93</v>
      </c>
    </row>
    <row r="6796" spans="1:5" hidden="1" x14ac:dyDescent="0.25">
      <c r="A6796">
        <v>4711</v>
      </c>
      <c r="B6796" t="e">
        <v>#N/A</v>
      </c>
      <c r="C6796" t="s">
        <v>1676</v>
      </c>
      <c r="D6796" t="e">
        <f t="shared" si="107"/>
        <v>#N/A</v>
      </c>
      <c r="E6796" t="s">
        <v>1675</v>
      </c>
    </row>
    <row r="6797" spans="1:5" hidden="1" x14ac:dyDescent="0.25">
      <c r="A6797">
        <v>4711</v>
      </c>
      <c r="B6797" t="e">
        <v>#N/A</v>
      </c>
      <c r="C6797" t="s">
        <v>366</v>
      </c>
      <c r="D6797" t="e">
        <f t="shared" si="107"/>
        <v>#N/A</v>
      </c>
      <c r="E6797" t="s">
        <v>1623</v>
      </c>
    </row>
    <row r="6798" spans="1:5" hidden="1" x14ac:dyDescent="0.25">
      <c r="A6798">
        <v>4711</v>
      </c>
      <c r="B6798" t="e">
        <v>#N/A</v>
      </c>
      <c r="C6798" t="s">
        <v>1687</v>
      </c>
      <c r="D6798" t="e">
        <f t="shared" si="107"/>
        <v>#N/A</v>
      </c>
      <c r="E6798" t="s">
        <v>1623</v>
      </c>
    </row>
  </sheetData>
  <autoFilter ref="A1:E6798">
    <filterColumn colId="0">
      <filters>
        <filter val="1451"/>
      </filters>
    </filterColumn>
    <filterColumn colId="4">
      <filters>
        <filter val="Gestão de equipamentos"/>
      </filters>
    </filterColumn>
  </autoFilter>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2"/>
  <sheetViews>
    <sheetView workbookViewId="0">
      <selection activeCell="S7" sqref="S7"/>
    </sheetView>
  </sheetViews>
  <sheetFormatPr defaultRowHeight="15" x14ac:dyDescent="0.25"/>
  <cols>
    <col min="1" max="1" width="25" bestFit="1" customWidth="1"/>
  </cols>
  <sheetData>
    <row r="1" spans="1:1" x14ac:dyDescent="0.25">
      <c r="A1" t="s">
        <v>1883</v>
      </c>
    </row>
    <row r="2" spans="1:1" x14ac:dyDescent="0.25">
      <c r="A2" t="s">
        <v>1884</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S37"/>
  <sheetViews>
    <sheetView topLeftCell="K1" workbookViewId="0">
      <selection activeCell="S7" sqref="S7"/>
    </sheetView>
  </sheetViews>
  <sheetFormatPr defaultRowHeight="15" x14ac:dyDescent="0.25"/>
  <sheetData>
    <row r="1" spans="1:19" s="4" customFormat="1" x14ac:dyDescent="0.25">
      <c r="A1" s="3" t="s">
        <v>540</v>
      </c>
      <c r="B1" s="3" t="s">
        <v>541</v>
      </c>
      <c r="C1" s="3" t="s">
        <v>542</v>
      </c>
      <c r="D1" s="3" t="s">
        <v>1885</v>
      </c>
      <c r="E1" s="3" t="s">
        <v>562</v>
      </c>
      <c r="F1" s="3" t="s">
        <v>37</v>
      </c>
      <c r="G1" s="3" t="s">
        <v>550</v>
      </c>
      <c r="H1" s="3" t="s">
        <v>552</v>
      </c>
      <c r="I1" s="3" t="s">
        <v>558</v>
      </c>
      <c r="J1" s="3" t="s">
        <v>565</v>
      </c>
      <c r="K1" s="3" t="s">
        <v>566</v>
      </c>
      <c r="L1" s="3" t="s">
        <v>567</v>
      </c>
      <c r="M1" s="3" t="s">
        <v>568</v>
      </c>
      <c r="N1" s="3" t="s">
        <v>569</v>
      </c>
      <c r="O1" s="3" t="s">
        <v>572</v>
      </c>
      <c r="P1" s="3" t="s">
        <v>573</v>
      </c>
      <c r="Q1" s="3" t="s">
        <v>583</v>
      </c>
      <c r="R1" s="4" t="s">
        <v>551</v>
      </c>
      <c r="S1" s="4" t="s">
        <v>553</v>
      </c>
    </row>
    <row r="2" spans="1:19" s="10" customFormat="1" x14ac:dyDescent="0.25">
      <c r="A2" s="8" t="s">
        <v>1886</v>
      </c>
      <c r="B2" s="8" t="s">
        <v>1886</v>
      </c>
      <c r="C2" s="8" t="s">
        <v>1887</v>
      </c>
      <c r="D2" s="8" t="s">
        <v>1886</v>
      </c>
      <c r="E2" s="8" t="s">
        <v>1888</v>
      </c>
      <c r="F2" s="8" t="s">
        <v>1886</v>
      </c>
      <c r="G2" s="8" t="s">
        <v>1886</v>
      </c>
      <c r="H2" s="8" t="s">
        <v>1889</v>
      </c>
      <c r="I2" s="8" t="s">
        <v>1886</v>
      </c>
      <c r="J2" s="8" t="s">
        <v>1890</v>
      </c>
      <c r="K2" s="8" t="s">
        <v>1891</v>
      </c>
      <c r="L2" s="8" t="s">
        <v>1886</v>
      </c>
      <c r="M2" s="8" t="s">
        <v>1892</v>
      </c>
      <c r="N2" s="8" t="s">
        <v>1893</v>
      </c>
      <c r="O2" s="8" t="s">
        <v>1893</v>
      </c>
      <c r="P2" s="8" t="s">
        <v>1893</v>
      </c>
      <c r="Q2" s="8" t="s">
        <v>1886</v>
      </c>
      <c r="R2" s="10" t="s">
        <v>1886</v>
      </c>
      <c r="S2" s="10" t="s">
        <v>1886</v>
      </c>
    </row>
    <row r="3" spans="1:19" x14ac:dyDescent="0.25">
      <c r="A3" s="8" t="s">
        <v>1893</v>
      </c>
      <c r="B3" s="8" t="s">
        <v>1893</v>
      </c>
      <c r="C3" s="8" t="s">
        <v>1893</v>
      </c>
      <c r="D3" s="8" t="s">
        <v>1893</v>
      </c>
      <c r="E3" s="8"/>
      <c r="F3" s="8" t="s">
        <v>1893</v>
      </c>
      <c r="G3" s="8" t="s">
        <v>1893</v>
      </c>
      <c r="H3" s="8" t="s">
        <v>1893</v>
      </c>
      <c r="I3" s="8" t="s">
        <v>1894</v>
      </c>
      <c r="J3" s="8" t="s">
        <v>1895</v>
      </c>
      <c r="K3" s="8" t="s">
        <v>1892</v>
      </c>
      <c r="L3" s="8" t="s">
        <v>1894</v>
      </c>
      <c r="M3" s="8" t="s">
        <v>1893</v>
      </c>
      <c r="N3" s="8" t="s">
        <v>1896</v>
      </c>
      <c r="Q3" s="8" t="s">
        <v>1897</v>
      </c>
      <c r="R3" s="8" t="s">
        <v>1887</v>
      </c>
      <c r="S3" s="8" t="s">
        <v>1898</v>
      </c>
    </row>
    <row r="4" spans="1:19" x14ac:dyDescent="0.25">
      <c r="A4" s="8"/>
      <c r="B4" s="9"/>
      <c r="D4" s="8" t="s">
        <v>1899</v>
      </c>
      <c r="F4" t="s">
        <v>1894</v>
      </c>
      <c r="H4" s="8" t="s">
        <v>1900</v>
      </c>
      <c r="I4" s="8" t="s">
        <v>1893</v>
      </c>
      <c r="K4" s="8" t="s">
        <v>1889</v>
      </c>
      <c r="L4" s="8" t="s">
        <v>1893</v>
      </c>
      <c r="M4" s="8" t="s">
        <v>1901</v>
      </c>
      <c r="N4" s="8" t="s">
        <v>1902</v>
      </c>
      <c r="Q4" s="8" t="s">
        <v>1894</v>
      </c>
      <c r="S4" t="s">
        <v>1890</v>
      </c>
    </row>
    <row r="5" spans="1:19" x14ac:dyDescent="0.25">
      <c r="A5" s="8"/>
      <c r="B5" s="9"/>
      <c r="D5" s="8" t="s">
        <v>1896</v>
      </c>
      <c r="H5" s="8" t="s">
        <v>1896</v>
      </c>
      <c r="K5" s="8" t="s">
        <v>1893</v>
      </c>
      <c r="M5" s="8" t="s">
        <v>1900</v>
      </c>
      <c r="Q5" s="8" t="s">
        <v>1893</v>
      </c>
    </row>
    <row r="6" spans="1:19" x14ac:dyDescent="0.25">
      <c r="A6" s="8"/>
      <c r="B6" s="9"/>
      <c r="D6" s="8" t="s">
        <v>1903</v>
      </c>
      <c r="K6" s="8" t="s">
        <v>1901</v>
      </c>
      <c r="M6" s="8" t="s">
        <v>1896</v>
      </c>
      <c r="Q6" s="8" t="s">
        <v>1890</v>
      </c>
    </row>
    <row r="7" spans="1:19" x14ac:dyDescent="0.25">
      <c r="A7" s="8"/>
      <c r="B7" s="9"/>
      <c r="D7" s="8" t="s">
        <v>1904</v>
      </c>
      <c r="K7" s="8" t="s">
        <v>1900</v>
      </c>
      <c r="Q7" s="8" t="s">
        <v>1895</v>
      </c>
    </row>
    <row r="8" spans="1:19" x14ac:dyDescent="0.25">
      <c r="A8" s="8"/>
      <c r="B8" s="9"/>
      <c r="D8" s="8" t="s">
        <v>1902</v>
      </c>
      <c r="K8" s="8" t="s">
        <v>1896</v>
      </c>
    </row>
    <row r="9" spans="1:19" x14ac:dyDescent="0.25">
      <c r="A9" s="8"/>
      <c r="B9" s="9"/>
      <c r="D9" s="8" t="s">
        <v>1905</v>
      </c>
    </row>
    <row r="10" spans="1:19" x14ac:dyDescent="0.25">
      <c r="A10" s="8"/>
      <c r="B10" s="9"/>
      <c r="D10" s="8" t="s">
        <v>1906</v>
      </c>
    </row>
    <row r="11" spans="1:19" x14ac:dyDescent="0.25">
      <c r="A11" s="8"/>
      <c r="B11" s="9"/>
    </row>
    <row r="12" spans="1:19" x14ac:dyDescent="0.25">
      <c r="A12" s="8"/>
      <c r="B12" s="9"/>
    </row>
    <row r="13" spans="1:19" x14ac:dyDescent="0.25">
      <c r="A13" s="8"/>
      <c r="B13" s="9"/>
    </row>
    <row r="14" spans="1:19" x14ac:dyDescent="0.25">
      <c r="A14" s="8"/>
      <c r="B14" s="9"/>
    </row>
    <row r="15" spans="1:19" x14ac:dyDescent="0.25">
      <c r="A15" s="8"/>
      <c r="B15" s="9"/>
    </row>
    <row r="16" spans="1:19" x14ac:dyDescent="0.25">
      <c r="A16" s="8"/>
      <c r="B16" s="9"/>
    </row>
    <row r="17" spans="1:2" x14ac:dyDescent="0.25">
      <c r="A17" s="8"/>
      <c r="B17" s="9"/>
    </row>
    <row r="18" spans="1:2" x14ac:dyDescent="0.25">
      <c r="A18" s="8"/>
      <c r="B18" s="9"/>
    </row>
    <row r="19" spans="1:2" x14ac:dyDescent="0.25">
      <c r="A19" s="8"/>
      <c r="B19" s="9"/>
    </row>
    <row r="20" spans="1:2" x14ac:dyDescent="0.25">
      <c r="A20" s="8"/>
      <c r="B20" s="9"/>
    </row>
    <row r="21" spans="1:2" x14ac:dyDescent="0.25">
      <c r="A21" s="8"/>
      <c r="B21" s="9"/>
    </row>
    <row r="22" spans="1:2" x14ac:dyDescent="0.25">
      <c r="A22" s="8"/>
      <c r="B22" s="9"/>
    </row>
    <row r="23" spans="1:2" x14ac:dyDescent="0.25">
      <c r="A23" s="8"/>
      <c r="B23" s="9"/>
    </row>
    <row r="24" spans="1:2" x14ac:dyDescent="0.25">
      <c r="A24" s="8"/>
      <c r="B24" s="9"/>
    </row>
    <row r="25" spans="1:2" x14ac:dyDescent="0.25">
      <c r="A25" s="8"/>
      <c r="B25" s="9"/>
    </row>
    <row r="26" spans="1:2" x14ac:dyDescent="0.25">
      <c r="A26" s="8"/>
      <c r="B26" s="9"/>
    </row>
    <row r="27" spans="1:2" x14ac:dyDescent="0.25">
      <c r="A27" s="8"/>
      <c r="B27" s="9"/>
    </row>
    <row r="28" spans="1:2" x14ac:dyDescent="0.25">
      <c r="A28" s="8"/>
      <c r="B28" s="9"/>
    </row>
    <row r="29" spans="1:2" x14ac:dyDescent="0.25">
      <c r="A29" s="8"/>
      <c r="B29" s="9"/>
    </row>
    <row r="30" spans="1:2" x14ac:dyDescent="0.25">
      <c r="A30" s="8"/>
      <c r="B30" s="9"/>
    </row>
    <row r="31" spans="1:2" x14ac:dyDescent="0.25">
      <c r="A31" s="8"/>
      <c r="B31" s="9"/>
    </row>
    <row r="32" spans="1:2" x14ac:dyDescent="0.25">
      <c r="A32" s="8"/>
      <c r="B32" s="9"/>
    </row>
    <row r="33" spans="1:2" x14ac:dyDescent="0.25">
      <c r="A33" s="8"/>
      <c r="B33" s="9"/>
    </row>
    <row r="34" spans="1:2" x14ac:dyDescent="0.25">
      <c r="A34" s="8"/>
      <c r="B34" s="9"/>
    </row>
    <row r="35" spans="1:2" x14ac:dyDescent="0.25">
      <c r="A35" s="8"/>
      <c r="B35" s="9"/>
    </row>
    <row r="36" spans="1:2" x14ac:dyDescent="0.25">
      <c r="A36" s="8"/>
      <c r="B36" s="9"/>
    </row>
    <row r="37" spans="1:2" x14ac:dyDescent="0.25">
      <c r="A37" s="8"/>
      <c r="B37" s="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SharedWithUsers xmlns="b91e7f20-fe0a-487d-91a9-605ac1c64acf">
      <UserInfo>
        <DisplayName>Carlos Henrique de Oliveira Brochado (SEPLAG)</DisplayName>
        <AccountId>49</AccountId>
        <AccountType/>
      </UserInfo>
      <UserInfo>
        <DisplayName>Bruno Henrique de Oliveira Rosa (SEPLAG)</DisplayName>
        <AccountId>82</AccountId>
        <AccountType/>
      </UserInfo>
      <UserInfo>
        <DisplayName>Henrique de Souza Linhares (SEPLAG)</DisplayName>
        <AccountId>64</AccountId>
        <AccountType/>
      </UserInfo>
      <UserInfo>
        <DisplayName>Andrey Morais Labanca SEPLAG</DisplayName>
        <AccountId>179</AccountId>
        <AccountType/>
      </UserInfo>
      <UserInfo>
        <DisplayName>Francisco Alves de Oliveira Júnior (SEPLAG)</DisplayName>
        <AccountId>146</AccountId>
        <AccountType/>
      </UserInfo>
      <UserInfo>
        <DisplayName>Andrea Regina Do Carmo (SEPLAG)</DisplayName>
        <AccountId>90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b1e0f6055e0e9a4b9e75d6c71ee7de9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b43930f3490e4d4da1ab3f8da7df6f51"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74AC47-91D3-42B6-AA6E-86C16E8F23BF}">
  <ds:schemaRefs>
    <ds:schemaRef ds:uri="http://schemas.microsoft.com/sharepoint/v3/contenttype/forms"/>
  </ds:schemaRefs>
</ds:datastoreItem>
</file>

<file path=customXml/itemProps2.xml><?xml version="1.0" encoding="utf-8"?>
<ds:datastoreItem xmlns:ds="http://schemas.openxmlformats.org/officeDocument/2006/customXml" ds:itemID="{0F30BC36-BB9F-45A2-AF0E-C45953D37D4A}">
  <ds:schemaRefs>
    <ds:schemaRef ds:uri="http://purl.org/dc/dcmitype/"/>
    <ds:schemaRef ds:uri="b91e7f20-fe0a-487d-91a9-605ac1c64acf"/>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6f4338ef-addb-4c87-aefe-1895241b335f"/>
    <ds:schemaRef ds:uri="http://www.w3.org/XML/1998/namespace"/>
    <ds:schemaRef ds:uri="http://purl.org/dc/terms/"/>
  </ds:schemaRefs>
</ds:datastoreItem>
</file>

<file path=customXml/itemProps3.xml><?xml version="1.0" encoding="utf-8"?>
<ds:datastoreItem xmlns:ds="http://schemas.openxmlformats.org/officeDocument/2006/customXml" ds:itemID="{514C17CF-5053-476C-81DB-A936F0C291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336</vt:i4>
      </vt:variant>
    </vt:vector>
  </HeadingPairs>
  <TitlesOfParts>
    <vt:vector size="350" baseType="lpstr">
      <vt:lpstr>INDICE</vt:lpstr>
      <vt:lpstr>BASE OBZ - EXEMPLO</vt:lpstr>
      <vt:lpstr>EXEMPLO PREENCHIMENTO OBZ</vt:lpstr>
      <vt:lpstr>PONTOS IMPORTANTES</vt:lpstr>
      <vt:lpstr>ELEMENTO</vt:lpstr>
      <vt:lpstr>DECRETO DIÁRIAS</vt:lpstr>
      <vt:lpstr>ORGANOGRAMA</vt:lpstr>
      <vt:lpstr>CENÁRIO</vt:lpstr>
      <vt:lpstr>Planilha1</vt:lpstr>
      <vt:lpstr>BASE OBZ</vt:lpstr>
      <vt:lpstr>AÇÕES E PROGRAMAS</vt:lpstr>
      <vt:lpstr>AGRUPAMENTO</vt:lpstr>
      <vt:lpstr>FONTE 2.0</vt:lpstr>
      <vt:lpstr>FONTE 1.0</vt:lpstr>
      <vt:lpstr>AGEPROG</vt:lpstr>
      <vt:lpstr>ARMBHPROG</vt:lpstr>
      <vt:lpstr>ARMVAPROG</vt:lpstr>
      <vt:lpstr>ARSAEPROG</vt:lpstr>
      <vt:lpstr>ARTEMIGPROG</vt:lpstr>
      <vt:lpstr>CBMMGPROG</vt:lpstr>
      <vt:lpstr>CGEPROG</vt:lpstr>
      <vt:lpstr>DERPROG</vt:lpstr>
      <vt:lpstr>EAGE</vt:lpstr>
      <vt:lpstr>EGMG</vt:lpstr>
      <vt:lpstr>ELEMENTO</vt:lpstr>
      <vt:lpstr>EMATERPROG</vt:lpstr>
      <vt:lpstr>EMCPROG</vt:lpstr>
      <vt:lpstr>EOGE</vt:lpstr>
      <vt:lpstr>EPAMIGPROG</vt:lpstr>
      <vt:lpstr>EPMMG</vt:lpstr>
      <vt:lpstr>ESEAPA</vt:lpstr>
      <vt:lpstr>ESEDE</vt:lpstr>
      <vt:lpstr>ESEE</vt:lpstr>
      <vt:lpstr>ESEF</vt:lpstr>
      <vt:lpstr>ESPMGPROG</vt:lpstr>
      <vt:lpstr>FAOPPROG</vt:lpstr>
      <vt:lpstr>FAPEMIGPROG</vt:lpstr>
      <vt:lpstr>FCSPROG</vt:lpstr>
      <vt:lpstr>FDMPROG</vt:lpstr>
      <vt:lpstr>FEAMPROG</vt:lpstr>
      <vt:lpstr>FEASPROG</vt:lpstr>
      <vt:lpstr>FESPROG</vt:lpstr>
      <vt:lpstr>FHAPROG</vt:lpstr>
      <vt:lpstr>FHEMIGPROG</vt:lpstr>
      <vt:lpstr>FHIDROPROG</vt:lpstr>
      <vt:lpstr>FJPPROG</vt:lpstr>
      <vt:lpstr>FONTEARMBH</vt:lpstr>
      <vt:lpstr>FONTEARMVA</vt:lpstr>
      <vt:lpstr>FONTEARSAE</vt:lpstr>
      <vt:lpstr>FONTEDER</vt:lpstr>
      <vt:lpstr>FONTEFAOP</vt:lpstr>
      <vt:lpstr>FONTEFCS</vt:lpstr>
      <vt:lpstr>FONTEFDM</vt:lpstr>
      <vt:lpstr>FONTEFEAM</vt:lpstr>
      <vt:lpstr>FONTEFEAS</vt:lpstr>
      <vt:lpstr>FONTEFJP</vt:lpstr>
      <vt:lpstr>FONTEFUNTRANS</vt:lpstr>
      <vt:lpstr>FONTEIDENE</vt:lpstr>
      <vt:lpstr>FONTEIEF</vt:lpstr>
      <vt:lpstr>FONTEIEPHA</vt:lpstr>
      <vt:lpstr>FONTEIGAM</vt:lpstr>
      <vt:lpstr>FONTEIMA</vt:lpstr>
      <vt:lpstr>FONTEJUCEMG</vt:lpstr>
      <vt:lpstr>FONTELEMG</vt:lpstr>
      <vt:lpstr>FONTESEDESE</vt:lpstr>
      <vt:lpstr>FUCAMPROG</vt:lpstr>
      <vt:lpstr>FUNAPECPROG</vt:lpstr>
      <vt:lpstr>FUNEDPROG</vt:lpstr>
      <vt:lpstr>FUNTRANSPROG</vt:lpstr>
      <vt:lpstr>GMGPROG</vt:lpstr>
      <vt:lpstr>HEMOMINASPROG</vt:lpstr>
      <vt:lpstr>IDENEPROG</vt:lpstr>
      <vt:lpstr>IEFPROG</vt:lpstr>
      <vt:lpstr>IEPHAPROG</vt:lpstr>
      <vt:lpstr>IGAMPROG</vt:lpstr>
      <vt:lpstr>IMAPROG</vt:lpstr>
      <vt:lpstr>IPSEMGPROG</vt:lpstr>
      <vt:lpstr>IPSMPROG</vt:lpstr>
      <vt:lpstr>JUCEMGPROG</vt:lpstr>
      <vt:lpstr>LEMGPROG</vt:lpstr>
      <vt:lpstr>OGEPROG</vt:lpstr>
      <vt:lpstr>P001CGE</vt:lpstr>
      <vt:lpstr>P002CGE</vt:lpstr>
      <vt:lpstr>P003CGE</vt:lpstr>
      <vt:lpstr>P004CGE</vt:lpstr>
      <vt:lpstr>P005FCS</vt:lpstr>
      <vt:lpstr>P005FUCAM</vt:lpstr>
      <vt:lpstr>P005SCC</vt:lpstr>
      <vt:lpstr>P005SEDESE</vt:lpstr>
      <vt:lpstr>P005SEE</vt:lpstr>
      <vt:lpstr>P006IPSM</vt:lpstr>
      <vt:lpstr>P007UNIMONTES</vt:lpstr>
      <vt:lpstr>P008IPSM</vt:lpstr>
      <vt:lpstr>P010ARSAE</vt:lpstr>
      <vt:lpstr>P011SEC.GERAL</vt:lpstr>
      <vt:lpstr>P015EPAMIG</vt:lpstr>
      <vt:lpstr>P016EPAMIG</vt:lpstr>
      <vt:lpstr>P018SECOM</vt:lpstr>
      <vt:lpstr>P019FHEMIG</vt:lpstr>
      <vt:lpstr>P021FHIDRO</vt:lpstr>
      <vt:lpstr>P021SEMAD</vt:lpstr>
      <vt:lpstr>P022FAPEMIG</vt:lpstr>
      <vt:lpstr>P023SEDESE</vt:lpstr>
      <vt:lpstr>P025SEMAD</vt:lpstr>
      <vt:lpstr>P026UEMG</vt:lpstr>
      <vt:lpstr>P027FHIDRO</vt:lpstr>
      <vt:lpstr>P027SEMAD</vt:lpstr>
      <vt:lpstr>P028ESPMG</vt:lpstr>
      <vt:lpstr>P029JUCEMG</vt:lpstr>
      <vt:lpstr>P031FHIDRO</vt:lpstr>
      <vt:lpstr>P031IEF</vt:lpstr>
      <vt:lpstr>P032PCMG</vt:lpstr>
      <vt:lpstr>P033SEF</vt:lpstr>
      <vt:lpstr>P034GMG</vt:lpstr>
      <vt:lpstr>P036PCMG</vt:lpstr>
      <vt:lpstr>P037PCMG</vt:lpstr>
      <vt:lpstr>P038SEF</vt:lpstr>
      <vt:lpstr>P039IPSEMG</vt:lpstr>
      <vt:lpstr>P040FEAM</vt:lpstr>
      <vt:lpstr>P041FEAM</vt:lpstr>
      <vt:lpstr>P042FHA</vt:lpstr>
      <vt:lpstr>P043AGE</vt:lpstr>
      <vt:lpstr>P043SEE</vt:lpstr>
      <vt:lpstr>P044AGE</vt:lpstr>
      <vt:lpstr>P045SEF</vt:lpstr>
      <vt:lpstr>P046GMG</vt:lpstr>
      <vt:lpstr>P046IEF</vt:lpstr>
      <vt:lpstr>P046PMMG</vt:lpstr>
      <vt:lpstr>P047CBMMG</vt:lpstr>
      <vt:lpstr>P047DER</vt:lpstr>
      <vt:lpstr>P047GMG</vt:lpstr>
      <vt:lpstr>P047IGAM</vt:lpstr>
      <vt:lpstr>P047SEINFRA</vt:lpstr>
      <vt:lpstr>P048GMG</vt:lpstr>
      <vt:lpstr>P048PMMG</vt:lpstr>
      <vt:lpstr>P049GMG</vt:lpstr>
      <vt:lpstr>P050GMG</vt:lpstr>
      <vt:lpstr>P051FHA</vt:lpstr>
      <vt:lpstr>P052CBMMG</vt:lpstr>
      <vt:lpstr>P053CBMMG</vt:lpstr>
      <vt:lpstr>P054OGE</vt:lpstr>
      <vt:lpstr>P055OGE</vt:lpstr>
      <vt:lpstr>P056IDENE</vt:lpstr>
      <vt:lpstr>P056SEDE</vt:lpstr>
      <vt:lpstr>P058FES</vt:lpstr>
      <vt:lpstr>P059FES</vt:lpstr>
      <vt:lpstr>P060FES</vt:lpstr>
      <vt:lpstr>P061FES</vt:lpstr>
      <vt:lpstr>P062FES</vt:lpstr>
      <vt:lpstr>P063FES</vt:lpstr>
      <vt:lpstr>P064FES</vt:lpstr>
      <vt:lpstr>P065FHIDRO</vt:lpstr>
      <vt:lpstr>P065IGAM</vt:lpstr>
      <vt:lpstr>P066SEDESE</vt:lpstr>
      <vt:lpstr>P067SEDESE</vt:lpstr>
      <vt:lpstr>P067UTRAMIG</vt:lpstr>
      <vt:lpstr>P068FES</vt:lpstr>
      <vt:lpstr>P068SEDESE</vt:lpstr>
      <vt:lpstr>P069SEDESE</vt:lpstr>
      <vt:lpstr>P070SEDESE</vt:lpstr>
      <vt:lpstr>P071FEAS</vt:lpstr>
      <vt:lpstr>P071SEDESE</vt:lpstr>
      <vt:lpstr>P073SEDESE</vt:lpstr>
      <vt:lpstr>P074SEDESE</vt:lpstr>
      <vt:lpstr>P075FHA</vt:lpstr>
      <vt:lpstr>P076FHA</vt:lpstr>
      <vt:lpstr>P077ARMBH</vt:lpstr>
      <vt:lpstr>P077ARMVA</vt:lpstr>
      <vt:lpstr>P077FDM</vt:lpstr>
      <vt:lpstr>P078IMA</vt:lpstr>
      <vt:lpstr>P080IMA</vt:lpstr>
      <vt:lpstr>P081DER</vt:lpstr>
      <vt:lpstr>P081SEINFRA</vt:lpstr>
      <vt:lpstr>P082FUNTRANS</vt:lpstr>
      <vt:lpstr>P083FEAS</vt:lpstr>
      <vt:lpstr>P083SEDESE</vt:lpstr>
      <vt:lpstr>P084SEDESE</vt:lpstr>
      <vt:lpstr>P085ARTEMIG</vt:lpstr>
      <vt:lpstr>P085SEINFRA</vt:lpstr>
      <vt:lpstr>P086SEDESE</vt:lpstr>
      <vt:lpstr>P087HEMOMINAS</vt:lpstr>
      <vt:lpstr>P088IPSEMG</vt:lpstr>
      <vt:lpstr>P089FHA</vt:lpstr>
      <vt:lpstr>P090EMATER</vt:lpstr>
      <vt:lpstr>P091FJP</vt:lpstr>
      <vt:lpstr>P093FJP</vt:lpstr>
      <vt:lpstr>P095FJP</vt:lpstr>
      <vt:lpstr>P096FJP</vt:lpstr>
      <vt:lpstr>P097EMATER</vt:lpstr>
      <vt:lpstr>P099SEINFRA</vt:lpstr>
      <vt:lpstr>P100SECULT</vt:lpstr>
      <vt:lpstr>P102EMC</vt:lpstr>
      <vt:lpstr>P102FAOP</vt:lpstr>
      <vt:lpstr>P102FCS</vt:lpstr>
      <vt:lpstr>P102IEPHA</vt:lpstr>
      <vt:lpstr>P102SECULT</vt:lpstr>
      <vt:lpstr>P103FAOP</vt:lpstr>
      <vt:lpstr>P103FCS</vt:lpstr>
      <vt:lpstr>P103IEPHA</vt:lpstr>
      <vt:lpstr>P103SECULT</vt:lpstr>
      <vt:lpstr>P104FUCAM</vt:lpstr>
      <vt:lpstr>P105FAOP</vt:lpstr>
      <vt:lpstr>P105FCS</vt:lpstr>
      <vt:lpstr>P105IEPHA</vt:lpstr>
      <vt:lpstr>P105SECULT</vt:lpstr>
      <vt:lpstr>P106FAOP</vt:lpstr>
      <vt:lpstr>P106IEPHA</vt:lpstr>
      <vt:lpstr>P106SECULT</vt:lpstr>
      <vt:lpstr>P108EMATER</vt:lpstr>
      <vt:lpstr>P108IMA</vt:lpstr>
      <vt:lpstr>P108SEAPA</vt:lpstr>
      <vt:lpstr>P109SEGOV</vt:lpstr>
      <vt:lpstr>P110EMATER</vt:lpstr>
      <vt:lpstr>P110SEAPA</vt:lpstr>
      <vt:lpstr>P111SEAPA</vt:lpstr>
      <vt:lpstr>P112IMA</vt:lpstr>
      <vt:lpstr>P112SEAPA</vt:lpstr>
      <vt:lpstr>P113SEAPA</vt:lpstr>
      <vt:lpstr>P114SEAPA</vt:lpstr>
      <vt:lpstr>P115SEGOV</vt:lpstr>
      <vt:lpstr>P116SEAPA</vt:lpstr>
      <vt:lpstr>P117SEINFRA</vt:lpstr>
      <vt:lpstr>P118IMA</vt:lpstr>
      <vt:lpstr>P118SEAPA</vt:lpstr>
      <vt:lpstr>P119SEGOV</vt:lpstr>
      <vt:lpstr>P120SEGOV</vt:lpstr>
      <vt:lpstr>P121EMC</vt:lpstr>
      <vt:lpstr>P121TVMINAS</vt:lpstr>
      <vt:lpstr>P122SEGOV</vt:lpstr>
      <vt:lpstr>P124IDENE</vt:lpstr>
      <vt:lpstr>P125ARMVA</vt:lpstr>
      <vt:lpstr>P125SEDE</vt:lpstr>
      <vt:lpstr>P126LEMG</vt:lpstr>
      <vt:lpstr>P128SEINFRA</vt:lpstr>
      <vt:lpstr>P129SEJUSP</vt:lpstr>
      <vt:lpstr>P130SEJUSP</vt:lpstr>
      <vt:lpstr>P131SCC</vt:lpstr>
      <vt:lpstr>P132SEDE</vt:lpstr>
      <vt:lpstr>P133SEDE</vt:lpstr>
      <vt:lpstr>P134SEJUSP</vt:lpstr>
      <vt:lpstr>P135PMMG</vt:lpstr>
      <vt:lpstr>P136PMMG</vt:lpstr>
      <vt:lpstr>P137PMMG</vt:lpstr>
      <vt:lpstr>P138FUNAPEC</vt:lpstr>
      <vt:lpstr>P138IPSEMG</vt:lpstr>
      <vt:lpstr>P141SEJUSP</vt:lpstr>
      <vt:lpstr>P143FAPEMIG</vt:lpstr>
      <vt:lpstr>P143SEDE</vt:lpstr>
      <vt:lpstr>P146SEJUSP</vt:lpstr>
      <vt:lpstr>P147SEPLAG</vt:lpstr>
      <vt:lpstr>P148SEDESE</vt:lpstr>
      <vt:lpstr>P149SEPLAG</vt:lpstr>
      <vt:lpstr>P150FUNED</vt:lpstr>
      <vt:lpstr>P151SEPLAG</vt:lpstr>
      <vt:lpstr>P152FUNED</vt:lpstr>
      <vt:lpstr>P153FUNED</vt:lpstr>
      <vt:lpstr>P154FUNED</vt:lpstr>
      <vt:lpstr>P155SEPLAG</vt:lpstr>
      <vt:lpstr>P156SEPLAG</vt:lpstr>
      <vt:lpstr>P157SEPLAG</vt:lpstr>
      <vt:lpstr>P159SEPLAG</vt:lpstr>
      <vt:lpstr>P160SEPLAG</vt:lpstr>
      <vt:lpstr>P161SEPLAG</vt:lpstr>
      <vt:lpstr>P162SEE</vt:lpstr>
      <vt:lpstr>P163FHA</vt:lpstr>
      <vt:lpstr>P163SEE</vt:lpstr>
      <vt:lpstr>P164SEE</vt:lpstr>
      <vt:lpstr>P165SEE</vt:lpstr>
      <vt:lpstr>P166FES</vt:lpstr>
      <vt:lpstr>P167SEE</vt:lpstr>
      <vt:lpstr>P168SEE</vt:lpstr>
      <vt:lpstr>P169SEE</vt:lpstr>
      <vt:lpstr>P170SEE</vt:lpstr>
      <vt:lpstr>P172SEE</vt:lpstr>
      <vt:lpstr>P705AGE</vt:lpstr>
      <vt:lpstr>P705ARMBH</vt:lpstr>
      <vt:lpstr>P705ARMVA</vt:lpstr>
      <vt:lpstr>P705ARSAE</vt:lpstr>
      <vt:lpstr>P705CBMMG</vt:lpstr>
      <vt:lpstr>P705CGE</vt:lpstr>
      <vt:lpstr>P705DER</vt:lpstr>
      <vt:lpstr>P705EMATER</vt:lpstr>
      <vt:lpstr>P705EMC</vt:lpstr>
      <vt:lpstr>P705EPAMIG</vt:lpstr>
      <vt:lpstr>P705ESPMG</vt:lpstr>
      <vt:lpstr>P705FAOP</vt:lpstr>
      <vt:lpstr>P705FAPEMIG</vt:lpstr>
      <vt:lpstr>P705FCS</vt:lpstr>
      <vt:lpstr>P705FEAM</vt:lpstr>
      <vt:lpstr>P705FES</vt:lpstr>
      <vt:lpstr>P705FHA</vt:lpstr>
      <vt:lpstr>P705FHEMIG</vt:lpstr>
      <vt:lpstr>P705FHIDRO</vt:lpstr>
      <vt:lpstr>P705FJP</vt:lpstr>
      <vt:lpstr>P705FUCAM</vt:lpstr>
      <vt:lpstr>P705FUNAPEC</vt:lpstr>
      <vt:lpstr>P705FUNED</vt:lpstr>
      <vt:lpstr>P705FUNTRANS</vt:lpstr>
      <vt:lpstr>P705GMG</vt:lpstr>
      <vt:lpstr>P705HEMOMINAS</vt:lpstr>
      <vt:lpstr>P705IDENE</vt:lpstr>
      <vt:lpstr>P705IEF</vt:lpstr>
      <vt:lpstr>P705IEPHA</vt:lpstr>
      <vt:lpstr>P705IGAM</vt:lpstr>
      <vt:lpstr>P705IMA</vt:lpstr>
      <vt:lpstr>P705IPSEMG</vt:lpstr>
      <vt:lpstr>P705IPSM</vt:lpstr>
      <vt:lpstr>P705JUCEMG</vt:lpstr>
      <vt:lpstr>P705LEMG</vt:lpstr>
      <vt:lpstr>P705OGE</vt:lpstr>
      <vt:lpstr>P705PCMG</vt:lpstr>
      <vt:lpstr>P705PMMG</vt:lpstr>
      <vt:lpstr>P705SCC</vt:lpstr>
      <vt:lpstr>P705SEAPA</vt:lpstr>
      <vt:lpstr>P705SEC.GERAL</vt:lpstr>
      <vt:lpstr>P705SECOM</vt:lpstr>
      <vt:lpstr>P705SECULT</vt:lpstr>
      <vt:lpstr>P705SEDE</vt:lpstr>
      <vt:lpstr>P705SEDESE</vt:lpstr>
      <vt:lpstr>P705SEF</vt:lpstr>
      <vt:lpstr>P705SEGOV</vt:lpstr>
      <vt:lpstr>P705SEINFRA</vt:lpstr>
      <vt:lpstr>P705SEJUSP</vt:lpstr>
      <vt:lpstr>P705SEMAD</vt:lpstr>
      <vt:lpstr>P705SEPLAG</vt:lpstr>
      <vt:lpstr>P705TVMINAS</vt:lpstr>
      <vt:lpstr>P705UEMG</vt:lpstr>
      <vt:lpstr>P705UNIMONTES</vt:lpstr>
      <vt:lpstr>P705UTRAMIG</vt:lpstr>
      <vt:lpstr>PCMGPROG</vt:lpstr>
      <vt:lpstr>PMMGPROG</vt:lpstr>
      <vt:lpstr>SCCPROG</vt:lpstr>
      <vt:lpstr>SEAPAPROG</vt:lpstr>
      <vt:lpstr>SEC.GERALPROG</vt:lpstr>
      <vt:lpstr>SECOMPROG</vt:lpstr>
      <vt:lpstr>SECULTPROG</vt:lpstr>
      <vt:lpstr>SEDEPROG</vt:lpstr>
      <vt:lpstr>SEDESEPROG</vt:lpstr>
      <vt:lpstr>SEEPROG</vt:lpstr>
      <vt:lpstr>SEFPROG</vt:lpstr>
      <vt:lpstr>SEGOVPROG</vt:lpstr>
      <vt:lpstr>SEINFRAPROG</vt:lpstr>
      <vt:lpstr>SEJUSPPROG</vt:lpstr>
      <vt:lpstr>SEJUSPROG</vt:lpstr>
      <vt:lpstr>SEMADPROG</vt:lpstr>
      <vt:lpstr>SEPLAGPROG</vt:lpstr>
      <vt:lpstr>TVMINASPROG</vt:lpstr>
      <vt:lpstr>UEMGPROG</vt:lpstr>
      <vt:lpstr>UNIMONTESPROG</vt:lpstr>
      <vt:lpstr>UTRAMIGPROG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Marcatto</dc:creator>
  <cp:keywords/>
  <dc:description/>
  <cp:lastModifiedBy>Bruno Henrique de Oliveira Rosa (SEPLAG)</cp:lastModifiedBy>
  <cp:revision/>
  <dcterms:created xsi:type="dcterms:W3CDTF">2021-04-22T16:53:51Z</dcterms:created>
  <dcterms:modified xsi:type="dcterms:W3CDTF">2026-02-13T13:31:57Z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